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yProjects_vscode\pablo\bob\optim_problems\data\"/>
    </mc:Choice>
  </mc:AlternateContent>
  <xr:revisionPtr revIDLastSave="0" documentId="13_ncr:1_{2181233A-6FDC-4507-8140-60A039759534}" xr6:coauthVersionLast="47" xr6:coauthVersionMax="47" xr10:uidLastSave="{00000000-0000-0000-0000-000000000000}"/>
  <bookViews>
    <workbookView xWindow="19090" yWindow="-3690" windowWidth="21820" windowHeight="13900" tabRatio="752" firstSheet="4" activeTab="8" xr2:uid="{2CA88FB8-25C3-4EC8-9B42-FFA64DA825A7}"/>
  </bookViews>
  <sheets>
    <sheet name="NOTES" sheetId="22" r:id="rId1"/>
    <sheet name="Ligands" sheetId="13" r:id="rId2"/>
    <sheet name="Cleaned Reaxys export" sheetId="18" r:id="rId3"/>
    <sheet name="descriptors_overview" sheetId="24" r:id="rId4"/>
    <sheet name="descriptors_experimental_corr" sheetId="28" r:id="rId5"/>
    <sheet name="descriptors_overview_selection" sheetId="27" r:id="rId6"/>
    <sheet name="pivoted" sheetId="26" r:id="rId7"/>
    <sheet name="all_combinations" sheetId="30" r:id="rId8"/>
    <sheet name="ligand_descriptors" sheetId="25" r:id="rId9"/>
    <sheet name="all_data" sheetId="23" r:id="rId10"/>
  </sheets>
  <definedNames>
    <definedName name="_xlnm._FilterDatabase" localSheetId="7" hidden="1">all_combinations!$A$1:$T$3361</definedName>
    <definedName name="_xlnm._FilterDatabase" localSheetId="9" hidden="1">all_data!$A$1:$T$3361</definedName>
    <definedName name="_xlnm._FilterDatabase" localSheetId="2" hidden="1">'Cleaned Reaxys export'!$A$1:$W$1</definedName>
    <definedName name="_xlnm._FilterDatabase" localSheetId="5" hidden="1">descriptors_overview_selection!$A$1:$L$94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46" i="18" l="1"/>
  <c r="R1046" i="18" s="1"/>
  <c r="Q1045" i="18"/>
  <c r="R1045" i="18" s="1"/>
  <c r="Q1044" i="18"/>
  <c r="R1044" i="18" s="1"/>
  <c r="Q1043" i="18"/>
  <c r="R1043" i="18"/>
  <c r="Q1042" i="18"/>
  <c r="R1042" i="18" s="1"/>
  <c r="Q1041" i="18"/>
  <c r="R1041" i="18" s="1"/>
  <c r="Q1040" i="18"/>
  <c r="R1040" i="18" s="1"/>
  <c r="Q1039" i="18"/>
  <c r="R1039" i="18" s="1"/>
  <c r="Q1038" i="18"/>
  <c r="R1038" i="18" s="1"/>
  <c r="Q1037" i="18"/>
  <c r="R1037" i="18" s="1"/>
  <c r="R1036" i="18"/>
  <c r="Q1036" i="18"/>
  <c r="Q1035" i="18"/>
  <c r="R1035" i="18" s="1"/>
  <c r="Q1034" i="18"/>
  <c r="R1034" i="18" s="1"/>
  <c r="Q1033" i="18"/>
  <c r="R1033" i="18" s="1"/>
  <c r="Q1032" i="18"/>
  <c r="R1032" i="18" s="1"/>
  <c r="Q1031" i="18"/>
  <c r="R1031" i="18" s="1"/>
  <c r="Q1030" i="18" l="1"/>
  <c r="R1030" i="18" s="1"/>
  <c r="Q1029" i="18"/>
  <c r="R1029" i="18" s="1"/>
  <c r="Q1028" i="18"/>
  <c r="R1028" i="18" s="1"/>
  <c r="Q1027" i="18"/>
  <c r="R1027" i="18" s="1"/>
  <c r="Q1026" i="18"/>
  <c r="R1026" i="18" s="1"/>
  <c r="R1014" i="18"/>
  <c r="R1015" i="18"/>
  <c r="R1016" i="18"/>
  <c r="R1017" i="18"/>
  <c r="R1018" i="18"/>
  <c r="R1019" i="18"/>
  <c r="R1020" i="18"/>
  <c r="R1021" i="18"/>
  <c r="R1022" i="18"/>
  <c r="R1023" i="18"/>
  <c r="R1024" i="18"/>
  <c r="R1025" i="18"/>
  <c r="R1011" i="18"/>
  <c r="R1001" i="18"/>
  <c r="R1002" i="18"/>
  <c r="R1003" i="18"/>
  <c r="R1004" i="18"/>
  <c r="R1005" i="18"/>
  <c r="R1006" i="18"/>
  <c r="R1007" i="18"/>
  <c r="R1008" i="18"/>
  <c r="R1009" i="18"/>
  <c r="R1010" i="18"/>
  <c r="R1012" i="18"/>
  <c r="R1013" i="18"/>
  <c r="R997" i="18"/>
  <c r="R998" i="18"/>
  <c r="R999" i="18"/>
  <c r="R1000" i="18"/>
  <c r="R968" i="18"/>
  <c r="R967" i="18"/>
  <c r="R966" i="18"/>
  <c r="R965" i="18"/>
  <c r="R964" i="18"/>
  <c r="R963" i="18"/>
  <c r="R957" i="18"/>
  <c r="R958" i="18"/>
  <c r="R959" i="18"/>
  <c r="R960" i="18"/>
  <c r="R961" i="18"/>
  <c r="R962" i="18"/>
  <c r="R994" i="18"/>
  <c r="R993" i="18"/>
  <c r="R992" i="18"/>
  <c r="R991" i="18"/>
  <c r="R990" i="18"/>
  <c r="R989" i="18"/>
  <c r="R988" i="18"/>
  <c r="R987" i="18"/>
  <c r="R986" i="18"/>
  <c r="R985" i="18"/>
  <c r="R984" i="18"/>
  <c r="R983" i="18"/>
  <c r="R971" i="18"/>
  <c r="R972" i="18"/>
  <c r="R973" i="18"/>
  <c r="R974" i="18"/>
  <c r="R975" i="18"/>
  <c r="R976" i="18"/>
  <c r="R977" i="18"/>
  <c r="R978" i="18"/>
  <c r="R979" i="18"/>
  <c r="R980" i="18"/>
  <c r="R981" i="18"/>
  <c r="R982" i="18"/>
  <c r="R946" i="18"/>
  <c r="R947" i="18"/>
  <c r="R948" i="18"/>
  <c r="R949" i="18"/>
  <c r="R950" i="18"/>
  <c r="R951" i="18"/>
  <c r="R952" i="18"/>
  <c r="R953" i="18"/>
  <c r="R954" i="18"/>
  <c r="R955" i="18"/>
  <c r="R956" i="18"/>
  <c r="R945" i="18"/>
  <c r="R944" i="18"/>
  <c r="R995" i="18"/>
  <c r="R996" i="18"/>
  <c r="R943" i="18"/>
  <c r="R969" i="18"/>
  <c r="R970" i="18"/>
  <c r="R942" i="18" l="1"/>
  <c r="R941" i="18"/>
  <c r="R936" i="18"/>
  <c r="R935" i="18"/>
  <c r="R934" i="18"/>
  <c r="R933" i="18"/>
  <c r="R930" i="18"/>
  <c r="R929" i="18"/>
  <c r="R928" i="18"/>
  <c r="R924" i="18"/>
  <c r="R923" i="18"/>
  <c r="R919" i="18"/>
  <c r="R918" i="18"/>
  <c r="R916" i="18"/>
  <c r="R915" i="18"/>
  <c r="R914" i="18"/>
  <c r="R913" i="18"/>
  <c r="R912" i="18"/>
  <c r="R911" i="18"/>
  <c r="R910" i="18"/>
  <c r="R909" i="18"/>
  <c r="R908" i="18"/>
  <c r="R907" i="18"/>
  <c r="R906" i="18"/>
  <c r="R905" i="18"/>
  <c r="R904" i="18"/>
  <c r="R903" i="18"/>
  <c r="R902" i="18"/>
  <c r="R900" i="18"/>
  <c r="R899" i="18"/>
  <c r="R898" i="18"/>
  <c r="R896" i="18"/>
  <c r="R851" i="18"/>
  <c r="R850" i="18"/>
  <c r="R849" i="18"/>
  <c r="R848" i="18"/>
  <c r="R847" i="18"/>
  <c r="R846" i="18"/>
  <c r="R845" i="18"/>
  <c r="R844" i="18"/>
  <c r="R843" i="18"/>
  <c r="R842" i="18"/>
  <c r="R841" i="18"/>
  <c r="R820" i="18"/>
  <c r="R819" i="18"/>
  <c r="R818" i="18"/>
  <c r="R817" i="18"/>
  <c r="R815" i="18"/>
  <c r="R813" i="18"/>
  <c r="R812" i="18"/>
  <c r="R811" i="18"/>
  <c r="R810" i="18"/>
  <c r="R807" i="18"/>
  <c r="R806" i="18"/>
  <c r="R805" i="18"/>
  <c r="R804" i="18"/>
  <c r="R799" i="18"/>
  <c r="R798" i="18"/>
  <c r="R797" i="18"/>
  <c r="R784" i="18"/>
  <c r="R783" i="18"/>
  <c r="R782" i="18"/>
  <c r="R779" i="18"/>
  <c r="R776" i="18"/>
  <c r="R771" i="18"/>
  <c r="R770" i="18"/>
  <c r="R769" i="18"/>
  <c r="R768" i="18"/>
  <c r="R767" i="18"/>
  <c r="R761" i="18"/>
  <c r="R756" i="18"/>
  <c r="R754" i="18"/>
  <c r="R752" i="18"/>
  <c r="R751" i="18"/>
  <c r="R745" i="18"/>
  <c r="R744" i="18"/>
  <c r="Q2" i="18" l="1"/>
  <c r="R2" i="18" s="1"/>
  <c r="Q3" i="18"/>
  <c r="R3" i="18" s="1"/>
  <c r="Q4" i="18"/>
  <c r="R4" i="18" s="1"/>
  <c r="Q5" i="18"/>
  <c r="R5" i="18" s="1"/>
  <c r="Q6" i="18"/>
  <c r="R6" i="18" s="1"/>
  <c r="Q7" i="18"/>
  <c r="R7" i="18" s="1"/>
  <c r="Q8" i="18"/>
  <c r="Q9" i="18"/>
  <c r="R9" i="18" s="1"/>
  <c r="Q10" i="18"/>
  <c r="R10" i="18" s="1"/>
  <c r="Q11" i="18"/>
  <c r="R11" i="18" s="1"/>
  <c r="Q12" i="18"/>
  <c r="R12" i="18" s="1"/>
  <c r="Q13" i="18"/>
  <c r="R13" i="18" s="1"/>
  <c r="Q14" i="18"/>
  <c r="R14" i="18" s="1"/>
  <c r="Q15" i="18"/>
  <c r="R15" i="18" s="1"/>
  <c r="Q16" i="18"/>
  <c r="R16" i="18" s="1"/>
  <c r="Q17" i="18"/>
  <c r="R17" i="18" s="1"/>
  <c r="Q18" i="18"/>
  <c r="R18" i="18" s="1"/>
  <c r="Q19" i="18"/>
  <c r="R19" i="18" s="1"/>
  <c r="Q20" i="18"/>
  <c r="R20" i="18" s="1"/>
  <c r="Q21" i="18"/>
  <c r="R21" i="18" s="1"/>
  <c r="Q22" i="18"/>
  <c r="R22" i="18" s="1"/>
  <c r="Q23" i="18"/>
  <c r="R23" i="18" s="1"/>
  <c r="Q24" i="18"/>
  <c r="R24" i="18" s="1"/>
  <c r="Q25" i="18"/>
  <c r="R25" i="18" s="1"/>
  <c r="Q26" i="18"/>
  <c r="R26" i="18" s="1"/>
  <c r="Q27" i="18"/>
  <c r="R27" i="18" s="1"/>
  <c r="Q28" i="18"/>
  <c r="R28" i="18" s="1"/>
  <c r="Q29" i="18"/>
  <c r="R29" i="18" s="1"/>
  <c r="Q30" i="18"/>
  <c r="R30" i="18" s="1"/>
  <c r="Q31" i="18"/>
  <c r="R31" i="18" s="1"/>
  <c r="Q32" i="18"/>
  <c r="R32" i="18" s="1"/>
  <c r="Q33" i="18"/>
  <c r="R33" i="18" s="1"/>
  <c r="Q34" i="18"/>
  <c r="R34" i="18" s="1"/>
  <c r="Q35" i="18"/>
  <c r="R35" i="18" s="1"/>
  <c r="Q36" i="18"/>
  <c r="R36" i="18" s="1"/>
  <c r="Q37" i="18"/>
  <c r="R37" i="18" s="1"/>
  <c r="Q38" i="18"/>
  <c r="R38" i="18" s="1"/>
  <c r="Q39" i="18"/>
  <c r="R39" i="18" s="1"/>
  <c r="Q40" i="18"/>
  <c r="R40" i="18" s="1"/>
  <c r="Q41" i="18"/>
  <c r="R41" i="18" s="1"/>
  <c r="Q42" i="18"/>
  <c r="R42" i="18" s="1"/>
  <c r="Q43" i="18"/>
  <c r="R43" i="18" s="1"/>
  <c r="Q44" i="18"/>
  <c r="Q45" i="18"/>
  <c r="Q46" i="18"/>
  <c r="Q47" i="18"/>
  <c r="Q48" i="18"/>
  <c r="Q49" i="18"/>
  <c r="R49" i="18" s="1"/>
  <c r="Q50" i="18"/>
  <c r="R50" i="18" s="1"/>
  <c r="Q51" i="18"/>
  <c r="Q52" i="18"/>
  <c r="R52" i="18" s="1"/>
  <c r="Q53" i="18"/>
  <c r="R53" i="18" s="1"/>
  <c r="Q54" i="18"/>
  <c r="R54" i="18" s="1"/>
  <c r="Q55" i="18"/>
  <c r="R55" i="18" s="1"/>
  <c r="Q56" i="18"/>
  <c r="R56" i="18" s="1"/>
  <c r="Q57" i="18"/>
  <c r="R57" i="18" s="1"/>
  <c r="Q58" i="18"/>
  <c r="R58" i="18" s="1"/>
  <c r="Q59" i="18"/>
  <c r="R59" i="18" s="1"/>
  <c r="Q60" i="18"/>
  <c r="R60" i="18" s="1"/>
  <c r="Q61" i="18"/>
  <c r="R61" i="18" s="1"/>
  <c r="Q62" i="18"/>
  <c r="R62" i="18" s="1"/>
  <c r="Q63" i="18"/>
  <c r="Q64" i="18"/>
  <c r="R64" i="18" s="1"/>
  <c r="Q65" i="18"/>
  <c r="R65" i="18" s="1"/>
  <c r="Q66" i="18"/>
  <c r="R66" i="18" s="1"/>
  <c r="Q67" i="18"/>
  <c r="R67" i="18" s="1"/>
  <c r="Q68" i="18"/>
  <c r="R68" i="18" s="1"/>
  <c r="Q69" i="18"/>
  <c r="R69" i="18" s="1"/>
  <c r="Q70" i="18"/>
  <c r="R70" i="18" s="1"/>
  <c r="Q71" i="18"/>
  <c r="R71" i="18" s="1"/>
  <c r="Q72" i="18"/>
  <c r="R72" i="18" s="1"/>
  <c r="Q73" i="18"/>
  <c r="R73" i="18" s="1"/>
  <c r="Q74" i="18"/>
  <c r="R74" i="18" s="1"/>
  <c r="Q75" i="18"/>
  <c r="R75" i="18" s="1"/>
  <c r="Q76" i="18"/>
  <c r="R76" i="18" s="1"/>
  <c r="Q77" i="18"/>
  <c r="R77" i="18" s="1"/>
  <c r="Q78" i="18"/>
  <c r="R78" i="18" s="1"/>
  <c r="Q79" i="18"/>
  <c r="R79" i="18" s="1"/>
  <c r="Q80" i="18"/>
  <c r="R80" i="18" s="1"/>
  <c r="Q81" i="18"/>
  <c r="R81" i="18" s="1"/>
  <c r="Q82" i="18"/>
  <c r="R82" i="18" s="1"/>
  <c r="Q83" i="18"/>
  <c r="R83" i="18" s="1"/>
  <c r="Q84" i="18"/>
  <c r="R84" i="18" s="1"/>
  <c r="Q85" i="18"/>
  <c r="R85" i="18" s="1"/>
  <c r="Q86" i="18"/>
  <c r="R86" i="18" s="1"/>
  <c r="Q87" i="18"/>
  <c r="R87" i="18" s="1"/>
  <c r="Q88" i="18"/>
  <c r="R88" i="18" s="1"/>
  <c r="Q89" i="18"/>
  <c r="R89" i="18" s="1"/>
  <c r="Q90" i="18"/>
  <c r="R90" i="18" s="1"/>
  <c r="Q91" i="18"/>
  <c r="R91" i="18" s="1"/>
  <c r="Q92" i="18"/>
  <c r="R92" i="18" s="1"/>
  <c r="Q93" i="18"/>
  <c r="R93" i="18" s="1"/>
  <c r="Q94" i="18"/>
  <c r="R94" i="18" s="1"/>
  <c r="Q95" i="18"/>
  <c r="R95" i="18" s="1"/>
  <c r="Q96" i="18"/>
  <c r="R96" i="18" s="1"/>
  <c r="Q97" i="18"/>
  <c r="R97" i="18" s="1"/>
  <c r="Q98" i="18"/>
  <c r="R98" i="18" s="1"/>
  <c r="Q99" i="18"/>
  <c r="R99" i="18" s="1"/>
  <c r="Q100" i="18"/>
  <c r="R100" i="18" s="1"/>
  <c r="Q101" i="18"/>
  <c r="R101" i="18" s="1"/>
  <c r="Q102" i="18"/>
  <c r="R102" i="18" s="1"/>
  <c r="Q103" i="18"/>
  <c r="R103" i="18" s="1"/>
  <c r="Q104" i="18"/>
  <c r="Q105" i="18"/>
  <c r="R105" i="18" s="1"/>
  <c r="Q106" i="18"/>
  <c r="R106" i="18" s="1"/>
  <c r="Q107" i="18"/>
  <c r="R107" i="18" s="1"/>
  <c r="Q108" i="18"/>
  <c r="R108" i="18" s="1"/>
  <c r="Q109" i="18"/>
  <c r="R109" i="18" s="1"/>
  <c r="Q110" i="18"/>
  <c r="R110" i="18" s="1"/>
  <c r="Q111" i="18"/>
  <c r="R111" i="18" s="1"/>
  <c r="Q112" i="18"/>
  <c r="R112" i="18" s="1"/>
  <c r="Q113" i="18"/>
  <c r="Q114" i="18"/>
  <c r="Q115" i="18"/>
  <c r="Q116" i="18"/>
  <c r="R116" i="18" s="1"/>
  <c r="Q117" i="18"/>
  <c r="R117" i="18" s="1"/>
  <c r="Q118" i="18"/>
  <c r="R118" i="18" s="1"/>
  <c r="Q119" i="18"/>
  <c r="R119" i="18" s="1"/>
  <c r="Q120" i="18"/>
  <c r="R120" i="18" s="1"/>
  <c r="Q121" i="18"/>
  <c r="R121" i="18" s="1"/>
  <c r="Q122" i="18"/>
  <c r="R122" i="18" s="1"/>
  <c r="Q123" i="18"/>
  <c r="R123" i="18" s="1"/>
  <c r="Q124" i="18"/>
  <c r="R124" i="18" s="1"/>
  <c r="Q125" i="18"/>
  <c r="R125" i="18" s="1"/>
  <c r="Q126" i="18"/>
  <c r="R126" i="18" s="1"/>
  <c r="Q127" i="18"/>
  <c r="R127" i="18" s="1"/>
  <c r="Q128" i="18"/>
  <c r="R128" i="18" s="1"/>
  <c r="Q129" i="18"/>
  <c r="R129" i="18" s="1"/>
  <c r="Q130" i="18"/>
  <c r="R130" i="18" s="1"/>
  <c r="Q131" i="18"/>
  <c r="R131" i="18" s="1"/>
  <c r="Q132" i="18"/>
  <c r="R132" i="18" s="1"/>
  <c r="Q133" i="18"/>
  <c r="R133" i="18" s="1"/>
  <c r="Q134" i="18"/>
  <c r="R134" i="18" s="1"/>
  <c r="Q135" i="18"/>
  <c r="R135" i="18" s="1"/>
  <c r="Q136" i="18"/>
  <c r="R136" i="18" s="1"/>
  <c r="Q137" i="18"/>
  <c r="R137" i="18" s="1"/>
  <c r="Q138" i="18"/>
  <c r="R138" i="18" s="1"/>
  <c r="Q139" i="18"/>
  <c r="R139" i="18" s="1"/>
  <c r="Q140" i="18"/>
  <c r="R140" i="18" s="1"/>
  <c r="Q141" i="18"/>
  <c r="R141" i="18" s="1"/>
  <c r="Q142" i="18"/>
  <c r="R142" i="18" s="1"/>
  <c r="Q143" i="18"/>
  <c r="R143" i="18" s="1"/>
  <c r="Q144" i="18"/>
  <c r="R144" i="18" s="1"/>
  <c r="Q145" i="18"/>
  <c r="R145" i="18" s="1"/>
  <c r="Q146" i="18"/>
  <c r="R146" i="18" s="1"/>
  <c r="Q147" i="18"/>
  <c r="R147" i="18" s="1"/>
  <c r="Q148" i="18"/>
  <c r="R148" i="18" s="1"/>
  <c r="Q149" i="18"/>
  <c r="R149" i="18" s="1"/>
  <c r="Q150" i="18"/>
  <c r="R150" i="18" s="1"/>
  <c r="Q151" i="18"/>
  <c r="R151" i="18" s="1"/>
  <c r="Q152" i="18"/>
  <c r="R152" i="18" s="1"/>
  <c r="Q153" i="18"/>
  <c r="R153" i="18" s="1"/>
  <c r="Q154" i="18"/>
  <c r="R154" i="18" s="1"/>
  <c r="Q155" i="18"/>
  <c r="R155" i="18" s="1"/>
  <c r="Q156" i="18"/>
  <c r="R156" i="18" s="1"/>
  <c r="Q157" i="18"/>
  <c r="R157" i="18" s="1"/>
  <c r="Q158" i="18"/>
  <c r="R158" i="18" s="1"/>
  <c r="Q159" i="18"/>
  <c r="R159" i="18" s="1"/>
  <c r="Q160" i="18"/>
  <c r="R160" i="18" s="1"/>
  <c r="Q161" i="18"/>
  <c r="R161" i="18" s="1"/>
  <c r="Q162" i="18"/>
  <c r="R162" i="18" s="1"/>
  <c r="Q163" i="18"/>
  <c r="R163" i="18" s="1"/>
  <c r="Q164" i="18"/>
  <c r="R164" i="18" s="1"/>
  <c r="Q165" i="18"/>
  <c r="R165" i="18" s="1"/>
  <c r="Q166" i="18"/>
  <c r="R166" i="18" s="1"/>
  <c r="Q167" i="18"/>
  <c r="R167" i="18" s="1"/>
  <c r="Q168" i="18"/>
  <c r="R168" i="18" s="1"/>
  <c r="Q169" i="18"/>
  <c r="R169" i="18" s="1"/>
  <c r="Q170" i="18"/>
  <c r="R170" i="18" s="1"/>
  <c r="Q171" i="18"/>
  <c r="R171" i="18" s="1"/>
  <c r="Q172" i="18"/>
  <c r="R172" i="18" s="1"/>
  <c r="Q173" i="18"/>
  <c r="R173" i="18" s="1"/>
  <c r="Q174" i="18"/>
  <c r="R174" i="18" s="1"/>
  <c r="Q175" i="18"/>
  <c r="R175" i="18" s="1"/>
  <c r="Q176" i="18"/>
  <c r="R176" i="18" s="1"/>
  <c r="Q177" i="18"/>
  <c r="R177" i="18" s="1"/>
  <c r="Q178" i="18"/>
  <c r="R178" i="18" s="1"/>
  <c r="Q179" i="18"/>
  <c r="R179" i="18" s="1"/>
  <c r="Q180" i="18"/>
  <c r="R180" i="18" s="1"/>
  <c r="Q181" i="18"/>
  <c r="R181" i="18" s="1"/>
  <c r="Q182" i="18"/>
  <c r="R182" i="18" s="1"/>
  <c r="Q183" i="18"/>
  <c r="R183" i="18" s="1"/>
  <c r="Q184" i="18"/>
  <c r="R184" i="18" s="1"/>
  <c r="Q185" i="18"/>
  <c r="R185" i="18" s="1"/>
  <c r="Q186" i="18"/>
  <c r="R186" i="18" s="1"/>
  <c r="Q187" i="18"/>
  <c r="R187" i="18" s="1"/>
  <c r="Q188" i="18"/>
  <c r="R188" i="18" s="1"/>
  <c r="Q189" i="18"/>
  <c r="R189" i="18" s="1"/>
  <c r="Q190" i="18"/>
  <c r="R190" i="18" s="1"/>
  <c r="Q191" i="18"/>
  <c r="R191" i="18" s="1"/>
  <c r="Q192" i="18"/>
  <c r="R192" i="18" s="1"/>
  <c r="Q193" i="18"/>
  <c r="R193" i="18" s="1"/>
  <c r="Q194" i="18"/>
  <c r="R194" i="18" s="1"/>
  <c r="Q195" i="18"/>
  <c r="R195" i="18" s="1"/>
  <c r="Q196" i="18"/>
  <c r="R196" i="18" s="1"/>
  <c r="Q197" i="18"/>
  <c r="R197" i="18" s="1"/>
  <c r="Q198" i="18"/>
  <c r="R198" i="18" s="1"/>
  <c r="Q199" i="18"/>
  <c r="R199" i="18" s="1"/>
  <c r="Q200" i="18"/>
  <c r="R200" i="18" s="1"/>
  <c r="Q201" i="18"/>
  <c r="R201" i="18" s="1"/>
  <c r="Q202" i="18"/>
  <c r="R202" i="18" s="1"/>
  <c r="Q203" i="18"/>
  <c r="R203" i="18" s="1"/>
  <c r="Q204" i="18"/>
  <c r="R204" i="18" s="1"/>
  <c r="Q205" i="18"/>
  <c r="R205" i="18" s="1"/>
  <c r="Q206" i="18"/>
  <c r="R206" i="18" s="1"/>
  <c r="Q207" i="18"/>
  <c r="R207" i="18" s="1"/>
  <c r="Q208" i="18"/>
  <c r="R208" i="18" s="1"/>
  <c r="Q209" i="18"/>
  <c r="R209" i="18" s="1"/>
  <c r="Q210" i="18"/>
  <c r="R210" i="18" s="1"/>
  <c r="Q211" i="18"/>
  <c r="R211" i="18" s="1"/>
  <c r="Q212" i="18"/>
  <c r="R212" i="18" s="1"/>
  <c r="Q213" i="18"/>
  <c r="R213" i="18" s="1"/>
  <c r="Q214" i="18"/>
  <c r="R214" i="18" s="1"/>
  <c r="Q215" i="18"/>
  <c r="R215" i="18" s="1"/>
  <c r="Q216" i="18"/>
  <c r="R216" i="18" s="1"/>
  <c r="Q217" i="18"/>
  <c r="R217" i="18" s="1"/>
  <c r="Q218" i="18"/>
  <c r="R218" i="18" s="1"/>
  <c r="Q219" i="18"/>
  <c r="R219" i="18" s="1"/>
  <c r="Q220" i="18"/>
  <c r="R220" i="18" s="1"/>
  <c r="Q221" i="18"/>
  <c r="R221" i="18" s="1"/>
  <c r="Q222" i="18"/>
  <c r="R222" i="18" s="1"/>
  <c r="Q223" i="18"/>
  <c r="R223" i="18" s="1"/>
  <c r="Q224" i="18"/>
  <c r="R224" i="18" s="1"/>
  <c r="Q225" i="18"/>
  <c r="R225" i="18" s="1"/>
  <c r="Q226" i="18"/>
  <c r="R226" i="18" s="1"/>
  <c r="Q227" i="18"/>
  <c r="R227" i="18" s="1"/>
  <c r="Q228" i="18"/>
  <c r="R228" i="18" s="1"/>
  <c r="Q229" i="18"/>
  <c r="R229" i="18" s="1"/>
  <c r="Q230" i="18"/>
  <c r="R230" i="18" s="1"/>
  <c r="Q231" i="18"/>
  <c r="R231" i="18" s="1"/>
  <c r="Q232" i="18"/>
  <c r="R232" i="18" s="1"/>
  <c r="Q233" i="18"/>
  <c r="R233" i="18" s="1"/>
  <c r="Q234" i="18"/>
  <c r="R234" i="18" s="1"/>
  <c r="Q235" i="18"/>
  <c r="R235" i="18" s="1"/>
  <c r="Q236" i="18"/>
  <c r="R236" i="18" s="1"/>
  <c r="Q237" i="18"/>
  <c r="R237" i="18" s="1"/>
  <c r="Q238" i="18"/>
  <c r="R238" i="18" s="1"/>
  <c r="Q239" i="18"/>
  <c r="R239" i="18" s="1"/>
  <c r="Q240" i="18"/>
  <c r="R240" i="18" s="1"/>
  <c r="Q241" i="18"/>
  <c r="R241" i="18" s="1"/>
  <c r="Q242" i="18"/>
  <c r="R242" i="18" s="1"/>
  <c r="Q243" i="18"/>
  <c r="R243" i="18" s="1"/>
  <c r="Q244" i="18"/>
  <c r="R244" i="18" s="1"/>
  <c r="Q245" i="18"/>
  <c r="R245" i="18" s="1"/>
  <c r="Q246" i="18"/>
  <c r="R246" i="18" s="1"/>
  <c r="Q247" i="18"/>
  <c r="R247" i="18" s="1"/>
  <c r="Q248" i="18"/>
  <c r="R248" i="18" s="1"/>
  <c r="Q249" i="18"/>
  <c r="R249" i="18" s="1"/>
  <c r="Q250" i="18"/>
  <c r="R250" i="18" s="1"/>
  <c r="Q251" i="18"/>
  <c r="R251" i="18" s="1"/>
  <c r="Q252" i="18"/>
  <c r="R252" i="18" s="1"/>
  <c r="Q253" i="18"/>
  <c r="R253" i="18" s="1"/>
  <c r="Q254" i="18"/>
  <c r="R254" i="18" s="1"/>
  <c r="Q255" i="18"/>
  <c r="R255" i="18" s="1"/>
  <c r="Q256" i="18"/>
  <c r="R256" i="18" s="1"/>
  <c r="Q257" i="18"/>
  <c r="R257" i="18" s="1"/>
  <c r="Q258" i="18"/>
  <c r="R258" i="18" s="1"/>
  <c r="Q259" i="18"/>
  <c r="R259" i="18" s="1"/>
  <c r="Q260" i="18"/>
  <c r="R260" i="18" s="1"/>
  <c r="Q261" i="18"/>
  <c r="R261" i="18" s="1"/>
  <c r="Q262" i="18"/>
  <c r="R262" i="18" s="1"/>
  <c r="Q263" i="18"/>
  <c r="R263" i="18" s="1"/>
  <c r="Q264" i="18"/>
  <c r="R264" i="18" s="1"/>
  <c r="Q265" i="18"/>
  <c r="R265" i="18" s="1"/>
  <c r="Q266" i="18"/>
  <c r="R266" i="18" s="1"/>
  <c r="Q267" i="18"/>
  <c r="R267" i="18" s="1"/>
  <c r="Q268" i="18"/>
  <c r="R268" i="18" s="1"/>
  <c r="Q269" i="18"/>
  <c r="R269" i="18" s="1"/>
  <c r="Q270" i="18"/>
  <c r="R270" i="18" s="1"/>
  <c r="Q271" i="18"/>
  <c r="R271" i="18" s="1"/>
  <c r="Q272" i="18"/>
  <c r="R272" i="18" s="1"/>
  <c r="Q273" i="18"/>
  <c r="R273" i="18" s="1"/>
  <c r="Q274" i="18"/>
  <c r="R274" i="18" s="1"/>
  <c r="Q275" i="18"/>
  <c r="R275" i="18" s="1"/>
  <c r="Q276" i="18"/>
  <c r="R276" i="18" s="1"/>
  <c r="Q277" i="18"/>
  <c r="R277" i="18" s="1"/>
  <c r="Q278" i="18"/>
  <c r="R278" i="18" s="1"/>
  <c r="Q279" i="18"/>
  <c r="R279" i="18" s="1"/>
  <c r="Q280" i="18"/>
  <c r="R280" i="18" s="1"/>
  <c r="Q281" i="18"/>
  <c r="R281" i="18" s="1"/>
  <c r="Q282" i="18"/>
  <c r="R282" i="18" s="1"/>
  <c r="Q283" i="18"/>
  <c r="R283" i="18" s="1"/>
  <c r="Q284" i="18"/>
  <c r="R284" i="18" s="1"/>
  <c r="Q285" i="18"/>
  <c r="R285" i="18" s="1"/>
  <c r="Q286" i="18"/>
  <c r="R286" i="18" s="1"/>
  <c r="Q287" i="18"/>
  <c r="R287" i="18" s="1"/>
  <c r="Q288" i="18"/>
  <c r="R288" i="18" s="1"/>
  <c r="Q289" i="18"/>
  <c r="R289" i="18" s="1"/>
  <c r="Q290" i="18"/>
  <c r="R290" i="18" s="1"/>
  <c r="Q291" i="18"/>
  <c r="R291" i="18" s="1"/>
  <c r="Q292" i="18"/>
  <c r="R292" i="18" s="1"/>
  <c r="Q293" i="18"/>
  <c r="R293" i="18" s="1"/>
  <c r="Q294" i="18"/>
  <c r="R294" i="18" s="1"/>
  <c r="Q295" i="18"/>
  <c r="R295" i="18" s="1"/>
  <c r="Q296" i="18"/>
  <c r="R296" i="18" s="1"/>
  <c r="Q297" i="18"/>
  <c r="R297" i="18" s="1"/>
  <c r="Q298" i="18"/>
  <c r="R298" i="18" s="1"/>
  <c r="Q299" i="18"/>
  <c r="R299" i="18" s="1"/>
  <c r="Q300" i="18"/>
  <c r="R300" i="18" s="1"/>
  <c r="Q301" i="18"/>
  <c r="R301" i="18" s="1"/>
  <c r="Q302" i="18"/>
  <c r="R302" i="18" s="1"/>
  <c r="Q303" i="18"/>
  <c r="R303" i="18" s="1"/>
  <c r="Q304" i="18"/>
  <c r="R304" i="18" s="1"/>
  <c r="Q305" i="18"/>
  <c r="R305" i="18" s="1"/>
  <c r="Q306" i="18"/>
  <c r="R306" i="18" s="1"/>
  <c r="Q307" i="18"/>
  <c r="R307" i="18" s="1"/>
  <c r="Q308" i="18"/>
  <c r="R308" i="18" s="1"/>
  <c r="Q309" i="18"/>
  <c r="R309" i="18" s="1"/>
  <c r="Q310" i="18"/>
  <c r="R310" i="18" s="1"/>
  <c r="Q311" i="18"/>
  <c r="R311" i="18" s="1"/>
  <c r="Q312" i="18"/>
  <c r="Q313" i="18"/>
  <c r="R313" i="18" s="1"/>
  <c r="Q314" i="18"/>
  <c r="R314" i="18" s="1"/>
  <c r="Q315" i="18"/>
  <c r="R315" i="18" s="1"/>
  <c r="Q316" i="18"/>
  <c r="R316" i="18" s="1"/>
  <c r="Q317" i="18"/>
  <c r="R317" i="18" s="1"/>
  <c r="Q318" i="18"/>
  <c r="R318" i="18" s="1"/>
  <c r="Q319" i="18"/>
  <c r="R319" i="18" s="1"/>
  <c r="Q320" i="18"/>
  <c r="R320" i="18" s="1"/>
  <c r="Q321" i="18"/>
  <c r="R321" i="18" s="1"/>
  <c r="Q322" i="18"/>
  <c r="R322" i="18" s="1"/>
  <c r="Q323" i="18"/>
  <c r="Q324" i="18"/>
  <c r="R324" i="18" s="1"/>
  <c r="Q325" i="18"/>
  <c r="R325" i="18" s="1"/>
  <c r="Q326" i="18"/>
  <c r="Q327" i="18"/>
  <c r="R327" i="18" s="1"/>
  <c r="Q328" i="18"/>
  <c r="R328" i="18" s="1"/>
  <c r="Q329" i="18"/>
  <c r="R329" i="18" s="1"/>
  <c r="Q330" i="18"/>
  <c r="R330" i="18" s="1"/>
  <c r="Q331" i="18"/>
  <c r="R331" i="18" s="1"/>
  <c r="Q332" i="18"/>
  <c r="R332" i="18" s="1"/>
  <c r="Q333" i="18"/>
  <c r="R333" i="18" s="1"/>
  <c r="Q334" i="18"/>
  <c r="R334" i="18" s="1"/>
  <c r="Q335" i="18"/>
  <c r="R335" i="18" s="1"/>
  <c r="Q336" i="18"/>
  <c r="R336" i="18" s="1"/>
  <c r="Q337" i="18"/>
  <c r="R337" i="18" s="1"/>
  <c r="Q338" i="18"/>
  <c r="R338" i="18" s="1"/>
  <c r="Q339" i="18"/>
  <c r="R339" i="18" s="1"/>
  <c r="Q340" i="18"/>
  <c r="R340" i="18" s="1"/>
  <c r="Q341" i="18"/>
  <c r="R341" i="18" s="1"/>
  <c r="Q342" i="18"/>
  <c r="R342" i="18" s="1"/>
  <c r="Q343" i="18"/>
  <c r="R343" i="18" s="1"/>
  <c r="Q344" i="18"/>
  <c r="R344" i="18" s="1"/>
  <c r="Q345" i="18"/>
  <c r="Q346" i="18"/>
  <c r="R346" i="18" s="1"/>
  <c r="Q347" i="18"/>
  <c r="R347" i="18" s="1"/>
  <c r="Q348" i="18"/>
  <c r="R348" i="18" s="1"/>
  <c r="Q349" i="18"/>
  <c r="R349" i="18" s="1"/>
  <c r="Q350" i="18"/>
  <c r="R350" i="18" s="1"/>
  <c r="Q351" i="18"/>
  <c r="R351" i="18" s="1"/>
  <c r="Q352" i="18"/>
  <c r="R352" i="18" s="1"/>
  <c r="Q353" i="18"/>
  <c r="R353" i="18" s="1"/>
  <c r="Q354" i="18"/>
  <c r="R354" i="18" s="1"/>
  <c r="Q355" i="18"/>
  <c r="R355" i="18" s="1"/>
  <c r="Q356" i="18"/>
  <c r="R356" i="18" s="1"/>
  <c r="Q357" i="18"/>
  <c r="R357" i="18" s="1"/>
  <c r="Q358" i="18"/>
  <c r="Q359" i="18"/>
  <c r="Q360" i="18"/>
  <c r="R360" i="18" s="1"/>
  <c r="Q361" i="18"/>
  <c r="R361" i="18" s="1"/>
  <c r="Q362" i="18"/>
  <c r="R362" i="18" s="1"/>
  <c r="Q363" i="18"/>
  <c r="R363" i="18" s="1"/>
  <c r="Q364" i="18"/>
  <c r="R364" i="18" s="1"/>
  <c r="Q365" i="18"/>
  <c r="R365" i="18" s="1"/>
  <c r="Q366" i="18"/>
  <c r="R366" i="18" s="1"/>
  <c r="Q367" i="18"/>
  <c r="R367" i="18" s="1"/>
  <c r="Q368" i="18"/>
  <c r="R368" i="18" s="1"/>
  <c r="Q369" i="18"/>
  <c r="R369" i="18" s="1"/>
  <c r="Q370" i="18"/>
  <c r="R370" i="18" s="1"/>
  <c r="Q371" i="18"/>
  <c r="R371" i="18" s="1"/>
  <c r="Q372" i="18"/>
  <c r="R372" i="18" s="1"/>
  <c r="Q373" i="18"/>
  <c r="R373" i="18" s="1"/>
  <c r="Q374" i="18"/>
  <c r="R374" i="18" s="1"/>
  <c r="Q375" i="18"/>
  <c r="R375" i="18" s="1"/>
  <c r="Q376" i="18"/>
  <c r="Q377" i="18"/>
  <c r="Q378" i="18"/>
  <c r="R378" i="18" s="1"/>
  <c r="Q379" i="18"/>
  <c r="R379" i="18" s="1"/>
  <c r="Q380" i="18"/>
  <c r="R380" i="18" s="1"/>
  <c r="Q381" i="18"/>
  <c r="R381" i="18" s="1"/>
  <c r="Q382" i="18"/>
  <c r="R382" i="18" s="1"/>
  <c r="Q383" i="18"/>
  <c r="R383" i="18" s="1"/>
  <c r="Q384" i="18"/>
  <c r="R384" i="18" s="1"/>
  <c r="Q385" i="18"/>
  <c r="R385" i="18" s="1"/>
  <c r="Q386" i="18"/>
  <c r="R386" i="18" s="1"/>
  <c r="Q387" i="18"/>
  <c r="R387" i="18" s="1"/>
  <c r="Q388" i="18"/>
  <c r="R388" i="18" s="1"/>
  <c r="Q389" i="18"/>
  <c r="R389" i="18" s="1"/>
  <c r="Q390" i="18"/>
  <c r="R390" i="18" s="1"/>
  <c r="Q391" i="18"/>
  <c r="R391" i="18" s="1"/>
  <c r="Q392" i="18"/>
  <c r="R392" i="18" s="1"/>
  <c r="Q393" i="18"/>
  <c r="Q394" i="18"/>
  <c r="R394" i="18" s="1"/>
  <c r="Q395" i="18"/>
  <c r="Q396" i="18"/>
  <c r="Q397" i="18"/>
  <c r="R397" i="18" s="1"/>
  <c r="Q398" i="18"/>
  <c r="R398" i="18" s="1"/>
  <c r="Q399" i="18"/>
  <c r="R399" i="18" s="1"/>
  <c r="Q400" i="18"/>
  <c r="R400" i="18" s="1"/>
  <c r="Q401" i="18"/>
  <c r="R401" i="18" s="1"/>
  <c r="Q402" i="18"/>
  <c r="R402" i="18" s="1"/>
  <c r="Q403" i="18"/>
  <c r="R403" i="18" s="1"/>
  <c r="Q404" i="18"/>
  <c r="R404" i="18" s="1"/>
  <c r="Q405" i="18"/>
  <c r="R405" i="18" s="1"/>
  <c r="Q406" i="18"/>
  <c r="R406" i="18" s="1"/>
  <c r="Q407" i="18"/>
  <c r="R407" i="18" s="1"/>
  <c r="Q408" i="18"/>
  <c r="R408" i="18" s="1"/>
  <c r="Q409" i="18"/>
  <c r="R409" i="18" s="1"/>
  <c r="Q410" i="18"/>
  <c r="R410" i="18" s="1"/>
  <c r="Q411" i="18"/>
  <c r="R411" i="18" s="1"/>
  <c r="Q412" i="18"/>
  <c r="R412" i="18" s="1"/>
  <c r="Q413" i="18"/>
  <c r="R413" i="18" s="1"/>
  <c r="Q414" i="18"/>
  <c r="R414" i="18" s="1"/>
  <c r="Q415" i="18"/>
  <c r="R415" i="18" s="1"/>
  <c r="Q416" i="18"/>
  <c r="R416" i="18" s="1"/>
  <c r="Q417" i="18"/>
  <c r="R417" i="18" s="1"/>
  <c r="Q418" i="18"/>
  <c r="R418" i="18" s="1"/>
  <c r="Q419" i="18"/>
  <c r="R419" i="18" s="1"/>
  <c r="Q420" i="18"/>
  <c r="R420" i="18" s="1"/>
  <c r="Q421" i="18"/>
  <c r="R421" i="18" s="1"/>
  <c r="Q422" i="18"/>
  <c r="R422" i="18" s="1"/>
  <c r="Q423" i="18"/>
  <c r="R423" i="18" s="1"/>
  <c r="Q424" i="18"/>
  <c r="R424" i="18" s="1"/>
  <c r="Q425" i="18"/>
  <c r="Q426" i="18"/>
  <c r="Q427" i="18"/>
  <c r="Q428" i="18"/>
  <c r="Q429" i="18"/>
  <c r="R429" i="18" s="1"/>
  <c r="Q430" i="18"/>
  <c r="R430" i="18" s="1"/>
  <c r="Q431" i="18"/>
  <c r="R431" i="18" s="1"/>
  <c r="Q432" i="18"/>
  <c r="R432" i="18" s="1"/>
  <c r="Q433" i="18"/>
  <c r="R433" i="18" s="1"/>
  <c r="Q434" i="18"/>
  <c r="R434" i="18" s="1"/>
  <c r="Q435" i="18"/>
  <c r="R435" i="18" s="1"/>
  <c r="Q436" i="18"/>
  <c r="Q437" i="18"/>
  <c r="R437" i="18" s="1"/>
  <c r="Q438" i="18"/>
  <c r="R438" i="18" s="1"/>
  <c r="Q439" i="18"/>
  <c r="R439" i="18" s="1"/>
  <c r="Q440" i="18"/>
  <c r="R440" i="18" s="1"/>
  <c r="Q441" i="18"/>
  <c r="R441" i="18" s="1"/>
  <c r="Q442" i="18"/>
  <c r="Q443" i="18"/>
  <c r="Q444" i="18"/>
  <c r="R444" i="18" s="1"/>
  <c r="Q445" i="18"/>
  <c r="R445" i="18" s="1"/>
  <c r="Q446" i="18"/>
  <c r="R446" i="18" s="1"/>
  <c r="Q447" i="18"/>
  <c r="R447" i="18" s="1"/>
  <c r="Q448" i="18"/>
  <c r="R448" i="18" s="1"/>
  <c r="Q449" i="18"/>
  <c r="R449" i="18" s="1"/>
  <c r="Q450" i="18"/>
  <c r="R450" i="18" s="1"/>
  <c r="Q451" i="18"/>
  <c r="R451" i="18" s="1"/>
  <c r="Q452" i="18"/>
  <c r="R452" i="18" s="1"/>
  <c r="Q453" i="18"/>
  <c r="R453" i="18" s="1"/>
  <c r="Q454" i="18"/>
  <c r="R454" i="18" s="1"/>
  <c r="Q455" i="18"/>
  <c r="R455" i="18" s="1"/>
  <c r="Q456" i="18"/>
  <c r="R456" i="18" s="1"/>
  <c r="Q457" i="18"/>
  <c r="R457" i="18" s="1"/>
  <c r="Q458" i="18"/>
  <c r="R458" i="18" s="1"/>
  <c r="Q459" i="18"/>
  <c r="R459" i="18" s="1"/>
  <c r="Q460" i="18"/>
  <c r="R460" i="18" s="1"/>
  <c r="Q461" i="18"/>
  <c r="R461" i="18" s="1"/>
  <c r="Q462" i="18"/>
  <c r="R462" i="18" s="1"/>
  <c r="Q463" i="18"/>
  <c r="R463" i="18" s="1"/>
  <c r="Q464" i="18"/>
  <c r="R464" i="18" s="1"/>
  <c r="Q465" i="18"/>
  <c r="R465" i="18" s="1"/>
  <c r="Q466" i="18"/>
  <c r="R466" i="18" s="1"/>
  <c r="Q467" i="18"/>
  <c r="R467" i="18" s="1"/>
  <c r="Q468" i="18"/>
  <c r="Q469" i="18"/>
  <c r="Q470" i="18"/>
  <c r="Q471" i="18"/>
  <c r="Q472" i="18"/>
  <c r="Q473" i="18"/>
  <c r="Q474" i="18"/>
  <c r="Q475" i="18"/>
  <c r="Q476" i="18"/>
  <c r="Q477" i="18"/>
  <c r="Q478" i="18"/>
  <c r="R478" i="18" s="1"/>
  <c r="Q479" i="18"/>
  <c r="R479" i="18" s="1"/>
  <c r="Q480" i="18"/>
  <c r="R480" i="18" s="1"/>
  <c r="Q481" i="18"/>
  <c r="R481" i="18" s="1"/>
  <c r="Q482" i="18"/>
  <c r="R482" i="18" s="1"/>
  <c r="Q483" i="18"/>
  <c r="R483" i="18" s="1"/>
  <c r="Q484" i="18"/>
  <c r="R484" i="18" s="1"/>
  <c r="Q485" i="18"/>
  <c r="R485" i="18" s="1"/>
  <c r="Q486" i="18"/>
  <c r="R486" i="18" s="1"/>
  <c r="Q487" i="18"/>
  <c r="R487" i="18" s="1"/>
  <c r="Q488" i="18"/>
  <c r="R488" i="18" s="1"/>
  <c r="Q489" i="18"/>
  <c r="R489" i="18" s="1"/>
  <c r="Q490" i="18"/>
  <c r="R490" i="18" s="1"/>
  <c r="Q491" i="18"/>
  <c r="R491" i="18" s="1"/>
  <c r="Q492" i="18"/>
  <c r="Q493" i="18"/>
  <c r="R493" i="18" s="1"/>
  <c r="Q494" i="18"/>
  <c r="R494" i="18" s="1"/>
  <c r="Q495" i="18"/>
  <c r="R495" i="18" s="1"/>
  <c r="Q496" i="18"/>
  <c r="R496" i="18" s="1"/>
  <c r="Q497" i="18"/>
  <c r="R497" i="18" s="1"/>
  <c r="Q498" i="18"/>
  <c r="R498" i="18" s="1"/>
  <c r="Q499" i="18"/>
  <c r="R499" i="18" s="1"/>
  <c r="Q500" i="18"/>
  <c r="R500" i="18" s="1"/>
  <c r="Q501" i="18"/>
  <c r="R501" i="18" s="1"/>
  <c r="Q502" i="18"/>
  <c r="R502" i="18" s="1"/>
  <c r="Q503" i="18"/>
  <c r="R503" i="18" s="1"/>
  <c r="Q504" i="18"/>
  <c r="R504" i="18" s="1"/>
  <c r="Q505" i="18"/>
  <c r="R505" i="18" s="1"/>
  <c r="Q506" i="18"/>
  <c r="R506" i="18" s="1"/>
  <c r="Q507" i="18"/>
  <c r="R507" i="18" s="1"/>
  <c r="Q508" i="18"/>
  <c r="R508" i="18" s="1"/>
  <c r="Q509" i="18"/>
  <c r="R509" i="18" s="1"/>
  <c r="Q510" i="18"/>
  <c r="R510" i="18" s="1"/>
  <c r="Q511" i="18"/>
  <c r="R511" i="18" s="1"/>
  <c r="Q512" i="18"/>
  <c r="R512" i="18" s="1"/>
  <c r="Q513" i="18"/>
  <c r="R513" i="18" s="1"/>
  <c r="Q514" i="18"/>
  <c r="R514" i="18" s="1"/>
  <c r="Q515" i="18"/>
  <c r="R515" i="18" s="1"/>
  <c r="Q516" i="18"/>
  <c r="R516" i="18" s="1"/>
  <c r="Q517" i="18"/>
  <c r="R517" i="18" s="1"/>
  <c r="Q518" i="18"/>
  <c r="R518" i="18" s="1"/>
  <c r="Q519" i="18"/>
  <c r="R519" i="18" s="1"/>
  <c r="Q520" i="18"/>
  <c r="R520" i="18" s="1"/>
  <c r="Q521" i="18"/>
  <c r="R521" i="18" s="1"/>
  <c r="Q522" i="18"/>
  <c r="R522" i="18" s="1"/>
  <c r="Q523" i="18"/>
  <c r="R523" i="18" s="1"/>
  <c r="Q524" i="18"/>
  <c r="R524" i="18" s="1"/>
  <c r="Q525" i="18"/>
  <c r="R525" i="18" s="1"/>
  <c r="Q526" i="18"/>
  <c r="R526" i="18" s="1"/>
  <c r="Q527" i="18"/>
  <c r="R527" i="18" s="1"/>
  <c r="Q528" i="18"/>
  <c r="R528" i="18" s="1"/>
  <c r="Q529" i="18"/>
  <c r="R529" i="18" s="1"/>
  <c r="Q530" i="18"/>
  <c r="R530" i="18" s="1"/>
  <c r="Q531" i="18"/>
  <c r="R531" i="18" s="1"/>
  <c r="Q532" i="18"/>
  <c r="R532" i="18" s="1"/>
  <c r="Q533" i="18"/>
  <c r="R533" i="18" s="1"/>
  <c r="Q534" i="18"/>
  <c r="R534" i="18" s="1"/>
  <c r="Q535" i="18"/>
  <c r="R535" i="18" s="1"/>
  <c r="Q536" i="18"/>
  <c r="R536" i="18" s="1"/>
  <c r="Q537" i="18"/>
  <c r="R537" i="18" s="1"/>
  <c r="Q538" i="18"/>
  <c r="R538" i="18" s="1"/>
  <c r="Q539" i="18"/>
  <c r="R539" i="18" s="1"/>
  <c r="Q540" i="18"/>
  <c r="R540" i="18" s="1"/>
  <c r="Q541" i="18"/>
  <c r="R541" i="18" s="1"/>
  <c r="Q542" i="18"/>
  <c r="R542" i="18" s="1"/>
  <c r="Q543" i="18"/>
  <c r="R543" i="18" s="1"/>
  <c r="Q544" i="18"/>
  <c r="R544" i="18" s="1"/>
  <c r="Q545" i="18"/>
  <c r="R545" i="18" s="1"/>
  <c r="Q546" i="18"/>
  <c r="R546" i="18" s="1"/>
  <c r="Q547" i="18"/>
  <c r="R547" i="18" s="1"/>
  <c r="Q548" i="18"/>
  <c r="R548" i="18" s="1"/>
  <c r="Q549" i="18"/>
  <c r="R549" i="18" s="1"/>
  <c r="Q550" i="18"/>
  <c r="R550" i="18" s="1"/>
  <c r="Q551" i="18"/>
  <c r="R551" i="18" s="1"/>
  <c r="Q552" i="18"/>
  <c r="R552" i="18" s="1"/>
  <c r="Q553" i="18"/>
  <c r="R553" i="18" s="1"/>
  <c r="Q554" i="18"/>
  <c r="R554" i="18" s="1"/>
  <c r="Q555" i="18"/>
  <c r="R555" i="18" s="1"/>
  <c r="Q556" i="18"/>
  <c r="R556" i="18" s="1"/>
  <c r="Q557" i="18"/>
  <c r="R557" i="18" s="1"/>
  <c r="Q558" i="18"/>
  <c r="R558" i="18" s="1"/>
  <c r="Q559" i="18"/>
  <c r="R559" i="18" s="1"/>
  <c r="Q560" i="18"/>
  <c r="R560" i="18" s="1"/>
  <c r="Q561" i="18"/>
  <c r="R561" i="18" s="1"/>
  <c r="Q562" i="18"/>
  <c r="R562" i="18" s="1"/>
  <c r="Q563" i="18"/>
  <c r="R563" i="18" s="1"/>
  <c r="Q564" i="18"/>
  <c r="R564" i="18" s="1"/>
  <c r="Q565" i="18"/>
  <c r="R565" i="18" s="1"/>
  <c r="Q566" i="18"/>
  <c r="R566" i="18" s="1"/>
  <c r="Q567" i="18"/>
  <c r="R567" i="18" s="1"/>
  <c r="Q568" i="18"/>
  <c r="R568" i="18" s="1"/>
  <c r="Q569" i="18"/>
  <c r="R569" i="18" s="1"/>
  <c r="Q570" i="18"/>
  <c r="R570" i="18" s="1"/>
  <c r="Q571" i="18"/>
  <c r="R571" i="18" s="1"/>
  <c r="Q572" i="18"/>
  <c r="R572" i="18" s="1"/>
  <c r="Q573" i="18"/>
  <c r="R573" i="18" s="1"/>
  <c r="Q574" i="18"/>
  <c r="R574" i="18" s="1"/>
  <c r="Q575" i="18"/>
  <c r="R575" i="18" s="1"/>
  <c r="Q576" i="18"/>
  <c r="R576" i="18" s="1"/>
  <c r="Q577" i="18"/>
  <c r="R577" i="18" s="1"/>
  <c r="Q578" i="18"/>
  <c r="R578" i="18" s="1"/>
  <c r="Q579" i="18"/>
  <c r="R579" i="18" s="1"/>
  <c r="Q580" i="18"/>
  <c r="R580" i="18" s="1"/>
  <c r="Q581" i="18"/>
  <c r="R581" i="18" s="1"/>
  <c r="Q582" i="18"/>
  <c r="R582" i="18" s="1"/>
  <c r="Q583" i="18"/>
  <c r="R583" i="18" s="1"/>
  <c r="Q584" i="18"/>
  <c r="R584" i="18" s="1"/>
  <c r="Q585" i="18"/>
  <c r="R585" i="18" s="1"/>
  <c r="Q586" i="18"/>
  <c r="R586" i="18" s="1"/>
  <c r="Q587" i="18"/>
  <c r="R587" i="18" s="1"/>
  <c r="Q588" i="18"/>
  <c r="R588" i="18" s="1"/>
  <c r="Q589" i="18"/>
  <c r="R589" i="18" s="1"/>
  <c r="Q590" i="18"/>
  <c r="R590" i="18" s="1"/>
  <c r="Q591" i="18"/>
  <c r="R591" i="18" s="1"/>
  <c r="Q592" i="18"/>
  <c r="R592" i="18" s="1"/>
  <c r="Q593" i="18"/>
  <c r="R593" i="18" s="1"/>
  <c r="Q594" i="18"/>
  <c r="R594" i="18" s="1"/>
  <c r="Q595" i="18"/>
  <c r="R595" i="18" s="1"/>
  <c r="Q596" i="18"/>
  <c r="R596" i="18" s="1"/>
  <c r="Q597" i="18"/>
  <c r="R597" i="18" s="1"/>
  <c r="Q598" i="18"/>
  <c r="R598" i="18" s="1"/>
  <c r="Q599" i="18"/>
  <c r="R599" i="18" s="1"/>
  <c r="Q600" i="18"/>
  <c r="R600" i="18" s="1"/>
  <c r="Q601" i="18"/>
  <c r="R601" i="18" s="1"/>
  <c r="Q602" i="18"/>
  <c r="R602" i="18" s="1"/>
  <c r="Q603" i="18"/>
  <c r="R603" i="18" s="1"/>
  <c r="Q604" i="18"/>
  <c r="R604" i="18" s="1"/>
  <c r="Q605" i="18"/>
  <c r="R605" i="18" s="1"/>
  <c r="Q606" i="18"/>
  <c r="R606" i="18" s="1"/>
  <c r="Q607" i="18"/>
  <c r="R607" i="18" s="1"/>
  <c r="Q608" i="18"/>
  <c r="R608" i="18" s="1"/>
  <c r="Q609" i="18"/>
  <c r="R609" i="18" s="1"/>
  <c r="Q610" i="18"/>
  <c r="R610" i="18" s="1"/>
  <c r="Q611" i="18"/>
  <c r="R611" i="18" s="1"/>
  <c r="Q612" i="18"/>
  <c r="R612" i="18" s="1"/>
  <c r="Q613" i="18"/>
  <c r="R613" i="18" s="1"/>
  <c r="Q614" i="18"/>
  <c r="R614" i="18" s="1"/>
  <c r="Q615" i="18"/>
  <c r="R615" i="18" s="1"/>
  <c r="Q616" i="18"/>
  <c r="R616" i="18" s="1"/>
  <c r="Q617" i="18"/>
  <c r="R617" i="18" s="1"/>
  <c r="Q618" i="18"/>
  <c r="R618" i="18" s="1"/>
  <c r="Q619" i="18"/>
  <c r="R619" i="18" s="1"/>
  <c r="Q620" i="18"/>
  <c r="R620" i="18" s="1"/>
  <c r="Q621" i="18"/>
  <c r="R621" i="18" s="1"/>
  <c r="Q622" i="18"/>
  <c r="R622" i="18" s="1"/>
  <c r="Q623" i="18"/>
  <c r="R623" i="18" s="1"/>
  <c r="Q624" i="18"/>
  <c r="R624" i="18" s="1"/>
  <c r="Q625" i="18"/>
  <c r="R625" i="18" s="1"/>
  <c r="Q626" i="18"/>
  <c r="R626" i="18" s="1"/>
  <c r="Q627" i="18"/>
  <c r="R627" i="18" s="1"/>
  <c r="Q628" i="18"/>
  <c r="R628" i="18" s="1"/>
  <c r="Q629" i="18"/>
  <c r="R629" i="18" s="1"/>
  <c r="Q630" i="18"/>
  <c r="R630" i="18" s="1"/>
  <c r="Q631" i="18"/>
  <c r="R631" i="18" s="1"/>
  <c r="Q632" i="18"/>
  <c r="R632" i="18" s="1"/>
  <c r="Q633" i="18"/>
  <c r="R633" i="18" s="1"/>
  <c r="Q634" i="18"/>
  <c r="R634" i="18" s="1"/>
  <c r="Q635" i="18"/>
  <c r="R635" i="18" s="1"/>
  <c r="Q636" i="18"/>
  <c r="R636" i="18" s="1"/>
  <c r="Q637" i="18"/>
  <c r="R637" i="18" s="1"/>
  <c r="Q638" i="18"/>
  <c r="R638" i="18" s="1"/>
  <c r="Q639" i="18"/>
  <c r="R639" i="18" s="1"/>
  <c r="Q640" i="18"/>
  <c r="R640" i="18" s="1"/>
  <c r="Q641" i="18"/>
  <c r="R641" i="18" s="1"/>
  <c r="Q642" i="18"/>
  <c r="R642" i="18" s="1"/>
  <c r="Q643" i="18"/>
  <c r="R643" i="18" s="1"/>
  <c r="Q644" i="18"/>
  <c r="R644" i="18" s="1"/>
  <c r="Q645" i="18"/>
  <c r="R645" i="18" s="1"/>
  <c r="Q646" i="18"/>
  <c r="R646" i="18" s="1"/>
  <c r="Q647" i="18"/>
  <c r="R647" i="18" s="1"/>
  <c r="Q648" i="18"/>
  <c r="R648" i="18" s="1"/>
  <c r="Q649" i="18"/>
  <c r="R649" i="18" s="1"/>
  <c r="Q650" i="18"/>
  <c r="R650" i="18" s="1"/>
  <c r="Q651" i="18"/>
  <c r="R651" i="18" s="1"/>
  <c r="Q652" i="18"/>
  <c r="R652" i="18" s="1"/>
  <c r="Q653" i="18"/>
  <c r="R653" i="18" s="1"/>
  <c r="Q654" i="18"/>
  <c r="R654" i="18" s="1"/>
  <c r="Q655" i="18"/>
  <c r="R655" i="18" s="1"/>
  <c r="Q656" i="18"/>
  <c r="R656" i="18" s="1"/>
  <c r="Q657" i="18"/>
  <c r="R657" i="18" s="1"/>
  <c r="Q658" i="18"/>
  <c r="R658" i="18" s="1"/>
  <c r="Q659" i="18"/>
  <c r="R659" i="18" s="1"/>
  <c r="Q660" i="18"/>
  <c r="R660" i="18" s="1"/>
  <c r="Q661" i="18"/>
  <c r="R661" i="18" s="1"/>
  <c r="Q662" i="18"/>
  <c r="R662" i="18" s="1"/>
  <c r="Q663" i="18"/>
  <c r="R663" i="18" s="1"/>
  <c r="Q664" i="18"/>
  <c r="R664" i="18" s="1"/>
  <c r="Q665" i="18"/>
  <c r="R665" i="18" s="1"/>
  <c r="Q666" i="18"/>
  <c r="R666" i="18" s="1"/>
  <c r="Q667" i="18"/>
  <c r="R667" i="18" s="1"/>
  <c r="Q668" i="18"/>
  <c r="R668" i="18" s="1"/>
  <c r="Q669" i="18"/>
  <c r="R669" i="18" s="1"/>
  <c r="Q670" i="18"/>
  <c r="R670" i="18" s="1"/>
  <c r="Q671" i="18"/>
  <c r="R671" i="18" s="1"/>
  <c r="Q672" i="18"/>
  <c r="R672" i="18" s="1"/>
  <c r="Q673" i="18"/>
  <c r="R673" i="18" s="1"/>
  <c r="Q674" i="18"/>
  <c r="R674" i="18" s="1"/>
  <c r="Q675" i="18"/>
  <c r="R675" i="18" s="1"/>
  <c r="Q676" i="18"/>
  <c r="R676" i="18" s="1"/>
  <c r="Q677" i="18"/>
  <c r="R677" i="18" s="1"/>
  <c r="Q678" i="18"/>
  <c r="R678" i="18" s="1"/>
  <c r="Q679" i="18"/>
  <c r="R679" i="18" s="1"/>
  <c r="Q680" i="18"/>
  <c r="R680" i="18" s="1"/>
  <c r="Q681" i="18"/>
  <c r="R681" i="18" s="1"/>
  <c r="Q682" i="18"/>
  <c r="R682" i="18" s="1"/>
  <c r="Q683" i="18"/>
  <c r="R683" i="18" s="1"/>
  <c r="Q684" i="18"/>
  <c r="R684" i="18" s="1"/>
  <c r="Q685" i="18"/>
  <c r="R685" i="18" s="1"/>
  <c r="Q686" i="18"/>
  <c r="R686" i="18" s="1"/>
  <c r="Q687" i="18"/>
  <c r="R687" i="18" s="1"/>
  <c r="Q688" i="18"/>
  <c r="R688" i="18" s="1"/>
  <c r="Q689" i="18"/>
  <c r="R689" i="18" s="1"/>
  <c r="Q690" i="18"/>
  <c r="R690" i="18" s="1"/>
  <c r="Q691" i="18"/>
  <c r="R691" i="18" s="1"/>
  <c r="Q692" i="18"/>
  <c r="R692" i="18" s="1"/>
  <c r="Q693" i="18"/>
  <c r="R693" i="18" s="1"/>
  <c r="Q694" i="18"/>
  <c r="R694" i="18" s="1"/>
  <c r="Q695" i="18"/>
  <c r="R695" i="18" s="1"/>
  <c r="Q696" i="18"/>
  <c r="R696" i="18" s="1"/>
  <c r="Q697" i="18"/>
  <c r="R697" i="18" s="1"/>
  <c r="Q698" i="18"/>
  <c r="R698" i="18" s="1"/>
  <c r="Q699" i="18"/>
  <c r="R699" i="18" s="1"/>
  <c r="Q700" i="18"/>
  <c r="R700" i="18" s="1"/>
  <c r="Q701" i="18"/>
  <c r="R701" i="18" s="1"/>
  <c r="Q702" i="18"/>
  <c r="R702" i="18" s="1"/>
  <c r="Q703" i="18"/>
  <c r="R703" i="18" s="1"/>
  <c r="Q704" i="18"/>
  <c r="R704" i="18" s="1"/>
  <c r="Q705" i="18"/>
  <c r="R705" i="18" s="1"/>
  <c r="Q706" i="18"/>
  <c r="R706" i="18" s="1"/>
  <c r="Q707" i="18"/>
  <c r="R707" i="18" s="1"/>
  <c r="Q708" i="18"/>
  <c r="R708" i="18" s="1"/>
  <c r="Q709" i="18"/>
  <c r="R709" i="18" s="1"/>
  <c r="Q710" i="18"/>
  <c r="R710" i="18" s="1"/>
  <c r="Q711" i="18"/>
  <c r="R711" i="18" s="1"/>
  <c r="Q712" i="18"/>
  <c r="R712" i="18" s="1"/>
  <c r="Q713" i="18"/>
  <c r="R713" i="18" s="1"/>
  <c r="Q714" i="18"/>
  <c r="R714" i="18" s="1"/>
  <c r="Q715" i="18"/>
  <c r="R715" i="18" s="1"/>
  <c r="Q716" i="18"/>
  <c r="R716" i="18" s="1"/>
  <c r="Q717" i="18"/>
  <c r="R717" i="18" s="1"/>
  <c r="Q718" i="18"/>
  <c r="R718" i="18" s="1"/>
  <c r="Q719" i="18"/>
  <c r="R719" i="18" s="1"/>
  <c r="Q720" i="18"/>
  <c r="R720" i="18" s="1"/>
  <c r="Q721" i="18"/>
  <c r="R721" i="18" s="1"/>
  <c r="Q722" i="18"/>
  <c r="R722" i="18" s="1"/>
  <c r="Q723" i="18"/>
  <c r="R723" i="18" s="1"/>
  <c r="Q724" i="18"/>
  <c r="R724" i="18" s="1"/>
  <c r="Q725" i="18"/>
  <c r="R725" i="18" s="1"/>
  <c r="Q726" i="18"/>
  <c r="R726" i="18" s="1"/>
  <c r="Q727" i="18"/>
  <c r="R727" i="18" s="1"/>
  <c r="Q728" i="18"/>
  <c r="R728" i="18" s="1"/>
  <c r="Q729" i="18"/>
  <c r="R729" i="18" s="1"/>
  <c r="Q730" i="18"/>
  <c r="R730" i="18" s="1"/>
  <c r="Q731" i="18"/>
  <c r="R731" i="18" s="1"/>
  <c r="Q732" i="18"/>
  <c r="R732" i="18" s="1"/>
  <c r="Q733" i="18"/>
  <c r="R733" i="18" s="1"/>
  <c r="Q734" i="18"/>
  <c r="R734" i="18" s="1"/>
  <c r="Q735" i="18"/>
  <c r="R735" i="18" s="1"/>
  <c r="Q736" i="18"/>
  <c r="R736" i="18" s="1"/>
  <c r="Q737" i="18"/>
  <c r="R737" i="18" s="1"/>
  <c r="Q738" i="18"/>
  <c r="R738" i="18" s="1"/>
  <c r="Q739" i="18"/>
  <c r="R739" i="18" s="1"/>
  <c r="Q740" i="18"/>
  <c r="R740" i="18" s="1"/>
  <c r="K193" i="13" l="1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58" i="13"/>
  <c r="K157" i="13"/>
  <c r="K156" i="13"/>
  <c r="K155" i="13"/>
  <c r="K154" i="13"/>
  <c r="K153" i="13"/>
  <c r="K152" i="13"/>
  <c r="K151" i="13"/>
  <c r="K150" i="13"/>
  <c r="K148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</calcChain>
</file>

<file path=xl/sharedStrings.xml><?xml version="1.0" encoding="utf-8"?>
<sst xmlns="http://schemas.openxmlformats.org/spreadsheetml/2006/main" count="42063" uniqueCount="2985">
  <si>
    <t>NOTES ACCOMPANYING DATA SET</t>
  </si>
  <si>
    <r>
      <t xml:space="preserve">1. Calculation of </t>
    </r>
    <r>
      <rPr>
        <sz val="11"/>
        <color theme="1"/>
        <rFont val="Calibri"/>
        <family val="2"/>
      </rPr>
      <t xml:space="preserve">ΔΔG: </t>
    </r>
    <r>
      <rPr>
        <sz val="11"/>
        <color theme="1"/>
        <rFont val="Calibri"/>
        <family val="2"/>
        <scheme val="minor"/>
      </rPr>
      <t>set to 14.85 kJ/mol if |ee|=1.</t>
    </r>
  </si>
  <si>
    <t>Ligand#</t>
  </si>
  <si>
    <t>Ligand alias</t>
  </si>
  <si>
    <t>CAS</t>
  </si>
  <si>
    <t>Formula</t>
  </si>
  <si>
    <t>Class</t>
  </si>
  <si>
    <t>Eq. to Rh</t>
  </si>
  <si>
    <t>Canonical SMILES</t>
  </si>
  <si>
    <t>Isomeric SMILES</t>
  </si>
  <si>
    <t>InChI</t>
  </si>
  <si>
    <t>InChI Key</t>
  </si>
  <si>
    <t>InChI key main layer</t>
  </si>
  <si>
    <t>L1</t>
  </si>
  <si>
    <t>SL-J001-1</t>
  </si>
  <si>
    <t>155806-35-2</t>
  </si>
  <si>
    <t>C36H44FeP2</t>
  </si>
  <si>
    <t>PP</t>
  </si>
  <si>
    <t>C=1C=CC(=CC1)P(C=2C=CC=CC2)[C-]34[CH]5=[CH]6[CH]7=C3(C(P(C8CCCCC8)C9CCCCC9)C)[Fe+2]%10%11%12%136754[CH]=%14[CH]%13=[CH]%12[CH-]%11[CH]%14%10</t>
  </si>
  <si>
    <t>P([C-]12[Fe+2]3456789(C1([C@H](P(C%10CCCCC%10)C%11CCCCC%11)C)=[CH]3C4(=C52[H])[H])[CH-]%12[CH]6=[CH]7[CH]8=[CH]9%12)(C%13=CC=CC=C%13)C%14=CC=CC=C%14</t>
  </si>
  <si>
    <t>InChI=1S/C31H39P2.C5H5.Fe/c1-25(32(26-15-6-2-7-16-26)27-17-8-3-9-18-27)30-23-14-24-31(30)33(28-19-10-4-11-20-28)29-21-12-5-13-22-29;1-2-4-5-3-1;/h4-5,10-14,19-27H,2-3,6-9,15-18H2,1H3;1-5H;/q2*-1;+2/t25-;;/m1../s1</t>
  </si>
  <si>
    <t>REDWELITTWIEQG-KHZPMNTOSA-N</t>
  </si>
  <si>
    <t>REDWELITTWIEQG</t>
  </si>
  <si>
    <t>L2</t>
  </si>
  <si>
    <t>SL-J002-1</t>
  </si>
  <si>
    <t>155830-69-6</t>
  </si>
  <si>
    <t>C32H40FeP2</t>
  </si>
  <si>
    <t>C=1C=CC(=CC1)P(C=2C=CC=CC2)[C-]34[CH]5=[CH]6[CH]7=C3(C(P(C(C)(C)C)C(C)(C)C)C)[Fe+2]89%10%116754[CH]=%12[CH]%11=[CH]%10[CH-]9[CH]%128</t>
  </si>
  <si>
    <t>P([C-]12[Fe+2]3456789(C1([C@H](P(C(C)(C)C)C(C)(C)C)C)=[CH]3C4(=C52[H])[H])[CH-]%10[CH]6=[CH]7[CH]8=[CH]9%10)(C%11=CC=CC=C%11)C%12=CC=CC=C%12</t>
  </si>
  <si>
    <t>InChI=1S/C27H35P2.C5H5.Fe/c1-21(29(26(2,3)4)27(5,6)7)24-19-14-20-25(24)28(22-15-10-8-11-16-22)23-17-12-9-13-18-23;1-2-4-5-3-1;/h8-21H,1-7H3;1-5H;/q2*-1;+2/t21-;;/m1../s1</t>
  </si>
  <si>
    <t>OHWWNYSXSGMTSB-GHVWMZMZSA-N</t>
  </si>
  <si>
    <t>OHWWNYSXSGMTSB</t>
  </si>
  <si>
    <t>L3</t>
  </si>
  <si>
    <t>SL-J003-1</t>
  </si>
  <si>
    <t>167416-28-6</t>
  </si>
  <si>
    <t>C36H56FeP2</t>
  </si>
  <si>
    <t>P(C1CCCCC1)(C2CCCCC2)C(C)C34=[CH]5[CH]6=[CH]7[C-]3(P(C8CCCCC8)C9CCCCC9)[Fe+2]%10%11%12%136574[CH]=%14[CH]%13=[CH]%12[CH-]%11[CH]%14%10</t>
  </si>
  <si>
    <t>P([C-]12[Fe+2]3456789(C1([C@H](P(C%10CCCCC%10)C%11CCCCC%11)C)=[CH]3C4(=C52[H])[H])[CH-]%12[CH]6=[CH]7[CH]8=[CH]9%12)(C%13CCCCC%13)C%14CCCCC%14</t>
  </si>
  <si>
    <t>InChI=1S/C31H51P2.C5H5.Fe/c1-25(32(26-15-6-2-7-16-26)27-17-8-3-9-18-27)30-23-14-24-31(30)33(28-19-10-4-11-20-28)29-21-12-5-13-22-29;1-2-4-5-3-1;/h14,23-29H,2-13,15-22H2,1H3;1-5H;/q2*-1;+2/t25-;;/m1../s1</t>
  </si>
  <si>
    <t>LHVQVTRNQNYQQT-KHZPMNTOSA-N</t>
  </si>
  <si>
    <t>LHVQVTRNQNYQQT</t>
  </si>
  <si>
    <t>L4</t>
  </si>
  <si>
    <t>SL-J004-1</t>
  </si>
  <si>
    <t>158923-09-2</t>
  </si>
  <si>
    <t>C=1C=CC(=CC1)P(C=2C=CC=CC2)C(C)C34=[CH]5[CH]6=[CH]7[C-]3(P(C8CCCCC8)C9CCCCC9)[Fe+2]%10%11%12%136574[CH]=%14[CH]%13=[CH]%12[CH-]%11[CH]%14%10</t>
  </si>
  <si>
    <t>P([C-]12[Fe+2]3456789(C1([C@H](P(C%10=CC=CC=C%10)C%11=CC=CC=C%11)C)=[CH]3C4(=C52[H])[H])[CH-]%12[CH]6=[CH]7[CH]8=[CH]9%12)(C%13CCCCC%13)C%14CCCCC%14</t>
  </si>
  <si>
    <t>InChI=1S/C31H39P2.C5H5.Fe/c1-25(32(26-15-6-2-7-16-26)27-17-8-3-9-18-27)30-23-14-24-31(30)33(28-19-10-4-11-20-28)29-21-12-5-13-22-29;1-2-4-5-3-1;/h2-3,6-9,14-18,23-25,28-29H,4-5,10-13,19-22H2,1H3;1-5H;/q2*-1;+2/t25-;;/m1../s1</t>
  </si>
  <si>
    <t>ABDQIEHFQHRVIN-KHZPMNTOSA-N</t>
  </si>
  <si>
    <t>ABDQIEHFQHRVIN</t>
  </si>
  <si>
    <t>L5</t>
  </si>
  <si>
    <t>SL-J005-1</t>
  </si>
  <si>
    <t>184095-69-0</t>
  </si>
  <si>
    <t>C40H40FeP2</t>
  </si>
  <si>
    <t>C=1C=CC(=CC1)P(C=2C=CC=CC2)[C-]34[CH]5=[CH]6[CH]7=C3(C(P(C=8C=C(C=C(C8)C)C)C=9C=C(C=C(C9)C)C)C)[Fe+2]%10%11%12%136754[CH]=%14[CH]%13=[CH]%12[CH-]%11[CH]%14%10</t>
  </si>
  <si>
    <t>P([C-]12[Fe+2]3456789(C1([C@H](P(C%10=CC(C)=CC(C)=C%10)C%11=CC(C)=CC(C)=C%11)C)=[CH]3C4(=C52[H])[H])[CH-]%12[CH]6=[CH]7[CH]8=[CH]9%12)(C%13=CC=CC=C%13)C%14=CC=CC=C%14</t>
  </si>
  <si>
    <t>InChI=1S/C35H35P2.C5H5.Fe/c1-25-19-26(2)22-32(21-25)36(33-23-27(3)20-28(4)24-33)29(5)34-17-12-18-35(34)37(30-13-8-6-9-14-30)31-15-10-7-11-16-31;1-2-4-5-3-1;/h6-24,29H,1-5H3;1-5H;/q2*-1;+2/t29-;;/m1../s1</t>
  </si>
  <si>
    <t>WXUUGQBFQWHYJL-SYXKTQFYSA-N</t>
  </si>
  <si>
    <t>WXUUGQBFQWHYJL</t>
  </si>
  <si>
    <t>L6</t>
  </si>
  <si>
    <t>SL-J006-1</t>
  </si>
  <si>
    <t>292638-88-1</t>
  </si>
  <si>
    <t>C40H40F12FeP2</t>
  </si>
  <si>
    <t>FC(F)(F)C1=CC(=CC(=C1)C(F)(F)F)P(C=2C=C(C=C(C2)C(F)(F)F)C(F)(F)F)[C-]34[CH]5=[CH]6[CH]7=C3(C(P(C8CCCCC8)C9CCCCC9)C)[Fe+2]%10%11%12%136754[CH]=%14[CH]%13=[CH]%12[CH-]%11[CH]%14%10</t>
  </si>
  <si>
    <t>P([C-]12[Fe+2]3456789(C1([C@H](P(C%10CCCCC%10)C%11CCCCC%11)C)=[CH]3C4(=C52[H])[H])[CH-]%12[CH]6=[CH]7[CH]8=[CH]9%12)(C%13=CC(C(F)(F)F)=CC(C(F)(F)F)=C%13)C%14=CC(C(F)(F)F)=CC(C(F)(F)F)=C%14</t>
  </si>
  <si>
    <t>InChI=1S/C35H35F12P2.C5H5.Fe/c1-21(48(26-9-4-2-5-10-26)27-11-6-3-7-12-27)30-13-8-14-31(30)49(28-17-22(32(36,37)38)15-23(18-28)33(39,40)41)29-19-24(34(42,43)44)16-25(20-29)35(45,46)47;1-2-4-5-3-1;/h8,13-21,26-27H,2-7,9-12H2,1H3;1-5H;/q2*-1;+2/t21-;;/m1../s1</t>
  </si>
  <si>
    <t>UWKYPPYXBQYIGL-GHVWMZMZSA-N</t>
  </si>
  <si>
    <t>UWKYPPYXBQYIGL</t>
  </si>
  <si>
    <t>L7</t>
  </si>
  <si>
    <t>SL-J007-1</t>
  </si>
  <si>
    <t>360048-63-1</t>
  </si>
  <si>
    <t>C42H56FeO2P2</t>
  </si>
  <si>
    <t>O(C=1C(=CC(=CC1C)P(C=2C=C(C(OC)=C(C2)C)C)[C-]34[CH]5=[CH]6[CH]7=C3(C(P(C8CCCCC8)C9CCCCC9)C)[Fe+2]%10%11%12%136754[CH]=%14[CH]%13=[CH]%12[CH-]%11[CH]%14%10)C)C</t>
  </si>
  <si>
    <t>P([C-]12[Fe+2]3456789(C1([C@H](P(C%10CCCCC%10)C%11CCCCC%11)C)=[CH]3C4(=C52[H])[H])[CH-]%12[CH]6=[CH]7[CH]8=[CH]9%12)(C%13=CC(C)=C(OC)C(C)=C%13)C%14=CC(C)=C(OC)C(C)=C%14</t>
  </si>
  <si>
    <t>InChI=1S/C37H51O2P2.C5H5.Fe/c1-25-21-32(22-26(2)36(25)38-6)41(33-23-27(3)37(39-7)28(4)24-33)35-20-14-19-34(35)29(5)40(30-15-10-8-11-16-30)31-17-12-9-13-18-31;1-2-4-5-3-1;/h14,19-24,29-31H,8-13,15-18H2,1-7H3;1-5H;/q2*-1;+2/t29-;;/m1../s1</t>
  </si>
  <si>
    <t>FDSNMSRIBDEPJX-SYXKTQFYSA-N</t>
  </si>
  <si>
    <t>FDSNMSRIBDEPJX</t>
  </si>
  <si>
    <t>L8</t>
  </si>
  <si>
    <t>SL-J008-1</t>
  </si>
  <si>
    <t>166172-63-0</t>
  </si>
  <si>
    <t>C44H36F12FeP2</t>
  </si>
  <si>
    <t>FC(F)(F)C1=CC(=CC(=C1)C(F)(F)F)P(C=2C=C(C=C(C2)C(F)(F)F)C(F)(F)F)[C-]34[CH]5=[CH]6[CH]7=C3(C(P(C=8C=C(C=C(C8)C)C)C=9C=C(C=C(C9)C)C)C)[Fe+2]%10%11%12%136754[CH]=%14[CH]%13=[CH]%12[CH-]%11[CH]%14%10</t>
  </si>
  <si>
    <t>P([C-]12[Fe+2]3456789(C1([C@H](P(C%10=CC(C)=CC(C)=C%10)C%11=CC(C)=CC(C)=C%11)C)=[CH]3C4(=C52[H])[H])[CH-]%12[CH]6=[CH]7[CH]8=[CH]9%12)(C%13=CC(C(F)(F)F)=CC(C(F)(F)F)=C%13)C%14=CC(C(F)(F)F)=CC(C(F)(F)F)=C%14</t>
  </si>
  <si>
    <t>InChI=1S/C39H31F12P2.C5H5.Fe/c1-21-9-22(2)12-30(11-21)52(31-13-23(3)10-24(4)14-31)25(5)34-7-6-8-35(34)53(32-17-26(36(40,41)42)15-27(18-32)37(43,44)45)33-19-28(38(46,47)48)16-29(20-33)39(49,50)51;1-2-4-5-3-1;/h6-20,25H,1-5H3;1-5H;/q2*-1;+2/t25-;;/m1../s1</t>
  </si>
  <si>
    <t>OJJUNRXMQFVYEO-KHZPMNTOSA-N</t>
  </si>
  <si>
    <t>OJJUNRXMQFVYEO</t>
  </si>
  <si>
    <t>L9</t>
  </si>
  <si>
    <t>SL-J009-1</t>
  </si>
  <si>
    <t>158923-11-6</t>
  </si>
  <si>
    <t>C32H52FeP2</t>
  </si>
  <si>
    <t>P(C1CCCCC1)(C2CCCCC2)[C-]34[CH]5=[CH]6[CH]7=C3(C(P(C(C)(C)C)C(C)(C)C)C)[Fe+2]89%10%116754[CH]=%12[CH]%11=[CH]%10[CH-]9[CH]%128</t>
  </si>
  <si>
    <t>P([C-]12[Fe+2]3456789(C1([C@H](P(C(C)(C)C)C(C)(C)C)C)=[CH]3C4(=C52[H])[H])[CH-]%10[CH]6=[CH]7[CH]8=[CH]9%10)(C%11CCCCC%11)C%12CCCCC%12</t>
  </si>
  <si>
    <t>InChI=1S/C27H47P2.C5H5.Fe/c1-21(29(26(2,3)4)27(5,6)7)24-19-14-20-25(24)28(22-15-10-8-11-16-22)23-17-12-9-13-18-23;1-2-4-5-3-1;/h14,19-23H,8-13,15-18H2,1-7H3;1-5H;/q2*-1;+2/t21-;;/m1../s1</t>
  </si>
  <si>
    <t>XUGHPTFNSLEKBM-GHVWMZMZSA-N</t>
  </si>
  <si>
    <t>XUGHPTFNSLEKBM</t>
  </si>
  <si>
    <t>L10</t>
  </si>
  <si>
    <t>SL-J011-1</t>
  </si>
  <si>
    <t>246231-79-8</t>
  </si>
  <si>
    <t>C34H38F6FeP2</t>
  </si>
  <si>
    <t>FC(F)(F)C1=CC=C(C=C1)P(C2=CC=C(C=C2)C(F)(F)F)[C-]34[CH]5=[CH]6[CH]7=C3(C(P(C(C)(C)C)C(C)(C)C)C)[Fe+2]89%10%116754[CH]=%12[CH]%11=[CH]%10[CH-]9[CH]%128</t>
  </si>
  <si>
    <t>P([C-]12[Fe+2]3456789(C1([C@H](P(C(C)(C)C)C(C)(C)C)C)=[CH]3C4(=C52[H])[H])[CH-]%10[CH]6=[CH]7[CH]8=[CH]9%10)(C%11=CC=C(C(F)(F)F)C=C%11)C%12=CC=C(C(F)(F)F)C=C%12</t>
  </si>
  <si>
    <t>InChI=1S/C29H33F6P2.C5H5.Fe/c1-19(37(26(2,3)4)27(5,6)7)24-9-8-10-25(24)36(22-15-11-20(12-16-22)28(30,31)32)23-17-13-21(14-18-23)29(33,34)35;1-2-4-5-3-1;/h8-19H,1-7H3;1-5H;/q2*-1;+2/t19-;;/m1../s1</t>
  </si>
  <si>
    <t>RTBYXZPHWNSCOG-JQDLGSOUSA-N</t>
  </si>
  <si>
    <t>RTBYXZPHWNSCOG</t>
  </si>
  <si>
    <t>L11</t>
  </si>
  <si>
    <t>SL-J013-1</t>
  </si>
  <si>
    <t>187733-50-2</t>
  </si>
  <si>
    <t>C38H52FeO2P2</t>
  </si>
  <si>
    <t>O(C=1C(=CC(=CC1C)P(C=2C=C(C(OC)=C(C2)C)C)[C-]34[CH]5=[CH]6[CH]7=C3(C(P(C(C)(C)C)C(C)(C)C)C)[Fe+2]89%10%116754[CH]=%12[CH]%11=[CH]%10[CH-]9[CH]%128)C)C</t>
  </si>
  <si>
    <t>P([C-]12[Fe+2]3456789(C1([C@H](P(C(C)(C)C)C(C)(C)C)C)=[CH]3C4(=C52[H])[H])[CH-]%10[CH]6=[CH]7[CH]8=[CH]9%10)(C%11=CC(C)=C(OC)C(C)=C%11)C%12=CC(C)=C(OC)C(C)=C%12</t>
  </si>
  <si>
    <t>InChI=1S/C33H47O2P2.C5H5.Fe/c1-21-17-26(18-22(2)30(21)34-12)36(27-19-23(3)31(35-13)24(4)20-27)29-16-14-15-28(29)25(5)37(32(6,7)8)33(9,10)11;1-2-4-5-3-1;/h14-20,25H,1-13H3;1-5H;/q2*-1;+2/t25-;;/m1../s1</t>
  </si>
  <si>
    <t>FAGZEBRZIQSTRG-KHZPMNTOSA-N</t>
  </si>
  <si>
    <t>FAGZEBRZIQSTRG</t>
  </si>
  <si>
    <t>L12</t>
  </si>
  <si>
    <t>SL-J212-1</t>
  </si>
  <si>
    <t>849924-41-0</t>
  </si>
  <si>
    <t>C28H36FeO2P2</t>
  </si>
  <si>
    <t>O1C=CC=C1P(C=2OC=CC2)[C-]34[CH]5=[CH]6[CH]7=C3(C(P(C(C)(C)C)C(C)(C)C)C)[Fe+2]89%10%116754[CH]=%12[CH]%11=[CH]%10[CH-]9[CH]%128</t>
  </si>
  <si>
    <t>P([C-]12[Fe+2]3456789(C1([C@H](P(C(C)(C)C)C(C)(C)C)C)=[CH]3C4(=C52[H])[H])[CH-]%10[CH]6=[CH]7[CH]8=[CH]9%10)(C%11=CC=CO%11)C%12=CC=CO%12</t>
  </si>
  <si>
    <t>InChI=1S/C23H31O2P2.C5H5.Fe/c1-17(27(22(2,3)4)23(5,6)7)18-11-8-12-19(18)26(20-13-9-15-24-20)21-14-10-16-25-21;1-2-4-5-3-1;/h8-17H,1-7H3;1-5H;/q2*-1;+2/t17-;;/m1../s1</t>
  </si>
  <si>
    <t>HHJDJKXAAPTYQC-ZEECNFPPSA-N</t>
  </si>
  <si>
    <t>HHJDJKXAAPTYQC</t>
  </si>
  <si>
    <t>L13</t>
  </si>
  <si>
    <t>SL-J404-1</t>
  </si>
  <si>
    <t>851308-40-2</t>
  </si>
  <si>
    <t>C48H44FeP2</t>
  </si>
  <si>
    <t>C=1C=CC2=C(C1)C=CC=C2P(C3=CC=CC=4C=CC=CC43)[C-]56[CH]7=[CH]8[CH]9=C5(C(P(C=%10C=C(C=C(C%10)C)C)C=%11C=C(C=C(C%11)C)C)C)[Fe+2]%12%13%14%158976[CH]=%16[CH]%15=[CH]%14[CH-]%13[CH]%16%12</t>
  </si>
  <si>
    <t>P([C-]12[Fe+2]3456789(C1([C@H](P(C%10=CC(C)=CC(C)=C%10)C%11=CC(C)=CC(C)=C%11)C)=[CH]3C4(=C52[H])[H])[CH-]%12[CH]6=[CH]7[CH]8=[CH]9%12)(C=%13C%14=C(C=CC%13)C=CC=C%14)C=%15C%16=C(C=CC%15)C=CC=C%16</t>
  </si>
  <si>
    <t>InChI=1S/C43H39P2.C5H5.Fe/c1-29-23-30(2)26-36(25-29)44(37-27-31(3)24-32(4)28-37)33(5)38-19-12-22-41(38)45(42-20-10-15-34-13-6-8-17-39(34)42)43-21-11-16-35-14-7-9-18-40(35)43;1-2-4-5-3-1;/h6-28,33H,1-5H3;1-5H;/q2*-1;+2/t33-;;/m1../s1</t>
  </si>
  <si>
    <t>SSMCNYKTSXSPGV-QYKZUBHNSA-N</t>
  </si>
  <si>
    <t>SSMCNYKTSXSPGV</t>
  </si>
  <si>
    <t>L14</t>
  </si>
  <si>
    <t>SL-J418-1</t>
  </si>
  <si>
    <t>849924-45-4</t>
  </si>
  <si>
    <t>C46H52FeO2P2</t>
  </si>
  <si>
    <t>O(C=1C(=CC(=CC1C)P(C=2C=C(C(OC)=C(C2)C)C)[C-]34[CH]5=[CH]6[CH]7=C3(C(P(C=8C=C(C=C(C8)C)C)C=9C=C(C=C(C9)C)C)C)[Fe+2]%10%11%12%136754[CH]=%14[CH]%13=[CH]%12[CH-]%11[CH]%14%10)C)C</t>
  </si>
  <si>
    <t>P([C-]12[Fe+2]3456789(C1([C@H](P(C%10=CC(C)=CC(C)=C%10)C%11=CC(C)=CC(C)=C%11)C)=[CH]3C4(=C52[H])[H])[CH-]%12[CH]6=[CH]7[CH]8=[CH]9%12)(C%13=CC(C)=C(OC)C(C)=C%13)C%14=CC(C)=C(OC)C(C)=C%14</t>
  </si>
  <si>
    <t>InChI=1S/C41H47O2P2.C5H5.Fe/c1-25-15-26(2)18-34(17-25)44(35-19-27(3)16-28(4)20-35)33(9)38-13-12-14-39(38)45(36-21-29(5)40(42-10)30(6)22-36)37-23-31(7)41(43-11)32(8)24-37;1-2-4-5-3-1;/h12-24,33H,1-11H3;1-5H;/q2*-1;+2/t33-;;/m1../s1</t>
  </si>
  <si>
    <t>QIIVCIRSWUAZLO-QYKZUBHNSA-N</t>
  </si>
  <si>
    <t>QIIVCIRSWUAZLO</t>
  </si>
  <si>
    <t>L15</t>
  </si>
  <si>
    <t>SL-J452-1</t>
  </si>
  <si>
    <t>849924-73-8</t>
  </si>
  <si>
    <t>C34H32FeO2P2</t>
  </si>
  <si>
    <t>O1C=CC=C1P(C=2OC=CC2)[C-]34[CH]5=[CH]6[CH]7=C3(C(P(C=8C=CC=CC8C)C=9C=CC=CC9C)C)[Fe+2]%10%11%12%136754[CH]=%14[CH]%13=[CH]%12[CH-]%11[CH]%14%10</t>
  </si>
  <si>
    <t>P([C-]12[Fe+2]3456789(C1([C@H](P(C%10=C(C)C=CC=C%10)C%11=C(C)C=CC=C%11)C)=[CH]3C4(=C52[H])[H])[CH-]%12[CH]6=[CH]7[CH]8=[CH]9%12)(C%13=CC=CO%13)C%14=CC=CO%14</t>
  </si>
  <si>
    <t>InChI=1S/C29H27O2P2.C5H5.Fe/c1-21-11-4-6-14-25(21)32(26-15-7-5-12-22(26)2)23(3)24-13-8-16-27(24)33(28-17-9-19-30-28)29-18-10-20-31-29;1-2-4-5-3-1;/h4-20,23H,1-3H3;1-5H;/q2*-1;+2/t23-;;/m1../s1</t>
  </si>
  <si>
    <t>XEKNXASFPYDQNX-MQWQBNKOSA-N</t>
  </si>
  <si>
    <t>XEKNXASFPYDQNX</t>
  </si>
  <si>
    <t>L16</t>
  </si>
  <si>
    <t>SL-J502-1</t>
  </si>
  <si>
    <t>223120-71-6</t>
  </si>
  <si>
    <t>C=1C=CC(=CC1)P(C=2C=CC=CC2)C(C)C34=[CH]5[CH]6=[CH]7[C-]3(P(C(C)(C)C)C(C)(C)C)[Fe+2]89%10%116574[CH]=%12[CH]%11=[CH]%10[CH-]9[CH]%128</t>
  </si>
  <si>
    <t>[C@@H](P(C1=CC=CC=C1)C2=CC=CC=C2)(C)C3=4[Fe+2]56789%10%11([C-]3(P(C(C)(C)C)C(C)(C)C)[CH]5=C6(C74[H])[H])[CH-]%12[CH]8=[CH]9[CH]%10=[CH]%11%12</t>
  </si>
  <si>
    <t>InChI=1S/C27H35P2.C5H5.Fe/c1-21(24-19-14-20-25(24)29(26(2,3)4)27(5,6)7)28(22-15-10-8-11-16-22)23-17-12-9-13-18-23;1-2-4-5-3-1;/h8-21H,1-7H3;1-5H;/q2*-1;+2/t21-;;/m1../s1</t>
  </si>
  <si>
    <t>YHYNLRXFTNTBNX-GHVWMZMZSA-N</t>
  </si>
  <si>
    <t>YHYNLRXFTNTBNX</t>
  </si>
  <si>
    <t>L17</t>
  </si>
  <si>
    <t>(R)-BINAM-P</t>
  </si>
  <si>
    <t>74974-14-4</t>
  </si>
  <si>
    <t>C44H34N2P2</t>
  </si>
  <si>
    <t>C=1C=CC(=CC1)P(NC2=CC=C3C=CC=CC3=C2C4=C(C=CC=5C=CC=CC54)NP(C=6C=CC=CC6)C=7C=CC=CC7)C=8C=CC=CC8</t>
  </si>
  <si>
    <t>InChI=1S/C44H34N2P2/c1-5-19-35(20-6-1)47(36-21-7-2-8-22-36)45-41-31-29-33-17-13-15-27-39(33)43(41)44-40-28-16-14-18-34(40)30-32-42(44)46-48(37-23-9-3-10-24-37)38-25-11-4-12-26-38/h1-32,45-46H</t>
  </si>
  <si>
    <t>NRWZSRQDRSYPNW-UHFFFAOYSA-N</t>
  </si>
  <si>
    <t>NRWZSRQDRSYPNW</t>
  </si>
  <si>
    <t>L18</t>
  </si>
  <si>
    <t>SL-J505-1</t>
  </si>
  <si>
    <t>849924-76-1</t>
  </si>
  <si>
    <t>C34H44FeP2</t>
  </si>
  <si>
    <t>C=1C=CC(=C(C1)P(C=2C=CC=CC2C)C(C)C34=[CH]5[CH]6=[CH]7[C-]3(P(C(C)(C)C)C(C)(C)C)[Fe+2]89%10%116574[CH]=%12[CH]%11=[CH]%10[CH-]9[CH]%128)C</t>
  </si>
  <si>
    <t>[C@@H](P(C1=C(C)C=CC=C1)C2=C(C)C=CC=C2)(C)C3=4[Fe+2]56789%10%11([C-]3(P(C(C)(C)C)C(C)(C)C)C5(=[CH]6C74[H])[H])[CH-]%12[CH]8=[CH]9[CH]%10=[CH]%11%12</t>
  </si>
  <si>
    <t>InChI=1S/C29H39P2.C5H5.Fe/c1-21-15-10-12-18-25(21)30(26-19-13-11-16-22(26)2)23(3)24-17-14-20-27(24)31(28(4,5)6)29(7,8)9;1-2-4-5-3-1;/h10-20,23H,1-9H3;1-5H;/q2*-1;+2/t23-;;/m1../s1</t>
  </si>
  <si>
    <t>MAQJSOBHAZTNFV-MQWQBNKOSA-N</t>
  </si>
  <si>
    <t>MAQJSOBHAZTNFV</t>
  </si>
  <si>
    <t>L19</t>
  </si>
  <si>
    <t>SL-T002-2</t>
  </si>
  <si>
    <t>914089-00-2</t>
  </si>
  <si>
    <t>C43H63FeNP2</t>
  </si>
  <si>
    <t>C=1C=CC(=C(C1)P(C2CCCCC2)C3CCCCC3)C(N(C)C)C45=[CH]6[CH]7=[CH]8[C-]4(P(C9CCCCC9)C%10CCCCC%10)[Fe+2]%11%12%13%147685[CH]=%15[CH]%14=[CH]%13[CH-]%12[CH]%15%11</t>
  </si>
  <si>
    <t>P([C-]12[Fe+2]3456789(C1([C@@H](N(C)C)C%10=C(P(C%11CCCCC%11)C%12CCCCC%12)C=CC=C%10)=[CH]3C4(=C52[H])[H])[CH-]%13[CH]6=[CH]7[CH]8=[CH]9%13)(C%14CCCCC%14)C%15CCCCC%15</t>
  </si>
  <si>
    <t>InChI=1S/C38H58NP2.C5H5.Fe/c1-39(2)38(35-27-17-29-37(35)41(32-22-11-5-12-23-32)33-24-13-6-14-25-33)34-26-15-16-28-36(34)40(30-18-7-3-8-19-30)31-20-9-4-10-21-31;1-2-4-5-3-1;/h15-17,26-33,38H,3-14,18-25H2,1-2H3;1-5H;/q2*-1;+2/t38-;;/m0../s1</t>
  </si>
  <si>
    <t>ZCLAIXUMNAWCKI-ZCLNGFLVSA-N</t>
  </si>
  <si>
    <t>ZCLAIXUMNAWCKI</t>
  </si>
  <si>
    <t>L20</t>
  </si>
  <si>
    <t>SL-M001-1</t>
  </si>
  <si>
    <t>174467-31-3</t>
  </si>
  <si>
    <t>C52H50FeN2P2</t>
  </si>
  <si>
    <t>C=1C=CC(=CC1)P(C=2C=CC=CC2)[C-]34[CH]5=[CH]6[CH]7=C3(C(C=8C=CC=CC8)N(C)C)[Fe+2]69%10%11%12754[CH]=%13[CH]%12=C%11(C(C=%14C=CC=CC%14)N(C)C)[C-]%10(P(C=%15C=CC=CC%15)C=%16C=CC=CC%16)[CH]%139</t>
  </si>
  <si>
    <t>P([C-]12[Fe+2]3456789([C-]%10(P(C%11=CC=CC=C%11)C%12=CC=CC=C%12)C3([C@H](N(C)C)C%13=CC=CC=C%13)=C4([CH]5=C6%10[H])[H])C1([C@H](N(C)C)C%14=CC=CC=C%14)=[CH]7C8(=C92[H])[H])(C%15=CC=CC=C%15)C%16=CC=CC=C%16</t>
  </si>
  <si>
    <t>InChI=1S/2C26H25NP.Fe/c2*1-27(2)26(21-13-6-3-7-14-21)24-19-12-20-25(24)28(22-15-8-4-9-16-22)23-17-10-5-11-18-23;/h2*3-20,26H,1-2H3;/q2*-1;+2/t2*26-;/m11./s1</t>
  </si>
  <si>
    <t>NOQNSQAYSHWCQC-PMIUFOJNSA-N</t>
  </si>
  <si>
    <t>NOQNSQAYSHWCQC</t>
  </si>
  <si>
    <t>L21</t>
  </si>
  <si>
    <t>SL-M003-1</t>
  </si>
  <si>
    <t>494227-36-0</t>
  </si>
  <si>
    <t>C60H42F24FeN2P2</t>
  </si>
  <si>
    <t>FC(F)(F)C1=CC(=CC(=C1)C(F)(F)F)P(C=2C=C(C=C(C2)C(F)(F)F)C(F)(F)F)[C-]34[CH]5=[CH]6[CH]7=C3(C(C=8C=CC=CC8)N(C)C)[Fe+2]69%10%11%12754[CH]=%13[CH]%12=C%11(C(C=%14C=CC=CC%14)N(C)C)[C-]%10(P(C=%15C=C(C=C(C%15)C(F)(F)F)C(F)(F)F)C=%16C=C(C=C(C%16)C(F)(F)F)C(F)(F)F)[CH]%139</t>
  </si>
  <si>
    <t>P([C-]12[Fe+2]3456789([C-]%10(P(C%11=CC(C(F)(F)F)=CC(C(F)(F)F)=C%11)C%12=CC(C(F)(F)F)=CC(C(F)(F)F)=C%12)C3([C@H](N(C)C)C%13=CC=CC=C%13)=C4([CH]5=C6%10[H])[H])C1([C@H](N(C)C)C%14=CC=CC=C%14)=[CH]7C8(=C92[H])[H])(C%15=CC(C(F)(F)F)=CC(C(F)(F)F)=C%15)C%16=CC(C(F)(F)F)=CC(C(F)(F)F)=C%16</t>
  </si>
  <si>
    <t>InChI=1S/2C30H21F12NP.Fe/c2*1-43(2)26(17-7-4-3-5-8-17)24-9-6-10-25(24)44(22-13-18(27(31,32)33)11-19(14-22)28(34,35)36)23-15-20(29(37,38)39)12-21(16-23)30(40,41)42;/h2*3-16,26H,1-2H3;/q2*-1;+2/t2*26-;/m11./s1</t>
  </si>
  <si>
    <t>FEEUHADNHKTAEO-PMIUFOJNSA-N</t>
  </si>
  <si>
    <t>FEEUHADNHKTAEO</t>
  </si>
  <si>
    <t>L22</t>
  </si>
  <si>
    <t>SL-M004-1</t>
  </si>
  <si>
    <t>494227-37-1</t>
  </si>
  <si>
    <t>C64H74FeN2O4P2</t>
  </si>
  <si>
    <t>O(C=1C(=CC(=CC1C)P(C=2C=C(C(OC)=C(C2)C)C)[C-]34[CH]5=[CH]6[CH]7=C3(C(C=8C=CC=CC8)N(C)C)[Fe+2]69%10%11%12754[CH]=%13[CH]%12=C%11(C(C=%14C=CC=CC%14)N(C)C)[C-]%10(P(C=%15C=C(C(OC)=C(C%15)C)C)C=%16C=C(C(OC)=C(C%16)C)C)[CH]%139)C)C</t>
  </si>
  <si>
    <t>P([C-]12[Fe+2]3456789([C-]%10(P(C%11=CC(C)=C(OC)C(C)=C%11)C%12=CC(C)=C(OC)C(C)=C%12)C3([C@H](N(C)C)C%13=CC=CC=C%13)=C4([CH]5=C6%10[H])[H])C1([C@H](N(C)C)C%14=CC=CC=C%14)=[CH]7C8(=C92[H])[H])(C%15=CC(C)=C(OC)C(C)=C%15)C%16=CC(C)=C(OC)C(C)=C%16</t>
  </si>
  <si>
    <t>InChI=1S/2C32H37NO2P.Fe/c2*1-21-17-26(18-22(2)31(21)34-7)36(27-19-23(3)32(35-8)24(4)20-27)29-16-12-15-28(29)30(33(5)6)25-13-10-9-11-14-25;/h2*9-20,30H,1-8H3;/q2*-1;+2/t2*30-;/m11./s1</t>
  </si>
  <si>
    <t>HPUIPHVXVUIUDU-LJXMUBMNSA-N</t>
  </si>
  <si>
    <t>HPUIPHVXVUIUDU</t>
  </si>
  <si>
    <t>L23</t>
  </si>
  <si>
    <t>SL-M009-1</t>
  </si>
  <si>
    <t>793718-16-8</t>
  </si>
  <si>
    <t>C60H66FeN2P2</t>
  </si>
  <si>
    <t>C=1C=CC(=CC1)C(N(C)C)C23=[CH]4[CH]5=[CH]6[C-]2(P(C=7C=C(C=C(C7)C)C)C=8C=C(C=C(C8)C)C)[Fe+2]59%10%11%12463[CH]=%13[CH]%12=C%11(C(C=%14C=CC=CC%14)N(C)C)[C-]%10(P(C=%15C=C(C=C(C%15)C)C)C=%16C=C(C=C(C%16)C)C)[CH]%139</t>
  </si>
  <si>
    <t>P([C-]12[Fe+2]3456789([C-]%10(P(C%11=CC(C)=CC(C)=C%11)C%12=CC(C)=CC(C)=C%12)C3([C@H](N(C)C)C%13=CC=CC=C%13)=C4([CH]5=C6%10[H])[H])C1([C@H](N(C)C)C%14=CC=CC=C%14)=[CH]7C8(=C92[H])[H])(C%15=CC(C)=CC(C)=C%15)C%16=CC(C)=CC(C)=C%16</t>
  </si>
  <si>
    <t>InChI=1S/2C30H33NP.Fe/c2*1-21-15-22(2)18-26(17-21)32(27-19-23(3)16-24(4)20-27)29-14-10-13-28(29)30(31(5)6)25-11-8-7-9-12-25;/h2*7-20,30H,1-6H3;/q2*-1;+2/t2*30-;/m11./s1</t>
  </si>
  <si>
    <t>BGHTWAOLJXSSIT-LJXMUBMNSA-N</t>
  </si>
  <si>
    <t>BGHTWAOLJXSSIT</t>
  </si>
  <si>
    <t>L24</t>
  </si>
  <si>
    <t>SL-T001-2</t>
  </si>
  <si>
    <t>850444-36-9</t>
  </si>
  <si>
    <t>C43H39FeNP2</t>
  </si>
  <si>
    <t>C=1C=CC(=CC1)P(C=2C=CC=CC2)C=3C=CC=CC3C(N(C)C)C45=[CH]6[CH]7=[CH]8[C-]4(P(C=9C=CC=CC9)C=%10C=CC=CC%10)[Fe+2]%11%12%13%147685[CH]=%15[CH]%14=[CH]%13[CH-]%12[CH]%15%11</t>
  </si>
  <si>
    <t>P([C-]12[Fe+2]3456789(C1([C@@H](N(C)C)C%10=C(P(C%11=CC=CC=C%11)C%12=CC=CC=C%12)C=CC=C%10)=[CH]3C4(=C52[H])[H])[CH-]%13[CH]6=[CH]7[CH]8=[CH]9%13)(C%14=CC=CC=C%14)C%15=CC=CC=C%15</t>
  </si>
  <si>
    <t>InChI=1S/C38H34NP2.C5H5.Fe/c1-39(2)38(35-27-17-29-37(35)41(32-22-11-5-12-23-32)33-24-13-6-14-25-33)34-26-15-16-28-36(34)40(30-18-7-3-8-19-30)31-20-9-4-10-21-31;1-2-4-5-3-1;/h3-29,38H,1-2H3;1-5H;/q2*-1;+2/t38-;;/m0../s1</t>
  </si>
  <si>
    <t>XNPWYNHTNRHERG-ZCLNGFLVSA-N</t>
  </si>
  <si>
    <t>XNPWYNHTNRHERG</t>
  </si>
  <si>
    <t>L25</t>
  </si>
  <si>
    <t>SL-W001-1</t>
  </si>
  <si>
    <t>387868-06-6</t>
  </si>
  <si>
    <t>C46H32F12FeP2</t>
  </si>
  <si>
    <t>FC(F)(F)C1=CC(=CC(=C1)C(F)(F)F)P(C=2C=C(C=C(C2)C(F)(F)F)C(F)(F)F)C(C)[C-]34[CH]5=[CH]6[CH]7=C3(C=8C=CC=CC8P(C=9C=CC=CC9)C=%10C=CC=CC%10)[Fe+2]%11%12%13%146754[CH]=%15[CH]%14=[CH]%13[CH-]%12[CH]%15%11</t>
  </si>
  <si>
    <t>[C@@H](P(C1=CC(C(F)(F)F)=CC(C(F)(F)F)=C1)C2=CC(C(F)(F)F)=CC(C(F)(F)F)=C2)(C)[C-]34[Fe+2]56789%10%11(C3(=[CH]5[CH]6=[CH]74)C%12=C(P(C%13=CC=CC=C%13)C%14=CC=CC=C%14)C=CC=C%12)[CH-]%15[CH]8=[CH]9[CH]%10=[CH]%11%15</t>
  </si>
  <si>
    <t>InChI=1S/C41H27F12P2.C5H5.Fe/c1-25(34-16-10-17-35(34)36-15-8-9-18-37(36)55(30-11-4-2-5-12-30)31-13-6-3-7-14-31)54(32-21-26(38(42,43)44)19-27(22-32)39(45,46)47)33-23-28(40(48,49)50)20-29(24-33)41(51,52)53;1-2-4-5-3-1;/h2-25H,1H3;1-5H;/q2*-1;+2/t25-;;/m1../s1</t>
  </si>
  <si>
    <t>FEDNCBFOAIDORO-KHZPMNTOSA-N</t>
  </si>
  <si>
    <t>FEDNCBFOAIDORO</t>
  </si>
  <si>
    <t>L26</t>
  </si>
  <si>
    <t>SL-W002-1</t>
  </si>
  <si>
    <t>388079-58-1</t>
  </si>
  <si>
    <t>C42H36FeP2</t>
  </si>
  <si>
    <t>C=1C=CC(=CC1)P(C=2C=CC=CC2)C=3C=CC=CC3C45=[CH]6[CH]7=[CH]8[C-]4(C(P(C=9C=CC=CC9)C=%10C=CC=CC%10)C)[Fe+2]%11%12%13%147685[CH]=%15[CH]%14=[CH]%13[CH-]%12[CH]%15%11</t>
  </si>
  <si>
    <t>[C@@H](P(C1=CC=CC=C1)C2=CC=CC=C2)(C)[C-]34[Fe+2]56789%10%11(C3(=C5(C6(=[CH]74)[H])[H])C%12=C(P(C%13=CC=CC=C%13)C%14=CC=CC=C%14)C=CC=C%12)[CH-]%15[CH]8=[CH]9[CH]%10=[CH]%11%15</t>
  </si>
  <si>
    <t>InChI=1S/C37H31P2.C5H5.Fe/c1-29(38(30-17-6-2-7-18-30)31-19-8-3-9-20-31)34-26-16-27-35(34)36-25-14-15-28-37(36)39(32-21-10-4-11-22-32)33-23-12-5-13-24-33;1-2-4-5-3-1;/h2-29H,1H3;1-5H;/q2*-1;+2/t29-;;/m1../s1</t>
  </si>
  <si>
    <t>OISZUQLTHODEJJ-SYXKTQFYSA-N</t>
  </si>
  <si>
    <t>OISZUQLTHODEJJ</t>
  </si>
  <si>
    <t>L27</t>
  </si>
  <si>
    <t>SL-W003-2</t>
  </si>
  <si>
    <t>849925-19-5</t>
  </si>
  <si>
    <t>C42H48FeP2</t>
  </si>
  <si>
    <t>C=1C=CC(=CC1)P(C=2C=CC=CC2)C=3C=CC=CC3C45=[CH]6[CH]7=[CH]8[C-]4(C(P(C9CCCCC9)C%10CCCCC%10)C)[Fe+2]%11%12%13%147685[CH]=%15[CH]%14=[CH]%13[CH-]%12[CH]%15%11</t>
  </si>
  <si>
    <t>[C@H](P(C1CCCCC1)C2CCCCC2)(C)[C-]34[Fe+2]56789%10%11(C3(=C5(C6(=[CH]74)[H])[H])C%12=C(P(C%13=CC=CC=C%13)C%14=CC=CC=C%14)C=CC=C%12)[CH-]%15[CH]8=[CH]9[CH]%10=[CH]%11%15</t>
  </si>
  <si>
    <t>InChI=1S/C37H43P2.C5H5.Fe/c1-29(38(30-17-6-2-7-18-30)31-19-8-3-9-20-31)34-26-16-27-35(34)36-25-14-15-28-37(36)39(32-21-10-4-11-22-32)33-23-12-5-13-24-33;1-2-4-5-3-1;/h4-5,10-16,21-31H,2-3,6-9,17-20H2,1H3;1-5H;/q2*-1;+2/t29-;;/m0../s1</t>
  </si>
  <si>
    <t>QZYUAAMKGHSXFS-UJXPALLWSA-N</t>
  </si>
  <si>
    <t>QZYUAAMKGHSXFS</t>
  </si>
  <si>
    <t>L28</t>
  </si>
  <si>
    <t>SL-W005-2</t>
  </si>
  <si>
    <t>849925-20-8</t>
  </si>
  <si>
    <t>C52H44F12FeO2P2</t>
  </si>
  <si>
    <t>FC(F)(F)C1=CC(=CC(=C1)C(F)(F)F)P(C=2C=C(C=C(C2)C(F)(F)F)C(F)(F)F)C(C)[C-]34[CH]5=[CH]6[CH]7=C3(C=8C=CC=CC8P(C=9C=C(C(OC)=C(C9)C)C)C=%10C=C(C(OC)=C(C%10)C)C)[Fe+2]%11%12%13%146754[CH]=%15[CH]%14=[CH]%13[CH-]%12[CH]%15%11</t>
  </si>
  <si>
    <t>[C@H](P(C1=CC(C(F)(F)F)=CC(C(F)(F)F)=C1)C2=CC(C(F)(F)F)=CC(C(F)(F)F)=C2)(C)[C-]34[Fe+2]56789%10%11(C3(=[CH]5[CH]6=[CH]74)C%12=C(P(C%13=CC(C)=C(OC)C(C)=C%13)C%14=CC(C)=C(OC)C(C)=C%14)C=CC=C%12)[CH-]%15[CH]8=[CH]9[CH]%10=[CH]%11%15</t>
  </si>
  <si>
    <t>InChI=1S/C47H39F12O2P2.C5H5.Fe/c1-25-15-34(16-26(2)42(25)60-6)63(35-17-27(3)43(61-7)28(4)18-35)41-14-9-8-11-40(41)39-13-10-12-38(39)29(5)62(36-21-30(44(48,49)50)19-31(22-36)45(51,52)53)37-23-32(46(54,55)56)20-33(24-37)47(57,58)59;1-2-4-5-3-1;/h8-24,29H,1-7H3;1-5H;/q2*-1;+2/t29-;;/m0../s1</t>
  </si>
  <si>
    <t>SFEINFLBDYXNGU-UJXPALLWSA-N</t>
  </si>
  <si>
    <t>SFEINFLBDYXNGU</t>
  </si>
  <si>
    <t>L29</t>
  </si>
  <si>
    <t>SL-W008-2</t>
  </si>
  <si>
    <t>849925-22-0</t>
  </si>
  <si>
    <t>C46H44F12FeP2</t>
  </si>
  <si>
    <t>FC(F)(F)C1=CC(=CC(=C1)C(F)(F)F)P(C=2C=C(C=C(C2)C(F)(F)F)C(F)(F)F)C(C)[C-]34[CH]5=[CH]6[CH]7=C3(C=8C=CC=CC8P(C9CCCCC9)C%10CCCCC%10)[Fe+2]%11%12%13%146754[CH]=%15[CH]%14=[CH]%13[CH-]%12[CH]%15%11</t>
  </si>
  <si>
    <t>[C@H](P(C1=CC(C(F)(F)F)=CC(C(F)(F)F)=C1)C2=CC(C(F)(F)F)=CC(C(F)(F)F)=C2)(C)[C-]34[Fe+2]56789%10%11(C3(=[CH]5[CH]6=[CH]74)C%12=C(P(C%13CCCCC%13)C%14CCCCC%14)C=CC=C%12)[CH-]%15[CH]8=[CH]9[CH]%10=[CH]%11%15</t>
  </si>
  <si>
    <t>InChI=1S/C41H39F12P2.C5H5.Fe/c1-25(34-16-10-17-35(34)36-15-8-9-18-37(36)55(30-11-4-2-5-12-30)31-13-6-3-7-14-31)54(32-21-26(38(42,43)44)19-27(22-32)39(45,46)47)33-23-28(40(48,49)50)20-29(24-33)41(51,52)53;1-2-4-5-3-1;/h8-10,15-25,30-31H,2-7,11-14H2,1H3;1-5H;/q2*-1;+2/t25-;;/m0../s1</t>
  </si>
  <si>
    <t>BEFBXRPJLRZLJE-WLOLSGMKSA-N</t>
  </si>
  <si>
    <t>BEFBXRPJLRZLJE</t>
  </si>
  <si>
    <t>L30</t>
  </si>
  <si>
    <t>SL-W009-1</t>
  </si>
  <si>
    <t>894771-28-9</t>
  </si>
  <si>
    <t>C50H52FeP2</t>
  </si>
  <si>
    <t>C=1C=CC(=C(C1)P(C=2C=C(C=C(C2)C)C)C=3C=C(C=C(C3)C)C)C45=[CH]6[CH]7=[CH]8[C-]4(C(P(C=9C=C(C=C(C9)C)C)C=%10C=C(C=C(C%10)C)C)C)[Fe+2]%11%12%13%147685[CH]=%15[CH]%14=[CH]%13[CH-]%12[CH]%15%11</t>
  </si>
  <si>
    <t>[C@@H](P(C1=CC(C)=CC(C)=C1)C2=CC(C)=CC(C)=C2)(C)[C-]34[Fe+2]56789%10%11(C3(=[CH]5[CH]6=[CH]74)C%12=C(P(C%13=CC(C)=CC(C)=C%13)C%14=CC(C)=CC(C)=C%14)C=CC=C%12)[CH-]%15[CH]8=[CH]9[CH]%10=[CH]%11%15</t>
  </si>
  <si>
    <t>InChI=1S/C45H47P2.C5H5.Fe/c1-29-17-30(2)22-38(21-29)46(39-23-31(3)18-32(4)24-39)37(9)42-14-12-15-43(42)44-13-10-11-16-45(44)47(40-25-33(5)19-34(6)26-40)41-27-35(7)20-36(8)28-41;1-2-4-5-3-1;/h10-28,37H,1-9H3;1-5H;/q2*-1;+2/t37-;;/m1../s1</t>
  </si>
  <si>
    <t>BOIJKQHZTBIFFX-CHKASDEDSA-N</t>
  </si>
  <si>
    <t>BOIJKQHZTBIFFX</t>
  </si>
  <si>
    <t>L31</t>
  </si>
  <si>
    <t>SL-F356-1</t>
  </si>
  <si>
    <t>952586-19-5</t>
  </si>
  <si>
    <t>C42H53Fe2NP2</t>
  </si>
  <si>
    <t>C=1C=CC(=CC1)P([C-]23[CH]4=[CH]5[CH]6=[CH]2[Fe+2]56789%1043[CH]=%11[CH]%10=[CH]9[C-]8(P(C%12CCCCC%12)C%13CCCCC%13)[CH]%117)[C-]%14%15[CH]%16=[CH]%17[CH]%18=C%14(C(N(C)C)C)[Fe+2]%19%20%21%22%17%18%16%15[CH]=%23[CH]%22=[CH]%21[CH-]%20[CH]%23%19</t>
  </si>
  <si>
    <t>[P@]([C-]12[Fe+2]3456789([C-]%10(P(C%11CCCCC%11)C%12CCCCC%12)[CH]3=[CH]4[CH]5=[CH]6%10)[CH]1=[CH]7[CH]8=[CH]92)([C-]%13%14[Fe+2]%15%16%17%18%19%20%21(C%13([C@H](N(C)C)C)=[CH]%15C%16(=C%14%17[H])[H])[CH-]%22[CH]%18=[CH]%19[CH]%20=[CH]%21%22)C%23=CC=CC=C%23</t>
  </si>
  <si>
    <t>InChI=1S/C20H22NP.C17H26P.C5H5.2Fe/c1-16(21(2)3)19-14-9-15-20(19)22(18-12-7-8-13-18)17-10-5-4-6-11-17;1-3-9-15(10-4-1)18(17-13-7-8-14-17)16-11-5-2-6-12-16;1-2-4-5-3-1;;/h4-16H,1-3H3;7-8,13-16H,1-6,9-12H2;1-5H;;/q-2;2*-1;2*+2/t16-,22+;;;;/m1..../s1</t>
  </si>
  <si>
    <t>RZHRELGUZPHGAM-BYZZSVLNSA-N</t>
  </si>
  <si>
    <t>RZHRELGUZPHGAM</t>
  </si>
  <si>
    <t>L32</t>
  </si>
  <si>
    <t>(R)-BINAP</t>
  </si>
  <si>
    <t>76189-55-4</t>
  </si>
  <si>
    <t>C44H32P2</t>
  </si>
  <si>
    <t>C=1C=CC(=CC1)P(C=2C=CC=CC2)C3=CC=C4C=CC=CC4=C3C=5C=6C=CC=CC6C=CC5P(C=7C=CC=CC7)C=8C=CC=CC8</t>
  </si>
  <si>
    <t>InChI=1S/C44H32P2/c1-5-19-35(20-6-1)45(36-21-7-2-8-22-36)41-31-29-33-17-13-15-27-39(33)43(41)44-40-28-16-14-18-34(40)30-32-42(44)46(37-23-9-3-10-24-37)38-25-11-4-12-26-38/h1-32H</t>
  </si>
  <si>
    <t>MUALRAIOVNYAIW-UHFFFAOYSA-N</t>
  </si>
  <si>
    <t>MUALRAIOVNYAIW</t>
  </si>
  <si>
    <t>L33</t>
  </si>
  <si>
    <t>(R)-BTFM-GarPhos</t>
  </si>
  <si>
    <t>1365531-84-5</t>
  </si>
  <si>
    <t>C48H28F24O4P2</t>
  </si>
  <si>
    <t>FC(F)(F)C1=CC(=CC(=C1)C(F)(F)F)P(C=2C=C(C=C(C2)C(F)(F)F)C(F)(F)F)C3=CC(OC)=CC(OC)=C3C4=C(OC)C=C(OC)C=C4P(C=5C=C(C=C(C5)C(F)(F)F)C(F)(F)F)C=6C=C(C=C(C6)C(F)(F)F)C(F)(F)F</t>
  </si>
  <si>
    <t>InChI=1S/C48H28F24O4P2/c1-73-29-17-35(75-3)39(37(19-29)77(31-9-21(41(49,50)51)5-22(10-31)42(52,53)54)32-11-23(43(55,56)57)6-24(12-32)44(58,59)60)40-36(76-4)18-30(74-2)20-38(40)78(33-13-25(45(61,62)63)7-26(14-33)46(64,65)66)34-15-27(47(67,68)69)8-28(16-34)48(70,71)72/h5-20H,1-4H3</t>
  </si>
  <si>
    <t>JDKXXRZDVSJSNQ-UHFFFAOYSA-N</t>
  </si>
  <si>
    <t>JDKXXRZDVSJSNQ</t>
  </si>
  <si>
    <t>L34</t>
  </si>
  <si>
    <t>(R)-Tol-BINAP</t>
  </si>
  <si>
    <t>99646-28-3</t>
  </si>
  <si>
    <t>C48H40P2</t>
  </si>
  <si>
    <t>C=1C=CC=2C(C1)=CC=C(C2C=3C=4C=CC=CC4C=CC3P(C5=CC=C(C=C5)C)C6=CC=C(C=C6)C)P(C7=CC=C(C=C7)C)C8=CC=C(C=C8)C</t>
  </si>
  <si>
    <t>InChI=1S/C48H40P2/c1-33-13-23-39(24-14-33)49(40-25-15-34(2)16-26-40)45-31-21-37-9-5-7-11-43(37)47(45)48-44-12-8-6-10-38(44)22-32-46(48)50(41-27-17-35(3)18-28-41)42-29-19-36(4)20-30-42/h5-32H,1-4H3</t>
  </si>
  <si>
    <t>IOPQYDKQISFMJI-UHFFFAOYSA-N</t>
  </si>
  <si>
    <t>IOPQYDKQISFMJI</t>
  </si>
  <si>
    <t>L35</t>
  </si>
  <si>
    <t>(R)-Xyl-BINAP</t>
  </si>
  <si>
    <t>137219-86-4</t>
  </si>
  <si>
    <t>C52H48P2</t>
  </si>
  <si>
    <t>C=1C=CC=2C(C1)=CC=C(C2C=3C=4C=CC=CC4C=CC3P(C=5C=C(C=C(C5)C)C)C=6C=C(C=C(C6)C)C)P(C=7C=C(C=C(C7)C)C)C=8C=C(C=C(C8)C)C</t>
  </si>
  <si>
    <t>InChI=1S/C52H48P2/c1-33-21-34(2)26-43(25-33)53(44-27-35(3)22-36(4)28-44)49-19-17-41-13-9-11-15-47(41)51(49)52-48-16-12-10-14-42(48)18-20-50(52)54(45-29-37(5)23-38(6)30-45)46-31-39(7)24-40(8)32-46/h9-32H,1-8H3</t>
  </si>
  <si>
    <t>MXGXXBYVDMVJAO-UHFFFAOYSA-N</t>
  </si>
  <si>
    <t>MXGXXBYVDMVJAO</t>
  </si>
  <si>
    <t>L36</t>
  </si>
  <si>
    <t>(R)-H8-BINAP</t>
  </si>
  <si>
    <t>139139-86-9</t>
  </si>
  <si>
    <t>C44H40P2</t>
  </si>
  <si>
    <t>C=1C=CC(=CC1)P(C=2C=CC=CC2)C3=CC=C4C(=C3C=5C(=CC=C6C5CCCC6)P(C=7C=CC=CC7)C=8C=CC=CC8)CCCC4</t>
  </si>
  <si>
    <t>InChI=1S/C44H40P2/c1-5-19-35(20-6-1)45(36-21-7-2-8-22-36)41-31-29-33-17-13-15-27-39(33)43(41)44-40-28-16-14-18-34(40)30-32-42(44)46(37-23-9-3-10-24-37)38-25-11-4-12-26-38/h1-12,19-26,29-32H,13-18,27-28H2</t>
  </si>
  <si>
    <t>ANSOKCGDSQQISA-UHFFFAOYSA-N</t>
  </si>
  <si>
    <t>ANSOKCGDSQQISA</t>
  </si>
  <si>
    <t>L37</t>
  </si>
  <si>
    <t>(S)-SegPhos</t>
  </si>
  <si>
    <t>210169-54-3</t>
  </si>
  <si>
    <t>C38H28O4P2</t>
  </si>
  <si>
    <t>O1C2=CC=C(C(=C2OC1)C=3C=4OCOC4C=CC3P(C=5C=CC=CC5)C=6C=CC=CC6)P(C=7C=CC=CC7)C=8C=CC=CC8</t>
  </si>
  <si>
    <t>InChI=1S/C38H28O4P2/c1-5-13-27(14-6-1)43(28-15-7-2-8-16-28)33-23-21-31-37(41-25-39-31)35(33)36-34(24-22-32-38(36)42-26-40-32)44(29-17-9-3-10-18-29)30-19-11-4-12-20-30/h1-24H,25-26H2</t>
  </si>
  <si>
    <t>RZZDRSHFIVOQAF-UHFFFAOYSA-N</t>
  </si>
  <si>
    <t>RZZDRSHFIVOQAF</t>
  </si>
  <si>
    <t>L38</t>
  </si>
  <si>
    <t>(S)-Xyl-SegPhos</t>
  </si>
  <si>
    <t>210169-57-6</t>
  </si>
  <si>
    <t>C46H44O4P2</t>
  </si>
  <si>
    <t>O1C2=CC=C(C(=C2OC1)C=3C=4OCOC4C=CC3P(C=5C=C(C=C(C5)C)C)C=6C=C(C=C(C6)C)C)P(C=7C=C(C=C(C7)C)C)C=8C=C(C=C(C8)C)C</t>
  </si>
  <si>
    <t>InChI=1S/C46H44O4P2/c1-27-13-28(2)18-35(17-27)51(36-19-29(3)14-30(4)20-36)41-11-9-39-45(49-25-47-39)43(41)44-42(12-10-40-46(44)50-26-48-40)52(37-21-31(5)15-32(6)22-37)38-23-33(7)16-34(8)24-38/h9-24H,25-26H2,1-8H3</t>
  </si>
  <si>
    <t>XJJVPYMFHXMROQ-UHFFFAOYSA-N</t>
  </si>
  <si>
    <t>XJJVPYMFHXMROQ</t>
  </si>
  <si>
    <t>L39</t>
  </si>
  <si>
    <t>(S)-DTBM-SegPhos</t>
  </si>
  <si>
    <t>210169-40-7</t>
  </si>
  <si>
    <t>C74H100O8P2</t>
  </si>
  <si>
    <t>O(C=1C(=CC(=CC1C(C)(C)C)P(C=2C=C(C(OC)=C(C2)C(C)(C)C)C(C)(C)C)C3=CC=C4OCOC4=C3C=5C=6OCOC6C=CC5P(C=7C=C(C(OC)=C(C7)C(C)(C)C)C(C)(C)C)C=8C=C(C(OC)=C(C8)C(C)(C)C)C(C)(C)C)C(C)(C)C)C</t>
  </si>
  <si>
    <t>InChI=1S/C74H100O8P2/c1-67(2,3)47-33-43(34-48(61(47)75-25)68(4,5)6)83(44-35-49(69(7,8)9)62(76-26)50(36-44)70(10,11)12)57-31-29-55-65(81-41-79-55)59(57)60-58(32-30-56-66(60)82-42-80-56)84(45-37-51(71(13,14)15)63(77-27)52(38-45)72(16,17)18)46-39-53(73(19,20)21)64(78-28)54(40-46)74(22,23)24/h29-40H,41-42H2,1-28H3</t>
  </si>
  <si>
    <t>ZNORAFJUESSLTM-UHFFFAOYSA-N</t>
  </si>
  <si>
    <t>ZNORAFJUESSLTM</t>
  </si>
  <si>
    <t>L40</t>
  </si>
  <si>
    <t>(R)-Cl-MeO-BIPHEP</t>
  </si>
  <si>
    <t>185913-97-7</t>
  </si>
  <si>
    <t>C38H30Cl2O2P2</t>
  </si>
  <si>
    <t>ClC1=CC=C(C(=C1OC)C=2C(OC)=C(Cl)C=CC2P(C=3C=CC=CC3)C=4C=CC=CC4)P(C=5C=CC=CC5)C=6C=CC=CC6</t>
  </si>
  <si>
    <t>InChI=1S/C38H30Cl2O2P2/c1-41-37-31(39)23-25-33(43(27-15-7-3-8-16-27)28-17-9-4-10-18-28)35(37)36-34(26-24-32(40)38(36)42-2)44(29-19-11-5-12-20-29)30-21-13-6-14-22-30/h3-26H,1-2H3</t>
  </si>
  <si>
    <t>GCBRCSSVOVNEIX-UHFFFAOYSA-N</t>
  </si>
  <si>
    <t>GCBRCSSVOVNEIX</t>
  </si>
  <si>
    <t>L41</t>
  </si>
  <si>
    <t>SL-A109-1</t>
  </si>
  <si>
    <t>352655-61-9</t>
  </si>
  <si>
    <t>C74H104O6P2</t>
  </si>
  <si>
    <t>O(C1=CC=CC(=C1C=2C(OC)=CC=CC2P(C=3C=C(C(OC)=C(C3)C(C)(C)C)C(C)(C)C)C=4C=C(C(OC)=C(C4)C(C)(C)C)C(C)(C)C)P(C=5C=C(C(OC)=C(C5)C(C)(C)C)C(C)(C)C)C=6C=C(C(OC)=C(C6)C(C)(C)C)C(C)(C)C)C</t>
  </si>
  <si>
    <t>InChI=1S/C74H104O6P2/c1-67(2,3)49-37-45(38-50(63(49)77-27)68(4,5)6)81(46-39-51(69(7,8)9)64(78-28)52(40-46)70(10,11)12)59-35-31-33-57(75-25)61(59)62-58(76-26)34-32-36-60(62)82(47-41-53(71(13,14)15)65(79-29)54(42-47)72(16,17)18)48-43-55(73(19,20)21)66(80-30)56(44-48)74(22,23)24/h31-44H,1-30H3</t>
  </si>
  <si>
    <t>JSSIQFXOSWLAGA-UHFFFAOYSA-N</t>
  </si>
  <si>
    <t>JSSIQFXOSWLAGA</t>
  </si>
  <si>
    <t>L42</t>
  </si>
  <si>
    <t>SL-A120-1</t>
  </si>
  <si>
    <t>394248-45-4</t>
  </si>
  <si>
    <t>C46H48O2P2</t>
  </si>
  <si>
    <t>O(C1=CC=CC(=C1C=2C(OC)=CC=CC2P(C=3C=C(C=C(C3)C)C)C=4C=C(C=C(C4)C)C)P(C=5C=C(C=C(C5)C)C)C=6C=C(C=C(C6)C)C)C</t>
  </si>
  <si>
    <t>InChI=1S/C46H48O2P2/c1-29-17-30(2)22-37(21-29)49(38-23-31(3)18-32(4)24-38)43-15-11-13-41(47-9)45(43)46-42(48-10)14-12-16-44(46)50(39-25-33(5)19-34(6)26-39)40-27-35(7)20-36(8)28-40/h11-28H,1-10H3</t>
  </si>
  <si>
    <t>IMUHNRWTDUVXOU-UHFFFAOYSA-N</t>
  </si>
  <si>
    <t>IMUHNRWTDUVXOU</t>
  </si>
  <si>
    <t>L43</t>
  </si>
  <si>
    <t>SL-A107-1</t>
  </si>
  <si>
    <t>352655-40-4</t>
  </si>
  <si>
    <t>C70H100N4O2P2</t>
  </si>
  <si>
    <t>O(C1=CC=CC(=C1C=2C(OC)=CC=CC2P(C=3C=C(C(=C(C3)C(C)C)N(C)C)C(C)C)C=4C=C(C(=C(C4)C(C)C)N(C)C)C(C)C)P(C=5C=C(C(=C(C5)C(C)C)N(C)C)C(C)C)C=6C=C(C(=C(C6)C(C)C)N(C)C)C(C)C)C</t>
  </si>
  <si>
    <t>InChI=1S/C70H100N4O2P2/c1-41(2)53-33-49(34-54(42(3)4)67(53)71(17)18)77(50-35-55(43(5)6)68(72(19)20)56(36-50)44(7)8)63-31-27-29-61(75-25)65(63)66-62(76-26)30-28-32-64(66)78(51-37-57(45(9)10)69(73(21)22)58(38-51)46(11)12)52-39-59(47(13)14)70(74(23)24)60(40-52)48(15)16/h27-48H,1-26H3</t>
  </si>
  <si>
    <t>SBQGDYGNDIQAIT-UHFFFAOYSA-N</t>
  </si>
  <si>
    <t>SBQGDYGNDIQAIT</t>
  </si>
  <si>
    <t>L44</t>
  </si>
  <si>
    <t>SL-A108-2</t>
  </si>
  <si>
    <t>145214-59-1</t>
  </si>
  <si>
    <t>C30H24O6P2</t>
  </si>
  <si>
    <t>O1C=CC=C1P(C=2OC=CC2)C=3C=CC=C(OC)C3C=4C(OC)=CC=CC4P(C=5OC=CC5)C=6OC=CC6</t>
  </si>
  <si>
    <t>InChI=1S/C30H24O6P2/c1-31-21-9-3-11-23(37(25-13-5-17-33-25)26-14-6-18-34-26)29(21)30-22(32-2)10-4-12-24(30)38(27-15-7-19-35-27)28-16-8-20-36-28/h3-20H,1-2H3</t>
  </si>
  <si>
    <t>ABGYJVGTLXSMBM-UHFFFAOYSA-N</t>
  </si>
  <si>
    <t>ABGYJVGTLXSMBM</t>
  </si>
  <si>
    <t>L45</t>
  </si>
  <si>
    <t>SL-A102-2</t>
  </si>
  <si>
    <t>133545-25-2</t>
  </si>
  <si>
    <t>C42H40O2P2</t>
  </si>
  <si>
    <t>O(C1=CC=CC(=C1C=2C(OC)=CC=CC2P(C3=CC=C(C=C3)C)C4=CC=C(C=C4)C)P(C5=CC=C(C=C5)C)C6=CC=C(C=C6)C)C</t>
  </si>
  <si>
    <t>InChI=1S/C42H40O2P2/c1-29-13-21-33(22-14-29)45(34-23-15-30(2)16-24-34)39-11-7-9-37(43-5)41(39)42-38(44-6)10-8-12-40(42)46(35-25-17-31(3)18-26-35)36-27-19-32(4)20-28-36/h7-28H,1-6H3</t>
  </si>
  <si>
    <t>DTMVLPFJTUJZAY-UHFFFAOYSA-N</t>
  </si>
  <si>
    <t>DTMVLPFJTUJZAY</t>
  </si>
  <si>
    <t>L46</t>
  </si>
  <si>
    <t>SL-A121-1</t>
  </si>
  <si>
    <t>192138-05-9</t>
  </si>
  <si>
    <t>C70H96O2P2</t>
  </si>
  <si>
    <t>O(C1=CC=CC(=C1C=2C(OC)=CC=CC2P(C=3C=C(C=C(C3)C(C)(C)C)C(C)(C)C)C=4C=C(C=C(C4)C(C)(C)C)C(C)(C)C)P(C=5C=C(C=C(C5)C(C)(C)C)C(C)(C)C)C=6C=C(C=C(C6)C(C)(C)C)C(C)(C)C)C</t>
  </si>
  <si>
    <t>InChI=1S/C70H96O2P2/c1-63(2,3)45-33-46(64(4,5)6)38-53(37-45)73(54-39-47(65(7,8)9)34-48(40-54)66(10,11)12)59-31-27-29-57(71-25)61(59)62-58(72-26)30-28-32-60(62)74(55-41-49(67(13,14)15)35-50(42-55)68(16,17)18)56-43-51(69(19,20)21)36-52(44-56)70(22,23)24/h27-44H,1-26H3</t>
  </si>
  <si>
    <t>PBYRAYONARLAQJ-UHFFFAOYSA-N</t>
  </si>
  <si>
    <t>PBYRAYONARLAQJ</t>
  </si>
  <si>
    <t>L47</t>
  </si>
  <si>
    <t>SL-A104-1</t>
  </si>
  <si>
    <t>256390-47-3</t>
  </si>
  <si>
    <t>C50H56O14P2</t>
  </si>
  <si>
    <t>O(C=1C=C(C=C(OC)C1OC)P(C2=CC(OC)=C(OC)C(OC)=C2)C=3C=CC=C(OC)C3C=4C(OC)=CC=CC4P(C5=CC(OC)=C(OC)C(OC)=C5)C6=CC(OC)=C(OC)C(OC)=C6)C</t>
  </si>
  <si>
    <t>InChI=1S/C50H56O14P2/c1-51-33-17-15-19-43(65(29-21-35(53-3)47(61-11)36(22-29)54-4)30-23-37(55-5)48(62-12)38(24-30)56-6)45(33)46-34(52-2)18-16-20-44(46)66(31-25-39(57-7)49(63-13)40(26-31)58-8)32-27-41(59-9)50(64-14)42(28-32)60-10/h15-28H,1-14H3</t>
  </si>
  <si>
    <t>JZCMGMXFWZWFRX-UHFFFAOYSA-N</t>
  </si>
  <si>
    <t>JZCMGMXFWZWFRX</t>
  </si>
  <si>
    <t>L48</t>
  </si>
  <si>
    <t>(R)-GarPhos</t>
  </si>
  <si>
    <t>1365531-75-4</t>
  </si>
  <si>
    <t>C40H36O4P2</t>
  </si>
  <si>
    <t>O(C1=CC(OC)=C(C(=C1)P(C=2C=CC=CC2)C=3C=CC=CC3)C4=C(OC)C=C(OC)C=C4P(C=5C=CC=CC5)C=6C=CC=CC6)C</t>
  </si>
  <si>
    <t>InChI=1S/C40H36O4P2/c1-41-29-25-35(43-3)39(37(27-29)45(31-17-9-5-10-18-31)32-19-11-6-12-20-32)40-36(44-4)26-30(42-2)28-38(40)46(33-21-13-7-14-22-33)34-23-15-8-16-24-34/h5-28H,1-4H3</t>
  </si>
  <si>
    <t>YSQIPQZYSQJPNL-UHFFFAOYSA-N</t>
  </si>
  <si>
    <t>YSQIPQZYSQJPNL</t>
  </si>
  <si>
    <t>L49</t>
  </si>
  <si>
    <t>(R)-Xyl-GarPhos</t>
  </si>
  <si>
    <t>1365531-89-0</t>
  </si>
  <si>
    <t>C48H52O4P2</t>
  </si>
  <si>
    <t>O(C1=CC(OC)=C(C(=C1)P(C=2C=C(C=C(C2)C)C)C=3C=C(C=C(C3)C)C)C4=C(OC)C=C(OC)C=C4P(C=5C=C(C=C(C5)C)C)C=6C=C(C=C(C6)C)C)C</t>
  </si>
  <si>
    <t>InChI=1S/C48H52O4P2/c1-29-13-30(2)18-39(17-29)53(40-19-31(3)14-32(4)20-40)45-27-37(49-9)25-43(51-11)47(45)48-44(52-12)26-38(50-10)28-46(48)54(41-21-33(5)15-34(6)22-41)42-23-35(7)16-36(8)24-42/h13-28H,1-12H3</t>
  </si>
  <si>
    <t>IDNKFBDRZBLTFQ-UHFFFAOYSA-N</t>
  </si>
  <si>
    <t>IDNKFBDRZBLTFQ</t>
  </si>
  <si>
    <t>L50</t>
  </si>
  <si>
    <t>(R)-DTBM-GarPhos</t>
  </si>
  <si>
    <t>1365531-98-1</t>
  </si>
  <si>
    <t>C76H108O8P2</t>
  </si>
  <si>
    <t>O(C1=CC(OC)=C(C(=C1)P(C=2C=C(C(OC)=C(C2)C(C)(C)C)C(C)(C)C)C=3C=C(C(OC)=C(C3)C(C)(C)C)C(C)(C)C)C4=C(OC)C=C(OC)C=C4P(C=5C=C(C(OC)=C(C5)C(C)(C)C)C(C)(C)C)C=6C=C(C(OC)=C(C6)C(C)(C)C)C(C)(C)C)C</t>
  </si>
  <si>
    <t>InChI=1S/C76H108O8P2/c1-69(2,3)51-37-47(38-52(65(51)81-29)70(4,5)6)85(48-39-53(71(7,8)9)66(82-30)54(40-48)72(10,11)12)61-35-45(77-25)33-59(79-27)63(61)64-60(80-28)34-46(78-26)36-62(64)86(49-41-55(73(13,14)15)67(83-31)56(42-49)74(16,17)18)50-43-57(75(19,20)21)68(84-32)58(44-50)76(22,23)24/h33-44H,1-32H3</t>
  </si>
  <si>
    <t>KACYLFSRRUJDSY-UHFFFAOYSA-N</t>
  </si>
  <si>
    <t>KACYLFSRRUJDSY</t>
  </si>
  <si>
    <t>L51</t>
  </si>
  <si>
    <t>(S)-iPr-BIPHEP</t>
  </si>
  <si>
    <t>150971-43-0</t>
  </si>
  <si>
    <t>C26H40O2P2</t>
  </si>
  <si>
    <t>O(C1=CC=CC(=C1C=2C(OC)=CC=CC2P(C(C)C)C(C)C)P(C(C)C)C(C)C)C</t>
  </si>
  <si>
    <t>InChI=1S/C26H40O2P2/c1-17(2)29(18(3)4)23-15-11-13-21(27-9)25(23)26-22(28-10)14-12-16-24(26)30(19(5)6)20(7)8/h11-20H,1-10H3</t>
  </si>
  <si>
    <t>HLLUWVKDDQIKNF-UHFFFAOYSA-N</t>
  </si>
  <si>
    <t>HLLUWVKDDQIKNF</t>
  </si>
  <si>
    <t>L52</t>
  </si>
  <si>
    <t>(R)-C3-TunePhos</t>
  </si>
  <si>
    <t>301847-89-2</t>
  </si>
  <si>
    <t>C39H32O2P2</t>
  </si>
  <si>
    <t>O1C2=CC=CC(=C2C=3C(OCCC1)=CC=CC3P(C=4C=CC=CC4)C=5C=CC=CC5)P(C=6C=CC=CC6)C=7C=CC=CC7</t>
  </si>
  <si>
    <t>InChI=1S/C39H32O2P2/c1-5-16-30(17-6-1)42(31-18-7-2-8-19-31)36-26-13-24-34-38(36)39-35(41-29-15-28-40-34)25-14-27-37(39)43(32-20-9-3-10-21-32)33-22-11-4-12-23-33/h1-14,16-27H,15,28-29H2</t>
  </si>
  <si>
    <t>GTIXSUJKFAATAE-UHFFFAOYSA-N</t>
  </si>
  <si>
    <t>GTIXSUJKFAATAE</t>
  </si>
  <si>
    <t>L53</t>
  </si>
  <si>
    <t>(S,S)-iPr-BPE</t>
  </si>
  <si>
    <t>528854-34-4</t>
  </si>
  <si>
    <t>C22H44P2</t>
  </si>
  <si>
    <t>P1(CCP2C(CCC2C(C)C)C(C)C)C(CCC1C(C)C)C(C)C</t>
  </si>
  <si>
    <t>C(C[P@]1[C@H]([C@H](C)C)CC[C@H]1C(C)C)[P@]2[C@H]([C@H](C)C)CC[C@H]2C(C)C</t>
  </si>
  <si>
    <t>InChI=1S/C22H44P2/c1-15(2)19-9-10-20(16(3)4)23(19)13-14-24-21(17(5)6)11-12-22(24)18(7)8/h15-22H,9-14H2,1-8H3/t19-,20-,21-,22-/m0/s1</t>
  </si>
  <si>
    <t>IRVIFEWWPYKALC-CMOCDZPBSA-N</t>
  </si>
  <si>
    <t>IRVIFEWWPYKALC</t>
  </si>
  <si>
    <t>L54</t>
  </si>
  <si>
    <t>(R,R,R)-SPIRAP</t>
  </si>
  <si>
    <t>NA</t>
  </si>
  <si>
    <t>C43H38O2P2</t>
  </si>
  <si>
    <t>CCC(O1)C2=C(C31C4=C(C(CC)O3)C=CC=C4P(C5=CC=CC=C5)C6=CC=CC=C6)C(P(C7=CC=CC=C7)C8=CC=CC=C8)=CC=C2</t>
  </si>
  <si>
    <t>CC[C@@H](O1)C2=C([C@]31C4=C([C@@H](CC)O3)C=CC=C4P(C5=CC=CC=C5)C6=CC=CC=C6)C(P(C7=CC=CC=C7)C8=CC=CC=C8)=CC=C2</t>
  </si>
  <si>
    <t>InChI=1S/C43H38O2P2/c1-3-37-35-27-17-29-39(46(31-19-9-5-10-20-31)32-21-11-6-12-22-32)41(35)43(44-37)42-36(38(4-2)45-43)28-18-30-40(42)47(33-23-13-7-14-24-33)34-25-15-8-16-26-34/h5-30,37-38H,3-4H2,1-2H3/t37-,38-,43-/m1/s1</t>
  </si>
  <si>
    <t>PRORVWYPBRMLLA-FFUXEPPCSA-N</t>
  </si>
  <si>
    <t>PRORVWYPBRMLLA</t>
  </si>
  <si>
    <t>L55</t>
  </si>
  <si>
    <t>(R,R,S,S)-DuanPhos</t>
  </si>
  <si>
    <t>528814-26-8</t>
  </si>
  <si>
    <t>C24H32P2</t>
  </si>
  <si>
    <t>C=1C=CC2=C(C1)CP(C2C3C=4C=CC=CC4CP3C(C)(C)C)C(C)(C)C</t>
  </si>
  <si>
    <t>C(C)(C)(C)[P@@]1[C@](C=2C(C1)=CC=CC2)([C@]3(C=4C(C[P@@]3C(C)(C)C)=CC=CC4)[H])[H]</t>
  </si>
  <si>
    <t>InChI=1S/C24H32P2/c1-23(2,3)25-15-17-11-7-9-13-19(17)21(25)22-20-14-10-8-12-18(20)16-26(22)24(4,5)6/h7-14,21-22H,15-16H2,1-6H3/t21-,22-,25+,26+/m1/s1</t>
  </si>
  <si>
    <t>HCBRTCFUVLYSKU-PWGHIRGTSA-N</t>
  </si>
  <si>
    <t>HCBRTCFUVLYSKU</t>
  </si>
  <si>
    <t>L56</t>
  </si>
  <si>
    <t>(R,R)-DiPamp</t>
  </si>
  <si>
    <t>55739-58-7</t>
  </si>
  <si>
    <t>C28H28O2P2</t>
  </si>
  <si>
    <t>O(C=1C=CC=CC1P(C=2C=CC=CC2)CCP(C=3C=CC=CC3)C=4C=CC=CC4OC)C</t>
  </si>
  <si>
    <t>[P@](CC[P@@](C1=C(OC)C=CC=C1)C2=CC=CC=C2)(C3=C(OC)C=CC=C3)C4=CC=CC=C4</t>
  </si>
  <si>
    <t>InChI=1S/C28H28O2P2/c1-29-25-17-9-11-19-27(25)31(23-13-5-3-6-14-23)21-22-32(24-15-7-4-8-16-24)28-20-12-10-18-26(28)30-2/h3-20H,21-22H2,1-2H3/t31-,32-/m1/s1</t>
  </si>
  <si>
    <t>QKZWXPLBVCKXNQ-ROJLCIKYSA-N</t>
  </si>
  <si>
    <t>QKZWXPLBVCKXNQ</t>
  </si>
  <si>
    <t>L57</t>
  </si>
  <si>
    <t>(R)-iPr-PHOX</t>
  </si>
  <si>
    <t>164858-78-0</t>
  </si>
  <si>
    <t>C24H24NOP</t>
  </si>
  <si>
    <t>PN</t>
  </si>
  <si>
    <t>N1=C(OCC1C(C)C)C=2C=CC=CC2P(C=3C=CC=CC3)C=4C=CC=CC4</t>
  </si>
  <si>
    <t>P(C1=C(C=CC=C1)C2=N[C@H](C(C)C)CO2)(C3=CC=CC=C3)C4=CC=CC=C4</t>
  </si>
  <si>
    <t>InChI=1S/C24H24NOP/c1-18(2)22-17-26-24(25-22)21-15-9-10-16-23(21)27(19-11-5-3-6-12-19)20-13-7-4-8-14-20/h3-16,18,22H,17H2,1-2H3/t22-/m0/s1</t>
  </si>
  <si>
    <t>OUQSAXROROGQEE-QFIPXVFZSA-N</t>
  </si>
  <si>
    <t>OUQSAXROROGQEE</t>
  </si>
  <si>
    <t>L58</t>
  </si>
  <si>
    <t>SL-F131-1</t>
  </si>
  <si>
    <t>899811-43-9</t>
  </si>
  <si>
    <t>C50H54Fe3N2P2</t>
  </si>
  <si>
    <t>C=1C=CC(=CC1)P([C-]23[CH]4=[CH]5[CH]6=[CH]2[Fe+2]56789%1043[CH]=%11[CH]%10=[CH]9[C-]8(P(C=%12C=CC=CC%12)[C-]%13%14[CH]%15=[CH]%16[CH]%17=C%13(C(N(C)C)C)[Fe+2]%18%19%20%21%16%17%15%14[CH]=%22[CH]%21=[CH]%20[CH-]%19[CH]%22%18)[CH]%117)[C-]%23%24[CH]%25=[CH]%26[CH]%27=C%23(C(N(C)C)C)[Fe+2]%28%29%30%31%26%27%25%24[CH]=%32[CH]%31=[CH]%30[CH-]%29[CH]%32%28</t>
  </si>
  <si>
    <t>[P@]([C-]12[Fe+2]3456789([C-]%10([P@@]([C-]%11%12[Fe+2]%13%14%15%16%17%18%19(C%11([C@H](N(C)C)C)=[CH]%13C%14(=C%12%15[H])[H])[CH-]%20[CH]%16=[CH]%17[CH]%18=[CH]%19%20)C%21=CC=CC=C%21)[CH]3=[CH]4[CH]5=[CH]6%10)[CH]1=[CH]7[CH]8=[CH]92)([C-]%22%23[Fe+2]%24%25%26%27%28%29%30(C%22([C@H](N(C)C)C)=[CH]%24C%25(=C%23%26[H])[H])[CH-]%31[CH]%27=[CH]%28[CH]%29=[CH]%30%31)C%32=CC=CC=C%32</t>
  </si>
  <si>
    <t>InChI=1S/2C20H22NP.2C5H5.3Fe/c2*1-16(21(2)3)19-14-9-15-20(19)22(18-12-7-8-13-18)17-10-5-4-6-11-17;2*1-2-4-5-3-1;;;/h2*4-16H,1-3H3;2*1-5H;;;/q2*-2;2*-1;3*+2/t2*16-,22+;;;;;/m11...../s1</t>
  </si>
  <si>
    <t>HZMMBYQKINSWIT-MUFRMHGMSA-N</t>
  </si>
  <si>
    <t>HZMMBYQKINSWIT</t>
  </si>
  <si>
    <t>L59</t>
  </si>
  <si>
    <t xml:space="preserve"> (R)-Xyl-SDP</t>
  </si>
  <si>
    <t>917377-75-4</t>
  </si>
  <si>
    <t>C49H50P2</t>
  </si>
  <si>
    <t>C=1C=C(C2=C(C1)CCC23C=4C(=CC=CC4CC3)P(C=5C=C(C=C(C5)C)C)C=6C=C(C=C(C6)C)C)P(C=7C=C(C=C(C7)C)C)C=8C=C(C=C(C8)C)C</t>
  </si>
  <si>
    <t>InChI=1S/C49H50P2/c1-31-19-32(2)24-41(23-31)50(42-25-33(3)20-34(4)26-42)45-13-9-11-39-15-17-49(47(39)45)18-16-40-12-10-14-46(48(40)49)51(43-27-35(5)21-36(6)28-43)44-29-37(7)22-38(8)30-44/h9-14,19-30H,15-18H2,1-8H3</t>
  </si>
  <si>
    <t>AZSBNBQMIMQOPG-UHFFFAOYSA-N</t>
  </si>
  <si>
    <t>AZSBNBQMIMQOPG</t>
  </si>
  <si>
    <t>L60</t>
  </si>
  <si>
    <t>(S)-DM-MonoPhos</t>
  </si>
  <si>
    <t>185449-86-9</t>
  </si>
  <si>
    <t>C24H22NO2P</t>
  </si>
  <si>
    <t>Phosphoramidite</t>
  </si>
  <si>
    <t>O1C2=C(C=C3C=CC=CC3=C2C4=C(OP1N(C)C)C(=CC=5C=CC=CC54)C)C</t>
  </si>
  <si>
    <t>InChI=1S/C24H22NO2P/c1-15-13-17-9-5-7-11-19(17)21-22-20-12-8-6-10-18(20)14-16(2)24(22)27-28(25(3)4)26-23(15)21/h5-14H,1-4H3</t>
  </si>
  <si>
    <t>MXASPZVRFOFONU-UHFFFAOYSA-N</t>
  </si>
  <si>
    <t>MXASPZVRFOFONU</t>
  </si>
  <si>
    <t>L61</t>
  </si>
  <si>
    <t>(R)-Ph-Monophos</t>
  </si>
  <si>
    <t>936010-61-6</t>
  </si>
  <si>
    <t>C34H26NO2P</t>
  </si>
  <si>
    <t>O1C2=C(C=C3C=CC=CC3=C2C4=C(OP1N(C)C)C(=CC=5C=CC=CC54)C=6C=CC=CC6)C=7C=CC=CC7</t>
  </si>
  <si>
    <t>InChI=1S/C34H26NO2P/c1-35(2)38-36-33-29(23-13-5-3-6-14-23)21-25-17-9-11-19-27(25)31(33)32-28-20-12-10-18-26(28)22-30(34(32)37-38)24-15-7-4-8-16-24/h3-22H,1-2H3</t>
  </si>
  <si>
    <t>AHZJWCMLBZSNSW-UHFFFAOYSA-N</t>
  </si>
  <si>
    <t>AHZJWCMLBZSNSW</t>
  </si>
  <si>
    <t>L62</t>
  </si>
  <si>
    <t>(S)-NEt2-MonoPhos</t>
  </si>
  <si>
    <t>252288-04-3</t>
  </si>
  <si>
    <t>O1C=2C=CC=3C=CC=CC3C2C4=C(OP1N(CC)CC)C=CC=5C=CC=CC54</t>
  </si>
  <si>
    <t>InChI=1S/C24H22NO2P/c1-3-25(4-2)28-26-21-15-13-17-9-5-7-11-19(17)23(21)24-20-12-8-6-10-18(20)14-16-22(24)27-28/h5-16H,3-4H2,1-2H3</t>
  </si>
  <si>
    <t>SQKCCVLITFBZPD-UHFFFAOYSA-N</t>
  </si>
  <si>
    <t>SQKCCVLITFBZPD</t>
  </si>
  <si>
    <t>L63</t>
  </si>
  <si>
    <t>(R,R,R)-Xyl-SKP</t>
  </si>
  <si>
    <t>1429939-35-4</t>
  </si>
  <si>
    <t>C52H54O2P2</t>
  </si>
  <si>
    <t>O1C=2C(=CC=CC2CC3CCCC4CC=5C=CC=C(C5OC134)P(C=6C=C(C=C(C6)C)C)C=7C=C(C=C(C7)C)C)P(C=8C=C(C=C(C8)C)C)C=9C=C(C=C(C9)C)C</t>
  </si>
  <si>
    <t>InChI=1S/C52H54O2P2/c1-32-18-33(2)23-44(22-32)55(45-24-34(3)19-35(4)25-45)48-16-9-12-40-30-42-14-11-15-43-31-41-13-10-17-49(51(41)54-52(42,43)53-50(40)48)56(46-26-36(5)20-37(6)27-46)47-28-38(7)21-39(8)29-47/h9-10,12-13,16-29,42-43H,11,14-15,30-31H2,1-8H3</t>
  </si>
  <si>
    <t>IYNVDHXMWJJRHM-UHFFFAOYSA-N</t>
  </si>
  <si>
    <t>IYNVDHXMWJJRHM</t>
  </si>
  <si>
    <t>L64</t>
  </si>
  <si>
    <t>(R,R)-Ph-BPE</t>
  </si>
  <si>
    <t>528565-79-9</t>
  </si>
  <si>
    <t>C34H36P2</t>
  </si>
  <si>
    <t>C=1C=CC(=CC1)C2P(CCP3C(C=4C=CC=CC4)CCC3C=5C=CC=CC5)C(C=6C=CC=CC6)CC2</t>
  </si>
  <si>
    <t>C(C[P@]1[C@](CC[C@@]1(C2=CC=CC=C2)[H])(C3=CC=CC=C3)[H])[P@]4[C@](CC[C@@]4(C5=CC=CC=C5)[H])(C6=CC=CC=C6)[H]</t>
  </si>
  <si>
    <t>InChI=1S/C34H36P2/c1-5-13-27(14-6-1)31-21-22-32(28-15-7-2-8-16-28)35(31)25-26-36-33(29-17-9-3-10-18-29)23-24-34(36)30-19-11-4-12-20-30/h1-20,31-34H,21-26H2/t31-,32-,33-,34-/m1/s1</t>
  </si>
  <si>
    <t>VHHAZLMVLLIMHT-YFRBGRBWSA-N</t>
  </si>
  <si>
    <t>VHHAZLMVLLIMHT</t>
  </si>
  <si>
    <t>L65</t>
  </si>
  <si>
    <t>(S,S)-ChiraPhos</t>
  </si>
  <si>
    <t>64896-28-2</t>
  </si>
  <si>
    <t>C28H28P2</t>
  </si>
  <si>
    <t>C=1C=CC(=CC1)P(C=2C=CC=CC2)C(C)C(P(C=3C=CC=CC3)C=4C=CC=CC4)C</t>
  </si>
  <si>
    <t>P([C@H]([C@@H](P(C1=CC=CC=C1)C2=CC=CC=C2)C)C)(C3=CC=CC=C3)C4=CC=CC=C4</t>
  </si>
  <si>
    <t>InChI=1S/C28H28P2/c1-23(29(25-15-7-3-8-16-25)26-17-9-4-10-18-26)24(2)30(27-19-11-5-12-20-27)28-21-13-6-14-22-28/h3-24H,1-2H3/t23-,24-/m0/s1</t>
  </si>
  <si>
    <t>FWXAUDSWDBGCMN-ZEQRLZLVSA-N</t>
  </si>
  <si>
    <t>FWXAUDSWDBGCMN</t>
  </si>
  <si>
    <t>L66</t>
  </si>
  <si>
    <t>(R,R)-Et-BPE</t>
  </si>
  <si>
    <t>136705-62-9</t>
  </si>
  <si>
    <t>C18H36P2</t>
  </si>
  <si>
    <t>P1(CCP2C(CC)CCC2CC)C(CC)CCC1CC</t>
  </si>
  <si>
    <t>C(C[P@@]1[C@H](CC)CC[C@H]1CC)[P@]2[C@H](CC)CC[C@H]2CC</t>
  </si>
  <si>
    <t>InChI=1S/C18H36P2/c1-5-15-9-10-16(6-2)19(15)13-14-20-17(7-3)11-12-18(20)8-4/h15-18H,5-14H2,1-4H3/t15-,16-,17-,18-/m1/s1</t>
  </si>
  <si>
    <t>QOLRLVPABLMMKI-BRSBDYLESA-N</t>
  </si>
  <si>
    <t>QOLRLVPABLMMKI</t>
  </si>
  <si>
    <t>L67</t>
  </si>
  <si>
    <t>(R)-QuinoxP</t>
  </si>
  <si>
    <t>866081-62-1</t>
  </si>
  <si>
    <t>C18H28N2P2</t>
  </si>
  <si>
    <t>N=1C=2C=CC=CC2N=C(C1P(C)C(C)(C)C)P(C)C(C)(C)C</t>
  </si>
  <si>
    <t>[P@](C(C)(C)C)(C)C=1C([P@@](C(C)(C)C)C)=NC2=C(N1)C=CC=C2</t>
  </si>
  <si>
    <t>InChI=1S/C18H28N2P2/c1-17(2,3)21(7)15-16(22(8)18(4,5)6)20-14-12-10-9-11-13(14)19-15/h9-12H,1-8H3/t21-,22-/m0/s1</t>
  </si>
  <si>
    <t>DRZBLHZZDMCPGX-VXKWHMMOSA-N</t>
  </si>
  <si>
    <t>DRZBLHZZDMCPGX</t>
  </si>
  <si>
    <t>L68</t>
  </si>
  <si>
    <t>(R,R)-Et-DuPhos</t>
  </si>
  <si>
    <t>136705-64-1</t>
  </si>
  <si>
    <t>C22H36P2</t>
  </si>
  <si>
    <t>C=1C=CC(=C(C1)P2C(CC)CCC2CC)P3C(CC)CCC3CC</t>
  </si>
  <si>
    <t>C(C)[C@H]1[P@]([C@H](CC)CC1)C2=C(C=CC=C2)[P@@]3[C@H](CC)CC[C@H]3CC</t>
  </si>
  <si>
    <t>InChI=1S/C22H36P2/c1-5-17-13-14-18(6-2)23(17)21-11-9-10-12-22(21)24-19(7-3)15-16-20(24)8-4/h9-12,17-20H,5-8,13-16H2,1-4H3/t17-,18-,19-,20-/m1/s1</t>
  </si>
  <si>
    <t>GVVCHDNSTMEUCS-UAFMIMERSA-N</t>
  </si>
  <si>
    <t>GVVCHDNSTMEUCS</t>
  </si>
  <si>
    <t>L69</t>
  </si>
  <si>
    <t>(R,R)-Me-DuPhos</t>
  </si>
  <si>
    <t>147253-67-6</t>
  </si>
  <si>
    <t>C18H28P2</t>
  </si>
  <si>
    <t>C=1C=CC(=C(C1)P2C(C)CCC2C)P3C(C)CCC3C</t>
  </si>
  <si>
    <t>C[C@H]1[P@](C2=C(C=CC=C2)[P@@]3[C@H](C)CC[C@H]3C)[C@H](C)CC1</t>
  </si>
  <si>
    <t>InChI=1S/C18H28P2/c1-13-9-10-14(2)19(13)17-7-5-6-8-18(17)20-15(3)11-12-16(20)4/h5-8,13-16H,9-12H2,1-4H3/t13-,14-,15-,16-/m1/s1</t>
  </si>
  <si>
    <t>AJNZWRKTWQLAJK-KLHDSHLOSA-N</t>
  </si>
  <si>
    <t>AJNZWRKTWQLAJK</t>
  </si>
  <si>
    <t>L70</t>
  </si>
  <si>
    <t>(S)-PhanePhos</t>
  </si>
  <si>
    <t>192463-40-4</t>
  </si>
  <si>
    <t>C40H34P2</t>
  </si>
  <si>
    <t>C=1C=CC(=CC1)P(C=2C=CC=CC2)C3=CC4=CC=C3CCC5=CC=C(C(=C5)P(C=6C=CC=CC6)C=7C=CC=CC7)CC4</t>
  </si>
  <si>
    <t>InChI=1S/C40H34P2/c1-5-13-35(14-6-1)41(36-15-7-2-8-16-36)39-29-31-21-25-33(39)27-23-32-22-26-34(28-24-31)40(30-32)42(37-17-9-3-10-18-37)38-19-11-4-12-20-38/h1-22,25-26,29-30H,23-24,27-28H2</t>
  </si>
  <si>
    <t>GYZZZILPVUYAFJ-UHFFFAOYSA-N</t>
  </si>
  <si>
    <t>GYZZZILPVUYAFJ</t>
  </si>
  <si>
    <t>L71</t>
  </si>
  <si>
    <t xml:space="preserve">(S)-Me-iPr-PHOX </t>
  </si>
  <si>
    <t>1152313-76-2</t>
  </si>
  <si>
    <t>C26H28NOP</t>
  </si>
  <si>
    <t>N1=C(OC(C)(C)C1C(C)C)C=2C=CC=CC2P(C=3C=CC=CC3)C=4C=CC=CC4</t>
  </si>
  <si>
    <t>P(C1=C(C=CC=C1)C2=N[C@@H]([C@H](C)C)C(C)(C)O2)(C3=CC=CC=C3)C4=CC=CC=C4</t>
  </si>
  <si>
    <t>InChI=1S/C26H28NOP/c1-19(2)24-26(3,4)28-25(27-24)22-17-11-12-18-23(22)29(20-13-7-5-8-14-20)21-15-9-6-10-16-21/h5-19,24H,1-4H3/t24-/m0/s1</t>
  </si>
  <si>
    <t>JGUZEKBWCGNHHN-DEOSSOPVSA-N</t>
  </si>
  <si>
    <t>JGUZEKBWCGNHHN</t>
  </si>
  <si>
    <t>L72</t>
  </si>
  <si>
    <t>SL-N003-2</t>
  </si>
  <si>
    <t>163169-29-7</t>
  </si>
  <si>
    <t>C28H28FeNOP</t>
  </si>
  <si>
    <t>N1=C(OCC1C(C)C)C23=[CH]4[CH]5=[CH]6[C-]2(P(C=7C=CC=CC7)C=8C=CC=CC8)[Fe+2]9%10%11%125463[CH]=%13[CH]%12=[CH]%11[CH-]%10[CH]%139</t>
  </si>
  <si>
    <t>P([C-]12[Fe+2]3456789(C1(=[CH]3C4(=C52[H])[H])C%10=N[C@@H](C(C)C)CO%10)[CH-]%11[CH]6=[CH]7[CH]8=[CH]9%11)(C%12=CC=CC=C%12)C%13=CC=CC=C%13</t>
  </si>
  <si>
    <t>InChI=1S/C23H23NOP.C5H5.Fe/c1-17(2)21-16-25-23(24-21)20-14-9-15-22(20)26(18-10-5-3-6-11-18)19-12-7-4-8-13-19;1-2-4-5-3-1;/h3-15,17,21H,16H2,1-2H3;1-5H;/q2*-1;+2/t21-;;/m1../s1</t>
  </si>
  <si>
    <t>QBVUAVSTWGOOOJ-GHVWMZMZSA-N</t>
  </si>
  <si>
    <t>QBVUAVSTWGOOOJ</t>
  </si>
  <si>
    <t>L73</t>
  </si>
  <si>
    <t>(S)-NeoPHOX</t>
  </si>
  <si>
    <t>1199225-38-1</t>
  </si>
  <si>
    <t>C22H28NOP</t>
  </si>
  <si>
    <t>N1=C(OCC1C(C)C)C(C)(C)CP(C=2C=CC=CC2)C=3C=CC=CC3</t>
  </si>
  <si>
    <t>P(CC(C)(C)C1=N[C@@H]([C@@H](C)C)CO1)(C2=CC=CC=C2)C3=CC=CC=C3</t>
  </si>
  <si>
    <t>InChI=1S/C22H28NOP/c1-17(2)20-15-24-21(23-20)22(3,4)16-25(18-11-7-5-8-12-18)19-13-9-6-10-14-19/h5-14,17,20H,15-16H2,1-4H3/t20-/m1/s1</t>
  </si>
  <si>
    <t>FYXTWZZTVCGWFU-HXUWFJFHSA-N</t>
  </si>
  <si>
    <t>FYXTWZZTVCGWFU</t>
  </si>
  <si>
    <t>L74</t>
  </si>
  <si>
    <t>(R,R)-Me-BoPhoz</t>
  </si>
  <si>
    <t>406680-94-2</t>
  </si>
  <si>
    <t>C37H35FeNP2</t>
  </si>
  <si>
    <t>C=1C=CC(=CC1)P(C=2C=CC=CC2)N(C)C(C)C34=[CH]5[CH]6=[CH]7[C-]3(P(C=8C=CC=CC8)C=9C=CC=CC9)[Fe+2]%10%11%12%136574[CH]=%14[CH]%13=[CH]%12[CH-]%11[CH]%14%10</t>
  </si>
  <si>
    <t>P([C-]12[Fe+2]3456789(C1([C@H](N(P(C%10=CC=CC=C%10)C%11=CC=CC=C%11)C)C)=[CH]3C4(=C52[H])[H])[CH-]%12[CH]6=[CH]7[CH]8=[CH]9%12)(C%13=CC=CC=C%13)C%14=CC=CC=C%14</t>
  </si>
  <si>
    <t>InChI=1S/C32H30NP2.C5H5.Fe/c1-26(33(2)35(29-20-11-5-12-21-29)30-22-13-6-14-23-30)31-24-15-25-32(31)34(27-16-7-3-8-17-27)28-18-9-4-10-19-28;1-2-4-5-3-1;/h3-26H,1-2H3;1-5H;/q2*-1;+2/t26-;;/m1../s1</t>
  </si>
  <si>
    <t>STLJTGUMBHDDBX-FBHGDYMESA-N</t>
  </si>
  <si>
    <t>STLJTGUMBHDDBX</t>
  </si>
  <si>
    <t>L75</t>
  </si>
  <si>
    <t>(R)-Xyl-PhanePhos</t>
  </si>
  <si>
    <t>325168-89-6</t>
  </si>
  <si>
    <t>C48H50P2</t>
  </si>
  <si>
    <t>C=1C=C2C(=CC1CCC3=CC=C(C=C3P(C=4C=C(C=C(C4)C)C)C=5C=C(C=C(C5)C)C)CC2)P(C=6C=C(C=C(C6)C)C)C=7C=C(C=C(C7)C)C</t>
  </si>
  <si>
    <t>InChI=1S/C48H50P2/c1-31-17-32(2)22-43(21-31)49(44-23-33(3)18-34(4)24-44)47-29-39-9-13-41(47)15-11-40-10-14-42(16-12-39)48(30-40)50(45-25-35(5)19-36(6)26-45)46-27-37(7)20-38(8)28-46/h9-10,13-14,17-30H,11-12,15-16H2,1-8H3</t>
  </si>
  <si>
    <t>LYHOBZAADXPPNW-UHFFFAOYSA-N</t>
  </si>
  <si>
    <t>LYHOBZAADXPPNW</t>
  </si>
  <si>
    <t>L76</t>
  </si>
  <si>
    <t>(S,S)-f-Binaphane</t>
  </si>
  <si>
    <t>544461-38-3</t>
  </si>
  <si>
    <t>C54H40FeP2</t>
  </si>
  <si>
    <t>C=1C=CC2=C(C1)C=CC3=C2C4=C5C=CC=CC5=CC=C4CP(C3)[C-]67[CH]8=[CH]9[CH]%10=[CH]6[Fe+2]9%10%11%12%13%1487[CH]=%15[CH]%14=[CH]%13[C-]%12(P%16CC=%17C=CC=%18C=CC=CC%18C%17C%19=C%20C=CC=CC%20=CC=C%19C%16)[CH]%15%11</t>
  </si>
  <si>
    <t>InChI=1S/2C27H20P.Fe/c2*1-5-11-24-19(7-1)13-15-21-17-28(23-9-3-4-10-23)18-22-16-14-20-8-2-6-12-25(20)27(22)26(21)24;/h2*1-16H,17-18H2;/q2*-1;+2</t>
  </si>
  <si>
    <t>FAODJWUILAQKLY-UHFFFAOYSA-N</t>
  </si>
  <si>
    <t>FAODJWUILAQKLY</t>
  </si>
  <si>
    <t>L77</t>
  </si>
  <si>
    <t>(R,R)-BDPP</t>
  </si>
  <si>
    <t>96183-46-9</t>
  </si>
  <si>
    <t>C29H30P2</t>
  </si>
  <si>
    <t>C=1C=CC(=CC1)P(C=2C=CC=CC2)C(C)CC(P(C=3C=CC=CC3)C=4C=CC=CC4)C</t>
  </si>
  <si>
    <t>P([C@@H](C[C@H](P(C1=CC=CC=C1)C2=CC=CC=C2)C)C)(C3=CC=CC=C3)C4=CC=CC=C4</t>
  </si>
  <si>
    <t>InChI=1S/C29H30P2/c1-24(30(26-15-7-3-8-16-26)27-17-9-4-10-18-27)23-25(2)31(28-19-11-5-12-20-28)29-21-13-6-14-22-29/h3-22,24-25H,23H2,1-2H3/t24-,25-/m1/s1</t>
  </si>
  <si>
    <t>CTYPJIUQROQJBG-JWQCQUIFSA-N</t>
  </si>
  <si>
    <t>CTYPJIUQROQJBG</t>
  </si>
  <si>
    <t>L78</t>
  </si>
  <si>
    <t>(R,R)-NorPhos</t>
  </si>
  <si>
    <t>71042-55-2</t>
  </si>
  <si>
    <t>C31H28P2</t>
  </si>
  <si>
    <t>C=1C=CC(=CC1)P(C=2C=CC=CC2)C3C4C=CC(C4)C3P(C=5C=CC=CC5)C=6C=CC=CC6</t>
  </si>
  <si>
    <t>P([C@H]1[C@H]([P@@](C2=CC=CC=C2)C3=CC=CC=C3)[C@@H]4C[C@H]1C=C4)(C5=CC=CC=C5)C6=CC=CC=C6</t>
  </si>
  <si>
    <t>InChI=1S/C31H28P2/c1-5-13-26(14-6-1)32(27-15-7-2-8-16-27)30-24-21-22-25(23-24)31(30)33(28-17-9-3-10-18-28)29-19-11-4-12-20-29/h1-22,24-25,30-31H,23H2/t24-,25+,30-,31-/m1/s1</t>
  </si>
  <si>
    <t>CDJHPMXMJUCLPA-RMDVPPNSSA-N</t>
  </si>
  <si>
    <t>CDJHPMXMJUCLPA</t>
  </si>
  <si>
    <t>L79</t>
  </si>
  <si>
    <t>(R,S)-BPPFA</t>
  </si>
  <si>
    <t>74311-56-1</t>
  </si>
  <si>
    <t>C38H37FeNP2</t>
  </si>
  <si>
    <t>C=1C=CC(=CC1)P(C=2C=CC=CC2)[C-]34[CH]5=[CH]6[CH]7=[CH]3[Fe+2]6789%10%1154[CH]=%12[CH]%11=C%10(C(N(C)C)C)[C-]9(P(C=%13C=CC=CC%13)C=%14C=CC=CC%14)[CH]%128</t>
  </si>
  <si>
    <t>P([C-]12[Fe+2]3456789(C1([C@H](N(C)C)C)=[CH]3C4(=C52[H])[H])[C-]%10(P(C%11=CC=CC=C%11)C%12=CC=CC=C%12)[CH]6=[CH]7[CH]8=[CH]9%10)(C%13=CC=CC=C%13)C%14=CC=CC=C%14</t>
  </si>
  <si>
    <t>InChI=1S/C21H23NP.C17H14P.Fe/c1-17(22(2)3)20-15-10-16-21(20)23(18-11-6-4-7-12-18)19-13-8-5-9-14-19;1-3-9-15(10-4-1)18(17-13-7-8-14-17)16-11-5-2-6-12-16;/h4-17H,1-3H3;1-14H;/q2*-1;+2/t17-;;/m1../s1</t>
  </si>
  <si>
    <t>IEEIDZAXDTVGGN-ZEECNFPPSA-N</t>
  </si>
  <si>
    <t>IEEIDZAXDTVGGN</t>
  </si>
  <si>
    <t>L80</t>
  </si>
  <si>
    <t>(R,R)-DIOP</t>
  </si>
  <si>
    <t>32305-98-9</t>
  </si>
  <si>
    <t>C31H32O2P2</t>
  </si>
  <si>
    <t>O1C(CP(C=2C=CC=CC2)C=3C=CC=CC3)C(OC1(C)C)CP(C=4C=CC=CC4)C=5C=CC=CC5</t>
  </si>
  <si>
    <t>P(C[C@H]1[C@H](CP(C2=CC=CC=C2)C3=CC=CC=C3)OC(C)(C)O1)(C4=CC=CC=C4)C5=CC=CC=C5</t>
  </si>
  <si>
    <t>InChI=1S/C31H32O2P2/c1-31(2)32-29(23-34(25-15-7-3-8-16-25)26-17-9-4-10-18-26)30(33-31)24-35(27-19-11-5-12-20-27)28-21-13-6-14-22-28/h3-22,29-30H,23-24H2,1-2H3/t29-,30-/m0/s1</t>
  </si>
  <si>
    <t>VCHDBLPQYJAQSQ-KYJUHHDHSA-N</t>
  </si>
  <si>
    <t>VCHDBLPQYJAQSQ</t>
  </si>
  <si>
    <t>L81</t>
  </si>
  <si>
    <t>(S)-Tol-tBu-PHOX</t>
  </si>
  <si>
    <t>218460-00-5</t>
  </si>
  <si>
    <t>C27H30NOP</t>
  </si>
  <si>
    <t>N1=C(OCC1C(C)(C)C)C=2C=CC=CC2P(C=3C=CC=CC3C)C=4C=CC=CC4C</t>
  </si>
  <si>
    <t>P(C1=C(C=CC=C1)C2=N[C@@H]([C@@](C)(C)C)CO2)(C3=C(C)C=CC=C3)C4=C(C)C=CC=C4</t>
  </si>
  <si>
    <t>InChI=1S/C27H30NOP/c1-19-12-6-9-15-22(19)30(23-16-10-7-13-20(23)2)24-17-11-8-14-21(24)26-28-25(18-29-26)27(3,4)5/h6-17,25H,18H2,1-5H3/t25-/m1/s1</t>
  </si>
  <si>
    <t>PWDWTBOBIGNWSX-RUZDIDTESA-N</t>
  </si>
  <si>
    <t>PWDWTBOBIGNWSX</t>
  </si>
  <si>
    <t>L82</t>
  </si>
  <si>
    <t>(S,S)-DPE-Phos</t>
  </si>
  <si>
    <t>2119686-55-2</t>
  </si>
  <si>
    <t>C38H32O3P2</t>
  </si>
  <si>
    <t>O(C=1C=CC=CC1P(C=2C=CC=CC2)C=3C=CC=CC3OC)C=4C=CC=CC4P(C=5C=CC=CC5)C=6C=CC=CC6OC</t>
  </si>
  <si>
    <t>[P@@](C1=C(OC2=C([P@](C3=C(OC)C=CC=C3)C4=CC=CC=C4)C=CC=C2)C=CC=C1)(C5=C(OC)C=CC=C5)C6=CC=CC=C6</t>
  </si>
  <si>
    <t>InChI=1S/C38H32O3P2/c1-39-31-21-9-13-25-35(31)42(29-17-5-3-6-18-29)37-27-15-11-23-33(37)41-34-24-12-16-28-38(34)43(30-19-7-4-8-20-30)36-26-14-10-22-32(36)40-2/h3-28H,1-2H3/t42-,43-/m0/s1</t>
  </si>
  <si>
    <t>DBFPCZTZUHIRHD-MJPWBCPGSA-N</t>
  </si>
  <si>
    <t>DBFPCZTZUHIRHD</t>
  </si>
  <si>
    <t>L83</t>
  </si>
  <si>
    <t>(S)-NMDPP</t>
  </si>
  <si>
    <t>43077-29-8</t>
  </si>
  <si>
    <t>C22H29P</t>
  </si>
  <si>
    <t>P</t>
  </si>
  <si>
    <t>C=1C=CC(=CC1)P(C=2C=CC=CC2)C3CC(C)CCC3C(C)C</t>
  </si>
  <si>
    <t>P([C@@H]1[C@H](C(C)C)CC[C@@H](C)C1)(C2=CC=CC=C2)C3=CC=CC=C3</t>
  </si>
  <si>
    <t>InChI=1S/C22H29P/c1-17(2)21-15-14-18(3)16-22(21)23(19-10-6-4-7-11-19)20-12-8-5-9-13-20/h4-13,17-18,21-22H,14-16H2,1-3H3/t18-,21+,22+/m1/s1</t>
  </si>
  <si>
    <t>BEYDOEXXFGNVRZ-COPCDDAFSA-N</t>
  </si>
  <si>
    <t>BEYDOEXXFGNVRZ</t>
  </si>
  <si>
    <t>L84</t>
  </si>
  <si>
    <t>(S,S)-BABIBOP</t>
  </si>
  <si>
    <t>2207601-04-3</t>
  </si>
  <si>
    <t>C22H28O2P2</t>
  </si>
  <si>
    <t>O1C2=CC=CC(C=3C=CC=C4OCP(C43)C(C)(C)C)=C2P(C1)C(C)(C)C</t>
  </si>
  <si>
    <t>C(C)(C)(C)[P@]1C2=C(C=CC=C2OC1)C3=C4[P@](C(C)(C)C)COC4=CC=C3</t>
  </si>
  <si>
    <t>InChI=1S/C22H28O2P2/c1-21(2,3)25-13-23-17-11-7-9-15(19(17)25)16-10-8-12-18-20(16)26(14-24-18)22(4,5)6/h7-12H,13-14H2,1-6H3/t25-,26-/m1/s1</t>
  </si>
  <si>
    <t>CKHIWGYUNCCXKO-CLJLJLNGSA-N</t>
  </si>
  <si>
    <t>CKHIWGYUNCCXKO</t>
  </si>
  <si>
    <t>L85</t>
  </si>
  <si>
    <t>(S,S,S,S)-Me-BABIBOP</t>
  </si>
  <si>
    <t>2207601-10-1</t>
  </si>
  <si>
    <t>C24H32O2P2</t>
  </si>
  <si>
    <t>O1C2=CC=CC(C=3C=CC=C4OC(P(C43)C(C)(C)C)C)=C2P(C1C)C(C)(C)C</t>
  </si>
  <si>
    <t>C(C)(C)(C)[P@]1C2=C(C=CC=C2O[C@@H]1C)C3=C4[P@](C(C)(C)C)[C@@H](C)OC4=CC=C3</t>
  </si>
  <si>
    <t>InChI=1S/C24H32O2P2/c1-15-25-19-13-9-11-17(21(19)27(15)23(3,4)5)18-12-10-14-20-22(18)28(16(2)26-20)24(6,7)8/h9-16H,1-8H3/t15-,16-,27+,28+/m0/s1</t>
  </si>
  <si>
    <t>GDRJABGDYUOXJB-DGXUPYLCSA-N</t>
  </si>
  <si>
    <t>GDRJABGDYUOXJB</t>
  </si>
  <si>
    <t>L86</t>
  </si>
  <si>
    <t>(S,S,S,S)-iPr-BABIBOP</t>
  </si>
  <si>
    <t>2207601-12-3</t>
  </si>
  <si>
    <t>C28H40O2P2</t>
  </si>
  <si>
    <t>O1C2=CC=CC(C=3C=CC=C4OC(P(C43)C(C)(C)C)C(C)C)=C2P(C1C(C)C)C(C)(C)C</t>
  </si>
  <si>
    <t>C(C)(C)(C)[P@]1C2=C(C=CC=C2O[C@@H]1[C@@H](C)C)C3=C4[P@](C(C)(C)C)[C@@H]([C@H](C)C)OC4=CC=C3</t>
  </si>
  <si>
    <t>InChI=1S/C28H40O2P2/c1-17(2)25-29-21-15-11-13-19(23(21)31(25)27(5,6)7)20-14-12-16-22-24(20)32(28(8,9)10)26(30-22)18(3)4/h11-18,25-26H,1-10H3/t25-,26-,31-,32-/m0/s1</t>
  </si>
  <si>
    <t>IVUFJBFLMHJRJL-MCZNPFQCSA-N</t>
  </si>
  <si>
    <t>IVUFJBFLMHJRJL</t>
  </si>
  <si>
    <t>L87</t>
  </si>
  <si>
    <t>(R,R,R,R)-Me-BIBOP</t>
  </si>
  <si>
    <t>1884680-48-1</t>
  </si>
  <si>
    <t>C38H44O6P2</t>
  </si>
  <si>
    <t>O(C1=CC=CC(OC)=C1C=2C=CC=C3OC(P(C32)C(C)(C)C)C4OC5=CC=CC(C=6C(OC)=CC=CC6OC)=C5P4C(C)(C)C)C</t>
  </si>
  <si>
    <t>[C@@](C)(C)(C)[P@@]1C2=C(C=CC=C2O[C@]1([C@]3([P@]([C@](C)(C)C)C=4C(O3)=CC=CC4C5=C(OC)C=CC=C5OC)[H])[H])C6=C(OC)C=CC=C6OC</t>
  </si>
  <si>
    <t>InChI=1S/C38H44O6P2/c1-37(2,3)45-33-23(31-25(39-7)17-13-18-26(31)40-8)15-11-21-29(33)43-35(45)36-44-30-22-12-16-24(34(30)46(36)38(4,5)6)32-27(41-9)19-14-20-28(32)42-10/h11-22,35-36H,1-10H3/t35-,36-,45-,46-/m1/s1</t>
  </si>
  <si>
    <t>OXORIUANWLCHSQ-MNZXOXKBSA-N</t>
  </si>
  <si>
    <t>OXORIUANWLCHSQ</t>
  </si>
  <si>
    <t>L88</t>
  </si>
  <si>
    <t>(R,R)-PPM</t>
  </si>
  <si>
    <t>77450-05-6</t>
  </si>
  <si>
    <t>C29H29NP2</t>
  </si>
  <si>
    <t>C=1C=CC(=CC1)P(C=2C=CC=CC2)CC3NCC(P(C=4C=CC=CC4)C=5C=CC=CC5)C3</t>
  </si>
  <si>
    <t>[P@@]([C@@H]1C[C@H](CP(C2=CC=CC=C2)C3=CC=CC=C3)NC1)(C4=CC=CC=C4)C5=CC=CC=C5</t>
  </si>
  <si>
    <t>InChI=1S/C29H29NP2/c1-5-13-25(14-6-1)31(26-15-7-2-8-16-26)23-24-21-29(22-30-24)32(27-17-9-3-10-18-27)28-19-11-4-12-20-28/h1-20,24,29-30H,21-23H2/t24-,29-/m1/s1</t>
  </si>
  <si>
    <t>PQHKXSOICTYGQD-FUFSCUOVSA-N</t>
  </si>
  <si>
    <t>PQHKXSOICTYGQD</t>
  </si>
  <si>
    <t>L89</t>
  </si>
  <si>
    <t>SL-A101-2</t>
  </si>
  <si>
    <t>133545-16-1</t>
  </si>
  <si>
    <t>C38H32O2P2</t>
  </si>
  <si>
    <t>O(C1=CC=CC(=C1C=2C(OC)=CC=CC2P(C=3C=CC=CC3)C=4C=CC=CC4)P(C=5C=CC=CC5)C=6C=CC=CC6)C</t>
  </si>
  <si>
    <t>InChI=1S/C38H32O2P2/c1-39-33-25-15-27-35(41(29-17-7-3-8-18-29)30-19-9-4-10-20-30)37(33)38-34(40-2)26-16-28-36(38)42(31-21-11-5-12-22-31)32-23-13-6-14-24-32/h3-28H,1-2H3</t>
  </si>
  <si>
    <t>KRJVQCZJJSUHHO-UHFFFAOYSA-N</t>
  </si>
  <si>
    <t>KRJVQCZJJSUHHO</t>
  </si>
  <si>
    <t>L90</t>
  </si>
  <si>
    <t>(S)-MeO-F12-BIPHEP</t>
  </si>
  <si>
    <t>116008-37-6</t>
  </si>
  <si>
    <t>C38H20F12O2P2</t>
  </si>
  <si>
    <t>FC1=CC(P(C2=CC(F)=C(F)C(F)=C2)C3=C(C4=C(OC)C=CC=C4P(C5=CC(F)=C(F)C(F)=C5)C6=CC(F)=C(F)C(F)=C6)C(OC)=CC=C3)=CC(F)=C1F</t>
  </si>
  <si>
    <t>InChI=1S/C38H20F12O2P2/c1-51-29-5-3-7-31(53(17-9-21(39)35(47)22(40)10-17)18-11-23(41)36(48)24(42)12-18)33(29)34-30(52-2)6-4-8-32(34)54(19-13-25(43)37(49)26(44)14-19)20-15-27(45)38(50)28(46)16-20/h3-16H,1-2H3</t>
  </si>
  <si>
    <t>XHYCFRBYCKMCNT-UHFFFAOYSA-N</t>
  </si>
  <si>
    <t>XHYCFRBYCKMCNT</t>
  </si>
  <si>
    <t>L91</t>
  </si>
  <si>
    <t>(R)-MeO-F16-BIPHEP</t>
  </si>
  <si>
    <t>C42H24F16O2P2</t>
  </si>
  <si>
    <t>FC1=CC(P(C2=CC([H])=C(C(F)(F)F)C(F)=C2)C3=C(C4=C(OC)C=CC=C4P(C5=CC([H])=C(C(F)(F)F)C(F)=C5)C6=CC([H])=C(C(F)(F)F)C(F)=C6)C(OC)=CC=C3)=CC([H])=C1C(F)(F)F</t>
  </si>
  <si>
    <t>InChI=1S/C42H24F16O2P2/c1-59-33-5-3-7-35(61(21-9-13-25(29(43)17-21)39(47,48)49)22-10-14-26(30(44)18-22)40(50,51)52)37(33)38-34(60-2)6-4-8-36(38)62(23-11-15-27(31(45)19-23)41(53,54)55)24-12-16-28(32(46)20-24)42(56,57)58/h3-20H,1-2H3</t>
  </si>
  <si>
    <t>KQZHXSNZGRPLRS-UHFFFAOYSA-N</t>
  </si>
  <si>
    <t>KQZHXSNZGRPLRS</t>
  </si>
  <si>
    <t>L92</t>
  </si>
  <si>
    <t>(R)-MeO-py-F12-BIPHEP</t>
  </si>
  <si>
    <t>C38H24F12N4O2P2</t>
  </si>
  <si>
    <t>[H]C1=C(C(F)(F)F)N=CC(P(C2=CC([H])=C(C(F)(F)F)N=C2)C3=C(C4=C(OC)C=CC=C4P(C5=CC([H])=C(C(F)(F)F)N=C5)C6=CC([H])=C(C(F)(F)F)N=C6)C(OC)=CC=C3)=C1</t>
  </si>
  <si>
    <t>InChI=1S/C38H24F12N4O2P2/c1-55-25-5-3-7-27(57(21-9-13-29(51-17-21)35(39,40)41)22-10-14-30(52-18-22)36(42,43)44)33(25)34-26(56-2)6-4-8-28(34)58(23-11-15-31(53-19-23)37(45,46)47)24-12-16-32(54-20-24)38(48,49)50/h3-20H,1-2H3</t>
  </si>
  <si>
    <t>ZOXNZAJEQDGTDG-UHFFFAOYSA-N</t>
  </si>
  <si>
    <t>ZOXNZAJEQDGTDG</t>
  </si>
  <si>
    <t>L93</t>
  </si>
  <si>
    <t>(R)-MeO-F20-BIPHEP</t>
  </si>
  <si>
    <t>C42H20F20O2P2</t>
  </si>
  <si>
    <t>FC1=C(C(F)(F)F)C(F)=CC(P(C2=CC(F)=C(C(F)(F)F)C(F)=C2)C3=C(C4=C(OC)C=CC=C4P(C5=CC(F)=C(C(F)(F)F)C(F)=C5)C6=CC(F)=C(C(F)(F)F)C(F)=C6)C(OC)=CC=C3)=C1</t>
  </si>
  <si>
    <t>InChI=1S/C42H20F20O2P2/c1-63-29-5-3-7-31(65(17-9-21(43)35(22(44)10-17)39(51,52)53)18-11-23(45)36(24(46)12-18)40(54,55)56)33(29)34-30(64-2)6-4-8-32(34)66(19-13-25(47)37(26(48)14-19)41(57,58)59)20-15-27(49)38(28(50)16-20)42(60,61)62/h3-16H,1-2H3</t>
  </si>
  <si>
    <t>QNKXTSDGYUFYOC-UHFFFAOYSA-N</t>
  </si>
  <si>
    <t>QNKXTSDGYUFYOC</t>
  </si>
  <si>
    <t>L94</t>
  </si>
  <si>
    <t>(R)-MeO-BFPy-BIPHEP</t>
  </si>
  <si>
    <t>C42H20F24N4O2P2</t>
  </si>
  <si>
    <t>COC1=CC=CC(P(C2=CC(C(F)(F)F)=NC(C(F)(F)F)=C2)C3=CC(C(F)(F)F)=NC(C(F)(F)F)=C3)=C1C4=C(OC)C=CC=C4P(C5=CC(C(F)(F)F)=NC(C(F)(F)F)=C5)C6=CC(C(F)(F)F)=NC(C(F)(F)F)=C6</t>
  </si>
  <si>
    <t>InChI=1S/C42H20F24N4O2P2/c1-71-21-5-3-7-23(73(17-9-25(35(43,44)45)67-26(10-17)36(46,47)48)18-11-27(37(49,50)51)68-28(12-18)38(52,53)54)33(21)34-22(72-2)6-4-8-24(34)74(19-13-29(39(55,56)57)69-30(14-19)40(58,59)60)20-15-31(41(61,62)63)70-32(16-20)42(64,65)66/h3-16H,1-2H3</t>
  </si>
  <si>
    <t>HHHODEWOEQQGTR-UHFFFAOYSA-N</t>
  </si>
  <si>
    <t>HHHODEWOEQQGTR</t>
  </si>
  <si>
    <t>L95</t>
  </si>
  <si>
    <t>(S,S)-XylSKEWPhos</t>
  </si>
  <si>
    <t>551950-92-6</t>
  </si>
  <si>
    <t>C37H46P2</t>
  </si>
  <si>
    <t>C=1C(=CC(=CC1C)C)P(C=2C=C(C=C(C2)C)C)C(C)CC(P(C=3C=C(C=C(C3)C)C)C=4C=C(C=C(C4)C)C)C</t>
  </si>
  <si>
    <t>P([C@H](C[C@@H](P(C1=CC(C)=CC(C)=C1)C2=CC(C)=CC(C)=C2)C)C)(C3=CC(C)=CC(C)=C3)C4=CC(C)=CC(C)=C4</t>
  </si>
  <si>
    <t>InChI=1S/C37H46P2/c1-24-11-25(2)16-34(15-24)38(35-17-26(3)12-27(4)18-35)32(9)23-33(10)39(36-19-28(5)13-29(6)20-36)37-21-30(7)14-31(8)22-37/h11-22,32-33H,23H2,1-10H3/t32-,33-/m0/s1</t>
  </si>
  <si>
    <t>BQUNSIYVDVZZEA-LQJZCPKCSA-N</t>
  </si>
  <si>
    <t>BQUNSIYVDVZZEA</t>
  </si>
  <si>
    <t>L96</t>
  </si>
  <si>
    <t>(S,S)-DIPSKEWPhos</t>
  </si>
  <si>
    <t>C53H78P2</t>
  </si>
  <si>
    <t>C[C@H](P(C1=CC(C(C)C)=CC(C(C)C)=C1)C2=CC(C(C)C)=CC(C(C)C)=C2)C[C@H](C)P(C3=CC(C(C)C)=CC(C(C)C)=C3)C4=CC(C(C)C)=CC(C(C)C)=C4</t>
  </si>
  <si>
    <t>InChI=1S/C53H78P2/c1-32(2)42-20-43(33(3)4)25-50(24-42)54(51-26-44(34(5)6)21-45(27-51)35(7)8)40(17)19-41(18)55(52-28-46(36(9)10)22-47(29-52)37(11)12)53-30-48(38(13)14)23-49(31-53)39(15)16/h20-41H,19H2,1-18H3/t40-,41-/m0/s1</t>
  </si>
  <si>
    <t>ICKFYFQOSSWBAY-YATWDLPUSA-N</t>
  </si>
  <si>
    <t>ICKFYFQOSSWBAY</t>
  </si>
  <si>
    <t>L97</t>
  </si>
  <si>
    <t>SL-W022-1</t>
  </si>
  <si>
    <t>849925-29-7</t>
  </si>
  <si>
    <t>C44H48FeP2</t>
  </si>
  <si>
    <t>C=1C=CC(=CC1)P(C=2C=CC=CC2)C=3C=CC=CC3C45=[CH]6[CH]7=[CH]8[C-]4(C(P(C9CC%10CCC9C%10)C%11CC%12CCC%11C%12)C)[Fe+2]%13%14%15%167685[CH]=%17[CH]%16=[CH]%15[CH-]%14[CH]%17%13</t>
  </si>
  <si>
    <t>InChI=1S/C39H43P2.C5H5.Fe/c1-27(40(38-25-28-19-21-30(38)23-28)39-26-29-20-22-31(39)24-29)34-16-10-17-35(34)36-15-8-9-18-37(36)41(32-11-4-2-5-12-32)33-13-6-3-7-14-33;1-2-4-5-3-1;/h2-18,27-31,38-39H,19-26H2,1H3;1-5H;/q2*-1;+2</t>
  </si>
  <si>
    <t>RDGYBXJBPSJRKW-UHFFFAOYSA-N</t>
  </si>
  <si>
    <t>L98</t>
  </si>
  <si>
    <t>catASium D(R)</t>
  </si>
  <si>
    <t>99135-95-2</t>
  </si>
  <si>
    <t>C35H33NP2</t>
  </si>
  <si>
    <t>C=1C=CC(=CC1)P(C=2C=CC=CC2)C3CN(CC=4C=CC=CC4)CC3P(C=5C=CC=CC5)C=6C=CC=CC6</t>
  </si>
  <si>
    <t>P([C@H]1[C@H]([P@@](C2=CC=CC=C2)C3=CC=CC=C3)CN(CC4=CC=CC=C4)C1)(C5=CC=CC=C5)C6=CC=CC=C6</t>
  </si>
  <si>
    <t>InChI=1S/C35H33NP2/c1-6-16-29(17-7-1)26-36-27-34(37(30-18-8-2-9-19-30)31-20-10-3-11-21-31)35(28-36)38(32-22-12-4-13-23-32)33-24-14-5-15-25-33/h1-25,34-35H,26-28H2/t34-,35-/m1/s1</t>
  </si>
  <si>
    <t>GYKMEKRMASHMIH-VSJLXWSYSA-N</t>
  </si>
  <si>
    <t>L99</t>
  </si>
  <si>
    <t>(2R)-1-[(1S)-1-Aminoethyl]-2-(diphenylphosphino)ferrocene</t>
  </si>
  <si>
    <t>607389-84-4</t>
  </si>
  <si>
    <t>C24H24FeNP</t>
  </si>
  <si>
    <t>NC(C)C12=[CH]3[CH]4=[CH]5[C-]1(P(C=6C=CC=CC6)C=7C=CC=CC7)[Fe+2]89%10%114352[CH]=%12[CH]%11=[CH]%10[CH-]9[CH]%128</t>
  </si>
  <si>
    <t>P([C-]12[Fe+2]3456789(C1([C@H](C)N)=[CH]3C4(=C52[H])[H])[CH-]%10[CH]6=[CH]7[CH]8=[CH]9%10)(C%11=CC=CC=C%11)C%12=CC=CC=C%12</t>
  </si>
  <si>
    <t>InChI=1S/C19H19NP.C5H5.Fe/c1-15(20)18-13-8-14-19(18)21(16-9-4-2-5-10-16)17-11-6-3-7-12-17;1-2-4-5-3-1;/h2-15H,20H2,1H3;1-5H;/q2*-1;+2/t15-;;/m0../s1</t>
  </si>
  <si>
    <t>YTXJBUZKFCXUMF-CKUXDGONSA-N</t>
  </si>
  <si>
    <t>L100</t>
  </si>
  <si>
    <t>SL-W012-1</t>
  </si>
  <si>
    <t>565184-30-7</t>
  </si>
  <si>
    <t>C38H44FeP2</t>
  </si>
  <si>
    <t>C=1C=CC(=CC1)P(C=2C=CC=CC2)C=3C=CC=CC3C45=[CH]6[CH]7=[CH]8[C-]4(C(P(C(C)(C)C)C(C)(C)C)C)[Fe+2]9%10%11%127685[CH]=%13[CH]%12=[CH]%11[CH-]%10[CH]%139</t>
  </si>
  <si>
    <t>[C@@H](P(C(C)(C)C)C(C)(C)C)(C)[C-]12[Fe+2]3456789(C1(=C3(C4(=[CH]52)[H])[H])C%10=C(P(C%11=CC=CC=C%11)C%12=CC=CC=C%12)C=CC=C%10)[CH-]%13[CH]6=[CH]7[CH]8=[CH]9%13</t>
  </si>
  <si>
    <t>InChI=1S/C33H39P2.C5H5.Fe/c1-25(35(32(2,3)4)33(5,6)7)28-22-16-23-29(28)30-21-14-15-24-31(30)34(26-17-10-8-11-18-26)27-19-12-9-13-20-27;1-2-4-5-3-1;/h8-25H,1-7H3;1-5H;/q2*-1;+2/t25-;;/m1../s1</t>
  </si>
  <si>
    <t>FTTIVYLRTSLTBG-KHZPMNTOSA-N</t>
  </si>
  <si>
    <t>L101</t>
  </si>
  <si>
    <t>SL-W030-1</t>
  </si>
  <si>
    <t>1854067-62-1</t>
  </si>
  <si>
    <t>C34H52FeP2</t>
  </si>
  <si>
    <t>C=1C=CC(=C(C1)P(C(C)(C)C)C(C)(C)C)C23=[CH]4[CH]5=[CH]6[C-]2(C(P(C(C)(C)C)C(C)(C)C)C)[Fe+2]789%105463[CH]=%11[CH]%10=[CH]9[CH-]8[CH]%117</t>
  </si>
  <si>
    <t>[C@@H](P(C(C)(C)C)C(C)(C)C)(C)[C-]12[Fe+2]3456789(C1(=C3([CH]4=C52[H])[H])C%10=C(P(C(C)(C)C)C(C)(C)C)C=CC=C%10)[CH-]%11[CH]6=[CH]7[CH]8=[CH]9%11</t>
  </si>
  <si>
    <t>InChI=1S/C29H47P2.C5H5.Fe/c1-21(30(26(2,3)4)27(5,6)7)22-18-16-19-23(22)24-17-14-15-20-25(24)31(28(8,9)10)29(11,12)13;1-2-4-5-3-1;/h14-21H,1-13H3;1-5H;/q2*-1;+2/t21-;;/m1../s1</t>
  </si>
  <si>
    <t>NLQVCQGVBGEOCO-GHVWMZMZSA-N</t>
  </si>
  <si>
    <t>L102</t>
  </si>
  <si>
    <t>(S,S)-Et-FerroTANE</t>
  </si>
  <si>
    <t>290347-66-9</t>
  </si>
  <si>
    <t>C24H36FeP2</t>
  </si>
  <si>
    <t>P1(C(CC)CC1CC)[C-]23[CH]4=[CH]5[CH]6=[CH]2[Fe+2]56789%1043[CH]=%11[CH]%10=[CH]9[C-]8(P%12C(CC)CC%12CC)[CH]%117</t>
  </si>
  <si>
    <t>C(C)[C@@H]1[P@@]([C-]23[Fe+2]456789%10([C-]%11([CH]4=[CH]5[CH]6=[CH]7%11)[P@@]%12[C@@H](CC)C[C@@H]%12CC)[CH]2=[CH]8[CH]9=[CH]%103)[C@@H](CC)C1</t>
  </si>
  <si>
    <t>InChI=1S/2C12H18P.Fe/c2*1-3-10-9-11(4-2)13(10)12-7-5-6-8-12;/h2*5-8,10-11H,3-4,9H2,1-2H3;/q2*-1;+2/t2*10-,11-;/m00./s1</t>
  </si>
  <si>
    <t>LVYUAEWNPLZXSA-XTQNZXNBSA-N</t>
  </si>
  <si>
    <t>L103</t>
  </si>
  <si>
    <t>SL-W029-1</t>
  </si>
  <si>
    <t>1854067-50-7</t>
  </si>
  <si>
    <t>C38H56FeP2</t>
  </si>
  <si>
    <t>C=1C=CC(=C(C1)P(C2CCCCC2)C3CCCCC3)C45=[CH]6[CH]7=[CH]8[C-]4(C(P(C(C)(C)C)C(C)(C)C)C)[Fe+2]9%10%11%127685[CH]=%13[CH]%12=[CH]%11[CH-]%10[CH]%139</t>
  </si>
  <si>
    <t>[C@@H](P(C(C)(C)C)C(C)(C)C)(C)[C-]12[Fe+2]3456789(C1(=C3([CH]4=C52[H])[H])C%10=C(P(C%11CCCCC%11)C%12CCCCC%12)C=CC=C%10)[CH-]%13[CH]6=[CH]7[CH]8=[CH]9%13</t>
  </si>
  <si>
    <t>InChI=1S/C33H51P2.C5H5.Fe/c1-25(35(32(2,3)4)33(5,6)7)28-22-16-23-29(28)30-21-14-15-24-31(30)34(26-17-10-8-11-18-26)27-19-12-9-13-20-27;1-2-4-5-3-1;/h14-16,21-27H,8-13,17-20H2,1-7H3;1-5H;/q2*-1;+2/t25-;;/m1../s1</t>
  </si>
  <si>
    <t>YIVPZMLMCHXGLR-KHZPMNTOSA-N</t>
  </si>
  <si>
    <t>L104</t>
  </si>
  <si>
    <t>(S)-NMe2-MonoPhos</t>
  </si>
  <si>
    <t>185449-80-3</t>
  </si>
  <si>
    <t>C22H18NO2P</t>
  </si>
  <si>
    <t>O1C=2C=CC=3C=CC=CC3C2C4=C(OP1N(C)C)C=CC=5C=CC=CC54</t>
  </si>
  <si>
    <t>InChI=1S/C22H18NO2P/c1-23(2)26-24-19-13-11-15-7-3-5-9-17(15)21(19)22-18-10-6-4-8-16(18)12-14-20(22)25-26/h3-14H,1-2H3</t>
  </si>
  <si>
    <t>QCHAVHXSBZARBO-UHFFFAOYSA-N</t>
  </si>
  <si>
    <t>L105</t>
  </si>
  <si>
    <t>SL-F103-1</t>
  </si>
  <si>
    <t>55700-44-2</t>
  </si>
  <si>
    <t>C26H28FeNP</t>
  </si>
  <si>
    <t>C=1C=CC(=CC1)P(C=2C=CC=CC2)[C-]34[CH]5=[CH]6[CH]7=C3(C(N(C)C)C)[Fe+2]89%10%116754[CH]=%12[CH]%11=[CH]%10[CH-]9[CH]%128</t>
  </si>
  <si>
    <t>P([C-]12[Fe+2]3456789(C1([C@H](N(C)C)C)=[CH]3C4(=C52[H])[H])[CH-]%10[CH]6=[CH]7[CH]8=[CH]9%10)(C%11=CC=CC=C%11)C%12=CC=CC=C%12</t>
  </si>
  <si>
    <t>InChI=1S/C21H23NP.C5H5.Fe/c1-17(22(2)3)20-15-10-16-21(20)23(18-11-6-4-7-12-18)19-13-8-5-9-14-19;1-2-4-5-3-1;/h4-17H,1-3H3;1-5H;/q2*-1;+2/t17-;;/m1../s1</t>
  </si>
  <si>
    <t>PAZHOQPRMVOBDD-ZEECNFPPSA-N</t>
  </si>
  <si>
    <t>L106</t>
  </si>
  <si>
    <t>(R)-Xyl-P-Phos</t>
  </si>
  <si>
    <t>442905-33-1</t>
  </si>
  <si>
    <t>C46H50N2O4P2</t>
  </si>
  <si>
    <t>N1=C(OC)C=C(C(=C1OC)C2=C(N=C(OC)C=C2P(C=3C=C(C=C(C3)C)C)C=4C=C(C=C(C4)C)C)OC)P(C=5C=C(C=C(C5)C)C)C=6C=C(C=C(C6)C)C</t>
  </si>
  <si>
    <t>InChI=1S/C46H50N2O4P2/c1-27-13-28(2)18-35(17-27)53(36-19-29(3)14-30(4)20-36)39-25-41(49-9)47-45(51-11)43(39)44-40(26-42(50-10)48-46(44)52-12)54(37-21-31(5)15-32(6)22-37)38-23-33(7)16-34(8)24-38/h13-26H,1-12H3</t>
  </si>
  <si>
    <t>JRTHAKOHBMETRC-UHFFFAOYSA-N</t>
  </si>
  <si>
    <t>L107</t>
  </si>
  <si>
    <t>(S)-2-(Diphenylphosphinomethyl)pyrrolidine</t>
  </si>
  <si>
    <t>60261-46-3</t>
  </si>
  <si>
    <t>C17H20NP</t>
  </si>
  <si>
    <t>C=1C=CC(=CC1)P(C=2C=CC=CC2)CC3NCCC3</t>
  </si>
  <si>
    <t>P(C[C@@H]1CCCN1)(C2=CC=CC=C2)C3=CC=CC=C3</t>
  </si>
  <si>
    <t>InChI=1S/C17H20NP/c1-3-9-16(10-4-1)19(14-15-8-7-13-18-15)17-11-5-2-6-12-17/h1-6,9-12,15,18H,7-8,13-14H2/t15-/m0/s1</t>
  </si>
  <si>
    <t>IWRBGJKCDORZHK-HNNXBMFYSA-N</t>
  </si>
  <si>
    <t>L108</t>
  </si>
  <si>
    <t>(R)-ProPhos</t>
  </si>
  <si>
    <t>67884-32-6</t>
  </si>
  <si>
    <t>C27H26P2</t>
  </si>
  <si>
    <t>C=1C=CC(=CC1)P(C=2C=CC=CC2)CC(P(C=3C=CC=CC3)C=4C=CC=CC4)C</t>
  </si>
  <si>
    <t>P([C@@H](CP(C1=CC=CC=C1)C2=CC=CC=C2)C)(C3=CC=CC=C3)C4=CC=CC=C4</t>
  </si>
  <si>
    <t>InChI=1S/C27H26P2/c1-23(29(26-18-10-4-11-19-26)27-20-12-5-13-21-27)22-28(24-14-6-2-7-15-24)25-16-8-3-9-17-25/h2-21,23H,22H2,1H3/t23-/m1/s1</t>
  </si>
  <si>
    <t>WGOBPPNNYVSJTE-HSZRJFAPSA-N</t>
  </si>
  <si>
    <t>L109</t>
  </si>
  <si>
    <t>(3R)-3-(1,1-Dimethylethyl)-2,3-dihydro-4-(2-methoxyphenyl)-1,3-benzoxaphosphole</t>
  </si>
  <si>
    <t>1338454-28-6</t>
  </si>
  <si>
    <t>C18H21O2P</t>
  </si>
  <si>
    <t>O(C=1C=CC=CC1C=2C=CC=C3OCP(C32)C(C)(C)C)C</t>
  </si>
  <si>
    <t>[C@@](C)(C)(C)[P@@]1C2=C(C=CC=C2OC1)C3=C(OC)C=CC=C3</t>
  </si>
  <si>
    <t>InChI=1S/C18H21O2P/c1-18(2,3)21-12-20-16-11-7-9-14(17(16)21)13-8-5-6-10-15(13)19-4/h5-11H,12H2,1-4H3/t21-/m0/s1</t>
  </si>
  <si>
    <t>DGMHHZSVDWJVQF-NRFANRHFSA-N</t>
  </si>
  <si>
    <t>L110</t>
  </si>
  <si>
    <t>(2S,3R)-2-[Bis(1,1-dimethylethyl)phosphino]-3-(1,1-dimethylethyl)-2,3-dihydro-4-methoxy-1,3-benzoxaphosphole</t>
  </si>
  <si>
    <t>1215081-28-9</t>
  </si>
  <si>
    <t>C20H34O2P2</t>
  </si>
  <si>
    <t>O(C1=CC=CC=2OC(P(C12)C(C)(C)C)P(C(C)(C)C)C(C)(C)C)C</t>
  </si>
  <si>
    <t>[C@@](C)(C)(C)[P@@]1C=2C(O[C@H]1P(C(C)(C)C)C(C)(C)C)=CC=CC2OC</t>
  </si>
  <si>
    <t>InChI=1S/C20H34O2P2/c1-18(2,3)23-16-14(21-10)12-11-13-15(16)22-17(23)24(19(4,5)6)20(7,8)9/h11-13,17H,1-10H3/t17-,23-/m1/s1</t>
  </si>
  <si>
    <t>FEFJPHDISOPBSZ-UZUQRXQVSA-N</t>
  </si>
  <si>
    <t>L111</t>
  </si>
  <si>
    <t>(R,R)-BenzP*</t>
  </si>
  <si>
    <t>919778-41-9</t>
  </si>
  <si>
    <t>C16H28P2</t>
  </si>
  <si>
    <t>C=1C=CC(=C(C1)P(C)C(C)(C)C)P(C)C(C)(C)C</t>
  </si>
  <si>
    <t>[P@](C(C)(C)C)(C)C1=C([P@@](C(C)(C)C)C)C=CC=C1</t>
  </si>
  <si>
    <t>InChI=1S/C16H28P2/c1-15(2,3)17(7)13-11-9-10-12-14(13)18(8)16(4,5)6/h9-12H,1-8H3/t17-,18-/m0/s1</t>
  </si>
  <si>
    <t>JFUWTGUCFKJVST-ROUUACIJSA-N</t>
  </si>
  <si>
    <t>L112</t>
  </si>
  <si>
    <t>SL-J216-1</t>
  </si>
  <si>
    <t>849924-43-2</t>
  </si>
  <si>
    <t>C40H44FeP2</t>
  </si>
  <si>
    <t>C=1C=CC2=C(C1)C=CC=C2P(C3=CC=CC=4C=CC=CC43)[C-]56[CH]7=[CH]8[CH]9=C5(C(P(C(C)(C)C)C(C)(C)C)C)[Fe+2]%10%11%12%138976[CH]=%14[CH]%13=[CH]%12[CH-]%11[CH]%14%10</t>
  </si>
  <si>
    <t>P([C-]12[Fe+2]3456789(C1([C@H](P(C(C)(C)C)C(C)(C)C)C)=[CH]3C4(=C52[H])[H])[CH-]%10[CH]6=[CH]7[CH]8=[CH]9%10)(C=%11C%12=C(C=CC%11)C=CC=C%12)C=%13C%14=C(C=CC%13)C=CC=C%14</t>
  </si>
  <si>
    <t>InChI=1S/C35H39P2.C5H5.Fe/c1-25(37(34(2,3)4)35(5,6)7)28-21-14-24-31(28)36(32-22-12-17-26-15-8-10-19-29(26)32)33-23-13-18-27-16-9-11-20-30(27)33;1-2-4-5-3-1;/h8-25H,1-7H3;1-5H;/q2*-1;+2/t25-;;/m1../s1</t>
  </si>
  <si>
    <t>FMKCFHDNLJFVRE-KHZPMNTOSA-N</t>
  </si>
  <si>
    <t>L113</t>
  </si>
  <si>
    <t>(S,S)-1-Naphthyl-DiPamp</t>
  </si>
  <si>
    <t>256469-70-2</t>
  </si>
  <si>
    <t>C34H28P2</t>
  </si>
  <si>
    <t>C=1C=CC(=CC1)P(C2=CC=CC=3C=CC=CC32)CCP(C=4C=CC=CC4)C5=CC=CC=6C=CC=CC65</t>
  </si>
  <si>
    <t>[P@@](CC[P@](C=1C2=C(C=CC1)C=CC=C2)C3=CC=CC=C3)(C=4C5=C(C=CC4)C=CC=C5)C6=CC=CC=C6</t>
  </si>
  <si>
    <t>InChI=1S/C34H28P2/c1-3-17-29(18-4-1)35(33-23-11-15-27-13-7-9-21-31(27)33)25-26-36(30-19-5-2-6-20-30)34-24-12-16-28-14-8-10-22-32(28)34/h1-24H,25-26H2/t35-,36-/m0/s1</t>
  </si>
  <si>
    <t>AJLHFWYWUUCAAX-ZPGRZCPFSA-N</t>
  </si>
  <si>
    <t>L114</t>
  </si>
  <si>
    <t>(S,R)-PPFA</t>
  </si>
  <si>
    <t>55650-58-3</t>
  </si>
  <si>
    <t>P([C-]12[Fe+2]3456789(C1([C@@H](N(C)C)C)=[CH]3C4(=C52[H])[H])[CH-]%10[CH]6=[CH]7[CH]8=[CH]9%10)(C%11=CC=CC=C%11)C%12=CC=CC=C%12</t>
  </si>
  <si>
    <t>InChI=1S/C21H23NP.C5H5.Fe/c1-17(22(2)3)20-15-10-16-21(20)23(18-11-6-4-7-12-18)19-13-8-5-9-14-19;1-2-4-5-3-1;/h4-17H,1-3H3;1-5H;/q2*-1;+2/t17-;;/m0../s1</t>
  </si>
  <si>
    <t>PAZHOQPRMVOBDD-RMRYJAPISA-N</t>
  </si>
  <si>
    <t>L115</t>
  </si>
  <si>
    <t>SL-F173-1</t>
  </si>
  <si>
    <t>166172-70-9</t>
  </si>
  <si>
    <t>C30H24F12FeNP</t>
  </si>
  <si>
    <t>FC(F)(F)C1=CC(=CC(=C1)C(F)(F)F)P(C=2C=C(C=C(C2)C(F)(F)F)C(F)(F)F)[C-]34[CH]5=[CH]6[CH]7=C3(C(N(C)C)C)[Fe+2]89%10%116754[CH]=%12[CH]%11=[CH]%10[CH-]9[CH]%128</t>
  </si>
  <si>
    <t>P([C-]12[Fe+2]3456789(C1([C@H](N(C)C)C)=[CH]3C4(=C52[H])[H])[CH-]%10[CH]6=[CH]7[CH]8=[CH]9%10)(C%11=CC(C(F)(F)F)=CC(C(F)(F)F)=C%11)C%12=CC(C(F)(F)F)=CC(C(F)(F)F)=C%12</t>
  </si>
  <si>
    <t>InChI=1S/C25H19F12NP.C5H5.Fe/c1-13(38(2)3)20-5-4-6-21(20)39(18-9-14(22(26,27)28)7-15(10-18)23(29,30)31)19-11-16(24(32,33)34)8-17(12-19)25(35,36)37;1-2-4-5-3-1;/h4-13H,1-3H3;1-5H;/q2*-1;+2/t13-;;/m1../s1</t>
  </si>
  <si>
    <t>ZQFATNOCYNUTDA-FFXKMJQXSA-N</t>
  </si>
  <si>
    <t>L116</t>
  </si>
  <si>
    <t>(R)-Xyl-SDP Oxide</t>
  </si>
  <si>
    <t>1462321-89-6</t>
  </si>
  <si>
    <t>C49H50OP2</t>
  </si>
  <si>
    <t>P(P=O)</t>
  </si>
  <si>
    <t>O=P(C=1C=C(C=C(C1)C)C)(C=2C=C(C=C(C2)C)C)C=3C=CC=C4C3C5(C=6C(=CC=CC6CC5)P(C=7C=C(C=C(C7)C)C)C=8C=C(C=C(C8)C)C)CC4</t>
  </si>
  <si>
    <t>P(=O)(C1=C2[C@@]3(C4=C(P(C5=CC(C)=CC(C)=C5)C6=CC(C)=CC(C)=C6)C=CC=C4CC3)CCC2=CC=C1)(C7=CC(C)=CC(C)=C7)C8=CC(C)=CC(C)=C8</t>
  </si>
  <si>
    <t>InChI=1S/C49H50OP2/c1-31-19-32(2)24-41(23-31)51(42-25-33(3)20-34(4)26-42)45-13-9-11-39-15-17-49(47(39)45)18-16-40-12-10-14-46(48(40)49)52(50,43-27-35(5)21-36(6)28-43)44-29-37(7)22-38(8)30-44/h9-14,19-30H,15-18H2,1-8H3/t49-/m1/s1</t>
  </si>
  <si>
    <t>ZAQVAUFRFBAVHF-ANFMRNGASA-N</t>
  </si>
  <si>
    <t>L117</t>
  </si>
  <si>
    <t>(R)-SITCP</t>
  </si>
  <si>
    <t>856407-37-9</t>
  </si>
  <si>
    <t>C25H23P</t>
  </si>
  <si>
    <t>C=1C=CC(=CC1)P2CC3=CC=CC4=C3C5(C=6C(=CC=CC6CC5)C2)CC4</t>
  </si>
  <si>
    <t>InChI=1S/C25H23P/c1-2-10-22(11-3-1)26-16-20-8-4-6-18-12-14-25(23(18)20)15-13-19-7-5-9-21(17-26)24(19)25/h1-11H,12-17H2</t>
  </si>
  <si>
    <t>VAPJMVSYFGSRTG-UHFFFAOYSA-N</t>
  </si>
  <si>
    <t>L118</t>
  </si>
  <si>
    <t>(R,R,R)-Tol-SKP</t>
  </si>
  <si>
    <t>1429939-32-1</t>
  </si>
  <si>
    <t>C48H46O2P2</t>
  </si>
  <si>
    <t>O1C=2C(=CC=CC2CC3CCCC4CC=5C=CC=C(C5OC134)P(C6=CC=C(C=C6)C)C7=CC=C(C=C7)C)P(C8=CC=C(C=C8)C)C9=CC=C(C=C9)C</t>
  </si>
  <si>
    <t>InChI=1S/C48H46O2P2/c1-32-14-22-40(23-15-32)51(41-24-16-33(2)17-25-41)44-12-5-8-36-30-38-10-7-11-39-31-37-9-6-13-45(47(37)50-48(38,39)49-46(36)44)52(42-26-18-34(3)19-27-42)43-28-20-35(4)21-29-43/h5-6,8-9,12-29,38-39H,7,10-11,30-31H2,1-4H3</t>
  </si>
  <si>
    <t>QGOSBHUTQQGVPA-UHFFFAOYSA-N</t>
  </si>
  <si>
    <t>L119</t>
  </si>
  <si>
    <t>(R,R)-BCPM</t>
  </si>
  <si>
    <t>114751-47-2</t>
  </si>
  <si>
    <t>C34H49NO2P2</t>
  </si>
  <si>
    <t>O=C(OC(C)(C)C)N1CC(P(C2CCCCC2)C3CCCCC3)CC1CP(C=4C=CC=CC4)C=5C=CC=CC5</t>
  </si>
  <si>
    <t>[P@@]([C@@H]1C[C@H](CP(C2=CC=CC=C2)C3=CC=CC=C3)N(C(OC(C)(C)C)=O)C1)(C4CCCCC4)C5CCCCC5</t>
  </si>
  <si>
    <t>InChI=1S/C34H49NO2P2/c1-34(2,3)37-33(36)35-25-32(39(30-20-12-6-13-21-30)31-22-14-7-15-23-31)24-27(35)26-38(28-16-8-4-9-17-28)29-18-10-5-11-19-29/h4-5,8-11,16-19,27,30-32H,6-7,12-15,20-26H2,1-3H3/t27-,32-/m1/s1</t>
  </si>
  <si>
    <t>UJOCELPDGJCWDG-WXGMZPBLSA-N</t>
  </si>
  <si>
    <t>L120</t>
  </si>
  <si>
    <t>(R)-DiFluorPhos</t>
  </si>
  <si>
    <t>503538-69-0</t>
  </si>
  <si>
    <t>C38H24F4O4P2</t>
  </si>
  <si>
    <t>FC1(F)OC2=CC=C(C(=C2O1)C=3C=4OC(F)(F)OC4C=CC3P(C=5C=CC=CC5)C=6C=CC=CC6)P(C=7C=CC=CC7)C=8C=CC=CC8</t>
  </si>
  <si>
    <t>InChI=1S/C38H24F4O4P2/c39-37(40)43-29-21-23-31(47(25-13-5-1-6-14-25)26-15-7-2-8-16-26)33(35(29)45-37)34-32(24-22-30-36(34)46-38(41,42)44-30)48(27-17-9-3-10-18-27)28-19-11-4-12-20-28/h1-24H</t>
  </si>
  <si>
    <t>HGMLTMOEYCQDDR-UHFFFAOYSA-N</t>
  </si>
  <si>
    <t>L121</t>
  </si>
  <si>
    <t>(R,R)-Me-BPE</t>
  </si>
  <si>
    <t>129648-07-3</t>
  </si>
  <si>
    <t>C14H28P2</t>
  </si>
  <si>
    <t>P1(CCP2C(C)CCC2C)C(C)CCC1C</t>
  </si>
  <si>
    <t>C(C[P@]1[C@H](C)CC[C@H]1C)[P@@]2[C@H](C)CC[C@H]2C</t>
  </si>
  <si>
    <t>InChI=1S/C14H28P2/c1-11-5-6-12(2)15(11)9-10-16-13(3)7-8-14(16)4/h11-14H,5-10H2,1-4H3/t11-,12-,13-,14-/m1/s1</t>
  </si>
  <si>
    <t>IRCDUOCGSIGEAI-AAVRWANBSA-N</t>
  </si>
  <si>
    <t>L122</t>
  </si>
  <si>
    <t>(R)-SynPhos</t>
  </si>
  <si>
    <t>445467-61-8</t>
  </si>
  <si>
    <t>C40H32O4P2</t>
  </si>
  <si>
    <t>O1C2=CC=C(C(=C2OCC1)C=3C=4OCCOC4C=CC3P(C=5C=CC=CC5)C=6C=CC=CC6)P(C=7C=CC=CC7)C=8C=CC=CC8</t>
  </si>
  <si>
    <t>InChI=1S/C40H32O4P2/c1-5-13-29(14-6-1)45(30-15-7-2-8-16-30)35-23-21-33-39(43-27-25-41-33)37(35)38-36(24-22-34-40(38)44-28-26-42-34)46(31-17-9-3-10-18-31)32-19-11-4-12-20-32/h1-24H,25-28H2</t>
  </si>
  <si>
    <t>GDMCOFXEPNHXJT-UHFFFAOYSA-N</t>
  </si>
  <si>
    <t>L123</t>
  </si>
  <si>
    <t>(R)-SIPhos</t>
  </si>
  <si>
    <t>443965-14-8</t>
  </si>
  <si>
    <t>C19H20NO2P</t>
  </si>
  <si>
    <t>O1C2=CC=CC3=C2C4(C=5C(OP1N(C)C)=CC=CC5CC4)CC3</t>
  </si>
  <si>
    <t>InChI=1S/C19H20NO2P/c1-20(2)23-21-15-7-3-5-13-9-11-19(17(13)15)12-10-14-6-4-8-16(22-23)18(14)19/h3-8H,9-12H2,1-2H3</t>
  </si>
  <si>
    <t>RIDZEECIONITMW-UHFFFAOYSA-N</t>
  </si>
  <si>
    <t>L124</t>
  </si>
  <si>
    <t>(3R,8R)-Tetrahydro-N,N,2,2-tetramethyl-4,4,8,8-tetraphenyl-1,3-dioxolo[4,5-e][1,3,2]dioxaphosphepin-6-amine</t>
  </si>
  <si>
    <t>213843-90-4</t>
  </si>
  <si>
    <t>C33H34NO4P</t>
  </si>
  <si>
    <t>O1P(OC(C=2C=CC=CC2)(C=3C=CC=CC3)C4OC(OC4C1(C=5C=CC=CC5)C=6C=CC=CC6)(C)C)N(C)C</t>
  </si>
  <si>
    <t>N(C)(C)[P@]1OC([C@]2([C@](C(O1)(C3=CC=CC=C3)C4=CC=CC=C4)(OC(C)(C)O2)[H])[H])(C5=CC=CC=C5)C6=CC=CC=C6</t>
  </si>
  <si>
    <t>InChI=1S/C33H34NO4P/c1-31(2)35-29-30(36-31)33(27-21-13-7-14-22-27,28-23-15-8-16-24-28)38-39(34(3)4)37-32(29,25-17-9-5-10-18-25)26-19-11-6-12-20-26/h5-24,29-30H,1-4H3/t29-,30-/m1/s1</t>
  </si>
  <si>
    <t>DRPNADVMTMEWQY-LOYHVIPDSA-N</t>
  </si>
  <si>
    <t>L125</t>
  </si>
  <si>
    <t>m</t>
  </si>
  <si>
    <t>917377-74-3</t>
  </si>
  <si>
    <t>C41H34P2</t>
  </si>
  <si>
    <t>C=1C=CC(=CC1)P(C=2C=CC=CC2)C3=CC=CC4=C3C5(C=6C(=CC=CC6CC5)P(C=7C=CC=CC7)C=8C=CC=CC8)CC4</t>
  </si>
  <si>
    <t>InChI=1S/C41H34P2/c1-5-17-33(18-6-1)42(34-19-7-2-8-20-34)37-25-13-15-31-27-29-41(39(31)37)30-28-32-16-14-26-38(40(32)41)43(35-21-9-3-10-22-35)36-23-11-4-12-24-36/h1-26H,27-30H2</t>
  </si>
  <si>
    <t>DKZNVWNOOLQCMJ-UHFFFAOYSA-N</t>
  </si>
  <si>
    <t>L126</t>
  </si>
  <si>
    <t>(R,R,R,R)-Ph-BIBOP</t>
  </si>
  <si>
    <t>2301856-53-9</t>
  </si>
  <si>
    <t>C34H36O2P2</t>
  </si>
  <si>
    <t>O1C2=CC=CC(C=3C=CC=CC3)=C2P(C1C4OC5=CC=CC(C=6C=CC=CC6)=C5P4C(C)(C)C)C(C)(C)C</t>
  </si>
  <si>
    <t>[C@@](C)(C)(C)[P@@]1C2=C(C=CC=C2O[C@]1([C@]3([P@]([C@](C)(C)C)C=4C(O3)=CC=CC4C5=CC=CC=C5)[H])[H])C6=CC=CC=C6</t>
  </si>
  <si>
    <t>InChI=1/C34H36O2P2/c1-33(2,3)37-29-25(23-15-9-7-10-16-23)19-13-21-27(29)35-31(37)32-36-28-22-14-20-26(24-17-11-8-12-18-24)30(28)38(32)34(4,5)6/h7-22,31-32H,1-6H3/t31-,32-,37-,38-/s2</t>
  </si>
  <si>
    <t>PXMPZIBJGLMMQU-BRMNAVNENA-N</t>
  </si>
  <si>
    <t>L127</t>
  </si>
  <si>
    <t>(R,S)-Ph-Bn-SIPHOX</t>
  </si>
  <si>
    <t>2074610-05-0</t>
  </si>
  <si>
    <t>C39H34NOP</t>
  </si>
  <si>
    <t>N1=C(OCC1CC=2C=CC=CC2)C=3C=CC=C4C3C5(C=6C(=CC=CC6CC5)P(C=7C=CC=CC7)C=8C=CC=CC8)CC4</t>
  </si>
  <si>
    <t>P(C1=C2[C@@]3(C4=C(C=CC=C4CC3)C5=N[C@@H](CC6=CC=CC=C6)CO5)CCC2=CC=C1)(C7=CC=CC=C7)C8=CC=CC=C8</t>
  </si>
  <si>
    <t>InChI=1S/C39H34NOP/c1-4-12-28(13-5-1)26-31-27-41-38(40-31)34-20-10-14-29-22-24-39(36(29)34)25-23-30-15-11-21-35(37(30)39)42(32-16-6-2-7-17-32)33-18-8-3-9-19-33/h1-21,31H,22-27H2/t31-,39+/m0/s1</t>
  </si>
  <si>
    <t>WDIPXXMCRPGMIB-RUCSKDCOSA-N</t>
  </si>
  <si>
    <t>L128</t>
  </si>
  <si>
    <t>(R,R)-iPr-BPF</t>
  </si>
  <si>
    <t>849950-54-5</t>
  </si>
  <si>
    <t>C30H48FeP2</t>
  </si>
  <si>
    <t>P1(C(CCC1C(C)C)C(C)C)[C-]23[CH]4=[CH]5[CH]6=[CH]2[Fe+2]56789%1043[CH]=%11[CH]%10=[CH]9[C-]8(P%12C(CCC%12C(C)C)C(C)C)[CH]%117</t>
  </si>
  <si>
    <t>[C@H](C)(C)[C@@H]1[P@@]([C-]23[Fe+2]456789%10([C-]%11([CH]4=[CH]5[CH]6=[CH]7%11)[P@]%12[C@@H]([C@@H](C)C)CC[C@@H]%12C(C)C)[CH]2=[CH]8[CH]9=[CH]%103)[C@@H](C(C)C)CC1</t>
  </si>
  <si>
    <t>InChI=1S/2C15H24P.Fe/c2*1-11(2)14-9-10-15(12(3)4)16(14)13-7-5-6-8-13;/h2*5-8,11-12,14-15H,9-10H2,1-4H3;/q2*-1;+2/t2*14-,15-;/m11./s1</t>
  </si>
  <si>
    <t>RNAIPFYGOQYYTF-CNFAWKLCSA-N</t>
  </si>
  <si>
    <t>L129</t>
  </si>
  <si>
    <t>(R)-Tol-SDP</t>
  </si>
  <si>
    <t>528521-87-1</t>
  </si>
  <si>
    <t>C45H42P2</t>
  </si>
  <si>
    <t>C=1C=C(C2=C(C1)CCC23C=4C(=CC=CC4CC3)P(C5=CC=C(C=C5)C)C6=CC=C(C=C6)C)P(C7=CC=C(C=C7)C)C8=CC=C(C=C8)C</t>
  </si>
  <si>
    <t>InChI=1S/C45H42P2/c1-31-11-19-37(20-12-31)46(38-21-13-32(2)14-22-38)41-9-5-7-35-27-29-45(43(35)41)30-28-36-8-6-10-42(44(36)45)47(39-23-15-33(3)16-24-39)40-25-17-34(4)18-26-40/h5-26H,27-30H2,1-4H3</t>
  </si>
  <si>
    <t>VLIOMJFCGWZUON-UHFFFAOYSA-N</t>
  </si>
  <si>
    <t>L130</t>
  </si>
  <si>
    <t>(R)-DMM-GarPhos</t>
  </si>
  <si>
    <t>1365531-93-6</t>
  </si>
  <si>
    <t>C52H60O8P2</t>
  </si>
  <si>
    <t>O(C1=CC(OC)=C(C(=C1)P(C=2C=C(C(OC)=C(C2)C)C)C=3C=C(C(OC)=C(C3)C)C)C4=C(OC)C=C(OC)C=C4P(C=5C=C(C(OC)=C(C5)C)C)C=6C=C(C(OC)=C(C6)C)C)C</t>
  </si>
  <si>
    <t>InChI=1S/C52H60O8P2/c1-29-17-39(18-30(2)49(29)57-13)61(40-19-31(3)50(58-14)32(4)20-40)45-27-37(53-9)25-43(55-11)47(45)48-44(56-12)26-38(54-10)28-46(48)62(41-21-33(5)51(59-15)34(6)22-41)42-23-35(7)52(60-16)36(8)24-42/h17-28H,1-16H3</t>
  </si>
  <si>
    <t>PKHREKHNGLJKHV-UHFFFAOYSA-N</t>
  </si>
  <si>
    <t>L131</t>
  </si>
  <si>
    <t>8-[(3R)-3-(1,1-Dimethylethyl)-2,3-dihydro-1,3-benzoxaphosphol-4-yl]benzo[1,2-b:5,4-b′]difuran</t>
  </si>
  <si>
    <t>1835717-07-1</t>
  </si>
  <si>
    <t>C21H23O3P</t>
  </si>
  <si>
    <t>O1C2=CC=CC(C=3C=4OCCC4C=C5C3OCC5)=C2P(C1)C(C)(C)C</t>
  </si>
  <si>
    <t>C(C)(C)(C)[P@@]1C2=C(C3=C4C(=CC5=C3OCC5)CCO4)C=CC=C2OC1</t>
  </si>
  <si>
    <t>InChI=1S/C21H23O3P/c1-21(2,3)25-12-24-16-6-4-5-15(20(16)25)17-18-13(7-9-22-18)11-14-8-10-23-19(14)17/h4-6,11H,7-10,12H2,1-3H3/t25-/m0/s1</t>
  </si>
  <si>
    <t>HVBRAPIYTGCMEN-VWLOTQADSA-N</t>
  </si>
  <si>
    <t>L132</t>
  </si>
  <si>
    <t>(S)-PipPhos</t>
  </si>
  <si>
    <t>284472-79-3</t>
  </si>
  <si>
    <t>C25H22NO2P</t>
  </si>
  <si>
    <t>O1C=2C=CC=3C=CC=CC3C2C4=C(OP1N5CCCCC5)C=CC=6C=CC=CC64</t>
  </si>
  <si>
    <t>InChI=1S/C25H22NO2P/c1-6-16-26(17-7-1)29-27-22-14-12-18-8-2-4-10-20(18)24(22)25-21-11-5-3-9-19(21)13-15-23(25)28-29/h2-5,8-15H,1,6-7,16-17H2</t>
  </si>
  <si>
    <t>ZYDGLCZCEANEHK-UHFFFAOYSA-N</t>
  </si>
  <si>
    <t>L133</t>
  </si>
  <si>
    <t>(R)-An-PhanePhos</t>
  </si>
  <si>
    <t>364732-86-5</t>
  </si>
  <si>
    <t>C44H42O4P2</t>
  </si>
  <si>
    <t>O(C1=CC=C(C=C1)P(C2=CC=C(OC)C=C2)C3=CC4=CC=C3CCC5=CC=C(C(=C5)P(C6=CC=C(OC)C=C6)C7=CC=C(OC)C=C7)CC4)C</t>
  </si>
  <si>
    <t>InChI=1S/C44H42O4P2/c1-45-35-13-21-39(22-14-35)49(40-23-15-36(46-2)16-24-40)43-29-31-5-9-33(43)11-7-32-6-10-34(12-8-31)44(30-32)50(41-25-17-37(47-3)18-26-41)42-27-19-38(48-4)20-28-42/h5-6,9-10,13-30H,7-8,11-12H2,1-4H3</t>
  </si>
  <si>
    <t>JALREJYREHTOKW-UHFFFAOYSA-N</t>
  </si>
  <si>
    <t>L134</t>
  </si>
  <si>
    <t>(S)-BINAPINE</t>
  </si>
  <si>
    <t>528854-26-4</t>
  </si>
  <si>
    <t>C=1C=CC2=C(C1)C=CC3=C2C4=C5C=CC=CC5=CC=C4C(P(C3)C(C)(C)C)C6C7=CC=C8C=CC=CC8=C7C=9C=%10C=CC=CC%10C=CC9CP6C(C)(C)C</t>
  </si>
  <si>
    <t>InChI=1S/C52H48P2/c1-51(2,3)53-31-37-25-23-33-15-7-11-19-39(33)45(37)47-41-21-13-9-17-35(41)27-29-43(47)49(53)50-44-30-28-36-18-10-14-22-42(36)48(44)46-38(32-54(50)52(4,5)6)26-24-34-16-8-12-20-40(34)46/h7-30,49-50H,31-32H2,1-6H3</t>
  </si>
  <si>
    <t>YXMFQIWDFKIXGQ-UHFFFAOYSA-N</t>
  </si>
  <si>
    <t>L135</t>
  </si>
  <si>
    <t>(S)-H8-MonoPhos</t>
  </si>
  <si>
    <t>389130-06-7</t>
  </si>
  <si>
    <t>C22H26NO2P</t>
  </si>
  <si>
    <t>O1C2=CC=C3C(=C2C=4C(OP1N(C)C)=CC=C5C4CCCC5)CCCC3</t>
  </si>
  <si>
    <t>InChI=1S/C22H26NO2P/c1-23(2)26-24-19-13-11-15-7-3-5-9-17(15)21(19)22-18-10-6-4-8-16(18)12-14-20(22)25-26/h11-14H,3-10H2,1-2H3</t>
  </si>
  <si>
    <t>OIZQADYWBXZQKE-UHFFFAOYSA-N</t>
  </si>
  <si>
    <t>L136</t>
  </si>
  <si>
    <t>(R,R)-Me-Ferrocelane</t>
  </si>
  <si>
    <t>540475-45-4</t>
  </si>
  <si>
    <t>C22H32FeP2</t>
  </si>
  <si>
    <t>P1(C(C)CCC1C)[C-]23[CH]4=[CH]5[CH]6=[CH]2[Fe+2]56789%1043[CH]=%11[CH]%10=[CH]9[C-]8(P%12C(C)CCC%12C)[CH]%117</t>
  </si>
  <si>
    <t>C[C@H]1[P@]([C-]23[Fe+2]456789%10([C-]%11([CH]4=[CH]5[CH]6=[CH]7%11)[P@@]%12[C@H](C)CC[C@H]%12C)[CH]2=[CH]8[CH]9=[CH]%103)[C@H](C)CC1</t>
  </si>
  <si>
    <t>InChI=1S/2C11H16P.Fe/c2*1-9-7-8-10(2)12(9)11-5-3-4-6-11;/h2*3-6,9-10H,7-8H2,1-2H3;/q2*-1;+2/t2*9-,10-;/m11./s1</t>
  </si>
  <si>
    <t>QXXSYUGLJIMLFH-ZPUHPSAWSA-N</t>
  </si>
  <si>
    <t>L137</t>
  </si>
  <si>
    <t>(R,R)-Et-Ferrocelane</t>
  </si>
  <si>
    <t>147762-89-8</t>
  </si>
  <si>
    <t>C26H40FeP2</t>
  </si>
  <si>
    <t>P1(C(CC)CCC1CC)[C-]23[CH]4=[CH]5[CH]6=[CH]2[Fe+2]56789%1043[CH]=%11[CH]%10=[CH]9[C-]8(P%12C(CC)CCC%12CC)[CH]%117</t>
  </si>
  <si>
    <t>C(C)[C@H]1[P@@]([C-]23[Fe+2]456789%10([C-]%11([CH]4=[CH]5[CH]6=[CH]7%11)[P@@]%12[C@H](CC)CC[C@H]%12CC)[CH]2=[CH]8[CH]9=[CH]%103)[C@H](CC)CC1</t>
  </si>
  <si>
    <t>InChI=1S/2C13H20P.Fe/c2*1-3-11-9-10-12(4-2)14(11)13-7-5-6-8-13;/h2*5-8,11-12H,3-4,9-10H2,1-2H3;/q2*-1;+2/t2*11-,12-;/m11./s1</t>
  </si>
  <si>
    <t>HFHFWISYOSHESF-FGGAMIHJSA-N</t>
  </si>
  <si>
    <t>L138</t>
  </si>
  <si>
    <t>(S,S,S,S)-MeO-BIBOP</t>
  </si>
  <si>
    <t>1202033-19-9</t>
  </si>
  <si>
    <t>C24H32O4P2</t>
  </si>
  <si>
    <t>O(C1=CC=CC=2OC(P(C12)C(C)(C)C)C3OC=4C=CC=C(OC)C4P3C(C)(C)C)C</t>
  </si>
  <si>
    <t>C(C)(C)(C)[P@@]1[C@](OC=2C1=C(OC)C=CC2)([C@@]3([P@@](C(C)(C)C)C=4C(O3)=CC=CC4OC)[H])[H]</t>
  </si>
  <si>
    <t>InChI=1S/C24H32O4P2/c1-23(2,3)29-19-15(25-7)11-9-13-17(19)27-21(29)22-28-18-14-10-12-16(26-8)20(18)30(22)24(4,5)6/h9-14,21-22H,1-8H3/t21-,22-,29-,30-/m0/s1</t>
  </si>
  <si>
    <t>KVPCVNGTJXEQKH-OBMDHMNCSA-N</t>
  </si>
  <si>
    <t>L139</t>
  </si>
  <si>
    <t>(R)-CTH-BINAM</t>
  </si>
  <si>
    <t>208248-67-3</t>
  </si>
  <si>
    <t>C44H42N2P2</t>
  </si>
  <si>
    <t>C=1C=CC(=CC1)P(NC2=CC=C3C(=C2C=4C(=CC=C5C4CCCC5)NP(C=6C=CC=CC6)C=7C=CC=CC7)CCCC3)C=8C=CC=CC8</t>
  </si>
  <si>
    <t>InChI=1S/C44H42N2P2/c1-5-19-35(20-6-1)47(36-21-7-2-8-22-36)45-41-31-29-33-17-13-15-27-39(33)43(41)44-40-28-16-14-18-34(40)30-32-42(44)46-48(37-23-9-3-10-24-37)38-25-11-4-12-26-38/h1-12,19-26,29-32,45-46H,13-18,27-28H2</t>
  </si>
  <si>
    <t>GTPWPBWUIWYZCB-UHFFFAOYSA-N</t>
  </si>
  <si>
    <t>L140</t>
  </si>
  <si>
    <t>(2R)-1-[(R)-Aminophenylmethyl]-2-(diphenylphosphino)ferrocene</t>
  </si>
  <si>
    <t>498580-48-6</t>
  </si>
  <si>
    <t>C29H26FeNP</t>
  </si>
  <si>
    <t>NC(C=1C=CC=CC1)[C-]23[CH]4=[CH]5[CH]6=C2(P(C=7C=CC=CC7)C=8C=CC=CC8)[Fe+2]9%10%11%125643[CH]=%13[CH]%12=[CH]%11[CH-]%10[CH]%139</t>
  </si>
  <si>
    <t>InChI=1S/C24H21NP.C5H5.Fe/c25-24(19-11-4-1-5-12-19)22-17-10-18-23(22)26(20-13-6-2-7-14-20)21-15-8-3-9-16-21;1-2-4-5-3-1;/h1-18,24H,25H2;1-5H;/q2*-1;+2</t>
  </si>
  <si>
    <t>BCQBMCNBGRESCJ-UHFFFAOYSA-N</t>
  </si>
  <si>
    <t>L141</t>
  </si>
  <si>
    <t>(1R,2S)-TaniaPhos-OH</t>
  </si>
  <si>
    <t>851308-43-5</t>
  </si>
  <si>
    <t>C41H34FeOP2</t>
  </si>
  <si>
    <t>OC(C=1C=CC=CC1P(C=2C=CC=CC2)C=3C=CC=CC3)C45=[CH]6[CH]7=[CH]8[C-]4(P(C=9C=CC=CC9)C=%10C=CC=CC%10)[Fe+2]%11%12%13%147685[CH]=%15[CH]%14=[CH]%13[CH-]%12[CH]%15%11</t>
  </si>
  <si>
    <t>P([C-]12[Fe+2]3456789(C1([C@@H](O)C%10=C(P(C%11=CC=CC=C%11)C%12=CC=CC=C%12)C=CC=C%10)=[CH]3C4(=C52[H])[H])[CH-]%13[CH]6=[CH]7[CH]8=[CH]9%13)(C%14=CC=CC=C%14)C%15=CC=CC=C%15</t>
  </si>
  <si>
    <t>InChI=1S/C36H29OP2.C5H5.Fe/c37-36(33-25-15-27-35(33)39(30-20-9-3-10-21-30)31-22-11-4-12-23-31)32-24-13-14-26-34(32)38(28-16-5-1-6-17-28)29-18-7-2-8-19-29;1-2-4-5-3-1;/h1-27,36-37H;1-5H;/q2*-1;+2/t36-;;/m0../s1</t>
  </si>
  <si>
    <t>VEFQRLLRWYUVLQ-HOHWTZPFSA-N</t>
  </si>
  <si>
    <t>VEFQRLLRWYUVLQ</t>
  </si>
  <si>
    <t>L142</t>
  </si>
  <si>
    <t>2-[2-[(2R,5R)-2,5-Dimethyl-1-phospholanyl]phenyl]-1,3-dioxolane</t>
  </si>
  <si>
    <t>1044256-04-3</t>
  </si>
  <si>
    <t>C15H21O2P</t>
  </si>
  <si>
    <t>O1CCOC1C=2C=CC=CC2P3C(C)CCC3C</t>
  </si>
  <si>
    <t>C[C@H]1[P@](C2=C(C=CC=C2)C3OCCO3)[C@H](C)CC1</t>
  </si>
  <si>
    <t>InChI=1S/C15H21O2P/c1-11-7-8-12(2)18(11)14-6-4-3-5-13(14)15-16-9-10-17-15/h3-6,11-12,15H,7-10H2,1-2H3/t11-,12-/m1/s1</t>
  </si>
  <si>
    <t>JAKXTLMNIHPLEU-VXGBXAGGSA-N</t>
  </si>
  <si>
    <t>JAKXTLMNIHPLEU</t>
  </si>
  <si>
    <t>L143</t>
  </si>
  <si>
    <t>(R,R)-BPPM</t>
  </si>
  <si>
    <t>72598-03-9</t>
  </si>
  <si>
    <t>C34H37NO2P2</t>
  </si>
  <si>
    <t>O=C(OC(C)(C)C)N1CC(P(C=2C=CC=CC2)C=3C=CC=CC3)CC1CP(C=4C=CC=CC4)C=5C=CC=CC5</t>
  </si>
  <si>
    <t>[P@@]([C@@H]1C[C@H](CP(C2=CC=CC=C2)C3=CC=CC=C3)N(C(OC(C)(C)C)=O)C1)(C4=CC=CC=C4)C5=CC=CC=C5</t>
  </si>
  <si>
    <t>InChI=1S/C34H37NO2P2/c1-34(2,3)37-33(36)35-25-32(39(30-20-12-6-13-21-30)31-22-14-7-15-23-31)24-27(35)26-38(28-16-8-4-9-17-28)29-18-10-5-11-19-29/h4-23,27,32H,24-26H2,1-3H3/t27-,32-/m1/s1</t>
  </si>
  <si>
    <t>BFMKBYZEJOQYIM-WXGMZPBLSA-N</t>
  </si>
  <si>
    <t>BFMKBYZEJOQYIM</t>
  </si>
  <si>
    <t>L144</t>
  </si>
  <si>
    <t>(S)-MorfPhos</t>
  </si>
  <si>
    <t>185449-81-4</t>
  </si>
  <si>
    <t>C24H20NO3P</t>
  </si>
  <si>
    <t>O1C=2C=CC=3C=CC=CC3C2C4=C(OP1N5CCOCC5)C=CC=6C=CC=CC64</t>
  </si>
  <si>
    <t>InChI=1S/C24H20NO3P/c1-3-7-19-17(5-1)9-11-21-23(19)24-20-8-4-2-6-18(20)10-12-22(24)28-29(27-21)25-13-15-26-16-14-25/h1-12H,13-16H2</t>
  </si>
  <si>
    <t>XUJAXBFFTHRXLV-UHFFFAOYSA-N</t>
  </si>
  <si>
    <t>XUJAXBFFTHRXLV</t>
  </si>
  <si>
    <t>L145</t>
  </si>
  <si>
    <t>(R,R,R)-Ph-SKP</t>
  </si>
  <si>
    <t>1360823-43-3</t>
  </si>
  <si>
    <t>C44H38O2P2</t>
  </si>
  <si>
    <t>O1C=2C(=CC=CC2CC3CCCC4CC=5C=CC=C(C5OC134)P(C=6C=CC=CC6)C=7C=CC=CC7)P(C=8C=CC=CC8)C=9C=CC=CC9</t>
  </si>
  <si>
    <t>InChI=1S/C44H38O2P2/c1-5-20-36(21-6-1)47(37-22-7-2-8-23-37)40-28-13-16-32-30-34-18-15-19-35-31-33-17-14-29-41(43(33)46-44(34,35)45-42(32)40)48(38-24-9-3-10-25-38)39-26-11-4-12-27-39/h1-14,16-17,20-29,34-35H,15,18-19,30-31H2</t>
  </si>
  <si>
    <t>RXNGOILZLRYHEN-UHFFFAOYSA-N</t>
  </si>
  <si>
    <t>RXNGOILZLRYHEN</t>
  </si>
  <si>
    <t>L146</t>
  </si>
  <si>
    <t>(S,R)-N-PINAP</t>
  </si>
  <si>
    <t>1173836-08-2</t>
  </si>
  <si>
    <t>C38H30N3P</t>
  </si>
  <si>
    <t>N1=NC(=C2C=CC=CC2=C1NC(C=3C=CC=CC3)C)C4=C5C=CC=CC5=CC=C4P(C=6C=CC=CC6)C=7C=CC=CC7</t>
  </si>
  <si>
    <t>InChI=1S/C38H30N3P/c1-27(28-15-5-2-6-16-28)39-38-34-24-14-13-23-33(34)37(40-41-38)36-32-22-12-11-17-29(32)25-26-35(36)42(30-18-7-3-8-19-30)31-20-9-4-10-21-31/h2-27H,1H3,(H,39,41)</t>
  </si>
  <si>
    <t>HCEVCINOBTVHOF-UHFFFAOYSA-N</t>
  </si>
  <si>
    <t>HCEVCINOBTVHOF</t>
  </si>
  <si>
    <t>L147</t>
  </si>
  <si>
    <t>(R)-CTH-P-Phos</t>
  </si>
  <si>
    <t>221012-82-4</t>
  </si>
  <si>
    <t>C38H34N2O4P2</t>
  </si>
  <si>
    <t>N1=C(OC)C=C(C(=C1OC)C2=C(N=C(OC)C=C2P(C=3C=CC=CC3)C=4C=CC=CC4)OC)P(C=5C=CC=CC5)C=6C=CC=CC6</t>
  </si>
  <si>
    <t>InChI=1S/C38H34N2O4P2/c1-41-33-25-31(45(27-17-9-5-10-18-27)28-19-11-6-12-20-28)35(37(39-33)43-3)36-32(26-34(42-2)40-38(36)44-4)46(29-21-13-7-14-22-29)30-23-15-8-16-24-30/h5-26H,1-4H3</t>
  </si>
  <si>
    <t>JZOSBBLJKXSBBN-UHFFFAOYSA-N</t>
  </si>
  <si>
    <t>L148</t>
  </si>
  <si>
    <t>(R)-SIPHOS-PE</t>
  </si>
  <si>
    <t>500997-69-3</t>
  </si>
  <si>
    <t>C33H32NO2P</t>
  </si>
  <si>
    <t>C[C@H](C1=CC=CC=C1)N([C@@H](C2=CC=CC=C2)C)P3OC4=CC=CC5=C4[C@]6(CCC7=C6C(O3)=CC=C7)CC5</t>
  </si>
  <si>
    <t>InChI=1S/C33H32NO2P/c1-23(25-11-5-3-6-12-25)34(24(2)26-13-7-4-8-14-26)37-35-29-17-9-15-27-19-21-33(31(27)29)22-20-28-16-10-18-30(36-37)32(28)33/h3-18,23-24H,19-22H2,1-2H3/t23-,24-,33-/m1/s1</t>
  </si>
  <si>
    <t>ZXLQLIDJAURBDD-NJQVLOCASA-N</t>
  </si>
  <si>
    <t>ZXLQLIDJAURBDD</t>
  </si>
  <si>
    <t>L149</t>
  </si>
  <si>
    <t>(R)-Tol-GarPhos</t>
  </si>
  <si>
    <t>1365531-81-2</t>
  </si>
  <si>
    <t>C44H44O4P2</t>
  </si>
  <si>
    <t>O(C1=CC(OC)=C(C(=C1)P(C2=CC=C(C=C2)C)C3=CC=C(C=C3)C)C4=C(OC)C=C(OC)C=C4P(C5=CC=C(C=C5)C)C6=CC=C(C=C6)C)C</t>
  </si>
  <si>
    <t>InChI=1S/C44H44O4P2/c1-29-9-17-35(18-10-29)49(36-19-11-30(2)12-20-36)41-27-33(45-5)25-39(47-7)43(41)44-40(48-8)26-34(46-6)28-42(44)50(37-21-13-31(3)14-22-37)38-23-15-32(4)16-24-38/h9-28H,1-8H3</t>
  </si>
  <si>
    <t>JXFDRZQHVPTIMH-UHFFFAOYSA-N</t>
  </si>
  <si>
    <t>L150</t>
  </si>
  <si>
    <t>(R)-DTB-SpiroSAP-Ph</t>
  </si>
  <si>
    <t>1809609-38-8</t>
  </si>
  <si>
    <t>C53H66NPS</t>
  </si>
  <si>
    <t>PNS</t>
  </si>
  <si>
    <t>S(C=1C=CC=CC1)CCNC2=CC=CC3=C2C4(C=5C(=CC=CC5CC4)P(C=6C=C(C=C(C6)C(C)(C)C)C(C)(C)C)C=7C=C(C=C(C7)C(C)(C)C)C(C)(C)C)CC3</t>
  </si>
  <si>
    <t>P(C1=C2[C@@]3(C=4C(CC3)=CC=CC4NCCSC5=CC=CC=C5)CCC2=CC=C1)(C6=CC(C(C)(C)C)=CC(C(C)(C)C)=C6)C7=CC(C(C)(C)C)=CC(C(C)(C)C)=C7</t>
  </si>
  <si>
    <t>InChI=1S/C53H66NPS/c1-49(2,3)38-30-39(50(4,5)6)33-42(32-38)55(43-34-40(51(7,8)9)31-41(35-43)52(10,11)12)46-23-17-19-37-25-27-53(48(37)46)26-24-36-18-16-22-45(47(36)53)54-28-29-56-44-20-14-13-15-21-44/h13-23,30-35,54H,24-29H2,1-12H3/t53-/m1/s1</t>
  </si>
  <si>
    <t>GJLNYFIJEGFWHW-IONAWPRUSA-N</t>
  </si>
  <si>
    <t>L151</t>
  </si>
  <si>
    <t>SL-N004-1</t>
  </si>
  <si>
    <t>1226898-27-6</t>
  </si>
  <si>
    <t>C29H30FeNOP</t>
  </si>
  <si>
    <t>N1=C(OCC1C(C)(C)C)C23=[CH]4[CH]5=[CH]6[C-]2(P(C=7C=CC=CC7)C=8C=CC=CC8)[Fe+2]9%10%11%125463[CH]=%13[CH]%12=[CH]%11[CH-]%10[CH]%139</t>
  </si>
  <si>
    <t>P([C-]12[Fe+2]3456789(C1(=[CH]3C4(=C52[H])[H])C%10=N[C@H]([C@](C)(C)C)CO%10)[CH-]%11[CH]6=[CH]7[CH]8=[CH]9%11)(C%12=CC=CC=C%12)C%13=CC=CC=C%13</t>
  </si>
  <si>
    <t>InChI=1S/C24H25NOP.C5H5.Fe/c1-24(2,3)22-17-26-23(25-22)20-15-10-16-21(20)27(18-11-6-4-7-12-18)19-13-8-5-9-14-19;1-2-4-5-3-1;/h4-16,22H,17H2,1-3H3;1-5H;/q2*-1;+2/t22-;;/m0../s1</t>
  </si>
  <si>
    <t>JTWUNUBQGSFMMO-IKXQUJFKSA-N</t>
  </si>
  <si>
    <t>L152</t>
  </si>
  <si>
    <t>SL-N011-2</t>
  </si>
  <si>
    <t>950201-43-1</t>
  </si>
  <si>
    <t>C36H32FeNOP</t>
  </si>
  <si>
    <t>N1=C(OCC1C(C)C)C23=[CH]4[CH]5=[CH]6[C-]2(P(C7=CC=CC=8C=CC=CC87)C9=CC=CC=%10C=CC=CC%109)[Fe+2]%11%12%13%145463[CH]=%15[CH]%14=[CH]%13[CH-]%12[CH]%15%11</t>
  </si>
  <si>
    <t>P([C-]12[Fe+2]3456789(C1(=[CH]3C4(=C52[H])[H])C%10=N[C@@H](C(C)C)CO%10)[CH-]%11[CH]6=[CH]7[CH]8=[CH]9%11)(C=%12C%13=C(C=CC%12)C=CC=C%13)C=%14C%15=C(C=CC%14)C=CC=C%15</t>
  </si>
  <si>
    <t>InChI=1S/C31H27NOP.C5H5.Fe/c1-21(2)27-20-33-31(32-27)26-16-9-19-30(26)34(28-17-7-12-22-10-3-5-14-24(22)28)29-18-8-13-23-11-4-6-15-25(23)29;1-2-4-5-3-1;/h3-19,21,27H,20H2,1-2H3;1-5H;/q2*-1;+2/t27-;;/m1../s1</t>
  </si>
  <si>
    <t>DBRXQKUBAVPUBT-KFSCGDPASA-N</t>
  </si>
  <si>
    <t>L153</t>
  </si>
  <si>
    <t>(S,S,S,S)-BIBOP</t>
  </si>
  <si>
    <t>1202033-17-7</t>
  </si>
  <si>
    <t>O1C=2C=CC=CC2P(C1C3OC=4C=CC=CC4P3C(C)(C)C)C(C)(C)C</t>
  </si>
  <si>
    <t>C(C)(C)(C)[P@@]1[C@](OC=2C1=CC=CC2)([C@@]3([P@@](C(C)(C)C)C=4C(O3)=CC=CC4)[H])[H]</t>
  </si>
  <si>
    <t>InChI=1S/C22H28O2P2/c1-21(2,3)25-17-13-9-7-11-15(17)23-19(25)20-24-16-12-8-10-14-18(16)26(20)22(4,5)6/h7-14,19-20H,1-6H3/t19-,20-,25-,26-/m0/s1</t>
  </si>
  <si>
    <t>CAVTUIDTRDJLGP-HKDRDPIHSA-N</t>
  </si>
  <si>
    <t>L154</t>
  </si>
  <si>
    <t>SL-N009-2</t>
  </si>
  <si>
    <t>706814-27-9</t>
  </si>
  <si>
    <t>C32H24F12FeNOP</t>
  </si>
  <si>
    <t>FC(F)(F)C1=CC(=CC(=C1)C(F)(F)F)P(C=2C=C(C=C(C2)C(F)(F)F)C(F)(F)F)[C-]34[CH]5=[CH]6[CH]7=C3(C8=NC(CO8)C(C)C)[Fe+2]9%10%11%126754[CH]=%13[CH]%12=[CH]%11[CH-]%10[CH]%139</t>
  </si>
  <si>
    <t>P([C-]12[Fe+2]3456789(C1(=[CH]3C4(=C52[H])[H])C%10=N[C@@H](C(C)C)CO%10)[CH-]%11[CH]6=[CH]7[CH]8=[CH]9%11)(C%12=CC(C(F)(F)F)=CC(C(F)(F)F)=C%12)C%13=CC(C(F)(F)F)=CC(C(F)(F)F)=C%13</t>
  </si>
  <si>
    <t>InChI=1S/C27H19F12NOP.C5H5.Fe/c1-13(2)21-12-41-23(40-21)20-4-3-5-22(20)42(18-8-14(24(28,29)30)6-15(9-18)25(31,32)33)19-10-16(26(34,35)36)7-17(11-19)27(37,38)39;1-2-4-5-3-1;/h3-11,13,21H,12H2,1-2H3;1-5H;/q2*-1;+2/t21-;;/m1../s1</t>
  </si>
  <si>
    <t>PPBZVOGKSYCVPZ-GHVWMZMZSA-N</t>
  </si>
  <si>
    <t>L155</t>
  </si>
  <si>
    <t>SL-J408-1</t>
  </si>
  <si>
    <t>950982-69-1</t>
  </si>
  <si>
    <t>C=1C(=CC(=CC1C)C)P(C=2C=C(C=C(C2)C)C)C(C)C34=[CH]5[CH]6=[CH]7[C-]3(P(C=8C=C(C=C(C8)C)C)C=9C=C(C=C(C9)C)C)[Fe+2]%10%11%12%136574[CH]=%14[CH]%13=[CH]%12[CH-]%11[CH]%14%10</t>
  </si>
  <si>
    <t>P([C-]12[Fe+2]3456789(C1([C@@H](P(C%10=CC(C)=CC(C)=C%10)C%11=CC(C)=CC(C)=C%11)C)=[CH]3C4(=C52[H])[H])[CH-]%12[CH]6=[CH]7[CH]8=[CH]9%12)(C%13=CC(C)=CC(C)=C%13)C%14=CC(C)=CC(C)=C%14</t>
  </si>
  <si>
    <t>InChI=1S/C39H43P2.C5H5.Fe/c1-25-13-26(2)18-34(17-25)40(35-19-27(3)14-28(4)20-35)33(9)38-11-10-12-39(38)41(36-21-29(5)15-30(6)22-36)37-23-31(7)16-32(8)24-37;1-2-4-5-3-1;/h10-24,33H,1-9H3;1-5H;/q2*-1;+2/t33-;;/m0../s1</t>
  </si>
  <si>
    <t>ZVJKHPIFHBSIMG-NYPSMHOZSA-N</t>
  </si>
  <si>
    <t>L156</t>
  </si>
  <si>
    <t>(2R,2R)-2,2-bis(diphenylphosphino)-1,1-biferrocene</t>
  </si>
  <si>
    <t>136274-57-2</t>
  </si>
  <si>
    <t>C44H36Fe2P2</t>
  </si>
  <si>
    <t>C=1C=CC(=CC1)P(C=2C=CC=CC2)C34=[CH]5[CH]6=[CH]7[C-]3([C-]89[CH]%10=[CH]%11[CH]%12=C8(P(C=%13C=CC=CC%13)C=%14C=CC=CC%14)[Fe+2]%15%16%17%18%11%12%109[CH]=%19[CH]%18=[CH]%17[CH-]%16[CH]%19%15)[Fe+2]%20%21%22%236574[CH]=%24[CH]%23=[CH]%22[CH-]%21[CH]%24%20</t>
  </si>
  <si>
    <t>InChI=1S/C34H26P2.2C5H5.2Fe/c1-5-15-27(16-6-1)35(28-17-7-2-8-18-28)33-25-13-23-31(33)32-24-14-26-34(32)36(29-19-9-3-10-20-29)30-21-11-4-12-22-30;2*1-2-4-5-3-1;;/h1-26H;2*1-5H;;/q-2;2*-1;2*+2</t>
  </si>
  <si>
    <t>VADPYXYBFVOWCG-UHFFFAOYSA-N</t>
  </si>
  <si>
    <t>L157</t>
  </si>
  <si>
    <t>(R)-Cy-GarPhos</t>
  </si>
  <si>
    <t>2829282-18-8</t>
  </si>
  <si>
    <t>C40H60O4P2</t>
  </si>
  <si>
    <t>COC1=C(C2=C(OC)C=C(OC)C=C2P(C3CCCCC3)C4CCCCC4)C(P(C5CCCCC5)C6CCCCC6)=CC(OC)=C1</t>
  </si>
  <si>
    <t>InChI=1S/C40H60O4P2/c1-41-29-25-35(43-3)39(37(27-29)45(31-17-9-5-10-18-31)32-19-11-6-12-20-32)40-36(44-4)26-30(42-2)28-38(40)46(33-21-13-7-14-22-33)34-23-15-8-16-24-34/h25-28,31-34H,5-24H2,1-4H3</t>
  </si>
  <si>
    <t>WCFUXBDOGJWNJE-UHFFFAOYSA-N</t>
  </si>
  <si>
    <t>L158</t>
  </si>
  <si>
    <t>(R)-DTB-SpiroPAP-6-Me</t>
  </si>
  <si>
    <t>1298133-26-2</t>
  </si>
  <si>
    <t>C52H65N2P</t>
  </si>
  <si>
    <t>PNN</t>
  </si>
  <si>
    <t>CC(C)(C)P(C(C)(C)C)C1=CC=CC2=C1[C@]3(CCC4=C3C(NCC5=CC=CC(C)=N5)=CC=C4)CC2</t>
  </si>
  <si>
    <t>InChI=1S/C32H41N2P/c1-22-11-8-14-25(34-22)21-33-26-15-9-12-23-17-19-32(28(23)26)20-18-24-13-10-16-27(29(24)32)35(30(2,3)4)31(5,6)7/h8-16,33H,17-21H2,1-7H3/t32-/m1/s1</t>
  </si>
  <si>
    <t>FMDVXKIBFWPBAS-JGCGQSQUSA-N</t>
  </si>
  <si>
    <t>FMDVXKIBFWPBAS</t>
  </si>
  <si>
    <t>L159</t>
  </si>
  <si>
    <t>Exo-4-Methoxyphenyl Kwon [2.2.1] Bicyclic Phosphine</t>
  </si>
  <si>
    <t>1975180-37-0</t>
  </si>
  <si>
    <t>C19H22NO3PS</t>
  </si>
  <si>
    <t>O=S(N1C[C@@]2([H])[P@](C3=CC=C(OC)C=C3)C[C@]1([H])C2)(C4=CC=C(C)C=C4)=O</t>
  </si>
  <si>
    <t>InChI=1S/C19H22NO3PS/c1-14-3-9-19(10-4-14)25(21,22)20-12-18-11-15(20)13-24(18)17-7-5-16(23-2)6-8-17/h3-10,15,18H,11-13H2,1-2H3/t15-,18-,24?/m0/s1</t>
  </si>
  <si>
    <t>RMFZMNUGIFSNIE-YPAHSFBSSA-N</t>
  </si>
  <si>
    <t>RMFZMNUGIFSNIE</t>
  </si>
  <si>
    <t>L160</t>
  </si>
  <si>
    <t>Endo-4-Methoxyphenyl Kwon [2.2.1] Bicyclic Phosphine</t>
  </si>
  <si>
    <t>1883493-01-3</t>
  </si>
  <si>
    <t>O=S(N1C[C@H]2[P@@](C3=CC=C(OC)C=C3)C[C@@H]1C2)(C4=CC=C(C)C=C4)=O</t>
  </si>
  <si>
    <t>InChI=1S/C19H22NO3PS/c1-14-3-9-19(10-4-14)25(21,22)20-12-18-11-15(20)13-24(18)17-7-5-16(23-2)6-8-17/h3-10,15,18H,11-13H2,1-2H3</t>
  </si>
  <si>
    <t>RMFZMNUGIFSNIE-UHFFFAOYSA-N</t>
  </si>
  <si>
    <t>L161</t>
  </si>
  <si>
    <t>(R,R)-(Diphenylphosphino)-phenylbenzeneethanamine</t>
  </si>
  <si>
    <t>1091606-68-6</t>
  </si>
  <si>
    <t>C26H24NP</t>
  </si>
  <si>
    <t>NC(C=1C=CC=CC1)C(C=2C=CC=CC2)P(C=3C=CC=CC3)C=4C=CC=CC4</t>
  </si>
  <si>
    <t>[P@@]([C@@H]([C@H](N)C1=CC=CC=C1)C2=CC=CC=C2)(C3=CC=CC=C3)C4=CC=CC=C4</t>
  </si>
  <si>
    <t>InChI=1S/C26H24NP/c27-25(21-13-5-1-6-14-21)26(22-15-7-2-8-16-22)28(23-17-9-3-10-18-23)24-19-11-4-12-20-24/h1-20,25-26H,27H2/t25-,26-/m1/s1</t>
  </si>
  <si>
    <t>MIPGTOGPLXZBQX-CLJLJLNGSA-N</t>
  </si>
  <si>
    <t>L162</t>
  </si>
  <si>
    <t>(1R,2R)-2-(Diphenylphosphino)-2,3-dihydro-1H-inden-1-amine</t>
  </si>
  <si>
    <t>1091606-70-0</t>
  </si>
  <si>
    <t>C21H20NP</t>
  </si>
  <si>
    <t>NC1C=2C=CC=CC2CC1P(C=3C=CC=CC3)C=4C=CC=CC4</t>
  </si>
  <si>
    <t>[P@]([C@H]1[C@H](N)C=2C(C1)=CC=CC2)(C3=CC=CC=C3)C4=CC=CC=C4</t>
  </si>
  <si>
    <t>InChI=1S/C21H20NP/c22-21-19-14-8-7-9-16(19)15-20(21)23(17-10-3-1-4-11-17)18-12-5-2-6-13-18/h1-14,20-21H,15,22H2/t20-,21-/m1/s1</t>
  </si>
  <si>
    <t>IALYUOSURKZWLR-NHCUHLMSSA-N</t>
  </si>
  <si>
    <t>L163</t>
  </si>
  <si>
    <t>(S,S)-tBuPh-SKEWPhos</t>
  </si>
  <si>
    <t>911415-22-0</t>
  </si>
  <si>
    <t>C45H62P2</t>
  </si>
  <si>
    <t>C=1C=C(C=CC1P(C2=CC=C(C=C2)C(C)(C)C)C(C)CC(P(C3=CC=C(C=C3)C(C)(C)C)C4=CC=C(C=C4)C(C)(C)C)C)C(C)(C)C</t>
  </si>
  <si>
    <t>P([C@H](C[C@@H](P(C1=CC=C(C(C)(C)C)C=C1)C2=CC=C(C(C)(C)C)C=C2)C)C)(C3=CC=C(C(C)(C)C)C=C3)C4=CC=C(C(C)(C)C)C=C4</t>
  </si>
  <si>
    <t>InChI=1S/C45H62P2/c1-32(46(38-23-15-34(16-24-38)42(3,4)5)39-25-17-35(18-26-39)43(6,7)8)31-33(2)47(40-27-19-36(20-28-40)44(9,10)11)41-29-21-37(22-30-41)45(12,13)14/h15-30,32-33H,31H2,1-14H3/t32-,33-/m0/s1</t>
  </si>
  <si>
    <t>NOLMSXJJRKOIOF-LQJZCPKCSA-N</t>
  </si>
  <si>
    <t>L164</t>
  </si>
  <si>
    <t>(R,R)-(S,S)-PhTRAP</t>
  </si>
  <si>
    <t>137096-37-8</t>
  </si>
  <si>
    <t>C48H44Fe2P2</t>
  </si>
  <si>
    <t>C=1C=CC(=CC1)P(C=2C=CC=CC2)C(C)C34=[CH]5[CH]6=[CH]7[C-]3([C-]89[CH]%10=[CH]%11[CH]%12=C8(C(P(C=%13C=CC=CC%13)C=%14C=CC=CC%14)C)[Fe+2]%15%16%17%18%11%12%109[CH]=%19[CH]%18=[CH]%17[CH-]%16[CH]%19%15)[Fe+2]%20%21%22%236574[CH]=%24[CH]%23=[CH]%22[CH-]%21[CH]%24%20</t>
  </si>
  <si>
    <t>InChI=1S/C38H34P2.2C5H5.2Fe/c1-29(39(31-17-7-3-8-18-31)32-19-9-4-10-20-32)35-25-15-27-37(35)38-28-16-26-36(38)30(2)40(33-21-11-5-12-22-33)34-23-13-6-14-24-34;2*1-2-4-5-3-1;;/h3-30H,1-2H3;2*1-5H;;/q-2;2*-1;2*+2</t>
  </si>
  <si>
    <t>ZWOGYBMWJSRPTR-UHFFFAOYSA-N</t>
  </si>
  <si>
    <t>L165</t>
  </si>
  <si>
    <t>(R)-BINAPhane</t>
  </si>
  <si>
    <t>253311-88-5</t>
  </si>
  <si>
    <t>C50H36P2</t>
  </si>
  <si>
    <t>C=1C=CC2=C(C1)C=CC3=C2C4=C5C=CC=CC5=CC=C4CP(C=6C=CC=CC6P7CC=8C=CC=9C=CC=CC9C8C%10=C%11C=CC=CC%11=CC=C%10C7)C3</t>
  </si>
  <si>
    <t>InChI=1S/C50H36P2/c1-5-15-41-33(11-1)21-25-37-29-51(30-38-26-22-34-12-2-6-16-42(34)48(38)47(37)41)45-19-9-10-20-46(45)52-31-39-27-23-35-13-3-7-17-43(35)49(39)50-40(32-52)28-24-36-14-4-8-18-44(36)50/h1-28H,29-32H2</t>
  </si>
  <si>
    <t>CQYMOICHLLQQAH-UHFFFAOYSA-N</t>
  </si>
  <si>
    <t>L166</t>
  </si>
  <si>
    <t>(1R)-8-(Diphenylphosphino)-1,2,3,4-tetrahydro-1-naphthalenamine</t>
  </si>
  <si>
    <t>960128-64-7</t>
  </si>
  <si>
    <t>C22H22NP</t>
  </si>
  <si>
    <t>NC1C=2C(=CC=CC2CCC1)P(C=3C=CC=CC3)C=4C=CC=CC4</t>
  </si>
  <si>
    <t>P(C1=C2C(=CC=C1)CCC[C@H]2N)(C3=CC=CC=C3)C4=CC=CC=C4</t>
  </si>
  <si>
    <t>InChI=1S/C22H22NP/c23-20-15-7-9-17-10-8-16-21(22(17)20)24(18-11-3-1-4-12-18)19-13-5-2-6-14-19/h1-6,8,10-14,16,20H,7,9,15,23H2/t20-/m1/s1</t>
  </si>
  <si>
    <t>KTWOFTBMHDQUEE-HXUWFJFHSA-N</t>
  </si>
  <si>
    <t>L167</t>
  </si>
  <si>
    <t>(R,R)-iPr-DuPhos</t>
  </si>
  <si>
    <t>136705-65-2</t>
  </si>
  <si>
    <t>C26H44P2</t>
  </si>
  <si>
    <t>C=1C=CC(=C(C1)P2C(CCC2C(C)C)C(C)C)P3C(CCC3C(C)C)C(C)C</t>
  </si>
  <si>
    <t>C(C)(C)[C@@H]1[P@]([C@@H]([C@@H](C)C)CC1)C2=C(C=CC=C2)[P@]3[C@@H](C(C)C)CC[C@@H]3[C@H](C)C</t>
  </si>
  <si>
    <t>InChI=1S/C26H44P2/c1-17(2)21-13-14-22(18(3)4)27(21)25-11-9-10-12-26(25)28-23(19(5)6)15-16-24(28)20(7)8/h9-12,17-24H,13-16H2,1-8H3/t21-,22-,23-,24-/m1/s1</t>
  </si>
  <si>
    <t>RBVGOQHQBUPSGX-MOUTVQLLSA-N</t>
  </si>
  <si>
    <t>L168</t>
  </si>
  <si>
    <t>(3R)-4-[2,6-Bis(1-methylethoxy)phenyl]-3-(1,1-dimethylethyl)-2,3-dihydro-1,3-benzoxaphosphole</t>
  </si>
  <si>
    <t>1338454-38-8</t>
  </si>
  <si>
    <t>C23H31O3P</t>
  </si>
  <si>
    <t>O1C2=CC=CC(C=3C(OC(C)C)=CC=CC3OC(C)C)=C2P(C1)C(C)(C)C</t>
  </si>
  <si>
    <t>[C@@](C)(C)(C)[P@@]1C2=C(C=CC=C2OC1)C3=C(OC(C)C)C=CC=C3OC(C)C</t>
  </si>
  <si>
    <t>InChI=1S/C23H31O3P/c1-15(2)25-18-11-9-12-19(26-16(3)4)21(18)17-10-8-13-20-22(17)27(14-24-20)23(5,6)7/h8-13,15-16H,14H2,1-7H3/t27-/m0/s1</t>
  </si>
  <si>
    <t>JPJPMJVRCYAVEU-MHZLTWQESA-N</t>
  </si>
  <si>
    <t>L169</t>
  </si>
  <si>
    <t>SL-M002-1</t>
  </si>
  <si>
    <t>494227-35-9</t>
  </si>
  <si>
    <t>C52H74FeN2P2</t>
  </si>
  <si>
    <t>C=1C=CC(=CC1)C(N(C)C)C23=[CH]4[CH]5=[CH]6[C-]2(P(C7CCCCC7)C8CCCCC8)[Fe+2]59%10%11%12463[CH]=%13[CH]%12=C%11(C(C=%14C=CC=CC%14)N(C)C)[C-]%10(P(C%15CCCCC%15)C%16CCCCC%16)[CH]%139</t>
  </si>
  <si>
    <t>P([C-]12[Fe+2]3456789([C-]%10(P(C%11CCCCC%11)C%12CCCCC%12)C3([C@H](N(C)C)C%13=CC=CC=C%13)=C4([CH]5=C6%10[H])[H])C1([C@H](N(C)C)C%14=CC=CC=C%14)=[CH]7C8(=C92[H])[H])(C%15CCCCC%15)C%16CCCCC%16</t>
  </si>
  <si>
    <t>InChI=1S/2C26H37NP.Fe/c2*1-27(2)26(21-13-6-3-7-14-21)24-19-12-20-25(24)28(22-15-8-4-9-16-22)23-17-10-5-11-18-23;/h2*3,6-7,12-14,19-20,22-23,26H,4-5,8-11,15-18H2,1-2H3;/q2*-1;+2/t2*26-;/m11./s1</t>
  </si>
  <si>
    <t>LXSUIBPEMIUZIA-PMIUFOJNSA-N</t>
  </si>
  <si>
    <t>L170</t>
  </si>
  <si>
    <t>(S)-DTBM-BINAP</t>
  </si>
  <si>
    <t>541502-07-2</t>
  </si>
  <si>
    <t>C80H104O4P2</t>
  </si>
  <si>
    <t>O(C=1C(=CC(=CC1C(C)(C)C)P(C=2C=C(C(OC)=C(C2)C(C)(C)C)C(C)(C)C)C3=CC=C4C=CC=CC4=C3C=5C=6C=CC=CC6C=CC5P(C=7C=C(C(OC)=C(C7)C(C)(C)C)C(C)(C)C)C=8C=C(C(OC)=C(C8)C(C)(C)C)C(C)(C)C)C(C)(C)C)C</t>
  </si>
  <si>
    <t>InChI=1S/C80H104O4P2/c1-73(2,3)57-41-51(42-58(69(57)81-25)74(4,5)6)85(52-43-59(75(7,8)9)70(82-26)60(44-52)76(10,11)12)65-39-37-49-33-29-31-35-55(49)67(65)68-56-36-32-30-34-50(56)38-40-66(68)86(53-45-61(77(13,14)15)71(83-27)62(46-53)78(16,17)18)54-47-63(79(19,20)21)72(84-28)64(48-54)80(22,23)24/h29-48H,1-28H3</t>
  </si>
  <si>
    <t>CRELPJJGSLSRBO-UHFFFAOYSA-N</t>
  </si>
  <si>
    <t>L171</t>
  </si>
  <si>
    <t>(S,S,S,S)-Et-BABIBOP</t>
  </si>
  <si>
    <t>2415751-83-4</t>
  </si>
  <si>
    <t>C26H36O2P2</t>
  </si>
  <si>
    <t>O1C2=CC=CC(C=3C=CC=C4OC(P(C43)C(C)(C)C)CC)=C2P(C1CC)C(C)(C)C</t>
  </si>
  <si>
    <t>C(C)(C)(C)[P@]1C2=C(C=CC=C2O[C@@H]1CC)C3=C4[P@](C(C)(C)C)[C@@H](CC)OC4=CC=C3</t>
  </si>
  <si>
    <t>InChI=1/C26H36O2P2/c1-9-21-27-19-15-11-13-17(23(19)29(21)25(3,4)5)18-14-12-16-20-24(18)30(26(6,7)8)22(10-2)28-20/h11-16,21-22H,9-10H2,1-8H3/t21-,22-,29+,30+/s2</t>
  </si>
  <si>
    <t>NJRKBHDYCXLDKH-ROLPUGFSNA-N</t>
  </si>
  <si>
    <t>L172</t>
  </si>
  <si>
    <t>(R,R,R,R)-WingPhos</t>
  </si>
  <si>
    <t>1884680-45-8</t>
  </si>
  <si>
    <t>C50H44O2P2</t>
  </si>
  <si>
    <t>O1C=2C=CC=C(C3=C4C=CC=CC4=CC=5C=CC=CC53)C2P(C1C6OC=7C=CC=C(C8=C9C=CC=CC9=CC=%10C=CC=CC%108)C7P6C(C)(C)C)C(C)(C)C</t>
  </si>
  <si>
    <t>[C@@](C)(C)(C)[P@@]1C2=C(C=CC=C2O[C@]1([C@]3([P@]([C@](C)(C)C)C=4C(O3)=CC=CC4C=5C6=C(C=C7C5C=CC=C7)C=CC=C6)[H])[H])C=8C9=C(C=C%10C8C=CC=C%10)C=CC=C9</t>
  </si>
  <si>
    <t>InChI=1S/C50H44O2P2/c1-49(2,3)53-45-39(43-35-21-11-7-17-31(35)29-32-18-8-12-22-36(32)43)25-15-27-41(45)51-47(53)48-52-42-28-16-26-40(46(42)54(48)50(4,5)6)44-37-23-13-9-19-33(37)30-34-20-10-14-24-38(34)44/h7-30,47-48H,1-6H3/t47-,48-,53-,54-/m1/s1</t>
  </si>
  <si>
    <t>HDNWNMANFZGXKV-ZYCFLHCNSA-N</t>
  </si>
  <si>
    <t>L173</t>
  </si>
  <si>
    <t>2-[(2S,3S)-3-(1,1-Dimethylethyl)-2,3-dihydro-4-methoxy-1,3-benzoxaphosphol-2-yl]pyridine</t>
  </si>
  <si>
    <t>2565792-52-9</t>
  </si>
  <si>
    <t>C17H20NO2P</t>
  </si>
  <si>
    <t>N=1C=CC=CC1C2OC=3C=CC=C(OC)C3P2C(C)(C)C</t>
  </si>
  <si>
    <t>C(C)(C)(C)[P@]1C=2C(O[C@@]1(C3=CC=CC=N3)[H])=CC=CC2OC</t>
  </si>
  <si>
    <t>InChI=1S/C17H20NO2P/c1-17(2,3)21-15-13(19-4)9-7-10-14(15)20-16(21)12-8-5-6-11-18-12/h5-11,16H,1-4H3/t16-,21-/m0/s1</t>
  </si>
  <si>
    <t>NFXZRUNTUSEVGQ-KKSFZXQISA-N</t>
  </si>
  <si>
    <t>L174</t>
  </si>
  <si>
    <t>SL-J681-1</t>
  </si>
  <si>
    <t>1221745-90-9</t>
  </si>
  <si>
    <t>C28H32FeOP2</t>
  </si>
  <si>
    <t>O=P(C(C)(C)C)[C-]12[CH]3=[CH]4[CH]5=C1(C(P(C=6C=CC=CC6)C=7C=CC=CC7)C)[Fe+2]89%10%114532[CH]=%12[CH]%11=[CH]%10[CH-]9[CH]%128</t>
  </si>
  <si>
    <t>[C@@H](P(C1=CC=CC=C1)C2=CC=CC=C2)(C)C3=4[Fe+2]56789%10%11([C-]3(P(C(C)(C)C)(=O)[H])C5(=[CH]6C74[H])[H])[CH-]%12[CH]8=[CH]9[CH]%10=[CH]%11%12</t>
  </si>
  <si>
    <t>LOIKSPAEIVMSHK-JPKZNVRTSA-N</t>
  </si>
  <si>
    <t>LOIKSPAEIVMSHK</t>
  </si>
  <si>
    <t>L175</t>
  </si>
  <si>
    <t>(S,Sp)-p-Tol-TaniaPhos</t>
  </si>
  <si>
    <t>C47H47FeNP2</t>
  </si>
  <si>
    <t>[][Fe][].CN(C)C(C1=CC=CC=C1P(C2=CC=C(C)C=C2)C3=CC=C(C)C=C3)c4cccc4P(C5=CC=C(C)C=C5)C6=CC=C(C)C=C6.c7cccc7</t>
  </si>
  <si>
    <t>[][Fe][].CN([C@@H](C1=CC=CC=C1P(C2=CC=C(C)C=C2)C3=CC=C(C)C=C3)c4cccc4P(C5=CC=C(C)C=C5)C6=CC=C(C)C=C6)C.c7cccc7</t>
  </si>
  <si>
    <t>InChI=1S/C42H42NP2.C5H5.Fe/c1-30-14-22-34(23-15-30)44(35-24-16-31(2)17-25-35)40-12-8-7-10-38(40)42(43(5)6)39-11-9-13-41(39)45(36-26-18-32(3)19-27-36)37-28-20-33(4)21-29-37;1-2-4-5-3-1;/h7-29,42H,1-6H3;1-5H;</t>
  </si>
  <si>
    <t>RKRHTOUCKJYFTK-UHFFFAOYSA-N</t>
  </si>
  <si>
    <t>RKRHTOUCKJYFTK</t>
  </si>
  <si>
    <t>L176</t>
  </si>
  <si>
    <t>(R,Rp)-2-Furyl-TaniaPhos</t>
  </si>
  <si>
    <t>C35H31FeNO4P2</t>
  </si>
  <si>
    <t>[][Fe][].CN(C)C(C1=C(P(C2=CC=CO2)C3=CC=CO3)C=CC=C1)c4c(P(C5=CC=CO5)C6=CC=CO6)ccc4.c7cccc7</t>
  </si>
  <si>
    <t>[][Fe][].CN([C@H](C1=C(P(C2=CC=CO2)C3=CC=CO3)C=CC=C1)c4c(P(C5=CC=CO5)C6=CC=CO6)ccc4)C.c7cccc7</t>
  </si>
  <si>
    <t>InChI=1S/C30H26NO4P2.C5H5.Fe/c1-31(2)30(23-11-5-13-25(23)37(28-16-8-20-34-28)29-17-9-21-35-29)22-10-3-4-12-24(22)36(26-14-6-18-32-26)27-15-7-19-33-27;1-2-4-5-3-1;/h3-21,30H,1-2H3;1-5H;</t>
  </si>
  <si>
    <t>KIIWYJWPRSJIBH-UHFFFAOYSA-N</t>
  </si>
  <si>
    <t>KIIWYJWPRSJIBH</t>
  </si>
  <si>
    <t>L177</t>
  </si>
  <si>
    <t>(R)-DM-MorfPhos</t>
  </si>
  <si>
    <t>864529-90-8</t>
  </si>
  <si>
    <t>C27H26NO2P</t>
  </si>
  <si>
    <t>O1C2=C(C=C3C=CC=CC3=C2C4=C(OP1N5CCCCC5)C(=CC=6C=CC=CC64)C)C</t>
  </si>
  <si>
    <t>InChI=1S/C27H26NO2P/c1-18-16-20-10-4-6-12-22(20)24-25-23-13-7-5-11-21(23)17-19(2)27(25)30-31(29-26(18)24)28-14-8-3-9-15-28/h4-7,10-13,16-17H,3,8-9,14-15H2,1-2H3</t>
  </si>
  <si>
    <t>YWLLJBRYLCKAGW-UHFFFAOYSA-N</t>
  </si>
  <si>
    <t>L178</t>
  </si>
  <si>
    <t>(R)-C2-TunePhos</t>
  </si>
  <si>
    <t>301847-88-1</t>
  </si>
  <si>
    <t>C38H30O2P2</t>
  </si>
  <si>
    <t>O1C2=CC=CC(=C2C=3C(OCC1)=CC=CC3P(C=4C=CC=CC4)C=5C=CC=CC5)P(C=6C=CC=CC6)C=7C=CC=CC7</t>
  </si>
  <si>
    <t>InChI=1S/C38H30O2P2/c1-5-15-29(16-6-1)41(30-17-7-2-8-18-30)35-25-13-23-33-37(35)38-34(40-28-27-39-33)24-14-26-36(38)42(31-19-9-3-10-20-31)32-21-11-4-12-22-32/h1-26H,27-28H2</t>
  </si>
  <si>
    <t>WCVFBMKDGBGXKM-UHFFFAOYSA-N</t>
  </si>
  <si>
    <t>L179</t>
  </si>
  <si>
    <t>(R)-QUINAP</t>
  </si>
  <si>
    <t>149341-34-4</t>
  </si>
  <si>
    <t>C31H22NP</t>
  </si>
  <si>
    <t>N=1C=CC=2C=CC=CC2C1C=3C=4C=CC=CC4C=CC3P(C=5C=CC=CC5)C=6C=CC=CC6</t>
  </si>
  <si>
    <t>InChI=1S/C31H22NP/c1-3-13-25(14-4-1)33(26-15-5-2-6-16-26)29-20-19-23-11-7-9-17-27(23)30(29)31-28-18-10-8-12-24(28)21-22-32-31/h1-22H</t>
  </si>
  <si>
    <t>YMJAIEYASUCCMJ-UHFFFAOYSA-N</t>
  </si>
  <si>
    <t>L180</t>
  </si>
  <si>
    <t>SL-J015-1</t>
  </si>
  <si>
    <t>649559-65-9</t>
  </si>
  <si>
    <t>C36H36FeO2P2</t>
  </si>
  <si>
    <t>O1C=CC=C1P(C=2OC=CC2)[C-]34[CH]5=[CH]6[CH]7=C3(C(P(C=8C=C(C=C(C8)C)C)C=9C=C(C=C(C9)C)C)C)[Fe+2]%10%11%12%136754[CH]=%14[CH]%13=[CH]%12[CH-]%11[CH]%14%10</t>
  </si>
  <si>
    <t>P([C-]12[Fe+2]3456789(C1([C@H](P(C%10=CC(C)=CC(C)=C%10)C%11=CC(C)=CC(C)=C%11)C)=[CH]3C4(=C52[H])[H])[CH-]%12[CH]6=[CH]7[CH]8=[CH]9%12)(C%13=CC=CO%13)C%14=CC=CO%14</t>
  </si>
  <si>
    <t>InChI=1S/C31H31O2P2.C5H5.Fe/c1-21-15-22(2)18-26(17-21)34(27-19-23(3)16-24(4)20-27)25(5)28-9-6-10-29(28)35(30-11-7-13-32-30)31-12-8-14-33-31;1-2-4-5-3-1;/h6-20,25H,1-5H3;1-5H;/q2*-1;+2/t25-;;/m1../s1</t>
  </si>
  <si>
    <t>NIRCQEMSYUNJNP-KHZPMNTOSA-N</t>
  </si>
  <si>
    <t>L181</t>
  </si>
  <si>
    <t>SL-J403-1</t>
  </si>
  <si>
    <t>166172-60-7</t>
  </si>
  <si>
    <t>C40H28F12FeP2</t>
  </si>
  <si>
    <t>FC(F)(F)C1=CC=C(C=C1)P(C2=CC=C(C=C2)C(F)(F)F)C(C)C34=[CH]5[CH]6=[CH]7[C-]3(P(C8=CC=C(C=C8)C(F)(F)F)C9=CC=C(C=C9)C(F)(F)F)[Fe+2]%10%11%12%136574[CH]=%14[CH]%13=[CH]%12[CH-]%11[CH]%14%10</t>
  </si>
  <si>
    <t>P([C-]12[Fe+2]3456789(C1([C@H](P(C%10=CC=C(C(F)(F)F)C=C%10)C%11=CC=C(C(F)(F)F)C=C%11)C)=[CH]3C4(=C52[H])[H])[CH-]%12[CH]6=[CH]7[CH]8=[CH]9%12)(C%13=CC=C(C(F)(F)F)C=C%13)C%14=CC=C(C(F)(F)F)C=C%14</t>
  </si>
  <si>
    <t>InChI=1S/C35H23F12P2.C5H5.Fe/c1-21(48(26-13-5-22(6-14-26)32(36,37)38)27-15-7-23(8-16-27)33(39,40)41)30-3-2-4-31(30)49(28-17-9-24(10-18-28)34(42,43)44)29-19-11-25(12-20-29)35(45,46)47;1-2-4-5-3-1;/h2-21H,1H3;1-5H;/q2*-1;+2/t21-;;/m1../s1</t>
  </si>
  <si>
    <t>OSJYKSDPPJYRFT-GHVWMZMZSA-N</t>
  </si>
  <si>
    <t>L182</t>
  </si>
  <si>
    <t>SL-J425-1</t>
  </si>
  <si>
    <t>849924-49-8</t>
  </si>
  <si>
    <t>C44H48FeO2P2</t>
  </si>
  <si>
    <t>O(C=1C(=CC(=CC1C)P(C=2C=C(C(OC)=C(C2)C)C)[C-]34[CH]5=[CH]6[CH]7=C3(C(P(C=8C=CC=CC8C)C=9C=CC=CC9C)C)[Fe+2]%10%11%12%136754[CH]=%14[CH]%13=[CH]%12[CH-]%11[CH]%14%10)C)C</t>
  </si>
  <si>
    <t>P([C-]12[Fe+2]3456789(C1([C@H](P(C%10=C(C)C=CC=C%10)C%11=C(C)C=CC=C%11)C)=[CH]3C4(=C52[H])[H])[CH-]%12[CH]6=[CH]7[CH]8=[CH]9%12)(C%13=CC(C)=C(OC)C(C)=C%13)C%14=CC(C)=C(OC)C(C)=C%14</t>
  </si>
  <si>
    <t>InChI=1S/C39H43O2P2.C5H5.Fe/c1-25-15-10-12-18-35(25)42(36-19-13-11-16-26(36)2)31(7)34-17-14-20-37(34)43(32-21-27(3)38(40-8)28(4)22-32)33-23-29(5)39(41-9)30(6)24-33;1-2-4-5-3-1;/h10-24,31H,1-9H3;1-5H;/q2*-1;+2/t31-;;/m1../s1</t>
  </si>
  <si>
    <t>LRLJGUOZRDKCEZ-OGLGXUNJSA-N</t>
  </si>
  <si>
    <t>L183</t>
  </si>
  <si>
    <t>(R,R)-CyPP</t>
  </si>
  <si>
    <t>70774-28-6</t>
  </si>
  <si>
    <t>C32H34P2</t>
  </si>
  <si>
    <t>C=1C=CC(=CC1)P(C=2C=CC=CC2)CC3CCCCC3CP(C=4C=CC=CC4)C=5C=CC=CC5</t>
  </si>
  <si>
    <t>P(C[C@H]1[C@H](CP(C2=CC=CC=C2)C3=CC=CC=C3)CCCC1)(C4=CC=CC=C4)C5=CC=CC=C5</t>
  </si>
  <si>
    <t>InChI=1S/C32H34P2/c1-5-17-29(18-6-1)33(30-19-7-2-8-20-30)25-27-15-13-14-16-28(27)26-34(31-21-9-3-10-22-31)32-23-11-4-12-24-32/h1-12,17-24,27-28H,13-16,25-26H2/t27-,28-/m0/s1</t>
  </si>
  <si>
    <t>UZHMFQJEUXFZSS-NSOVKSMOSA-N</t>
  </si>
  <si>
    <t>L184</t>
  </si>
  <si>
    <t>(R,R)-MeO-BoQPhos</t>
  </si>
  <si>
    <t>1542796-16-6</t>
  </si>
  <si>
    <t>C18H22NO3P</t>
  </si>
  <si>
    <t>N=1C(OC)=CC=CC1C2OC=3C=CC=C(OC)C3P2C(C)(C)C</t>
  </si>
  <si>
    <t>[C@@](C)(C)(C)[P@@]1C=2C(O[C@]1(C=3N=C(OC)C=CC3)[H])=CC=CC2OC</t>
  </si>
  <si>
    <t>InChI=1S/C18H22NO3P/c1-18(2,3)23-16-13(20-4)9-7-10-14(16)22-17(23)12-8-6-11-15(19-12)21-5/h6-11,17H,1-5H3/t17-,23-/m1/s1</t>
  </si>
  <si>
    <t>YKAJTAYURKBDBW-UZUQRXQVSA-N</t>
  </si>
  <si>
    <t>L185</t>
  </si>
  <si>
    <t>2-[(2R,3R)-4-(2,6-Dimethoxyphenyl)-3-(1,1-dimethylethyl)-2,3-dihydro-1,3-benzoxaphosphol-2-yl]-6-methoxypyridine</t>
  </si>
  <si>
    <t>2565792-77-8</t>
  </si>
  <si>
    <t>C25H28NO4P</t>
  </si>
  <si>
    <t>N=1C(OC)=CC=CC1C2OC3=CC=CC(C=4C(OC)=CC=CC4OC)=C3P2C(C)(C)C</t>
  </si>
  <si>
    <t>[C@@](C)(C)(C)[P@@]1C2=C(C=CC=C2O[C@]1(C=3N=C(OC)C=CC3)[H])C4=C(OC)C=CC=C4OC</t>
  </si>
  <si>
    <t>InChI=1S/C25H28NO4P/c1-25(2,3)31-23-16(22-18(27-4)12-9-13-19(22)28-5)10-7-14-20(23)30-24(31)17-11-8-15-21(26-17)29-6/h7-15,24H,1-6H3/t24-,31-/m1/s1</t>
  </si>
  <si>
    <t>OMRMWFIEDFJLAJ-WBBHLRKXSA-N</t>
  </si>
  <si>
    <t>L186</t>
  </si>
  <si>
    <t>2-[(2R,3R)-4-(9-Anthracenyl)-3-(1,1-dimethylethyl)-2,3-dihydro-1,3-benzoxaphosphol-2-yl]pyridine</t>
  </si>
  <si>
    <t>1542796-14-4</t>
  </si>
  <si>
    <t>C30H26NOP</t>
  </si>
  <si>
    <t>N=1C=CC=CC1C2OC3=CC=CC(C4=C5C=CC=CC5=CC=6C=CC=CC64)=C3P2C(C)(C)C</t>
  </si>
  <si>
    <t>[C@@](C)(C)(C)[P@@]1C2=C(C=CC=C2O[C@]1(C3=CC=CC=N3)[H])C=4C5=C(C=C6C4C=CC=C6)C=CC=C5</t>
  </si>
  <si>
    <t>InChI=1S/C30H26NOP/c1-30(2,3)33-28-24(15-10-17-26(28)32-29(33)25-16-8-9-18-31-25)27-22-13-6-4-11-20(22)19-21-12-5-7-14-23(21)27/h4-19,29H,1-3H3/t29-,33-/m1/s1</t>
  </si>
  <si>
    <t>OOWWKYOGZURVKL-CYTLCNBWSA-N</t>
  </si>
  <si>
    <t>L187</t>
  </si>
  <si>
    <t>(S)-SunPhos</t>
  </si>
  <si>
    <t>765312-54-7</t>
  </si>
  <si>
    <t>C42H36O4P2</t>
  </si>
  <si>
    <t>O1C2=CC=C(C(=C2OC1(C)C)C=3C=4OC(OC4C=CC3P(C=5C=CC=CC5)C=6C=CC=CC6)(C)C)P(C=7C=CC=CC7)C=8C=CC=CC8</t>
  </si>
  <si>
    <t>InChI=1S/C42H36O4P2/c1-41(2)43-33-25-27-35(47(29-17-9-5-10-18-29)30-19-11-6-12-20-30)37(39(33)45-41)38-36(28-26-34-40(38)46-42(3,4)44-34)48(31-21-13-7-14-22-31)32-23-15-8-16-24-32/h5-28H,1-4H3</t>
  </si>
  <si>
    <t>POSDZZNQKAOHDF-UHFFFAOYSA-N</t>
  </si>
  <si>
    <t>L188</t>
  </si>
  <si>
    <t>(1R)-1-[Bis[3,5-bis(1,1-dimethylethyl)-4-methoxyphenyl]phosphino]-2-[(1R)-1-(dicyclohexylphosphino)ethyl]ferrocene</t>
  </si>
  <si>
    <t>1453803-83-2</t>
  </si>
  <si>
    <t>C54H80FeO2P2</t>
  </si>
  <si>
    <t>O(C=1C(=CC(=CC1C(C)(C)C)P(C=2C=C(C(OC)=C(C2)C(C)(C)C)C(C)(C)C)[C-]34[CH]5=[CH]6[CH]7=C3(C(P(C8CCCCC8)C9CCCCC9)C)[Fe+2]%10%11%12%136754[CH]=%14[CH]%13=[CH]%12[CH-]%11[CH]%14%10)C(C)(C)C)C</t>
  </si>
  <si>
    <t>P([C-]12[Fe+2]3456789(C1([C@H](P(C%10CCCCC%10)C%11CCCCC%11)C)=[CH]3C4(=C52[H])[H])[CH-]%12[CH]6=[CH]7[CH]8=[CH]9%12)(C%13=CC(C(C)(C)C)=C(OC)C(C(C)(C)C)=C%13)C%14=CC(C(C)(C)C)=C(OC)C(C(C)(C)C)=C%14</t>
  </si>
  <si>
    <t>InChI=1S/C49H75O2P2.C5H5.Fe/c1-33(52(34-23-18-16-19-24-34)35-25-20-17-21-26-35)38-27-22-28-43(38)53(36-29-39(46(2,3)4)44(50-14)40(30-36)47(5,6)7)37-31-41(48(8,9)10)45(51-15)42(32-37)49(11,12)13;1-2-4-5-3-1;/h22,27-35H,16-21,23-26H2,1-15H3;1-5H;/q2*-1;+2/t33-;;/m1../s1</t>
  </si>
  <si>
    <t>QXUBNWJZMFWRLG-QYKZUBHNSA-N</t>
  </si>
  <si>
    <t>L189</t>
  </si>
  <si>
    <t>(1R,4R)-1,4-dimethyl-1,4-butanediylbis(diphenylphosphine)</t>
  </si>
  <si>
    <t>142494-67-5</t>
  </si>
  <si>
    <t>C30H32P2</t>
  </si>
  <si>
    <t>C=1C=CC(=CC1)P(C=2C=CC=CC2)C(C)CCC(P(C=3C=CC=CC3)C=4C=CC=CC4)C</t>
  </si>
  <si>
    <t>P([C@@H](CC[C@H](P(C1=CC=CC=C1)C2=CC=CC=C2)C)C)(C3=CC=CC=C3)C4=CC=CC=C4</t>
  </si>
  <si>
    <t>InChI=1S/C30H32P2/c1-25(31(27-15-7-3-8-16-27)28-17-9-4-10-18-28)23-24-26(2)32(29-19-11-5-12-20-29)30-21-13-6-14-22-30/h3-22,25-26H,23-24H2,1-2H3/t25-,26-/m1/s1</t>
  </si>
  <si>
    <t>PDXNCYRUWZPRJX-CLJLJLNGSA-N</t>
  </si>
  <si>
    <t>L190</t>
  </si>
  <si>
    <t>(2R,3R)-4-(9-Anthracenyl)-3-(1,1-dimethylethyl)-2,3-dihydro-2-(1-methylethyl)-1,3-benzoxaphosphole</t>
  </si>
  <si>
    <t>1891002-60-0</t>
  </si>
  <si>
    <t>C28H29OP</t>
  </si>
  <si>
    <t>O1C2=CC=CC(C3=C4C=CC=CC4=CC=5C=CC=CC53)=C2P(C1C(C)C)C(C)(C)C</t>
  </si>
  <si>
    <t>[C@@](C)(C)(C)[P@@]1C2=C(C=CC=C2O[C@H]1C(C)C)C=3C4=C(C=C5C3C=CC=C5)C=CC=C4</t>
  </si>
  <si>
    <t>InChI=1S/C28H29OP/c1-18(2)27-29-24-16-10-15-23(26(24)30(27)28(3,4)5)25-21-13-8-6-11-19(21)17-20-12-7-9-14-22(20)25/h6-18,27H,1-5H3/t27-,30-/m1/s1</t>
  </si>
  <si>
    <t>AQQGXLPMISRSAO-POURPWNDSA-N</t>
  </si>
  <si>
    <t>L191</t>
  </si>
  <si>
    <t>(S,S)-XantPhos</t>
  </si>
  <si>
    <t>2119686-35-8</t>
  </si>
  <si>
    <t>C41H36O3P2</t>
  </si>
  <si>
    <t>CC1(C)C2=C(C(P(C3=CC=CC=C3)C4=CC=CC=C4OC)=CC=C2)OC5=C([P@](C6=C(OC)C=CC=C6)C7=CC=CC=C7)C=CC=C51</t>
  </si>
  <si>
    <t>InChI=1S/C41H36O3P2/c1-41(2)31-21-15-27-37(45(29-17-7-5-8-18-29)35-25-13-11-23-33(35)42-3)39(31)44-40-32(41)22-16-28-38(40)46(30-19-9-6-10-20-30)36-26-14-12-24-34(36)43-4/h5-28H,1-4H3/t45-,46?/m0/s1</t>
  </si>
  <si>
    <t>UAVRIRWLEFEGBK-QNEOAKRWSA-N</t>
  </si>
  <si>
    <t>UAVRIRWLEFEGBK</t>
  </si>
  <si>
    <t>L192</t>
  </si>
  <si>
    <t>(3R)-3-(1,1-Dimethylethyl)-4-(2,6-diphenoxyphenyl)-2,3-dihydro-1,3-benzoxaphosphole</t>
  </si>
  <si>
    <t>1441830-74-5</t>
  </si>
  <si>
    <t>C29H27O3P</t>
  </si>
  <si>
    <t>O(C=1C=CC=CC1)C2=CC=CC(OC=3C=CC=CC3)=C2C=4C=CC=C5OCP(C54)C(C)(C)C</t>
  </si>
  <si>
    <t>O(C1=C(C(OC2=CC=CC=C2)=CC=C1)C3=C4C(OC[P@@]4[C@](C)(C)C)=CC=C3)C5=CC=CC=C5</t>
  </si>
  <si>
    <t>InChI=1S/C29H27O3P/c1-29(2,3)33-20-30-26-19-10-16-23(28(26)33)27-24(31-21-12-6-4-7-13-21)17-11-18-25(27)32-22-14-8-5-9-15-22/h4-19H,20H2,1-3H3/t33-/m0/s1</t>
  </si>
  <si>
    <t>XVXXWYLOBKSUEI-XIFFEERXSA-N</t>
  </si>
  <si>
    <t>Data group</t>
  </si>
  <si>
    <t>Starting material</t>
  </si>
  <si>
    <t>Solvent</t>
  </si>
  <si>
    <t>Ligand</t>
  </si>
  <si>
    <t>Rh [mol%]</t>
  </si>
  <si>
    <t>L [mol%]</t>
  </si>
  <si>
    <r>
      <t>Temperature [</t>
    </r>
    <r>
      <rPr>
        <b/>
        <sz val="11"/>
        <color theme="1"/>
        <rFont val="Calibri"/>
        <family val="2"/>
      </rPr>
      <t>°C]</t>
    </r>
  </si>
  <si>
    <t>Hydrogen [bar]</t>
  </si>
  <si>
    <t>Time [h]</t>
  </si>
  <si>
    <t>Conversion [-]</t>
  </si>
  <si>
    <t>Enantiomeric excess [-]</t>
  </si>
  <si>
    <t>|ee| [-]</t>
  </si>
  <si>
    <t>|ee| [-] (2digits)</t>
  </si>
  <si>
    <t>ΔΔG‡ [kJ/mol]</t>
  </si>
  <si>
    <t>ΔΔG‡ [kJ/mol] with sign</t>
  </si>
  <si>
    <t>Absolute stereochemistry [-]</t>
  </si>
  <si>
    <t>Product</t>
  </si>
  <si>
    <t>Product SMILES</t>
  </si>
  <si>
    <t>Comment</t>
  </si>
  <si>
    <t>Additional set</t>
  </si>
  <si>
    <t>SM5</t>
  </si>
  <si>
    <t>Methanol</t>
  </si>
  <si>
    <t>(R)</t>
  </si>
  <si>
    <t>(R)-P8</t>
  </si>
  <si>
    <t>C[C@@H](C(O)=O)C1=CC=CC=C1</t>
  </si>
  <si>
    <t>Main data set</t>
  </si>
  <si>
    <t>SM1</t>
  </si>
  <si>
    <t>(R)-P1</t>
  </si>
  <si>
    <t>O=C(OC)[C@H](NC(C)=O)CC1=CC=CC=C1</t>
  </si>
  <si>
    <t>Pressure effect</t>
  </si>
  <si>
    <t>Reproducibility</t>
  </si>
  <si>
    <t>SM2</t>
  </si>
  <si>
    <t>(R)-P2</t>
  </si>
  <si>
    <t>C[C@@H](NC(C)=O)C(OC)=O</t>
  </si>
  <si>
    <t>SM3</t>
  </si>
  <si>
    <t>(R)-P3</t>
  </si>
  <si>
    <t>OC([C@H](NC(C)=O)CC1=CC=CC=C1)=O</t>
  </si>
  <si>
    <t>SM4</t>
  </si>
  <si>
    <t>(R)-P7</t>
  </si>
  <si>
    <t>C[C@@H](C(O)=O)CC1=CC=CC=C1</t>
  </si>
  <si>
    <t>Nonsensical conversion</t>
  </si>
  <si>
    <t>1,2-Dichloroethane</t>
  </si>
  <si>
    <t>(S)</t>
  </si>
  <si>
    <t>(S)-P1</t>
  </si>
  <si>
    <t>O=C(OC)[C@@H](NC(C)=O)CC1=CC=CC=C1</t>
  </si>
  <si>
    <t>(R)-SDP</t>
  </si>
  <si>
    <t>(S)-P2</t>
  </si>
  <si>
    <t>C[C@H](NC(C)=O)C(OC)=O</t>
  </si>
  <si>
    <t>(S)-P3</t>
  </si>
  <si>
    <t>OC([C@@H](NC(C)=O)CC1=CC=CC=C1)=O</t>
  </si>
  <si>
    <t>(S)-P8</t>
  </si>
  <si>
    <t>C[C@H](C(O)=O)C1=CC=CC=C1</t>
  </si>
  <si>
    <t>(S)-P7</t>
  </si>
  <si>
    <t>C[C@H](C(O)=O)CC1=CC=CC=C1</t>
  </si>
  <si>
    <t>Large ee difference 1-16 h</t>
  </si>
  <si>
    <t>Substrate</t>
  </si>
  <si>
    <t>Co-solvent</t>
  </si>
  <si>
    <t>Additive</t>
  </si>
  <si>
    <t>Isolated catalyst</t>
  </si>
  <si>
    <t>Metal precursor</t>
  </si>
  <si>
    <t>Ligand Alias</t>
  </si>
  <si>
    <t>Ligand CAS</t>
  </si>
  <si>
    <t>Temperature [°C]</t>
  </si>
  <si>
    <t>Yield [-]</t>
  </si>
  <si>
    <t>Reference type</t>
  </si>
  <si>
    <t>Reference</t>
  </si>
  <si>
    <t>URL to Reaxys</t>
  </si>
  <si>
    <t>Cleaned Reaxys export</t>
  </si>
  <si>
    <t>Methyl (Z)-2-acetylamino-3-phenylpropenoate</t>
  </si>
  <si>
    <t>Rh(NBD)2BF4</t>
  </si>
  <si>
    <t>(S)-1-diphenylphosphino-2-[α-(S)-hydroxy(2-diphenylphosphino-3-pyridinyl)methyl]ferrocene</t>
  </si>
  <si>
    <t>913188-19-9</t>
  </si>
  <si>
    <t>Patent</t>
  </si>
  <si>
    <t>UMICORE; US2009/270622; (2009); A1;</t>
  </si>
  <si>
    <t>https://www.reaxys.com/reaxys/secured/hopinto.do?context=C&amp;query=CNR.CNR%3D8783826&amp;database=RX&amp;origin=ReaxysOutput&amp;ln=</t>
  </si>
  <si>
    <t>UMICORE; WO2006/111535; (2006); A2;</t>
  </si>
  <si>
    <t>https://www.reaxys.com/reaxys/secured/hopinto.do?context=C&amp;query=CNR.CNR%3D8936565&amp;database=RX&amp;origin=ReaxysOutput&amp;ln=</t>
  </si>
  <si>
    <t>Dichloromethane</t>
  </si>
  <si>
    <t xml:space="preserve"> Ethyl acetate</t>
  </si>
  <si>
    <t>C53H59O6PRhS(1+)*F6Sb(1-)</t>
  </si>
  <si>
    <t>Article</t>
  </si>
  <si>
    <t>Moya, Juan Francisco; Rosales, Christian; Fernández, Inmaculada; Khiar, Noureddine; Organic and Biomolecular Chemistry; vol. 15; 27; (2017); p. 5772 - 5780;</t>
  </si>
  <si>
    <t>https://www.reaxys.com/reaxys/secured/hopinto.do?context=C&amp;query=CNR.CNR%3D71647972&amp;database=RX&amp;origin=ReaxysOutput&amp;ln=</t>
  </si>
  <si>
    <t>[((R)-tert-butylmethylphosphino)(ditert-butylphosphino)amine](1,5-cyclooctadiene)rhodium(I) monotetrafluoroborate</t>
  </si>
  <si>
    <t>(R)-MaxPHOS</t>
  </si>
  <si>
    <t>1547385-68-1</t>
  </si>
  <si>
    <t>ENANTIA; WO2011/98160; (2011); A1;</t>
  </si>
  <si>
    <t>https://www.reaxys.com/reaxys/secured/hopinto.do?context=C&amp;query=CNR.CNR%3D9073641&amp;database=RX&amp;origin=ReaxysOutput&amp;ln=</t>
  </si>
  <si>
    <t>ENANTIA; US2012/309997; (2012); A1;</t>
  </si>
  <si>
    <t>https://www.reaxys.com/reaxys/secured/hopinto.do?context=C&amp;query=CNR.CNR%3D20216245&amp;database=RX&amp;origin=ReaxysOutput&amp;ln=</t>
  </si>
  <si>
    <t>(S)-di-1-adamantylphosphino(tert-butylmethylphosphino)methane(1,5-cyclooctadiene)rhodium(I) hexafluoroantimonate</t>
  </si>
  <si>
    <t>(S)-BulkyP*</t>
  </si>
  <si>
    <t>2379562-00-0</t>
  </si>
  <si>
    <t>Sawatsugawa, Yuuki; Tamura, Ken; Sano, Natsuhiro; Imamoto, Tsuneo; Organic Letters; vol. 21; 22; (2019); p. 8874 - 8878;</t>
  </si>
  <si>
    <t>https://www.reaxys.com/reaxys/secured/hopinto.do?context=C&amp;query=CNR.CNR%3D78102544&amp;database=RX&amp;origin=ReaxysOutput&amp;ln=</t>
  </si>
  <si>
    <t>CHINESE ACADEMY OF SCIENCES; CN111018918; (2020); A;</t>
  </si>
  <si>
    <t>https://www.reaxys.com/reaxys/secured/hopinto.do?context=C&amp;query=CNR.CNR%3D79650683&amp;database=RX&amp;origin=ReaxysOutput&amp;ln=</t>
  </si>
  <si>
    <t>Tetrahydrofuran</t>
  </si>
  <si>
    <t>Rh(COD)2BF4</t>
  </si>
  <si>
    <t>C18H20NO2PSi</t>
  </si>
  <si>
    <t>Chang, Xin; Chen, Hong-Chao; Li, Chuan-Ying; Ma, Pei-Long; Wang, Peng; Angewandte Chemie - International Edition; vol. 59; 23; (2020); p. 8937 - 8940; Angew. Chem.; vol. 132; 23; (2020); p. 9022 - 9025,4;</t>
  </si>
  <si>
    <t>https://www.reaxys.com/reaxys/secured/hopinto.do?context=C&amp;query=CNR.CNR%3D79641112&amp;database=RX&amp;origin=ReaxysOutput&amp;ln=</t>
  </si>
  <si>
    <t>Rh(COD)BF4</t>
  </si>
  <si>
    <t>C51H49N2O3P</t>
  </si>
  <si>
    <t>UNIVERSITY OF NEBRASKA SYSTEM; US2006/167294; (2006); A1;</t>
  </si>
  <si>
    <t>https://www.reaxys.com/reaxys/secured/hopinto.do?context=C&amp;query=CNR.CNR%3D406241&amp;database=RX&amp;origin=ReaxysOutput&amp;ln=</t>
  </si>
  <si>
    <t>C44H43N2O3P</t>
  </si>
  <si>
    <t>C50H47N2O3P</t>
  </si>
  <si>
    <t>(R)-O,O'-(9,9'-spirobixanthene-1,1'-diyl)-N,N-dimethylphosphoramidite</t>
  </si>
  <si>
    <t>786691-32-5</t>
  </si>
  <si>
    <t>COMMONWEALTH SYSTEM OF HIGHER EDUCATION; US2006/47128; (2006); A1;</t>
  </si>
  <si>
    <t>https://www.reaxys.com/reaxys/secured/hopinto.do?context=C&amp;query=CNR.CNR%3D393707&amp;database=RX&amp;origin=ReaxysOutput&amp;ln=</t>
  </si>
  <si>
    <t>1-(1-dimethylaminoethyl)-2-bis(4-trifluoromethylphenyl)phosphino-3-dicyclohexylphosphino-ferrocene</t>
  </si>
  <si>
    <t>913986-19-3</t>
  </si>
  <si>
    <t>SOLVIAS AG; WO2006/117369; (2006); A1;</t>
  </si>
  <si>
    <t>https://www.reaxys.com/reaxys/secured/hopinto.do?context=C&amp;query=CNR.CNR%3D414709&amp;database=RX&amp;origin=ReaxysOutput&amp;ln=</t>
  </si>
  <si>
    <t>1-(1-dimethylaminoethyl)-2,3-bis(diphenylphosphino)-ferrocene</t>
  </si>
  <si>
    <t>913986-22-8</t>
  </si>
  <si>
    <t>1-(1-dimethylaminoethyl)-2-dicyclhexylphosphino-3-diphenylphosphino-ferrocene</t>
  </si>
  <si>
    <t>913986-23-9</t>
  </si>
  <si>
    <t>1-(1-dimethylaminoethyl)-2-bis(3,5-dimethyl-4-methoxyphenyl)phosphino-3-diphenylphosphino-ferrocene</t>
  </si>
  <si>
    <t>913986-24-0</t>
  </si>
  <si>
    <t>1-vinyl-2-bis(3,5-dimethyl-4-methoxyphenyl)phosphino-3-diphenylphosphino-ferrocene</t>
  </si>
  <si>
    <t>913986-25-1</t>
  </si>
  <si>
    <t>1-ethyl-2-diethylphosphino-3-diphenylphosphino-ferrocene</t>
  </si>
  <si>
    <t>(S(p))-1-Ph2P-2-(3,5-(CH3)2C6H3)2PCH2-3-Ph-Fc</t>
  </si>
  <si>
    <t>SOLVIAS AG; WO2007/17522; (2007); A1;</t>
  </si>
  <si>
    <t>https://www.reaxys.com/reaxys/secured/hopinto.do?context=C&amp;query=CNR.CNR%3D427088&amp;database=RX&amp;origin=ReaxysOutput&amp;ln=</t>
  </si>
  <si>
    <t>(S(p))-1-Ph2P-2-(3,5-(CH3)2C6H3)2PCH2-3-(3,5-(CH3)2C6H3)-Fc</t>
  </si>
  <si>
    <t>1,2-bis[(R,R)-2,5-diphenylphospholano]methane-(1,5-cyclooctadiene)rhodium(I) tetrafluoroborate</t>
  </si>
  <si>
    <t>DOW INC; DR REDDY&amp;amp;apos;S LABORATORIES LIMITED; WO2007/123957; (2007); A2;</t>
  </si>
  <si>
    <t>https://www.reaxys.com/reaxys/secured/hopinto.do?context=C&amp;query=CNR.CNR%3D448674&amp;database=RX&amp;origin=ReaxysOutput&amp;ln=</t>
  </si>
  <si>
    <t>(11bM)-4-((1R,2S)-1-(diphenylphosphino)-3-methoxy-1-phenylprop-2-yloxy)dinaphtho[2,1-d:1',2'-f][1,3,2]dioxaphosphepine</t>
  </si>
  <si>
    <t>GOVERNMENT OF SPAIN; INSTITUT CATALA DE INVESTIGACIO QUIMICA; WO2009/30626; (2009); A1;</t>
  </si>
  <si>
    <t>https://www.reaxys.com/reaxys/secured/hopinto.do?context=C&amp;query=CNR.CNR%3D8720952&amp;database=RX&amp;origin=ReaxysOutput&amp;ln=</t>
  </si>
  <si>
    <t>(S)-1-di(3,5-dimethyl-4-methoxyphenyl)phosphino-2-[α-(S)-hydroxy(o-diphenylphosphinophenyl)methyl]ferrocene</t>
  </si>
  <si>
    <t>UMICORE; WO2005/108409; (2005); A2;</t>
  </si>
  <si>
    <t>https://www.reaxys.com/reaxys/secured/hopinto.do?context=C&amp;query=CNR.CNR%3D8822756&amp;database=RX&amp;origin=ReaxysOutput&amp;ln=</t>
  </si>
  <si>
    <t>(S)-1-di(3,5-dimethyl-4-methoxyphenyl)phosphino-2-[α-(S)-hydroxy(o-di(3,5-bis(trifluoromethyl)phenyl)phosphinophenyl)methyl]ferrocene</t>
  </si>
  <si>
    <t>N-benzyl-N-(((2S)-1-(dinaphtho[2,1-d:1',2'-f][1,3,2]dioxaphosphepin-4-yl)pyrrolidin-2-yl)methyl)dinaphtho[2,1-d:1',2'-f][1,3,2]dioxaphosphepin-4-amine</t>
  </si>
  <si>
    <t>Gavrilov, Konstantin N.; Shiryaev, Alexei A.; Chuchelkin, Ilya V.; Zheglov, Sergey V.; Rastorguev, Eugenie A.; Davankov, Vadim A.; Boerner, Armin; Tetrahedron Asymmetry; vol. 23; 14; (2012); p. 1052 - 1057;</t>
  </si>
  <si>
    <t>https://www.reaxys.com/reaxys/secured/hopinto.do?context=C&amp;query=CNR.CNR%3D20199467&amp;database=RX&amp;origin=ReaxysOutput&amp;ln=</t>
  </si>
  <si>
    <t>C59H60N4O4P2Rh(1+)*BF4(1-)</t>
  </si>
  <si>
    <t>Bravo, Maritza J.; Ceder, Rosa M.; Muller, Guillermo; Rocamora, Merce; Organometallics; vol. 32; 9; (2013); p. 2632 - 2642;</t>
  </si>
  <si>
    <t>https://www.reaxys.com/reaxys/secured/hopinto.do?context=C&amp;query=CNR.CNR%3D35491340&amp;database=RX&amp;origin=ReaxysOutput&amp;ln=</t>
  </si>
  <si>
    <t>Na[BArF]</t>
  </si>
  <si>
    <t>C32H36NO7P</t>
  </si>
  <si>
    <t>Ouyang, Guang-Hui; He, Yan-Mei; Li, Yong; Xiang, Jun-Feng; Fan, Qing-Hua; Angewandte Chemie - International Edition; vol. 54; 14; (2015); p. 4334 - 4337; Angew. Chem.; vol. 127; 14; (2015); p. 4408 - 4411,4;</t>
  </si>
  <si>
    <t>https://www.reaxys.com/reaxys/secured/hopinto.do?context=C&amp;query=CNR.CNR%3D65839216&amp;database=RX&amp;origin=ReaxysOutput&amp;ln=</t>
  </si>
  <si>
    <t>Chloroform</t>
  </si>
  <si>
    <t>C72H64O6P2Rh(1+)*BF4(1-)</t>
  </si>
  <si>
    <t>Storch, Golo; Trapp, Oliver; Angewandte Chemie - International Edition; vol. 54; 12; (2015); p. 3580 - 3586; Angew. Chem.; vol. 127; 12; (2015); p. 3650 - 3656,7;</t>
  </si>
  <si>
    <t>https://www.reaxys.com/reaxys/secured/hopinto.do?context=C&amp;query=CNR.CNR%3D65629205&amp;database=RX&amp;origin=ReaxysOutput&amp;ln=</t>
  </si>
  <si>
    <t>BF4(1-)*C8H12*Rh(1+)*2C32H32NO2P</t>
  </si>
  <si>
    <t>Schmitz, Christian; Leitner, Walter; Franciò, Giancarlo; European Journal of Organic Chemistry; vol. 2015; 13; (2015); p. 2889 - 2901;</t>
  </si>
  <si>
    <t>https://www.reaxys.com/reaxys/secured/hopinto.do?context=C&amp;query=CNR.CNR%3D65988079&amp;database=RX&amp;origin=ReaxysOutput&amp;ln=</t>
  </si>
  <si>
    <t>[Rh((R,R)-iPr-JDayPhos)(MeOH)2]BF4</t>
  </si>
  <si>
    <t>(R,R)-iPr-JDayPhos</t>
  </si>
  <si>
    <t>2226424-75-3</t>
  </si>
  <si>
    <t>Poklukar, Gašper; Stephan, Michel; Mohar, Barbara; Advanced Synthesis and Catalysis; vol. 360; 13; (2018); p. 2566 - 2570;</t>
  </si>
  <si>
    <t>https://www.reaxys.com/reaxys/secured/hopinto.do?context=C&amp;query=CNR.CNR%3D73789279&amp;database=RX&amp;origin=ReaxysOutput&amp;ln=</t>
  </si>
  <si>
    <t>C45H43FeNOP2</t>
  </si>
  <si>
    <t>SOLVIAS AG; WO2008/815; (2008); A1;</t>
  </si>
  <si>
    <t>https://www.reaxys.com/reaxys/secured/hopinto.do?context=C&amp;query=CNR.CNR%3D453744&amp;database=RX&amp;origin=ReaxysOutput&amp;ln=</t>
  </si>
  <si>
    <t>Ethanol</t>
  </si>
  <si>
    <t>C51H55FeNO3P2</t>
  </si>
  <si>
    <t>C47H41F6FeNOP2</t>
  </si>
  <si>
    <t>C53H53F6FeNO3P2</t>
  </si>
  <si>
    <t>(S,S)-1,2-bis(tert-butyl(phenylethynyl)phosphino)ethane</t>
  </si>
  <si>
    <t>1003557-35-4</t>
  </si>
  <si>
    <t>CHIBA UNIVERSITY; NIPPON CHEMICAL INDUSTRIAL CO LTD; US2008/221362; (2008); A1;</t>
  </si>
  <si>
    <t>https://www.reaxys.com/reaxys/secured/hopinto.do?context=C&amp;query=CNR.CNR%3D8647103&amp;database=RX&amp;origin=ReaxysOutput&amp;ln=</t>
  </si>
  <si>
    <t>(S,S)-1,2-bis(tert-butyl(3,3-dimethyl-1-butynyl)phosphino)ethane</t>
  </si>
  <si>
    <t>1003557-36-5</t>
  </si>
  <si>
    <t>(S,S)-1,2-bis(tert-butyl(triisopropylsilylethynyl)phosphino)ethane</t>
  </si>
  <si>
    <t>1003557-37-6</t>
  </si>
  <si>
    <t>(S,S)-1,2-bis(t-butyl(ethynyl)phosphino)ethane</t>
  </si>
  <si>
    <t>1003557-38-7</t>
  </si>
  <si>
    <t>(S,S)-1,2-bis(t-butyl(1-propynyl)phosphino)ethane</t>
  </si>
  <si>
    <t>1003557-39-8</t>
  </si>
  <si>
    <t>[rhodium(I)((1S,1S',2R,2R')-1,1'-di-tert-butyl-[2,2']-diphosphetane)(norbornadiene)]hexafluorophosphate</t>
  </si>
  <si>
    <t>(S,S,R,R)-TangPhos</t>
  </si>
  <si>
    <t>470480-32-1</t>
  </si>
  <si>
    <t>NIPPON CHEMICAL INDUSTRIAL CO LTD; EP1650216; (2006); A1;</t>
  </si>
  <si>
    <t>https://www.reaxys.com/reaxys/secured/hopinto.do?context=C&amp;query=CNR.CNR%3D8931508&amp;database=RX&amp;origin=ReaxysOutput&amp;ln=</t>
  </si>
  <si>
    <t>[rhodium(I)((1S,1S',2R,2R')-1,1'-di-tert-butyl-[2,2']-diphosphetane)(norbornadiene)]tetrafluoroborate</t>
  </si>
  <si>
    <t>(R)-di-1-adamantylphosphino(tert-butylmethylphosphino)methane(1,5-cyclooctadiene)rhodium(I) hexafluoroantimonate</t>
  </si>
  <si>
    <t>(R)-BulkyP*</t>
  </si>
  <si>
    <t>2379561-94-9</t>
  </si>
  <si>
    <t>N,N-dimethyl-1,5,7,11-tetraoxa-6-phospha-15b-silacycloocta[3,2,1-de:7,8,1-d'e']dianthracen-6-amine</t>
  </si>
  <si>
    <t>Yang, Lei;Xu, Wen-Qiang;Liu, Tao;Wu, Yichen;Wang, Biqin;Wang, Peng; Chemical Communications; vol. 57; 98; (2021); p. 13365 - 13368;</t>
  </si>
  <si>
    <t>https://www.reaxys.com/reaxys/secured/hopinto.do?context=C&amp;query=CNR.CNR%3D108771779&amp;database=RX&amp;origin=ReaxysOutput&amp;ln=</t>
  </si>
  <si>
    <t>C54H46FeNO2P2</t>
  </si>
  <si>
    <t>ZHEJIANG INDUSTRIAL UNIV; CN114573473; (2022); A;</t>
  </si>
  <si>
    <t>https://www.reaxys.com/reaxys/secured/hopinto.do?context=C&amp;query=CNR.CNR%3D117728896&amp;database=RX&amp;origin=ReaxysOutput&amp;ln=</t>
  </si>
  <si>
    <t xml:space="preserve"> Toluene</t>
  </si>
  <si>
    <t>LANXESS AG; EP1595886; (2005); A1;</t>
  </si>
  <si>
    <t>https://www.reaxys.com/reaxys/secured/hopinto.do?context=C&amp;query=CNR.CNR%3D384992&amp;database=RX&amp;origin=ReaxysOutput&amp;ln=</t>
  </si>
  <si>
    <t>((Rp,Rp,Sa)-2,2'-bis (tert-butyl)(methyl)phosphinobiphenyl)(1,5-cyclooctadiene)rhodium(I) hexafluoroantimonate</t>
  </si>
  <si>
    <t>1245628-43-6</t>
  </si>
  <si>
    <t>Jia, Jia; Ling, Zheng; Zhang, Zhenfeng; Tamura, Ken; Gridnev, Ilya D.; Imamoto, Tsuneo; Zhang, Wanbin; Advanced Synthesis and Catalysis; vol. 360; 4; (2018); p. 738 - 743;</t>
  </si>
  <si>
    <t>https://www.reaxys.com/reaxys/secured/hopinto.do?context=C&amp;query=CNR.CNR%3D72835982&amp;database=RX&amp;origin=ReaxysOutput&amp;ln=</t>
  </si>
  <si>
    <t>Cyclohexane</t>
  </si>
  <si>
    <t>C58H70N2O10P2</t>
  </si>
  <si>
    <t>Zhang, Xi-Chang; Hu, Yi-Hu; Chen, Chuan-Fu; Fang, Qiang; Yang, Li-Yao; Lu, Ying-Bo; Xie, Lin-Jie; Wu, Jing; Li, Shijun; Fang, Wenjun; Chemical Science; vol. 7; 7; (2016); p. 4294 - 4299;</t>
  </si>
  <si>
    <t>https://www.reaxys.com/reaxys/secured/hopinto.do?context=C&amp;query=CNR.CNR%3D69117103&amp;database=RX&amp;origin=ReaxysOutput&amp;ln=</t>
  </si>
  <si>
    <t xml:space="preserve"> Dichloromethane</t>
  </si>
  <si>
    <t>[(1S,4R)-3-[4-(diphenylphosphino)-2,5-dimethyl-3-thienyl]-4,7,7-trimethylbicyclo[2.2.1]hept-2-en-2-yl]diphenylphosphine</t>
  </si>
  <si>
    <t>catASium T1</t>
  </si>
  <si>
    <t>868851-47-2</t>
  </si>
  <si>
    <t>EVONIK INDUSTRIES AG; EP1595888; (2005); A1;</t>
  </si>
  <si>
    <t>https://www.reaxys.com/reaxys/secured/hopinto.do?context=C&amp;query=CNR.CNR%3D384994&amp;database=RX&amp;origin=ReaxysOutput&amp;ln=</t>
  </si>
  <si>
    <t>(1R)-3-di-(3,5-dimethylphenyl)phosphino-(4-diphenylphosphino-2,5-dimethylthienyl-3)-1,7,7-trimethylbicyclo[2.2.1]heptene-2</t>
  </si>
  <si>
    <t>catASium T2</t>
  </si>
  <si>
    <t>868851-48-3</t>
  </si>
  <si>
    <t>(R,R)-2,3-bis(tert-butylmethylphosphino)quinoxaline</t>
  </si>
  <si>
    <t>(R,R)-QuinoxP*</t>
  </si>
  <si>
    <t>CHIBA UNIVERSITY; NIPPON CHEMICAL INDUSTRIAL CO LTD; US2007/21610; (2007); A1;</t>
  </si>
  <si>
    <t>https://www.reaxys.com/reaxys/secured/hopinto.do?context=C&amp;query=CNR.CNR%3D424544&amp;database=RX&amp;origin=ReaxysOutput&amp;ln=</t>
  </si>
  <si>
    <t>3,4-bis[(S,S)-2,5-diphenyl-phospholan-1-yl]-furan-2,5-dione-(1,5-cycIooctadiene)rhodium(I) tetrafluoroborate</t>
  </si>
  <si>
    <t>913730-95-7</t>
  </si>
  <si>
    <t>(S,S)-2,3-bis(2,5-diphenyl-phospholan-1-yl)-(1,5-cyclooctadiene)rhodium(I) tetrafluoroborate</t>
  </si>
  <si>
    <t>6-((1R,2S)-1-(diphenylphosphino)-3-methoxy-1-phenylprop-2-yloxy)dibenzo[d,f][1,3,2]dioxaphosphepine</t>
  </si>
  <si>
    <t>1127389-80-3</t>
  </si>
  <si>
    <t>6-((1R,2S)-1-(diphenylphosphino)-1-phenyl-3-(trityloxy)prop-2-yloxy)dibenzo[d,f][1,3,2]dioxaphosphepine</t>
  </si>
  <si>
    <t>(11bP)-4-((1R,2S)-1-(diphenylphosphino)-3-methoxy-1-phenylprop-2-yloxy)dinaphtho[2,1-d:1',2'-f][1,3,2]dioxaphosphepine</t>
  </si>
  <si>
    <t>(αR, αR)-2,2'-bis(α-N,N-dimethylaminophenylmethyl)-(S,S)-1,1'-bis[di(3,5-dimethyl-4-methoxyphenyl)phosphino]ferrocene</t>
  </si>
  <si>
    <t>876608-69-4</t>
  </si>
  <si>
    <t>UMICORE; WO2004/99226; (2004); A1;</t>
  </si>
  <si>
    <t>https://www.reaxys.com/reaxys/secured/hopinto.do?context=C&amp;query=CNR.CNR%3D8819896&amp;database=RX&amp;origin=ReaxysOutput&amp;ln=</t>
  </si>
  <si>
    <t>(αR, αR)-2,2'-bis(α-N,N-dimethylaminophenylmethyl)-(S,S)-1,1'-bis(diphenylphosphino)ferrocene</t>
  </si>
  <si>
    <t>Rh(COD)2OTf</t>
  </si>
  <si>
    <t>(S)-2,2'-bis[bis(3,5-di-tert-butyl-4-methoxyphenyl)phosphino]-1,1'-binaphthyl</t>
  </si>
  <si>
    <t>SPERA PHARMA; EP1568701; (2005); A1;</t>
  </si>
  <si>
    <t>https://www.reaxys.com/reaxys/secured/hopinto.do?context=C&amp;query=CNR.CNR%3D8822037&amp;database=RX&amp;origin=ReaxysOutput&amp;ln=</t>
  </si>
  <si>
    <t>C35H36N3OP2(1+)*BF4(1-)</t>
  </si>
  <si>
    <t>Jin, Xin; Xu, Xin-Fu; Zhao, Kun; Tetrahedron Asymmetry; vol. 23; 14; (2012); p. 1058 - 1067;</t>
  </si>
  <si>
    <t>https://www.reaxys.com/reaxys/secured/hopinto.do?context=C&amp;query=CNR.CNR%3D20200168&amp;database=RX&amp;origin=ReaxysOutput&amp;ln=</t>
  </si>
  <si>
    <t>C60H46O4P2</t>
  </si>
  <si>
    <t>Nunez-Rico, Jose L.; Etayo, Pablo; Fernandez-Perez, Hector; Vidal-Ferran, Anton; Advanced Synthesis and Catalysis; vol. 354; 16; (2012); p. 3025 - 3035;</t>
  </si>
  <si>
    <t>https://www.reaxys.com/reaxys/secured/hopinto.do?context=C&amp;query=CNR.CNR%3D35344116&amp;database=RX&amp;origin=ReaxysOutput&amp;ln=</t>
  </si>
  <si>
    <t>(N,N'-phenylenebis(3,5-di-tert-butylsalicylideneiminato))zinc(II)</t>
  </si>
  <si>
    <t>C50H44N3O2P</t>
  </si>
  <si>
    <t>Conference Paper; Bellini, Rosalba; Reek, Joost N. H.; European Journal of Inorganic Chemistry; 29; (2012); p. 4684 - 4693;</t>
  </si>
  <si>
    <t>https://www.reaxys.com/reaxys/secured/hopinto.do?context=C&amp;query=CNR.CNR%3D34773953&amp;database=RX&amp;origin=ReaxysOutput&amp;ln=</t>
  </si>
  <si>
    <t>(11bS)-N-((2S,4S)-4-(diphenylphosphino)pentan-2-yl)-N-isopropyl-{dinaphtho[2,1-d:1',2'-f][1,3,2]dioxaphosphepin-2-yl}-4-amine</t>
  </si>
  <si>
    <t>1371577-74-0</t>
  </si>
  <si>
    <t>Balogh, Szabolcs; Farkas, Gergely; Szöllösy, Áron; Darvas, Ferenc; Ürge, László; Bakos, József; Tetrahedron Asymmetry; vol. 24; 1; (2013); p. 66 - 74;</t>
  </si>
  <si>
    <t>https://www.reaxys.com/reaxys/secured/hopinto.do?context=C&amp;query=CNR.CNR%3D35450145&amp;database=RX&amp;origin=ReaxysOutput&amp;ln=</t>
  </si>
  <si>
    <t>(SFc)-2-{(R)-1-bis[3,5-bis(trifluoromethyl)phenyl]phosphinoethyl}-(RFc)-2′′-diphenylphosphino-1,1′′-biferrocene</t>
  </si>
  <si>
    <t>1395774-33-0</t>
  </si>
  <si>
    <t>Zirakzadeh, Afrooz; Gross, Manuela A.; Wang, Yaping; Mereiter, Kurt; Spindler, Felix; Weissensteiner, Walter; Organometallics; vol. 32; 4; (2013); p. 1075 - 1084;</t>
  </si>
  <si>
    <t>https://www.reaxys.com/reaxys/secured/hopinto.do?context=C&amp;query=CNR.CNR%3D35473412&amp;database=RX&amp;origin=ReaxysOutput&amp;ln=</t>
  </si>
  <si>
    <t>C52H68N4O2P2Rh(1+)*BF4(1-)</t>
  </si>
  <si>
    <t>(Sp)-2-[(R)-1-diphenylphosphinoethyl]-(Rp)-2″-diphenylphosphino-1,1″-biferrocene</t>
  </si>
  <si>
    <t>1422342-65-1</t>
  </si>
  <si>
    <t>Zirakzadeh, Afrooz; Gross, Manuela A.; Wang, Yaping; Mereiter, Kurt; Weissensteiner, Walter; Organometallics; vol. 33; 8; (2014); p. 1945 - 1952;</t>
  </si>
  <si>
    <t>https://www.reaxys.com/reaxys/secured/hopinto.do?context=C&amp;query=CNR.CNR%3D63401597&amp;database=RX&amp;origin=ReaxysOutput&amp;ln=</t>
  </si>
  <si>
    <t>(2S,5S)-1,2,5-triphenyl phospholane</t>
  </si>
  <si>
    <t>Dobrota, Cristian; Fiaud, Jean-Claud; Toffano, Martial; ChemCatChem; vol. 7; 1; (2015); p. 144 - 148;</t>
  </si>
  <si>
    <t>https://www.reaxys.com/reaxys/secured/hopinto.do?context=C&amp;query=CNR.CNR%3D65378244&amp;database=RX&amp;origin=ReaxysOutput&amp;ln=</t>
  </si>
  <si>
    <t>[Rh(COD)((11bS)-N-((2S,4S)-4-(diphenylphosphino)pentan-2-yl)-N-methyl-{dinaphtho[2,1-d:1',2'-f][1,3,2]dioxaphosphepin-2-yl}-4-amine)]BF4</t>
  </si>
  <si>
    <t>1562742-36-2</t>
  </si>
  <si>
    <t>Balogh, Szabolcs; Farkas, Gergely; Tóth, Imre; Bakos, József; Tetrahedron Asymmetry; vol. 26; 12-13; (2015); p. 666 - 673;</t>
  </si>
  <si>
    <t>https://www.reaxys.com/reaxys/secured/hopinto.do?context=C&amp;query=CNR.CNR%3D66670912&amp;database=RX&amp;origin=ReaxysOutput&amp;ln=</t>
  </si>
  <si>
    <t>(1R,2R)-bis[(S)-1,1'-binaphthyl-2,2'-diyl]phosphitecyclohexanediol</t>
  </si>
  <si>
    <t>1838159-02-6</t>
  </si>
  <si>
    <t>Pang, Zeng-Bo; Li, Hai-Feng; Tian, Mi; Wang, Lai-Lai; Tetrahedron Asymmetry; vol. 26; 24; (2015); p. 1389 - 1393;</t>
  </si>
  <si>
    <t>https://www.reaxys.com/reaxys/secured/hopinto.do?context=C&amp;query=CNR.CNR%3D67658272&amp;database=RX&amp;origin=ReaxysOutput&amp;ln=</t>
  </si>
  <si>
    <t>C22H42N2P2Rh(1+)*C32H12BF24(1-)</t>
  </si>
  <si>
    <t>Prades, Amparo; Núñez-Pertíñez, Samuel; Riera, Antoni; Verdaguer, Xavier; Chemical Communications; vol. 53; 33; (2017); p. 4605 - 4608;</t>
  </si>
  <si>
    <t>https://www.reaxys.com/reaxys/secured/hopinto.do?context=C&amp;query=CNR.CNR%3D71085958&amp;database=RX&amp;origin=ReaxysOutput&amp;ln=</t>
  </si>
  <si>
    <t>BF4(1-)*C40H42NO2P3Rh(1+)</t>
  </si>
  <si>
    <t>Schmitz, Christian; Holthusen, Katharina; Leitner, Walter; Franciò, Giancarlo; European Journal of Organic Chemistry; vol. 2017; 28; (2017); p. 4111 - 4116;</t>
  </si>
  <si>
    <t>https://www.reaxys.com/reaxys/secured/hopinto.do?context=C&amp;query=CNR.CNR%3D71757873&amp;database=RX&amp;origin=ReaxysOutput&amp;ln=</t>
  </si>
  <si>
    <t>3'-methoxy-(6',6''-dimethyl-[1,1':2',1''-terphenyl]-2,3''-diyl)bis(diphenylphosphane)</t>
  </si>
  <si>
    <t>2215079-48-2</t>
  </si>
  <si>
    <t>Dherbassy, Quentin; Djukic, Jean-Pierre; Wencel-Delord, Joanna; Colobert, Françoise; Angewandte Chemie - International Edition; vol. 57; 17; (2018); p. 4668 - 4672; Angew. Chem.; vol. 130; 17; (2018); p. 4758 - 4762,5;</t>
  </si>
  <si>
    <t>https://www.reaxys.com/reaxys/secured/hopinto.do?context=C&amp;query=CNR.CNR%3D73380558&amp;database=RX&amp;origin=ReaxysOutput&amp;ln=</t>
  </si>
  <si>
    <t>((1S,3R,3′R)-3,3′-dimethyl-3H,3′H-1,1′-spirobi[isobenzofuran]-7,7′-diyl)bis(diphenylphosphane)</t>
  </si>
  <si>
    <t>2244531-90-4</t>
  </si>
  <si>
    <t>Huang, Jian; Hong, Mao; Wang, Chuan-Chuan; Kramer, Søren; Lin, Guo-Qiang; Sun, Xing-Wen; Journal of Organic Chemistry; vol. 83; 20; (2018); p. 12838 - 12846;</t>
  </si>
  <si>
    <t>https://www.reaxys.com/reaxys/secured/hopinto.do?context=C&amp;query=CNR.CNR%3D75107972&amp;database=RX&amp;origin=ReaxysOutput&amp;ln=</t>
  </si>
  <si>
    <t>C46H76P2Rh(1+)*BF4(1-)</t>
  </si>
  <si>
    <t>Rojo, Pep; Riera, Antoni; Verdaguer, Xavier; Organic Letters; vol. 23; 12; (2021); p. 4802 - 4806;</t>
  </si>
  <si>
    <t>https://www.reaxys.com/reaxys/secured/hopinto.do?context=C&amp;query=CNR.CNR%3D92555293&amp;database=RX&amp;origin=ReaxysOutput&amp;ln=</t>
  </si>
  <si>
    <t>2-Propanol</t>
  </si>
  <si>
    <t>(R,R',S,S')-2,2'-di-tert-butyl-2,3,2',3'-tetrahydro-1H,1H'-(1,1')biisophosphindolyl</t>
  </si>
  <si>
    <t>Andersson, Pher G.; Massaro, Luca; Peters, Bram B. C.; Wu, Haibo; Yang, Jianping; Zheng, Jia; Journal of the American Chemical Society; vol. 143; 48; (2021); p. 20377 - 20383;</t>
  </si>
  <si>
    <t>https://www.reaxys.com/reaxys/secured/hopinto.do?context=C&amp;query=CNR.CNR%3D107708446&amp;database=RX&amp;origin=ReaxysOutput&amp;ln=</t>
  </si>
  <si>
    <t>Methyl (E)-2-acetylamino-3-phenylpropenoate</t>
  </si>
  <si>
    <t>(S)Fc-α-S(C5H5)Fe(C5H3(PPh2)CH(OH)C6H4(PPh2))</t>
  </si>
  <si>
    <t>(S)-1-diphenylphosphino-2-[α-(S)-methoxy(o-diphenylphosphinophenyl)methyl]ferrocene</t>
  </si>
  <si>
    <t>929039-81-6</t>
  </si>
  <si>
    <t>Methyl (E/Z)-2-acetylamino-3-phenylpropenoate</t>
  </si>
  <si>
    <t>((R,R)-1,2-bis(tert-butylmethylphosphino)-4,5-(methylenedioxy)benzene)(1,5-cyclooctadiene)rhodium(1+)hexafluoroantimonate</t>
  </si>
  <si>
    <t>1355162-76-3</t>
  </si>
  <si>
    <t>NIPPON CHEMICAL INDUSTRIAL CO LTD; US2014/213800; (2014); A1;</t>
  </si>
  <si>
    <t>https://www.reaxys.com/reaxys/secured/hopinto.do?context=C&amp;query=CNR.CNR%3D64019387&amp;database=RX&amp;origin=ReaxysOutput&amp;ln=</t>
  </si>
  <si>
    <t>C22H24NO2P</t>
  </si>
  <si>
    <t>ZHEJIANG JIUZHOU PHARMACEUTICAL CO., LTD.; CHINESE ACADEMY OF SCIENCES; CN106365949; (2017); A;</t>
  </si>
  <si>
    <t>https://www.reaxys.com/reaxys/secured/hopinto.do?context=C&amp;query=CNR.CNR%3D70690761&amp;database=RX&amp;origin=ReaxysOutput&amp;ln=</t>
  </si>
  <si>
    <t>(1R,3S,3'S)-3,3'-diphenyl-N,N-dimethyl-(1,1'-spirobiindane-7,7'-diyl)phosphoramidite</t>
  </si>
  <si>
    <t>Yin, Long; Xing, Junhao; Wang, Yuhan; Shen, Yue; Lu, Tao; Hayashi, Tamio; Dou, Xiaowei; Angewandte Chemie - International Edition; vol. 58; 8; (2019); p. 2474 - 2478; Angew. Chem.; vol. 131; 8; (2019); p. 2496 - 2500,5;</t>
  </si>
  <si>
    <t>https://www.reaxys.com/reaxys/secured/hopinto.do?context=C&amp;query=CNR.CNR%3D75859399&amp;database=RX&amp;origin=ReaxysOutput&amp;ln=</t>
  </si>
  <si>
    <t>(R)-N,N-dimethyl-14,15,16,17-tetrahydrodiphenaleno[1,9-de:1',9'-fg][1,3,2]dioxaphosphocin-7-amine</t>
  </si>
  <si>
    <t>2687968-80-3</t>
  </si>
  <si>
    <t>Zhang, Ronghua; Ge, Shulin; Sun, Jianwei; Journal of the American Chemical Society; vol. 143; 32; (2021); p. 12445 - 12449;; ; Erratum; Ge, Shulin; Sun, Jianwei; Zhang, Ronghua; Journal of the American Chemical Society; vol. 143; 42; (2021); p. 17872 - 17872;</t>
  </si>
  <si>
    <t>https://www.reaxys.com/reaxys/secured/hopinto.do?context=C&amp;query=CNR.CNR%3D98658971&amp;database=RX&amp;origin=ReaxysOutput&amp;ln=</t>
  </si>
  <si>
    <t>Toluene</t>
  </si>
  <si>
    <t>HONG KONG UNIVERSITY OF SCIENCE AND TECHNOLOGY; CN113527066; (2021); A;</t>
  </si>
  <si>
    <t>https://www.reaxys.com/reaxys/secured/hopinto.do?context=C&amp;query=CNR.CNR%3D104742208&amp;database=RX&amp;origin=ReaxysOutput&amp;ln=</t>
  </si>
  <si>
    <t>(Sc,Rp,R)-1-{[2-(diphenylphosphanyl)ferrocenyl]ethyl}-N-methyl-4,7-diphenyl-4,5,6,7-tetrahydrodiindeno[7,1-de:1′,7′-fg][1,3,2]-dioxaphosphocin-12-amine</t>
  </si>
  <si>
    <t>Chen, Yirui;Yi, Xiao;Cheng, Yuqi;Huang, An;Yang, Zehui;Zhao, Xianghua;Ling, Fei;Zhong, Weihui; Journal of Organic Chemistry; vol. 87; 12; (2022); p. 7864 - 7874;</t>
  </si>
  <si>
    <t>https://www.reaxys.com/reaxys/secured/hopinto.do?context=C&amp;query=CNR.CNR%3D118301690&amp;database=RX&amp;origin=ReaxysOutput&amp;ln=</t>
  </si>
  <si>
    <t>1,2-bis((2S,5S)-2,5-diphenylphospholan-1-yl)ethane</t>
  </si>
  <si>
    <t>(S,S)-Ph-BPE</t>
  </si>
  <si>
    <t>824395-67-7</t>
  </si>
  <si>
    <t>L64 (Enant)</t>
  </si>
  <si>
    <t>Ishida, Naoki; Kamae, Yoshiki; Ishizu, Keigo; Kamino, Yuka; Naruse, Hiroshi; Murakami, Masahiro; Journal of the American Chemical Society; vol. 143; 5; (2021); p. 2217 - 2220;</t>
  </si>
  <si>
    <t>https://www.reaxys.com/reaxys/secured/hopinto.do?context=C&amp;query=CNR.CNR%3D82749290&amp;database=RX&amp;origin=ReaxysOutput&amp;ln=</t>
  </si>
  <si>
    <t>C42H40NO3P</t>
  </si>
  <si>
    <t>SOUTHERN UNIVERSITY OF SCIENCE AND TECHNOLOGY OF CHINA; CN110041174; (2019); A;</t>
  </si>
  <si>
    <t>https://www.reaxys.com/reaxys/secured/hopinto.do?context=C&amp;query=CNR.CNR%3D77373451&amp;database=RX&amp;origin=ReaxysOutput&amp;ln=</t>
  </si>
  <si>
    <t>C47H57NO4P2</t>
  </si>
  <si>
    <t>Biosca, Maria; De La Cruz-Sánchez, Pol; Diéguez, Montserrat; Pàmies, Oscar; Journal of Organic Chemistry; vol. 85; 7; (2020); p. 4730 - 4739;</t>
  </si>
  <si>
    <t>https://www.reaxys.com/reaxys/secured/hopinto.do?context=C&amp;query=CNR.CNR%3D79706568&amp;database=RX&amp;origin=ReaxysOutput&amp;ln=</t>
  </si>
  <si>
    <t>LiOH H2O, Cu(OTf)2, Zinc</t>
  </si>
  <si>
    <t>RhCl3 xH2O</t>
  </si>
  <si>
    <t>Dai, Yuze; Chen, Jingchao; Wang, Zheting; Wang, Ting; Wang, Lin; Yang, Yong; Qiao, Xingfang; Fan, Baomin; Journal of Organic Chemistry; vol. 86; 10; (2021); p. 7141 - 7147;</t>
  </si>
  <si>
    <t>https://www.reaxys.com/reaxys/secured/hopinto.do?context=C&amp;query=CNR.CNR%3D88263278&amp;database=RX&amp;origin=ReaxysOutput&amp;ln=</t>
  </si>
  <si>
    <t>C46H42O3P2</t>
  </si>
  <si>
    <t>Fernandez-Perez, Hector; Benet-Buchholz; Vidal-Ferran, Anton; Organic Letters; vol. 15; 14; (2013); p. 3634 - 3637;</t>
  </si>
  <si>
    <t>https://www.reaxys.com/reaxys/secured/hopinto.do?context=C&amp;query=CNR.CNR%3D38270393&amp;database=RX&amp;origin=ReaxysOutput&amp;ln=</t>
  </si>
  <si>
    <t>Rh(COD)2SbF6</t>
  </si>
  <si>
    <t>(R,R)-2,3-bis((1,1,3,3-tetramethylbutyl)methylphosphino)quinoxaline</t>
  </si>
  <si>
    <t>Imamoto, Tsuneo; Horiuchi, Yumi; Hamanishi, Eri; Takeshita, Satoshi; Tamura, Ken; Sugiya, Masashi; Yoshida, Kazuhiro; Tetrahedron; vol. 71; 37; (2015); p. 6471 - 6480;</t>
  </si>
  <si>
    <t>https://www.reaxys.com/reaxys/secured/hopinto.do?context=C&amp;query=CNR.CNR%3D66797673&amp;database=RX&amp;origin=ReaxysOutput&amp;ln=</t>
  </si>
  <si>
    <t>(R,R)-bis(tert-butylmethylphosphino)methane(1,5-cyclooctadiene)rhodium(I) hexafluoroantimonate</t>
  </si>
  <si>
    <t>224618-29-5</t>
  </si>
  <si>
    <t>Heutz, Frank J. L.; Kamer, Paul C. J.; Dalton Transactions; vol. 45; 5; (2016); p. 2116 - 2123;</t>
  </si>
  <si>
    <t>https://www.reaxys.com/reaxys/secured/hopinto.do?context=C&amp;query=CNR.CNR%3D68150768&amp;database=RX&amp;origin=ReaxysOutput&amp;ln=</t>
  </si>
  <si>
    <t>C37H32O3P2</t>
  </si>
  <si>
    <t>Fernández-Pérez, Héctor; Benet-Buchholz, Jordi; Vidal-Ferran, Anton; Chemistry - A European Journal; vol. 20; 47; (2014); p. 15375 - 15384;</t>
  </si>
  <si>
    <t>https://www.reaxys.com/reaxys/secured/hopinto.do?context=C&amp;query=CNR.CNR%3D68212183&amp;database=RX&amp;origin=ReaxysOutput&amp;ln=</t>
  </si>
  <si>
    <t>(S,S)-[Rh(1,5-COD)(DIPAMP)]BF4</t>
  </si>
  <si>
    <t>(S,S)-DIPAMP</t>
  </si>
  <si>
    <t>97858-62-3</t>
  </si>
  <si>
    <t>L56 (Enant)</t>
  </si>
  <si>
    <t>Bayardon, Jérôme; Rousselin, Yoann; Jugé, Sylvain; Organic Letters; vol. 18; 12; (2016); p. 2930 - 2933;</t>
  </si>
  <si>
    <t>https://www.reaxys.com/reaxys/secured/hopinto.do?context=C&amp;query=CNR.CNR%3D69128575&amp;database=RX&amp;origin=ReaxysOutput&amp;ln=</t>
  </si>
  <si>
    <t xml:space="preserve"> Cyclohexane</t>
  </si>
  <si>
    <t>C66H82N2O10P2Rh(1+)*BF4(1-)</t>
  </si>
  <si>
    <t>HANGZHOU NORMAL UNIVERSITY; CN105585593; (2016); A;</t>
  </si>
  <si>
    <t>https://www.reaxys.com/reaxys/secured/hopinto.do?context=C&amp;query=CNR.CNR%3D69698809&amp;database=RX&amp;origin=ReaxysOutput&amp;ln=</t>
  </si>
  <si>
    <t>C61H58O4P2Rh(1+)*BF4(1-)</t>
  </si>
  <si>
    <t>Fernández-Pérez, Héctor; Balakrishna, Bugga; Vidal-Ferran, Anton; European Journal of Organic Chemistry; vol. 2018; 13; (2018); p. 1525 - 1532;</t>
  </si>
  <si>
    <t>https://www.reaxys.com/reaxys/secured/hopinto.do?context=C&amp;query=CNR.CNR%3D73612835&amp;database=RX&amp;origin=ReaxysOutput&amp;ln=</t>
  </si>
  <si>
    <t>C40H47O5PSSi2</t>
  </si>
  <si>
    <t>Margalef, Jèssica; Borràs, Carlota; Alegre, Sabina; Alberico, Elisabetta; Pàmies, Oscar; Diéguez, Montserrat; ChemCatChem; vol. 11; 8; (2019); p. 2142 - 2168;</t>
  </si>
  <si>
    <t>https://www.reaxys.com/reaxys/secured/hopinto.do?context=C&amp;query=CNR.CNR%3D76355393&amp;database=RX&amp;origin=ReaxysOutput&amp;ln=</t>
  </si>
  <si>
    <t>((1'R,2'S)-3'-methoxy-6',6''-dimethyl-[1,1':2',1''-terphenyl]-2,3''-diyl)bis(diphenylphosphane)</t>
  </si>
  <si>
    <t>CENTRE NATIONAL DE LA RECHERCHE SCIENTIFIQUE; UNIVERSITY OF STRASBOURG; WO2019/115597; (2019); A1;</t>
  </si>
  <si>
    <t>https://www.reaxys.com/reaxys/secured/hopinto.do?context=C&amp;query=CNR.CNR%3D77273643&amp;database=RX&amp;origin=ReaxysOutput&amp;ln=</t>
  </si>
  <si>
    <t>1,4-bis[(O,O'(S)-1,1'-dinaphthyl-2,2'-diyl)-phosphoramidite]-4,13-diaza-18-crown-6</t>
  </si>
  <si>
    <t>Luo, Yier; Ouyang, Guanghui; Tang, Yuping; He, Yan-Mei; Fan, Qing-Hua; Journal of Organic Chemistry; vol. 85; 12; (2020); p. 8176 - 8184;</t>
  </si>
  <si>
    <t>https://www.reaxys.com/reaxys/secured/hopinto.do?context=C&amp;query=CNR.CNR%3D80260631&amp;database=RX&amp;origin=ReaxysOutput&amp;ln=</t>
  </si>
  <si>
    <t>C15H24F6P2</t>
  </si>
  <si>
    <t>NIPPON CHEMICAL INDUSTRIAL CO LTD; IBARAKI UNIVERSITY; JP2020/105127; (2020); A;</t>
  </si>
  <si>
    <t>https://www.reaxys.com/reaxys/secured/hopinto.do?context=C&amp;query=CNR.CNR%3D80613260&amp;database=RX&amp;origin=ReaxysOutput&amp;ln=</t>
  </si>
  <si>
    <t>C34H56P2Rh(1+)*F6Sb(1-)</t>
  </si>
  <si>
    <t>NIPPON CHEMICAL INDUSTRIAL CO LTD; JP2021/1149; (2021); A;</t>
  </si>
  <si>
    <t>https://www.reaxys.com/reaxys/secured/hopinto.do?context=C&amp;query=CNR.CNR%3D82638274&amp;database=RX&amp;origin=ReaxysOutput&amp;ln=</t>
  </si>
  <si>
    <t>C24H44N2P2Si2</t>
  </si>
  <si>
    <t>HOKKAIDO UNIVERSITY; NIPPON CHEMICAL INDUSTRIAL CO LTD; US2021/47351; (2021); A1;</t>
  </si>
  <si>
    <t>https://www.reaxys.com/reaxys/secured/hopinto.do?context=C&amp;query=CNR.CNR%3D82800376&amp;database=RX&amp;origin=ReaxysOutput&amp;ln=</t>
  </si>
  <si>
    <t>4-(3-(diphenyphosphinaneyl)phenoxy)dinaphtho[2,1-d:1’,2’-f][1,3,2]dioxaphosphepine</t>
  </si>
  <si>
    <t>Sen, Anirban; Kumar, Rohit; Pandey, Swechchha; Vipin Raj; Kumar, Pawan; Vanka, Kumar; Chikkali, Samir H.; European Journal of Organic Chemistry; vol. 2022; 2; (2022);</t>
  </si>
  <si>
    <t>https://www.reaxys.com/reaxys/secured/hopinto.do?context=C&amp;query=CNR.CNR%3D112131370&amp;database=RX&amp;origin=ReaxysOutput&amp;ln=</t>
  </si>
  <si>
    <t>(2R,2'R)-bis(diphenylphosphino)-(1R,1'R)-dicyclopentane</t>
  </si>
  <si>
    <t>(R,R)-BICP</t>
  </si>
  <si>
    <t>186803-02-1</t>
  </si>
  <si>
    <t>BANK OF AMERICA CORP; EP918781; (2004); B1;</t>
  </si>
  <si>
    <t>https://www.reaxys.com/reaxys/secured/hopinto.do?context=C&amp;query=CNR.CNR%3D8817425&amp;database=RX&amp;origin=ReaxysOutput&amp;ln=</t>
  </si>
  <si>
    <t>NEt3</t>
  </si>
  <si>
    <t>{(1S)-1(R)-[(2R)-2-(diphenylphosphino)cyclopentyl]ethyl}(diphenyl)phosphine</t>
  </si>
  <si>
    <t>LANXESS AG; EP1595885; (2005); A2;</t>
  </si>
  <si>
    <t>https://www.reaxys.com/reaxys/secured/hopinto.do?context=C&amp;query=CNR.CNR%3D384991&amp;database=RX&amp;origin=ReaxysOutput&amp;ln=</t>
  </si>
  <si>
    <t>C34H48P2</t>
  </si>
  <si>
    <t>(2R,3R)-3-diphenylphosphanyl-2-[(dicyclohexylphosphanyl)-methyl]-6,6-dimethylbicyclo[3.1.1]heptane</t>
  </si>
  <si>
    <t>869290-50-6</t>
  </si>
  <si>
    <t>LANXESS AG; US2005/288523; (2005); A1;</t>
  </si>
  <si>
    <t>https://www.reaxys.com/reaxys/secured/hopinto.do?context=C&amp;query=CNR.CNR%3D389615&amp;database=RX&amp;origin=ReaxysOutput&amp;ln=</t>
  </si>
  <si>
    <t>(S)-2-phenyl-4,5-dihydro-oxazole-4-carboxylic acid methyl ester</t>
  </si>
  <si>
    <t>2-diphenylphosphanyl benzoic acid 4-tolyl ester</t>
  </si>
  <si>
    <t>O,O-Di(3-menthyl)-O-phenylphosphit</t>
  </si>
  <si>
    <t>C20H17O3P</t>
  </si>
  <si>
    <t>(1R,7R)-9,9-dimethyl-4-phenoxy-2,2,6,6-tetraphenyl-3,5,8,10-tetraoxa-4-phosphabicyclo&lt;5.3.0&gt;decane</t>
  </si>
  <si>
    <t>C22H21O3P</t>
  </si>
  <si>
    <t>(3,3',5,5'-tetra-t-butyl-2,2'-biphenyl)phenylphosphite</t>
  </si>
  <si>
    <t>2-Diphenylphosphanyl benzoic acid 4-tolyl ester</t>
  </si>
  <si>
    <t>phenyl diphenylphosphinite</t>
  </si>
  <si>
    <t>(S(p))-1-Ph2P-2-(3,5-(CH3)2C6H3)2PCH2-3-CH3-Fc</t>
  </si>
  <si>
    <t>(R(p))-1-Ph2P-2-(3,5-(CH3)2C6H3)2PCH2-Fc</t>
  </si>
  <si>
    <t>2-((1R,2S)-1-(diphenylphosphino)-3-methoxy-1-phenylprop-2-yloxy)-1,3,2-dioxaphospholane</t>
  </si>
  <si>
    <t>1127389-78-9</t>
  </si>
  <si>
    <t>6-((1S,2R)-1-(diphenylphosphino)-3-methoxy-1-phenylprop-2-yloxy)-2,4,8,10-tetramethyldibenzo[d,f][1,3,2]dioxaphosphepine</t>
  </si>
  <si>
    <t>1246400-61-2</t>
  </si>
  <si>
    <t>(S)-(1,1'-binaphthalene)-2,2'-diylbis(diphenylphosphine)</t>
  </si>
  <si>
    <t>(S)-BINAP</t>
  </si>
  <si>
    <t>76189-56-5</t>
  </si>
  <si>
    <t>L32 (Enant)</t>
  </si>
  <si>
    <t>[(η2-1,2,5,6)-1,5-cyclooctadiene][(Sp,S)-cis-2-(2-diphenylphosphinoethyl-κP)-(1-phenylphospholane-κP)]rhodium(I)hexafluoroantimonate</t>
  </si>
  <si>
    <t>935732-20-0</t>
  </si>
  <si>
    <t>ROCHE HOLDING AG; US2007/100152; (2007); A1;</t>
  </si>
  <si>
    <t>https://www.reaxys.com/reaxys/secured/hopinto.do?context=C&amp;query=CNR.CNR%3D8938066&amp;database=RX&amp;origin=ReaxysOutput&amp;ln=</t>
  </si>
  <si>
    <t>[(η2-1,2,5,6)-1,5-cyclooctadiene][(Sp,R)-trans-2-(2-diphenylphosphinoethyl-κP)-(1-phenylphospholane-κP)]rhodium(I)hexafluoroantimonate</t>
  </si>
  <si>
    <t>935732-17-5</t>
  </si>
  <si>
    <t>[(η2-1,2,5,6)-1,5-cyclooctadiene][(Sp,R,R)-trans-2-(2-diphenylphosphino-2-methylethyl-κP)-(1-phenylphospholane-κP)]rhodium(I)hexafluoroantimonate</t>
  </si>
  <si>
    <t>935732-24-4</t>
  </si>
  <si>
    <t>[(η2-1,2,5,6)-1,5-cyclooctadiene][(Sp,R,S)-trans-2-(2-diphenylphosphino-2-methylethyl-κP)-(1-phenylphospholane-κP)]rhodium(I)hexafluoroantimonate</t>
  </si>
  <si>
    <t>[(η2-1,2,5,6)-1,5-cyclooctadiene][(Sp,S)-cis-2-(2-diphenylphosphinoethyl-κP)-(1-phenylphospholane-κP)]rhodium(I)tetrafluoroborate</t>
  </si>
  <si>
    <t>935732-25-5</t>
  </si>
  <si>
    <t>1400279-37-9</t>
  </si>
  <si>
    <t>C43H52N2O5P2</t>
  </si>
  <si>
    <t>[Rh(PNSO)(COD)]</t>
  </si>
  <si>
    <t>Doran, Seán; Achard, Thierry; Riera, Antoni; Verdaguer, Xavier; Journal of Organometallic Chemistry; vol. 717; (2012); p. 135 - 140;</t>
  </si>
  <si>
    <t>https://www.reaxys.com/reaxys/secured/hopinto.do?context=C&amp;query=CNR.CNR%3D20201467&amp;database=RX&amp;origin=ReaxysOutput&amp;ln=</t>
  </si>
  <si>
    <t>2,2,2-Trifluoroethanol</t>
  </si>
  <si>
    <t>C29H24NO3P</t>
  </si>
  <si>
    <t>Vallianatou, Kalliopi A.; Frank, Dominik J.; Antonopoulou, Georgia; Georgakopoulos, Spyros; Siapi, Eleni; Zervou, Maria; Kostas, Ioannis D.; Tetrahedron Letters; vol. 54; 5; (2013); p. 397 - 401;</t>
  </si>
  <si>
    <t>https://www.reaxys.com/reaxys/secured/hopinto.do?context=C&amp;query=CNR.CNR%3D35449600&amp;database=RX&amp;origin=ReaxysOutput&amp;ln=</t>
  </si>
  <si>
    <t>(11bS)-N-((2R,4R)-4-(diphenylphosphino)pentan-2-yl)-N-isopropyl-{dinaphtho[2,1-d:1',2'-f][1,3,2]dioxaphosphepin-2-yl}-4-amine</t>
  </si>
  <si>
    <t>1421748-22-2</t>
  </si>
  <si>
    <t>(cycloocta-1,5-diene)-[(S,S)-2,2'-bis(ferrocenyl-phenylphosphino)-1,1'-biphenyl] rhodium tetrafluoroborate</t>
  </si>
  <si>
    <t>UNIVERSITY OF STRASBOURG; CENTRE NATIONAL DE LA RECHERCHE SCIENTIFIQUE; UNIVERSITY OF BURGUNDY; SYNTHELOR SAS; WO2013/7724; (2013); A1;</t>
  </si>
  <si>
    <t>https://www.reaxys.com/reaxys/secured/hopinto.do?context=C&amp;query=CNR.CNR%3D35460342&amp;database=RX&amp;origin=ReaxysOutput&amp;ln=</t>
  </si>
  <si>
    <t>(S)-1-{(SFc)-2-[2-(diphenylphosphino)phenyl]ferrocenyl}ethylbis[3,5-bis-(trifluoromethyl)phenyl]phosphine</t>
  </si>
  <si>
    <t>SL-W001-2</t>
  </si>
  <si>
    <t>849925-17-3</t>
  </si>
  <si>
    <t>L25 (Enant)</t>
  </si>
  <si>
    <t>[Rh(nbd)(3b)]BF4</t>
  </si>
  <si>
    <t>Guisado-Barrios, Gregorio; Muñoz, Bianca K.; Kamer, Paul C. J.; Lastdrager, Bas; Van Der Marel, Gijs; Overhand, Mark; Vega-Vázquez, Marino; Martin-Pastor, Manuel; Dalton Transactions; vol. 42; 6; (2013); p. 1973 - 1978;</t>
  </si>
  <si>
    <t>https://www.reaxys.com/reaxys/secured/hopinto.do?context=C&amp;query=CNR.CNR%3D35483730&amp;database=RX&amp;origin=ReaxysOutput&amp;ln=</t>
  </si>
  <si>
    <t>[Rh(nbd)(3c)]BF4</t>
  </si>
  <si>
    <t>C32H35N2OP</t>
  </si>
  <si>
    <t>C64H48N4O2P2</t>
  </si>
  <si>
    <t>methyl 3α-(2,2'-binaphthyl-1,1'-diyl)phosphite-12α-acetyloxy-5β-cholan-24-oate</t>
  </si>
  <si>
    <t>Jumde, Varsha R.; Iuliano, Anna; European Journal of Organic Chemistry; 20; (2013); p. 4294 - 4302;</t>
  </si>
  <si>
    <t>https://www.reaxys.com/reaxys/secured/hopinto.do?context=C&amp;query=CNR.CNR%3D35603909&amp;database=RX&amp;origin=ReaxysOutput&amp;ln=</t>
  </si>
  <si>
    <t>methyl 3α,12α-diacetyloxy-7α-(2,2'-binaphthyl-1,1'-diyl)phosphite-5β-cholan-24-oate</t>
  </si>
  <si>
    <t>cis-P,P'-(cycloocta-1,5-diene)-[6A,6B-dideoxy-6A-diphenylphosphanyl-6B-(4,4',6,6'-tetra-tert-butyl-2,2'-bisphenoxyphosphanyloxy)-2A,2B,2C,2D,2E,2F,3A,3B,3C,3D,3E,3F,6C,6D,6E,6F-hexadeca-O-methyl-α-cyclodextrin]rhodium (I) tetrafluoroborate</t>
  </si>
  <si>
    <t>Jouffroy, Matthieu; Semeril, David; Armspach, Dominique; Matt, Dominique; European Journal of Organic Chemistry; 27; (2013); p. 6069 - 6077;</t>
  </si>
  <si>
    <t>https://www.reaxys.com/reaxys/secured/hopinto.do?context=C&amp;query=CNR.CNR%3D59030435&amp;database=RX&amp;origin=ReaxysOutput&amp;ln=</t>
  </si>
  <si>
    <t>cis-P,P'-(cycloocta-1,5-diene)-[6A,6B-dideoxy-6A-diphenylphosphanyl-6B-(R)-(1,1'-binaphthyl-2,2'-bisoxyphosphanyloxy)-2A,2B,2C,2D,2E,2F,3A,3B,3C,3D,3E,3F,6C,6D,6E,6F-hexadeca-O-methyl-α-cyclodextrin]rhodium (I) tetrafluoroborate</t>
  </si>
  <si>
    <t>Rh(NBD)2SbF6</t>
  </si>
  <si>
    <t>C33H33O8P</t>
  </si>
  <si>
    <t>Alegre, Sabina; Alberico, Elisabetta; Pamies, Oscar; Dieguez, Montserrat; Tetrahedron Asymmetry; vol. 25; 3; (2014); p. 258 - 262;</t>
  </si>
  <si>
    <t>https://www.reaxys.com/reaxys/secured/hopinto.do?context=C&amp;query=CNR.CNR%3D62812937&amp;database=RX&amp;origin=ReaxysOutput&amp;ln=</t>
  </si>
  <si>
    <t>C38H35O8P</t>
  </si>
  <si>
    <t>(RP)-(1R,2S,5R)-2-Isopropyl-5-methylcyclohexyl phenylphosphinate</t>
  </si>
  <si>
    <t>Wang, Xiang-Bo; Goto, Midori; Han, Li-Biao; Chemistry - A European Journal; vol. 20; 13; (2014); p. 3631 - 3635;</t>
  </si>
  <si>
    <t>https://www.reaxys.com/reaxys/secured/hopinto.do?context=C&amp;query=CNR.CNR%3D63097829&amp;database=RX&amp;origin=ReaxysOutput&amp;ln=</t>
  </si>
  <si>
    <t>(Sp)-2-[(R)-1-diphenylphosphinoethyl]-(Sp)-2″-diphenylphosphino-1,1″-biferrocene</t>
  </si>
  <si>
    <t>Rh(MeCN)(COD)BF4</t>
  </si>
  <si>
    <t>C56H48N4O4P2</t>
  </si>
  <si>
    <t>Kokan, Zoran; Glasovac, Zoran; Majeric Elenkov, Maja; Gredicak, Matija; Jeric, Ivanka; Kirin, Srecko I.; Organometallics; vol. 33; 15; (2014); p. 4005 - 4015;</t>
  </si>
  <si>
    <t>https://www.reaxys.com/reaxys/secured/hopinto.do?context=C&amp;query=CNR.CNR%3D64133267&amp;database=RX&amp;origin=ReaxysOutput&amp;ln=</t>
  </si>
  <si>
    <t>3-(diphenylphosphino)benzoic acid</t>
  </si>
  <si>
    <t>BF4(1-)*C54H48N2O4P2Rh(1+)</t>
  </si>
  <si>
    <t>Drommi, Dario; Micalizzi, Giuseppe; Arena, Carmela Grazia; Applied Organometallic Chemistry; vol. 28; 8; (2014); p. 614 - 619;</t>
  </si>
  <si>
    <t>https://www.reaxys.com/reaxys/secured/hopinto.do?context=C&amp;query=CNR.CNR%3D63940239&amp;database=RX&amp;origin=ReaxysOutput&amp;ln=</t>
  </si>
  <si>
    <t>2,5-diphenyl-1-p-tolyl-phospholane</t>
  </si>
  <si>
    <t>1773508-38-5</t>
  </si>
  <si>
    <t>C23H23OP*H(1+)*BF4(1-)</t>
  </si>
  <si>
    <t>Cs[BArF]</t>
  </si>
  <si>
    <t>C27H30O2P2Rh(1+)*BF4(1-)</t>
  </si>
  <si>
    <t>Rast, Slavko; Stephan, Michel; Mohar, Barbara; European Journal of Organic Chemistry; vol. 2015; 10; (2015); p. 2214 - 2225;</t>
  </si>
  <si>
    <t>https://www.reaxys.com/reaxys/secured/hopinto.do?context=C&amp;query=CNR.CNR%3D65839494&amp;database=RX&amp;origin=ReaxysOutput&amp;ln=</t>
  </si>
  <si>
    <t>(1R,2R)-bis[(R)-1,1'-binaphthyl-2,2'-diyl]phosphitecyclohexanediol</t>
  </si>
  <si>
    <t>BF4(1-)*C70H54O6P2Rh(1+)</t>
  </si>
  <si>
    <t>Fleming, James T.; Wills, Corinne; Waddell, Paul G.; Harrington, Ross W.; Higham, Lee J.; Dalton Transactions; vol. 45; 39; (2016); p. 15660 - 15670;</t>
  </si>
  <si>
    <t>https://www.reaxys.com/reaxys/secured/hopinto.do?context=C&amp;query=CNR.CNR%3D69727534&amp;database=RX&amp;origin=ReaxysOutput&amp;ln=</t>
  </si>
  <si>
    <t>[Rh(cod)((1R,2R)-N1,N2-bis(dibenzo[d,f][1,3,2]dioxaphosphepin-6-yl)cyclohexane-1,2-diamine)]BF4</t>
  </si>
  <si>
    <t>2098241-88-2</t>
  </si>
  <si>
    <t>Drommi, Dario; Arena, Carmela Grazia; Applied Organometallic Chemistry; vol. 31; 12; (2017);</t>
  </si>
  <si>
    <t>https://www.reaxys.com/reaxys/secured/hopinto.do?context=C&amp;query=CNR.CNR%3D72207421&amp;database=RX&amp;origin=ReaxysOutput&amp;ln=</t>
  </si>
  <si>
    <t>[Rh(cod)(tetraethyl 2,2′-(((1R,2R)-cyclohexane-1,2-diyl)bis-(azanediyl))(4S,4′S,5S,5′S)-bis(1,3,2-dioxaphospholane-4,5-dicarboxylate))]BF4</t>
  </si>
  <si>
    <t>(RP,RP)-1,1'-bis[(2-methoxyphenyl)(phenyl)phosphino]ferrocene</t>
  </si>
  <si>
    <t>199396-02-6</t>
  </si>
  <si>
    <t>C28H47N4O4P</t>
  </si>
  <si>
    <t>Gavrilov; Chuchelkin; Zheglov; Gavrilov; Novikov; Firsin; Shiryaev; Russian Chemical Bulletin; vol. 67; 5; (2018); p. 916 - 922; Izv. Akad. Nauk, Ser. Khim.; 5; (2018); p. 916 - 922,7;</t>
  </si>
  <si>
    <t>https://www.reaxys.com/reaxys/secured/hopinto.do?context=C&amp;query=CNR.CNR%3D74691650&amp;database=RX&amp;origin=ReaxysOutput&amp;ln=</t>
  </si>
  <si>
    <t>((1S,3R)-3-methyl-3H,3′H-1,1′-spirobi[isobenzofuran]-7,7′-diyl)-bis(diphenylphosphane)</t>
  </si>
  <si>
    <t>2244056-78-6</t>
  </si>
  <si>
    <t>((1R,3R,3′R)-3,3′-dimethyl-3H,3′H-1,1′-spirobi[isobenzofuran]-7,7′-diyl)bis(diphenylphosphane)</t>
  </si>
  <si>
    <t>N-benzyl-N'-{(1S,2S)-1-phenyl-1,3-bis[(2R,5S)-3-phenyl-1,3-diaza-2-phosphabicyclo[3.3.0]octyloxy]propan-2-yl}oxalamide</t>
  </si>
  <si>
    <t>Gavrilov; Chuchelkin; Zheglov; Gavrilov; Zimarev; Maksimova; Shiryaev; Russian Chemical Bulletin; vol. 67; 8; (2018); p. 1376 - 1382; Izv. Akad. Nauk, Ser. Khim.; 8; (2018); p. 1376 - 1382,7;</t>
  </si>
  <si>
    <t>https://www.reaxys.com/reaxys/secured/hopinto.do?context=C&amp;query=CNR.CNR%3D75242152&amp;database=RX&amp;origin=ReaxysOutput&amp;ln=</t>
  </si>
  <si>
    <t>N-benzyl-N'-{(1S,2S)-1-phenyl-1,3-bis[(2S,5R)-3-phenyl-1,3-diaza-2-phosphabicyclo[3.3.0]octyloxy]propan-2-yl}oxalamide</t>
  </si>
  <si>
    <t>Rh(COD)2BArF</t>
  </si>
  <si>
    <t>C28H44N5O5P</t>
  </si>
  <si>
    <t>Gavrilov, Vladislav K.; Chuchelkin, Ilya V.; Zheglov, Sergey V.; Firsin, Ilya D.; Shiryaev, Alexei A.; Gavrilov, Konstantin N.; Maximychev, Alexander V.; Perepukhov, Alexander M.; Goulioukina, Nataliya S.; Beletskaya, Irina P.; Mendeleev Communications; vol. 29; 1; (2019); p. 35 - 37;</t>
  </si>
  <si>
    <t>https://www.reaxys.com/reaxys/secured/hopinto.do?context=C&amp;query=CNR.CNR%3D75997833&amp;database=RX&amp;origin=ReaxysOutput&amp;ln=</t>
  </si>
  <si>
    <t>C62H46F12N2O4P2Rh(1+)*BF4(1-)</t>
  </si>
  <si>
    <t>Storch, Golo; Trapp, Oliver; Chirality; vol. 30; 10; (2018); p. 1150 - 1160;</t>
  </si>
  <si>
    <t>https://www.reaxys.com/reaxys/secured/hopinto.do?context=C&amp;query=CNR.CNR%3D74738760&amp;database=RX&amp;origin=ReaxysOutput&amp;ln=</t>
  </si>
  <si>
    <t>Chuchelkin; Gavrilov; Firsin; Zimarev; Novikov; Maksimova; Shiryaev; Zheglov; Tafeenko; Chernyshev; Gavrilov; Phosphorus, Sulfur and Silicon and the Related Elements; vol. 194; 4-6; (2019); p. 493 - 496;</t>
  </si>
  <si>
    <t>https://www.reaxys.com/reaxys/secured/hopinto.do?context=C&amp;query=CNR.CNR%3D75705411&amp;database=RX&amp;origin=ReaxysOutput&amp;ln=</t>
  </si>
  <si>
    <t>C42H32Fe2NO2P</t>
  </si>
  <si>
    <t>Kimpe; Janssens; Bert; Wackens; Goeman; Van der Eycken; Tetrahedron; vol. 75; 45; (2019);</t>
  </si>
  <si>
    <t>https://www.reaxys.com/reaxys/secured/hopinto.do?context=C&amp;query=CNR.CNR%3D77879606&amp;database=RX&amp;origin=ReaxysOutput&amp;ln=</t>
  </si>
  <si>
    <t>BF4(1-)*C37H35O3PRhS(1+)</t>
  </si>
  <si>
    <t>Major, Máté M.; Balogh, Szabolcs; Simon, József; Bakos, József; Farkas, Gergely; Journal of Coordination Chemistry; vol. 74; 8; (2021); p. 1311 - 1322;</t>
  </si>
  <si>
    <t>https://www.reaxys.com/reaxys/secured/hopinto.do?context=C&amp;query=CNR.CNR%3D83214822&amp;database=RX&amp;origin=ReaxysOutput&amp;ln=</t>
  </si>
  <si>
    <t>(S,S,S,S)-1,2-bis-(2,5-diethyl-phospholan-1-yl)ethane</t>
  </si>
  <si>
    <t>(S,S)-Et-BPE</t>
  </si>
  <si>
    <t>136779-27-6</t>
  </si>
  <si>
    <t>L66 (Enant)</t>
  </si>
  <si>
    <t>bis-5,5’(3-(S)-val-NHtBu-benzamide)-2,2'-biphenolphosphinite</t>
  </si>
  <si>
    <t>Menke, Jan-Michael;Trapp, Oliver; Journal of Organic Chemistry; vol. 87; 16; (2022); p. 11165 - 11171;</t>
  </si>
  <si>
    <t>https://www.reaxys.com/reaxys/secured/hopinto.do?context=C&amp;query=CNR.CNR%3D119503826&amp;database=RX&amp;origin=ReaxysOutput&amp;ln=</t>
  </si>
  <si>
    <t>C42H66O4P2Rh(1+)*CF3O3S(1-)</t>
  </si>
  <si>
    <t>NATIONAL INSTITUTE OF ADVANCED INDUSTRIAL SCIENCE AND TECHNOLOGY; JP2015/113319; (2015); A;</t>
  </si>
  <si>
    <t>https://www.reaxys.com/reaxys/secured/hopinto.do?context=C&amp;query=CNR.CNR%3D70353080&amp;database=RX&amp;origin=ReaxysOutput&amp;ln=</t>
  </si>
  <si>
    <t>C22H24OP2</t>
  </si>
  <si>
    <t>SOLVIAS AG; WO2009/65783; (2009); A1;</t>
  </si>
  <si>
    <t>https://www.reaxys.com/reaxys/secured/hopinto.do?context=C&amp;query=CNR.CNR%3D8743157&amp;database=RX&amp;origin=ReaxysOutput&amp;ln=</t>
  </si>
  <si>
    <t>C24H28OP2</t>
  </si>
  <si>
    <t>C28H36O3P2</t>
  </si>
  <si>
    <t>C34H46O3P2</t>
  </si>
  <si>
    <t>SOLVIAS AG; WO2009/65784; (2009); A1;</t>
  </si>
  <si>
    <t>https://www.reaxys.com/reaxys/secured/hopinto.do?context=C&amp;query=CNR.CNR%3D8743158&amp;database=RX&amp;origin=ReaxysOutput&amp;ln=</t>
  </si>
  <si>
    <t>C28H46OP2</t>
  </si>
  <si>
    <t>2BF4(1-)*C20H42P2*2H(1+)</t>
  </si>
  <si>
    <t>C30H38OP2</t>
  </si>
  <si>
    <t>C30H34OP2S</t>
  </si>
  <si>
    <t>C45H41N2O2P</t>
  </si>
  <si>
    <t>Glasovac, Zoran; Kirin, Srećko I.; Kokan, Zoran; Opačak, Saša; Perić, Berislav; European Journal of Organic Chemistry; vol. 2019; 11; (2019); p. 2115 - 2128;</t>
  </si>
  <si>
    <t>https://www.reaxys.com/reaxys/secured/hopinto.do?context=C&amp;query=CNR.CNR%3D75690508&amp;database=RX&amp;origin=ReaxysOutput&amp;ln=</t>
  </si>
  <si>
    <t>Water</t>
  </si>
  <si>
    <t>Cu(OTf)2, Zinc</t>
  </si>
  <si>
    <t>RhCl3</t>
  </si>
  <si>
    <t>YUNNAN MINZU UNIVERSITY; CN112358412; (2021); A;</t>
  </si>
  <si>
    <t>https://www.reaxys.com/reaxys/secured/hopinto.do?context=C&amp;query=CNR.CNR%3D82723553&amp;database=RX&amp;origin=ReaxysOutput&amp;ln=</t>
  </si>
  <si>
    <t>[Rh((R,R)-DIPAMP)(COD)]BF4</t>
  </si>
  <si>
    <t>(R,R)-DIPAMP</t>
  </si>
  <si>
    <t>CELTIC CATALYSTS; WO2008/117054; (2008); A2;</t>
  </si>
  <si>
    <t>https://www.reaxys.com/reaxys/secured/hopinto.do?context=C&amp;query=CNR.CNR%3D8633496&amp;database=RX&amp;origin=ReaxysOutput&amp;ln=</t>
  </si>
  <si>
    <t>BF4(1-)*C48H48O2P2Rh(1+)</t>
  </si>
  <si>
    <t>[Rh(NBD)2]BF4</t>
  </si>
  <si>
    <t>SOLVIAS AG; WO2005/56568; (2005); A1;</t>
  </si>
  <si>
    <t>https://www.reaxys.com/reaxys/secured/hopinto.do?context=C&amp;query=CNR.CNR%3D8821565&amp;database=RX&amp;origin=ReaxysOutput&amp;ln=</t>
  </si>
  <si>
    <t>C22H36P2Rh(1+)*CF3O3S(1-)</t>
  </si>
  <si>
    <t>Vilhanov, Beta; Ranocchiari, Marco; Van Bokhoven, Jeroen A.; ChemCatChem; vol. 8; 2; (2016); p. 308 - 312;</t>
  </si>
  <si>
    <t>https://www.reaxys.com/reaxys/secured/hopinto.do?context=C&amp;query=CNR.CNR%3D68139697&amp;database=RX&amp;origin=ReaxysOutput&amp;ln=</t>
  </si>
  <si>
    <t>SOLVIAS AG; WO2007/116081; (2007); A1;</t>
  </si>
  <si>
    <t>https://www.reaxys.com/reaxys/secured/hopinto.do?context=C&amp;query=CNR.CNR%3D451166&amp;database=RX&amp;origin=ReaxysOutput&amp;ln=</t>
  </si>
  <si>
    <t>[Rh(COD)Cl]2</t>
  </si>
  <si>
    <t>SOLVIAS AG; WO2007/135179; (2007); A1;</t>
  </si>
  <si>
    <t>https://www.reaxys.com/reaxys/secured/hopinto.do?context=C&amp;query=CNR.CNR%3D451399&amp;database=RX&amp;origin=ReaxysOutput&amp;ln=</t>
  </si>
  <si>
    <t>SOLVIAS AG; WO2006/3195; (2006); A1;</t>
  </si>
  <si>
    <t>https://www.reaxys.com/reaxys/secured/hopinto.do?context=C&amp;query=CNR.CNR%3D8823329&amp;database=RX&amp;origin=ReaxysOutput&amp;ln=</t>
  </si>
  <si>
    <t>SOLVIAS AG; WO2008/34809; (2008); A1;</t>
  </si>
  <si>
    <t>https://www.reaxys.com/reaxys/secured/hopinto.do?context=C&amp;query=CNR.CNR%3D460329&amp;database=RX&amp;origin=ReaxysOutput&amp;ln=</t>
  </si>
  <si>
    <t>Aloui, A.; De Bellefon, C.; Delbecq, F.; Sautet, P.; Journal of Molecular Catalysis A: Chemical; vol. 363-364; (2012); p. 214 - 222,9;</t>
  </si>
  <si>
    <t>https://www.reaxys.com/reaxys/secured/hopinto.do?context=C&amp;query=CNR.CNR%3D80385233&amp;database=RX&amp;origin=ReaxysOutput&amp;ln=</t>
  </si>
  <si>
    <t>CHINESE ACADEMY OF SCIENCES; Dalian Institute of Chemical Physics (in: CAS); CN112824422; (2021); A;</t>
  </si>
  <si>
    <t>https://www.reaxys.com/reaxys/secured/hopinto.do?context=C&amp;query=CNR.CNR%3D86505816&amp;database=RX&amp;origin=ReaxysOutput&amp;ln=</t>
  </si>
  <si>
    <t>Dalian Institute of Chemical Physics (in: CAS); CHINESE ACADEMY OF SCIENCES; CN112824423; (2021); A;</t>
  </si>
  <si>
    <t>https://www.reaxys.com/reaxys/secured/hopinto.do?context=C&amp;query=CNR.CNR%3D86505820&amp;database=RX&amp;origin=ReaxysOutput&amp;ln=</t>
  </si>
  <si>
    <t>Li, Guisheng; Zatolochnaya, Olga V.; Wang, Xiao-Jun; Rodríguez, Sonia; Qu, Bo; Desrosiers, Jean-Nicolas; Mangunuru, Hari P. R.; Biswas, Soumik; Rivalti, Daniel; Karyakarte, Shuklendu D.; Sieber, Joshua D.; Grinberg, Nelu; Wu, Ling; Lee, Heewon; Haddad, Nizar; Fandrick, Daniel R.; Yee, Nathan K.; Song, Jinhua J.; Senanayake, Chris H.; Organic Letters; vol. 20; 7; (2018); p. 1725 - 1729;</t>
  </si>
  <si>
    <t>https://www.reaxys.com/reaxys/secured/hopinto.do?context=C&amp;query=CNR.CNR%3D73567160&amp;database=RX&amp;origin=ReaxysOutput&amp;ln=</t>
  </si>
  <si>
    <t>LONZA GROUP AG; WO2006/2731; (2006); A1;</t>
  </si>
  <si>
    <t>https://www.reaxys.com/reaxys/secured/hopinto.do?context=C&amp;query=CNR.CNR%3D391451&amp;database=RX&amp;origin=ReaxysOutput&amp;ln=</t>
  </si>
  <si>
    <t>JOHNSON MATTHEY PLC; US6906212; (2005); B1;</t>
  </si>
  <si>
    <t>https://www.reaxys.com/reaxys/secured/hopinto.do?context=C&amp;query=CNR.CNR%3D8821449&amp;database=RX&amp;origin=ReaxysOutput&amp;ln=</t>
  </si>
  <si>
    <t>LONZA GROUP AG; EP1609795; (2005); A1;</t>
  </si>
  <si>
    <t>https://www.reaxys.com/reaxys/secured/hopinto.do?context=C&amp;query=CNR.CNR%3D8823044&amp;database=RX&amp;origin=ReaxysOutput&amp;ln=</t>
  </si>
  <si>
    <t>LONZA GROUP AG; WO2006/2730; (2006); A1;</t>
  </si>
  <si>
    <t>https://www.reaxys.com/reaxys/secured/hopinto.do?context=C&amp;query=CNR.CNR%3D8823313&amp;database=RX&amp;origin=ReaxysOutput&amp;ln=</t>
  </si>
  <si>
    <t>C45H56O3P2Rh(1+)*BF4(1-)</t>
  </si>
  <si>
    <t>Kleman, Patryk; Vaquero, Mónica; Arribas, Inmaculada; Suárez, Andrés; Álvarez, Eleuterio; Pizzano, Antonio; Tetrahedron Asymmetry; vol. 25; 9; (2014); p. 744 - 749;</t>
  </si>
  <si>
    <t>https://www.reaxys.com/reaxys/secured/hopinto.do?context=C&amp;query=CNR.CNR%3D63480916&amp;database=RX&amp;origin=ReaxysOutput&amp;ln=</t>
  </si>
  <si>
    <t>[Rh(cod)((2S)-8-[(2R,5R)-2,5-dimethylphospholan-1-yl]-1-{(11bR)-dinaphtho[2,1-d:1’,2’-f][1,3,2]dioxaphosphepin-4-yl}-2-(naphthalen-1-yl)-1,2-dihydroquinoline)]BF4</t>
  </si>
  <si>
    <t>Hammerer, Tim; Leitner, Walter; Franciò, Giancarlo; ChemCatChem; vol. 7; 10; (2015); p. 1583 - 1592;</t>
  </si>
  <si>
    <t>https://www.reaxys.com/reaxys/secured/hopinto.do?context=C&amp;query=CNR.CNR%3D66238919&amp;database=RX&amp;origin=ReaxysOutput&amp;ln=</t>
  </si>
  <si>
    <t>Vidal-Ferran, Anton; Mon, Ignasi; Bauzá, Antonio; Frontera, Antonio; Rovira, Laura; Chemistry - A European Journal; vol. 21; 32; (2015); p. 11417 - 11426;</t>
  </si>
  <si>
    <t>https://www.reaxys.com/reaxys/secured/hopinto.do?context=C&amp;query=CNR.CNR%3D66691571&amp;database=RX&amp;origin=ReaxysOutput&amp;ln=</t>
  </si>
  <si>
    <t>K[BArF]</t>
  </si>
  <si>
    <t>Li, Xin;Brennan, Therese B.;Kingston, Cian;Ortin, Yannick;Guiry, Patrick J.; Molecules; vol. 27; 18; (2022);</t>
  </si>
  <si>
    <t>https://www.reaxys.com/reaxys/secured/hopinto.do?context=C&amp;query=CNR.CNR%3D120409572&amp;database=RX&amp;origin=ReaxysOutput&amp;ln=</t>
  </si>
  <si>
    <t>LANXESS AG; US2005/80047; (2005); A1;</t>
  </si>
  <si>
    <t>https://www.reaxys.com/reaxys/secured/hopinto.do?context=C&amp;query=CNR.CNR%3D8821007&amp;database=RX&amp;origin=ReaxysOutput&amp;ln=</t>
  </si>
  <si>
    <t>Acetone</t>
  </si>
  <si>
    <t xml:space="preserve"> Acetone</t>
  </si>
  <si>
    <t>EVONIK INDUSTRIES AG; WO2005/47299; (2005); A2;</t>
  </si>
  <si>
    <t>https://www.reaxys.com/reaxys/secured/hopinto.do?context=C&amp;query=CNR.CNR%3D370280&amp;database=RX&amp;origin=ReaxysOutput&amp;ln=</t>
  </si>
  <si>
    <t>LANXESS AG; EP1400527; (2004); A1;</t>
  </si>
  <si>
    <t>https://www.reaxys.com/reaxys/secured/hopinto.do?context=C&amp;query=CNR.CNR%3D8817508&amp;database=RX&amp;origin=ReaxysOutput&amp;ln=</t>
  </si>
  <si>
    <t>BF4(1-)*2C20H21PS2*Rh(1+)*C8H12</t>
  </si>
  <si>
    <t>Vaghi, Luca; Benincori, Tiziana; Cirilli, Roberto; Alberico, Elisabetta; Mussini, Patrizia Romana; Pierini, Marco; Pilati, Tullio; Rizzo, Simona; Sannicolo, Francesco; European Journal of Organic Chemistry; 36; (2013); p. 8174 - 8184;</t>
  </si>
  <si>
    <t>https://www.reaxys.com/reaxys/secured/hopinto.do?context=C&amp;query=CNR.CNR%3D62304389&amp;database=RX&amp;origin=ReaxysOutput&amp;ln=</t>
  </si>
  <si>
    <t>Pastor, Stephen D.; Rodebaugh; Odorisio, Paul A.; Pugin, Benoit; Rihs, Grety; Tognic, Antonio; Helvetica Chimica Acta; vol. 74; 6; (1991); p. 1175 - 1193;</t>
  </si>
  <si>
    <t>https://www.reaxys.com/reaxys/secured/hopinto.do?context=C&amp;query=CNR.CNR%3D64349097&amp;database=RX&amp;origin=ReaxysOutput&amp;ln=</t>
  </si>
  <si>
    <t>[Rh(C2H4)2Cl]2</t>
  </si>
  <si>
    <t>Brusentsev, Yury; Eklund, Patrik; Catalysis Today; vol. 241; PB; (2015); p. 260 - 263;</t>
  </si>
  <si>
    <t>https://www.reaxys.com/reaxys/secured/hopinto.do?context=C&amp;query=CNR.CNR%3D65542291&amp;database=RX&amp;origin=ReaxysOutput&amp;ln=</t>
  </si>
  <si>
    <t>Heutz, Frank J.L.; Samuels, Michiel C.; Kamer, Paul C.J.; Catalysis science and technology; vol. 5; 6; (2015); p. 3296 - 3301;</t>
  </si>
  <si>
    <t>https://www.reaxys.com/reaxys/secured/hopinto.do?context=C&amp;query=CNR.CNR%3D66328914&amp;database=RX&amp;origin=ReaxysOutput&amp;ln=</t>
  </si>
  <si>
    <t>BF4(1-)*C40H40O2P2Rh(1+)</t>
  </si>
  <si>
    <t>C36H40OP2Rh(1+)*BF4(1-)</t>
  </si>
  <si>
    <t>Sodium lauryl sulfate</t>
  </si>
  <si>
    <t>Wawrzyniak, Piotr; Kindermann, Markus K.; Thede, Gabriele; Thede, Richard; Jones, Peter G.; Enthaler, Stephan; Junge, Kathrin; Beller, Matthias; Heinicke, Joachim W.; European Journal of Inorganic Chemistry; vol. 2017; 20; (2017); p. 2762 - 2773;</t>
  </si>
  <si>
    <t>https://www.reaxys.com/reaxys/secured/hopinto.do?context=C&amp;query=CNR.CNR%3D71319921&amp;database=RX&amp;origin=ReaxysOutput&amp;ln=</t>
  </si>
  <si>
    <t>Sokolovskaya, Marina V.; Lyubimov, Sergey E.; Mikhel, Igor S.; Birin, Kirill P.; Davankov, Vadim A.; Journal of Organometallic Chemistry; vol. 861; (2018); p. 230 - 233;</t>
  </si>
  <si>
    <t>https://www.reaxys.com/reaxys/secured/hopinto.do?context=C&amp;query=CNR.CNR%3D73322687&amp;database=RX&amp;origin=ReaxysOutput&amp;ln=</t>
  </si>
  <si>
    <t>Scholtes, Jan Felix; Trapp, Oliver; Angewandte Chemie - International Edition; vol. 58; 19; (2019); p. 6306 - 6310; Angew. Chem.; vol. 131; 19; (2019); p. 6372 - 6376,5;</t>
  </si>
  <si>
    <t>https://www.reaxys.com/reaxys/secured/hopinto.do?context=C&amp;query=CNR.CNR%3D76297038&amp;database=RX&amp;origin=ReaxysOutput&amp;ln=</t>
  </si>
  <si>
    <t>C66H68N4O8P2*Rh(1+)*BF4(1-)*C8H12</t>
  </si>
  <si>
    <t>Scholtes, Jan Felix; Trapp, Oliver; Chemistry - A European Journal; vol. 25; 50; (2019); p. 11707 - 11714;</t>
  </si>
  <si>
    <t>https://www.reaxys.com/reaxys/secured/hopinto.do?context=C&amp;query=CNR.CNR%3D77479572&amp;database=RX&amp;origin=ReaxysOutput&amp;ln=</t>
  </si>
  <si>
    <t>2C38H58N5O8P*Rh(1+)*BF4(1-)*C8H12</t>
  </si>
  <si>
    <t>Xiao, Jun-Zhao; Yin, Liang; Yue, Wen-Jun; Zhang, Shuai; Angewandte Chemie - International Edition; vol. 59; 18; (2020); p. 7057 - 7062; Angew. Chem.; vol. 132; 18; (2020); p. 7123 - 7128,6;</t>
  </si>
  <si>
    <t>https://www.reaxys.com/reaxys/secured/hopinto.do?context=C&amp;query=CNR.CNR%3D79344917&amp;database=RX&amp;origin=ReaxysOutput&amp;ln=</t>
  </si>
  <si>
    <t>Bayardon, Jérôme; Rousselle, Benjamin; Rousselin, Yoann; Bonnin, Quentin; Malacea-Kabbara, Raluca; European Journal of Organic Chemistry; vol. 2020; 30; (2020); p. 4723 - 4729;</t>
  </si>
  <si>
    <t>https://www.reaxys.com/reaxys/secured/hopinto.do?context=C&amp;query=CNR.CNR%3D80324828&amp;database=RX&amp;origin=ReaxysOutput&amp;ln=</t>
  </si>
  <si>
    <t>1,4-Dioxane</t>
  </si>
  <si>
    <t>AgOTf, Zinc</t>
  </si>
  <si>
    <t>C12H12(2)HNO3</t>
  </si>
  <si>
    <t xml:space="preserve"> Cu(OTf)2, Zinc</t>
  </si>
  <si>
    <t>Frank, Dominik J.; Franzke, Axel; Pfaltz, Andreas; Chemistry - A European Journal; vol. 19; 7; (2013); p. 2405 - 2415;</t>
  </si>
  <si>
    <t>https://www.reaxys.com/reaxys/secured/hopinto.do?context=C&amp;query=CNR.CNR%3D35467376&amp;database=RX&amp;origin=ReaxysOutput&amp;ln=</t>
  </si>
  <si>
    <t>Methyl 2-acetylamino-2-propenoate</t>
  </si>
  <si>
    <t>[Rh(COD)BICP]+BF4- or [Rh(COD)BICP]+ClO4-</t>
  </si>
  <si>
    <t>BICP</t>
  </si>
  <si>
    <t>[Rh(COD)BPPM]+BF4- or [Rh(COD)BPPM]+ClO4-</t>
  </si>
  <si>
    <t>BPPM</t>
  </si>
  <si>
    <t>[Rh(COD)CHIRAPHOS]+BF4- or [Rh(COD)CHIRAPHOS]+ClO4-</t>
  </si>
  <si>
    <t>CHIRAPHOS</t>
  </si>
  <si>
    <t>[Rh(COD)DIPAMP]+BF4- or [Rh(COD)DIPAMP]+ClO4-</t>
  </si>
  <si>
    <t>DIPAMP</t>
  </si>
  <si>
    <t>Rh(NBD)2PF6</t>
  </si>
  <si>
    <t>COMMONWEALTH SYSTEM OF HIGHER EDUCATION; US6727377; (2004); B2;</t>
  </si>
  <si>
    <t>https://www.reaxys.com/reaxys/secured/hopinto.do?context=C&amp;query=CNR.CNR%3D8818231&amp;database=RX&amp;origin=ReaxysOutput&amp;ln=</t>
  </si>
  <si>
    <t>JOHNSON MATTHEY PLC; US6906213; (2005); B1;</t>
  </si>
  <si>
    <t>https://www.reaxys.com/reaxys/secured/hopinto.do?context=C&amp;query=CNR.CNR%3D8821450&amp;database=RX&amp;origin=ReaxysOutput&amp;ln=</t>
  </si>
  <si>
    <t>[((R)-trichickenfootphos)Rh(cod)]BF4</t>
  </si>
  <si>
    <t>(R)-TriChickenFootPhos</t>
  </si>
  <si>
    <t>705945-65-9</t>
  </si>
  <si>
    <t>PFIZER INC; US2005/228190; (2005); A1;</t>
  </si>
  <si>
    <t>https://www.reaxys.com/reaxys/secured/hopinto.do?context=C&amp;query=CNR.CNR%3D382500&amp;database=RX&amp;origin=ReaxysOutput&amp;ln=</t>
  </si>
  <si>
    <t>1,1'-bis[(2S,5S)-diphenylphospholano]ferrocene(1,5-cyclooctadiene)rhodium(I) tetrafluoroborate</t>
  </si>
  <si>
    <t>[Rh(COD)BINAP]+BF4- or [Rh(COD)BINAP]+ClO4-</t>
  </si>
  <si>
    <t>BINAP</t>
  </si>
  <si>
    <t>[Rh(COD)DIOP]+BF4- or [Rh(COD)DIOP]+ClO4-</t>
  </si>
  <si>
    <t>DIOP</t>
  </si>
  <si>
    <t>[(η2-1,2,5,6)-1,5-cyclooctadiene][(Sp,R)-trans-2-(2-diphenylphosphinoethyl-κP)-(1-phenylphospholane-κP)]rhodium(I)tetrafluoroborate</t>
  </si>
  <si>
    <t>Kokan, Zoran; Kirin, Srecko I.; European Journal of Organic Chemistry; 36; (2013); p. 8154 - 8161;</t>
  </si>
  <si>
    <t>https://www.reaxys.com/reaxys/secured/hopinto.do?context=C&amp;query=CNR.CNR%3D62304387&amp;database=RX&amp;origin=ReaxysOutput&amp;ln=</t>
  </si>
  <si>
    <t>Rh-complex of (R,R)-[-CH2P(Ph)(C6H4-o-OtBu)]2</t>
  </si>
  <si>
    <t>NAT INST OF CHEMISTRY; PHOSPHOENIX; US2010/99875; (2010); A1;</t>
  </si>
  <si>
    <t>https://www.reaxys.com/reaxys/secured/hopinto.do?context=C&amp;query=CNR.CNR%3D8881927&amp;database=RX&amp;origin=ReaxysOutput&amp;ln=</t>
  </si>
  <si>
    <t>2-Acetylamino-3-phenylpropenoic acid</t>
  </si>
  <si>
    <t>KIRIN HOLDINGS CO., LTD.; Kyowa Kirin (in: Kirin Holdings); US2008/242534; (2008); A1;</t>
  </si>
  <si>
    <t>https://www.reaxys.com/reaxys/secured/hopinto.do?context=C&amp;query=CNR.CNR%3D8644743&amp;database=RX&amp;origin=ReaxysOutput&amp;ln=</t>
  </si>
  <si>
    <t>DABCO</t>
  </si>
  <si>
    <t>Rh-complex of (R,R)-[-CH2P(Ph)(C6H4-o-OiPr)]2</t>
  </si>
  <si>
    <t>Zhao, Liwen; Liu, Ji; Feng, Yu; He, Yanmei; Fan, Qinghua; Chinese Journal of Chemistry; vol. 30; 9; (2012); p. 2009 - 2015,7;</t>
  </si>
  <si>
    <t>https://www.reaxys.com/reaxys/secured/hopinto.do?context=C&amp;query=CNR.CNR%3D80727863&amp;database=RX&amp;origin=ReaxysOutput&amp;ln=</t>
  </si>
  <si>
    <t>chiral diphylphosphine rhodium catalyst immobilized on silica</t>
  </si>
  <si>
    <t>NATIONAL INSTITUTE OF ADVANCED INDUSTRIAL SCIENCE AND TECHNOLOGY; EP2248819; (2010); A1;</t>
  </si>
  <si>
    <t>https://www.reaxys.com/reaxys/secured/hopinto.do?context=C&amp;query=CNR.CNR%3D8935826&amp;database=RX&amp;origin=ReaxysOutput&amp;ln=</t>
  </si>
  <si>
    <t>Chen, Weiping; Spindler, Felix; Pugin, Benoit; Nettekoven, Ulrike; Angewandte Chemie - International Edition; vol. 52; 33; (2013); p. 8652 - 8656; Angew. Chem.; vol. 125; 33; (2013); p. 8814 - 8818,5;</t>
  </si>
  <si>
    <t>https://www.reaxys.com/reaxys/secured/hopinto.do?context=C&amp;query=CNR.CNR%3D48729401&amp;database=RX&amp;origin=ReaxysOutput&amp;ln=</t>
  </si>
  <si>
    <t xml:space="preserve"> Ethanol</t>
  </si>
  <si>
    <t>Koshti, Vijay S.; Mote, Nilesh R.; Gonnade, Rajesh G.; Chikkali, Samir H.; Organometallics; vol. 34; 20; (2015); p. 4802 - 4805;</t>
  </si>
  <si>
    <t>https://www.reaxys.com/reaxys/secured/hopinto.do?context=C&amp;query=CNR.CNR%3D67434154&amp;database=RX&amp;origin=ReaxysOutput&amp;ln=</t>
  </si>
  <si>
    <t>C47H44P2Rh(1+)*ClO4(1-)</t>
  </si>
  <si>
    <t>Conference Paper; Demchuk, Oleg M.; Arlt, Dieter; Jasinski, Radomir; Pietrusiewicz, K. Michal; Journal of Physical Organic Chemistry; vol. 25; 11; (2012); p. 1006 - 1011;</t>
  </si>
  <si>
    <t>https://www.reaxys.com/reaxys/secured/hopinto.do?context=C&amp;query=CNR.CNR%3D62262429&amp;database=RX&amp;origin=ReaxysOutput&amp;ln=</t>
  </si>
  <si>
    <t>Alame, Mohamad; Pestre, Nathalie; De Bellefona, Claude; Advanced Synthesis and Catalysis; vol. 350; 6; (2008); p. 898 - 908;</t>
  </si>
  <si>
    <t>https://onlinelibrary.wiley.com/doi/epdf/10.1002/adsc.200700445</t>
  </si>
  <si>
    <t>(R)-5,5'-Br2-BINAP</t>
  </si>
  <si>
    <t>(R)-5,5'-(CN)2-BINAP</t>
  </si>
  <si>
    <t>(R)-5,5'-(CH2NH2)2-BINAP</t>
  </si>
  <si>
    <t>(R)-5,5'-(C8F12)2-BINAP</t>
  </si>
  <si>
    <t>(R)-5,5'-Me2-BINAP</t>
  </si>
  <si>
    <t>(R)-5,5'-Ph2-BINAP</t>
  </si>
  <si>
    <t>(R)-5,5'-(COOH)2-BINAP</t>
  </si>
  <si>
    <t>(R)-4,4'-Br2-BINAP</t>
  </si>
  <si>
    <t>(R)-4,4'-(CN)2-BINAP</t>
  </si>
  <si>
    <t>(R)-4,4'-(CH2NH2)2-BINAP</t>
  </si>
  <si>
    <t>(R)-4,4'-(C10F21)2-BINAP</t>
  </si>
  <si>
    <t>(R)-4,4'-Me2-BINAP</t>
  </si>
  <si>
    <t>(R)-4,4'-Ph2-BINAP</t>
  </si>
  <si>
    <t>(R)-p-OMe-BINAP</t>
  </si>
  <si>
    <t>(R)-p-OH-BINAP</t>
  </si>
  <si>
    <t>(R)-p-NMe2-BINAP</t>
  </si>
  <si>
    <t>(R)-p-(O-)-BINAP</t>
  </si>
  <si>
    <t>(R)-p-(NMe3+)-BINAP</t>
  </si>
  <si>
    <t>(R)-6,6'-(C12H25)2-p-OH-BINAP</t>
  </si>
  <si>
    <t>(R)-6,6'-(C12H25)2-p-(O-)-BINAP</t>
  </si>
  <si>
    <t>(R)-3,5-Xylyl-BINAP</t>
  </si>
  <si>
    <t>(R)-Cy-SoniPhos</t>
  </si>
  <si>
    <t>(R)-DiFluoroPhos</t>
  </si>
  <si>
    <t>(R)-Cl-OMe-BIPHEP</t>
  </si>
  <si>
    <t>(R,S)-Xylyl-Ph-JosiPhos</t>
  </si>
  <si>
    <t>(R)-(S)-tBu-Ph-JosiPhos</t>
  </si>
  <si>
    <t>(R)-(S)-JosiPhos</t>
  </si>
  <si>
    <t>(R)-(S)-Cy-p-OMe-Xylyl-JosiPhos</t>
  </si>
  <si>
    <t>(R)-(S)-Ph-Cy-JosiPhos</t>
  </si>
  <si>
    <t>(R)-(S)-Cy-Cy-JosiPhos</t>
  </si>
  <si>
    <t>(R)-(S)-tBu-Cy-JosiPhos</t>
  </si>
  <si>
    <t>(R)-Ph-CTH-P-Phos</t>
  </si>
  <si>
    <t>(R)-Xylyl-CTH-P-Phos</t>
  </si>
  <si>
    <t>(R)-PhanePhos</t>
  </si>
  <si>
    <t>L70 (Enant)</t>
  </si>
  <si>
    <t>CTH-(S)-3,5-Xylyl-PhanePhos</t>
  </si>
  <si>
    <t>L75 (Enant)</t>
  </si>
  <si>
    <t>(S,S)-BDPP</t>
  </si>
  <si>
    <t>L77 (Enant)</t>
  </si>
  <si>
    <t>(S,S)-BPPM</t>
  </si>
  <si>
    <t>L143 (Enant)</t>
  </si>
  <si>
    <t>CarboPhos</t>
  </si>
  <si>
    <t>(R)-BinaPhane</t>
  </si>
  <si>
    <t>(R)-Binapine</t>
  </si>
  <si>
    <t>L134 (Enant)</t>
  </si>
  <si>
    <t>(S,S)-Et-Ferrotane</t>
  </si>
  <si>
    <t>(R,S)-3,5-trifluoro-o-PPh2-Ph-L</t>
  </si>
  <si>
    <t>2-Methyl-3-phenylacrylic acid</t>
  </si>
  <si>
    <t>C43H36O6P2Rh</t>
  </si>
  <si>
    <t xml:space="preserve"> KAITE LISI SHENZHEN TECH; CN110128471; (2019); A;</t>
  </si>
  <si>
    <t>https://www.reaxys.com/reaxys/secured/hopinto.do?context=C&amp;query=CNR.CNR%3D77794933&amp;database=RX&amp;origin=ReaxysOutput&amp;ln=</t>
  </si>
  <si>
    <t>Dimethyl sulfoxide</t>
  </si>
  <si>
    <t>Ammonium formate</t>
  </si>
  <si>
    <t>Rh(PPh3)3Cl</t>
  </si>
  <si>
    <t xml:space="preserve"> Al-Qahtani, Mohammed H.; Cleator, Nicola; Danks, Timothy N.; Garman, Russell N.; Jones, John R.; Stefaniak, Stefan; Morgan, Alan D.; Simmonds, Alan J.; Journal of Chemical Research - Part S; 7; (1998); p. 400 - 401;</t>
  </si>
  <si>
    <t>https://www.reaxys.com/reaxys/secured/hopinto.do?context=C&amp;query=CNR.CNR%3D6128315&amp;database=RX&amp;origin=ReaxysOutput&amp;ln=</t>
  </si>
  <si>
    <t>&lt;RhCl(nbd)&gt;2-(S,S)-isopropylbis&lt;2-(1-N,N-dimethylaminoethyl)phenyl&gt;phosphine</t>
  </si>
  <si>
    <t xml:space="preserve"> Yamada, Issaku; Yamaguchi, Motowo; Yamagishi, Takamichi; Tetrahedron Asymmetry; vol. 7; 12; (1996); p. 3339 - 3342;</t>
  </si>
  <si>
    <t>https://www.reaxys.com/reaxys/secured/hopinto.do?context=C&amp;query=CNR.CNR%3D6042853&amp;database=RX&amp;origin=ReaxysOutput&amp;ln=</t>
  </si>
  <si>
    <t xml:space="preserve"> (R)-1-{(RFc)-2-[2-(diphenylphosphino)phenyl]ferrocenyl}ethylbis[3,5-bis-(trifluoromethyl)phenyl]phosphine</t>
  </si>
  <si>
    <t>Sl-W001-2</t>
  </si>
  <si>
    <t xml:space="preserve"> Zirakzadeh, Afrooz; Gross, Manuela A.; Wang, Yaping; Mereiter, Kurt; Spindler, Felix; Weissensteiner, Walter; Organometallics; vol. 32; 4; (2013); p. 1075 - 1084;</t>
  </si>
  <si>
    <t xml:space="preserve"> (SFc)-2-((R)-1-diphenylphosphinoethyl)-(RFc)-2′′-diphenylphosphino-1,1′′-biferrocene</t>
  </si>
  <si>
    <t>diphenyl{1-[(S)-2,6-bis-trimethylsilyl-3,5-dioxa-4-phospha-cyclohepta(2,1-a-3,4-a')dinaphthalen-4-yl]-3-methyl-2-indolyl}phosphine</t>
  </si>
  <si>
    <t xml:space="preserve"> Wassenaar, Jeroen; Kuil, Mark; Reek, Joost N. H.; Advanced Synthesis and Catalysis; vol. 350; 10; (2008); p. 1610 - 1614;</t>
  </si>
  <si>
    <t>https://www.reaxys.com/reaxys/secured/hopinto.do?context=C&amp;query=CNR.CNR%3D8751079&amp;database=RX&amp;origin=ReaxysOutput&amp;ln=</t>
  </si>
  <si>
    <t xml:space="preserve"> (S(p),S(p))-2,2''-bis(diphenylphosphino)-1,1''-biferrocene</t>
  </si>
  <si>
    <t xml:space="preserve"> Espino, Gustavo; Xiao, Li; Puchberger, Michael; Mereiter, Kurt; Spindler, Felix; Manzano, Blanca R.; Jalon, Felix A.; Weissensteiner, Walter; Dalton Transactions; 15; (2009); p. 2751 - 2763;</t>
  </si>
  <si>
    <t>https://www.reaxys.com/reaxys/secured/hopinto.do?context=C&amp;query=CNR.CNR%3D8743628&amp;database=RX&amp;origin=ReaxysOutput&amp;ln=</t>
  </si>
  <si>
    <t>diisopropyl{1-[(S)-2,6-dimethyl-3,5-dioxa-4-phospha-cyclohepta(2,1-a-3,4-a')dinaphthalen-4-yl]-3-methyl-2-indolyl}phosphine</t>
  </si>
  <si>
    <t xml:space="preserve"> Wassenaar, Jeroen; Kuil, Mark; Lutz, Martin; Spek, Anthony L.; Reek, Joost N. H.; Chemistry - A European Journal; vol. 16; 22; (2010); p. 6509 - 6517;</t>
  </si>
  <si>
    <t>https://www.reaxys.com/reaxys/secured/hopinto.do?context=C&amp;query=CNR.CNR%3D8911412&amp;database=RX&amp;origin=ReaxysOutput&amp;ln=</t>
  </si>
  <si>
    <t xml:space="preserve"> C53H50O5P2</t>
  </si>
  <si>
    <t xml:space="preserve"> Robert, Tobias; Abiri, Zohar; Sandee, Albertus J.; Schmalz, Hans-Guenther; Reek, Joost N.H.; Tetrahedron Asymmetry; vol. 21; 21-22; (2010); p. 2671 - 2674;</t>
  </si>
  <si>
    <t>https://www.reaxys.com/reaxys/secured/hopinto.do?context=C&amp;query=CNR.CNR%3D8982509&amp;database=RX&amp;origin=ReaxysOutput&amp;ln=</t>
  </si>
  <si>
    <t xml:space="preserve"> (3aR,8aR)-6-((3-(diphenylphosphanyl)[1,1'-biphenyl]-2-yl)oxy)-2,2-dimethyl-4,4,8,8-tetraphenyltetrahydro[1,3]dioxolo[4,5-e][1,3,2]dioxaphosphepine</t>
  </si>
  <si>
    <t xml:space="preserve"> (Sp)-2-{(R)-1-bis[3,5-bis(trifluoromethyl)phenyl]phosphinoethyl}-(Sp)-2″-diphenylphosphino-1,1″-biferrocene</t>
  </si>
  <si>
    <t xml:space="preserve"> Zirakzadeh, Afrooz; Gross, Manuela A.; Wang, Yaping; Mereiter, Kurt; Weissensteiner, Walter; Organometallics; vol. 33; 8; (2014); p. 1945 - 1952;</t>
  </si>
  <si>
    <t xml:space="preserve"> (R)-1-[2-(2'-diphenylphosphinophenyl)-ferrocenyl]ethyldi[bis-(3,5-trifluoromethyl)phenyl]phosphine</t>
  </si>
  <si>
    <t xml:space="preserve"> Lee, Jong-Dae; Thanh, Thien Co; Kim, Tae-Jeong; Sang, Ook Kang; Synlett; 5; (2009); p. 771 - 774;</t>
  </si>
  <si>
    <t>https://www.reaxys.com/reaxys/secured/hopinto.do?context=C&amp;query=CNR.CNR%3D8771224&amp;database=RX&amp;origin=ReaxysOutput&amp;ln=</t>
  </si>
  <si>
    <t xml:space="preserve"> (Sp)-2-[(R)-1-diphenylphosphinoethyl]-(Sp)-2″-diphenylphosphino-1,1″-biferrocene</t>
  </si>
  <si>
    <t xml:space="preserve"> (S(p),S(p))-2,2''-bis[bis(3,5-dimethylphenyl)phosphino]-1,1''-biferrocene</t>
  </si>
  <si>
    <t>2-Phenylacrylic acid</t>
  </si>
  <si>
    <t>Acetic acid</t>
  </si>
  <si>
    <t xml:space="preserve"> C42H50Fe2N2P2</t>
  </si>
  <si>
    <t xml:space="preserve"> Chen, Gen-Qiang; Yu, Jianfei; Zhang, Xumu; Zhu, Haowei; Organic Letters; vol. 24; 14; (2022); p. 2744 - 2749;</t>
  </si>
  <si>
    <t>https://www.reaxys.com/reaxys/secured/hopinto.do?context=C&amp;query=CNR.CNR%3D116922542&amp;database=RX&amp;origin=ReaxysOutput&amp;ln=</t>
  </si>
  <si>
    <t>BF4(1-)*C36H46O4P2Rh(1+)</t>
  </si>
  <si>
    <t xml:space="preserve"> Zupancic, Borut; Mohar, Barbara; Stephan, Michel; Organic Letters; vol. 12; 6; (2010); p. 1296 - 1299;</t>
  </si>
  <si>
    <t>https://www.reaxys.com/reaxys/secured/hopinto.do?context=C&amp;query=CNR.CNR%3D8871240&amp;database=RX&amp;origin=ReaxysOutput&amp;ln=</t>
  </si>
  <si>
    <t>Triethylamine</t>
  </si>
  <si>
    <t>[Rh((R,R)-Cy-SMS-Phos)(MeOH)2]BF4</t>
  </si>
  <si>
    <t>(R,R)-Cy-SMS-Phos</t>
  </si>
  <si>
    <t xml:space="preserve"> Zupancic, Borut; Mohar, Barbara; Stephan, Michel; Organic Letters; vol. 12; 13; (2010); p. 3022 - 3025;</t>
  </si>
  <si>
    <t>https://www.reaxys.com/reaxys/secured/hopinto.do?context=C&amp;query=CNR.CNR%3D8898625&amp;database=RX&amp;origin=ReaxysOutput&amp;ln=</t>
  </si>
  <si>
    <t>[Rh((RP,RP)-Cy-SMS-Phos)(MeOH)2]BF4</t>
  </si>
  <si>
    <t xml:space="preserve"> Stephan, Michel; Šterk, Damjan; Zupančič, Borut; Mohar, Barbara; Organic and Biomolecular Chemistry; vol. 9; 14; (2011); p. 5266 - 5271;</t>
  </si>
  <si>
    <t>https://www.reaxys.com/reaxys/secured/hopinto.do?context=C&amp;query=CNR.CNR%3D9077428&amp;database=RX&amp;origin=ReaxysOutput&amp;ln=</t>
  </si>
  <si>
    <t xml:space="preserve"> C33H48FeNP2</t>
  </si>
  <si>
    <t xml:space="preserve"> WUHAN KAITELISI TECH; (17 pag.)CN105481909; (2016); A;</t>
  </si>
  <si>
    <t>https://www.reaxys.com/reaxys/secured/hopinto.do?context=C&amp;query=CNR.CNR%3D69688388&amp;database=RX&amp;origin=ReaxysOutput&amp;ln=</t>
  </si>
  <si>
    <t xml:space="preserve"> C33H47FeNP2</t>
  </si>
  <si>
    <t xml:space="preserve"> Chen, Caiyou; Wang, Heng; Zhang, Zhefan; Jin, Shicheng; Wen, Songwei; Ji, Jianjian; Chung, Lung Wa; Dong, Xiu-Qin; Zhang, Xumu; Chemical Science; vol. 7; 11; (2016); p. 6669 - 6673;</t>
  </si>
  <si>
    <t>https://www.reaxys.com/reaxys/secured/hopinto.do?context=C&amp;query=CNR.CNR%3D69865095&amp;database=RX&amp;origin=ReaxysOutput&amp;ln=</t>
  </si>
  <si>
    <t/>
  </si>
  <si>
    <t>(bicyclo&lt;2.2.1&gt;heptadiene) &lt;(R)-trans-4,5-bis&lt;(diphenylphosphino)methyl&gt;-2,2-dimethyldioxolan&gt;rhodium(I) tetrafluoroborate</t>
  </si>
  <si>
    <t xml:space="preserve"> Brown, John M.; Parker, David; Journal of Organic Chemistry; vol. 47; 14; (1982); p. 2722 - 2730;</t>
  </si>
  <si>
    <t>https://www.reaxys.com/reaxys/secured/hopinto.do?context=C&amp;query=CNR.CNR%3D5636741&amp;database=RX&amp;origin=ReaxysOutput&amp;ln=</t>
  </si>
  <si>
    <t>BF4(1-)*C36H48O10P2Rh(1+)</t>
  </si>
  <si>
    <t xml:space="preserve"> Zupancic, Borut; Mohar, Barbara; Stephan, Michel; Advanced Synthesis and Catalysis; vol. 350; 13; (2008); p. 2024 - 2032;</t>
  </si>
  <si>
    <t>https://www.reaxys.com/reaxys/secured/hopinto.do?context=C&amp;query=CNR.CNR%3D8764214&amp;database=RX&amp;origin=ReaxysOutput&amp;ln=</t>
  </si>
  <si>
    <t>N-Cyclohexyl-cyclohexanamine</t>
  </si>
  <si>
    <t xml:space="preserve"> (Rp,Rp)-1,2-bis[(2-isopropoxyphenyl)(phenyl)phosphino]ethane</t>
  </si>
  <si>
    <t>(R,R)-iPr-DIPAMP</t>
  </si>
  <si>
    <t xml:space="preserve"> Stephan, Michel; Sterk, Damjan; Mohar, Barbara; Advanced Synthesis and Catalysis; vol. 351; 17; (2009); p. 2779 - 2786;</t>
  </si>
  <si>
    <t>https://www.reaxys.com/reaxys/secured/hopinto.do?context=C&amp;query=CNR.CNR%3D8836747&amp;database=RX&amp;origin=ReaxysOutput&amp;ln=</t>
  </si>
  <si>
    <t>[Rh((RP,RP)-t-BuNHC(O)CH2-SMS-Phos)(MeOH)2]BF4</t>
  </si>
  <si>
    <t xml:space="preserve"> Rast, Slavko; Stephan, Michel; Mohar, Barbara; European Journal of Organic Chemistry; vol. 2015; 10; (2015); p. 2214 - 2225;</t>
  </si>
  <si>
    <t>C36H40O3P2Rh(1+)*BF4(1-)</t>
  </si>
  <si>
    <t xml:space="preserve"> C33H35FeNP2</t>
  </si>
  <si>
    <t>Sodium 2-phenylacrylate</t>
  </si>
  <si>
    <t>Tetramethylammonium 2-phenylacrylate</t>
  </si>
  <si>
    <t>[Rh(2,3-O-ispropylidene-2,3-dihydroxy-1,4-bis(diphenylphosphanyl)butane)(methanol)2]BF4</t>
  </si>
  <si>
    <t xml:space="preserve"> Brown, John M.; Parker, David; Journal of the Chemical Society. Chemical communications; 8; (1980); p. 342 - 344;</t>
  </si>
  <si>
    <t>https://www.reaxys.com/reaxys/secured/hopinto.do?context=C&amp;query=CNR.CNR%3D5886769&amp;database=RX&amp;origin=ReaxysOutput&amp;ln=</t>
  </si>
  <si>
    <t>N-acetyl-1-phenylethenamine</t>
  </si>
  <si>
    <t xml:space="preserve"> C48H42F12N2P2</t>
  </si>
  <si>
    <t xml:space="preserve"> Wang, Chun-Jiang; Gao, Feng; Liang, Gang; Organic Letters; vol. 10; 21; (2008); p. 4711 - 4714;</t>
  </si>
  <si>
    <t>https://www.reaxys.com/reaxys/secured/hopinto.do?context=C&amp;query=CNR.CNR%3D8736155&amp;database=RX&amp;origin=ReaxysOutput&amp;ln=</t>
  </si>
  <si>
    <t>{Rh[ZhangPhos](nbd)}BF4</t>
  </si>
  <si>
    <t xml:space="preserve"> Zhang, Xiaowei; Huang, Kexuan; Hou, Guohua; Cao, Bonan; Zhang, Xumu; Angewandte Chemie - International Edition; vol. 49; 36; (2010); p. 6421 - 6424;</t>
  </si>
  <si>
    <t>https://www.reaxys.com/reaxys/secured/hopinto.do?context=C&amp;query=CNR.CNR%3D8942925&amp;database=RX&amp;origin=ReaxysOutput&amp;ln=</t>
  </si>
  <si>
    <t>Carbon dioxide</t>
  </si>
  <si>
    <t xml:space="preserve"> [Rh(cod){(Sa,Rc)-1-Naph-Quinaphos}][NTf2]</t>
  </si>
  <si>
    <t xml:space="preserve"> Geier, Daniel; Schmitz, Pascal; Walkowiak, Jȩdrzej; Leitner, Walter; Franciò, Giancarlo; ACS Catalysis; vol. 8; 4; (2018); p. 3297 - 3303;</t>
  </si>
  <si>
    <t>https://www.reaxys.com/reaxys/secured/hopinto.do?context=C&amp;query=CNR.CNR%3D73569789&amp;database=RX&amp;origin=ReaxysOutput&amp;ln=</t>
  </si>
  <si>
    <t xml:space="preserve"> N-ethyl-N,N-diisopropylamine, N-formyl-L-valine</t>
  </si>
  <si>
    <t xml:space="preserve"> C61H52N2O2P2</t>
  </si>
  <si>
    <t xml:space="preserve"> Dydio, Pawel; Rubay, Christophe; Gadzikwa, Tendai; Lutz, Martin; Reek, Joost N. H.; Journal of the American Chemical Society; vol. 133; 43; (2011); p. 17176 - 17179;</t>
  </si>
  <si>
    <t>https://www.reaxys.com/reaxys/secured/hopinto.do?context=C&amp;query=CNR.CNR%3D20044037&amp;database=RX&amp;origin=ReaxysOutput&amp;ln=</t>
  </si>
  <si>
    <t>BF4(1-)*C36H34O2P2Rh(1+)</t>
  </si>
  <si>
    <t xml:space="preserve"> Zupančič, Borut; Mohar, Barbara; Stephan, Michel; Tetrahedron Letters; vol. 50; 52; (2009); p. 7382 - 7384;</t>
  </si>
  <si>
    <t>https://www.reaxys.com/reaxys/secured/hopinto.do?context=C&amp;query=CNR.CNR%3D8812167&amp;database=RX&amp;origin=ReaxysOutput&amp;ln=</t>
  </si>
  <si>
    <t>Rh(1+)*2CH4O*C4H12B(1-)*C34H40O2P2</t>
  </si>
  <si>
    <t xml:space="preserve"> Mohar, Barbara; Stephan, Michel; Advanced Synthesis and Catalysis; vol. 355; 2-3; (2013); p. 594 - 600;</t>
  </si>
  <si>
    <t>https://www.reaxys.com/reaxys/secured/hopinto.do?context=C&amp;query=CNR.CNR%3D35479891&amp;database=RX&amp;origin=ReaxysOutput&amp;ln=</t>
  </si>
  <si>
    <t xml:space="preserve"> C47H43FeNOP2</t>
  </si>
  <si>
    <t xml:space="preserve"> Dalian Institute of Chemical Physics (in: CAS); CHINESE ACADEMY OF SCIENCES; CN112824422; (2021); A;</t>
  </si>
  <si>
    <t xml:space="preserve"> C44H37FeNP2</t>
  </si>
  <si>
    <t xml:space="preserve"> CHINESE ACADEMY OF SCIENCES; Dalian Institute of Chemical Physics (in: CAS); CN112824423; (2021); A;</t>
  </si>
  <si>
    <t xml:space="preserve"> CHINESE ACADEMY OF SCIENCES; CN111018918; (2020); A;</t>
  </si>
  <si>
    <t xml:space="preserve"> (3S,3'S)-3,3'-di-tert-butyl-2,2',3,3'-tetrahydro-4,4'-bibenzo[d][1,3]oxaphosphole</t>
  </si>
  <si>
    <t xml:space="preserve"> Li, Guisheng; Zatolochnaya, Olga V.; Wang, Xiao-Jun; Rodríguez, Sonia; Qu, Bo; Desrosiers, Jean-Nicolas; Mangunuru, Hari P. R.; Biswas, Soumik; Rivalti, Daniel; Karyakarte, Shuklendu D.; Sieber, Joshua D.; Grinberg, Nelu; Wu, Ling; Lee, Heewon; Haddad, Nizar; Fandrick, Daniel R.; Yee, Nathan K.; Song, Jinhua J.; Senanayake, Chris H.; Organic Letters; vol. 20; 7; (2018); p. 1725 - 1729;</t>
  </si>
  <si>
    <t xml:space="preserve"> (Rc,Rp)-IndoFerroPhos</t>
  </si>
  <si>
    <t xml:space="preserve"> Abbas, Zaheer; Ali, Aijaz; Hu, Xiang-Ping; Hu, Xin-Hu; Xu, You-Wei; Tetrahedron Letters; (2020);</t>
  </si>
  <si>
    <t>https://www.reaxys.com/reaxys/secured/hopinto.do?context=C&amp;query=CNR.CNR%3D79429255&amp;database=RX&amp;origin=ReaxysOutput&amp;ln=</t>
  </si>
  <si>
    <t xml:space="preserve"> chiral ferrocene-based phosphine-phosphoramidite</t>
  </si>
  <si>
    <t xml:space="preserve"> Hu, Xiang-Ping; Zheng, Zhuo; Organic Letters; vol. 6; 20; (2004); p. 3585 - 3588;</t>
  </si>
  <si>
    <t>https://www.reaxys.com/reaxys/secured/hopinto.do?context=C&amp;query=CNR.CNR%3D6458611&amp;database=RX&amp;origin=ReaxysOutput&amp;ln=</t>
  </si>
  <si>
    <t xml:space="preserve"> Zeng, Qing-Heng; Hu, Xiang-Ping; Duan, Zheng-Chao; Liang, Xin-Miao; Zheng, Zhuo; Tetrahedron Asymmetry; vol. 16; 6; (2005); p. 1233 - 1238;</t>
  </si>
  <si>
    <t>https://www.reaxys.com/reaxys/secured/hopinto.do?context=C&amp;query=CNR.CNR%3D6496970&amp;database=RX&amp;origin=ReaxysOutput&amp;ln=</t>
  </si>
  <si>
    <t xml:space="preserve"> (R,R)-N,N'-bis(3,5-tBu2Bn)-N'',N''-dimethyl-DpenPhos</t>
  </si>
  <si>
    <t xml:space="preserve"> Liu, Yan; Ding, Kuiling; Journal of the American Chemical Society; vol. 127; 30; (2005); p. 10488 - 10489;</t>
  </si>
  <si>
    <t>https://www.reaxys.com/reaxys/secured/hopinto.do?context=C&amp;query=CNR.CNR%3D6528407&amp;database=RX&amp;origin=ReaxysOutput&amp;ln=</t>
  </si>
  <si>
    <t xml:space="preserve"> (Rc,Ra)-THNAPhos</t>
  </si>
  <si>
    <t xml:space="preserve"> Qiu, Min; Hu, Xiang-Ping; Wang, Dao-Yong; Deng, Jun; Huang, Jia-Di; Yu, Sai-Bo; Duan, Zheng-Chao; Zheng, Zhuo; Advanced Synthesis and Catalysis; vol. 350; 9; (2008); p. 1413 - 1418;</t>
  </si>
  <si>
    <t>https://www.reaxys.com/reaxys/secured/hopinto.do?context=C&amp;query=CNR.CNR%3D8739249&amp;database=RX&amp;origin=ReaxysOutput&amp;ln=</t>
  </si>
  <si>
    <t>C53H46N2O5P2Rh(1+)*F6P(1-)</t>
  </si>
  <si>
    <t xml:space="preserve"> Kurihara, Kazunori; Yamamoto, Yasunori; Miyaura, Norio; Tetrahedron Letters; vol. 50; 26; (2009); p. 3158 - 3160;</t>
  </si>
  <si>
    <t>https://www.reaxys.com/reaxys/secured/hopinto.do?context=C&amp;query=CNR.CNR%3D8756290&amp;database=RX&amp;origin=ReaxysOutput&amp;ln=</t>
  </si>
  <si>
    <t>diisopropyl{1-[(S)-3,5-dioxa-4-phospha-cyclohepta(2,1-a-3,4-a')dinaphthalen-4-yl]-3-methyl-2-indolyl}phosphine</t>
  </si>
  <si>
    <t xml:space="preserve"> Wassenaar, Jeroen; Reek, Joost N. H.; Journal of Organic Chemistry; vol. 74; 21; (2009); p. 8403 - 8406;</t>
  </si>
  <si>
    <t>https://www.reaxys.com/reaxys/secured/hopinto.do?context=C&amp;query=CNR.CNR%3D8811375&amp;database=RX&amp;origin=ReaxysOutput&amp;ln=</t>
  </si>
  <si>
    <t>((R)-1,1'-binaphthyl-2,2'diyl)-iso-propyl-phosphite</t>
  </si>
  <si>
    <t xml:space="preserve"> Pignataro, Luca; Lynikaite, Benita; Colombo, Raffaele; Carboni, Stefano; Krupika, Martin; Piarulli, Umberto; Gennari, Cesare; Chemical Communications; 24; (2009); p. 3539 - 3541;</t>
  </si>
  <si>
    <t>https://www.reaxys.com/reaxys/secured/hopinto.do?context=C&amp;query=CNR.CNR%3D8788675&amp;database=RX&amp;origin=ReaxysOutput&amp;ln=</t>
  </si>
  <si>
    <t>[Rh((R,R)-cPen-SMS-Phos)(MeOH)2]BF4</t>
  </si>
  <si>
    <t>BF4(1-)*C60H53NO2P2Rh(1+)</t>
  </si>
  <si>
    <t xml:space="preserve"> Pullmann, Thomas; Engendahl, Barthel; Zhang, Ziyun; Hoelscher, Markus; Zanotti-Gerosa, Antonio; Dyke, Alan; Francio, Giancarlo; Leitner, Walter; Chemistry - A European Journal; vol. 16; 25; (2010); p. 7517 - 7526;</t>
  </si>
  <si>
    <t>https://www.reaxys.com/reaxys/secured/hopinto.do?context=C&amp;query=CNR.CNR%3D8920798&amp;database=RX&amp;origin=ReaxysOutput&amp;ln=</t>
  </si>
  <si>
    <t>3BF4(1-)*C104H104N4O16P2Rh(3+)</t>
  </si>
  <si>
    <t xml:space="preserve"> Zhao, Yingwei; Huang, Hanmin; Shao, Jianping; Xia, Chungu; Tetrahedron Asymmetry; vol. 22; 7; (2011); p. 769 - 774;</t>
  </si>
  <si>
    <t>https://www.reaxys.com/reaxys/secured/hopinto.do?context=C&amp;query=CNR.CNR%3D9063066&amp;database=RX&amp;origin=ReaxysOutput&amp;ln=</t>
  </si>
  <si>
    <t>[Rh((RP,RP)-cPen-SMS-Phos)(MeOH)2]BF4</t>
  </si>
  <si>
    <t xml:space="preserve"> Cristobal-Lecina, Edgar; Etayo, Pablo; Doran, Sean; Reves, Marc; Martin-Gago, Pablo; Grabulosa, Arnald; Costantino, Andrea R.; Vidal-Ferran, Anton; Riera, Antoni; Verdaguer, Xavier; Advanced Synthesis and Catalysis; vol. 356; 4; (2014); p. 795 - 804;</t>
  </si>
  <si>
    <t>https://www.reaxys.com/reaxys/secured/hopinto.do?context=C&amp;query=CNR.CNR%3D63098322&amp;database=RX&amp;origin=ReaxysOutput&amp;ln=</t>
  </si>
  <si>
    <t xml:space="preserve"> Hammerer, Tim; Leitner, Walter; Franciò, Giancarlo; ChemCatChem; vol. 7; 10; (2015); p. 1583 - 1592;</t>
  </si>
  <si>
    <t>Hexafluorobenzene</t>
  </si>
  <si>
    <t>1,4-Diaza-bicyclo[2.2.2]octane, N,N,N-Tributylbutan-1-aminium fluoride</t>
  </si>
  <si>
    <t>dicyclohexyl({2’,6’-dimethoxy-[1,1‘-biphenyl]-2-yl})phosphane</t>
  </si>
  <si>
    <t xml:space="preserve"> Hu, Naifu; Zhao, Guoqing; Zhang, Yuanyuan; Liu, Xiangqian; Li, Guangyu; Tang, Wenjun; Journal of the American Chemical Society; vol. 137; 21; (2015); p. 6746 - 6749;</t>
  </si>
  <si>
    <t>https://www.reaxys.com/reaxys/secured/hopinto.do?context=C&amp;query=CNR.CNR%3D66374191&amp;database=RX&amp;origin=ReaxysOutput&amp;ln=</t>
  </si>
  <si>
    <t xml:space="preserve"> (R)-BIDIME</t>
  </si>
  <si>
    <t>N,N,N-Tributylbutan-1-aminium fluoride</t>
  </si>
  <si>
    <t>Cesium tetrakis[3,5-bis(trifluoromethyl)phenyl]borate</t>
  </si>
  <si>
    <t xml:space="preserve"> C64H56O12P2</t>
  </si>
  <si>
    <t xml:space="preserve"> Vidal-Ferran, Anton; Mon, Ignasi; Bauzá, Antonio; Frontera, Antonio; Rovira, Laura; Chemistry - A European Journal; vol. 21; 32; (2015); p. 11417 - 11426;</t>
  </si>
  <si>
    <t>C60H66KO10P2Rh(2+)*BF4(1-)*C32H12BF24(1-)</t>
  </si>
  <si>
    <t xml:space="preserve"> Song, Feng-Tao; Ouyang, Guang-Hui; Li, Yong; He, Yan-Mei; Fan, Qing-Hua; European Journal of Organic Chemistry; vol. 2014; 30; (2014); p. 6713 - 6719;</t>
  </si>
  <si>
    <t>https://www.reaxys.com/reaxys/secured/hopinto.do?context=C&amp;query=CNR.CNR%3D68212024&amp;database=RX&amp;origin=ReaxysOutput&amp;ln=</t>
  </si>
  <si>
    <t xml:space="preserve"> C37H32O3P2</t>
  </si>
  <si>
    <t xml:space="preserve"> Fernández-Pérez, Héctor; Benet-Buchholz, Jordi; Vidal-Ferran, Anton; Chemistry - A European Journal; vol. 20; 47; (2014); p. 15375 - 15384;</t>
  </si>
  <si>
    <t xml:space="preserve"> C46H34O6P2</t>
  </si>
  <si>
    <t xml:space="preserve"> Pang, Zengbo; Tian, Mi; Li, Haifeng; Wang, Lailai; Catalysis Letters; vol. 147; 4; (2017); p. 893 - 899;</t>
  </si>
  <si>
    <t>https://www.reaxys.com/reaxys/secured/hopinto.do?context=C&amp;query=CNR.CNR%3D70867312&amp;database=RX&amp;origin=ReaxysOutput&amp;ln=</t>
  </si>
  <si>
    <t xml:space="preserve"> CHINESE ACADEMY OF SCIENCES; CN106146543; (2016); A;</t>
  </si>
  <si>
    <t>https://www.reaxys.com/reaxys/secured/hopinto.do?context=C&amp;query=CNR.CNR%3D71623842&amp;database=RX&amp;origin=ReaxysOutput&amp;ln=</t>
  </si>
  <si>
    <t>N,N,N-Tributylbutan-1-aminium fluoride, Sodium tertiary butoxide</t>
  </si>
  <si>
    <t xml:space="preserve"> Fernández-Pérez, Héctor; Balakrishna, Bugga; Vidal-Ferran, Anton; European Journal of Organic Chemistry; vol. 2018; 13; (2018); p. 1525 - 1532;</t>
  </si>
  <si>
    <t xml:space="preserve"> Poklukar, Gašper; Stephan, Michel; Mohar, Barbara; Advanced Synthesis and Catalysis; vol. 360; 13; (2018); p. 2566 - 2570;</t>
  </si>
  <si>
    <t xml:space="preserve"> C60H67O6PSSi3</t>
  </si>
  <si>
    <t xml:space="preserve"> Margalef, Jèssica; Borràs, Carlota; Alegre, Sabina; Alberico, Elisabetta; Pàmies, Oscar; Diéguez, Montserrat; ChemCatChem; vol. 11; 8; (2019); p. 2142 - 2168;</t>
  </si>
  <si>
    <t>Hexane; Dichloromethane</t>
  </si>
  <si>
    <t>Potassium tetrakis[3,5-bis(trifluoromethyl)phenyl]borate</t>
  </si>
  <si>
    <t xml:space="preserve"> C52H48N2O8P2</t>
  </si>
  <si>
    <t xml:space="preserve"> Luo, Yier; Ouyang, Guanghui; Tang, Yuping; He, Yan-Mei; Fan, Qing-Hua; Journal of Organic Chemistry; vol. 85; 12; (2020); p. 8176 - 8184;</t>
  </si>
  <si>
    <t xml:space="preserve"> C34H56P2Rh(1+)*F6Sb(1-)</t>
  </si>
  <si>
    <t xml:space="preserve"> NIPPON CHEMICAL INDUSTRIAL CO LTD; JP2021/1149; (2021); A;</t>
  </si>
  <si>
    <t xml:space="preserve"> 2,2'-bis-(diphenylphosphino)-1,1'-binaphthyl</t>
  </si>
  <si>
    <t xml:space="preserve"> Li, Xin;Brennan, Therese B.;Kingston, Cian;Ortin, Yannick;Guiry, Patrick J.; Molecules; vol. 27; 18; (2022);</t>
  </si>
  <si>
    <t>chiral [2,2']-diphospholanyl-based Rh(I)</t>
  </si>
  <si>
    <t xml:space="preserve"> Tang, Wenjun; Zhang, Xumu; Angewandte Chemie - International Edition; vol. 41; 9; (2002); p. 1612 - 1614;</t>
  </si>
  <si>
    <t>https://www.reaxys.com/reaxys/secured/hopinto.do?context=C&amp;query=CNR.CNR%3D6358694&amp;database=RX&amp;origin=ReaxysOutput&amp;ln=</t>
  </si>
  <si>
    <t xml:space="preserve"> C14H28O2P2</t>
  </si>
  <si>
    <t xml:space="preserve"> C54H48FeNO2P2</t>
  </si>
  <si>
    <t xml:space="preserve"> ZHEJIANG INDUSTRIAL UNIV; CN114524745; (2022); A;</t>
  </si>
  <si>
    <t>https://www.reaxys.com/reaxys/secured/hopinto.do?context=C&amp;query=CNR.CNR%3D117545986&amp;database=RX&amp;origin=ReaxysOutput&amp;ln=</t>
  </si>
  <si>
    <t xml:space="preserve"> (Sc,Rp,R)-1-{[2-(diphenylphosphanyl)ferrocenyl]ethyl}-N-methyl-4,7-diphenyl-4,5,6,7-tetrahydrodiindeno[7,1-de:1′,7′-fg][1,3,2]-dioxaphosphocin-12-amine</t>
  </si>
  <si>
    <t xml:space="preserve"> Chen, Yirui;Yi, Xiao;Cheng, Yuqi;Huang, An;Yang, Zehui;Zhao, Xianghua;Ling, Fei;Zhong, Weihui; Journal of Organic Chemistry; vol. 87; 12; (2022); p. 7864 - 7874;</t>
  </si>
  <si>
    <t xml:space="preserve"> Sawatsugawa, Yuuki; Tamura, Ken; Sano, Natsuhiro; Imamoto, Tsuneo; Organic Letters; vol. 21; 22; (2019); p. 8874 - 8878;</t>
  </si>
  <si>
    <t>&lt;Rh-2,2'-bis(diphenylphosphinoamino)-5,5',6,6',7,7',8,8'-octahydro-1,1'-binaphthyl(COD)&gt;BF4</t>
  </si>
  <si>
    <t>H8-BINAP</t>
  </si>
  <si>
    <t>Letter</t>
  </si>
  <si>
    <t>Zhang; Pai; Chan; Journal of the American Chemical Society; vol. 120; 23; (1998); p. 5808 - 5809;</t>
  </si>
  <si>
    <t>https://www.reaxys.com/reaxys/secured/hopinto.do?context=C&amp;query=CNR.CNR%3D6102446&amp;database=RX&amp;origin=ReaxysOutput&amp;ln=</t>
  </si>
  <si>
    <t>[Rh{(S,S)-t-Bu-BisP}(nbd)]BF3</t>
  </si>
  <si>
    <t>Gridnev; Higashi; Imamoto; Journal of the American Chemical Society; vol. 122; 42; (2000); p. 10486 - 10487;</t>
  </si>
  <si>
    <t>https://www.reaxys.com/reaxys/secured/hopinto.do?context=C&amp;query=CNR.CNR%3D6322108&amp;database=RX&amp;origin=ReaxysOutput&amp;ln=</t>
  </si>
  <si>
    <t xml:space="preserve"> (S(a))-O,O'-(5,5',6,6',7,7',8,8'-octahydro-1,1'-dinaphthyl-2,2'-diyl)-N,N-dimethylphosphorus amidite</t>
  </si>
  <si>
    <t xml:space="preserve"> Li, Xingshu; Jia, Xian; Lu, Gui; Au-Yeung, Terry T.-L.; Lam, Kim-Hung; Lo, Thomas W. H.; Chan, Albert S. C.; Tetrahedron Asymmetry; vol. 14; 18; (2003); p. 2687 - 2691;</t>
  </si>
  <si>
    <t>https://www.reaxys.com/reaxys/secured/hopinto.do?context=C&amp;query=CNR.CNR%3D6411148&amp;database=RX&amp;origin=ReaxysOutput&amp;ln=</t>
  </si>
  <si>
    <t>(R,R)-(-)-2,3-bis(t-butylmethylphosphino)quinoxaline</t>
  </si>
  <si>
    <t xml:space="preserve"> Imamoto, Tsuneo; Sugita, Keitaro; Yoshida, Kazuhiro; Journal of the American Chemical Society; vol. 127; 34; (2005); p. 11934 - 11935;</t>
  </si>
  <si>
    <t>https://www.reaxys.com/reaxys/secured/hopinto.do?context=C&amp;query=CNR.CNR%3D6528074&amp;database=RX&amp;origin=ReaxysOutput&amp;ln=</t>
  </si>
  <si>
    <t xml:space="preserve"> (11bM)-4-((1R,2S)-1-(diphenylphosphino)-3-methoxy-1-phenylprop-2-yloxy)dinaphtho[2,1-d:1',2'-f][1,3,2]dioxaphosphepine</t>
  </si>
  <si>
    <t xml:space="preserve"> Fernandez-Perez, Hector; Pericas, Miquel A.; Vidal-Ferran, Anton; Advanced Synthesis and Catalysis; vol. 350; 13; (2008); p. 1984 - 1990;</t>
  </si>
  <si>
    <t>https://www.reaxys.com/reaxys/secured/hopinto.do?context=C&amp;query=CNR.CNR%3D8756496&amp;database=RX&amp;origin=ReaxysOutput&amp;ln=</t>
  </si>
  <si>
    <t xml:space="preserve"> C230H194NO30P</t>
  </si>
  <si>
    <t xml:space="preserve"> Zhang, Feng; Li, Yong; Li, Zhi-Wei; He, Yan-Mei; Zhu, Shou-Fei; Fan, Qing-Hua; Zhou, Qi-Lin; Chemical Communications; 45; (2008); p. 6048 - 6050;</t>
  </si>
  <si>
    <t>https://www.reaxys.com/reaxys/secured/hopinto.do?context=C&amp;query=CNR.CNR%3D8723754&amp;database=RX&amp;origin=ReaxysOutput&amp;ln=</t>
  </si>
  <si>
    <t xml:space="preserve"> C30H25N2O8P</t>
  </si>
  <si>
    <t xml:space="preserve"> Li, Yong; He, Yan-Mei; Li, Zhi-Wei; Zhang, Feng; Fan, Qing-Hua; Organic and Biomolecular Chemistry; vol. 7; 9; (2009); p. 1890 - 1895;</t>
  </si>
  <si>
    <t>https://www.reaxys.com/reaxys/secured/hopinto.do?context=C&amp;query=CNR.CNR%3D8743881&amp;database=RX&amp;origin=ReaxysOutput&amp;ln=</t>
  </si>
  <si>
    <t>[Rh(COD){(Sa,Sc)-1a}] BF4</t>
  </si>
  <si>
    <t xml:space="preserve"> Eggenstein, Matthias; Thomas, Anika; Theuerkauf, Jens; Francio, Giancarlo; Leitner, Walter; Advanced Synthesis and Catalysis; vol. 351; 5; (2009); p. 725 - 732;</t>
  </si>
  <si>
    <t>https://www.reaxys.com/reaxys/secured/hopinto.do?context=C&amp;query=CNR.CNR%3D8787237&amp;database=RX&amp;origin=ReaxysOutput&amp;ln=</t>
  </si>
  <si>
    <t>Rh[(nbd)((2S,2'S,3S,3'S)-BIBOP)]BF4</t>
  </si>
  <si>
    <t xml:space="preserve"> Tang, Wenjun; Qu, Bo; Capacci, Andrew G.; Rodriguez, Sonia; Wei, Xudong; Haddad, Nizar; Narayanan, Bikashandarkoil; Ma, Shengli; Grinberg, Nelu; Yee, Nathan K.; Krishnamurthy, Dhileep; Senanayake, Chris H.; Organic Letters; vol. 12; 1; (2010); p. 176 - 179;</t>
  </si>
  <si>
    <t>https://www.reaxys.com/reaxys/secured/hopinto.do?context=C&amp;query=CNR.CNR%3D8839890&amp;database=RX&amp;origin=ReaxysOutput&amp;ln=</t>
  </si>
  <si>
    <t xml:space="preserve"> N-[bis(3,5-difluorophenyl)phosphino]-(S)-1-[2-(diphenylphosphino)phenyl]ethylamine</t>
  </si>
  <si>
    <t xml:space="preserve"> Zhou, Xiao-Mao; Huang, Jia-Di; Luo, Li-Bin; Zhang, Cheng-Lu; Zheng, Zhuo; Hu, Xiang-Ping; Tetrahedron Asymmetry; vol. 21; 4; (2010); p. 420 - 424;</t>
  </si>
  <si>
    <t>https://www.reaxys.com/reaxys/secured/hopinto.do?context=C&amp;query=CNR.CNR%3D8879964&amp;database=RX&amp;origin=ReaxysOutput&amp;ln=</t>
  </si>
  <si>
    <t xml:space="preserve"> Fernandez-Perez, Hector; Donald, Steven M. A.; Munslow, Ian J.; Benet-Buchholz, Jordi; Maseras, Feliu; Vidal-Ferran, Anton; Chemistry - A European Journal; vol. 16; 22; (2010); p. 6495 - 6508;</t>
  </si>
  <si>
    <t>https://www.reaxys.com/reaxys/secured/hopinto.do?context=C&amp;query=CNR.CNR%3D8917089&amp;database=RX&amp;origin=ReaxysOutput&amp;ln=</t>
  </si>
  <si>
    <t>Rh(COD)2PF6</t>
  </si>
  <si>
    <t xml:space="preserve"> N(1)-(4-butylphenyl)-N(2)-(4-(((11bS)-dinaphtho[2,1-d:1',2'-f][1,3,2]dioxaphosphepin-4-yloxy)methyl)phenethyl)phthalamide</t>
  </si>
  <si>
    <t xml:space="preserve"> Pignataro, Luca; Carboni, Stefano; Civera, Monica; Colombo, Raffaele; Piarulli, Umberto; Gennari, Cesare; Angewandte Chemie - International Edition; vol. 49; 37; (2010); p. 6633 - 6637;</t>
  </si>
  <si>
    <t>https://www.reaxys.com/reaxys/secured/hopinto.do?context=C&amp;query=CNR.CNR%3D8925970&amp;database=RX&amp;origin=ReaxysOutput&amp;ln=</t>
  </si>
  <si>
    <t xml:space="preserve"> C27H17N2O2P</t>
  </si>
  <si>
    <t xml:space="preserve"> Wieland, Joerg; Breit, Bernhard; Nature Chemistry; vol. 2; 10; (2010); p. 832 - 837;</t>
  </si>
  <si>
    <t>https://www.reaxys.com/reaxys/secured/hopinto.do?context=C&amp;query=CNR.CNR%3D8930351&amp;database=RX&amp;origin=ReaxysOutput&amp;ln=</t>
  </si>
  <si>
    <t>(R,R)-2,3-bis(tert-butylmethylphosphino)quinoxaline(1,5-cyclooctadiene)rhodium(I) hexafluoroantimonate</t>
  </si>
  <si>
    <t xml:space="preserve"> Imamoto, Tsuneo; Tamura, Ken; Zhang, Zhenfeng; Horiuchi, Yumi; Sugiya, Masashi; Yoshida, Kazuhiro; Yanagisawa, Akira; Gridnev, Ilya D.; Journal of the American Chemical Society; vol. 134; 3; (2012); p. 1754 - 1769;</t>
  </si>
  <si>
    <t>https://www.reaxys.com/reaxys/secured/hopinto.do?context=C&amp;query=CNR.CNR%3D20085651&amp;database=RX&amp;origin=ReaxysOutput&amp;ln=</t>
  </si>
  <si>
    <t xml:space="preserve"> Pignataro, Luca; Boghi, Michele; Civera, Monica; Carboni, Stefano; Piarulli, Umberto; Gennari, Cesare; Chemistry - A European Journal; vol. 18; 5; (2012); p. 1383 - 1400;</t>
  </si>
  <si>
    <t>https://www.reaxys.com/reaxys/secured/hopinto.do?context=C&amp;query=CNR.CNR%3D20095527&amp;database=RX&amp;origin=ReaxysOutput&amp;ln=</t>
  </si>
  <si>
    <t xml:space="preserve"> N-(3-(((11bS)-dinaphtho[2,1-d:1',2'-f][1,3,2]dioxaphosphepin-4-yloxy)methyl)benzyl)benzamide</t>
  </si>
  <si>
    <t xml:space="preserve"> Pignataro, Luca; Bovio, Chiara; Civera, Monica; Piarulli, Umberto; Gennari, Cesare; Chemistry - A European Journal; vol. 18; 33; (2012); p. 10368 - 10381;</t>
  </si>
  <si>
    <t>https://www.reaxys.com/reaxys/secured/hopinto.do?context=C&amp;query=CNR.CNR%3D20192831&amp;database=RX&amp;origin=ReaxysOutput&amp;ln=</t>
  </si>
  <si>
    <t xml:space="preserve"> C60H46O4P2</t>
  </si>
  <si>
    <t xml:space="preserve"> Nunez-Rico, Jose L.; Etayo, Pablo; Fernandez-Perez, Hector; Vidal-Ferran, Anton; Advanced Synthesis and Catalysis; vol. 354; 16; (2012); p. 3025 - 3035;</t>
  </si>
  <si>
    <t xml:space="preserve"> C34H26O3P2</t>
  </si>
  <si>
    <t xml:space="preserve"> Fernandez-Perez, Hector; Benet-Buchholz; Vidal-Ferran, Anton; Organic Letters; vol. 15; 14; (2013); p. 3634 - 3637;</t>
  </si>
  <si>
    <t xml:space="preserve"> C38H42O3P2</t>
  </si>
  <si>
    <t xml:space="preserve"> Lao, Joan R.; Benet-Buchholz; Vidal-Ferran, Anton; Organometallics; vol. 33; 12; (2014); p. 2960 - 2963;</t>
  </si>
  <si>
    <t>https://www.reaxys.com/reaxys/secured/hopinto.do?context=C&amp;query=CNR.CNR%3D63789710&amp;database=RX&amp;origin=ReaxysOutput&amp;ln=</t>
  </si>
  <si>
    <t>(R,R)-1,2-bis(tert-butylmethylphosphino)benzene(1,5-cyclooctadiene)rhodium(I) hexafluoroantimonate</t>
  </si>
  <si>
    <t xml:space="preserve"> Gridnev, Ilya D.; Imamoto, Tsuneo; ACS Catalysis; vol. 5; 5; (2015); p. 2911 - 2915;</t>
  </si>
  <si>
    <t>https://www.reaxys.com/reaxys/secured/hopinto.do?context=C&amp;query=CNR.CNR%3D66122197&amp;database=RX&amp;origin=ReaxysOutput&amp;ln=</t>
  </si>
  <si>
    <t xml:space="preserve"> (1R,2R)-bis[(S)-1,1'-binaphthyl-2,2'-diyl]phosphitecyclohexanediol</t>
  </si>
  <si>
    <t xml:space="preserve"> Pang, Zeng-Bo; Li, Hai-Feng; Tian, Mi; Wang, Lai-Lai; Tetrahedron Asymmetry; vol. 26; 24; (2015); p. 1389 - 1393;</t>
  </si>
  <si>
    <t xml:space="preserve"> Prades, Amparo; Núñez-Pertíñez, Samuel; Riera, Antoni; Verdaguer, Xavier; Chemical Communications; vol. 53; 33; (2017); p. 4605 - 4608;</t>
  </si>
  <si>
    <t xml:space="preserve"> Schmitz, Christian; Holthusen, Katharina; Leitner, Walter; Franciò, Giancarlo; European Journal of Organic Chemistry; vol. 2017; 28; (2017); p. 4111 - 4116;</t>
  </si>
  <si>
    <t>Hexane</t>
  </si>
  <si>
    <t xml:space="preserve"> 1,4-bis[(O,O'(S)-1,1'-dinaphthyl-2,2'-diyl)-phosphoramidite]-4,13-diaza-18-crown-6</t>
  </si>
  <si>
    <t xml:space="preserve"> C52H53FeN3P2</t>
  </si>
  <si>
    <t xml:space="preserve"> Oki, Hiroshi; Oura, Ichiro; Nakamura, Tatsuhito; Ogata, Kenichi; Fukuzawa, Shin-ichi; Tetrahedron Asymmetry; vol. 20; 18; (2009); p. 2185 - 2191;</t>
  </si>
  <si>
    <t>https://www.reaxys.com/reaxys/secured/hopinto.do?context=C&amp;query=CNR.CNR%3D8831307&amp;database=RX&amp;origin=ReaxysOutput&amp;ln=</t>
  </si>
  <si>
    <t>(+)-1,2-bis((2R,5R)-dimethylphospholano)ethane(1,5-cyclooctadiene)rhodium triflate</t>
  </si>
  <si>
    <t xml:space="preserve"> Crosman, Adrian; Hoelderich, Wolfgang F.; Journal of Catalysis; vol. 265; 2; (2009); p. 229 - 237;</t>
  </si>
  <si>
    <t>https://www.reaxys.com/reaxys/secured/hopinto.do?context=C&amp;query=CNR.CNR%3D8776796&amp;database=RX&amp;origin=ReaxysOutput&amp;ln=</t>
  </si>
  <si>
    <t>&lt;&lt;(R,R)-1,2-bis(trans-2,5-dimethylphospholano)ethane&gt;Rh(COD)&gt;OTf</t>
  </si>
  <si>
    <t xml:space="preserve"> Burk, Mark J.; Wang, Yan Ming; Lee, Jeffrey R.; Journal of the American Chemical Society; vol. 118; 21; (1996); p. 5142 - 5143;</t>
  </si>
  <si>
    <t>https://www.reaxys.com/reaxys/secured/hopinto.do?context=C&amp;query=CNR.CNR%3D6049634&amp;database=RX&amp;origin=ReaxysOutput&amp;ln=</t>
  </si>
  <si>
    <t xml:space="preserve"> (2R,2'R)-bis(diphenylphosphino)-(1R,1'R)-dicyclopentane</t>
  </si>
  <si>
    <t xml:space="preserve"> Zhu, Guoxin; Zhang, Xumu; Journal of Organic Chemistry; vol. 63; 25; (1998); p. 9590 - 9593;</t>
  </si>
  <si>
    <t>https://www.reaxys.com/reaxys/secured/hopinto.do?context=C&amp;query=CNR.CNR%3D6158231&amp;database=RX&amp;origin=ReaxysOutput&amp;ln=</t>
  </si>
  <si>
    <t xml:space="preserve"> (R,S,R,S)-Me-PhennPhos</t>
  </si>
  <si>
    <t xml:space="preserve"> Zhang, Zhaoguo; Zhu, Guoxin; Jiang, Qiongzhong; Xiao, Dengming; Zhang, Xumu; Journal of Organic Chemistry; vol. 64; 6; (1999); p. 1774 - 1775;</t>
  </si>
  <si>
    <t>https://www.reaxys.com/reaxys/secured/hopinto.do?context=C&amp;query=CNR.CNR%3D6158638&amp;database=RX&amp;origin=ReaxysOutput&amp;ln=</t>
  </si>
  <si>
    <t>[Rh(β-D-Glcp-(1,1)-2,3-di-O-(Ph2P)-β-D-Glcp)(cod)]BF4</t>
  </si>
  <si>
    <t xml:space="preserve"> Yonehara, Koji; Ohe, Kouichi; Uemura, Sakae; Journal of Organic Chemistry; vol. 64; 26; (1999); p. 9381 - 9385;</t>
  </si>
  <si>
    <t>https://www.reaxys.com/reaxys/secured/hopinto.do?context=C&amp;query=CNR.CNR%3D6205500&amp;database=RX&amp;origin=ReaxysOutput&amp;ln=</t>
  </si>
  <si>
    <t xml:space="preserve"> (2R,3R,5R,6R)-5,6-bis((diphenylphosphanyl)methyl)-2,3-diethoxy-2,3-dimethyl&lt;1,4&gt;dioxane</t>
  </si>
  <si>
    <t xml:space="preserve"> Li, Wenge; Waldkirch, Jason P.; Zhang, Xumu; Journal of Organic Chemistry; vol. 67; 22; (2002); p. 7618 - 7623;</t>
  </si>
  <si>
    <t>https://www.reaxys.com/reaxys/secured/hopinto.do?context=C&amp;query=CNR.CNR%3D6371171&amp;database=RX&amp;origin=ReaxysOutput&amp;ln=</t>
  </si>
  <si>
    <t xml:space="preserve"> (2S,3S,5S,6S)-5,6-bis((diphenylphosphanyl)methyl)-2,3-dimethoxy-2,3-dimethyl[1,4]dioxane</t>
  </si>
  <si>
    <t>(((1R,2R)-1,3-Me2-2-(3,5-Me2-phenylthio)BuO)PPh2)Rh(COD)SbF6</t>
  </si>
  <si>
    <t xml:space="preserve"> Evans, David A.; Michael, Forrest E.; Tedrow, Jason S.; Campos, Kevin R.; Journal of the American Chemical Society; vol. 125; 12; (2003); p. 3534 - 3543;</t>
  </si>
  <si>
    <t>https://www.reaxys.com/reaxys/secured/hopinto.do?context=C&amp;query=CNR.CNR%3D6387399&amp;database=RX&amp;origin=ReaxysOutput&amp;ln=</t>
  </si>
  <si>
    <t xml:space="preserve"> carbohydrate-derived chiral monophosphite</t>
  </si>
  <si>
    <t xml:space="preserve"> Huang, Hanmin; Zheng, Zhuo; Luo, Huili; Bai, Changmin; Hu, Xinquan; Chen, Huilin; Organic Letters; vol. 5; 22; (2003); p. 4137 - 4139;</t>
  </si>
  <si>
    <t>https://www.reaxys.com/reaxys/secured/hopinto.do?context=C&amp;query=CNR.CNR%3D6422079&amp;database=RX&amp;origin=ReaxysOutput&amp;ln=</t>
  </si>
  <si>
    <t xml:space="preserve"> (S)-BINOL-(S)-phenyl,methyl N-phoshino sulfoximine</t>
  </si>
  <si>
    <t xml:space="preserve"> Reetz, Manfred T.; Bondarev, Oleg G.; Gais, Hans-Joachim; Bolm, Carsten; Tetrahedron Letters; vol. 46; 34; (2005); p. 5643 - 5646;</t>
  </si>
  <si>
    <t>https://www.reaxys.com/reaxys/secured/hopinto.do?context=C&amp;query=CNR.CNR%3D6501651&amp;database=RX&amp;origin=ReaxysOutput&amp;ln=</t>
  </si>
  <si>
    <t xml:space="preserve"> (R)-BINOL-(S)-phenyl-(S)-methyl-N-phoshino sulfoximine</t>
  </si>
  <si>
    <t>Ethyl acetate</t>
  </si>
  <si>
    <t xml:space="preserve"> (R,Sp)-2-(CH3(Ph2P)CH-)diphenylphosphinocyrhetrene</t>
  </si>
  <si>
    <t xml:space="preserve"> Stemmler, Rene T.; Bolm, Carsten; Journal of Organic Chemistry; vol. 70; 24; (2005); p. 9925 - 9931;</t>
  </si>
  <si>
    <t>https://www.reaxys.com/reaxys/secured/hopinto.do?context=C&amp;query=CNR.CNR%3D6525880&amp;database=RX&amp;origin=ReaxysOutput&amp;ln=</t>
  </si>
  <si>
    <t>chiral phospholane based rhodium(I)</t>
  </si>
  <si>
    <t xml:space="preserve"> Dai, Qian; Wang, Chun-Jiang; Zhang, Xumu; Tetrahedron; vol. 62; 5; (2006); p. 868 - 871;</t>
  </si>
  <si>
    <t>https://www.reaxys.com/reaxys/secured/hopinto.do?context=C&amp;query=CNR.CNR%3D6526515&amp;database=RX&amp;origin=ReaxysOutput&amp;ln=</t>
  </si>
  <si>
    <t xml:space="preserve"> ((S)-1,1'-binaphthalene-2,2'-dioxy)PNMe((R)-CHPhMe)</t>
  </si>
  <si>
    <t xml:space="preserve"> Zeng, Qing-Heng; Hu, Xiang-Ping; Duan, Zheng-Chao; Liang, Xin-Miao; Zheng, Zhuo; Journal of Organic Chemistry; vol. 71; 1; (2006); p. 393 - 396;</t>
  </si>
  <si>
    <t>https://www.reaxys.com/reaxys/secured/hopinto.do?context=C&amp;query=CNR.CNR%3D6541545&amp;database=RX&amp;origin=ReaxysOutput&amp;ln=</t>
  </si>
  <si>
    <t xml:space="preserve"> (S)-4,5-dihydro-4-phenyl-3H-dinaphtho[2,1-c:1',2'-e]phosphepine</t>
  </si>
  <si>
    <t xml:space="preserve"> Enthaler, Stephan; Hagemann, Bernhard; Junge, Kathrin; Erre, Giulia; Beller, Matthias; European Journal of Organic Chemistry; 13; (2006); p. 2912 - 2917;</t>
  </si>
  <si>
    <t>https://www.reaxys.com/reaxys/secured/hopinto.do?context=C&amp;query=CNR.CNR%3D6572302&amp;database=RX&amp;origin=ReaxysOutput&amp;ln=</t>
  </si>
  <si>
    <t xml:space="preserve"> Zhao, Dongbo; Wang, Zheng; Ding, Kuiling; Tetrahedron Letters; vol. 48; 29; (2007); p. 5095 - 5098;</t>
  </si>
  <si>
    <t>https://www.reaxys.com/reaxys/secured/hopinto.do?context=C&amp;query=CNR.CNR%3D7046919&amp;database=RX&amp;origin=ReaxysOutput&amp;ln=</t>
  </si>
  <si>
    <t xml:space="preserve"> (S)-(+)-2,2'-bis(diphenylphosphinoamino)-5,5'-(octamethylenedioxy)-1,10-biphenyl</t>
  </si>
  <si>
    <t xml:space="preserve"> Zhang, Yong Jian; Wei, Hao; Zhang, Wanbin; Tetrahedron; vol. 65; 7; (2009); p. 1281 - 1286;</t>
  </si>
  <si>
    <t>https://www.reaxys.com/reaxys/secured/hopinto.do?context=C&amp;query=CNR.CNR%3D8716996&amp;database=RX&amp;origin=ReaxysOutput&amp;ln=</t>
  </si>
  <si>
    <t>(R)-Me-BIPAM</t>
  </si>
  <si>
    <t xml:space="preserve"> C118H98NO14P</t>
  </si>
  <si>
    <t xml:space="preserve"> C34H33N2O10P*C127H110N6O19</t>
  </si>
  <si>
    <t xml:space="preserve"> (-)-(R)-N-Methyl-N-(1-phenylethylamino)diphenylphosphine</t>
  </si>
  <si>
    <t>(R)-Me-BoPhoz</t>
  </si>
  <si>
    <t xml:space="preserve"> (S)-(+)-N-methyl-N-1-phenylethylaminodiphenylphosphane</t>
  </si>
  <si>
    <t>(S)-Me-BoPhoz</t>
  </si>
  <si>
    <t>406681-09-2</t>
  </si>
  <si>
    <t xml:space="preserve"> C44H37FeN3P2</t>
  </si>
  <si>
    <t xml:space="preserve"> (R,R)-1,2-bis[(2-methoxyphenyl)phenylphosphino]ethane</t>
  </si>
  <si>
    <t>Rh[(2S,2'S,3S,3'S)-Ph-BIBOP(nbd)]BF4</t>
  </si>
  <si>
    <t xml:space="preserve"> N-methyl-N-[bis(3,5-difluorophenyl)phosphino]-(S)-1-[2-(diphenylphosphino)phenyl]ethylamine</t>
  </si>
  <si>
    <t>Imidazolidin-2-one</t>
  </si>
  <si>
    <t xml:space="preserve"> 1,3-bis[{(pyridine-2-yl)amino}carbonyl]benzene</t>
  </si>
  <si>
    <t xml:space="preserve"> Park, Jung Hwan; Shin, Hyunik; Park, Doo Han; Lee, Sang-Gi; Bulletin of the Korean Chemical Society; vol. 31; 3; (2010); p. 635 - 638;</t>
  </si>
  <si>
    <t>https://www.reaxys.com/reaxys/secured/hopinto.do?context=C&amp;query=CNR.CNR%3D8892839&amp;database=RX&amp;origin=ReaxysOutput&amp;ln=</t>
  </si>
  <si>
    <t xml:space="preserve"> N(1)-(3,5-bis(trifluoromethyl)phenyl)-N(2)-(3-(((11bS)-dinaphtho[2,1-d:1',2'-f][1,3,2]dioxaphosphepin-4-yloxy)methyl)benzyl)phthalamide</t>
  </si>
  <si>
    <t xml:space="preserve"> N(1)-(4-butylphenyl)-N(2)-(3-(((11bR)-2,6-dimethyldinaphtho[2,1-d:1',2'-f][1,3,2]dioxaphosphepin-4-yloxy)methyl)benzyl)phthalamide</t>
  </si>
  <si>
    <t>Monoethylene glycol diethyl ether</t>
  </si>
  <si>
    <t xml:space="preserve"> C28H23N2O3PS</t>
  </si>
  <si>
    <t>[Rh((RP,RP)-Me-SMS-Phos)(MeOH)2]BF4</t>
  </si>
  <si>
    <t>BF4(1-)*C49H54O4P2Rh(1+)</t>
  </si>
  <si>
    <t xml:space="preserve"> Etayo, Pablo; Nunez-Rico, Jose L.; Vidal-Ferran, Anton; Organometallics; vol. 30; 24; (2011); p. 6718 - 6725;</t>
  </si>
  <si>
    <t>https://www.reaxys.com/reaxys/secured/hopinto.do?context=C&amp;query=CNR.CNR%3D20073273&amp;database=RX&amp;origin=ReaxysOutput&amp;ln=</t>
  </si>
  <si>
    <t xml:space="preserve"> N(1)-(4-butylphenyl)-N(2)-(2-(((11bS)-dinaphtho[2,1-d:1',2'-f][1,3,2]dioxaphosphepin-4-yloxy)methyl)phenethyl)phthalamide</t>
  </si>
  <si>
    <t xml:space="preserve"> 3,5-bis[(3,3',5,5'-tetra-t-butyl-1,1'-biphenyl-2,2'-diyl)phosphite]-5-amine-5-deoxy-1,2-O-isopropylidene-α-D-xylofuranose</t>
  </si>
  <si>
    <t xml:space="preserve"> Coll, Mercedes; Pamies, Oscar; Dieguez, Montserrat; Dalton Transactions; vol. 41; 10; (2012); p. 3038 - 3045;</t>
  </si>
  <si>
    <t>https://www.reaxys.com/reaxys/secured/hopinto.do?context=C&amp;query=CNR.CNR%3D20102006&amp;database=RX&amp;origin=ReaxysOutput&amp;ln=</t>
  </si>
  <si>
    <t>BF4(1-)*C40H48O2P2Rh(1+)</t>
  </si>
  <si>
    <t xml:space="preserve"> Hammerer, Tim; Weisgerber, Laurent; Schenk, Stefan; Stelzer, Othmar; Englert, Ulli; Leitner, Walter; Franci, Giancarlo; Tetrahedron Asymmetry; vol. 23; 1; (2012); p. 53 - 59;</t>
  </si>
  <si>
    <t>https://www.reaxys.com/reaxys/secured/hopinto.do?context=C&amp;query=CNR.CNR%3D20123412&amp;database=RX&amp;origin=ReaxysOutput&amp;ln=</t>
  </si>
  <si>
    <t>(R)-1-(tert-butylmethylphosphino)-2-(di-tert-butylphosphino)benzene(1,5-cyclooctadiene)rhodium(I) hexafluoroantimonate</t>
  </si>
  <si>
    <t xml:space="preserve"> Zhang, Zhenfeng; Tamura, Ken; Mayama, Daisuke; Sugiya, Masashi; Imamoto, Tsuneo; Journal of Organic Chemistry; vol. 77; 8; (2012); p. 4184 - 4188;</t>
  </si>
  <si>
    <t>https://www.reaxys.com/reaxys/secured/hopinto.do?context=C&amp;query=CNR.CNR%3D20140177&amp;database=RX&amp;origin=ReaxysOutput&amp;ln=</t>
  </si>
  <si>
    <t>(R)-2-(tert-butylmethylphosphino)-3-(di-tertbutylphosphino)quinoxaline(1,5-cyclooctadiene)rhodium(I) hexafluoroantimonate</t>
  </si>
  <si>
    <t xml:space="preserve"> N-(7-((11bS)-dinaphtho[2,1-d:1',2'-f][1,3,2]dioxaphosphepin-4-yloxy)naphthalen-2-yl)benzamide</t>
  </si>
  <si>
    <t xml:space="preserve"> C29H24NO3P</t>
  </si>
  <si>
    <t xml:space="preserve"> Vallianatou, Kalliopi A.; Frank, Dominik J.; Antonopoulou, Georgia; Georgakopoulos, Spyros; Siapi, Eleni; Zervou, Maria; Kostas, Ioannis D.; Tetrahedron Letters; vol. 54; 5; (2013); p. 397 - 401;</t>
  </si>
  <si>
    <t xml:space="preserve"> Vaghi, Luca; Benincori, Tiziana; Cirilli, Roberto; Alberico, Elisabetta; Mussini, Patrizia Romana; Pierini, Marco; Pilati, Tullio; Rizzo, Simona; Sannicolo, Francesco; European Journal of Organic Chemistry; 36; (2013); p. 8174 - 8184;</t>
  </si>
  <si>
    <t xml:space="preserve"> C33H33O8P</t>
  </si>
  <si>
    <t xml:space="preserve"> Alegre, Sabina; Alberico, Elisabetta; Pamies, Oscar; Dieguez, Montserrat; Tetrahedron Asymmetry; vol. 25; 3; (2014); p. 258 - 262;</t>
  </si>
  <si>
    <t xml:space="preserve"> C38H35O8P</t>
  </si>
  <si>
    <t>C33H34O3P2Rh(1+)*BF4(1-)</t>
  </si>
  <si>
    <t xml:space="preserve"> C48H50O4P2</t>
  </si>
  <si>
    <t xml:space="preserve"> Brusentsev, Yury; Eklund, Patrik; Catalysis Today; vol. 241; PB; (2015); p. 260 - 263;</t>
  </si>
  <si>
    <t xml:space="preserve"> C48H40O9P2</t>
  </si>
  <si>
    <t xml:space="preserve"> (1R,2R)-bis[(R)-1,1'-binaphthyl-2,2'-diyl]phosphitecyclohexanediol</t>
  </si>
  <si>
    <t xml:space="preserve"> 2′-(tert-butylmethylphosphanyl)biphenyl-2-yl camphanate</t>
  </si>
  <si>
    <t xml:space="preserve"> Wawrzyniak, Piotr; Kindermann, Markus K.; Thede, Gabriele; Thede, Richard; Jones, Peter G.; Enthaler, Stephan; Junge, Kathrin; Beller, Matthias; Heinicke, Joachim W.; European Journal of Inorganic Chemistry; vol. 2017; 20; (2017); p. 2762 - 2773;</t>
  </si>
  <si>
    <t>C49H50O4P2Rh(1+)*BF4(1-)</t>
  </si>
  <si>
    <t xml:space="preserve"> (RP,RP)-1,1'-bis[(phenyl)(2-pivaloyloxyphenyl)phosphino]ferrocene</t>
  </si>
  <si>
    <t xml:space="preserve"> C66H68N4O8P2</t>
  </si>
  <si>
    <t xml:space="preserve"> Scholtes, Jan Felix; Trapp, Oliver; Angewandte Chemie - International Edition; vol. 58; 19; (2019); p. 6306 - 6310; Angew. Chem.; vol. 131; 19; (2019); p. 6372 - 6376,5;</t>
  </si>
  <si>
    <t xml:space="preserve"> Scholtes, Jan Felix; Trapp, Oliver; Chemistry - A European Journal; vol. 25; 50; (2019); p. 11707 - 11714;</t>
  </si>
  <si>
    <t xml:space="preserve"> C42H40NO3P</t>
  </si>
  <si>
    <t xml:space="preserve"> SOUTHERN UNIVERSITY OF SCIENCE AND TECHNOLOGY OF CHINA; CN110041174; (2019); A;</t>
  </si>
  <si>
    <t>[(CH2((C6H3)P(C6H5)2)CH2)2Rh(C8H12)](1+)*CF3SO3(1-) = [(CH2((C6H3)P(C6H5)2)CH2)2Rh(C8H12)]CF3SO3</t>
  </si>
  <si>
    <t xml:space="preserve"> Benincori, Tiziana; Cirilli, Roberto; Pierini, Marco; Rizzo, Simona; Terraneo, Giancarlo; Vaghi, Luca; European Journal of Organic Chemistry; vol. 2021; 17; (2021); p. 2367 - 2374;</t>
  </si>
  <si>
    <t>https://www.reaxys.com/reaxys/secured/hopinto.do?context=C&amp;query=CNR.CNR%3D92461418&amp;database=RX&amp;origin=ReaxysOutput&amp;ln=</t>
  </si>
  <si>
    <t xml:space="preserve"> C102H88N2O20P2Rh(1+)*BF4(1-)</t>
  </si>
  <si>
    <t xml:space="preserve"> Gong, Wei;Chen, Xinfa;Zhang, Wenqiang;Kirlikovali, Kent O.;Nan, Bing;Chen, Zhijie;Si, Rui;Liu, Yan;Farha, Omar K.;Cui, Yong; Journal of the American Chemical Society; vol. 144; 7; (2022); p. 3117 - 3126;</t>
  </si>
  <si>
    <t>https://www.reaxys.com/reaxys/secured/hopinto.do?context=C&amp;query=CNR.CNR%3D115809578&amp;database=RX&amp;origin=ReaxysOutput&amp;ln=</t>
  </si>
  <si>
    <t xml:space="preserve"> (Sc,Rp,S)-1-{[2-(diphenylphosphanyl)ferrocenyl]ethyl}-N-methyl-4,5,6,7-tetrahydrodiindeno[7,1-de:1′,7′-fg][1,3,2]dioxaphosphocin-12-amine</t>
  </si>
  <si>
    <t xml:space="preserve"> C34H27F4NP2</t>
  </si>
  <si>
    <t xml:space="preserve"> Qiu, Min; Hu, Xiang-Ping; Huang, Jia-Di; Wang, Dao-Yong; Deng, Jun; Yu, Sai-Bo; Duan, Zheng-Chao; Zheng, Zhuo; Advanced Synthesis and Catalysis; vol. 350; 17; (2008); p. 2683 - 2689;</t>
  </si>
  <si>
    <t>https://www.reaxys.com/reaxys/secured/hopinto.do?context=C&amp;query=CNR.CNR%3D8776482&amp;database=RX&amp;origin=ReaxysOutput&amp;ln=</t>
  </si>
  <si>
    <t>N-ethyl-N,N-diisopropylamine, N-acetyl-L-valine</t>
  </si>
  <si>
    <t>N-ethyl-N,N-diisopropylamine, (S)-(tert-butylthiocarbamoyl)-N-valine</t>
  </si>
  <si>
    <t xml:space="preserve"> C55H31BF22N2O2P(1-)*C16H36N(1+)</t>
  </si>
  <si>
    <t xml:space="preserve"> Frank, Dominik J.; Franzke, Axel; Pfaltz, Andreas; Chemistry - A European Journal; vol. 19; 7; (2013); p. 2405 - 2415;</t>
  </si>
  <si>
    <t>1,4-Diaza-bicyclo[2.2.2]octane</t>
  </si>
  <si>
    <t xml:space="preserve"> 1,4-di(diphenylphosphino)-butane</t>
  </si>
  <si>
    <t>Sodium tert-butoxide</t>
  </si>
  <si>
    <t xml:space="preserve"> 1,4-diaza-bicyclo[2.2.2]octane</t>
  </si>
  <si>
    <t>dicyclohexyl-(2',6'-dimethoxybiphenyl-2-yl)-phosphane</t>
  </si>
  <si>
    <t>1,4-diaza-bicyclo[2.2.2]octane</t>
  </si>
  <si>
    <t xml:space="preserve"> C26H31O3PRh(1+)*BF4(1-)</t>
  </si>
  <si>
    <t xml:space="preserve"> (R)-3-( tert-butyl)-4-(2,6-diphenoxyphenyl)-2,3-dihydrobenzo[d][1,3]oxaphosphole</t>
  </si>
  <si>
    <t xml:space="preserve"> C22H29O3P</t>
  </si>
  <si>
    <t xml:space="preserve"> (R)-AntPhos</t>
  </si>
  <si>
    <t>(R)-AntPhos</t>
  </si>
  <si>
    <t>1456816-37-7</t>
  </si>
  <si>
    <t xml:space="preserve"> 1,2-bis((2S,5S)-2,5-dimethylphospholano)benzene</t>
  </si>
  <si>
    <t>(S,S)-Me-DUPHOS</t>
  </si>
  <si>
    <t>136735-95-0</t>
  </si>
  <si>
    <t>L69 (Enant)</t>
  </si>
  <si>
    <t xml:space="preserve"> (S)-(1,1'-binaphthalene)-2,2'-diylbis(diphenylphosphine)</t>
  </si>
  <si>
    <t>SciFinder</t>
  </si>
  <si>
    <t>Togni, Antonio; Breutel, Claude; Schneyder, Anita; Spindler, Felix; Landert, Heidi; Tijani, Amina; Journal of the American Chemical Society; vol. 116; 9; (1994); p. 4062 - 4066;</t>
  </si>
  <si>
    <t>https://pubs.acs.org/doi/pdf/10.1021/ja00088a047</t>
  </si>
  <si>
    <t>Liptau, Patrick; Tebben, Ludger; Kehr, Gerald; Fröhlich, Roland; Erker, Gerhard; Hollmann, Frank; Rieger, Bernhard; European Journal of Organic Chemistry; vol. 2005; 9; (2005); p. 1909 - 1918;</t>
  </si>
  <si>
    <t>https://chemistry-europe.onlinelibrary.wiley.com/doi/epdf/10.1002/ejoc.200400866</t>
  </si>
  <si>
    <t>CIBA GEIGY AG.; EP0564406A1; (1993); A</t>
  </si>
  <si>
    <t>https://worldwide.espacenet.com/patent/search/family/004201698/publication/EP0564406A1?q=EP564406A1</t>
  </si>
  <si>
    <t>Bayardon, Jerome; Holz, Jens; Schäffner, Benjamin; Andrushko, Vasyl; Verevkin, Sergej; Preetz, Angelika; Börner, Armin; Angewandte Chemie International Edition; vol. 46, 31; (2007); p. 5971 - 5974;</t>
  </si>
  <si>
    <t>https://onlinelibrary.wiley.com/doi/10.1002/anie.200700990</t>
  </si>
  <si>
    <t>(S,S)-Me-BPE</t>
  </si>
  <si>
    <t>L121 (Enant)</t>
  </si>
  <si>
    <t>Burk, Mark; Journal of the American Chemical Society; vol. 113; (1991); p. 8518 - 8519;</t>
  </si>
  <si>
    <t>https://pubs.acs.org/doi/pdf/10.1021/ja00022a047</t>
  </si>
  <si>
    <t>(R,R)-iPr-BPE</t>
  </si>
  <si>
    <t>(S,S)-Me-DuPhos</t>
  </si>
  <si>
    <t>(S,S)-Et-DuPhos</t>
  </si>
  <si>
    <t>L68 (Enant)</t>
  </si>
  <si>
    <t>Allwardt, Arne; Holzmüller-Laue, Silke; Wendler, Christian; Stoll, Norbert; Catalysis Today; vol. 137; 1; (2008); p. 11 - 16;</t>
  </si>
  <si>
    <t>https://www.sciencedirect.com/science/article/pii/S0920586108001132?via%3Dihub</t>
  </si>
  <si>
    <t>Walphos 1</t>
  </si>
  <si>
    <t>(R,R)-Et-Ferrotane</t>
  </si>
  <si>
    <t>L102 (Enant)</t>
  </si>
  <si>
    <t>CTH-(R)-SpiroP</t>
  </si>
  <si>
    <t>CTH-(S)-SpiroP</t>
  </si>
  <si>
    <t>Benincori, Tiziana; Pilati, Tullio; Rizzo, Simona; Sannicolò, Franco; Burk, Mark; de Ferra, Lorenzo; Ulluci, Elio; Piccolo, Oreste; Journal of Organic Chemistry; vol. 70; 40; (2005); p. 5436 - 5441;</t>
  </si>
  <si>
    <t>https://pubs.acs.org/doi/10.1021/jo050390d</t>
  </si>
  <si>
    <t>Crosman, Adrian; Hoelderich, Wolfgang; Catalysis Today; vol. 121; 1-2; (2007); p. 130 - 139;</t>
  </si>
  <si>
    <t>https://www.sciencedirect.com/science/article/pii/S092058610600736X?via%3Dihub</t>
  </si>
  <si>
    <t>Aloui, A.; Delbecq, F.; Sautet, P.; De Ballefon, C.; Journal of Molecular Catalysis A: Chemical; vol. 363-364; (2012); p. 214 - 222;</t>
  </si>
  <si>
    <t>https://www.sciencedirect.com/science/article/pii/S1381116912002075?via%3Dihub#sec0070</t>
  </si>
  <si>
    <t>565184-33-0</t>
  </si>
  <si>
    <t>Wang, Yaping; Sturm, Thomas; Steurer, Marianne; Arion, Vladimir; Mereiter, Kurt; Spindler, Felix; Weissensteiner, Walter; Organometallics; vol. 27; 6; (2008); p. 1119 - 1127;</t>
  </si>
  <si>
    <t>https://pubs.acs.org/doi/10.1021/om701103d</t>
  </si>
  <si>
    <t>(E)-2-methyl-3-phenylacrylic acid</t>
  </si>
  <si>
    <t>Zirakzadeh, Afrooz; Gross, Manuela; Wang, Yaping; Mereiter, Kurt; Weissensteiner, Walter; Organometallics; vol. 33; 8; (2014); p. 1945 - 1954;</t>
  </si>
  <si>
    <t>https://pubs.acs.org/doi/10.1021/om401074a</t>
  </si>
  <si>
    <t>SL-W003-1</t>
  </si>
  <si>
    <t>L27 (Enant)</t>
  </si>
  <si>
    <t>Sturm, Thomas; Weissensteiner, Walter; Spindler, Felix; Advanced Synthesis &amp; Catalysis; vol. 345; 1-2; (2003); p. 160 - 164;</t>
  </si>
  <si>
    <t>https://onlinelibrary.wiley.com/doi/epdf/10.1002/adsc.200390003</t>
  </si>
  <si>
    <t>name</t>
  </si>
  <si>
    <t>category</t>
  </si>
  <si>
    <t>source</t>
  </si>
  <si>
    <t>distance_pi_bond_1</t>
  </si>
  <si>
    <t>distance_pi_bond_2</t>
  </si>
  <si>
    <t>dihedral_angle_1</t>
  </si>
  <si>
    <t>dihedral_angle_2</t>
  </si>
  <si>
    <t>NE_quad</t>
  </si>
  <si>
    <t>NW_quad</t>
  </si>
  <si>
    <t>SW_quad</t>
  </si>
  <si>
    <t>SE_quad</t>
  </si>
  <si>
    <t>+,+,+_octant</t>
  </si>
  <si>
    <t>-,+,+_octant</t>
  </si>
  <si>
    <t>-,-,+_octant</t>
  </si>
  <si>
    <t>+,-,+_octant</t>
  </si>
  <si>
    <t>+,-,-_octant</t>
  </si>
  <si>
    <t>-,-,-_octant</t>
  </si>
  <si>
    <t>-,+,-_octant</t>
  </si>
  <si>
    <t>+,+,-_octant</t>
  </si>
  <si>
    <t>bite_angle</t>
  </si>
  <si>
    <t>cone_angle</t>
  </si>
  <si>
    <t>distance_Rh_max_donor_gaussian</t>
  </si>
  <si>
    <t>distance_Rh_min_donor_gaussian</t>
  </si>
  <si>
    <t>buried_volume_Rh_3.5A</t>
  </si>
  <si>
    <t>buried_volume_donor_max</t>
  </si>
  <si>
    <t>buried_volume_donor_min</t>
  </si>
  <si>
    <t>buried_volume_Rh_4A</t>
  </si>
  <si>
    <t>buried_volume_Rh_5A</t>
  </si>
  <si>
    <t>buried_volume_Rh_6A</t>
  </si>
  <si>
    <t>buried_volume_Rh_7A</t>
  </si>
  <si>
    <t>dispersion_p_int_Rh_gfn2_xtb</t>
  </si>
  <si>
    <t>dispersion_p_int_donor_max_gfn2_xtb</t>
  </si>
  <si>
    <t>dispersion_p_int_donor_min_gfn2_xtb</t>
  </si>
  <si>
    <t>sasa_gfn2_xtb</t>
  </si>
  <si>
    <t>ip_gfn2_xtb</t>
  </si>
  <si>
    <t>dipole_gfn2_xtb</t>
  </si>
  <si>
    <t>ea_gfn2_xtb</t>
  </si>
  <si>
    <t>electrofugality_gfn2_xtb</t>
  </si>
  <si>
    <t>nucleofugality_gfn2_xtb</t>
  </si>
  <si>
    <t>nucleophilicity_gfn2_xtb</t>
  </si>
  <si>
    <t>electrophilicity_gfn2_xtb</t>
  </si>
  <si>
    <t>HOMO_LUMO_gap_gfn2_xtb</t>
  </si>
  <si>
    <t>sum_electronic_and_free_energy_dft</t>
  </si>
  <si>
    <t>sum_electronic_and_enthalpy_dft</t>
  </si>
  <si>
    <t>zero_point_correction_dft</t>
  </si>
  <si>
    <t>entropy_dft</t>
  </si>
  <si>
    <t>dipole_moment_dft</t>
  </si>
  <si>
    <t>lone_pair_occupancy_min_donor_dft</t>
  </si>
  <si>
    <t>lone_pair_occupancy_max_donor_dft</t>
  </si>
  <si>
    <t>dispersion_energy_dft</t>
  </si>
  <si>
    <t>nbo_charge_Rh_dft</t>
  </si>
  <si>
    <t>nbo_charge_min_donor_dft</t>
  </si>
  <si>
    <t>nbo_charge_max_donor_dft</t>
  </si>
  <si>
    <t>mulliken_charge_Rh_dft</t>
  </si>
  <si>
    <t>mulliken_charge_min_donor_dft</t>
  </si>
  <si>
    <t>mulliken_charge_max_donor_dft</t>
  </si>
  <si>
    <t>homo_energy_dft</t>
  </si>
  <si>
    <t>lumo_energy_dft</t>
  </si>
  <si>
    <t>homo_lumo_gap_dft</t>
  </si>
  <si>
    <t>hardness_dft</t>
  </si>
  <si>
    <t>softness_dft</t>
  </si>
  <si>
    <t>electronegativity_dft</t>
  </si>
  <si>
    <t>electrophilicity_dft</t>
  </si>
  <si>
    <t>free_ligand_dipole_moment_dft</t>
  </si>
  <si>
    <t>free_ligand_lone_pair_occupancy_min_donor_dft</t>
  </si>
  <si>
    <t>free_ligand_lone_pair_occupancy_max_donor_dft</t>
  </si>
  <si>
    <t>free_ligand_dispersion_energy_dft</t>
  </si>
  <si>
    <t>free_ligand_nbo_charge_min_donor_dft</t>
  </si>
  <si>
    <t>free_ligand_nbo_charge_max_donor_dft</t>
  </si>
  <si>
    <t>free_ligand_mulliken_charge_min_donor_dft</t>
  </si>
  <si>
    <t>free_ligand_mulliken_charge_max_donor_dft</t>
  </si>
  <si>
    <t>free_ligand_homo_energy_dft</t>
  </si>
  <si>
    <t>free_ligand_lumo_energy_dft</t>
  </si>
  <si>
    <t>free_ligand_homo_lumo_gap_dft</t>
  </si>
  <si>
    <t>free_ligand_hardness_dft</t>
  </si>
  <si>
    <t>free_ligand_softness_dft</t>
  </si>
  <si>
    <t>free_ligand_electronegativity_dft</t>
  </si>
  <si>
    <t>free_ligand_electrophilicity_dft</t>
  </si>
  <si>
    <t>min_NBO_donor</t>
  </si>
  <si>
    <t>max_NBO_donor</t>
  </si>
  <si>
    <t>min_bv_donor</t>
  </si>
  <si>
    <t>max_bv_donor</t>
  </si>
  <si>
    <t>Rh_donor_min_d</t>
  </si>
  <si>
    <t>Rh_donor_max_d</t>
  </si>
  <si>
    <t>std_quad</t>
  </si>
  <si>
    <t>min_quad</t>
  </si>
  <si>
    <t>max_quad</t>
  </si>
  <si>
    <t>std_oct</t>
  </si>
  <si>
    <t>min_oct</t>
  </si>
  <si>
    <t>max_oct</t>
  </si>
  <si>
    <t>ratio_std_oct_std_quad</t>
  </si>
  <si>
    <t>ratio_min_oct_min_quad</t>
  </si>
  <si>
    <t>lone_pair_occ_min</t>
  </si>
  <si>
    <t>lone_pair_occ_max</t>
  </si>
  <si>
    <t>bite_angle_sin</t>
  </si>
  <si>
    <t>bite_angle_cos</t>
  </si>
  <si>
    <t>cone_angle_sin</t>
  </si>
  <si>
    <t>cone_angle_cos</t>
  </si>
  <si>
    <t>nbo_charge_max_donor_dft_abs_diff</t>
  </si>
  <si>
    <t>nbo_charge_min_donor_dft_abs_diff</t>
  </si>
  <si>
    <t>mulliken_charge_max_donor_dft_abs_diff</t>
  </si>
  <si>
    <t>mulliken_charge_min_donor_dft_abs_diff</t>
  </si>
  <si>
    <t>lone_pair_occupancy_max_donor_dft_abs_diff</t>
  </si>
  <si>
    <t>lone_pair_occupancy_min_donor_dft_abs_diff</t>
  </si>
  <si>
    <t>explanation</t>
  </si>
  <si>
    <t>unit</t>
  </si>
  <si>
    <t>label1</t>
  </si>
  <si>
    <t>Selected</t>
  </si>
  <si>
    <t>Electronic/Thermodynamic</t>
  </si>
  <si>
    <t>In-house</t>
  </si>
  <si>
    <t>Distance of C=C NBD pi bond that coordinates to metal center (thus electronic descriptor of metal center)</t>
  </si>
  <si>
    <t>Å</t>
  </si>
  <si>
    <t>E1</t>
  </si>
  <si>
    <t>YES</t>
  </si>
  <si>
    <t>E2</t>
  </si>
  <si>
    <t>Geometric</t>
  </si>
  <si>
    <t>Dihedral angle between H-C_central_of_NBD-metal-donor</t>
  </si>
  <si>
    <t>°</t>
  </si>
  <si>
    <t>G1</t>
  </si>
  <si>
    <t>G2</t>
  </si>
  <si>
    <t>Steric</t>
  </si>
  <si>
    <t>Morfeus (structural or GFN2-xTB single-point)</t>
  </si>
  <si>
    <t>Quadrant of 3.5 A buried volume orientated such that average of position of donors define Z-axis and donor_max defines the XZ plane, ignores NBD</t>
  </si>
  <si>
    <t>Fraction</t>
  </si>
  <si>
    <t>S1</t>
  </si>
  <si>
    <t>S2</t>
  </si>
  <si>
    <t>S3</t>
  </si>
  <si>
    <t>S4</t>
  </si>
  <si>
    <t>Octant of 3.5 A buried volume orientated such that average of position of donors define Z-axis and donor_max defines the XZ plane, ignores NBD</t>
  </si>
  <si>
    <t>S5</t>
  </si>
  <si>
    <t>S6</t>
  </si>
  <si>
    <t>S7</t>
  </si>
  <si>
    <t>S8</t>
  </si>
  <si>
    <t>S9</t>
  </si>
  <si>
    <t>S10</t>
  </si>
  <si>
    <t>S11</t>
  </si>
  <si>
    <t>S12</t>
  </si>
  <si>
    <t>Bite angle between donor_max-metal-donor_min</t>
  </si>
  <si>
    <t>G3</t>
  </si>
  <si>
    <t>NO</t>
  </si>
  <si>
    <t>Cone angle of metal-ligand, ignores NBD</t>
  </si>
  <si>
    <t>G4</t>
  </si>
  <si>
    <t>Distance between metal center and donor_max</t>
  </si>
  <si>
    <t>G5</t>
  </si>
  <si>
    <t>Distance between metal center and donor_min</t>
  </si>
  <si>
    <t>G6</t>
  </si>
  <si>
    <t>Buried volume at metal center with radius 3.5 A, ignores NBD</t>
  </si>
  <si>
    <t>S13</t>
  </si>
  <si>
    <t>Buried volume at donor_max with radius 3.5, ignores NBD</t>
  </si>
  <si>
    <t>S14</t>
  </si>
  <si>
    <t>Buried volume at donor_min with radius 3.6, ignores NBD</t>
  </si>
  <si>
    <t>S15</t>
  </si>
  <si>
    <t>Buried volume at metal center with radius 4 A, ignores NBD</t>
  </si>
  <si>
    <t>Buried volume at metal center with radius 5 A, ignores NBD</t>
  </si>
  <si>
    <t>Buried volume at metal center with radius 6 A, ignores NBD</t>
  </si>
  <si>
    <t>Buried volume at metal center with radius 7 A, ignores NBD</t>
  </si>
  <si>
    <t>p_int dispersion descriptor on metal center</t>
  </si>
  <si>
    <t>kcal¹ᐟ² mol⁻¹ᐟ²</t>
  </si>
  <si>
    <t>E3</t>
  </si>
  <si>
    <t>p_int dispersion descriptor on donor_max</t>
  </si>
  <si>
    <t>kcal¹ᐟ² mol⁻¹ᐟ131</t>
  </si>
  <si>
    <t>E4</t>
  </si>
  <si>
    <t>p_int dispersion descriptor on donor_min</t>
  </si>
  <si>
    <t>kcal¹ᐟ² mol⁻¹ᐟ132</t>
  </si>
  <si>
    <t>E5</t>
  </si>
  <si>
    <t>Solvent accesible surface area</t>
  </si>
  <si>
    <t>Å²</t>
  </si>
  <si>
    <t>G7</t>
  </si>
  <si>
    <t>Ionization potential</t>
  </si>
  <si>
    <t>eV</t>
  </si>
  <si>
    <t>E6</t>
  </si>
  <si>
    <t>Debye dipole moment</t>
  </si>
  <si>
    <t>D</t>
  </si>
  <si>
    <t>E7</t>
  </si>
  <si>
    <t>Electron affinity</t>
  </si>
  <si>
    <t>E8</t>
  </si>
  <si>
    <t>Electrofugality</t>
  </si>
  <si>
    <t>E9</t>
  </si>
  <si>
    <t>Nucleofugality</t>
  </si>
  <si>
    <t>E10</t>
  </si>
  <si>
    <t>Nucleophilicity</t>
  </si>
  <si>
    <t>E11</t>
  </si>
  <si>
    <t>Electrophilicity</t>
  </si>
  <si>
    <t>HOMO LUMO gap calculated via single point GFN2-xTB</t>
  </si>
  <si>
    <t>a.u.</t>
  </si>
  <si>
    <t>DFT</t>
  </si>
  <si>
    <t>Sum of electronic energy and enthalpy</t>
  </si>
  <si>
    <t>Zero point correction energy</t>
  </si>
  <si>
    <t>a.u./particle</t>
  </si>
  <si>
    <t>Entropy</t>
  </si>
  <si>
    <t>a.u./K</t>
  </si>
  <si>
    <t>Lone pair occupancy for donor_min</t>
  </si>
  <si>
    <t>#</t>
  </si>
  <si>
    <t>Lone pair occupancy for donor_max</t>
  </si>
  <si>
    <t>Dispersion energy</t>
  </si>
  <si>
    <t>NBO charge of metal center</t>
  </si>
  <si>
    <t>NBO charge of donor_min</t>
  </si>
  <si>
    <t>NBO charge of donor_max</t>
  </si>
  <si>
    <t>Mulliken charge of metal center</t>
  </si>
  <si>
    <t>Mulliken charge of donor_min</t>
  </si>
  <si>
    <t>Mulliken charge of donor_max</t>
  </si>
  <si>
    <t>Energy of HOMO</t>
  </si>
  <si>
    <t>Energy of LUMO</t>
  </si>
  <si>
    <t>HOMO LUMO gap calculated in DFT</t>
  </si>
  <si>
    <t>Hardness</t>
  </si>
  <si>
    <t>Softness</t>
  </si>
  <si>
    <t>Electronegativity</t>
  </si>
  <si>
    <t>Debye dipole moment calculated on the free ligand without metal-NBD</t>
  </si>
  <si>
    <t>Lone pair occupancy for donor_min calculated on the free ligand without metal-NBD</t>
  </si>
  <si>
    <t>Lone pair occupancy for donor_max calculated on the free ligand without metal-NBD</t>
  </si>
  <si>
    <t>NBO charge of donor_min calculated on the free ligand without metal-NBD</t>
  </si>
  <si>
    <t>NBO charge of donor_max calculated on the free ligand without metal-NBD</t>
  </si>
  <si>
    <t>Mulliken charge of donor_min calculated on the free ligand without metal-NBD</t>
  </si>
  <si>
    <t>Mulliken charge of donor_max calculated on the free ligand without metal-NBD</t>
  </si>
  <si>
    <t>Energy of HOMO calculated on the free ligand without metal-NBD</t>
  </si>
  <si>
    <t>Energy of LUMO calculated on the free ligand without metal-NBD</t>
  </si>
  <si>
    <t>HOMO LUMO gap calculated in DFT calculated on the free ligand without metal-NBD</t>
  </si>
  <si>
    <t>Hardness calculated on the free ligand without metal-NBD</t>
  </si>
  <si>
    <t>Softness calculated on the free ligand without metal-NBD</t>
  </si>
  <si>
    <t>Electronegativity calculated on the free ligand without metal-NBD</t>
  </si>
  <si>
    <t>Electrophilicity calculated on the free ligand without metal-NBD</t>
  </si>
  <si>
    <t>Minimum of NBO charge between donor_max and donor_min</t>
  </si>
  <si>
    <t>Maximum of NBO charge between donor_max and donor_max</t>
  </si>
  <si>
    <t>Minimum of buried_volume_donor_max and buried_volume_donor_min</t>
  </si>
  <si>
    <t>Maximum of buried_volume_donor_max and buried_volume_donor_max</t>
  </si>
  <si>
    <t>Minimum of distance_metal_max_donor_gaussian and distance_metal_min_donor_gaussian</t>
  </si>
  <si>
    <t>G8</t>
  </si>
  <si>
    <t>Maximum of distance_metal_max_donor_gaussian and distance_metal_max_donor_gaussian</t>
  </si>
  <si>
    <t>Standard deviation of all quadrants</t>
  </si>
  <si>
    <t>Minimum value of all quadrants</t>
  </si>
  <si>
    <t>Maximum value of all quadrants</t>
  </si>
  <si>
    <t>Standard deviation of all octrants</t>
  </si>
  <si>
    <t>Minimum value of all octrants</t>
  </si>
  <si>
    <t>Maximum value of all octrants</t>
  </si>
  <si>
    <t>Ratio of standard deviations of octants and quadrants</t>
  </si>
  <si>
    <t>Ratio of the mimum of all octants and minimum of all quadrants</t>
  </si>
  <si>
    <t>Minimum of lone_pair_occupancy_max_donor_dft and lone_pair_occupancy_min_donor_dft</t>
  </si>
  <si>
    <t>Maximum of lone_pair_occupancy_max_donor_dft and lone_pair_occupancy_min_donor_dft</t>
  </si>
  <si>
    <t>Sinus of bite angle</t>
  </si>
  <si>
    <t>Cosinus of bite angle</t>
  </si>
  <si>
    <t>Sinus of cone angle</t>
  </si>
  <si>
    <t>Cosinus of cone angle</t>
  </si>
  <si>
    <t>Conversion</t>
  </si>
  <si>
    <t>EE</t>
  </si>
  <si>
    <t>DDG</t>
  </si>
  <si>
    <t>SM7</t>
  </si>
  <si>
    <t>SM8</t>
  </si>
  <si>
    <t>|EE|</t>
  </si>
  <si>
    <t>CONVERSION</t>
  </si>
  <si>
    <t>SM</t>
  </si>
  <si>
    <t>Temperature</t>
  </si>
  <si>
    <t>Pressure</t>
  </si>
  <si>
    <t>Time</t>
  </si>
  <si>
    <t>Enantiomeric_excess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</si>
</sst>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Google Sans Mono"/>
    </font>
    <font>
      <sz val="11"/>
      <color theme="1"/>
      <name val="Arial"/>
      <family val="2"/>
    </font>
  </fonts>
  <fills count="3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3BE7B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FAA1A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899"/>
        <bgColor rgb="FF000000"/>
      </patternFill>
    </fill>
    <fill>
      <patternFill patternType="solid">
        <fgColor rgb="FFDFF2E4"/>
        <bgColor rgb="FF000000"/>
      </patternFill>
    </fill>
    <fill>
      <patternFill patternType="solid">
        <fgColor rgb="FFFBB9BA"/>
        <bgColor rgb="FF000000"/>
      </patternFill>
    </fill>
    <fill>
      <patternFill patternType="solid">
        <fgColor rgb="FFCDEBD5"/>
        <bgColor rgb="FF000000"/>
      </patternFill>
    </fill>
    <fill>
      <patternFill patternType="solid">
        <fgColor rgb="FFF99193"/>
        <bgColor rgb="FF000000"/>
      </patternFill>
    </fill>
    <fill>
      <patternFill patternType="solid">
        <fgColor rgb="FFFEEFEF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DE3E3"/>
        <bgColor rgb="FF000000"/>
      </patternFill>
    </fill>
    <fill>
      <patternFill patternType="solid">
        <fgColor rgb="FFF98D8F"/>
        <bgColor rgb="FF000000"/>
      </patternFill>
    </fill>
    <fill>
      <patternFill patternType="solid">
        <fgColor rgb="FFF87274"/>
        <bgColor rgb="FF000000"/>
      </patternFill>
    </fill>
    <fill>
      <patternFill patternType="solid">
        <fgColor rgb="FFFA9C9E"/>
        <bgColor rgb="FF000000"/>
      </patternFill>
    </fill>
    <fill>
      <patternFill patternType="solid">
        <fgColor rgb="FFF5FBF8"/>
        <bgColor rgb="FF000000"/>
      </patternFill>
    </fill>
    <fill>
      <patternFill patternType="solid">
        <fgColor rgb="FFE0F2E9"/>
        <bgColor rgb="FF000000"/>
      </patternFill>
    </fill>
    <fill>
      <patternFill patternType="solid">
        <fgColor rgb="FFD3EDE1"/>
        <bgColor rgb="FF000000"/>
      </patternFill>
    </fill>
    <fill>
      <patternFill patternType="solid">
        <fgColor rgb="FFF4C3BE"/>
        <bgColor rgb="FF000000"/>
      </patternFill>
    </fill>
    <fill>
      <patternFill patternType="solid">
        <fgColor rgb="FFF6CECB"/>
        <bgColor rgb="FF000000"/>
      </patternFill>
    </fill>
    <fill>
      <patternFill patternType="solid">
        <fgColor rgb="FFE5F4ED"/>
        <bgColor rgb="FF000000"/>
      </patternFill>
    </fill>
    <fill>
      <patternFill patternType="solid">
        <fgColor rgb="FFF3FAF6"/>
        <bgColor rgb="FF000000"/>
      </patternFill>
    </fill>
    <fill>
      <patternFill patternType="solid">
        <fgColor rgb="FFDEF1E8"/>
        <bgColor rgb="FF000000"/>
      </patternFill>
    </fill>
    <fill>
      <patternFill patternType="solid">
        <fgColor rgb="FFFDF1F0"/>
        <bgColor rgb="FF000000"/>
      </patternFill>
    </fill>
    <fill>
      <patternFill patternType="solid">
        <fgColor rgb="FFFFFCFC"/>
        <bgColor rgb="FF000000"/>
      </patternFill>
    </fill>
    <fill>
      <patternFill patternType="solid">
        <fgColor rgb="FFAEDEC6"/>
        <bgColor rgb="FF000000"/>
      </patternFill>
    </fill>
    <fill>
      <patternFill patternType="solid">
        <fgColor rgb="FF9BD6B9"/>
        <bgColor rgb="FF000000"/>
      </patternFill>
    </fill>
    <fill>
      <patternFill patternType="solid">
        <fgColor rgb="FF7AC9A2"/>
        <bgColor rgb="FF000000"/>
      </patternFill>
    </fill>
    <fill>
      <patternFill patternType="solid">
        <fgColor rgb="FFFFFAFA"/>
        <bgColor rgb="FF000000"/>
      </patternFill>
    </fill>
    <fill>
      <patternFill patternType="solid">
        <fgColor rgb="FFCEEBDD"/>
        <bgColor rgb="FF000000"/>
      </patternFill>
    </fill>
    <fill>
      <patternFill patternType="solid">
        <fgColor rgb="FFF6FBF8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F6FBF9"/>
        <bgColor rgb="FF000000"/>
      </patternFill>
    </fill>
    <fill>
      <patternFill patternType="solid">
        <fgColor rgb="FFF7FCF9"/>
        <bgColor rgb="FF000000"/>
      </patternFill>
    </fill>
    <fill>
      <patternFill patternType="solid">
        <fgColor rgb="FFFEF8F7"/>
        <bgColor rgb="FF000000"/>
      </patternFill>
    </fill>
    <fill>
      <patternFill patternType="solid">
        <fgColor rgb="FFC9E9D9"/>
        <bgColor rgb="FF000000"/>
      </patternFill>
    </fill>
    <fill>
      <patternFill patternType="solid">
        <fgColor rgb="FFE6F4ED"/>
        <bgColor rgb="FF000000"/>
      </patternFill>
    </fill>
    <fill>
      <patternFill patternType="solid">
        <fgColor rgb="FFD5EEE1"/>
        <bgColor rgb="FF000000"/>
      </patternFill>
    </fill>
    <fill>
      <patternFill patternType="solid">
        <fgColor rgb="FFE6F5ED"/>
        <bgColor rgb="FF000000"/>
      </patternFill>
    </fill>
    <fill>
      <patternFill patternType="solid">
        <fgColor rgb="FFDAF0E5"/>
        <bgColor rgb="FF000000"/>
      </patternFill>
    </fill>
    <fill>
      <patternFill patternType="solid">
        <fgColor rgb="FFF1F9F5"/>
        <bgColor rgb="FF000000"/>
      </patternFill>
    </fill>
    <fill>
      <patternFill patternType="solid">
        <fgColor rgb="FFE7F5EE"/>
        <bgColor rgb="FF000000"/>
      </patternFill>
    </fill>
    <fill>
      <patternFill patternType="solid">
        <fgColor rgb="FFD8EFE4"/>
        <bgColor rgb="FF000000"/>
      </patternFill>
    </fill>
    <fill>
      <patternFill patternType="solid">
        <fgColor rgb="FFFDF4F3"/>
        <bgColor rgb="FF000000"/>
      </patternFill>
    </fill>
    <fill>
      <patternFill patternType="solid">
        <fgColor rgb="FFFBE8E7"/>
        <bgColor rgb="FF000000"/>
      </patternFill>
    </fill>
    <fill>
      <patternFill patternType="solid">
        <fgColor rgb="FFE2F3EB"/>
        <bgColor rgb="FF000000"/>
      </patternFill>
    </fill>
    <fill>
      <patternFill patternType="solid">
        <fgColor rgb="FFFDF2F1"/>
        <bgColor rgb="FF000000"/>
      </patternFill>
    </fill>
    <fill>
      <patternFill patternType="solid">
        <fgColor rgb="FFFCF0EF"/>
        <bgColor rgb="FF000000"/>
      </patternFill>
    </fill>
    <fill>
      <patternFill patternType="solid">
        <fgColor rgb="FFFBEAE9"/>
        <bgColor rgb="FF000000"/>
      </patternFill>
    </fill>
    <fill>
      <patternFill patternType="solid">
        <fgColor rgb="FFE9F6F0"/>
        <bgColor rgb="FF000000"/>
      </patternFill>
    </fill>
    <fill>
      <patternFill patternType="solid">
        <fgColor rgb="FFEAF6F0"/>
        <bgColor rgb="FF000000"/>
      </patternFill>
    </fill>
    <fill>
      <patternFill patternType="solid">
        <fgColor rgb="FFDFF2E8"/>
        <bgColor rgb="FF000000"/>
      </patternFill>
    </fill>
    <fill>
      <patternFill patternType="solid">
        <fgColor rgb="FFFFFCFB"/>
        <bgColor rgb="FF000000"/>
      </patternFill>
    </fill>
    <fill>
      <patternFill patternType="solid">
        <fgColor rgb="FFFEF7F6"/>
        <bgColor rgb="FF000000"/>
      </patternFill>
    </fill>
    <fill>
      <patternFill patternType="solid">
        <fgColor rgb="FFE8F5EF"/>
        <bgColor rgb="FF000000"/>
      </patternFill>
    </fill>
    <fill>
      <patternFill patternType="solid">
        <fgColor rgb="FFEBF7F1"/>
        <bgColor rgb="FF000000"/>
      </patternFill>
    </fill>
    <fill>
      <patternFill patternType="solid">
        <fgColor rgb="FFDBF0E6"/>
        <bgColor rgb="FF000000"/>
      </patternFill>
    </fill>
    <fill>
      <patternFill patternType="solid">
        <fgColor rgb="FFF8D7D4"/>
        <bgColor rgb="FF000000"/>
      </patternFill>
    </fill>
    <fill>
      <patternFill patternType="solid">
        <fgColor rgb="FFD4EDE1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EF9F8"/>
        <bgColor rgb="FF000000"/>
      </patternFill>
    </fill>
    <fill>
      <patternFill patternType="solid">
        <fgColor rgb="FFFAE5E3"/>
        <bgColor rgb="FF000000"/>
      </patternFill>
    </fill>
    <fill>
      <patternFill patternType="solid">
        <fgColor rgb="FFF4C2BE"/>
        <bgColor rgb="FF000000"/>
      </patternFill>
    </fill>
    <fill>
      <patternFill patternType="solid">
        <fgColor rgb="FFD2ECDF"/>
        <bgColor rgb="FF000000"/>
      </patternFill>
    </fill>
    <fill>
      <patternFill patternType="solid">
        <fgColor rgb="FFD9EFE4"/>
        <bgColor rgb="FF000000"/>
      </patternFill>
    </fill>
    <fill>
      <patternFill patternType="solid">
        <fgColor rgb="FFC8E8D8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F9E0DE"/>
        <bgColor rgb="FF000000"/>
      </patternFill>
    </fill>
    <fill>
      <patternFill patternType="solid">
        <fgColor rgb="FFF7D2CF"/>
        <bgColor rgb="FF000000"/>
      </patternFill>
    </fill>
    <fill>
      <patternFill patternType="solid">
        <fgColor rgb="FFF7D3D0"/>
        <bgColor rgb="FF000000"/>
      </patternFill>
    </fill>
    <fill>
      <patternFill patternType="solid">
        <fgColor rgb="FFF0B0AA"/>
        <bgColor rgb="FF000000"/>
      </patternFill>
    </fill>
    <fill>
      <patternFill patternType="solid">
        <fgColor rgb="FFFDF0EF"/>
        <bgColor rgb="FF000000"/>
      </patternFill>
    </fill>
    <fill>
      <patternFill patternType="solid">
        <fgColor rgb="FFD6EEE3"/>
        <bgColor rgb="FF000000"/>
      </patternFill>
    </fill>
    <fill>
      <patternFill patternType="solid">
        <fgColor rgb="FFF8D7D5"/>
        <bgColor rgb="FF000000"/>
      </patternFill>
    </fill>
    <fill>
      <patternFill patternType="solid">
        <fgColor rgb="FFC4E7D6"/>
        <bgColor rgb="FF000000"/>
      </patternFill>
    </fill>
    <fill>
      <patternFill patternType="solid">
        <fgColor rgb="FFCBEADB"/>
        <bgColor rgb="FF000000"/>
      </patternFill>
    </fill>
    <fill>
      <patternFill patternType="solid">
        <fgColor rgb="FFBFE5D3"/>
        <bgColor rgb="FF000000"/>
      </patternFill>
    </fill>
    <fill>
      <patternFill patternType="solid">
        <fgColor rgb="FFF9DCDA"/>
        <bgColor rgb="FF000000"/>
      </patternFill>
    </fill>
    <fill>
      <patternFill patternType="solid">
        <fgColor rgb="FFC1E6D4"/>
        <bgColor rgb="FF000000"/>
      </patternFill>
    </fill>
    <fill>
      <patternFill patternType="solid">
        <fgColor rgb="FFF9DDDB"/>
        <bgColor rgb="FF000000"/>
      </patternFill>
    </fill>
    <fill>
      <patternFill patternType="solid">
        <fgColor rgb="FFFBFDFC"/>
        <bgColor rgb="FF000000"/>
      </patternFill>
    </fill>
    <fill>
      <patternFill patternType="solid">
        <fgColor rgb="FFF8DAD8"/>
        <bgColor rgb="FF000000"/>
      </patternFill>
    </fill>
    <fill>
      <patternFill patternType="solid">
        <fgColor rgb="FFF2F9F6"/>
        <bgColor rgb="FF000000"/>
      </patternFill>
    </fill>
    <fill>
      <patternFill patternType="solid">
        <fgColor rgb="FFCDEADC"/>
        <bgColor rgb="FF000000"/>
      </patternFill>
    </fill>
    <fill>
      <patternFill patternType="solid">
        <fgColor rgb="FFC4E7D5"/>
        <bgColor rgb="FF000000"/>
      </patternFill>
    </fill>
    <fill>
      <patternFill patternType="solid">
        <fgColor rgb="FFFEF5F4"/>
        <bgColor rgb="FF000000"/>
      </patternFill>
    </fill>
    <fill>
      <patternFill patternType="solid">
        <fgColor rgb="FFFDFEFE"/>
        <bgColor rgb="FF000000"/>
      </patternFill>
    </fill>
    <fill>
      <patternFill patternType="solid">
        <fgColor rgb="FFE4F4EC"/>
        <bgColor rgb="FF000000"/>
      </patternFill>
    </fill>
    <fill>
      <patternFill patternType="solid">
        <fgColor rgb="FFF0F9F5"/>
        <bgColor rgb="FF000000"/>
      </patternFill>
    </fill>
    <fill>
      <patternFill patternType="solid">
        <fgColor rgb="FFDDF1E7"/>
        <bgColor rgb="FF000000"/>
      </patternFill>
    </fill>
    <fill>
      <patternFill patternType="solid">
        <fgColor rgb="FFFFFBFA"/>
        <bgColor rgb="FF000000"/>
      </patternFill>
    </fill>
    <fill>
      <patternFill patternType="solid">
        <fgColor rgb="FFFEF9F9"/>
        <bgColor rgb="FF000000"/>
      </patternFill>
    </fill>
    <fill>
      <patternFill patternType="solid">
        <fgColor rgb="FFB7E2CD"/>
        <bgColor rgb="FF000000"/>
      </patternFill>
    </fill>
    <fill>
      <patternFill patternType="solid">
        <fgColor rgb="FFCAE9DA"/>
        <bgColor rgb="FF000000"/>
      </patternFill>
    </fill>
    <fill>
      <patternFill patternType="solid">
        <fgColor rgb="FFBAE3CF"/>
        <bgColor rgb="FF000000"/>
      </patternFill>
    </fill>
    <fill>
      <patternFill patternType="solid">
        <fgColor rgb="FFFAE2E0"/>
        <bgColor rgb="FF000000"/>
      </patternFill>
    </fill>
    <fill>
      <patternFill patternType="solid">
        <fgColor rgb="FFFFFBFB"/>
        <bgColor rgb="FF000000"/>
      </patternFill>
    </fill>
    <fill>
      <patternFill patternType="solid">
        <fgColor rgb="FFFAFDFC"/>
        <bgColor rgb="FF000000"/>
      </patternFill>
    </fill>
    <fill>
      <patternFill patternType="solid">
        <fgColor rgb="FFD0ECDE"/>
        <bgColor rgb="FF000000"/>
      </patternFill>
    </fill>
    <fill>
      <patternFill patternType="solid">
        <fgColor rgb="FFF8DAD7"/>
        <bgColor rgb="FF000000"/>
      </patternFill>
    </fill>
    <fill>
      <patternFill patternType="solid">
        <fgColor rgb="FFEDF8F2"/>
        <bgColor rgb="FF000000"/>
      </patternFill>
    </fill>
    <fill>
      <patternFill patternType="solid">
        <fgColor rgb="FFF5CBC7"/>
        <bgColor rgb="FF000000"/>
      </patternFill>
    </fill>
    <fill>
      <patternFill patternType="solid">
        <fgColor rgb="FFD3EDE0"/>
        <bgColor rgb="FF000000"/>
      </patternFill>
    </fill>
    <fill>
      <patternFill patternType="solid">
        <fgColor rgb="FFCCEADB"/>
        <bgColor rgb="FF000000"/>
      </patternFill>
    </fill>
    <fill>
      <patternFill patternType="solid">
        <fgColor rgb="FFC5E7D7"/>
        <bgColor rgb="FF000000"/>
      </patternFill>
    </fill>
    <fill>
      <patternFill patternType="solid">
        <fgColor rgb="FFB2E0C9"/>
        <bgColor rgb="FF000000"/>
      </patternFill>
    </fill>
    <fill>
      <patternFill patternType="solid">
        <fgColor rgb="FFE2F3EA"/>
        <bgColor rgb="FF000000"/>
      </patternFill>
    </fill>
    <fill>
      <patternFill patternType="solid">
        <fgColor rgb="FFFEFEFE"/>
        <bgColor rgb="FF000000"/>
      </patternFill>
    </fill>
    <fill>
      <patternFill patternType="solid">
        <fgColor rgb="FFFAE0DE"/>
        <bgColor rgb="FF000000"/>
      </patternFill>
    </fill>
    <fill>
      <patternFill patternType="solid">
        <fgColor rgb="FFCCEADC"/>
        <bgColor rgb="FF000000"/>
      </patternFill>
    </fill>
    <fill>
      <patternFill patternType="solid">
        <fgColor rgb="FFE3F3EB"/>
        <bgColor rgb="FF000000"/>
      </patternFill>
    </fill>
    <fill>
      <patternFill patternType="solid">
        <fgColor rgb="FFF9FCFB"/>
        <bgColor rgb="FF000000"/>
      </patternFill>
    </fill>
    <fill>
      <patternFill patternType="solid">
        <fgColor rgb="FFF8D6D3"/>
        <bgColor rgb="FF000000"/>
      </patternFill>
    </fill>
    <fill>
      <patternFill patternType="solid">
        <fgColor rgb="FFF9DBD9"/>
        <bgColor rgb="FF000000"/>
      </patternFill>
    </fill>
    <fill>
      <patternFill patternType="solid">
        <fgColor rgb="FFF3BDB8"/>
        <bgColor rgb="FF000000"/>
      </patternFill>
    </fill>
    <fill>
      <patternFill patternType="solid">
        <fgColor rgb="FFFCEBEA"/>
        <bgColor rgb="FF000000"/>
      </patternFill>
    </fill>
    <fill>
      <patternFill patternType="solid">
        <fgColor rgb="FFFEF6F6"/>
        <bgColor rgb="FF000000"/>
      </patternFill>
    </fill>
    <fill>
      <patternFill patternType="solid">
        <fgColor rgb="FFE1F2EA"/>
        <bgColor rgb="FF000000"/>
      </patternFill>
    </fill>
    <fill>
      <patternFill patternType="solid">
        <fgColor rgb="FFDCF1E6"/>
        <bgColor rgb="FF000000"/>
      </patternFill>
    </fill>
    <fill>
      <patternFill patternType="solid">
        <fgColor rgb="FFFAE1DF"/>
        <bgColor rgb="FF000000"/>
      </patternFill>
    </fill>
    <fill>
      <patternFill patternType="solid">
        <fgColor rgb="FFE3F4EC"/>
        <bgColor rgb="FF000000"/>
      </patternFill>
    </fill>
    <fill>
      <patternFill patternType="solid">
        <fgColor rgb="FFACDDC5"/>
        <bgColor rgb="FF000000"/>
      </patternFill>
    </fill>
    <fill>
      <patternFill patternType="solid">
        <fgColor rgb="FFFBE6E5"/>
        <bgColor rgb="FF000000"/>
      </patternFill>
    </fill>
    <fill>
      <patternFill patternType="solid">
        <fgColor rgb="FFF5C6C2"/>
        <bgColor rgb="FF000000"/>
      </patternFill>
    </fill>
    <fill>
      <patternFill patternType="solid">
        <fgColor rgb="FFF3C0BC"/>
        <bgColor rgb="FF000000"/>
      </patternFill>
    </fill>
    <fill>
      <patternFill patternType="solid">
        <fgColor rgb="FFF2B9B4"/>
        <bgColor rgb="FF000000"/>
      </patternFill>
    </fill>
    <fill>
      <patternFill patternType="solid">
        <fgColor rgb="FFF1B3AE"/>
        <bgColor rgb="FF000000"/>
      </patternFill>
    </fill>
    <fill>
      <patternFill patternType="solid">
        <fgColor rgb="FFFCEEED"/>
        <bgColor rgb="FF000000"/>
      </patternFill>
    </fill>
    <fill>
      <patternFill patternType="solid">
        <fgColor rgb="FFF3FAF7"/>
        <bgColor rgb="FF000000"/>
      </patternFill>
    </fill>
    <fill>
      <patternFill patternType="solid">
        <fgColor rgb="FFEEF8F3"/>
        <bgColor rgb="FF000000"/>
      </patternFill>
    </fill>
    <fill>
      <patternFill patternType="solid">
        <fgColor rgb="FFED9F99"/>
        <bgColor rgb="FF000000"/>
      </patternFill>
    </fill>
    <fill>
      <patternFill patternType="solid">
        <fgColor rgb="FFF9DEDC"/>
        <bgColor rgb="FF000000"/>
      </patternFill>
    </fill>
    <fill>
      <patternFill patternType="solid">
        <fgColor rgb="FFFCFDFD"/>
        <bgColor rgb="FF000000"/>
      </patternFill>
    </fill>
    <fill>
      <patternFill patternType="solid">
        <fgColor rgb="FFFDF3F2"/>
        <bgColor rgb="FF000000"/>
      </patternFill>
    </fill>
    <fill>
      <patternFill patternType="solid">
        <fgColor rgb="FFDCF1E7"/>
        <bgColor rgb="FF000000"/>
      </patternFill>
    </fill>
    <fill>
      <patternFill patternType="solid">
        <fgColor rgb="FFF4C6C2"/>
        <bgColor rgb="FF000000"/>
      </patternFill>
    </fill>
    <fill>
      <patternFill patternType="solid">
        <fgColor rgb="FFF4FAF7"/>
        <bgColor rgb="FF000000"/>
      </patternFill>
    </fill>
    <fill>
      <patternFill patternType="solid">
        <fgColor rgb="FFE6F5EE"/>
        <bgColor rgb="FF000000"/>
      </patternFill>
    </fill>
    <fill>
      <patternFill patternType="solid">
        <fgColor rgb="FFFCEFEE"/>
        <bgColor rgb="FF000000"/>
      </patternFill>
    </fill>
    <fill>
      <patternFill patternType="solid">
        <fgColor rgb="FFF2F9F5"/>
        <bgColor rgb="FF000000"/>
      </patternFill>
    </fill>
    <fill>
      <patternFill patternType="solid">
        <fgColor rgb="FFF1B2AD"/>
        <bgColor rgb="FF000000"/>
      </patternFill>
    </fill>
    <fill>
      <patternFill patternType="solid">
        <fgColor rgb="FFF6CCC8"/>
        <bgColor rgb="FF000000"/>
      </patternFill>
    </fill>
    <fill>
      <patternFill patternType="solid">
        <fgColor rgb="FFF3BEB9"/>
        <bgColor rgb="FF000000"/>
      </patternFill>
    </fill>
    <fill>
      <patternFill patternType="solid">
        <fgColor rgb="FFEFABA5"/>
        <bgColor rgb="FF000000"/>
      </patternFill>
    </fill>
    <fill>
      <patternFill patternType="solid">
        <fgColor rgb="FFF2BBB6"/>
        <bgColor rgb="FF000000"/>
      </patternFill>
    </fill>
    <fill>
      <patternFill patternType="solid">
        <fgColor rgb="FFED9C96"/>
        <bgColor rgb="FF000000"/>
      </patternFill>
    </fill>
    <fill>
      <patternFill patternType="solid">
        <fgColor rgb="FFEDA19A"/>
        <bgColor rgb="FF000000"/>
      </patternFill>
    </fill>
    <fill>
      <patternFill patternType="solid">
        <fgColor rgb="FFFDF5F4"/>
        <bgColor rgb="FF000000"/>
      </patternFill>
    </fill>
    <fill>
      <patternFill patternType="solid">
        <fgColor rgb="FFF1B1AC"/>
        <bgColor rgb="FF000000"/>
      </patternFill>
    </fill>
    <fill>
      <patternFill patternType="solid">
        <fgColor rgb="FFEDF8F3"/>
        <bgColor rgb="FF000000"/>
      </patternFill>
    </fill>
    <fill>
      <patternFill patternType="solid">
        <fgColor rgb="FFF0F9F4"/>
        <bgColor rgb="FF000000"/>
      </patternFill>
    </fill>
    <fill>
      <patternFill patternType="solid">
        <fgColor rgb="FFFCECEB"/>
        <bgColor rgb="FF000000"/>
      </patternFill>
    </fill>
    <fill>
      <patternFill patternType="solid">
        <fgColor rgb="FFFDFEFD"/>
        <bgColor rgb="FF000000"/>
      </patternFill>
    </fill>
    <fill>
      <patternFill patternType="solid">
        <fgColor rgb="FFEEA29C"/>
        <bgColor rgb="FF000000"/>
      </patternFill>
    </fill>
    <fill>
      <patternFill patternType="solid">
        <fgColor rgb="FFC0E5D3"/>
        <bgColor rgb="FF000000"/>
      </patternFill>
    </fill>
    <fill>
      <patternFill patternType="solid">
        <fgColor rgb="FFECF7F2"/>
        <bgColor rgb="FF000000"/>
      </patternFill>
    </fill>
    <fill>
      <patternFill patternType="solid">
        <fgColor rgb="FFF0ACA6"/>
        <bgColor rgb="FF000000"/>
      </patternFill>
    </fill>
    <fill>
      <patternFill patternType="solid">
        <fgColor rgb="FFF1B2AC"/>
        <bgColor rgb="FF000000"/>
      </patternFill>
    </fill>
    <fill>
      <patternFill patternType="solid">
        <fgColor rgb="FFEEA49E"/>
        <bgColor rgb="FF000000"/>
      </patternFill>
    </fill>
    <fill>
      <patternFill patternType="solid">
        <fgColor rgb="FFF0AEA8"/>
        <bgColor rgb="FF000000"/>
      </patternFill>
    </fill>
    <fill>
      <patternFill patternType="solid">
        <fgColor rgb="FFF5CAC7"/>
        <bgColor rgb="FF000000"/>
      </patternFill>
    </fill>
    <fill>
      <patternFill patternType="solid">
        <fgColor rgb="FFFCF0EE"/>
        <bgColor rgb="FF000000"/>
      </patternFill>
    </fill>
    <fill>
      <patternFill patternType="solid">
        <fgColor rgb="FFF0ACA7"/>
        <bgColor rgb="FF000000"/>
      </patternFill>
    </fill>
    <fill>
      <patternFill patternType="solid">
        <fgColor rgb="FFFEFAF9"/>
        <bgColor rgb="FF000000"/>
      </patternFill>
    </fill>
    <fill>
      <patternFill patternType="solid">
        <fgColor rgb="FFC6E8D7"/>
        <bgColor rgb="FF000000"/>
      </patternFill>
    </fill>
    <fill>
      <patternFill patternType="solid">
        <fgColor rgb="FFFCEDEC"/>
        <bgColor rgb="FF000000"/>
      </patternFill>
    </fill>
    <fill>
      <patternFill patternType="solid">
        <fgColor rgb="FFFFFEFD"/>
        <bgColor rgb="FF000000"/>
      </patternFill>
    </fill>
    <fill>
      <patternFill patternType="solid">
        <fgColor rgb="FFC8E8D9"/>
        <bgColor rgb="FF000000"/>
      </patternFill>
    </fill>
    <fill>
      <patternFill patternType="solid">
        <fgColor rgb="FFFBE7E5"/>
        <bgColor rgb="FF000000"/>
      </patternFill>
    </fill>
    <fill>
      <patternFill patternType="solid">
        <fgColor rgb="FFF2BBB7"/>
        <bgColor rgb="FF000000"/>
      </patternFill>
    </fill>
    <fill>
      <patternFill patternType="solid">
        <fgColor rgb="FFE8F6EF"/>
        <bgColor rgb="FF000000"/>
      </patternFill>
    </fill>
    <fill>
      <patternFill patternType="solid">
        <fgColor rgb="FFDFF2E9"/>
        <bgColor rgb="FF000000"/>
      </patternFill>
    </fill>
    <fill>
      <patternFill patternType="solid">
        <fgColor rgb="FFC5E7D6"/>
        <bgColor rgb="FF000000"/>
      </patternFill>
    </fill>
    <fill>
      <patternFill patternType="solid">
        <fgColor rgb="FFFAE3E1"/>
        <bgColor rgb="FF000000"/>
      </patternFill>
    </fill>
    <fill>
      <patternFill patternType="solid">
        <fgColor rgb="FFF8FCFA"/>
        <bgColor rgb="FF000000"/>
      </patternFill>
    </fill>
    <fill>
      <patternFill patternType="solid">
        <fgColor rgb="FFF5C7C3"/>
        <bgColor rgb="FF000000"/>
      </patternFill>
    </fill>
    <fill>
      <patternFill patternType="solid">
        <fgColor rgb="FFEFF8F4"/>
        <bgColor rgb="FF000000"/>
      </patternFill>
    </fill>
    <fill>
      <patternFill patternType="solid">
        <fgColor rgb="FFCBEADA"/>
        <bgColor rgb="FF000000"/>
      </patternFill>
    </fill>
    <fill>
      <patternFill patternType="solid">
        <fgColor rgb="FFFDF3F3"/>
        <bgColor rgb="FF000000"/>
      </patternFill>
    </fill>
    <fill>
      <patternFill patternType="solid">
        <fgColor rgb="FFFEF6F5"/>
        <bgColor rgb="FF000000"/>
      </patternFill>
    </fill>
    <fill>
      <patternFill patternType="solid">
        <fgColor rgb="FFFBE8E6"/>
        <bgColor rgb="FF000000"/>
      </patternFill>
    </fill>
    <fill>
      <patternFill patternType="solid">
        <fgColor rgb="FFFAE4E3"/>
        <bgColor rgb="FF000000"/>
      </patternFill>
    </fill>
    <fill>
      <patternFill patternType="solid">
        <fgColor rgb="FFFFFDFC"/>
        <bgColor rgb="FF000000"/>
      </patternFill>
    </fill>
    <fill>
      <patternFill patternType="solid">
        <fgColor rgb="FFF9DEDB"/>
        <bgColor rgb="FF000000"/>
      </patternFill>
    </fill>
    <fill>
      <patternFill patternType="solid">
        <fgColor rgb="FFFCEBE9"/>
        <bgColor rgb="FF000000"/>
      </patternFill>
    </fill>
    <fill>
      <patternFill patternType="solid">
        <fgColor rgb="FFFEFAFA"/>
        <bgColor rgb="FF000000"/>
      </patternFill>
    </fill>
    <fill>
      <patternFill patternType="solid">
        <fgColor rgb="FFABDDC4"/>
        <bgColor rgb="FF000000"/>
      </patternFill>
    </fill>
    <fill>
      <patternFill patternType="solid">
        <fgColor rgb="FF8AD0AE"/>
        <bgColor rgb="FF000000"/>
      </patternFill>
    </fill>
    <fill>
      <patternFill patternType="solid">
        <fgColor rgb="FFD8EFE3"/>
        <bgColor rgb="FF000000"/>
      </patternFill>
    </fill>
    <fill>
      <patternFill patternType="solid">
        <fgColor rgb="FFFAFCFB"/>
        <bgColor rgb="FF000000"/>
      </patternFill>
    </fill>
    <fill>
      <patternFill patternType="solid">
        <fgColor rgb="FFFCEFED"/>
        <bgColor rgb="FF000000"/>
      </patternFill>
    </fill>
    <fill>
      <patternFill patternType="solid">
        <fgColor rgb="FFFBE6E4"/>
        <bgColor rgb="FF000000"/>
      </patternFill>
    </fill>
    <fill>
      <patternFill patternType="solid">
        <fgColor rgb="FFBBE3CF"/>
        <bgColor rgb="FF000000"/>
      </patternFill>
    </fill>
    <fill>
      <patternFill patternType="solid">
        <fgColor rgb="FFD1ECDF"/>
        <bgColor rgb="FF000000"/>
      </patternFill>
    </fill>
    <fill>
      <patternFill patternType="solid">
        <fgColor rgb="FFFEF7F7"/>
        <bgColor rgb="FF000000"/>
      </patternFill>
    </fill>
    <fill>
      <patternFill patternType="solid">
        <fgColor rgb="FFA4DABF"/>
        <bgColor rgb="FF000000"/>
      </patternFill>
    </fill>
    <fill>
      <patternFill patternType="solid">
        <fgColor rgb="FFAEDEC7"/>
        <bgColor rgb="FF000000"/>
      </patternFill>
    </fill>
    <fill>
      <patternFill patternType="solid">
        <fgColor rgb="FF8ED1B0"/>
        <bgColor rgb="FF000000"/>
      </patternFill>
    </fill>
    <fill>
      <patternFill patternType="solid">
        <fgColor rgb="FFCFEBDD"/>
        <bgColor rgb="FF000000"/>
      </patternFill>
    </fill>
    <fill>
      <patternFill patternType="solid">
        <fgColor rgb="FFF8D8D5"/>
        <bgColor rgb="FF000000"/>
      </patternFill>
    </fill>
    <fill>
      <patternFill patternType="solid">
        <fgColor rgb="FFF3BBB7"/>
        <bgColor rgb="FF000000"/>
      </patternFill>
    </fill>
    <fill>
      <patternFill patternType="solid">
        <fgColor rgb="FFF3BCB7"/>
        <bgColor rgb="FF000000"/>
      </patternFill>
    </fill>
    <fill>
      <patternFill patternType="solid">
        <fgColor rgb="FFEEA59E"/>
        <bgColor rgb="FF000000"/>
      </patternFill>
    </fill>
    <fill>
      <patternFill patternType="solid">
        <fgColor rgb="FFF2FAF6"/>
        <bgColor rgb="FF000000"/>
      </patternFill>
    </fill>
    <fill>
      <patternFill patternType="solid">
        <fgColor rgb="FFBEE4D2"/>
        <bgColor rgb="FF000000"/>
      </patternFill>
    </fill>
    <fill>
      <patternFill patternType="solid">
        <fgColor rgb="FFB5E1CC"/>
        <bgColor rgb="FF000000"/>
      </patternFill>
    </fill>
    <fill>
      <patternFill patternType="solid">
        <fgColor rgb="FF98D5B7"/>
        <bgColor rgb="FF000000"/>
      </patternFill>
    </fill>
    <fill>
      <patternFill patternType="solid">
        <fgColor rgb="FFB2DFC9"/>
        <bgColor rgb="FF000000"/>
      </patternFill>
    </fill>
    <fill>
      <patternFill patternType="solid">
        <fgColor rgb="FFB4E1CB"/>
        <bgColor rgb="FF000000"/>
      </patternFill>
    </fill>
    <fill>
      <patternFill patternType="solid">
        <fgColor rgb="FFFBE9E7"/>
        <bgColor rgb="FF000000"/>
      </patternFill>
    </fill>
    <fill>
      <patternFill patternType="solid">
        <fgColor rgb="FFF9E0DD"/>
        <bgColor rgb="FF000000"/>
      </patternFill>
    </fill>
    <fill>
      <patternFill patternType="solid">
        <fgColor rgb="FFF7FCFA"/>
        <bgColor rgb="FF000000"/>
      </patternFill>
    </fill>
    <fill>
      <patternFill patternType="solid">
        <fgColor rgb="FFF9DFDD"/>
        <bgColor rgb="FF000000"/>
      </patternFill>
    </fill>
    <fill>
      <patternFill patternType="solid">
        <fgColor rgb="FFFAE1DE"/>
        <bgColor rgb="FF000000"/>
      </patternFill>
    </fill>
    <fill>
      <patternFill patternType="solid">
        <fgColor rgb="FFD6EEE2"/>
        <bgColor rgb="FF000000"/>
      </patternFill>
    </fill>
    <fill>
      <patternFill patternType="solid">
        <fgColor rgb="FFFDF4F4"/>
        <bgColor rgb="FF000000"/>
      </patternFill>
    </fill>
    <fill>
      <patternFill patternType="solid">
        <fgColor rgb="FFFCECEA"/>
        <bgColor rgb="FF000000"/>
      </patternFill>
    </fill>
    <fill>
      <patternFill patternType="solid">
        <fgColor rgb="FFFDF2F2"/>
        <bgColor rgb="FF000000"/>
      </patternFill>
    </fill>
    <fill>
      <patternFill patternType="solid">
        <fgColor rgb="FFFFFFFE"/>
        <bgColor rgb="FF000000"/>
      </patternFill>
    </fill>
    <fill>
      <patternFill patternType="solid">
        <fgColor rgb="FFF5C8C5"/>
        <bgColor rgb="FF000000"/>
      </patternFill>
    </fill>
    <fill>
      <patternFill patternType="solid">
        <fgColor rgb="FFE9F6EF"/>
        <bgColor rgb="FF000000"/>
      </patternFill>
    </fill>
    <fill>
      <patternFill patternType="solid">
        <fgColor rgb="FF84CDA9"/>
        <bgColor rgb="FF000000"/>
      </patternFill>
    </fill>
    <fill>
      <patternFill patternType="solid">
        <fgColor rgb="FF7AC9A3"/>
        <bgColor rgb="FF000000"/>
      </patternFill>
    </fill>
    <fill>
      <patternFill patternType="solid">
        <fgColor rgb="FF5ABC8C"/>
        <bgColor rgb="FF000000"/>
      </patternFill>
    </fill>
    <fill>
      <patternFill patternType="solid">
        <fgColor rgb="FFD5EEE2"/>
        <bgColor rgb="FF000000"/>
      </patternFill>
    </fill>
    <fill>
      <patternFill patternType="solid">
        <fgColor rgb="FFCFEBDE"/>
        <bgColor rgb="FF000000"/>
      </patternFill>
    </fill>
    <fill>
      <patternFill patternType="solid">
        <fgColor rgb="FFFBE9E8"/>
        <bgColor rgb="FF000000"/>
      </patternFill>
    </fill>
    <fill>
      <patternFill patternType="solid">
        <fgColor rgb="FFF7D4D1"/>
        <bgColor rgb="FF000000"/>
      </patternFill>
    </fill>
    <fill>
      <patternFill patternType="solid">
        <fgColor rgb="FFF5C9C5"/>
        <bgColor rgb="FF000000"/>
      </patternFill>
    </fill>
    <fill>
      <patternFill patternType="solid">
        <fgColor rgb="FFFBE7E6"/>
        <bgColor rgb="FF000000"/>
      </patternFill>
    </fill>
    <fill>
      <patternFill patternType="solid">
        <fgColor rgb="FFF4FAF8"/>
        <bgColor rgb="FF000000"/>
      </patternFill>
    </fill>
    <fill>
      <patternFill patternType="solid">
        <fgColor rgb="FFFEF8F8"/>
        <bgColor rgb="FF000000"/>
      </patternFill>
    </fill>
    <fill>
      <patternFill patternType="solid">
        <fgColor rgb="FFF7D4D2"/>
        <bgColor rgb="FF000000"/>
      </patternFill>
    </fill>
    <fill>
      <patternFill patternType="solid">
        <fgColor rgb="FF7ECBA5"/>
        <bgColor rgb="FF000000"/>
      </patternFill>
    </fill>
    <fill>
      <patternFill patternType="solid">
        <fgColor rgb="FF57BB8A"/>
        <bgColor rgb="FF000000"/>
      </patternFill>
    </fill>
    <fill>
      <patternFill patternType="solid">
        <fgColor rgb="FFFAFDFB"/>
        <bgColor rgb="FF000000"/>
      </patternFill>
    </fill>
    <fill>
      <patternFill patternType="solid">
        <fgColor rgb="FFF0ADA7"/>
        <bgColor rgb="FF000000"/>
      </patternFill>
    </fill>
    <fill>
      <patternFill patternType="solid">
        <fgColor rgb="FFEB968F"/>
        <bgColor rgb="FF000000"/>
      </patternFill>
    </fill>
    <fill>
      <patternFill patternType="solid">
        <fgColor rgb="FFE8837A"/>
        <bgColor rgb="FF000000"/>
      </patternFill>
    </fill>
    <fill>
      <patternFill patternType="solid">
        <fgColor rgb="FFF6CDCA"/>
        <bgColor rgb="FF000000"/>
      </patternFill>
    </fill>
    <fill>
      <patternFill patternType="solid">
        <fgColor rgb="FFF5C9C6"/>
        <bgColor rgb="FF000000"/>
      </patternFill>
    </fill>
    <fill>
      <patternFill patternType="solid">
        <fgColor rgb="FF9AD6B8"/>
        <bgColor rgb="FF000000"/>
      </patternFill>
    </fill>
    <fill>
      <patternFill patternType="solid">
        <fgColor rgb="FFFBEAE8"/>
        <bgColor rgb="FF000000"/>
      </patternFill>
    </fill>
    <fill>
      <patternFill patternType="solid">
        <fgColor rgb="FFB3E0CA"/>
        <bgColor rgb="FF000000"/>
      </patternFill>
    </fill>
    <fill>
      <patternFill patternType="solid">
        <fgColor rgb="FFA2D9BE"/>
        <bgColor rgb="FF000000"/>
      </patternFill>
    </fill>
    <fill>
      <patternFill patternType="solid">
        <fgColor rgb="FFF3C0BB"/>
        <bgColor rgb="FF000000"/>
      </patternFill>
    </fill>
    <fill>
      <patternFill patternType="solid">
        <fgColor rgb="FFEEA59F"/>
        <bgColor rgb="FF000000"/>
      </patternFill>
    </fill>
    <fill>
      <patternFill patternType="solid">
        <fgColor rgb="FFEB938B"/>
        <bgColor rgb="FF000000"/>
      </patternFill>
    </fill>
    <fill>
      <patternFill patternType="solid">
        <fgColor rgb="FFF8D8D6"/>
        <bgColor rgb="FF000000"/>
      </patternFill>
    </fill>
    <fill>
      <patternFill patternType="solid">
        <fgColor rgb="FFF7FBF9"/>
        <bgColor rgb="FF000000"/>
      </patternFill>
    </fill>
    <fill>
      <patternFill patternType="solid">
        <fgColor rgb="FFD7EFE3"/>
        <bgColor rgb="FF000000"/>
      </patternFill>
    </fill>
    <fill>
      <patternFill patternType="solid">
        <fgColor rgb="FFADDDC5"/>
        <bgColor rgb="FF000000"/>
      </patternFill>
    </fill>
    <fill>
      <patternFill patternType="solid">
        <fgColor rgb="FFB9E3CE"/>
        <bgColor rgb="FF000000"/>
      </patternFill>
    </fill>
    <fill>
      <patternFill patternType="solid">
        <fgColor rgb="FFF9DDDA"/>
        <bgColor rgb="FF000000"/>
      </patternFill>
    </fill>
    <fill>
      <patternFill patternType="solid">
        <fgColor rgb="FFEDA099"/>
        <bgColor rgb="FF000000"/>
      </patternFill>
    </fill>
    <fill>
      <patternFill patternType="solid">
        <fgColor rgb="FFF7D5D2"/>
        <bgColor rgb="FF000000"/>
      </patternFill>
    </fill>
    <fill>
      <patternFill patternType="solid">
        <fgColor rgb="FFEDF7F2"/>
        <bgColor rgb="FF000000"/>
      </patternFill>
    </fill>
    <fill>
      <patternFill patternType="solid">
        <fgColor rgb="FF83CDA9"/>
        <bgColor rgb="FF000000"/>
      </patternFill>
    </fill>
    <fill>
      <patternFill patternType="solid">
        <fgColor rgb="FFF6CECA"/>
        <bgColor rgb="FF000000"/>
      </patternFill>
    </fill>
    <fill>
      <patternFill patternType="solid">
        <fgColor rgb="FFECF7F1"/>
        <bgColor rgb="FF000000"/>
      </patternFill>
    </fill>
    <fill>
      <patternFill patternType="solid">
        <fgColor rgb="FF8BD0AE"/>
        <bgColor rgb="FF000000"/>
      </patternFill>
    </fill>
    <fill>
      <patternFill patternType="solid">
        <fgColor rgb="FFC7E8D8"/>
        <bgColor rgb="FF000000"/>
      </patternFill>
    </fill>
    <fill>
      <patternFill patternType="solid">
        <fgColor rgb="FF9CD7BA"/>
        <bgColor rgb="FF000000"/>
      </patternFill>
    </fill>
    <fill>
      <patternFill patternType="solid">
        <fgColor rgb="FF91D2B2"/>
        <bgColor rgb="FF000000"/>
      </patternFill>
    </fill>
    <fill>
      <patternFill patternType="solid">
        <fgColor rgb="FFA3DABF"/>
        <bgColor rgb="FF000000"/>
      </patternFill>
    </fill>
    <fill>
      <patternFill patternType="solid">
        <fgColor rgb="FFB8E2CD"/>
        <bgColor rgb="FF000000"/>
      </patternFill>
    </fill>
    <fill>
      <patternFill patternType="solid">
        <fgColor rgb="FFADDEC6"/>
        <bgColor rgb="FF000000"/>
      </patternFill>
    </fill>
    <fill>
      <patternFill patternType="solid">
        <fgColor rgb="FFF8D9D7"/>
        <bgColor rgb="FF000000"/>
      </patternFill>
    </fill>
    <fill>
      <patternFill patternType="solid">
        <fgColor rgb="FFBFE5D2"/>
        <bgColor rgb="FF000000"/>
      </patternFill>
    </fill>
    <fill>
      <patternFill patternType="solid">
        <fgColor rgb="FFF7D1CE"/>
        <bgColor rgb="FF000000"/>
      </patternFill>
    </fill>
    <fill>
      <patternFill patternType="solid">
        <fgColor rgb="FFF1B5B0"/>
        <bgColor rgb="FF000000"/>
      </patternFill>
    </fill>
    <fill>
      <patternFill patternType="solid">
        <fgColor rgb="FFEB978F"/>
        <bgColor rgb="FF000000"/>
      </patternFill>
    </fill>
    <fill>
      <patternFill patternType="solid">
        <fgColor rgb="FFE98B83"/>
        <bgColor rgb="FF000000"/>
      </patternFill>
    </fill>
    <fill>
      <patternFill patternType="solid">
        <fgColor rgb="FFF4C5C1"/>
        <bgColor rgb="FF000000"/>
      </patternFill>
    </fill>
    <fill>
      <patternFill patternType="solid">
        <fgColor rgb="FFA9DCC3"/>
        <bgColor rgb="FF000000"/>
      </patternFill>
    </fill>
    <fill>
      <patternFill patternType="solid">
        <fgColor rgb="FF9ED7BB"/>
        <bgColor rgb="FF000000"/>
      </patternFill>
    </fill>
    <fill>
      <patternFill patternType="solid">
        <fgColor rgb="FFF3BFBB"/>
        <bgColor rgb="FF000000"/>
      </patternFill>
    </fill>
    <fill>
      <patternFill patternType="solid">
        <fgColor rgb="FFF6D0CD"/>
        <bgColor rgb="FF000000"/>
      </patternFill>
    </fill>
    <fill>
      <patternFill patternType="solid">
        <fgColor rgb="FFE3F3EC"/>
        <bgColor rgb="FF000000"/>
      </patternFill>
    </fill>
    <fill>
      <patternFill patternType="solid">
        <fgColor rgb="FFA3D9BF"/>
        <bgColor rgb="FF000000"/>
      </patternFill>
    </fill>
    <fill>
      <patternFill patternType="solid">
        <fgColor rgb="FF99D5B8"/>
        <bgColor rgb="FF000000"/>
      </patternFill>
    </fill>
    <fill>
      <patternFill patternType="solid">
        <fgColor rgb="FFED9F98"/>
        <bgColor rgb="FF000000"/>
      </patternFill>
    </fill>
    <fill>
      <patternFill patternType="solid">
        <fgColor rgb="FFEA8D85"/>
        <bgColor rgb="FF000000"/>
      </patternFill>
    </fill>
    <fill>
      <patternFill patternType="solid">
        <fgColor rgb="FFE67C73"/>
        <bgColor rgb="FF000000"/>
      </patternFill>
    </fill>
    <fill>
      <patternFill patternType="solid">
        <fgColor rgb="FFF0B0AB"/>
        <bgColor rgb="FF000000"/>
      </patternFill>
    </fill>
    <fill>
      <patternFill patternType="solid">
        <fgColor rgb="FFF3BFBA"/>
        <bgColor rgb="FF000000"/>
      </patternFill>
    </fill>
    <fill>
      <patternFill patternType="solid">
        <fgColor rgb="FFF1B4AF"/>
        <bgColor rgb="FF000000"/>
      </patternFill>
    </fill>
    <fill>
      <patternFill patternType="solid">
        <fgColor rgb="FFAADCC4"/>
        <bgColor rgb="FF000000"/>
      </patternFill>
    </fill>
    <fill>
      <patternFill patternType="solid">
        <fgColor rgb="FF88CEAC"/>
        <bgColor rgb="FF000000"/>
      </patternFill>
    </fill>
    <fill>
      <patternFill patternType="solid">
        <fgColor rgb="FF93D3B4"/>
        <bgColor rgb="FF000000"/>
      </patternFill>
    </fill>
    <fill>
      <patternFill patternType="solid">
        <fgColor rgb="FFA0D8BD"/>
        <bgColor rgb="FF000000"/>
      </patternFill>
    </fill>
    <fill>
      <patternFill patternType="solid">
        <fgColor rgb="FF96D4B6"/>
        <bgColor rgb="FF000000"/>
      </patternFill>
    </fill>
    <fill>
      <patternFill patternType="solid">
        <fgColor rgb="FFF0AFA9"/>
        <bgColor rgb="FF000000"/>
      </patternFill>
    </fill>
    <fill>
      <patternFill patternType="solid">
        <fgColor rgb="FFEB968E"/>
        <bgColor rgb="FF000000"/>
      </patternFill>
    </fill>
    <fill>
      <patternFill patternType="solid">
        <fgColor rgb="FFE8847C"/>
        <bgColor rgb="FF000000"/>
      </patternFill>
    </fill>
    <fill>
      <patternFill patternType="solid">
        <fgColor rgb="FFF6CFCC"/>
        <bgColor rgb="FF000000"/>
      </patternFill>
    </fill>
    <fill>
      <patternFill patternType="solid">
        <fgColor rgb="FFBDE4D1"/>
        <bgColor rgb="FF000000"/>
      </patternFill>
    </fill>
    <fill>
      <patternFill patternType="solid">
        <fgColor rgb="FFF5FAF8"/>
        <bgColor rgb="FF000000"/>
      </patternFill>
    </fill>
    <fill>
      <patternFill patternType="solid">
        <fgColor rgb="FFEEA39C"/>
        <bgColor rgb="FF000000"/>
      </patternFill>
    </fill>
    <fill>
      <patternFill patternType="solid">
        <fgColor rgb="FFFAE4E2"/>
        <bgColor rgb="FF000000"/>
      </patternFill>
    </fill>
    <fill>
      <patternFill patternType="solid">
        <fgColor rgb="FFEEA49D"/>
        <bgColor rgb="FF000000"/>
      </patternFill>
    </fill>
    <fill>
      <patternFill patternType="solid">
        <fgColor rgb="FFEFA8A2"/>
        <bgColor rgb="FF000000"/>
      </patternFill>
    </fill>
    <fill>
      <patternFill patternType="solid">
        <fgColor rgb="FFED9E98"/>
        <bgColor rgb="FF000000"/>
      </patternFill>
    </fill>
    <fill>
      <patternFill patternType="solid">
        <fgColor rgb="FFE5F4EC"/>
        <bgColor rgb="FF000000"/>
      </patternFill>
    </fill>
    <fill>
      <patternFill patternType="solid">
        <fgColor rgb="FFEFAAA5"/>
        <bgColor rgb="FF000000"/>
      </patternFill>
    </fill>
    <fill>
      <patternFill patternType="solid">
        <fgColor rgb="FF6FC59B"/>
        <bgColor rgb="FF000000"/>
      </patternFill>
    </fill>
    <fill>
      <patternFill patternType="solid">
        <fgColor rgb="FF60BE90"/>
        <bgColor rgb="FF000000"/>
      </patternFill>
    </fill>
    <fill>
      <patternFill patternType="solid">
        <fgColor rgb="FF5FBE8F"/>
        <bgColor rgb="FF000000"/>
      </patternFill>
    </fill>
    <fill>
      <patternFill patternType="solid">
        <fgColor rgb="FFB0DFC8"/>
        <bgColor rgb="FF000000"/>
      </patternFill>
    </fill>
    <fill>
      <patternFill patternType="solid">
        <fgColor rgb="FFFEF5F5"/>
        <bgColor rgb="FF000000"/>
      </patternFill>
    </fill>
    <fill>
      <patternFill patternType="solid">
        <fgColor rgb="FFCDEBDC"/>
        <bgColor rgb="FF000000"/>
      </patternFill>
    </fill>
    <fill>
      <patternFill patternType="solid">
        <fgColor rgb="FFB8E2CE"/>
        <bgColor rgb="FF000000"/>
      </patternFill>
    </fill>
    <fill>
      <patternFill patternType="solid">
        <fgColor rgb="FFB5E1CB"/>
        <bgColor rgb="FF000000"/>
      </patternFill>
    </fill>
    <fill>
      <patternFill patternType="solid">
        <fgColor rgb="FFC9E9DA"/>
        <bgColor rgb="FF000000"/>
      </patternFill>
    </fill>
    <fill>
      <patternFill patternType="solid">
        <fgColor rgb="FFF9DBD8"/>
        <bgColor rgb="FF000000"/>
      </patternFill>
    </fill>
    <fill>
      <patternFill patternType="solid">
        <fgColor rgb="FFFCFDFC"/>
        <bgColor rgb="FF000000"/>
      </patternFill>
    </fill>
    <fill>
      <patternFill patternType="solid">
        <fgColor rgb="FFF4C3BF"/>
        <bgColor rgb="FF000000"/>
      </patternFill>
    </fill>
    <fill>
      <patternFill patternType="solid">
        <fgColor rgb="FFFBE5E4"/>
        <bgColor rgb="FF000000"/>
      </patternFill>
    </fill>
    <fill>
      <patternFill patternType="solid">
        <fgColor rgb="FFF5C7C4"/>
        <bgColor rgb="FF000000"/>
      </patternFill>
    </fill>
    <fill>
      <patternFill patternType="solid">
        <fgColor rgb="FFEFAAA4"/>
        <bgColor rgb="FF000000"/>
      </patternFill>
    </fill>
    <fill>
      <patternFill patternType="solid">
        <fgColor rgb="FFF9DFDC"/>
        <bgColor rgb="FF000000"/>
      </patternFill>
    </fill>
    <fill>
      <patternFill patternType="solid">
        <fgColor rgb="FFE1F3EA"/>
        <bgColor rgb="FF000000"/>
      </patternFill>
    </fill>
    <fill>
      <patternFill patternType="solid">
        <fgColor rgb="FF7BC9A3"/>
        <bgColor rgb="FF000000"/>
      </patternFill>
    </fill>
    <fill>
      <patternFill patternType="solid">
        <fgColor rgb="FF67C195"/>
        <bgColor rgb="FF000000"/>
      </patternFill>
    </fill>
    <fill>
      <patternFill patternType="solid">
        <fgColor rgb="FFDCF0E6"/>
        <bgColor rgb="FF000000"/>
      </patternFill>
    </fill>
    <fill>
      <patternFill patternType="solid">
        <fgColor rgb="FFF5C8C4"/>
        <bgColor rgb="FF000000"/>
      </patternFill>
    </fill>
    <fill>
      <patternFill patternType="solid">
        <fgColor rgb="FFAFDEC7"/>
        <bgColor rgb="FF000000"/>
      </patternFill>
    </fill>
    <fill>
      <patternFill patternType="solid">
        <fgColor rgb="FFA8DBC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2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1" fontId="0" fillId="0" borderId="0" xfId="0" applyNumberFormat="1"/>
    <xf numFmtId="0" fontId="0" fillId="2" borderId="0" xfId="0" applyFill="1" applyAlignment="1">
      <alignment horizontal="center"/>
    </xf>
    <xf numFmtId="0" fontId="8" fillId="0" borderId="0" xfId="0" applyFont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1" borderId="0" xfId="0" applyFont="1" applyFill="1"/>
    <xf numFmtId="0" fontId="9" fillId="12" borderId="0" xfId="0" applyFont="1" applyFill="1"/>
    <xf numFmtId="0" fontId="9" fillId="13" borderId="0" xfId="0" applyFont="1" applyFill="1"/>
    <xf numFmtId="0" fontId="9" fillId="14" borderId="0" xfId="0" applyFont="1" applyFill="1"/>
    <xf numFmtId="0" fontId="9" fillId="15" borderId="0" xfId="0" applyFont="1" applyFill="1"/>
    <xf numFmtId="0" fontId="9" fillId="16" borderId="0" xfId="0" applyFont="1" applyFill="1"/>
    <xf numFmtId="0" fontId="9" fillId="17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0" fontId="9" fillId="18" borderId="0" xfId="0" applyFont="1" applyFill="1"/>
    <xf numFmtId="0" fontId="9" fillId="19" borderId="0" xfId="0" applyFont="1" applyFill="1"/>
    <xf numFmtId="0" fontId="9" fillId="20" borderId="0" xfId="0" applyFont="1" applyFill="1"/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9" fillId="25" borderId="0" xfId="0" applyFont="1" applyFill="1"/>
    <xf numFmtId="0" fontId="9" fillId="26" borderId="0" xfId="0" applyFont="1" applyFill="1"/>
    <xf numFmtId="0" fontId="9" fillId="27" borderId="0" xfId="0" applyFont="1" applyFill="1"/>
    <xf numFmtId="0" fontId="9" fillId="28" borderId="0" xfId="0" applyFont="1" applyFill="1"/>
    <xf numFmtId="0" fontId="9" fillId="29" borderId="0" xfId="0" applyFont="1" applyFill="1"/>
    <xf numFmtId="0" fontId="9" fillId="30" borderId="0" xfId="0" applyFont="1" applyFill="1"/>
    <xf numFmtId="0" fontId="9" fillId="31" borderId="0" xfId="0" applyFont="1" applyFill="1"/>
    <xf numFmtId="0" fontId="9" fillId="32" borderId="0" xfId="0" applyFont="1" applyFill="1"/>
    <xf numFmtId="0" fontId="9" fillId="33" borderId="0" xfId="0" applyFont="1" applyFill="1"/>
    <xf numFmtId="0" fontId="9" fillId="34" borderId="0" xfId="0" applyFont="1" applyFill="1"/>
    <xf numFmtId="0" fontId="9" fillId="35" borderId="0" xfId="0" applyFont="1" applyFill="1"/>
    <xf numFmtId="0" fontId="9" fillId="36" borderId="0" xfId="0" applyFont="1" applyFill="1"/>
    <xf numFmtId="0" fontId="9" fillId="37" borderId="0" xfId="0" applyFont="1" applyFill="1"/>
    <xf numFmtId="0" fontId="9" fillId="38" borderId="0" xfId="0" applyFont="1" applyFill="1"/>
    <xf numFmtId="0" fontId="9" fillId="39" borderId="0" xfId="0" applyFont="1" applyFill="1"/>
    <xf numFmtId="0" fontId="9" fillId="40" borderId="0" xfId="0" applyFont="1" applyFill="1"/>
    <xf numFmtId="0" fontId="9" fillId="41" borderId="0" xfId="0" applyFont="1" applyFill="1"/>
    <xf numFmtId="0" fontId="9" fillId="42" borderId="0" xfId="0" applyFont="1" applyFill="1"/>
    <xf numFmtId="0" fontId="9" fillId="43" borderId="0" xfId="0" applyFont="1" applyFill="1"/>
    <xf numFmtId="0" fontId="9" fillId="44" borderId="0" xfId="0" applyFont="1" applyFill="1"/>
    <xf numFmtId="0" fontId="9" fillId="45" borderId="0" xfId="0" applyFont="1" applyFill="1"/>
    <xf numFmtId="0" fontId="9" fillId="46" borderId="0" xfId="0" applyFont="1" applyFill="1"/>
    <xf numFmtId="0" fontId="9" fillId="47" borderId="0" xfId="0" applyFont="1" applyFill="1"/>
    <xf numFmtId="0" fontId="9" fillId="48" borderId="0" xfId="0" applyFont="1" applyFill="1"/>
    <xf numFmtId="0" fontId="9" fillId="49" borderId="0" xfId="0" applyFont="1" applyFill="1"/>
    <xf numFmtId="0" fontId="9" fillId="50" borderId="0" xfId="0" applyFont="1" applyFill="1"/>
    <xf numFmtId="0" fontId="9" fillId="51" borderId="0" xfId="0" applyFont="1" applyFill="1"/>
    <xf numFmtId="0" fontId="9" fillId="52" borderId="0" xfId="0" applyFont="1" applyFill="1"/>
    <xf numFmtId="0" fontId="9" fillId="53" borderId="0" xfId="0" applyFont="1" applyFill="1"/>
    <xf numFmtId="0" fontId="9" fillId="54" borderId="0" xfId="0" applyFont="1" applyFill="1"/>
    <xf numFmtId="0" fontId="9" fillId="55" borderId="0" xfId="0" applyFont="1" applyFill="1"/>
    <xf numFmtId="0" fontId="9" fillId="56" borderId="0" xfId="0" applyFont="1" applyFill="1"/>
    <xf numFmtId="0" fontId="9" fillId="57" borderId="0" xfId="0" applyFont="1" applyFill="1"/>
    <xf numFmtId="0" fontId="9" fillId="58" borderId="0" xfId="0" applyFont="1" applyFill="1"/>
    <xf numFmtId="0" fontId="9" fillId="59" borderId="0" xfId="0" applyFont="1" applyFill="1"/>
    <xf numFmtId="0" fontId="9" fillId="60" borderId="0" xfId="0" applyFont="1" applyFill="1"/>
    <xf numFmtId="0" fontId="9" fillId="61" borderId="0" xfId="0" applyFont="1" applyFill="1"/>
    <xf numFmtId="0" fontId="9" fillId="62" borderId="0" xfId="0" applyFont="1" applyFill="1"/>
    <xf numFmtId="0" fontId="9" fillId="63" borderId="0" xfId="0" applyFont="1" applyFill="1"/>
    <xf numFmtId="0" fontId="9" fillId="64" borderId="0" xfId="0" applyFont="1" applyFill="1"/>
    <xf numFmtId="0" fontId="9" fillId="65" borderId="0" xfId="0" applyFont="1" applyFill="1"/>
    <xf numFmtId="0" fontId="9" fillId="66" borderId="0" xfId="0" applyFont="1" applyFill="1"/>
    <xf numFmtId="0" fontId="9" fillId="67" borderId="0" xfId="0" applyFont="1" applyFill="1"/>
    <xf numFmtId="0" fontId="9" fillId="68" borderId="0" xfId="0" applyFont="1" applyFill="1"/>
    <xf numFmtId="0" fontId="9" fillId="69" borderId="0" xfId="0" applyFont="1" applyFill="1"/>
    <xf numFmtId="0" fontId="9" fillId="70" borderId="0" xfId="0" applyFont="1" applyFill="1"/>
    <xf numFmtId="0" fontId="9" fillId="71" borderId="0" xfId="0" applyFont="1" applyFill="1"/>
    <xf numFmtId="0" fontId="9" fillId="72" borderId="0" xfId="0" applyFont="1" applyFill="1"/>
    <xf numFmtId="0" fontId="9" fillId="73" borderId="0" xfId="0" applyFont="1" applyFill="1"/>
    <xf numFmtId="0" fontId="9" fillId="74" borderId="0" xfId="0" applyFont="1" applyFill="1"/>
    <xf numFmtId="0" fontId="9" fillId="75" borderId="0" xfId="0" applyFont="1" applyFill="1"/>
    <xf numFmtId="0" fontId="9" fillId="76" borderId="0" xfId="0" applyFont="1" applyFill="1"/>
    <xf numFmtId="0" fontId="9" fillId="77" borderId="0" xfId="0" applyFont="1" applyFill="1"/>
    <xf numFmtId="0" fontId="9" fillId="78" borderId="0" xfId="0" applyFont="1" applyFill="1"/>
    <xf numFmtId="0" fontId="9" fillId="79" borderId="0" xfId="0" applyFont="1" applyFill="1"/>
    <xf numFmtId="0" fontId="9" fillId="80" borderId="0" xfId="0" applyFont="1" applyFill="1"/>
    <xf numFmtId="0" fontId="9" fillId="81" borderId="0" xfId="0" applyFont="1" applyFill="1"/>
    <xf numFmtId="0" fontId="9" fillId="82" borderId="0" xfId="0" applyFont="1" applyFill="1"/>
    <xf numFmtId="0" fontId="9" fillId="83" borderId="0" xfId="0" applyFont="1" applyFill="1"/>
    <xf numFmtId="0" fontId="9" fillId="84" borderId="0" xfId="0" applyFont="1" applyFill="1"/>
    <xf numFmtId="0" fontId="9" fillId="85" borderId="0" xfId="0" applyFont="1" applyFill="1"/>
    <xf numFmtId="0" fontId="9" fillId="86" borderId="0" xfId="0" applyFont="1" applyFill="1"/>
    <xf numFmtId="0" fontId="9" fillId="87" borderId="0" xfId="0" applyFont="1" applyFill="1"/>
    <xf numFmtId="0" fontId="9" fillId="88" borderId="0" xfId="0" applyFont="1" applyFill="1"/>
    <xf numFmtId="0" fontId="9" fillId="89" borderId="0" xfId="0" applyFont="1" applyFill="1"/>
    <xf numFmtId="0" fontId="9" fillId="90" borderId="0" xfId="0" applyFont="1" applyFill="1"/>
    <xf numFmtId="0" fontId="9" fillId="91" borderId="0" xfId="0" applyFont="1" applyFill="1"/>
    <xf numFmtId="0" fontId="9" fillId="92" borderId="0" xfId="0" applyFont="1" applyFill="1"/>
    <xf numFmtId="0" fontId="9" fillId="93" borderId="0" xfId="0" applyFont="1" applyFill="1"/>
    <xf numFmtId="0" fontId="9" fillId="94" borderId="0" xfId="0" applyFont="1" applyFill="1"/>
    <xf numFmtId="0" fontId="9" fillId="95" borderId="0" xfId="0" applyFont="1" applyFill="1"/>
    <xf numFmtId="0" fontId="9" fillId="96" borderId="0" xfId="0" applyFont="1" applyFill="1"/>
    <xf numFmtId="0" fontId="9" fillId="97" borderId="0" xfId="0" applyFont="1" applyFill="1"/>
    <xf numFmtId="0" fontId="9" fillId="98" borderId="0" xfId="0" applyFont="1" applyFill="1"/>
    <xf numFmtId="0" fontId="9" fillId="99" borderId="0" xfId="0" applyFont="1" applyFill="1"/>
    <xf numFmtId="0" fontId="9" fillId="100" borderId="0" xfId="0" applyFont="1" applyFill="1"/>
    <xf numFmtId="0" fontId="9" fillId="101" borderId="0" xfId="0" applyFont="1" applyFill="1"/>
    <xf numFmtId="0" fontId="9" fillId="102" borderId="0" xfId="0" applyFont="1" applyFill="1"/>
    <xf numFmtId="0" fontId="9" fillId="103" borderId="0" xfId="0" applyFont="1" applyFill="1"/>
    <xf numFmtId="0" fontId="9" fillId="104" borderId="0" xfId="0" applyFont="1" applyFill="1"/>
    <xf numFmtId="0" fontId="9" fillId="105" borderId="0" xfId="0" applyFont="1" applyFill="1"/>
    <xf numFmtId="0" fontId="9" fillId="106" borderId="0" xfId="0" applyFont="1" applyFill="1"/>
    <xf numFmtId="0" fontId="9" fillId="107" borderId="0" xfId="0" applyFont="1" applyFill="1"/>
    <xf numFmtId="0" fontId="9" fillId="108" borderId="0" xfId="0" applyFont="1" applyFill="1"/>
    <xf numFmtId="0" fontId="9" fillId="109" borderId="0" xfId="0" applyFont="1" applyFill="1"/>
    <xf numFmtId="0" fontId="9" fillId="110" borderId="0" xfId="0" applyFont="1" applyFill="1"/>
    <xf numFmtId="0" fontId="9" fillId="111" borderId="0" xfId="0" applyFont="1" applyFill="1"/>
    <xf numFmtId="0" fontId="9" fillId="112" borderId="0" xfId="0" applyFont="1" applyFill="1"/>
    <xf numFmtId="0" fontId="9" fillId="113" borderId="0" xfId="0" applyFont="1" applyFill="1"/>
    <xf numFmtId="0" fontId="9" fillId="114" borderId="0" xfId="0" applyFont="1" applyFill="1"/>
    <xf numFmtId="0" fontId="9" fillId="115" borderId="0" xfId="0" applyFont="1" applyFill="1"/>
    <xf numFmtId="0" fontId="9" fillId="116" borderId="0" xfId="0" applyFont="1" applyFill="1"/>
    <xf numFmtId="0" fontId="9" fillId="117" borderId="0" xfId="0" applyFont="1" applyFill="1"/>
    <xf numFmtId="0" fontId="9" fillId="118" borderId="0" xfId="0" applyFont="1" applyFill="1"/>
    <xf numFmtId="0" fontId="9" fillId="119" borderId="0" xfId="0" applyFont="1" applyFill="1"/>
    <xf numFmtId="0" fontId="9" fillId="120" borderId="0" xfId="0" applyFont="1" applyFill="1"/>
    <xf numFmtId="0" fontId="9" fillId="121" borderId="0" xfId="0" applyFont="1" applyFill="1"/>
    <xf numFmtId="0" fontId="9" fillId="122" borderId="0" xfId="0" applyFont="1" applyFill="1"/>
    <xf numFmtId="0" fontId="9" fillId="123" borderId="0" xfId="0" applyFont="1" applyFill="1"/>
    <xf numFmtId="0" fontId="9" fillId="124" borderId="0" xfId="0" applyFont="1" applyFill="1"/>
    <xf numFmtId="0" fontId="9" fillId="125" borderId="0" xfId="0" applyFont="1" applyFill="1"/>
    <xf numFmtId="0" fontId="10" fillId="0" borderId="0" xfId="0" applyFont="1"/>
    <xf numFmtId="0" fontId="9" fillId="126" borderId="0" xfId="0" applyFont="1" applyFill="1"/>
    <xf numFmtId="0" fontId="9" fillId="127" borderId="0" xfId="0" applyFont="1" applyFill="1"/>
    <xf numFmtId="0" fontId="9" fillId="128" borderId="0" xfId="0" applyFont="1" applyFill="1"/>
    <xf numFmtId="0" fontId="9" fillId="129" borderId="0" xfId="0" applyFont="1" applyFill="1"/>
    <xf numFmtId="0" fontId="9" fillId="130" borderId="0" xfId="0" applyFont="1" applyFill="1"/>
    <xf numFmtId="0" fontId="9" fillId="131" borderId="0" xfId="0" applyFont="1" applyFill="1"/>
    <xf numFmtId="0" fontId="9" fillId="132" borderId="0" xfId="0" applyFont="1" applyFill="1"/>
    <xf numFmtId="0" fontId="9" fillId="133" borderId="0" xfId="0" applyFont="1" applyFill="1"/>
    <xf numFmtId="0" fontId="9" fillId="134" borderId="0" xfId="0" applyFont="1" applyFill="1"/>
    <xf numFmtId="0" fontId="9" fillId="135" borderId="0" xfId="0" applyFont="1" applyFill="1"/>
    <xf numFmtId="0" fontId="9" fillId="136" borderId="0" xfId="0" applyFont="1" applyFill="1"/>
    <xf numFmtId="0" fontId="9" fillId="137" borderId="0" xfId="0" applyFont="1" applyFill="1"/>
    <xf numFmtId="0" fontId="9" fillId="138" borderId="0" xfId="0" applyFont="1" applyFill="1"/>
    <xf numFmtId="0" fontId="9" fillId="139" borderId="0" xfId="0" applyFont="1" applyFill="1"/>
    <xf numFmtId="0" fontId="9" fillId="140" borderId="0" xfId="0" applyFont="1" applyFill="1"/>
    <xf numFmtId="0" fontId="9" fillId="141" borderId="0" xfId="0" applyFont="1" applyFill="1"/>
    <xf numFmtId="0" fontId="9" fillId="142" borderId="0" xfId="0" applyFont="1" applyFill="1"/>
    <xf numFmtId="0" fontId="9" fillId="143" borderId="0" xfId="0" applyFont="1" applyFill="1"/>
    <xf numFmtId="0" fontId="9" fillId="144" borderId="0" xfId="0" applyFont="1" applyFill="1"/>
    <xf numFmtId="0" fontId="9" fillId="145" borderId="0" xfId="0" applyFont="1" applyFill="1"/>
    <xf numFmtId="0" fontId="9" fillId="146" borderId="0" xfId="0" applyFont="1" applyFill="1"/>
    <xf numFmtId="0" fontId="9" fillId="147" borderId="0" xfId="0" applyFont="1" applyFill="1"/>
    <xf numFmtId="0" fontId="9" fillId="148" borderId="0" xfId="0" applyFont="1" applyFill="1"/>
    <xf numFmtId="0" fontId="9" fillId="149" borderId="0" xfId="0" applyFont="1" applyFill="1"/>
    <xf numFmtId="0" fontId="9" fillId="150" borderId="0" xfId="0" applyFont="1" applyFill="1"/>
    <xf numFmtId="0" fontId="9" fillId="151" borderId="0" xfId="0" applyFont="1" applyFill="1"/>
    <xf numFmtId="0" fontId="9" fillId="152" borderId="0" xfId="0" applyFont="1" applyFill="1"/>
    <xf numFmtId="0" fontId="9" fillId="153" borderId="0" xfId="0" applyFont="1" applyFill="1"/>
    <xf numFmtId="0" fontId="9" fillId="154" borderId="0" xfId="0" applyFont="1" applyFill="1"/>
    <xf numFmtId="0" fontId="9" fillId="155" borderId="0" xfId="0" applyFont="1" applyFill="1"/>
    <xf numFmtId="0" fontId="9" fillId="156" borderId="0" xfId="0" applyFont="1" applyFill="1"/>
    <xf numFmtId="0" fontId="9" fillId="157" borderId="0" xfId="0" applyFont="1" applyFill="1"/>
    <xf numFmtId="0" fontId="9" fillId="158" borderId="0" xfId="0" applyFont="1" applyFill="1"/>
    <xf numFmtId="0" fontId="9" fillId="159" borderId="0" xfId="0" applyFont="1" applyFill="1"/>
    <xf numFmtId="0" fontId="9" fillId="160" borderId="0" xfId="0" applyFont="1" applyFill="1"/>
    <xf numFmtId="0" fontId="9" fillId="161" borderId="0" xfId="0" applyFont="1" applyFill="1"/>
    <xf numFmtId="0" fontId="9" fillId="162" borderId="0" xfId="0" applyFont="1" applyFill="1"/>
    <xf numFmtId="0" fontId="9" fillId="163" borderId="0" xfId="0" applyFont="1" applyFill="1"/>
    <xf numFmtId="0" fontId="9" fillId="164" borderId="0" xfId="0" applyFont="1" applyFill="1"/>
    <xf numFmtId="0" fontId="9" fillId="165" borderId="0" xfId="0" applyFont="1" applyFill="1"/>
    <xf numFmtId="0" fontId="9" fillId="166" borderId="0" xfId="0" applyFont="1" applyFill="1"/>
    <xf numFmtId="0" fontId="9" fillId="167" borderId="0" xfId="0" applyFont="1" applyFill="1"/>
    <xf numFmtId="0" fontId="9" fillId="168" borderId="0" xfId="0" applyFont="1" applyFill="1"/>
    <xf numFmtId="0" fontId="9" fillId="169" borderId="0" xfId="0" applyFont="1" applyFill="1"/>
    <xf numFmtId="0" fontId="9" fillId="170" borderId="0" xfId="0" applyFont="1" applyFill="1"/>
    <xf numFmtId="0" fontId="9" fillId="171" borderId="0" xfId="0" applyFont="1" applyFill="1"/>
    <xf numFmtId="0" fontId="9" fillId="172" borderId="0" xfId="0" applyFont="1" applyFill="1"/>
    <xf numFmtId="0" fontId="9" fillId="173" borderId="0" xfId="0" applyFont="1" applyFill="1"/>
    <xf numFmtId="0" fontId="9" fillId="174" borderId="0" xfId="0" applyFont="1" applyFill="1"/>
    <xf numFmtId="0" fontId="9" fillId="175" borderId="0" xfId="0" applyFont="1" applyFill="1"/>
    <xf numFmtId="0" fontId="9" fillId="176" borderId="0" xfId="0" applyFont="1" applyFill="1"/>
    <xf numFmtId="0" fontId="9" fillId="177" borderId="0" xfId="0" applyFont="1" applyFill="1"/>
    <xf numFmtId="0" fontId="9" fillId="178" borderId="0" xfId="0" applyFont="1" applyFill="1"/>
    <xf numFmtId="0" fontId="9" fillId="179" borderId="0" xfId="0" applyFont="1" applyFill="1"/>
    <xf numFmtId="0" fontId="9" fillId="180" borderId="0" xfId="0" applyFont="1" applyFill="1"/>
    <xf numFmtId="0" fontId="9" fillId="181" borderId="0" xfId="0" applyFont="1" applyFill="1"/>
    <xf numFmtId="0" fontId="9" fillId="182" borderId="0" xfId="0" applyFont="1" applyFill="1"/>
    <xf numFmtId="0" fontId="9" fillId="183" borderId="0" xfId="0" applyFont="1" applyFill="1"/>
    <xf numFmtId="0" fontId="9" fillId="184" borderId="0" xfId="0" applyFont="1" applyFill="1"/>
    <xf numFmtId="0" fontId="9" fillId="185" borderId="0" xfId="0" applyFont="1" applyFill="1"/>
    <xf numFmtId="0" fontId="9" fillId="186" borderId="0" xfId="0" applyFont="1" applyFill="1"/>
    <xf numFmtId="0" fontId="9" fillId="187" borderId="0" xfId="0" applyFont="1" applyFill="1"/>
    <xf numFmtId="0" fontId="9" fillId="188" borderId="0" xfId="0" applyFont="1" applyFill="1"/>
    <xf numFmtId="0" fontId="9" fillId="189" borderId="0" xfId="0" applyFont="1" applyFill="1"/>
    <xf numFmtId="0" fontId="9" fillId="190" borderId="0" xfId="0" applyFont="1" applyFill="1"/>
    <xf numFmtId="0" fontId="9" fillId="191" borderId="0" xfId="0" applyFont="1" applyFill="1"/>
    <xf numFmtId="0" fontId="9" fillId="192" borderId="0" xfId="0" applyFont="1" applyFill="1"/>
    <xf numFmtId="0" fontId="9" fillId="193" borderId="0" xfId="0" applyFont="1" applyFill="1"/>
    <xf numFmtId="0" fontId="9" fillId="194" borderId="0" xfId="0" applyFont="1" applyFill="1"/>
    <xf numFmtId="0" fontId="9" fillId="195" borderId="0" xfId="0" applyFont="1" applyFill="1"/>
    <xf numFmtId="0" fontId="9" fillId="196" borderId="0" xfId="0" applyFont="1" applyFill="1"/>
    <xf numFmtId="0" fontId="9" fillId="197" borderId="0" xfId="0" applyFont="1" applyFill="1"/>
    <xf numFmtId="0" fontId="9" fillId="198" borderId="0" xfId="0" applyFont="1" applyFill="1"/>
    <xf numFmtId="0" fontId="9" fillId="199" borderId="0" xfId="0" applyFont="1" applyFill="1"/>
    <xf numFmtId="0" fontId="9" fillId="200" borderId="0" xfId="0" applyFont="1" applyFill="1"/>
    <xf numFmtId="0" fontId="9" fillId="201" borderId="0" xfId="0" applyFont="1" applyFill="1"/>
    <xf numFmtId="0" fontId="9" fillId="202" borderId="0" xfId="0" applyFont="1" applyFill="1"/>
    <xf numFmtId="0" fontId="9" fillId="203" borderId="0" xfId="0" applyFont="1" applyFill="1"/>
    <xf numFmtId="0" fontId="9" fillId="204" borderId="0" xfId="0" applyFont="1" applyFill="1"/>
    <xf numFmtId="0" fontId="9" fillId="205" borderId="0" xfId="0" applyFont="1" applyFill="1"/>
    <xf numFmtId="0" fontId="9" fillId="206" borderId="0" xfId="0" applyFont="1" applyFill="1"/>
    <xf numFmtId="0" fontId="9" fillId="207" borderId="0" xfId="0" applyFont="1" applyFill="1"/>
    <xf numFmtId="0" fontId="9" fillId="208" borderId="0" xfId="0" applyFont="1" applyFill="1"/>
    <xf numFmtId="0" fontId="9" fillId="209" borderId="0" xfId="0" applyFont="1" applyFill="1"/>
    <xf numFmtId="0" fontId="9" fillId="210" borderId="0" xfId="0" applyFont="1" applyFill="1"/>
    <xf numFmtId="0" fontId="9" fillId="211" borderId="0" xfId="0" applyFont="1" applyFill="1"/>
    <xf numFmtId="0" fontId="9" fillId="212" borderId="0" xfId="0" applyFont="1" applyFill="1"/>
    <xf numFmtId="0" fontId="9" fillId="213" borderId="0" xfId="0" applyFont="1" applyFill="1"/>
    <xf numFmtId="0" fontId="9" fillId="214" borderId="0" xfId="0" applyFont="1" applyFill="1"/>
    <xf numFmtId="0" fontId="9" fillId="215" borderId="0" xfId="0" applyFont="1" applyFill="1"/>
    <xf numFmtId="0" fontId="9" fillId="216" borderId="0" xfId="0" applyFont="1" applyFill="1"/>
    <xf numFmtId="0" fontId="9" fillId="217" borderId="0" xfId="0" applyFont="1" applyFill="1"/>
    <xf numFmtId="0" fontId="9" fillId="218" borderId="0" xfId="0" applyFont="1" applyFill="1"/>
    <xf numFmtId="0" fontId="9" fillId="219" borderId="0" xfId="0" applyFont="1" applyFill="1"/>
    <xf numFmtId="0" fontId="9" fillId="220" borderId="0" xfId="0" applyFont="1" applyFill="1"/>
    <xf numFmtId="0" fontId="9" fillId="221" borderId="0" xfId="0" applyFont="1" applyFill="1"/>
    <xf numFmtId="0" fontId="9" fillId="222" borderId="0" xfId="0" applyFont="1" applyFill="1"/>
    <xf numFmtId="0" fontId="9" fillId="223" borderId="0" xfId="0" applyFont="1" applyFill="1"/>
    <xf numFmtId="0" fontId="9" fillId="224" borderId="0" xfId="0" applyFont="1" applyFill="1"/>
    <xf numFmtId="0" fontId="9" fillId="225" borderId="0" xfId="0" applyFont="1" applyFill="1"/>
    <xf numFmtId="0" fontId="9" fillId="226" borderId="0" xfId="0" applyFont="1" applyFill="1"/>
    <xf numFmtId="0" fontId="9" fillId="227" borderId="0" xfId="0" applyFont="1" applyFill="1"/>
    <xf numFmtId="0" fontId="9" fillId="228" borderId="0" xfId="0" applyFont="1" applyFill="1"/>
    <xf numFmtId="0" fontId="9" fillId="229" borderId="0" xfId="0" applyFont="1" applyFill="1"/>
    <xf numFmtId="0" fontId="9" fillId="230" borderId="0" xfId="0" applyFont="1" applyFill="1"/>
    <xf numFmtId="0" fontId="9" fillId="231" borderId="0" xfId="0" applyFont="1" applyFill="1"/>
    <xf numFmtId="0" fontId="9" fillId="232" borderId="0" xfId="0" applyFont="1" applyFill="1"/>
    <xf numFmtId="0" fontId="9" fillId="233" borderId="0" xfId="0" applyFont="1" applyFill="1"/>
    <xf numFmtId="0" fontId="9" fillId="234" borderId="0" xfId="0" applyFont="1" applyFill="1"/>
    <xf numFmtId="0" fontId="9" fillId="235" borderId="0" xfId="0" applyFont="1" applyFill="1"/>
    <xf numFmtId="0" fontId="9" fillId="236" borderId="0" xfId="0" applyFont="1" applyFill="1"/>
    <xf numFmtId="0" fontId="9" fillId="237" borderId="0" xfId="0" applyFont="1" applyFill="1"/>
    <xf numFmtId="0" fontId="9" fillId="238" borderId="0" xfId="0" applyFont="1" applyFill="1"/>
    <xf numFmtId="0" fontId="9" fillId="239" borderId="0" xfId="0" applyFont="1" applyFill="1"/>
    <xf numFmtId="0" fontId="9" fillId="240" borderId="0" xfId="0" applyFont="1" applyFill="1"/>
    <xf numFmtId="0" fontId="9" fillId="241" borderId="0" xfId="0" applyFont="1" applyFill="1"/>
    <xf numFmtId="0" fontId="9" fillId="242" borderId="0" xfId="0" applyFont="1" applyFill="1"/>
    <xf numFmtId="0" fontId="9" fillId="243" borderId="0" xfId="0" applyFont="1" applyFill="1"/>
    <xf numFmtId="0" fontId="9" fillId="244" borderId="0" xfId="0" applyFont="1" applyFill="1"/>
    <xf numFmtId="0" fontId="9" fillId="245" borderId="0" xfId="0" applyFont="1" applyFill="1"/>
    <xf numFmtId="0" fontId="9" fillId="246" borderId="0" xfId="0" applyFont="1" applyFill="1"/>
    <xf numFmtId="0" fontId="9" fillId="247" borderId="0" xfId="0" applyFont="1" applyFill="1"/>
    <xf numFmtId="0" fontId="9" fillId="248" borderId="0" xfId="0" applyFont="1" applyFill="1"/>
    <xf numFmtId="0" fontId="9" fillId="249" borderId="0" xfId="0" applyFont="1" applyFill="1"/>
    <xf numFmtId="0" fontId="9" fillId="250" borderId="0" xfId="0" applyFont="1" applyFill="1"/>
    <xf numFmtId="0" fontId="9" fillId="251" borderId="0" xfId="0" applyFont="1" applyFill="1"/>
    <xf numFmtId="0" fontId="9" fillId="252" borderId="0" xfId="0" applyFont="1" applyFill="1"/>
    <xf numFmtId="0" fontId="9" fillId="253" borderId="0" xfId="0" applyFont="1" applyFill="1"/>
    <xf numFmtId="0" fontId="9" fillId="254" borderId="0" xfId="0" applyFont="1" applyFill="1"/>
    <xf numFmtId="0" fontId="9" fillId="255" borderId="0" xfId="0" applyFont="1" applyFill="1"/>
    <xf numFmtId="0" fontId="9" fillId="256" borderId="0" xfId="0" applyFont="1" applyFill="1"/>
    <xf numFmtId="0" fontId="9" fillId="257" borderId="0" xfId="0" applyFont="1" applyFill="1"/>
    <xf numFmtId="0" fontId="9" fillId="258" borderId="0" xfId="0" applyFont="1" applyFill="1"/>
    <xf numFmtId="0" fontId="9" fillId="259" borderId="0" xfId="0" applyFont="1" applyFill="1"/>
    <xf numFmtId="0" fontId="9" fillId="260" borderId="0" xfId="0" applyFont="1" applyFill="1"/>
    <xf numFmtId="0" fontId="9" fillId="261" borderId="0" xfId="0" applyFont="1" applyFill="1"/>
    <xf numFmtId="0" fontId="9" fillId="262" borderId="0" xfId="0" applyFont="1" applyFill="1"/>
    <xf numFmtId="0" fontId="9" fillId="263" borderId="0" xfId="0" applyFont="1" applyFill="1"/>
    <xf numFmtId="0" fontId="9" fillId="264" borderId="0" xfId="0" applyFont="1" applyFill="1"/>
    <xf numFmtId="0" fontId="9" fillId="265" borderId="0" xfId="0" applyFont="1" applyFill="1"/>
    <xf numFmtId="0" fontId="9" fillId="266" borderId="0" xfId="0" applyFont="1" applyFill="1"/>
    <xf numFmtId="0" fontId="9" fillId="267" borderId="0" xfId="0" applyFont="1" applyFill="1"/>
    <xf numFmtId="0" fontId="9" fillId="268" borderId="0" xfId="0" applyFont="1" applyFill="1"/>
    <xf numFmtId="0" fontId="9" fillId="269" borderId="0" xfId="0" applyFont="1" applyFill="1"/>
    <xf numFmtId="0" fontId="9" fillId="270" borderId="0" xfId="0" applyFont="1" applyFill="1"/>
    <xf numFmtId="0" fontId="9" fillId="271" borderId="0" xfId="0" applyFont="1" applyFill="1"/>
    <xf numFmtId="0" fontId="9" fillId="272" borderId="0" xfId="0" applyFont="1" applyFill="1"/>
    <xf numFmtId="0" fontId="9" fillId="273" borderId="0" xfId="0" applyFont="1" applyFill="1"/>
    <xf numFmtId="0" fontId="9" fillId="274" borderId="0" xfId="0" applyFont="1" applyFill="1"/>
    <xf numFmtId="0" fontId="9" fillId="275" borderId="0" xfId="0" applyFont="1" applyFill="1"/>
    <xf numFmtId="0" fontId="9" fillId="276" borderId="0" xfId="0" applyFont="1" applyFill="1"/>
    <xf numFmtId="0" fontId="9" fillId="277" borderId="0" xfId="0" applyFont="1" applyFill="1"/>
    <xf numFmtId="0" fontId="9" fillId="278" borderId="0" xfId="0" applyFont="1" applyFill="1"/>
    <xf numFmtId="0" fontId="9" fillId="279" borderId="0" xfId="0" applyFont="1" applyFill="1"/>
    <xf numFmtId="0" fontId="9" fillId="280" borderId="0" xfId="0" applyFont="1" applyFill="1"/>
    <xf numFmtId="0" fontId="9" fillId="281" borderId="0" xfId="0" applyFont="1" applyFill="1"/>
    <xf numFmtId="0" fontId="9" fillId="282" borderId="0" xfId="0" applyFont="1" applyFill="1"/>
    <xf numFmtId="0" fontId="9" fillId="283" borderId="0" xfId="0" applyFont="1" applyFill="1"/>
    <xf numFmtId="0" fontId="9" fillId="284" borderId="0" xfId="0" applyFont="1" applyFill="1"/>
    <xf numFmtId="0" fontId="9" fillId="285" borderId="0" xfId="0" applyFont="1" applyFill="1"/>
    <xf numFmtId="0" fontId="9" fillId="286" borderId="0" xfId="0" applyFont="1" applyFill="1"/>
    <xf numFmtId="0" fontId="9" fillId="287" borderId="0" xfId="0" applyFont="1" applyFill="1"/>
    <xf numFmtId="0" fontId="9" fillId="288" borderId="0" xfId="0" applyFont="1" applyFill="1"/>
    <xf numFmtId="0" fontId="9" fillId="289" borderId="0" xfId="0" applyFont="1" applyFill="1"/>
    <xf numFmtId="0" fontId="9" fillId="290" borderId="0" xfId="0" applyFont="1" applyFill="1"/>
    <xf numFmtId="0" fontId="9" fillId="291" borderId="0" xfId="0" applyFont="1" applyFill="1"/>
    <xf numFmtId="0" fontId="9" fillId="292" borderId="0" xfId="0" applyFont="1" applyFill="1"/>
    <xf numFmtId="0" fontId="9" fillId="293" borderId="0" xfId="0" applyFont="1" applyFill="1"/>
    <xf numFmtId="0" fontId="9" fillId="294" borderId="0" xfId="0" applyFont="1" applyFill="1"/>
    <xf numFmtId="0" fontId="9" fillId="295" borderId="0" xfId="0" applyFont="1" applyFill="1"/>
    <xf numFmtId="0" fontId="9" fillId="296" borderId="0" xfId="0" applyFont="1" applyFill="1"/>
    <xf numFmtId="0" fontId="9" fillId="297" borderId="0" xfId="0" applyFont="1" applyFill="1"/>
    <xf numFmtId="0" fontId="9" fillId="298" borderId="0" xfId="0" applyFont="1" applyFill="1"/>
    <xf numFmtId="0" fontId="9" fillId="299" borderId="0" xfId="0" applyFont="1" applyFill="1"/>
    <xf numFmtId="0" fontId="9" fillId="300" borderId="0" xfId="0" applyFont="1" applyFill="1"/>
    <xf numFmtId="0" fontId="9" fillId="301" borderId="0" xfId="0" applyFont="1" applyFill="1"/>
    <xf numFmtId="0" fontId="9" fillId="302" borderId="0" xfId="0" applyFont="1" applyFill="1"/>
    <xf numFmtId="0" fontId="9" fillId="303" borderId="0" xfId="0" applyFont="1" applyFill="1"/>
    <xf numFmtId="0" fontId="9" fillId="304" borderId="0" xfId="0" applyFont="1" applyFill="1"/>
    <xf numFmtId="0" fontId="9" fillId="305" borderId="0" xfId="0" applyFont="1" applyFill="1"/>
    <xf numFmtId="0" fontId="9" fillId="306" borderId="0" xfId="0" applyFont="1" applyFill="1"/>
    <xf numFmtId="0" fontId="9" fillId="307" borderId="0" xfId="0" applyFont="1" applyFill="1"/>
    <xf numFmtId="0" fontId="9" fillId="308" borderId="0" xfId="0" applyFont="1" applyFill="1"/>
    <xf numFmtId="0" fontId="9" fillId="309" borderId="0" xfId="0" applyFont="1" applyFill="1"/>
    <xf numFmtId="0" fontId="9" fillId="310" borderId="0" xfId="0" applyFont="1" applyFill="1"/>
    <xf numFmtId="0" fontId="9" fillId="311" borderId="0" xfId="0" applyFont="1" applyFill="1"/>
    <xf numFmtId="0" fontId="9" fillId="312" borderId="0" xfId="0" applyFont="1" applyFill="1"/>
    <xf numFmtId="0" fontId="9" fillId="313" borderId="0" xfId="0" applyFont="1" applyFill="1"/>
    <xf numFmtId="0" fontId="9" fillId="314" borderId="0" xfId="0" applyFont="1" applyFill="1"/>
    <xf numFmtId="0" fontId="9" fillId="315" borderId="0" xfId="0" applyFont="1" applyFill="1"/>
    <xf numFmtId="0" fontId="9" fillId="316" borderId="0" xfId="0" applyFont="1" applyFill="1"/>
    <xf numFmtId="0" fontId="9" fillId="317" borderId="0" xfId="0" applyFont="1" applyFill="1"/>
    <xf numFmtId="0" fontId="9" fillId="318" borderId="0" xfId="0" applyFont="1" applyFill="1"/>
    <xf numFmtId="0" fontId="9" fillId="319" borderId="0" xfId="0" applyFont="1" applyFill="1"/>
    <xf numFmtId="0" fontId="9" fillId="320" borderId="0" xfId="0" applyFont="1" applyFill="1"/>
    <xf numFmtId="0" fontId="9" fillId="321" borderId="0" xfId="0" applyFont="1" applyFill="1"/>
    <xf numFmtId="0" fontId="9" fillId="322" borderId="0" xfId="0" applyFont="1" applyFill="1"/>
    <xf numFmtId="0" fontId="9" fillId="323" borderId="0" xfId="0" applyFont="1" applyFill="1"/>
    <xf numFmtId="0" fontId="9" fillId="324" borderId="0" xfId="0" applyFont="1" applyFill="1"/>
    <xf numFmtId="0" fontId="9" fillId="325" borderId="0" xfId="0" applyFont="1" applyFill="1"/>
    <xf numFmtId="0" fontId="9" fillId="326" borderId="0" xfId="0" applyFont="1" applyFill="1"/>
    <xf numFmtId="0" fontId="9" fillId="327" borderId="0" xfId="0" applyFont="1" applyFill="1"/>
    <xf numFmtId="0" fontId="9" fillId="328" borderId="0" xfId="0" applyFont="1" applyFill="1"/>
    <xf numFmtId="0" fontId="9" fillId="329" borderId="0" xfId="0" applyFont="1" applyFill="1"/>
    <xf numFmtId="0" fontId="9" fillId="330" borderId="0" xfId="0" applyFont="1" applyFill="1"/>
    <xf numFmtId="166" fontId="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0" borderId="0" xfId="0" applyNumberFormat="1"/>
    <xf numFmtId="0" fontId="1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E24B-BE81-4AFE-820D-0B06AD3A5582}">
  <dimension ref="A1:A2"/>
  <sheetViews>
    <sheetView workbookViewId="0">
      <selection activeCell="D14" sqref="D14"/>
    </sheetView>
  </sheetViews>
  <sheetFormatPr defaultRowHeight="14.4"/>
  <cols>
    <col min="1" max="1" width="8.5546875" customWidth="1"/>
  </cols>
  <sheetData>
    <row r="1" spans="1:1">
      <c r="A1" s="13" t="s">
        <v>0</v>
      </c>
    </row>
    <row r="2" spans="1:1">
      <c r="A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9F15-90FD-4E00-9688-0B1A9BDF3FDA}">
  <dimension ref="A1:K193"/>
  <sheetViews>
    <sheetView zoomScale="70" zoomScaleNormal="70" workbookViewId="0">
      <pane ySplit="1" topLeftCell="A35" activePane="bottomLeft" state="frozen"/>
      <selection pane="bottomLeft" activeCell="A69" sqref="A69:B69"/>
    </sheetView>
  </sheetViews>
  <sheetFormatPr defaultRowHeight="14.4"/>
  <cols>
    <col min="1" max="1" width="10" style="3" bestFit="1" customWidth="1"/>
    <col min="2" max="2" width="27.88671875" style="3" customWidth="1"/>
    <col min="3" max="3" width="12.44140625" style="3" bestFit="1" customWidth="1"/>
    <col min="4" max="4" width="17.6640625" style="3" bestFit="1" customWidth="1"/>
    <col min="5" max="5" width="16.44140625" style="3" bestFit="1" customWidth="1"/>
    <col min="6" max="6" width="8" style="9" bestFit="1" customWidth="1"/>
    <col min="7" max="7" width="73.33203125" style="23" customWidth="1"/>
    <col min="8" max="8" width="115.6640625" style="23" customWidth="1"/>
    <col min="9" max="9" width="53.33203125" style="23" customWidth="1"/>
    <col min="10" max="10" width="36.33203125" style="3" bestFit="1" customWidth="1"/>
    <col min="11" max="11" width="20" style="3" bestFit="1" customWidth="1"/>
  </cols>
  <sheetData>
    <row r="1" spans="1:1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24" t="s">
        <v>8</v>
      </c>
      <c r="H1" s="24" t="s">
        <v>9</v>
      </c>
      <c r="I1" s="24" t="s">
        <v>10</v>
      </c>
      <c r="J1" s="1" t="s">
        <v>11</v>
      </c>
      <c r="K1" s="1" t="s">
        <v>12</v>
      </c>
    </row>
    <row r="2" spans="1:1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9">
        <v>1</v>
      </c>
      <c r="G2" s="23" t="s">
        <v>18</v>
      </c>
      <c r="H2" s="23" t="s">
        <v>19</v>
      </c>
      <c r="I2" s="23" t="s">
        <v>20</v>
      </c>
      <c r="J2" s="3" t="s">
        <v>21</v>
      </c>
      <c r="K2" s="3" t="s">
        <v>22</v>
      </c>
    </row>
    <row r="3" spans="1:11">
      <c r="A3" s="3" t="s">
        <v>23</v>
      </c>
      <c r="B3" s="3" t="s">
        <v>24</v>
      </c>
      <c r="C3" s="3" t="s">
        <v>25</v>
      </c>
      <c r="D3" s="3" t="s">
        <v>26</v>
      </c>
      <c r="E3" s="3" t="s">
        <v>17</v>
      </c>
      <c r="F3" s="9">
        <v>1</v>
      </c>
      <c r="G3" s="23" t="s">
        <v>27</v>
      </c>
      <c r="H3" s="23" t="s">
        <v>28</v>
      </c>
      <c r="I3" s="23" t="s">
        <v>29</v>
      </c>
      <c r="J3" s="3" t="s">
        <v>30</v>
      </c>
      <c r="K3" s="3" t="s">
        <v>31</v>
      </c>
    </row>
    <row r="4" spans="1:11">
      <c r="A4" s="3" t="s">
        <v>32</v>
      </c>
      <c r="B4" s="3" t="s">
        <v>33</v>
      </c>
      <c r="C4" s="3" t="s">
        <v>34</v>
      </c>
      <c r="D4" s="3" t="s">
        <v>35</v>
      </c>
      <c r="E4" s="3" t="s">
        <v>17</v>
      </c>
      <c r="F4" s="9">
        <v>1</v>
      </c>
      <c r="G4" s="23" t="s">
        <v>36</v>
      </c>
      <c r="H4" s="23" t="s">
        <v>37</v>
      </c>
      <c r="I4" s="23" t="s">
        <v>38</v>
      </c>
      <c r="J4" s="3" t="s">
        <v>39</v>
      </c>
      <c r="K4" s="3" t="s">
        <v>40</v>
      </c>
    </row>
    <row r="5" spans="1:11">
      <c r="A5" s="3" t="s">
        <v>41</v>
      </c>
      <c r="B5" s="3" t="s">
        <v>42</v>
      </c>
      <c r="C5" s="3" t="s">
        <v>43</v>
      </c>
      <c r="D5" s="3" t="s">
        <v>16</v>
      </c>
      <c r="E5" s="3" t="s">
        <v>17</v>
      </c>
      <c r="F5" s="9">
        <v>1</v>
      </c>
      <c r="G5" s="23" t="s">
        <v>44</v>
      </c>
      <c r="H5" s="23" t="s">
        <v>45</v>
      </c>
      <c r="I5" s="23" t="s">
        <v>46</v>
      </c>
      <c r="J5" s="3" t="s">
        <v>47</v>
      </c>
      <c r="K5" s="3" t="s">
        <v>48</v>
      </c>
    </row>
    <row r="6" spans="1:11">
      <c r="A6" s="3" t="s">
        <v>49</v>
      </c>
      <c r="B6" s="3" t="s">
        <v>50</v>
      </c>
      <c r="C6" s="3" t="s">
        <v>51</v>
      </c>
      <c r="D6" s="3" t="s">
        <v>52</v>
      </c>
      <c r="E6" s="3" t="s">
        <v>17</v>
      </c>
      <c r="F6" s="9">
        <v>1</v>
      </c>
      <c r="G6" s="23" t="s">
        <v>53</v>
      </c>
      <c r="H6" s="23" t="s">
        <v>54</v>
      </c>
      <c r="I6" s="23" t="s">
        <v>55</v>
      </c>
      <c r="J6" s="3" t="s">
        <v>56</v>
      </c>
      <c r="K6" s="3" t="s">
        <v>57</v>
      </c>
    </row>
    <row r="7" spans="1:11">
      <c r="A7" s="3" t="s">
        <v>58</v>
      </c>
      <c r="B7" s="3" t="s">
        <v>59</v>
      </c>
      <c r="C7" s="3" t="s">
        <v>60</v>
      </c>
      <c r="D7" s="3" t="s">
        <v>61</v>
      </c>
      <c r="E7" s="3" t="s">
        <v>17</v>
      </c>
      <c r="F7" s="9">
        <v>1</v>
      </c>
      <c r="G7" s="23" t="s">
        <v>62</v>
      </c>
      <c r="H7" s="23" t="s">
        <v>63</v>
      </c>
      <c r="I7" s="23" t="s">
        <v>64</v>
      </c>
      <c r="J7" s="3" t="s">
        <v>65</v>
      </c>
      <c r="K7" s="3" t="s">
        <v>66</v>
      </c>
    </row>
    <row r="8" spans="1:11">
      <c r="A8" s="3" t="s">
        <v>67</v>
      </c>
      <c r="B8" s="3" t="s">
        <v>68</v>
      </c>
      <c r="C8" s="3" t="s">
        <v>69</v>
      </c>
      <c r="D8" s="3" t="s">
        <v>70</v>
      </c>
      <c r="E8" s="3" t="s">
        <v>17</v>
      </c>
      <c r="F8" s="9">
        <v>1</v>
      </c>
      <c r="G8" s="23" t="s">
        <v>71</v>
      </c>
      <c r="H8" s="23" t="s">
        <v>72</v>
      </c>
      <c r="I8" s="23" t="s">
        <v>73</v>
      </c>
      <c r="J8" s="3" t="s">
        <v>74</v>
      </c>
      <c r="K8" s="3" t="s">
        <v>75</v>
      </c>
    </row>
    <row r="9" spans="1:11">
      <c r="A9" s="3" t="s">
        <v>76</v>
      </c>
      <c r="B9" s="3" t="s">
        <v>77</v>
      </c>
      <c r="C9" s="3" t="s">
        <v>78</v>
      </c>
      <c r="D9" s="3" t="s">
        <v>79</v>
      </c>
      <c r="E9" s="3" t="s">
        <v>17</v>
      </c>
      <c r="F9" s="9">
        <v>1</v>
      </c>
      <c r="G9" s="23" t="s">
        <v>80</v>
      </c>
      <c r="H9" s="23" t="s">
        <v>81</v>
      </c>
      <c r="I9" s="23" t="s">
        <v>82</v>
      </c>
      <c r="J9" s="3" t="s">
        <v>83</v>
      </c>
      <c r="K9" s="3" t="s">
        <v>84</v>
      </c>
    </row>
    <row r="10" spans="1:11">
      <c r="A10" s="3" t="s">
        <v>85</v>
      </c>
      <c r="B10" s="3" t="s">
        <v>86</v>
      </c>
      <c r="C10" s="3" t="s">
        <v>87</v>
      </c>
      <c r="D10" s="3" t="s">
        <v>88</v>
      </c>
      <c r="E10" s="3" t="s">
        <v>17</v>
      </c>
      <c r="F10" s="9">
        <v>1</v>
      </c>
      <c r="G10" s="23" t="s">
        <v>89</v>
      </c>
      <c r="H10" s="23" t="s">
        <v>90</v>
      </c>
      <c r="I10" s="23" t="s">
        <v>91</v>
      </c>
      <c r="J10" s="3" t="s">
        <v>92</v>
      </c>
      <c r="K10" s="3" t="s">
        <v>93</v>
      </c>
    </row>
    <row r="11" spans="1:11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17</v>
      </c>
      <c r="F11" s="9">
        <v>1</v>
      </c>
      <c r="G11" s="23" t="s">
        <v>98</v>
      </c>
      <c r="H11" s="23" t="s">
        <v>99</v>
      </c>
      <c r="I11" s="23" t="s">
        <v>100</v>
      </c>
      <c r="J11" s="3" t="s">
        <v>101</v>
      </c>
      <c r="K11" s="3" t="s">
        <v>102</v>
      </c>
    </row>
    <row r="12" spans="1:11">
      <c r="A12" s="3" t="s">
        <v>103</v>
      </c>
      <c r="B12" s="3" t="s">
        <v>104</v>
      </c>
      <c r="C12" s="3" t="s">
        <v>105</v>
      </c>
      <c r="D12" s="3" t="s">
        <v>106</v>
      </c>
      <c r="E12" s="3" t="s">
        <v>17</v>
      </c>
      <c r="F12" s="9">
        <v>1</v>
      </c>
      <c r="G12" s="23" t="s">
        <v>107</v>
      </c>
      <c r="H12" s="23" t="s">
        <v>108</v>
      </c>
      <c r="I12" s="23" t="s">
        <v>109</v>
      </c>
      <c r="J12" s="3" t="s">
        <v>110</v>
      </c>
      <c r="K12" s="3" t="s">
        <v>111</v>
      </c>
    </row>
    <row r="13" spans="1:11">
      <c r="A13" s="3" t="s">
        <v>112</v>
      </c>
      <c r="B13" s="3" t="s">
        <v>113</v>
      </c>
      <c r="C13" s="3" t="s">
        <v>114</v>
      </c>
      <c r="D13" s="3" t="s">
        <v>115</v>
      </c>
      <c r="E13" s="3" t="s">
        <v>17</v>
      </c>
      <c r="F13" s="9">
        <v>1</v>
      </c>
      <c r="G13" s="23" t="s">
        <v>116</v>
      </c>
      <c r="H13" s="23" t="s">
        <v>117</v>
      </c>
      <c r="I13" s="23" t="s">
        <v>118</v>
      </c>
      <c r="J13" s="3" t="s">
        <v>119</v>
      </c>
      <c r="K13" s="3" t="s">
        <v>120</v>
      </c>
    </row>
    <row r="14" spans="1:11">
      <c r="A14" s="3" t="s">
        <v>121</v>
      </c>
      <c r="B14" s="3" t="s">
        <v>122</v>
      </c>
      <c r="C14" s="3" t="s">
        <v>123</v>
      </c>
      <c r="D14" s="3" t="s">
        <v>124</v>
      </c>
      <c r="E14" s="3" t="s">
        <v>17</v>
      </c>
      <c r="F14" s="9">
        <v>1</v>
      </c>
      <c r="G14" s="23" t="s">
        <v>125</v>
      </c>
      <c r="H14" s="23" t="s">
        <v>126</v>
      </c>
      <c r="I14" s="23" t="s">
        <v>127</v>
      </c>
      <c r="J14" s="3" t="s">
        <v>128</v>
      </c>
      <c r="K14" s="3" t="s">
        <v>129</v>
      </c>
    </row>
    <row r="15" spans="1:11">
      <c r="A15" s="3" t="s">
        <v>130</v>
      </c>
      <c r="B15" s="3" t="s">
        <v>131</v>
      </c>
      <c r="C15" s="3" t="s">
        <v>132</v>
      </c>
      <c r="D15" s="3" t="s">
        <v>133</v>
      </c>
      <c r="E15" s="3" t="s">
        <v>17</v>
      </c>
      <c r="F15" s="9">
        <v>1</v>
      </c>
      <c r="G15" s="23" t="s">
        <v>134</v>
      </c>
      <c r="H15" s="23" t="s">
        <v>135</v>
      </c>
      <c r="I15" s="23" t="s">
        <v>136</v>
      </c>
      <c r="J15" s="3" t="s">
        <v>137</v>
      </c>
      <c r="K15" s="3" t="s">
        <v>138</v>
      </c>
    </row>
    <row r="16" spans="1:11">
      <c r="A16" s="3" t="s">
        <v>139</v>
      </c>
      <c r="B16" s="3" t="s">
        <v>140</v>
      </c>
      <c r="C16" s="3" t="s">
        <v>141</v>
      </c>
      <c r="D16" s="3" t="s">
        <v>142</v>
      </c>
      <c r="E16" s="3" t="s">
        <v>17</v>
      </c>
      <c r="F16" s="9">
        <v>1</v>
      </c>
      <c r="G16" s="23" t="s">
        <v>143</v>
      </c>
      <c r="H16" s="23" t="s">
        <v>144</v>
      </c>
      <c r="I16" s="23" t="s">
        <v>145</v>
      </c>
      <c r="J16" s="3" t="s">
        <v>146</v>
      </c>
      <c r="K16" s="3" t="s">
        <v>147</v>
      </c>
    </row>
    <row r="17" spans="1:11">
      <c r="A17" s="3" t="s">
        <v>148</v>
      </c>
      <c r="B17" s="3" t="s">
        <v>149</v>
      </c>
      <c r="C17" s="3" t="s">
        <v>150</v>
      </c>
      <c r="D17" s="3" t="s">
        <v>26</v>
      </c>
      <c r="E17" s="3" t="s">
        <v>17</v>
      </c>
      <c r="F17" s="9">
        <v>1</v>
      </c>
      <c r="G17" s="23" t="s">
        <v>151</v>
      </c>
      <c r="H17" s="23" t="s">
        <v>152</v>
      </c>
      <c r="I17" s="23" t="s">
        <v>153</v>
      </c>
      <c r="J17" s="3" t="s">
        <v>154</v>
      </c>
      <c r="K17" s="3" t="s">
        <v>155</v>
      </c>
    </row>
    <row r="18" spans="1:11">
      <c r="A18" s="3" t="s">
        <v>156</v>
      </c>
      <c r="B18" s="3" t="s">
        <v>157</v>
      </c>
      <c r="C18" s="3" t="s">
        <v>158</v>
      </c>
      <c r="D18" s="3" t="s">
        <v>159</v>
      </c>
      <c r="E18" s="3" t="s">
        <v>17</v>
      </c>
      <c r="F18" s="9">
        <v>1</v>
      </c>
      <c r="G18" s="23" t="s">
        <v>160</v>
      </c>
      <c r="H18" s="23" t="s">
        <v>160</v>
      </c>
      <c r="I18" s="23" t="s">
        <v>161</v>
      </c>
      <c r="J18" s="3" t="s">
        <v>162</v>
      </c>
      <c r="K18" s="3" t="s">
        <v>163</v>
      </c>
    </row>
    <row r="19" spans="1:11">
      <c r="A19" s="3" t="s">
        <v>164</v>
      </c>
      <c r="B19" s="3" t="s">
        <v>165</v>
      </c>
      <c r="C19" s="3" t="s">
        <v>166</v>
      </c>
      <c r="D19" s="3" t="s">
        <v>167</v>
      </c>
      <c r="E19" s="3" t="s">
        <v>17</v>
      </c>
      <c r="F19" s="9">
        <v>1</v>
      </c>
      <c r="G19" s="23" t="s">
        <v>168</v>
      </c>
      <c r="H19" s="23" t="s">
        <v>169</v>
      </c>
      <c r="I19" s="23" t="s">
        <v>170</v>
      </c>
      <c r="J19" s="3" t="s">
        <v>171</v>
      </c>
      <c r="K19" s="3" t="s">
        <v>172</v>
      </c>
    </row>
    <row r="20" spans="1:11">
      <c r="A20" s="3" t="s">
        <v>173</v>
      </c>
      <c r="B20" s="3" t="s">
        <v>174</v>
      </c>
      <c r="C20" s="3" t="s">
        <v>175</v>
      </c>
      <c r="D20" s="3" t="s">
        <v>176</v>
      </c>
      <c r="E20" s="3" t="s">
        <v>17</v>
      </c>
      <c r="F20" s="9">
        <v>1</v>
      </c>
      <c r="G20" s="23" t="s">
        <v>177</v>
      </c>
      <c r="H20" s="23" t="s">
        <v>178</v>
      </c>
      <c r="I20" s="23" t="s">
        <v>179</v>
      </c>
      <c r="J20" s="3" t="s">
        <v>180</v>
      </c>
      <c r="K20" s="3" t="s">
        <v>181</v>
      </c>
    </row>
    <row r="21" spans="1:11">
      <c r="A21" s="3" t="s">
        <v>182</v>
      </c>
      <c r="B21" s="3" t="s">
        <v>183</v>
      </c>
      <c r="C21" s="3" t="s">
        <v>184</v>
      </c>
      <c r="D21" s="3" t="s">
        <v>185</v>
      </c>
      <c r="E21" s="3" t="s">
        <v>17</v>
      </c>
      <c r="F21" s="9">
        <v>1</v>
      </c>
      <c r="G21" s="23" t="s">
        <v>186</v>
      </c>
      <c r="H21" s="23" t="s">
        <v>187</v>
      </c>
      <c r="I21" s="23" t="s">
        <v>188</v>
      </c>
      <c r="J21" s="3" t="s">
        <v>189</v>
      </c>
      <c r="K21" s="3" t="s">
        <v>190</v>
      </c>
    </row>
    <row r="22" spans="1:11">
      <c r="A22" s="3" t="s">
        <v>191</v>
      </c>
      <c r="B22" s="3" t="s">
        <v>192</v>
      </c>
      <c r="C22" s="3" t="s">
        <v>193</v>
      </c>
      <c r="D22" s="3" t="s">
        <v>194</v>
      </c>
      <c r="E22" s="3" t="s">
        <v>17</v>
      </c>
      <c r="F22" s="9">
        <v>1</v>
      </c>
      <c r="G22" s="23" t="s">
        <v>195</v>
      </c>
      <c r="H22" s="23" t="s">
        <v>196</v>
      </c>
      <c r="I22" s="23" t="s">
        <v>197</v>
      </c>
      <c r="J22" s="3" t="s">
        <v>198</v>
      </c>
      <c r="K22" s="3" t="s">
        <v>199</v>
      </c>
    </row>
    <row r="23" spans="1:11">
      <c r="A23" s="3" t="s">
        <v>200</v>
      </c>
      <c r="B23" s="3" t="s">
        <v>201</v>
      </c>
      <c r="C23" s="3" t="s">
        <v>202</v>
      </c>
      <c r="D23" s="3" t="s">
        <v>203</v>
      </c>
      <c r="E23" s="3" t="s">
        <v>17</v>
      </c>
      <c r="F23" s="9">
        <v>1</v>
      </c>
      <c r="G23" s="23" t="s">
        <v>204</v>
      </c>
      <c r="H23" s="23" t="s">
        <v>205</v>
      </c>
      <c r="I23" s="23" t="s">
        <v>206</v>
      </c>
      <c r="J23" s="3" t="s">
        <v>207</v>
      </c>
      <c r="K23" s="3" t="s">
        <v>208</v>
      </c>
    </row>
    <row r="24" spans="1:11">
      <c r="A24" s="3" t="s">
        <v>209</v>
      </c>
      <c r="B24" s="3" t="s">
        <v>210</v>
      </c>
      <c r="C24" s="3" t="s">
        <v>211</v>
      </c>
      <c r="D24" s="3" t="s">
        <v>212</v>
      </c>
      <c r="E24" s="3" t="s">
        <v>17</v>
      </c>
      <c r="F24" s="9">
        <v>1</v>
      </c>
      <c r="G24" s="23" t="s">
        <v>213</v>
      </c>
      <c r="H24" s="23" t="s">
        <v>214</v>
      </c>
      <c r="I24" s="23" t="s">
        <v>215</v>
      </c>
      <c r="J24" s="3" t="s">
        <v>216</v>
      </c>
      <c r="K24" s="3" t="s">
        <v>217</v>
      </c>
    </row>
    <row r="25" spans="1:11">
      <c r="A25" s="3" t="s">
        <v>218</v>
      </c>
      <c r="B25" s="3" t="s">
        <v>219</v>
      </c>
      <c r="C25" s="3" t="s">
        <v>220</v>
      </c>
      <c r="D25" s="3" t="s">
        <v>221</v>
      </c>
      <c r="E25" s="3" t="s">
        <v>17</v>
      </c>
      <c r="F25" s="9">
        <v>1</v>
      </c>
      <c r="G25" s="23" t="s">
        <v>222</v>
      </c>
      <c r="H25" s="23" t="s">
        <v>223</v>
      </c>
      <c r="I25" s="23" t="s">
        <v>224</v>
      </c>
      <c r="J25" s="3" t="s">
        <v>225</v>
      </c>
      <c r="K25" s="3" t="s">
        <v>226</v>
      </c>
    </row>
    <row r="26" spans="1:11">
      <c r="A26" s="3" t="s">
        <v>227</v>
      </c>
      <c r="B26" s="3" t="s">
        <v>228</v>
      </c>
      <c r="C26" s="3" t="s">
        <v>229</v>
      </c>
      <c r="D26" s="3" t="s">
        <v>230</v>
      </c>
      <c r="E26" s="3" t="s">
        <v>17</v>
      </c>
      <c r="F26" s="9">
        <v>1</v>
      </c>
      <c r="G26" s="23" t="s">
        <v>231</v>
      </c>
      <c r="H26" s="23" t="s">
        <v>232</v>
      </c>
      <c r="I26" s="23" t="s">
        <v>233</v>
      </c>
      <c r="J26" s="3" t="s">
        <v>234</v>
      </c>
      <c r="K26" s="3" t="s">
        <v>235</v>
      </c>
    </row>
    <row r="27" spans="1:11">
      <c r="A27" s="3" t="s">
        <v>236</v>
      </c>
      <c r="B27" s="3" t="s">
        <v>237</v>
      </c>
      <c r="C27" s="3" t="s">
        <v>238</v>
      </c>
      <c r="D27" s="3" t="s">
        <v>239</v>
      </c>
      <c r="E27" s="3" t="s">
        <v>17</v>
      </c>
      <c r="F27" s="9">
        <v>1</v>
      </c>
      <c r="G27" s="23" t="s">
        <v>240</v>
      </c>
      <c r="H27" s="23" t="s">
        <v>241</v>
      </c>
      <c r="I27" s="23" t="s">
        <v>242</v>
      </c>
      <c r="J27" s="3" t="s">
        <v>243</v>
      </c>
      <c r="K27" s="3" t="s">
        <v>244</v>
      </c>
    </row>
    <row r="28" spans="1:11">
      <c r="A28" s="3" t="s">
        <v>245</v>
      </c>
      <c r="B28" s="3" t="s">
        <v>246</v>
      </c>
      <c r="C28" s="3" t="s">
        <v>247</v>
      </c>
      <c r="D28" s="3" t="s">
        <v>248</v>
      </c>
      <c r="E28" s="3" t="s">
        <v>17</v>
      </c>
      <c r="F28" s="9">
        <v>1</v>
      </c>
      <c r="G28" s="23" t="s">
        <v>249</v>
      </c>
      <c r="H28" s="23" t="s">
        <v>250</v>
      </c>
      <c r="I28" s="23" t="s">
        <v>251</v>
      </c>
      <c r="J28" s="3" t="s">
        <v>252</v>
      </c>
      <c r="K28" s="3" t="s">
        <v>253</v>
      </c>
    </row>
    <row r="29" spans="1:11">
      <c r="A29" s="3" t="s">
        <v>254</v>
      </c>
      <c r="B29" s="3" t="s">
        <v>255</v>
      </c>
      <c r="C29" s="3" t="s">
        <v>256</v>
      </c>
      <c r="D29" s="3" t="s">
        <v>257</v>
      </c>
      <c r="E29" s="3" t="s">
        <v>17</v>
      </c>
      <c r="F29" s="9">
        <v>1</v>
      </c>
      <c r="G29" s="23" t="s">
        <v>258</v>
      </c>
      <c r="H29" s="23" t="s">
        <v>259</v>
      </c>
      <c r="I29" s="23" t="s">
        <v>260</v>
      </c>
      <c r="J29" s="3" t="s">
        <v>261</v>
      </c>
      <c r="K29" s="3" t="s">
        <v>262</v>
      </c>
    </row>
    <row r="30" spans="1:11">
      <c r="A30" s="3" t="s">
        <v>263</v>
      </c>
      <c r="B30" s="3" t="s">
        <v>264</v>
      </c>
      <c r="C30" s="3" t="s">
        <v>265</v>
      </c>
      <c r="D30" s="3" t="s">
        <v>266</v>
      </c>
      <c r="E30" s="3" t="s">
        <v>17</v>
      </c>
      <c r="F30" s="9">
        <v>1</v>
      </c>
      <c r="G30" s="23" t="s">
        <v>267</v>
      </c>
      <c r="H30" s="23" t="s">
        <v>268</v>
      </c>
      <c r="I30" s="23" t="s">
        <v>269</v>
      </c>
      <c r="J30" s="3" t="s">
        <v>270</v>
      </c>
      <c r="K30" s="3" t="s">
        <v>271</v>
      </c>
    </row>
    <row r="31" spans="1:11">
      <c r="A31" s="3" t="s">
        <v>272</v>
      </c>
      <c r="B31" s="3" t="s">
        <v>273</v>
      </c>
      <c r="C31" s="3" t="s">
        <v>274</v>
      </c>
      <c r="D31" s="3" t="s">
        <v>275</v>
      </c>
      <c r="E31" s="3" t="s">
        <v>17</v>
      </c>
      <c r="F31" s="9">
        <v>1</v>
      </c>
      <c r="G31" s="23" t="s">
        <v>276</v>
      </c>
      <c r="H31" s="23" t="s">
        <v>277</v>
      </c>
      <c r="I31" s="23" t="s">
        <v>278</v>
      </c>
      <c r="J31" s="3" t="s">
        <v>279</v>
      </c>
      <c r="K31" s="3" t="s">
        <v>280</v>
      </c>
    </row>
    <row r="32" spans="1:11">
      <c r="A32" s="3" t="s">
        <v>281</v>
      </c>
      <c r="B32" s="3" t="s">
        <v>282</v>
      </c>
      <c r="C32" s="3" t="s">
        <v>283</v>
      </c>
      <c r="D32" s="3" t="s">
        <v>284</v>
      </c>
      <c r="E32" s="3" t="s">
        <v>17</v>
      </c>
      <c r="F32" s="9">
        <v>1</v>
      </c>
      <c r="G32" s="23" t="s">
        <v>285</v>
      </c>
      <c r="H32" s="23" t="s">
        <v>286</v>
      </c>
      <c r="I32" s="23" t="s">
        <v>287</v>
      </c>
      <c r="J32" s="3" t="s">
        <v>288</v>
      </c>
      <c r="K32" s="3" t="s">
        <v>289</v>
      </c>
    </row>
    <row r="33" spans="1:11">
      <c r="A33" s="3" t="s">
        <v>290</v>
      </c>
      <c r="B33" s="3" t="s">
        <v>291</v>
      </c>
      <c r="C33" s="3" t="s">
        <v>292</v>
      </c>
      <c r="D33" s="3" t="s">
        <v>293</v>
      </c>
      <c r="E33" s="3" t="s">
        <v>17</v>
      </c>
      <c r="F33" s="9">
        <v>1</v>
      </c>
      <c r="G33" s="23" t="s">
        <v>294</v>
      </c>
      <c r="H33" s="23" t="s">
        <v>294</v>
      </c>
      <c r="I33" s="23" t="s">
        <v>295</v>
      </c>
      <c r="J33" s="3" t="s">
        <v>296</v>
      </c>
      <c r="K33" s="3" t="s">
        <v>297</v>
      </c>
    </row>
    <row r="34" spans="1:11">
      <c r="A34" s="3" t="s">
        <v>298</v>
      </c>
      <c r="B34" s="3" t="s">
        <v>299</v>
      </c>
      <c r="C34" s="3" t="s">
        <v>300</v>
      </c>
      <c r="D34" s="3" t="s">
        <v>301</v>
      </c>
      <c r="E34" s="3" t="s">
        <v>17</v>
      </c>
      <c r="F34" s="9">
        <v>1</v>
      </c>
      <c r="G34" s="23" t="s">
        <v>302</v>
      </c>
      <c r="H34" s="23" t="s">
        <v>302</v>
      </c>
      <c r="I34" s="23" t="s">
        <v>303</v>
      </c>
      <c r="J34" s="3" t="s">
        <v>304</v>
      </c>
      <c r="K34" s="3" t="s">
        <v>305</v>
      </c>
    </row>
    <row r="35" spans="1:11">
      <c r="A35" s="3" t="s">
        <v>306</v>
      </c>
      <c r="B35" s="3" t="s">
        <v>307</v>
      </c>
      <c r="C35" s="3" t="s">
        <v>308</v>
      </c>
      <c r="D35" s="3" t="s">
        <v>309</v>
      </c>
      <c r="E35" s="3" t="s">
        <v>17</v>
      </c>
      <c r="F35" s="9">
        <v>1</v>
      </c>
      <c r="G35" s="23" t="s">
        <v>310</v>
      </c>
      <c r="H35" s="23" t="s">
        <v>310</v>
      </c>
      <c r="I35" s="23" t="s">
        <v>311</v>
      </c>
      <c r="J35" s="3" t="s">
        <v>312</v>
      </c>
      <c r="K35" s="3" t="s">
        <v>313</v>
      </c>
    </row>
    <row r="36" spans="1:11">
      <c r="A36" s="3" t="s">
        <v>314</v>
      </c>
      <c r="B36" s="3" t="s">
        <v>315</v>
      </c>
      <c r="C36" s="3" t="s">
        <v>316</v>
      </c>
      <c r="D36" s="3" t="s">
        <v>317</v>
      </c>
      <c r="E36" s="3" t="s">
        <v>17</v>
      </c>
      <c r="F36" s="9">
        <v>1</v>
      </c>
      <c r="G36" s="23" t="s">
        <v>318</v>
      </c>
      <c r="H36" s="23" t="s">
        <v>318</v>
      </c>
      <c r="I36" s="23" t="s">
        <v>319</v>
      </c>
      <c r="J36" s="3" t="s">
        <v>320</v>
      </c>
      <c r="K36" s="3" t="s">
        <v>321</v>
      </c>
    </row>
    <row r="37" spans="1:11">
      <c r="A37" s="3" t="s">
        <v>322</v>
      </c>
      <c r="B37" s="3" t="s">
        <v>323</v>
      </c>
      <c r="C37" s="3" t="s">
        <v>324</v>
      </c>
      <c r="D37" s="3" t="s">
        <v>325</v>
      </c>
      <c r="E37" s="3" t="s">
        <v>17</v>
      </c>
      <c r="F37" s="9">
        <v>1</v>
      </c>
      <c r="G37" s="23" t="s">
        <v>326</v>
      </c>
      <c r="H37" s="23" t="s">
        <v>326</v>
      </c>
      <c r="I37" s="23" t="s">
        <v>327</v>
      </c>
      <c r="J37" s="3" t="s">
        <v>328</v>
      </c>
      <c r="K37" s="3" t="s">
        <v>329</v>
      </c>
    </row>
    <row r="38" spans="1:11">
      <c r="A38" s="3" t="s">
        <v>330</v>
      </c>
      <c r="B38" s="3" t="s">
        <v>331</v>
      </c>
      <c r="C38" s="3" t="s">
        <v>332</v>
      </c>
      <c r="D38" s="3" t="s">
        <v>333</v>
      </c>
      <c r="E38" s="3" t="s">
        <v>17</v>
      </c>
      <c r="F38" s="9">
        <v>1</v>
      </c>
      <c r="G38" s="23" t="s">
        <v>334</v>
      </c>
      <c r="H38" s="23" t="s">
        <v>334</v>
      </c>
      <c r="I38" s="23" t="s">
        <v>335</v>
      </c>
      <c r="J38" s="3" t="s">
        <v>336</v>
      </c>
      <c r="K38" s="3" t="s">
        <v>337</v>
      </c>
    </row>
    <row r="39" spans="1:11">
      <c r="A39" s="3" t="s">
        <v>338</v>
      </c>
      <c r="B39" s="3" t="s">
        <v>339</v>
      </c>
      <c r="C39" s="3" t="s">
        <v>340</v>
      </c>
      <c r="D39" s="3" t="s">
        <v>341</v>
      </c>
      <c r="E39" s="3" t="s">
        <v>17</v>
      </c>
      <c r="F39" s="9">
        <v>1</v>
      </c>
      <c r="G39" s="23" t="s">
        <v>342</v>
      </c>
      <c r="H39" s="23" t="s">
        <v>342</v>
      </c>
      <c r="I39" s="23" t="s">
        <v>343</v>
      </c>
      <c r="J39" s="3" t="s">
        <v>344</v>
      </c>
      <c r="K39" s="3" t="s">
        <v>345</v>
      </c>
    </row>
    <row r="40" spans="1:11">
      <c r="A40" s="3" t="s">
        <v>346</v>
      </c>
      <c r="B40" s="3" t="s">
        <v>347</v>
      </c>
      <c r="C40" s="3" t="s">
        <v>348</v>
      </c>
      <c r="D40" s="3" t="s">
        <v>349</v>
      </c>
      <c r="E40" s="3" t="s">
        <v>17</v>
      </c>
      <c r="F40" s="9">
        <v>1</v>
      </c>
      <c r="G40" s="23" t="s">
        <v>350</v>
      </c>
      <c r="H40" s="23" t="s">
        <v>350</v>
      </c>
      <c r="I40" s="23" t="s">
        <v>351</v>
      </c>
      <c r="J40" s="3" t="s">
        <v>352</v>
      </c>
      <c r="K40" s="3" t="s">
        <v>353</v>
      </c>
    </row>
    <row r="41" spans="1:11">
      <c r="A41" s="3" t="s">
        <v>354</v>
      </c>
      <c r="B41" s="3" t="s">
        <v>355</v>
      </c>
      <c r="C41" s="3" t="s">
        <v>356</v>
      </c>
      <c r="D41" s="3" t="s">
        <v>357</v>
      </c>
      <c r="E41" s="3" t="s">
        <v>17</v>
      </c>
      <c r="F41" s="9">
        <v>1</v>
      </c>
      <c r="G41" s="23" t="s">
        <v>358</v>
      </c>
      <c r="H41" s="23" t="s">
        <v>358</v>
      </c>
      <c r="I41" s="23" t="s">
        <v>359</v>
      </c>
      <c r="J41" s="3" t="s">
        <v>360</v>
      </c>
      <c r="K41" s="3" t="s">
        <v>361</v>
      </c>
    </row>
    <row r="42" spans="1:11">
      <c r="A42" s="3" t="s">
        <v>362</v>
      </c>
      <c r="B42" s="3" t="s">
        <v>363</v>
      </c>
      <c r="C42" s="3" t="s">
        <v>364</v>
      </c>
      <c r="D42" s="3" t="s">
        <v>365</v>
      </c>
      <c r="E42" s="3" t="s">
        <v>17</v>
      </c>
      <c r="F42" s="9">
        <v>1</v>
      </c>
      <c r="G42" s="23" t="s">
        <v>366</v>
      </c>
      <c r="H42" s="23" t="s">
        <v>366</v>
      </c>
      <c r="I42" s="23" t="s">
        <v>367</v>
      </c>
      <c r="J42" s="3" t="s">
        <v>368</v>
      </c>
      <c r="K42" s="3" t="s">
        <v>369</v>
      </c>
    </row>
    <row r="43" spans="1:11">
      <c r="A43" s="3" t="s">
        <v>370</v>
      </c>
      <c r="B43" s="3" t="s">
        <v>371</v>
      </c>
      <c r="C43" s="3" t="s">
        <v>372</v>
      </c>
      <c r="D43" s="3" t="s">
        <v>373</v>
      </c>
      <c r="E43" s="3" t="s">
        <v>17</v>
      </c>
      <c r="F43" s="9">
        <v>1</v>
      </c>
      <c r="G43" s="23" t="s">
        <v>374</v>
      </c>
      <c r="H43" s="23" t="s">
        <v>374</v>
      </c>
      <c r="I43" s="23" t="s">
        <v>375</v>
      </c>
      <c r="J43" s="3" t="s">
        <v>376</v>
      </c>
      <c r="K43" s="3" t="s">
        <v>377</v>
      </c>
    </row>
    <row r="44" spans="1:11">
      <c r="A44" s="3" t="s">
        <v>378</v>
      </c>
      <c r="B44" s="3" t="s">
        <v>379</v>
      </c>
      <c r="C44" s="3" t="s">
        <v>380</v>
      </c>
      <c r="D44" s="3" t="s">
        <v>381</v>
      </c>
      <c r="E44" s="3" t="s">
        <v>17</v>
      </c>
      <c r="F44" s="9">
        <v>1</v>
      </c>
      <c r="G44" s="23" t="s">
        <v>382</v>
      </c>
      <c r="H44" s="23" t="s">
        <v>382</v>
      </c>
      <c r="I44" s="23" t="s">
        <v>383</v>
      </c>
      <c r="J44" s="3" t="s">
        <v>384</v>
      </c>
      <c r="K44" s="3" t="s">
        <v>385</v>
      </c>
    </row>
    <row r="45" spans="1:11">
      <c r="A45" s="3" t="s">
        <v>386</v>
      </c>
      <c r="B45" s="3" t="s">
        <v>387</v>
      </c>
      <c r="C45" s="3" t="s">
        <v>388</v>
      </c>
      <c r="D45" s="3" t="s">
        <v>389</v>
      </c>
      <c r="E45" s="3" t="s">
        <v>17</v>
      </c>
      <c r="F45" s="9">
        <v>1</v>
      </c>
      <c r="G45" s="23" t="s">
        <v>390</v>
      </c>
      <c r="H45" s="23" t="s">
        <v>390</v>
      </c>
      <c r="I45" s="23" t="s">
        <v>391</v>
      </c>
      <c r="J45" s="3" t="s">
        <v>392</v>
      </c>
      <c r="K45" s="3" t="s">
        <v>393</v>
      </c>
    </row>
    <row r="46" spans="1:11">
      <c r="A46" s="3" t="s">
        <v>394</v>
      </c>
      <c r="B46" s="3" t="s">
        <v>395</v>
      </c>
      <c r="C46" s="3" t="s">
        <v>396</v>
      </c>
      <c r="D46" s="3" t="s">
        <v>397</v>
      </c>
      <c r="E46" s="3" t="s">
        <v>17</v>
      </c>
      <c r="F46" s="9">
        <v>1</v>
      </c>
      <c r="G46" s="23" t="s">
        <v>398</v>
      </c>
      <c r="H46" s="23" t="s">
        <v>398</v>
      </c>
      <c r="I46" s="23" t="s">
        <v>399</v>
      </c>
      <c r="J46" s="3" t="s">
        <v>400</v>
      </c>
      <c r="K46" s="3" t="s">
        <v>401</v>
      </c>
    </row>
    <row r="47" spans="1:11">
      <c r="A47" s="3" t="s">
        <v>402</v>
      </c>
      <c r="B47" s="3" t="s">
        <v>403</v>
      </c>
      <c r="C47" s="3" t="s">
        <v>404</v>
      </c>
      <c r="D47" s="3" t="s">
        <v>405</v>
      </c>
      <c r="E47" s="3" t="s">
        <v>17</v>
      </c>
      <c r="F47" s="9">
        <v>1</v>
      </c>
      <c r="G47" s="23" t="s">
        <v>406</v>
      </c>
      <c r="H47" s="23" t="s">
        <v>406</v>
      </c>
      <c r="I47" s="23" t="s">
        <v>407</v>
      </c>
      <c r="J47" s="3" t="s">
        <v>408</v>
      </c>
      <c r="K47" s="3" t="s">
        <v>409</v>
      </c>
    </row>
    <row r="48" spans="1:11">
      <c r="A48" s="3" t="s">
        <v>410</v>
      </c>
      <c r="B48" s="3" t="s">
        <v>411</v>
      </c>
      <c r="C48" s="3" t="s">
        <v>412</v>
      </c>
      <c r="D48" s="3" t="s">
        <v>413</v>
      </c>
      <c r="E48" s="3" t="s">
        <v>17</v>
      </c>
      <c r="F48" s="9">
        <v>1</v>
      </c>
      <c r="G48" s="23" t="s">
        <v>414</v>
      </c>
      <c r="H48" s="23" t="s">
        <v>414</v>
      </c>
      <c r="I48" s="23" t="s">
        <v>415</v>
      </c>
      <c r="J48" s="3" t="s">
        <v>416</v>
      </c>
      <c r="K48" s="3" t="s">
        <v>417</v>
      </c>
    </row>
    <row r="49" spans="1:11">
      <c r="A49" s="3" t="s">
        <v>418</v>
      </c>
      <c r="B49" s="3" t="s">
        <v>419</v>
      </c>
      <c r="C49" s="3" t="s">
        <v>420</v>
      </c>
      <c r="D49" s="3" t="s">
        <v>421</v>
      </c>
      <c r="E49" s="3" t="s">
        <v>17</v>
      </c>
      <c r="F49" s="9">
        <v>1</v>
      </c>
      <c r="G49" s="23" t="s">
        <v>422</v>
      </c>
      <c r="H49" s="23" t="s">
        <v>422</v>
      </c>
      <c r="I49" s="23" t="s">
        <v>423</v>
      </c>
      <c r="J49" s="3" t="s">
        <v>424</v>
      </c>
      <c r="K49" s="3" t="s">
        <v>425</v>
      </c>
    </row>
    <row r="50" spans="1:11">
      <c r="A50" s="3" t="s">
        <v>426</v>
      </c>
      <c r="B50" s="3" t="s">
        <v>427</v>
      </c>
      <c r="C50" s="3" t="s">
        <v>428</v>
      </c>
      <c r="D50" s="3" t="s">
        <v>429</v>
      </c>
      <c r="E50" s="3" t="s">
        <v>17</v>
      </c>
      <c r="F50" s="9">
        <v>1</v>
      </c>
      <c r="G50" s="23" t="s">
        <v>430</v>
      </c>
      <c r="H50" s="23" t="s">
        <v>430</v>
      </c>
      <c r="I50" s="23" t="s">
        <v>431</v>
      </c>
      <c r="J50" s="3" t="s">
        <v>432</v>
      </c>
      <c r="K50" s="3" t="s">
        <v>433</v>
      </c>
    </row>
    <row r="51" spans="1:11">
      <c r="A51" s="3" t="s">
        <v>434</v>
      </c>
      <c r="B51" s="3" t="s">
        <v>435</v>
      </c>
      <c r="C51" s="3" t="s">
        <v>436</v>
      </c>
      <c r="D51" s="3" t="s">
        <v>437</v>
      </c>
      <c r="E51" s="3" t="s">
        <v>17</v>
      </c>
      <c r="F51" s="9">
        <v>1</v>
      </c>
      <c r="G51" s="23" t="s">
        <v>438</v>
      </c>
      <c r="H51" s="23" t="s">
        <v>438</v>
      </c>
      <c r="I51" s="23" t="s">
        <v>439</v>
      </c>
      <c r="J51" s="3" t="s">
        <v>440</v>
      </c>
      <c r="K51" s="3" t="s">
        <v>441</v>
      </c>
    </row>
    <row r="52" spans="1:11">
      <c r="A52" s="3" t="s">
        <v>442</v>
      </c>
      <c r="B52" s="3" t="s">
        <v>443</v>
      </c>
      <c r="C52" s="3" t="s">
        <v>444</v>
      </c>
      <c r="D52" s="3" t="s">
        <v>445</v>
      </c>
      <c r="E52" s="3" t="s">
        <v>17</v>
      </c>
      <c r="F52" s="9">
        <v>1</v>
      </c>
      <c r="G52" s="23" t="s">
        <v>446</v>
      </c>
      <c r="H52" s="23" t="s">
        <v>446</v>
      </c>
      <c r="I52" s="23" t="s">
        <v>447</v>
      </c>
      <c r="J52" s="3" t="s">
        <v>448</v>
      </c>
      <c r="K52" s="3" t="s">
        <v>449</v>
      </c>
    </row>
    <row r="53" spans="1:11">
      <c r="A53" s="3" t="s">
        <v>450</v>
      </c>
      <c r="B53" s="3" t="s">
        <v>451</v>
      </c>
      <c r="C53" s="3" t="s">
        <v>452</v>
      </c>
      <c r="D53" s="3" t="s">
        <v>453</v>
      </c>
      <c r="E53" s="3" t="s">
        <v>17</v>
      </c>
      <c r="F53" s="9">
        <v>1</v>
      </c>
      <c r="G53" s="23" t="s">
        <v>454</v>
      </c>
      <c r="H53" s="23" t="s">
        <v>454</v>
      </c>
      <c r="I53" s="23" t="s">
        <v>455</v>
      </c>
      <c r="J53" s="3" t="s">
        <v>456</v>
      </c>
      <c r="K53" s="3" t="s">
        <v>457</v>
      </c>
    </row>
    <row r="54" spans="1:11">
      <c r="A54" s="3" t="s">
        <v>458</v>
      </c>
      <c r="B54" s="3" t="s">
        <v>459</v>
      </c>
      <c r="C54" s="3" t="s">
        <v>460</v>
      </c>
      <c r="D54" s="3" t="s">
        <v>461</v>
      </c>
      <c r="E54" s="3" t="s">
        <v>17</v>
      </c>
      <c r="F54" s="9">
        <v>1</v>
      </c>
      <c r="G54" s="23" t="s">
        <v>462</v>
      </c>
      <c r="H54" s="23" t="s">
        <v>463</v>
      </c>
      <c r="I54" s="23" t="s">
        <v>464</v>
      </c>
      <c r="J54" s="3" t="s">
        <v>465</v>
      </c>
      <c r="K54" s="3" t="s">
        <v>466</v>
      </c>
    </row>
    <row r="55" spans="1:11">
      <c r="A55" s="3" t="s">
        <v>467</v>
      </c>
      <c r="B55" s="3" t="s">
        <v>468</v>
      </c>
      <c r="C55" s="3" t="s">
        <v>469</v>
      </c>
      <c r="D55" s="3" t="s">
        <v>470</v>
      </c>
      <c r="E55" s="3" t="s">
        <v>17</v>
      </c>
      <c r="F55" s="9">
        <v>1</v>
      </c>
      <c r="G55" s="23" t="s">
        <v>471</v>
      </c>
      <c r="H55" s="23" t="s">
        <v>472</v>
      </c>
      <c r="I55" s="23" t="s">
        <v>473</v>
      </c>
      <c r="J55" s="3" t="s">
        <v>474</v>
      </c>
      <c r="K55" s="3" t="s">
        <v>475</v>
      </c>
    </row>
    <row r="56" spans="1:11">
      <c r="A56" s="26" t="s">
        <v>476</v>
      </c>
      <c r="B56" s="26" t="s">
        <v>477</v>
      </c>
      <c r="C56" s="3" t="s">
        <v>478</v>
      </c>
      <c r="D56" s="3" t="s">
        <v>479</v>
      </c>
      <c r="E56" s="3" t="s">
        <v>17</v>
      </c>
      <c r="F56" s="9">
        <v>1</v>
      </c>
      <c r="G56" s="23" t="s">
        <v>480</v>
      </c>
      <c r="H56" s="23" t="s">
        <v>481</v>
      </c>
      <c r="I56" s="23" t="s">
        <v>482</v>
      </c>
      <c r="J56" s="3" t="s">
        <v>483</v>
      </c>
      <c r="K56" s="3" t="s">
        <v>484</v>
      </c>
    </row>
    <row r="57" spans="1:11">
      <c r="A57" s="3" t="s">
        <v>485</v>
      </c>
      <c r="B57" s="3" t="s">
        <v>486</v>
      </c>
      <c r="C57" s="3" t="s">
        <v>487</v>
      </c>
      <c r="D57" s="3" t="s">
        <v>488</v>
      </c>
      <c r="E57" s="3" t="s">
        <v>17</v>
      </c>
      <c r="F57" s="9">
        <v>1</v>
      </c>
      <c r="G57" s="23" t="s">
        <v>489</v>
      </c>
      <c r="H57" s="23" t="s">
        <v>490</v>
      </c>
      <c r="I57" s="23" t="s">
        <v>491</v>
      </c>
      <c r="J57" s="3" t="s">
        <v>492</v>
      </c>
      <c r="K57" s="3" t="s">
        <v>493</v>
      </c>
    </row>
    <row r="58" spans="1:11">
      <c r="A58" s="3" t="s">
        <v>494</v>
      </c>
      <c r="B58" s="3" t="s">
        <v>495</v>
      </c>
      <c r="C58" s="3" t="s">
        <v>496</v>
      </c>
      <c r="D58" s="3" t="s">
        <v>497</v>
      </c>
      <c r="E58" s="3" t="s">
        <v>498</v>
      </c>
      <c r="F58" s="9">
        <v>1</v>
      </c>
      <c r="G58" s="23" t="s">
        <v>499</v>
      </c>
      <c r="H58" s="23" t="s">
        <v>500</v>
      </c>
      <c r="I58" s="23" t="s">
        <v>501</v>
      </c>
      <c r="J58" s="3" t="s">
        <v>502</v>
      </c>
      <c r="K58" s="3" t="s">
        <v>503</v>
      </c>
    </row>
    <row r="59" spans="1:11">
      <c r="A59" s="3" t="s">
        <v>504</v>
      </c>
      <c r="B59" s="3" t="s">
        <v>505</v>
      </c>
      <c r="C59" s="3" t="s">
        <v>506</v>
      </c>
      <c r="D59" s="3" t="s">
        <v>507</v>
      </c>
      <c r="E59" s="3" t="s">
        <v>17</v>
      </c>
      <c r="F59" s="9">
        <v>1</v>
      </c>
      <c r="G59" s="23" t="s">
        <v>508</v>
      </c>
      <c r="H59" s="23" t="s">
        <v>509</v>
      </c>
      <c r="I59" s="23" t="s">
        <v>510</v>
      </c>
      <c r="J59" s="3" t="s">
        <v>511</v>
      </c>
      <c r="K59" s="3" t="s">
        <v>512</v>
      </c>
    </row>
    <row r="60" spans="1:11">
      <c r="A60" s="3" t="s">
        <v>513</v>
      </c>
      <c r="B60" s="3" t="s">
        <v>514</v>
      </c>
      <c r="C60" s="3" t="s">
        <v>515</v>
      </c>
      <c r="D60" s="3" t="s">
        <v>516</v>
      </c>
      <c r="E60" s="3" t="s">
        <v>17</v>
      </c>
      <c r="F60" s="9">
        <v>1</v>
      </c>
      <c r="G60" s="23" t="s">
        <v>517</v>
      </c>
      <c r="H60" s="23" t="s">
        <v>517</v>
      </c>
      <c r="I60" s="23" t="s">
        <v>518</v>
      </c>
      <c r="J60" s="3" t="s">
        <v>519</v>
      </c>
      <c r="K60" s="3" t="s">
        <v>520</v>
      </c>
    </row>
    <row r="61" spans="1:11">
      <c r="A61" s="3" t="s">
        <v>521</v>
      </c>
      <c r="B61" s="3" t="s">
        <v>522</v>
      </c>
      <c r="C61" s="3" t="s">
        <v>523</v>
      </c>
      <c r="D61" s="3" t="s">
        <v>524</v>
      </c>
      <c r="E61" s="3" t="s">
        <v>525</v>
      </c>
      <c r="F61" s="9">
        <v>2</v>
      </c>
      <c r="G61" s="23" t="s">
        <v>526</v>
      </c>
      <c r="H61" s="23" t="s">
        <v>526</v>
      </c>
      <c r="I61" s="23" t="s">
        <v>527</v>
      </c>
      <c r="J61" s="3" t="s">
        <v>528</v>
      </c>
      <c r="K61" s="3" t="s">
        <v>529</v>
      </c>
    </row>
    <row r="62" spans="1:11">
      <c r="A62" s="3" t="s">
        <v>530</v>
      </c>
      <c r="B62" s="3" t="s">
        <v>531</v>
      </c>
      <c r="C62" s="3" t="s">
        <v>532</v>
      </c>
      <c r="D62" s="3" t="s">
        <v>533</v>
      </c>
      <c r="E62" s="3" t="s">
        <v>525</v>
      </c>
      <c r="F62" s="9">
        <v>2</v>
      </c>
      <c r="G62" s="23" t="s">
        <v>534</v>
      </c>
      <c r="H62" s="23" t="s">
        <v>534</v>
      </c>
      <c r="I62" s="23" t="s">
        <v>535</v>
      </c>
      <c r="J62" s="3" t="s">
        <v>536</v>
      </c>
      <c r="K62" s="3" t="s">
        <v>537</v>
      </c>
    </row>
    <row r="63" spans="1:11">
      <c r="A63" s="3" t="s">
        <v>538</v>
      </c>
      <c r="B63" s="3" t="s">
        <v>539</v>
      </c>
      <c r="C63" s="3" t="s">
        <v>540</v>
      </c>
      <c r="D63" s="3" t="s">
        <v>524</v>
      </c>
      <c r="E63" s="3" t="s">
        <v>525</v>
      </c>
      <c r="F63" s="9">
        <v>2</v>
      </c>
      <c r="G63" s="23" t="s">
        <v>541</v>
      </c>
      <c r="H63" s="23" t="s">
        <v>541</v>
      </c>
      <c r="I63" s="23" t="s">
        <v>542</v>
      </c>
      <c r="J63" s="3" t="s">
        <v>543</v>
      </c>
      <c r="K63" s="3" t="s">
        <v>544</v>
      </c>
    </row>
    <row r="64" spans="1:11">
      <c r="A64" s="3" t="s">
        <v>545</v>
      </c>
      <c r="B64" s="3" t="s">
        <v>546</v>
      </c>
      <c r="C64" s="3" t="s">
        <v>547</v>
      </c>
      <c r="D64" s="3" t="s">
        <v>548</v>
      </c>
      <c r="E64" s="3" t="s">
        <v>17</v>
      </c>
      <c r="F64" s="9">
        <v>1</v>
      </c>
      <c r="G64" s="23" t="s">
        <v>549</v>
      </c>
      <c r="H64" s="23" t="s">
        <v>549</v>
      </c>
      <c r="I64" s="23" t="s">
        <v>550</v>
      </c>
      <c r="J64" s="3" t="s">
        <v>551</v>
      </c>
      <c r="K64" s="3" t="s">
        <v>552</v>
      </c>
    </row>
    <row r="65" spans="1:11">
      <c r="A65" s="3" t="s">
        <v>553</v>
      </c>
      <c r="B65" s="3" t="s">
        <v>554</v>
      </c>
      <c r="C65" s="3" t="s">
        <v>555</v>
      </c>
      <c r="D65" s="3" t="s">
        <v>556</v>
      </c>
      <c r="E65" s="3" t="s">
        <v>17</v>
      </c>
      <c r="F65" s="9">
        <v>1</v>
      </c>
      <c r="G65" s="23" t="s">
        <v>557</v>
      </c>
      <c r="H65" s="23" t="s">
        <v>558</v>
      </c>
      <c r="I65" s="23" t="s">
        <v>559</v>
      </c>
      <c r="J65" s="3" t="s">
        <v>560</v>
      </c>
      <c r="K65" s="3" t="s">
        <v>561</v>
      </c>
    </row>
    <row r="66" spans="1:11">
      <c r="A66" s="3" t="s">
        <v>562</v>
      </c>
      <c r="B66" s="3" t="s">
        <v>563</v>
      </c>
      <c r="C66" s="3" t="s">
        <v>564</v>
      </c>
      <c r="D66" s="3" t="s">
        <v>565</v>
      </c>
      <c r="E66" s="3" t="s">
        <v>17</v>
      </c>
      <c r="F66" s="9">
        <v>1</v>
      </c>
      <c r="G66" s="23" t="s">
        <v>566</v>
      </c>
      <c r="H66" s="23" t="s">
        <v>567</v>
      </c>
      <c r="I66" s="23" t="s">
        <v>568</v>
      </c>
      <c r="J66" s="3" t="s">
        <v>569</v>
      </c>
      <c r="K66" s="3" t="s">
        <v>570</v>
      </c>
    </row>
    <row r="67" spans="1:11">
      <c r="A67" s="3" t="s">
        <v>571</v>
      </c>
      <c r="B67" s="3" t="s">
        <v>572</v>
      </c>
      <c r="C67" s="3" t="s">
        <v>573</v>
      </c>
      <c r="D67" s="3" t="s">
        <v>574</v>
      </c>
      <c r="E67" s="3" t="s">
        <v>17</v>
      </c>
      <c r="F67" s="9">
        <v>1</v>
      </c>
      <c r="G67" s="23" t="s">
        <v>575</v>
      </c>
      <c r="H67" s="23" t="s">
        <v>576</v>
      </c>
      <c r="I67" s="23" t="s">
        <v>577</v>
      </c>
      <c r="J67" s="3" t="s">
        <v>578</v>
      </c>
      <c r="K67" s="3" t="s">
        <v>579</v>
      </c>
    </row>
    <row r="68" spans="1:11">
      <c r="A68" s="3" t="s">
        <v>580</v>
      </c>
      <c r="B68" s="3" t="s">
        <v>581</v>
      </c>
      <c r="C68" s="3" t="s">
        <v>582</v>
      </c>
      <c r="D68" s="3" t="s">
        <v>583</v>
      </c>
      <c r="E68" s="3" t="s">
        <v>17</v>
      </c>
      <c r="F68" s="9">
        <v>1</v>
      </c>
      <c r="G68" s="23" t="s">
        <v>584</v>
      </c>
      <c r="H68" s="23" t="s">
        <v>585</v>
      </c>
      <c r="I68" s="23" t="s">
        <v>586</v>
      </c>
      <c r="J68" s="3" t="s">
        <v>587</v>
      </c>
      <c r="K68" s="3" t="s">
        <v>588</v>
      </c>
    </row>
    <row r="69" spans="1:11">
      <c r="A69" s="26" t="s">
        <v>589</v>
      </c>
      <c r="B69" s="26" t="s">
        <v>590</v>
      </c>
      <c r="C69" s="3" t="s">
        <v>591</v>
      </c>
      <c r="D69" s="3" t="s">
        <v>592</v>
      </c>
      <c r="E69" s="3" t="s">
        <v>17</v>
      </c>
      <c r="F69" s="9">
        <v>1</v>
      </c>
      <c r="G69" s="23" t="s">
        <v>593</v>
      </c>
      <c r="H69" s="23" t="s">
        <v>594</v>
      </c>
      <c r="I69" s="23" t="s">
        <v>595</v>
      </c>
      <c r="J69" s="3" t="s">
        <v>596</v>
      </c>
      <c r="K69" s="3" t="s">
        <v>597</v>
      </c>
    </row>
    <row r="70" spans="1:11">
      <c r="A70" s="3" t="s">
        <v>598</v>
      </c>
      <c r="B70" s="3" t="s">
        <v>599</v>
      </c>
      <c r="C70" s="3" t="s">
        <v>600</v>
      </c>
      <c r="D70" s="3" t="s">
        <v>601</v>
      </c>
      <c r="E70" s="3" t="s">
        <v>17</v>
      </c>
      <c r="F70" s="9">
        <v>1</v>
      </c>
      <c r="G70" s="23" t="s">
        <v>602</v>
      </c>
      <c r="H70" s="23" t="s">
        <v>603</v>
      </c>
      <c r="I70" s="23" t="s">
        <v>604</v>
      </c>
      <c r="J70" s="3" t="s">
        <v>605</v>
      </c>
      <c r="K70" s="3" t="s">
        <v>606</v>
      </c>
    </row>
    <row r="71" spans="1:11">
      <c r="A71" s="3" t="s">
        <v>607</v>
      </c>
      <c r="B71" s="3" t="s">
        <v>608</v>
      </c>
      <c r="C71" s="3" t="s">
        <v>609</v>
      </c>
      <c r="D71" s="3" t="s">
        <v>610</v>
      </c>
      <c r="E71" s="3" t="s">
        <v>17</v>
      </c>
      <c r="F71" s="9">
        <v>1</v>
      </c>
      <c r="G71" s="23" t="s">
        <v>611</v>
      </c>
      <c r="H71" s="23" t="s">
        <v>611</v>
      </c>
      <c r="I71" s="23" t="s">
        <v>612</v>
      </c>
      <c r="J71" s="3" t="s">
        <v>613</v>
      </c>
      <c r="K71" s="3" t="s">
        <v>614</v>
      </c>
    </row>
    <row r="72" spans="1:11">
      <c r="A72" s="3" t="s">
        <v>615</v>
      </c>
      <c r="B72" s="3" t="s">
        <v>616</v>
      </c>
      <c r="C72" s="3" t="s">
        <v>617</v>
      </c>
      <c r="D72" s="3" t="s">
        <v>618</v>
      </c>
      <c r="E72" s="3" t="s">
        <v>498</v>
      </c>
      <c r="F72" s="9">
        <v>1</v>
      </c>
      <c r="G72" s="23" t="s">
        <v>619</v>
      </c>
      <c r="H72" s="23" t="s">
        <v>620</v>
      </c>
      <c r="I72" s="23" t="s">
        <v>621</v>
      </c>
      <c r="J72" s="3" t="s">
        <v>622</v>
      </c>
      <c r="K72" s="3" t="s">
        <v>623</v>
      </c>
    </row>
    <row r="73" spans="1:11">
      <c r="A73" s="3" t="s">
        <v>624</v>
      </c>
      <c r="B73" s="3" t="s">
        <v>625</v>
      </c>
      <c r="C73" s="3" t="s">
        <v>626</v>
      </c>
      <c r="D73" s="3" t="s">
        <v>627</v>
      </c>
      <c r="E73" s="3" t="s">
        <v>498</v>
      </c>
      <c r="F73" s="9">
        <v>1</v>
      </c>
      <c r="G73" s="23" t="s">
        <v>628</v>
      </c>
      <c r="H73" s="23" t="s">
        <v>629</v>
      </c>
      <c r="I73" s="23" t="s">
        <v>630</v>
      </c>
      <c r="J73" s="3" t="s">
        <v>631</v>
      </c>
      <c r="K73" s="3" t="s">
        <v>632</v>
      </c>
    </row>
    <row r="74" spans="1:11">
      <c r="A74" s="3" t="s">
        <v>633</v>
      </c>
      <c r="B74" s="3" t="s">
        <v>634</v>
      </c>
      <c r="C74" s="3" t="s">
        <v>635</v>
      </c>
      <c r="D74" s="3" t="s">
        <v>636</v>
      </c>
      <c r="E74" s="3" t="s">
        <v>498</v>
      </c>
      <c r="F74" s="9">
        <v>1</v>
      </c>
      <c r="G74" s="23" t="s">
        <v>637</v>
      </c>
      <c r="H74" s="23" t="s">
        <v>638</v>
      </c>
      <c r="I74" s="23" t="s">
        <v>639</v>
      </c>
      <c r="J74" s="3" t="s">
        <v>640</v>
      </c>
      <c r="K74" s="3" t="s">
        <v>641</v>
      </c>
    </row>
    <row r="75" spans="1:11">
      <c r="A75" s="3" t="s">
        <v>642</v>
      </c>
      <c r="B75" s="3" t="s">
        <v>643</v>
      </c>
      <c r="C75" s="3" t="s">
        <v>644</v>
      </c>
      <c r="D75" s="3" t="s">
        <v>645</v>
      </c>
      <c r="E75" s="3" t="s">
        <v>17</v>
      </c>
      <c r="F75" s="9">
        <v>1</v>
      </c>
      <c r="G75" s="23" t="s">
        <v>646</v>
      </c>
      <c r="H75" s="23" t="s">
        <v>647</v>
      </c>
      <c r="I75" s="23" t="s">
        <v>648</v>
      </c>
      <c r="J75" s="3" t="s">
        <v>649</v>
      </c>
      <c r="K75" s="3" t="s">
        <v>650</v>
      </c>
    </row>
    <row r="76" spans="1:11">
      <c r="A76" s="3" t="s">
        <v>651</v>
      </c>
      <c r="B76" s="3" t="s">
        <v>652</v>
      </c>
      <c r="C76" s="3" t="s">
        <v>653</v>
      </c>
      <c r="D76" s="3" t="s">
        <v>654</v>
      </c>
      <c r="E76" s="3" t="s">
        <v>17</v>
      </c>
      <c r="F76" s="9">
        <v>1</v>
      </c>
      <c r="G76" s="23" t="s">
        <v>655</v>
      </c>
      <c r="H76" s="23" t="s">
        <v>655</v>
      </c>
      <c r="I76" s="23" t="s">
        <v>656</v>
      </c>
      <c r="J76" s="3" t="s">
        <v>657</v>
      </c>
      <c r="K76" s="3" t="s">
        <v>658</v>
      </c>
    </row>
    <row r="77" spans="1:11">
      <c r="A77" s="3" t="s">
        <v>659</v>
      </c>
      <c r="B77" s="3" t="s">
        <v>660</v>
      </c>
      <c r="C77" s="3" t="s">
        <v>661</v>
      </c>
      <c r="D77" s="3" t="s">
        <v>662</v>
      </c>
      <c r="E77" s="3" t="s">
        <v>17</v>
      </c>
      <c r="F77" s="9">
        <v>1</v>
      </c>
      <c r="G77" s="23" t="s">
        <v>663</v>
      </c>
      <c r="H77" s="23" t="s">
        <v>663</v>
      </c>
      <c r="I77" s="23" t="s">
        <v>664</v>
      </c>
      <c r="J77" s="3" t="s">
        <v>665</v>
      </c>
      <c r="K77" s="3" t="s">
        <v>666</v>
      </c>
    </row>
    <row r="78" spans="1:11">
      <c r="A78" s="3" t="s">
        <v>667</v>
      </c>
      <c r="B78" s="3" t="s">
        <v>668</v>
      </c>
      <c r="C78" s="3" t="s">
        <v>669</v>
      </c>
      <c r="D78" s="3" t="s">
        <v>670</v>
      </c>
      <c r="E78" s="3" t="s">
        <v>17</v>
      </c>
      <c r="F78" s="9">
        <v>1</v>
      </c>
      <c r="G78" s="23" t="s">
        <v>671</v>
      </c>
      <c r="H78" s="23" t="s">
        <v>672</v>
      </c>
      <c r="I78" s="23" t="s">
        <v>673</v>
      </c>
      <c r="J78" s="3" t="s">
        <v>674</v>
      </c>
      <c r="K78" s="3" t="s">
        <v>675</v>
      </c>
    </row>
    <row r="79" spans="1:11">
      <c r="A79" s="3" t="s">
        <v>676</v>
      </c>
      <c r="B79" s="3" t="s">
        <v>677</v>
      </c>
      <c r="C79" s="3" t="s">
        <v>678</v>
      </c>
      <c r="D79" s="3" t="s">
        <v>679</v>
      </c>
      <c r="E79" s="3" t="s">
        <v>17</v>
      </c>
      <c r="F79" s="9">
        <v>1</v>
      </c>
      <c r="G79" s="23" t="s">
        <v>680</v>
      </c>
      <c r="H79" s="23" t="s">
        <v>681</v>
      </c>
      <c r="I79" s="23" t="s">
        <v>682</v>
      </c>
      <c r="J79" s="3" t="s">
        <v>683</v>
      </c>
      <c r="K79" s="3" t="s">
        <v>684</v>
      </c>
    </row>
    <row r="80" spans="1:11">
      <c r="A80" s="3" t="s">
        <v>685</v>
      </c>
      <c r="B80" s="3" t="s">
        <v>686</v>
      </c>
      <c r="C80" s="3" t="s">
        <v>687</v>
      </c>
      <c r="D80" s="3" t="s">
        <v>688</v>
      </c>
      <c r="E80" s="3" t="s">
        <v>17</v>
      </c>
      <c r="F80" s="9">
        <v>1</v>
      </c>
      <c r="G80" s="23" t="s">
        <v>689</v>
      </c>
      <c r="H80" s="23" t="s">
        <v>690</v>
      </c>
      <c r="I80" s="23" t="s">
        <v>691</v>
      </c>
      <c r="J80" s="3" t="s">
        <v>692</v>
      </c>
      <c r="K80" s="3" t="s">
        <v>693</v>
      </c>
    </row>
    <row r="81" spans="1:11">
      <c r="A81" s="3" t="s">
        <v>694</v>
      </c>
      <c r="B81" s="3" t="s">
        <v>695</v>
      </c>
      <c r="C81" s="3" t="s">
        <v>696</v>
      </c>
      <c r="D81" s="3" t="s">
        <v>697</v>
      </c>
      <c r="E81" s="3" t="s">
        <v>17</v>
      </c>
      <c r="F81" s="9">
        <v>1</v>
      </c>
      <c r="G81" s="23" t="s">
        <v>698</v>
      </c>
      <c r="H81" s="23" t="s">
        <v>699</v>
      </c>
      <c r="I81" s="23" t="s">
        <v>700</v>
      </c>
      <c r="J81" s="3" t="s">
        <v>701</v>
      </c>
      <c r="K81" s="3" t="s">
        <v>702</v>
      </c>
    </row>
    <row r="82" spans="1:11">
      <c r="A82" s="3" t="s">
        <v>703</v>
      </c>
      <c r="B82" s="3" t="s">
        <v>704</v>
      </c>
      <c r="C82" s="3" t="s">
        <v>705</v>
      </c>
      <c r="D82" s="3" t="s">
        <v>706</v>
      </c>
      <c r="E82" s="3" t="s">
        <v>498</v>
      </c>
      <c r="F82" s="9">
        <v>1</v>
      </c>
      <c r="G82" s="23" t="s">
        <v>707</v>
      </c>
      <c r="H82" s="23" t="s">
        <v>708</v>
      </c>
      <c r="I82" s="23" t="s">
        <v>709</v>
      </c>
      <c r="J82" s="3" t="s">
        <v>710</v>
      </c>
      <c r="K82" s="3" t="s">
        <v>711</v>
      </c>
    </row>
    <row r="83" spans="1:11">
      <c r="A83" s="3" t="s">
        <v>712</v>
      </c>
      <c r="B83" s="3" t="s">
        <v>713</v>
      </c>
      <c r="C83" s="3" t="s">
        <v>714</v>
      </c>
      <c r="D83" s="3" t="s">
        <v>715</v>
      </c>
      <c r="E83" s="3" t="s">
        <v>17</v>
      </c>
      <c r="F83" s="9">
        <v>1</v>
      </c>
      <c r="G83" s="23" t="s">
        <v>716</v>
      </c>
      <c r="H83" s="23" t="s">
        <v>717</v>
      </c>
      <c r="I83" s="23" t="s">
        <v>718</v>
      </c>
      <c r="J83" s="3" t="s">
        <v>719</v>
      </c>
      <c r="K83" s="3" t="s">
        <v>720</v>
      </c>
    </row>
    <row r="84" spans="1:11">
      <c r="A84" s="3" t="s">
        <v>721</v>
      </c>
      <c r="B84" s="3" t="s">
        <v>722</v>
      </c>
      <c r="C84" s="3" t="s">
        <v>723</v>
      </c>
      <c r="D84" s="3" t="s">
        <v>724</v>
      </c>
      <c r="E84" s="3" t="s">
        <v>725</v>
      </c>
      <c r="F84" s="9">
        <v>2</v>
      </c>
      <c r="G84" s="23" t="s">
        <v>726</v>
      </c>
      <c r="H84" s="23" t="s">
        <v>727</v>
      </c>
      <c r="I84" s="23" t="s">
        <v>728</v>
      </c>
      <c r="J84" s="3" t="s">
        <v>729</v>
      </c>
      <c r="K84" s="3" t="s">
        <v>730</v>
      </c>
    </row>
    <row r="85" spans="1:11">
      <c r="A85" s="3" t="s">
        <v>731</v>
      </c>
      <c r="B85" s="3" t="s">
        <v>732</v>
      </c>
      <c r="C85" s="3" t="s">
        <v>733</v>
      </c>
      <c r="D85" s="3" t="s">
        <v>734</v>
      </c>
      <c r="E85" s="3" t="s">
        <v>17</v>
      </c>
      <c r="F85" s="9">
        <v>1</v>
      </c>
      <c r="G85" s="23" t="s">
        <v>735</v>
      </c>
      <c r="H85" s="23" t="s">
        <v>736</v>
      </c>
      <c r="I85" s="23" t="s">
        <v>737</v>
      </c>
      <c r="J85" s="3" t="s">
        <v>738</v>
      </c>
      <c r="K85" s="3" t="s">
        <v>739</v>
      </c>
    </row>
    <row r="86" spans="1:11">
      <c r="A86" s="3" t="s">
        <v>740</v>
      </c>
      <c r="B86" s="3" t="s">
        <v>741</v>
      </c>
      <c r="C86" s="3" t="s">
        <v>742</v>
      </c>
      <c r="D86" s="3" t="s">
        <v>743</v>
      </c>
      <c r="E86" s="3" t="s">
        <v>17</v>
      </c>
      <c r="F86" s="9">
        <v>1</v>
      </c>
      <c r="G86" s="23" t="s">
        <v>744</v>
      </c>
      <c r="H86" s="23" t="s">
        <v>745</v>
      </c>
      <c r="I86" s="23" t="s">
        <v>746</v>
      </c>
      <c r="J86" s="3" t="s">
        <v>747</v>
      </c>
      <c r="K86" s="3" t="s">
        <v>748</v>
      </c>
    </row>
    <row r="87" spans="1:11">
      <c r="A87" s="3" t="s">
        <v>749</v>
      </c>
      <c r="B87" s="3" t="s">
        <v>750</v>
      </c>
      <c r="C87" s="3" t="s">
        <v>751</v>
      </c>
      <c r="D87" s="3" t="s">
        <v>752</v>
      </c>
      <c r="E87" s="3" t="s">
        <v>17</v>
      </c>
      <c r="F87" s="9">
        <v>1</v>
      </c>
      <c r="G87" s="23" t="s">
        <v>753</v>
      </c>
      <c r="H87" s="23" t="s">
        <v>754</v>
      </c>
      <c r="I87" s="23" t="s">
        <v>755</v>
      </c>
      <c r="J87" s="3" t="s">
        <v>756</v>
      </c>
      <c r="K87" s="3" t="s">
        <v>757</v>
      </c>
    </row>
    <row r="88" spans="1:11">
      <c r="A88" s="3" t="s">
        <v>758</v>
      </c>
      <c r="B88" s="3" t="s">
        <v>759</v>
      </c>
      <c r="C88" s="3" t="s">
        <v>760</v>
      </c>
      <c r="D88" s="3" t="s">
        <v>761</v>
      </c>
      <c r="E88" s="3" t="s">
        <v>17</v>
      </c>
      <c r="F88" s="9">
        <v>1</v>
      </c>
      <c r="G88" s="23" t="s">
        <v>762</v>
      </c>
      <c r="H88" s="23" t="s">
        <v>763</v>
      </c>
      <c r="I88" s="23" t="s">
        <v>764</v>
      </c>
      <c r="J88" s="3" t="s">
        <v>765</v>
      </c>
      <c r="K88" s="3" t="s">
        <v>766</v>
      </c>
    </row>
    <row r="89" spans="1:11">
      <c r="A89" s="3" t="s">
        <v>767</v>
      </c>
      <c r="B89" s="3" t="s">
        <v>768</v>
      </c>
      <c r="C89" s="3" t="s">
        <v>769</v>
      </c>
      <c r="D89" s="3" t="s">
        <v>770</v>
      </c>
      <c r="E89" s="3" t="s">
        <v>17</v>
      </c>
      <c r="F89" s="9">
        <v>1</v>
      </c>
      <c r="G89" s="23" t="s">
        <v>771</v>
      </c>
      <c r="H89" s="23" t="s">
        <v>772</v>
      </c>
      <c r="I89" s="23" t="s">
        <v>773</v>
      </c>
      <c r="J89" s="3" t="s">
        <v>774</v>
      </c>
      <c r="K89" s="3" t="s">
        <v>775</v>
      </c>
    </row>
    <row r="90" spans="1:11">
      <c r="A90" s="3" t="s">
        <v>776</v>
      </c>
      <c r="B90" s="3" t="s">
        <v>777</v>
      </c>
      <c r="C90" s="3" t="s">
        <v>778</v>
      </c>
      <c r="D90" s="3" t="s">
        <v>779</v>
      </c>
      <c r="E90" s="3" t="s">
        <v>17</v>
      </c>
      <c r="F90" s="9">
        <v>1</v>
      </c>
      <c r="G90" s="23" t="s">
        <v>780</v>
      </c>
      <c r="H90" s="23" t="s">
        <v>780</v>
      </c>
      <c r="I90" s="23" t="s">
        <v>781</v>
      </c>
      <c r="J90" s="3" t="s">
        <v>782</v>
      </c>
      <c r="K90" s="3" t="s">
        <v>783</v>
      </c>
    </row>
    <row r="91" spans="1:11">
      <c r="A91" s="3" t="s">
        <v>784</v>
      </c>
      <c r="B91" s="3" t="s">
        <v>785</v>
      </c>
      <c r="C91" s="3" t="s">
        <v>786</v>
      </c>
      <c r="D91" s="3" t="s">
        <v>787</v>
      </c>
      <c r="E91" s="3" t="s">
        <v>17</v>
      </c>
      <c r="F91" s="9">
        <v>1</v>
      </c>
      <c r="G91" s="23" t="s">
        <v>788</v>
      </c>
      <c r="H91" s="23" t="s">
        <v>788</v>
      </c>
      <c r="I91" s="23" t="s">
        <v>789</v>
      </c>
      <c r="J91" s="3" t="s">
        <v>790</v>
      </c>
      <c r="K91" s="3" t="s">
        <v>791</v>
      </c>
    </row>
    <row r="92" spans="1:11">
      <c r="A92" s="3" t="s">
        <v>792</v>
      </c>
      <c r="B92" s="3" t="s">
        <v>793</v>
      </c>
      <c r="C92" s="3" t="s">
        <v>469</v>
      </c>
      <c r="D92" s="3" t="s">
        <v>794</v>
      </c>
      <c r="E92" s="3" t="s">
        <v>17</v>
      </c>
      <c r="F92" s="9">
        <v>1</v>
      </c>
      <c r="G92" s="23" t="s">
        <v>795</v>
      </c>
      <c r="H92" s="23" t="s">
        <v>795</v>
      </c>
      <c r="I92" s="23" t="s">
        <v>796</v>
      </c>
      <c r="J92" s="3" t="s">
        <v>797</v>
      </c>
      <c r="K92" s="3" t="s">
        <v>798</v>
      </c>
    </row>
    <row r="93" spans="1:11">
      <c r="A93" s="3" t="s">
        <v>799</v>
      </c>
      <c r="B93" s="3" t="s">
        <v>800</v>
      </c>
      <c r="C93" s="3" t="s">
        <v>469</v>
      </c>
      <c r="D93" s="3" t="s">
        <v>801</v>
      </c>
      <c r="E93" s="3" t="s">
        <v>17</v>
      </c>
      <c r="F93" s="9">
        <v>1</v>
      </c>
      <c r="G93" s="23" t="s">
        <v>802</v>
      </c>
      <c r="H93" s="23" t="s">
        <v>802</v>
      </c>
      <c r="I93" s="23" t="s">
        <v>803</v>
      </c>
      <c r="J93" s="3" t="s">
        <v>804</v>
      </c>
      <c r="K93" s="3" t="s">
        <v>805</v>
      </c>
    </row>
    <row r="94" spans="1:11">
      <c r="A94" s="3" t="s">
        <v>806</v>
      </c>
      <c r="B94" s="3" t="s">
        <v>807</v>
      </c>
      <c r="C94" s="3" t="s">
        <v>469</v>
      </c>
      <c r="D94" s="3" t="s">
        <v>808</v>
      </c>
      <c r="E94" s="3" t="s">
        <v>17</v>
      </c>
      <c r="F94" s="9">
        <v>1</v>
      </c>
      <c r="G94" s="23" t="s">
        <v>809</v>
      </c>
      <c r="H94" s="23" t="s">
        <v>809</v>
      </c>
      <c r="I94" s="23" t="s">
        <v>810</v>
      </c>
      <c r="J94" s="3" t="s">
        <v>811</v>
      </c>
      <c r="K94" s="3" t="s">
        <v>812</v>
      </c>
    </row>
    <row r="95" spans="1:11">
      <c r="A95" s="3" t="s">
        <v>813</v>
      </c>
      <c r="B95" s="3" t="s">
        <v>814</v>
      </c>
      <c r="C95" s="3" t="s">
        <v>469</v>
      </c>
      <c r="D95" s="3" t="s">
        <v>815</v>
      </c>
      <c r="E95" s="3" t="s">
        <v>17</v>
      </c>
      <c r="F95" s="9">
        <v>1</v>
      </c>
      <c r="G95" s="23" t="s">
        <v>816</v>
      </c>
      <c r="H95" s="23" t="s">
        <v>816</v>
      </c>
      <c r="I95" s="23" t="s">
        <v>817</v>
      </c>
      <c r="J95" s="3" t="s">
        <v>818</v>
      </c>
      <c r="K95" s="3" t="s">
        <v>819</v>
      </c>
    </row>
    <row r="96" spans="1:11">
      <c r="A96" s="3" t="s">
        <v>820</v>
      </c>
      <c r="B96" s="3" t="s">
        <v>821</v>
      </c>
      <c r="C96" s="3" t="s">
        <v>822</v>
      </c>
      <c r="D96" s="3" t="s">
        <v>823</v>
      </c>
      <c r="E96" s="3" t="s">
        <v>17</v>
      </c>
      <c r="F96" s="9">
        <v>1</v>
      </c>
      <c r="G96" s="23" t="s">
        <v>824</v>
      </c>
      <c r="H96" s="23" t="s">
        <v>825</v>
      </c>
      <c r="I96" s="23" t="s">
        <v>826</v>
      </c>
      <c r="J96" s="3" t="s">
        <v>827</v>
      </c>
      <c r="K96" s="3" t="s">
        <v>828</v>
      </c>
    </row>
    <row r="97" spans="1:11">
      <c r="A97" s="3" t="s">
        <v>829</v>
      </c>
      <c r="B97" s="3" t="s">
        <v>830</v>
      </c>
      <c r="C97" s="3" t="s">
        <v>469</v>
      </c>
      <c r="D97" s="3" t="s">
        <v>831</v>
      </c>
      <c r="E97" s="3" t="s">
        <v>17</v>
      </c>
      <c r="F97" s="9">
        <v>1</v>
      </c>
      <c r="G97" s="23" t="s">
        <v>832</v>
      </c>
      <c r="H97" s="23" t="s">
        <v>832</v>
      </c>
      <c r="I97" s="23" t="s">
        <v>833</v>
      </c>
      <c r="J97" s="3" t="s">
        <v>834</v>
      </c>
      <c r="K97" s="3" t="s">
        <v>835</v>
      </c>
    </row>
    <row r="98" spans="1:11">
      <c r="A98" s="3" t="s">
        <v>836</v>
      </c>
      <c r="B98" s="3" t="s">
        <v>837</v>
      </c>
      <c r="C98" s="3" t="s">
        <v>838</v>
      </c>
      <c r="D98" s="3" t="s">
        <v>839</v>
      </c>
      <c r="E98" s="3" t="s">
        <v>17</v>
      </c>
      <c r="F98" s="9">
        <v>1</v>
      </c>
      <c r="G98" s="6" t="s">
        <v>840</v>
      </c>
      <c r="H98" s="6" t="s">
        <v>840</v>
      </c>
      <c r="I98" s="6" t="s">
        <v>841</v>
      </c>
      <c r="J98" s="5" t="s">
        <v>842</v>
      </c>
      <c r="K98" s="5" t="str">
        <f t="shared" ref="K98:K141" si="0">LEFT(J98,FIND("-",J98)-1)</f>
        <v>RDGYBXJBPSJRKW</v>
      </c>
    </row>
    <row r="99" spans="1:11">
      <c r="A99" s="3" t="s">
        <v>843</v>
      </c>
      <c r="B99" s="3" t="s">
        <v>844</v>
      </c>
      <c r="C99" s="3" t="s">
        <v>845</v>
      </c>
      <c r="D99" s="3" t="s">
        <v>846</v>
      </c>
      <c r="E99" s="3" t="s">
        <v>17</v>
      </c>
      <c r="F99" s="9">
        <v>1</v>
      </c>
      <c r="G99" s="6" t="s">
        <v>847</v>
      </c>
      <c r="H99" s="6" t="s">
        <v>848</v>
      </c>
      <c r="I99" s="6" t="s">
        <v>849</v>
      </c>
      <c r="J99" s="5" t="s">
        <v>850</v>
      </c>
      <c r="K99" s="5" t="str">
        <f t="shared" si="0"/>
        <v>GYKMEKRMASHMIH</v>
      </c>
    </row>
    <row r="100" spans="1:11">
      <c r="A100" s="3" t="s">
        <v>851</v>
      </c>
      <c r="B100" s="3" t="s">
        <v>852</v>
      </c>
      <c r="C100" s="3" t="s">
        <v>853</v>
      </c>
      <c r="D100" s="3" t="s">
        <v>854</v>
      </c>
      <c r="E100" s="3" t="s">
        <v>498</v>
      </c>
      <c r="F100" s="9">
        <v>1</v>
      </c>
      <c r="G100" s="6" t="s">
        <v>855</v>
      </c>
      <c r="H100" s="6" t="s">
        <v>856</v>
      </c>
      <c r="I100" s="6" t="s">
        <v>857</v>
      </c>
      <c r="J100" s="5" t="s">
        <v>858</v>
      </c>
      <c r="K100" s="5" t="str">
        <f t="shared" si="0"/>
        <v>YTXJBUZKFCXUMF</v>
      </c>
    </row>
    <row r="101" spans="1:11">
      <c r="A101" s="3" t="s">
        <v>859</v>
      </c>
      <c r="B101" s="3" t="s">
        <v>860</v>
      </c>
      <c r="C101" s="3" t="s">
        <v>861</v>
      </c>
      <c r="D101" s="3" t="s">
        <v>862</v>
      </c>
      <c r="E101" s="3" t="s">
        <v>17</v>
      </c>
      <c r="F101" s="9">
        <v>1</v>
      </c>
      <c r="G101" s="6" t="s">
        <v>863</v>
      </c>
      <c r="H101" s="6" t="s">
        <v>864</v>
      </c>
      <c r="I101" s="6" t="s">
        <v>865</v>
      </c>
      <c r="J101" s="5" t="s">
        <v>866</v>
      </c>
      <c r="K101" s="5" t="str">
        <f t="shared" si="0"/>
        <v>FTTIVYLRTSLTBG</v>
      </c>
    </row>
    <row r="102" spans="1:11">
      <c r="A102" s="3" t="s">
        <v>867</v>
      </c>
      <c r="B102" s="3" t="s">
        <v>868</v>
      </c>
      <c r="C102" s="3" t="s">
        <v>869</v>
      </c>
      <c r="D102" s="3" t="s">
        <v>870</v>
      </c>
      <c r="E102" s="3" t="s">
        <v>17</v>
      </c>
      <c r="F102" s="9">
        <v>1</v>
      </c>
      <c r="G102" s="6" t="s">
        <v>871</v>
      </c>
      <c r="H102" s="6" t="s">
        <v>872</v>
      </c>
      <c r="I102" s="6" t="s">
        <v>873</v>
      </c>
      <c r="J102" s="5" t="s">
        <v>874</v>
      </c>
      <c r="K102" s="5" t="str">
        <f t="shared" si="0"/>
        <v>NLQVCQGVBGEOCO</v>
      </c>
    </row>
    <row r="103" spans="1:11">
      <c r="A103" s="3" t="s">
        <v>875</v>
      </c>
      <c r="B103" s="3" t="s">
        <v>876</v>
      </c>
      <c r="C103" s="3" t="s">
        <v>877</v>
      </c>
      <c r="D103" s="3" t="s">
        <v>878</v>
      </c>
      <c r="E103" s="3" t="s">
        <v>17</v>
      </c>
      <c r="F103" s="9">
        <v>1</v>
      </c>
      <c r="G103" s="6" t="s">
        <v>879</v>
      </c>
      <c r="H103" s="6" t="s">
        <v>880</v>
      </c>
      <c r="I103" s="6" t="s">
        <v>881</v>
      </c>
      <c r="J103" s="5" t="s">
        <v>882</v>
      </c>
      <c r="K103" s="5" t="str">
        <f t="shared" si="0"/>
        <v>LVYUAEWNPLZXSA</v>
      </c>
    </row>
    <row r="104" spans="1:11">
      <c r="A104" s="3" t="s">
        <v>883</v>
      </c>
      <c r="B104" s="3" t="s">
        <v>884</v>
      </c>
      <c r="C104" s="3" t="s">
        <v>885</v>
      </c>
      <c r="D104" s="3" t="s">
        <v>886</v>
      </c>
      <c r="E104" s="3" t="s">
        <v>17</v>
      </c>
      <c r="F104" s="9">
        <v>1</v>
      </c>
      <c r="G104" s="6" t="s">
        <v>887</v>
      </c>
      <c r="H104" s="6" t="s">
        <v>888</v>
      </c>
      <c r="I104" s="6" t="s">
        <v>889</v>
      </c>
      <c r="J104" s="5" t="s">
        <v>890</v>
      </c>
      <c r="K104" s="5" t="str">
        <f t="shared" si="0"/>
        <v>YIVPZMLMCHXGLR</v>
      </c>
    </row>
    <row r="105" spans="1:11">
      <c r="A105" s="3" t="s">
        <v>891</v>
      </c>
      <c r="B105" s="3" t="s">
        <v>892</v>
      </c>
      <c r="C105" s="3" t="s">
        <v>893</v>
      </c>
      <c r="D105" s="3" t="s">
        <v>894</v>
      </c>
      <c r="E105" s="3" t="s">
        <v>525</v>
      </c>
      <c r="F105" s="9">
        <v>2</v>
      </c>
      <c r="G105" s="6" t="s">
        <v>895</v>
      </c>
      <c r="H105" s="6" t="s">
        <v>895</v>
      </c>
      <c r="I105" s="6" t="s">
        <v>896</v>
      </c>
      <c r="J105" s="5" t="s">
        <v>897</v>
      </c>
      <c r="K105" s="5" t="str">
        <f t="shared" si="0"/>
        <v>QCHAVHXSBZARBO</v>
      </c>
    </row>
    <row r="106" spans="1:11">
      <c r="A106" s="3" t="s">
        <v>898</v>
      </c>
      <c r="B106" s="3" t="s">
        <v>899</v>
      </c>
      <c r="C106" s="3" t="s">
        <v>900</v>
      </c>
      <c r="D106" s="3" t="s">
        <v>901</v>
      </c>
      <c r="E106" s="3" t="s">
        <v>498</v>
      </c>
      <c r="F106" s="9">
        <v>1</v>
      </c>
      <c r="G106" s="6" t="s">
        <v>902</v>
      </c>
      <c r="H106" s="6" t="s">
        <v>903</v>
      </c>
      <c r="I106" s="6" t="s">
        <v>904</v>
      </c>
      <c r="J106" s="5" t="s">
        <v>905</v>
      </c>
      <c r="K106" s="5" t="str">
        <f t="shared" si="0"/>
        <v>PAZHOQPRMVOBDD</v>
      </c>
    </row>
    <row r="107" spans="1:11">
      <c r="A107" s="3" t="s">
        <v>906</v>
      </c>
      <c r="B107" s="3" t="s">
        <v>907</v>
      </c>
      <c r="C107" s="3" t="s">
        <v>908</v>
      </c>
      <c r="D107" s="3" t="s">
        <v>909</v>
      </c>
      <c r="E107" s="3" t="s">
        <v>17</v>
      </c>
      <c r="F107" s="9">
        <v>1</v>
      </c>
      <c r="G107" s="6" t="s">
        <v>910</v>
      </c>
      <c r="H107" s="6" t="s">
        <v>910</v>
      </c>
      <c r="I107" s="6" t="s">
        <v>911</v>
      </c>
      <c r="J107" s="5" t="s">
        <v>912</v>
      </c>
      <c r="K107" s="5" t="str">
        <f t="shared" si="0"/>
        <v>JRTHAKOHBMETRC</v>
      </c>
    </row>
    <row r="108" spans="1:11">
      <c r="A108" s="3" t="s">
        <v>913</v>
      </c>
      <c r="B108" s="3" t="s">
        <v>914</v>
      </c>
      <c r="C108" s="3" t="s">
        <v>915</v>
      </c>
      <c r="D108" s="3" t="s">
        <v>916</v>
      </c>
      <c r="E108" s="3" t="s">
        <v>498</v>
      </c>
      <c r="F108" s="9">
        <v>1</v>
      </c>
      <c r="G108" s="6" t="s">
        <v>917</v>
      </c>
      <c r="H108" s="6" t="s">
        <v>918</v>
      </c>
      <c r="I108" s="6" t="s">
        <v>919</v>
      </c>
      <c r="J108" s="5" t="s">
        <v>920</v>
      </c>
      <c r="K108" s="5" t="str">
        <f t="shared" si="0"/>
        <v>IWRBGJKCDORZHK</v>
      </c>
    </row>
    <row r="109" spans="1:11">
      <c r="A109" s="3" t="s">
        <v>921</v>
      </c>
      <c r="B109" s="3" t="s">
        <v>922</v>
      </c>
      <c r="C109" s="3" t="s">
        <v>923</v>
      </c>
      <c r="D109" s="3" t="s">
        <v>924</v>
      </c>
      <c r="E109" s="3" t="s">
        <v>17</v>
      </c>
      <c r="F109" s="9">
        <v>1</v>
      </c>
      <c r="G109" s="6" t="s">
        <v>925</v>
      </c>
      <c r="H109" s="6" t="s">
        <v>926</v>
      </c>
      <c r="I109" s="6" t="s">
        <v>927</v>
      </c>
      <c r="J109" s="5" t="s">
        <v>928</v>
      </c>
      <c r="K109" s="5" t="str">
        <f t="shared" si="0"/>
        <v>WGOBPPNNYVSJTE</v>
      </c>
    </row>
    <row r="110" spans="1:11">
      <c r="A110" s="3" t="s">
        <v>929</v>
      </c>
      <c r="B110" s="3" t="s">
        <v>930</v>
      </c>
      <c r="C110" s="3" t="s">
        <v>931</v>
      </c>
      <c r="D110" s="3" t="s">
        <v>932</v>
      </c>
      <c r="E110" s="3" t="s">
        <v>725</v>
      </c>
      <c r="F110" s="9">
        <v>2</v>
      </c>
      <c r="G110" s="6" t="s">
        <v>933</v>
      </c>
      <c r="H110" s="6" t="s">
        <v>934</v>
      </c>
      <c r="I110" s="6" t="s">
        <v>935</v>
      </c>
      <c r="J110" s="5" t="s">
        <v>936</v>
      </c>
      <c r="K110" s="5" t="str">
        <f t="shared" si="0"/>
        <v>DGMHHZSVDWJVQF</v>
      </c>
    </row>
    <row r="111" spans="1:11">
      <c r="A111" s="3" t="s">
        <v>937</v>
      </c>
      <c r="B111" s="3" t="s">
        <v>938</v>
      </c>
      <c r="C111" s="3" t="s">
        <v>939</v>
      </c>
      <c r="D111" s="3" t="s">
        <v>940</v>
      </c>
      <c r="E111" s="3" t="s">
        <v>17</v>
      </c>
      <c r="F111" s="9">
        <v>1</v>
      </c>
      <c r="G111" s="6" t="s">
        <v>941</v>
      </c>
      <c r="H111" s="6" t="s">
        <v>942</v>
      </c>
      <c r="I111" s="6" t="s">
        <v>943</v>
      </c>
      <c r="J111" s="5" t="s">
        <v>944</v>
      </c>
      <c r="K111" s="5" t="str">
        <f t="shared" si="0"/>
        <v>FEFJPHDISOPBSZ</v>
      </c>
    </row>
    <row r="112" spans="1:11">
      <c r="A112" s="3" t="s">
        <v>945</v>
      </c>
      <c r="B112" s="3" t="s">
        <v>946</v>
      </c>
      <c r="C112" s="3" t="s">
        <v>947</v>
      </c>
      <c r="D112" s="3" t="s">
        <v>948</v>
      </c>
      <c r="E112" s="3" t="s">
        <v>17</v>
      </c>
      <c r="F112" s="9">
        <v>1</v>
      </c>
      <c r="G112" s="6" t="s">
        <v>949</v>
      </c>
      <c r="H112" s="6" t="s">
        <v>950</v>
      </c>
      <c r="I112" s="6" t="s">
        <v>951</v>
      </c>
      <c r="J112" s="5" t="s">
        <v>952</v>
      </c>
      <c r="K112" s="5" t="str">
        <f t="shared" si="0"/>
        <v>JFUWTGUCFKJVST</v>
      </c>
    </row>
    <row r="113" spans="1:11">
      <c r="A113" s="3" t="s">
        <v>953</v>
      </c>
      <c r="B113" s="3" t="s">
        <v>954</v>
      </c>
      <c r="C113" s="3" t="s">
        <v>955</v>
      </c>
      <c r="D113" s="3" t="s">
        <v>956</v>
      </c>
      <c r="E113" s="3" t="s">
        <v>17</v>
      </c>
      <c r="F113" s="9">
        <v>1</v>
      </c>
      <c r="G113" s="6" t="s">
        <v>957</v>
      </c>
      <c r="H113" s="6" t="s">
        <v>958</v>
      </c>
      <c r="I113" s="6" t="s">
        <v>959</v>
      </c>
      <c r="J113" s="5" t="s">
        <v>960</v>
      </c>
      <c r="K113" s="5" t="str">
        <f t="shared" si="0"/>
        <v>FMKCFHDNLJFVRE</v>
      </c>
    </row>
    <row r="114" spans="1:11">
      <c r="A114" s="3" t="s">
        <v>961</v>
      </c>
      <c r="B114" s="3" t="s">
        <v>962</v>
      </c>
      <c r="C114" s="3" t="s">
        <v>963</v>
      </c>
      <c r="D114" s="3" t="s">
        <v>964</v>
      </c>
      <c r="E114" s="3" t="s">
        <v>17</v>
      </c>
      <c r="F114" s="9">
        <v>1</v>
      </c>
      <c r="G114" s="6" t="s">
        <v>965</v>
      </c>
      <c r="H114" s="6" t="s">
        <v>966</v>
      </c>
      <c r="I114" s="6" t="s">
        <v>967</v>
      </c>
      <c r="J114" s="5" t="s">
        <v>968</v>
      </c>
      <c r="K114" s="5" t="str">
        <f t="shared" si="0"/>
        <v>AJLHFWYWUUCAAX</v>
      </c>
    </row>
    <row r="115" spans="1:11">
      <c r="A115" s="3" t="s">
        <v>969</v>
      </c>
      <c r="B115" s="3" t="s">
        <v>970</v>
      </c>
      <c r="C115" s="3" t="s">
        <v>971</v>
      </c>
      <c r="D115" s="3" t="s">
        <v>901</v>
      </c>
      <c r="E115" s="3" t="s">
        <v>498</v>
      </c>
      <c r="F115" s="9">
        <v>1</v>
      </c>
      <c r="G115" s="6" t="s">
        <v>902</v>
      </c>
      <c r="H115" s="6" t="s">
        <v>972</v>
      </c>
      <c r="I115" s="6" t="s">
        <v>973</v>
      </c>
      <c r="J115" s="5" t="s">
        <v>974</v>
      </c>
      <c r="K115" s="5" t="str">
        <f t="shared" si="0"/>
        <v>PAZHOQPRMVOBDD</v>
      </c>
    </row>
    <row r="116" spans="1:11">
      <c r="A116" s="3" t="s">
        <v>975</v>
      </c>
      <c r="B116" s="3" t="s">
        <v>976</v>
      </c>
      <c r="C116" s="3" t="s">
        <v>977</v>
      </c>
      <c r="D116" s="3" t="s">
        <v>978</v>
      </c>
      <c r="E116" s="3" t="s">
        <v>498</v>
      </c>
      <c r="F116" s="9">
        <v>1</v>
      </c>
      <c r="G116" s="6" t="s">
        <v>979</v>
      </c>
      <c r="H116" s="6" t="s">
        <v>980</v>
      </c>
      <c r="I116" s="6" t="s">
        <v>981</v>
      </c>
      <c r="J116" s="5" t="s">
        <v>982</v>
      </c>
      <c r="K116" s="5" t="str">
        <f t="shared" si="0"/>
        <v>ZQFATNOCYNUTDA</v>
      </c>
    </row>
    <row r="117" spans="1:11">
      <c r="A117" s="3" t="s">
        <v>983</v>
      </c>
      <c r="B117" s="3" t="s">
        <v>984</v>
      </c>
      <c r="C117" s="3" t="s">
        <v>985</v>
      </c>
      <c r="D117" s="3" t="s">
        <v>986</v>
      </c>
      <c r="E117" s="3" t="s">
        <v>987</v>
      </c>
      <c r="F117" s="9">
        <v>1</v>
      </c>
      <c r="G117" s="6" t="s">
        <v>988</v>
      </c>
      <c r="H117" s="6" t="s">
        <v>989</v>
      </c>
      <c r="I117" s="6" t="s">
        <v>990</v>
      </c>
      <c r="J117" s="5" t="s">
        <v>991</v>
      </c>
      <c r="K117" s="5" t="str">
        <f t="shared" si="0"/>
        <v>ZAQVAUFRFBAVHF</v>
      </c>
    </row>
    <row r="118" spans="1:11">
      <c r="A118" s="3" t="s">
        <v>992</v>
      </c>
      <c r="B118" s="3" t="s">
        <v>993</v>
      </c>
      <c r="C118" s="3" t="s">
        <v>994</v>
      </c>
      <c r="D118" s="3" t="s">
        <v>995</v>
      </c>
      <c r="E118" s="3" t="s">
        <v>725</v>
      </c>
      <c r="F118" s="9">
        <v>2</v>
      </c>
      <c r="G118" s="6" t="s">
        <v>996</v>
      </c>
      <c r="H118" s="6" t="s">
        <v>996</v>
      </c>
      <c r="I118" s="6" t="s">
        <v>997</v>
      </c>
      <c r="J118" s="5" t="s">
        <v>998</v>
      </c>
      <c r="K118" s="5" t="str">
        <f t="shared" si="0"/>
        <v>VAPJMVSYFGSRTG</v>
      </c>
    </row>
    <row r="119" spans="1:11">
      <c r="A119" s="3" t="s">
        <v>999</v>
      </c>
      <c r="B119" s="3" t="s">
        <v>1000</v>
      </c>
      <c r="C119" s="3" t="s">
        <v>1001</v>
      </c>
      <c r="D119" s="3" t="s">
        <v>1002</v>
      </c>
      <c r="E119" s="3" t="s">
        <v>17</v>
      </c>
      <c r="F119" s="9">
        <v>1</v>
      </c>
      <c r="G119" s="6" t="s">
        <v>1003</v>
      </c>
      <c r="H119" s="6" t="s">
        <v>1003</v>
      </c>
      <c r="I119" s="6" t="s">
        <v>1004</v>
      </c>
      <c r="J119" s="5" t="s">
        <v>1005</v>
      </c>
      <c r="K119" s="5" t="str">
        <f t="shared" si="0"/>
        <v>QGOSBHUTQQGVPA</v>
      </c>
    </row>
    <row r="120" spans="1:11">
      <c r="A120" s="3" t="s">
        <v>1006</v>
      </c>
      <c r="B120" s="3" t="s">
        <v>1007</v>
      </c>
      <c r="C120" s="3" t="s">
        <v>1008</v>
      </c>
      <c r="D120" s="3" t="s">
        <v>1009</v>
      </c>
      <c r="E120" s="3" t="s">
        <v>17</v>
      </c>
      <c r="F120" s="9">
        <v>1</v>
      </c>
      <c r="G120" s="6" t="s">
        <v>1010</v>
      </c>
      <c r="H120" s="6" t="s">
        <v>1011</v>
      </c>
      <c r="I120" s="6" t="s">
        <v>1012</v>
      </c>
      <c r="J120" s="5" t="s">
        <v>1013</v>
      </c>
      <c r="K120" s="5" t="str">
        <f t="shared" si="0"/>
        <v>UJOCELPDGJCWDG</v>
      </c>
    </row>
    <row r="121" spans="1:11">
      <c r="A121" s="3" t="s">
        <v>1014</v>
      </c>
      <c r="B121" s="3" t="s">
        <v>1015</v>
      </c>
      <c r="C121" s="3" t="s">
        <v>1016</v>
      </c>
      <c r="D121" s="3" t="s">
        <v>1017</v>
      </c>
      <c r="E121" s="3" t="s">
        <v>17</v>
      </c>
      <c r="F121" s="9">
        <v>1</v>
      </c>
      <c r="G121" s="6" t="s">
        <v>1018</v>
      </c>
      <c r="H121" s="6" t="s">
        <v>1018</v>
      </c>
      <c r="I121" s="6" t="s">
        <v>1019</v>
      </c>
      <c r="J121" s="5" t="s">
        <v>1020</v>
      </c>
      <c r="K121" s="5" t="str">
        <f t="shared" si="0"/>
        <v>HGMLTMOEYCQDDR</v>
      </c>
    </row>
    <row r="122" spans="1:11">
      <c r="A122" s="3" t="s">
        <v>1021</v>
      </c>
      <c r="B122" s="3" t="s">
        <v>1022</v>
      </c>
      <c r="C122" s="3" t="s">
        <v>1023</v>
      </c>
      <c r="D122" s="3" t="s">
        <v>1024</v>
      </c>
      <c r="E122" s="3" t="s">
        <v>17</v>
      </c>
      <c r="F122" s="9">
        <v>1</v>
      </c>
      <c r="G122" s="6" t="s">
        <v>1025</v>
      </c>
      <c r="H122" s="6" t="s">
        <v>1026</v>
      </c>
      <c r="I122" s="6" t="s">
        <v>1027</v>
      </c>
      <c r="J122" s="5" t="s">
        <v>1028</v>
      </c>
      <c r="K122" s="5" t="str">
        <f t="shared" si="0"/>
        <v>IRCDUOCGSIGEAI</v>
      </c>
    </row>
    <row r="123" spans="1:11">
      <c r="A123" s="3" t="s">
        <v>1029</v>
      </c>
      <c r="B123" s="3" t="s">
        <v>1030</v>
      </c>
      <c r="C123" s="3" t="s">
        <v>1031</v>
      </c>
      <c r="D123" s="3" t="s">
        <v>1032</v>
      </c>
      <c r="E123" s="3" t="s">
        <v>17</v>
      </c>
      <c r="F123" s="9">
        <v>1</v>
      </c>
      <c r="G123" s="6" t="s">
        <v>1033</v>
      </c>
      <c r="H123" s="6" t="s">
        <v>1033</v>
      </c>
      <c r="I123" s="6" t="s">
        <v>1034</v>
      </c>
      <c r="J123" s="5" t="s">
        <v>1035</v>
      </c>
      <c r="K123" s="5" t="str">
        <f t="shared" si="0"/>
        <v>GDMCOFXEPNHXJT</v>
      </c>
    </row>
    <row r="124" spans="1:11">
      <c r="A124" s="3" t="s">
        <v>1036</v>
      </c>
      <c r="B124" s="3" t="s">
        <v>1037</v>
      </c>
      <c r="C124" s="3" t="s">
        <v>1038</v>
      </c>
      <c r="D124" s="3" t="s">
        <v>1039</v>
      </c>
      <c r="E124" s="3" t="s">
        <v>525</v>
      </c>
      <c r="F124" s="9">
        <v>2</v>
      </c>
      <c r="G124" s="6" t="s">
        <v>1040</v>
      </c>
      <c r="H124" s="6" t="s">
        <v>1040</v>
      </c>
      <c r="I124" s="6" t="s">
        <v>1041</v>
      </c>
      <c r="J124" s="5" t="s">
        <v>1042</v>
      </c>
      <c r="K124" s="5" t="str">
        <f t="shared" si="0"/>
        <v>RIDZEECIONITMW</v>
      </c>
    </row>
    <row r="125" spans="1:11">
      <c r="A125" s="3" t="s">
        <v>1043</v>
      </c>
      <c r="B125" s="3" t="s">
        <v>1044</v>
      </c>
      <c r="C125" s="3" t="s">
        <v>1045</v>
      </c>
      <c r="D125" s="3" t="s">
        <v>1046</v>
      </c>
      <c r="E125" s="3" t="s">
        <v>525</v>
      </c>
      <c r="F125" s="9">
        <v>2</v>
      </c>
      <c r="G125" s="6" t="s">
        <v>1047</v>
      </c>
      <c r="H125" s="6" t="s">
        <v>1048</v>
      </c>
      <c r="I125" s="6" t="s">
        <v>1049</v>
      </c>
      <c r="J125" s="5" t="s">
        <v>1050</v>
      </c>
      <c r="K125" s="5" t="str">
        <f t="shared" si="0"/>
        <v>DRPNADVMTMEWQY</v>
      </c>
    </row>
    <row r="126" spans="1:11">
      <c r="A126" s="3" t="s">
        <v>1051</v>
      </c>
      <c r="B126" s="3" t="s">
        <v>1052</v>
      </c>
      <c r="C126" s="3" t="s">
        <v>1053</v>
      </c>
      <c r="D126" s="3" t="s">
        <v>1054</v>
      </c>
      <c r="E126" s="3" t="s">
        <v>17</v>
      </c>
      <c r="F126" s="9">
        <v>1</v>
      </c>
      <c r="G126" s="6" t="s">
        <v>1055</v>
      </c>
      <c r="H126" s="6" t="s">
        <v>1055</v>
      </c>
      <c r="I126" s="6" t="s">
        <v>1056</v>
      </c>
      <c r="J126" s="5" t="s">
        <v>1057</v>
      </c>
      <c r="K126" s="5" t="str">
        <f t="shared" si="0"/>
        <v>DKZNVWNOOLQCMJ</v>
      </c>
    </row>
    <row r="127" spans="1:11">
      <c r="A127" s="3" t="s">
        <v>1058</v>
      </c>
      <c r="B127" s="3" t="s">
        <v>1059</v>
      </c>
      <c r="C127" s="3" t="s">
        <v>1060</v>
      </c>
      <c r="D127" s="3" t="s">
        <v>1061</v>
      </c>
      <c r="E127" s="3" t="s">
        <v>17</v>
      </c>
      <c r="F127" s="9">
        <v>1</v>
      </c>
      <c r="G127" s="6" t="s">
        <v>1062</v>
      </c>
      <c r="H127" s="6" t="s">
        <v>1063</v>
      </c>
      <c r="I127" s="6" t="s">
        <v>1064</v>
      </c>
      <c r="J127" s="5" t="s">
        <v>1065</v>
      </c>
      <c r="K127" s="5" t="str">
        <f t="shared" si="0"/>
        <v>PXMPZIBJGLMMQU</v>
      </c>
    </row>
    <row r="128" spans="1:11">
      <c r="A128" s="3" t="s">
        <v>1066</v>
      </c>
      <c r="B128" s="3" t="s">
        <v>1067</v>
      </c>
      <c r="C128" s="3" t="s">
        <v>1068</v>
      </c>
      <c r="D128" s="3" t="s">
        <v>1069</v>
      </c>
      <c r="E128" s="3" t="s">
        <v>498</v>
      </c>
      <c r="F128" s="9">
        <v>1</v>
      </c>
      <c r="G128" s="6" t="s">
        <v>1070</v>
      </c>
      <c r="H128" s="6" t="s">
        <v>1071</v>
      </c>
      <c r="I128" s="6" t="s">
        <v>1072</v>
      </c>
      <c r="J128" s="5" t="s">
        <v>1073</v>
      </c>
      <c r="K128" s="5" t="str">
        <f t="shared" si="0"/>
        <v>WDIPXXMCRPGMIB</v>
      </c>
    </row>
    <row r="129" spans="1:11">
      <c r="A129" s="3" t="s">
        <v>1074</v>
      </c>
      <c r="B129" s="3" t="s">
        <v>1075</v>
      </c>
      <c r="C129" s="3" t="s">
        <v>1076</v>
      </c>
      <c r="D129" s="3" t="s">
        <v>1077</v>
      </c>
      <c r="E129" s="3" t="s">
        <v>17</v>
      </c>
      <c r="F129" s="9">
        <v>1</v>
      </c>
      <c r="G129" s="6" t="s">
        <v>1078</v>
      </c>
      <c r="H129" s="6" t="s">
        <v>1079</v>
      </c>
      <c r="I129" s="6" t="s">
        <v>1080</v>
      </c>
      <c r="J129" s="5" t="s">
        <v>1081</v>
      </c>
      <c r="K129" s="5" t="str">
        <f t="shared" si="0"/>
        <v>RNAIPFYGOQYYTF</v>
      </c>
    </row>
    <row r="130" spans="1:11">
      <c r="A130" s="3" t="s">
        <v>1082</v>
      </c>
      <c r="B130" s="3" t="s">
        <v>1083</v>
      </c>
      <c r="C130" s="3" t="s">
        <v>1084</v>
      </c>
      <c r="D130" s="3" t="s">
        <v>1085</v>
      </c>
      <c r="E130" s="3" t="s">
        <v>17</v>
      </c>
      <c r="F130" s="9">
        <v>1</v>
      </c>
      <c r="G130" s="6" t="s">
        <v>1086</v>
      </c>
      <c r="H130" s="6" t="s">
        <v>1086</v>
      </c>
      <c r="I130" s="6" t="s">
        <v>1087</v>
      </c>
      <c r="J130" s="5" t="s">
        <v>1088</v>
      </c>
      <c r="K130" s="5" t="str">
        <f t="shared" si="0"/>
        <v>VLIOMJFCGWZUON</v>
      </c>
    </row>
    <row r="131" spans="1:11">
      <c r="A131" s="3" t="s">
        <v>1089</v>
      </c>
      <c r="B131" s="3" t="s">
        <v>1090</v>
      </c>
      <c r="C131" s="3" t="s">
        <v>1091</v>
      </c>
      <c r="D131" s="3" t="s">
        <v>1092</v>
      </c>
      <c r="E131" s="3" t="s">
        <v>17</v>
      </c>
      <c r="F131" s="9">
        <v>1</v>
      </c>
      <c r="G131" s="6" t="s">
        <v>1093</v>
      </c>
      <c r="H131" s="6" t="s">
        <v>1093</v>
      </c>
      <c r="I131" s="6" t="s">
        <v>1094</v>
      </c>
      <c r="J131" s="5" t="s">
        <v>1095</v>
      </c>
      <c r="K131" s="5" t="str">
        <f t="shared" si="0"/>
        <v>PKHREKHNGLJKHV</v>
      </c>
    </row>
    <row r="132" spans="1:11">
      <c r="A132" s="3" t="s">
        <v>1096</v>
      </c>
      <c r="B132" s="3" t="s">
        <v>1097</v>
      </c>
      <c r="C132" s="3" t="s">
        <v>1098</v>
      </c>
      <c r="D132" s="3" t="s">
        <v>1099</v>
      </c>
      <c r="E132" s="3" t="s">
        <v>725</v>
      </c>
      <c r="F132" s="9">
        <v>2</v>
      </c>
      <c r="G132" s="6" t="s">
        <v>1100</v>
      </c>
      <c r="H132" s="6" t="s">
        <v>1101</v>
      </c>
      <c r="I132" s="6" t="s">
        <v>1102</v>
      </c>
      <c r="J132" s="5" t="s">
        <v>1103</v>
      </c>
      <c r="K132" s="5" t="str">
        <f t="shared" si="0"/>
        <v>HVBRAPIYTGCMEN</v>
      </c>
    </row>
    <row r="133" spans="1:11">
      <c r="A133" s="3" t="s">
        <v>1104</v>
      </c>
      <c r="B133" s="3" t="s">
        <v>1105</v>
      </c>
      <c r="C133" s="3" t="s">
        <v>1106</v>
      </c>
      <c r="D133" s="3" t="s">
        <v>1107</v>
      </c>
      <c r="E133" s="3" t="s">
        <v>525</v>
      </c>
      <c r="F133" s="9">
        <v>2</v>
      </c>
      <c r="G133" s="6" t="s">
        <v>1108</v>
      </c>
      <c r="H133" s="6" t="s">
        <v>1108</v>
      </c>
      <c r="I133" s="6" t="s">
        <v>1109</v>
      </c>
      <c r="J133" s="5" t="s">
        <v>1110</v>
      </c>
      <c r="K133" s="5" t="str">
        <f t="shared" si="0"/>
        <v>ZYDGLCZCEANEHK</v>
      </c>
    </row>
    <row r="134" spans="1:11">
      <c r="A134" s="3" t="s">
        <v>1111</v>
      </c>
      <c r="B134" s="3" t="s">
        <v>1112</v>
      </c>
      <c r="C134" s="3" t="s">
        <v>1113</v>
      </c>
      <c r="D134" s="3" t="s">
        <v>1114</v>
      </c>
      <c r="E134" s="3" t="s">
        <v>17</v>
      </c>
      <c r="F134" s="9">
        <v>1</v>
      </c>
      <c r="G134" s="6" t="s">
        <v>1115</v>
      </c>
      <c r="H134" s="6" t="s">
        <v>1115</v>
      </c>
      <c r="I134" s="6" t="s">
        <v>1116</v>
      </c>
      <c r="J134" s="5" t="s">
        <v>1117</v>
      </c>
      <c r="K134" s="5" t="str">
        <f t="shared" si="0"/>
        <v>JALREJYREHTOKW</v>
      </c>
    </row>
    <row r="135" spans="1:11">
      <c r="A135" s="3" t="s">
        <v>1118</v>
      </c>
      <c r="B135" s="3" t="s">
        <v>1119</v>
      </c>
      <c r="C135" s="3" t="s">
        <v>1120</v>
      </c>
      <c r="D135" s="3" t="s">
        <v>317</v>
      </c>
      <c r="E135" s="3" t="s">
        <v>17</v>
      </c>
      <c r="F135" s="9">
        <v>1</v>
      </c>
      <c r="G135" s="6" t="s">
        <v>1121</v>
      </c>
      <c r="H135" s="6" t="s">
        <v>1121</v>
      </c>
      <c r="I135" s="6" t="s">
        <v>1122</v>
      </c>
      <c r="J135" s="5" t="s">
        <v>1123</v>
      </c>
      <c r="K135" s="5" t="str">
        <f t="shared" si="0"/>
        <v>YXMFQIWDFKIXGQ</v>
      </c>
    </row>
    <row r="136" spans="1:11">
      <c r="A136" s="3" t="s">
        <v>1124</v>
      </c>
      <c r="B136" s="3" t="s">
        <v>1125</v>
      </c>
      <c r="C136" s="3" t="s">
        <v>1126</v>
      </c>
      <c r="D136" s="3" t="s">
        <v>1127</v>
      </c>
      <c r="E136" s="3" t="s">
        <v>525</v>
      </c>
      <c r="F136" s="9">
        <v>2</v>
      </c>
      <c r="G136" s="6" t="s">
        <v>1128</v>
      </c>
      <c r="H136" s="6" t="s">
        <v>1128</v>
      </c>
      <c r="I136" s="6" t="s">
        <v>1129</v>
      </c>
      <c r="J136" s="5" t="s">
        <v>1130</v>
      </c>
      <c r="K136" s="5" t="str">
        <f t="shared" si="0"/>
        <v>OIZQADYWBXZQKE</v>
      </c>
    </row>
    <row r="137" spans="1:11">
      <c r="A137" s="3" t="s">
        <v>1131</v>
      </c>
      <c r="B137" s="3" t="s">
        <v>1132</v>
      </c>
      <c r="C137" s="3" t="s">
        <v>1133</v>
      </c>
      <c r="D137" s="3" t="s">
        <v>1134</v>
      </c>
      <c r="E137" s="3" t="s">
        <v>17</v>
      </c>
      <c r="F137" s="9">
        <v>1</v>
      </c>
      <c r="G137" s="6" t="s">
        <v>1135</v>
      </c>
      <c r="H137" s="6" t="s">
        <v>1136</v>
      </c>
      <c r="I137" s="6" t="s">
        <v>1137</v>
      </c>
      <c r="J137" s="5" t="s">
        <v>1138</v>
      </c>
      <c r="K137" s="5" t="str">
        <f t="shared" si="0"/>
        <v>QXXSYUGLJIMLFH</v>
      </c>
    </row>
    <row r="138" spans="1:11">
      <c r="A138" s="3" t="s">
        <v>1139</v>
      </c>
      <c r="B138" s="3" t="s">
        <v>1140</v>
      </c>
      <c r="C138" s="3" t="s">
        <v>1141</v>
      </c>
      <c r="D138" s="3" t="s">
        <v>1142</v>
      </c>
      <c r="E138" s="3" t="s">
        <v>17</v>
      </c>
      <c r="F138" s="9">
        <v>1</v>
      </c>
      <c r="G138" s="6" t="s">
        <v>1143</v>
      </c>
      <c r="H138" s="6" t="s">
        <v>1144</v>
      </c>
      <c r="I138" s="6" t="s">
        <v>1145</v>
      </c>
      <c r="J138" s="5" t="s">
        <v>1146</v>
      </c>
      <c r="K138" s="5" t="str">
        <f t="shared" si="0"/>
        <v>HFHFWISYOSHESF</v>
      </c>
    </row>
    <row r="139" spans="1:11">
      <c r="A139" s="3" t="s">
        <v>1147</v>
      </c>
      <c r="B139" s="3" t="s">
        <v>1148</v>
      </c>
      <c r="C139" s="3" t="s">
        <v>1149</v>
      </c>
      <c r="D139" s="3" t="s">
        <v>1150</v>
      </c>
      <c r="E139" s="3" t="s">
        <v>17</v>
      </c>
      <c r="F139" s="9">
        <v>1</v>
      </c>
      <c r="G139" s="6" t="s">
        <v>1151</v>
      </c>
      <c r="H139" s="6" t="s">
        <v>1152</v>
      </c>
      <c r="I139" s="6" t="s">
        <v>1153</v>
      </c>
      <c r="J139" s="5" t="s">
        <v>1154</v>
      </c>
      <c r="K139" s="5" t="str">
        <f t="shared" si="0"/>
        <v>KVPCVNGTJXEQKH</v>
      </c>
    </row>
    <row r="140" spans="1:11">
      <c r="A140" s="3" t="s">
        <v>1155</v>
      </c>
      <c r="B140" s="3" t="s">
        <v>1156</v>
      </c>
      <c r="C140" s="3" t="s">
        <v>1157</v>
      </c>
      <c r="D140" s="3" t="s">
        <v>1158</v>
      </c>
      <c r="E140" s="3" t="s">
        <v>17</v>
      </c>
      <c r="F140" s="9">
        <v>1</v>
      </c>
      <c r="G140" s="6" t="s">
        <v>1159</v>
      </c>
      <c r="H140" s="6" t="s">
        <v>1159</v>
      </c>
      <c r="I140" s="6" t="s">
        <v>1160</v>
      </c>
      <c r="J140" s="5" t="s">
        <v>1161</v>
      </c>
      <c r="K140" s="5" t="str">
        <f t="shared" si="0"/>
        <v>GTPWPBWUIWYZCB</v>
      </c>
    </row>
    <row r="141" spans="1:11">
      <c r="A141" s="3" t="s">
        <v>1162</v>
      </c>
      <c r="B141" s="3" t="s">
        <v>1163</v>
      </c>
      <c r="C141" s="3" t="s">
        <v>1164</v>
      </c>
      <c r="D141" s="3" t="s">
        <v>1165</v>
      </c>
      <c r="E141" s="3" t="s">
        <v>498</v>
      </c>
      <c r="F141" s="9">
        <v>1</v>
      </c>
      <c r="G141" s="6" t="s">
        <v>1166</v>
      </c>
      <c r="H141" s="6" t="s">
        <v>1166</v>
      </c>
      <c r="I141" s="6" t="s">
        <v>1167</v>
      </c>
      <c r="J141" s="5" t="s">
        <v>1168</v>
      </c>
      <c r="K141" s="5" t="str">
        <f t="shared" si="0"/>
        <v>BCQBMCNBGRESCJ</v>
      </c>
    </row>
    <row r="142" spans="1:11">
      <c r="A142" s="3" t="s">
        <v>1169</v>
      </c>
      <c r="B142" s="3" t="s">
        <v>1170</v>
      </c>
      <c r="C142" s="3" t="s">
        <v>1171</v>
      </c>
      <c r="D142" s="3" t="s">
        <v>1172</v>
      </c>
      <c r="E142" s="3" t="s">
        <v>17</v>
      </c>
      <c r="F142" s="9">
        <v>1</v>
      </c>
      <c r="G142" s="23" t="s">
        <v>1173</v>
      </c>
      <c r="H142" s="23" t="s">
        <v>1174</v>
      </c>
      <c r="I142" s="23" t="s">
        <v>1175</v>
      </c>
      <c r="J142" s="3" t="s">
        <v>1176</v>
      </c>
      <c r="K142" s="3" t="s">
        <v>1177</v>
      </c>
    </row>
    <row r="143" spans="1:11">
      <c r="A143" s="3" t="s">
        <v>1178</v>
      </c>
      <c r="B143" s="3" t="s">
        <v>1179</v>
      </c>
      <c r="C143" s="3" t="s">
        <v>1180</v>
      </c>
      <c r="D143" s="3" t="s">
        <v>1181</v>
      </c>
      <c r="E143" s="3" t="s">
        <v>725</v>
      </c>
      <c r="F143" s="9">
        <v>2</v>
      </c>
      <c r="G143" s="23" t="s">
        <v>1182</v>
      </c>
      <c r="H143" s="23" t="s">
        <v>1183</v>
      </c>
      <c r="I143" s="23" t="s">
        <v>1184</v>
      </c>
      <c r="J143" s="3" t="s">
        <v>1185</v>
      </c>
      <c r="K143" s="3" t="s">
        <v>1186</v>
      </c>
    </row>
    <row r="144" spans="1:11">
      <c r="A144" s="3" t="s">
        <v>1187</v>
      </c>
      <c r="B144" s="3" t="s">
        <v>1188</v>
      </c>
      <c r="C144" s="3" t="s">
        <v>1189</v>
      </c>
      <c r="D144" s="3" t="s">
        <v>1190</v>
      </c>
      <c r="E144" s="3" t="s">
        <v>17</v>
      </c>
      <c r="F144" s="9">
        <v>1</v>
      </c>
      <c r="G144" s="23" t="s">
        <v>1191</v>
      </c>
      <c r="H144" s="23" t="s">
        <v>1192</v>
      </c>
      <c r="I144" s="23" t="s">
        <v>1193</v>
      </c>
      <c r="J144" s="3" t="s">
        <v>1194</v>
      </c>
      <c r="K144" s="3" t="s">
        <v>1195</v>
      </c>
    </row>
    <row r="145" spans="1:11">
      <c r="A145" s="3" t="s">
        <v>1196</v>
      </c>
      <c r="B145" s="3" t="s">
        <v>1197</v>
      </c>
      <c r="C145" s="3" t="s">
        <v>1198</v>
      </c>
      <c r="D145" s="3" t="s">
        <v>1199</v>
      </c>
      <c r="E145" s="3" t="s">
        <v>525</v>
      </c>
      <c r="F145" s="9">
        <v>2</v>
      </c>
      <c r="G145" s="23" t="s">
        <v>1200</v>
      </c>
      <c r="H145" s="23" t="s">
        <v>1200</v>
      </c>
      <c r="I145" s="23" t="s">
        <v>1201</v>
      </c>
      <c r="J145" s="3" t="s">
        <v>1202</v>
      </c>
      <c r="K145" s="3" t="s">
        <v>1203</v>
      </c>
    </row>
    <row r="146" spans="1:11">
      <c r="A146" s="3" t="s">
        <v>1204</v>
      </c>
      <c r="B146" s="3" t="s">
        <v>1205</v>
      </c>
      <c r="C146" s="3" t="s">
        <v>1206</v>
      </c>
      <c r="D146" s="3" t="s">
        <v>1207</v>
      </c>
      <c r="E146" s="3" t="s">
        <v>17</v>
      </c>
      <c r="F146" s="9">
        <v>1</v>
      </c>
      <c r="G146" s="23" t="s">
        <v>1208</v>
      </c>
      <c r="H146" s="23" t="s">
        <v>1208</v>
      </c>
      <c r="I146" s="23" t="s">
        <v>1209</v>
      </c>
      <c r="J146" s="3" t="s">
        <v>1210</v>
      </c>
      <c r="K146" s="3" t="s">
        <v>1211</v>
      </c>
    </row>
    <row r="147" spans="1:11">
      <c r="A147" s="3" t="s">
        <v>1212</v>
      </c>
      <c r="B147" s="3" t="s">
        <v>1213</v>
      </c>
      <c r="C147" s="3" t="s">
        <v>1214</v>
      </c>
      <c r="D147" s="3" t="s">
        <v>1215</v>
      </c>
      <c r="E147" s="3" t="s">
        <v>498</v>
      </c>
      <c r="F147" s="9">
        <v>1</v>
      </c>
      <c r="G147" s="23" t="s">
        <v>1216</v>
      </c>
      <c r="H147" s="23" t="s">
        <v>1216</v>
      </c>
      <c r="I147" s="23" t="s">
        <v>1217</v>
      </c>
      <c r="J147" s="3" t="s">
        <v>1218</v>
      </c>
      <c r="K147" s="3" t="s">
        <v>1219</v>
      </c>
    </row>
    <row r="148" spans="1:11">
      <c r="A148" s="3" t="s">
        <v>1220</v>
      </c>
      <c r="B148" s="3" t="s">
        <v>1221</v>
      </c>
      <c r="C148" s="3" t="s">
        <v>1222</v>
      </c>
      <c r="D148" s="3" t="s">
        <v>1223</v>
      </c>
      <c r="E148" s="3" t="s">
        <v>17</v>
      </c>
      <c r="F148" s="9">
        <v>1</v>
      </c>
      <c r="G148" s="6" t="s">
        <v>1224</v>
      </c>
      <c r="H148" s="6" t="s">
        <v>1224</v>
      </c>
      <c r="I148" s="6" t="s">
        <v>1225</v>
      </c>
      <c r="J148" s="5" t="s">
        <v>1226</v>
      </c>
      <c r="K148" s="5" t="str">
        <f>LEFT(J148,FIND("-",J148)-1)</f>
        <v>JZOSBBLJKXSBBN</v>
      </c>
    </row>
    <row r="149" spans="1:11">
      <c r="A149" s="3" t="s">
        <v>1227</v>
      </c>
      <c r="B149" s="3" t="s">
        <v>1228</v>
      </c>
      <c r="C149" s="3" t="s">
        <v>1229</v>
      </c>
      <c r="D149" s="3" t="s">
        <v>1230</v>
      </c>
      <c r="E149" s="3" t="s">
        <v>525</v>
      </c>
      <c r="F149" s="9">
        <v>2</v>
      </c>
      <c r="G149" s="23" t="s">
        <v>1231</v>
      </c>
      <c r="H149" s="23" t="s">
        <v>1231</v>
      </c>
      <c r="I149" s="23" t="s">
        <v>1232</v>
      </c>
      <c r="J149" s="3" t="s">
        <v>1233</v>
      </c>
      <c r="K149" s="3" t="s">
        <v>1234</v>
      </c>
    </row>
    <row r="150" spans="1:11">
      <c r="A150" s="3" t="s">
        <v>1235</v>
      </c>
      <c r="B150" s="3" t="s">
        <v>1236</v>
      </c>
      <c r="C150" s="3" t="s">
        <v>1237</v>
      </c>
      <c r="D150" s="3" t="s">
        <v>1238</v>
      </c>
      <c r="E150" s="3" t="s">
        <v>17</v>
      </c>
      <c r="F150" s="9">
        <v>1</v>
      </c>
      <c r="G150" s="6" t="s">
        <v>1239</v>
      </c>
      <c r="H150" s="6" t="s">
        <v>1239</v>
      </c>
      <c r="I150" s="6" t="s">
        <v>1240</v>
      </c>
      <c r="J150" s="5" t="s">
        <v>1241</v>
      </c>
      <c r="K150" s="5" t="str">
        <f t="shared" ref="K150:K158" si="1">LEFT(J150,FIND("-",J150)-1)</f>
        <v>JXFDRZQHVPTIMH</v>
      </c>
    </row>
    <row r="151" spans="1:11">
      <c r="A151" s="3" t="s">
        <v>1242</v>
      </c>
      <c r="B151" s="3" t="s">
        <v>1243</v>
      </c>
      <c r="C151" s="3" t="s">
        <v>1244</v>
      </c>
      <c r="D151" s="3" t="s">
        <v>1245</v>
      </c>
      <c r="E151" s="3" t="s">
        <v>1246</v>
      </c>
      <c r="F151" s="9">
        <v>1</v>
      </c>
      <c r="G151" s="6" t="s">
        <v>1247</v>
      </c>
      <c r="H151" s="6" t="s">
        <v>1248</v>
      </c>
      <c r="I151" s="6" t="s">
        <v>1249</v>
      </c>
      <c r="J151" s="5" t="s">
        <v>1250</v>
      </c>
      <c r="K151" s="5" t="str">
        <f t="shared" si="1"/>
        <v>GJLNYFIJEGFWHW</v>
      </c>
    </row>
    <row r="152" spans="1:11">
      <c r="A152" s="3" t="s">
        <v>1251</v>
      </c>
      <c r="B152" s="3" t="s">
        <v>1252</v>
      </c>
      <c r="C152" s="3" t="s">
        <v>1253</v>
      </c>
      <c r="D152" s="3" t="s">
        <v>1254</v>
      </c>
      <c r="E152" s="3" t="s">
        <v>498</v>
      </c>
      <c r="F152" s="9">
        <v>1</v>
      </c>
      <c r="G152" s="6" t="s">
        <v>1255</v>
      </c>
      <c r="H152" s="6" t="s">
        <v>1256</v>
      </c>
      <c r="I152" s="6" t="s">
        <v>1257</v>
      </c>
      <c r="J152" s="5" t="s">
        <v>1258</v>
      </c>
      <c r="K152" s="5" t="str">
        <f t="shared" si="1"/>
        <v>JTWUNUBQGSFMMO</v>
      </c>
    </row>
    <row r="153" spans="1:11">
      <c r="A153" s="3" t="s">
        <v>1259</v>
      </c>
      <c r="B153" s="3" t="s">
        <v>1260</v>
      </c>
      <c r="C153" s="3" t="s">
        <v>1261</v>
      </c>
      <c r="D153" s="3" t="s">
        <v>1262</v>
      </c>
      <c r="E153" s="3" t="s">
        <v>498</v>
      </c>
      <c r="F153" s="9">
        <v>1</v>
      </c>
      <c r="G153" s="6" t="s">
        <v>1263</v>
      </c>
      <c r="H153" s="6" t="s">
        <v>1264</v>
      </c>
      <c r="I153" s="6" t="s">
        <v>1265</v>
      </c>
      <c r="J153" s="5" t="s">
        <v>1266</v>
      </c>
      <c r="K153" s="5" t="str">
        <f t="shared" si="1"/>
        <v>DBRXQKUBAVPUBT</v>
      </c>
    </row>
    <row r="154" spans="1:11">
      <c r="A154" s="3" t="s">
        <v>1267</v>
      </c>
      <c r="B154" s="3" t="s">
        <v>1268</v>
      </c>
      <c r="C154" s="3" t="s">
        <v>1269</v>
      </c>
      <c r="D154" s="3" t="s">
        <v>734</v>
      </c>
      <c r="E154" s="3" t="s">
        <v>17</v>
      </c>
      <c r="F154" s="9">
        <v>1</v>
      </c>
      <c r="G154" s="6" t="s">
        <v>1270</v>
      </c>
      <c r="H154" s="6" t="s">
        <v>1271</v>
      </c>
      <c r="I154" s="6" t="s">
        <v>1272</v>
      </c>
      <c r="J154" s="5" t="s">
        <v>1273</v>
      </c>
      <c r="K154" s="5" t="str">
        <f t="shared" si="1"/>
        <v>CAVTUIDTRDJLGP</v>
      </c>
    </row>
    <row r="155" spans="1:11">
      <c r="A155" s="3" t="s">
        <v>1274</v>
      </c>
      <c r="B155" s="3" t="s">
        <v>1275</v>
      </c>
      <c r="C155" s="3" t="s">
        <v>1276</v>
      </c>
      <c r="D155" s="3" t="s">
        <v>1277</v>
      </c>
      <c r="E155" s="3" t="s">
        <v>498</v>
      </c>
      <c r="F155" s="9">
        <v>1</v>
      </c>
      <c r="G155" s="6" t="s">
        <v>1278</v>
      </c>
      <c r="H155" s="6" t="s">
        <v>1279</v>
      </c>
      <c r="I155" s="6" t="s">
        <v>1280</v>
      </c>
      <c r="J155" s="5" t="s">
        <v>1281</v>
      </c>
      <c r="K155" s="5" t="str">
        <f t="shared" si="1"/>
        <v>PPBZVOGKSYCVPZ</v>
      </c>
    </row>
    <row r="156" spans="1:11">
      <c r="A156" s="3" t="s">
        <v>1282</v>
      </c>
      <c r="B156" s="3" t="s">
        <v>1283</v>
      </c>
      <c r="C156" s="3" t="s">
        <v>1284</v>
      </c>
      <c r="D156" s="3" t="s">
        <v>839</v>
      </c>
      <c r="E156" s="3" t="s">
        <v>17</v>
      </c>
      <c r="F156" s="9">
        <v>1</v>
      </c>
      <c r="G156" s="6" t="s">
        <v>1285</v>
      </c>
      <c r="H156" s="6" t="s">
        <v>1286</v>
      </c>
      <c r="I156" s="6" t="s">
        <v>1287</v>
      </c>
      <c r="J156" s="5" t="s">
        <v>1288</v>
      </c>
      <c r="K156" s="5" t="str">
        <f t="shared" si="1"/>
        <v>ZVJKHPIFHBSIMG</v>
      </c>
    </row>
    <row r="157" spans="1:11">
      <c r="A157" s="3" t="s">
        <v>1289</v>
      </c>
      <c r="B157" s="3" t="s">
        <v>1290</v>
      </c>
      <c r="C157" s="3" t="s">
        <v>1291</v>
      </c>
      <c r="D157" s="3" t="s">
        <v>1292</v>
      </c>
      <c r="E157" s="3" t="s">
        <v>17</v>
      </c>
      <c r="F157" s="9">
        <v>1</v>
      </c>
      <c r="G157" s="6" t="s">
        <v>1293</v>
      </c>
      <c r="H157" s="6"/>
      <c r="I157" s="6" t="s">
        <v>1294</v>
      </c>
      <c r="J157" s="5" t="s">
        <v>1295</v>
      </c>
      <c r="K157" s="5" t="str">
        <f t="shared" si="1"/>
        <v>VADPYXYBFVOWCG</v>
      </c>
    </row>
    <row r="158" spans="1:11">
      <c r="A158" s="3" t="s">
        <v>1296</v>
      </c>
      <c r="B158" s="3" t="s">
        <v>1297</v>
      </c>
      <c r="C158" s="3" t="s">
        <v>1298</v>
      </c>
      <c r="D158" s="3" t="s">
        <v>1299</v>
      </c>
      <c r="E158" s="3" t="s">
        <v>17</v>
      </c>
      <c r="F158" s="9">
        <v>1</v>
      </c>
      <c r="G158" s="6" t="s">
        <v>1300</v>
      </c>
      <c r="H158" s="6" t="s">
        <v>1300</v>
      </c>
      <c r="I158" s="6" t="s">
        <v>1301</v>
      </c>
      <c r="J158" s="5" t="s">
        <v>1302</v>
      </c>
      <c r="K158" s="5" t="str">
        <f t="shared" si="1"/>
        <v>WCFUXBDOGJWNJE</v>
      </c>
    </row>
    <row r="159" spans="1:11">
      <c r="A159" s="3" t="s">
        <v>1303</v>
      </c>
      <c r="B159" s="3" t="s">
        <v>1304</v>
      </c>
      <c r="C159" s="3" t="s">
        <v>1305</v>
      </c>
      <c r="D159" s="3" t="s">
        <v>1306</v>
      </c>
      <c r="E159" s="3" t="s">
        <v>1307</v>
      </c>
      <c r="F159" s="9">
        <v>1</v>
      </c>
      <c r="G159" s="23" t="s">
        <v>1308</v>
      </c>
      <c r="H159" s="23" t="s">
        <v>1308</v>
      </c>
      <c r="I159" s="23" t="s">
        <v>1309</v>
      </c>
      <c r="J159" s="3" t="s">
        <v>1310</v>
      </c>
      <c r="K159" s="3" t="s">
        <v>1311</v>
      </c>
    </row>
    <row r="160" spans="1:11">
      <c r="A160" s="3" t="s">
        <v>1312</v>
      </c>
      <c r="B160" s="3" t="s">
        <v>1313</v>
      </c>
      <c r="C160" s="3" t="s">
        <v>1314</v>
      </c>
      <c r="D160" s="3" t="s">
        <v>1315</v>
      </c>
      <c r="E160" s="3" t="s">
        <v>498</v>
      </c>
      <c r="F160" s="9">
        <v>1</v>
      </c>
      <c r="G160" s="23" t="s">
        <v>1316</v>
      </c>
      <c r="H160" s="23" t="s">
        <v>1316</v>
      </c>
      <c r="I160" s="23" t="s">
        <v>1317</v>
      </c>
      <c r="J160" s="3" t="s">
        <v>1318</v>
      </c>
      <c r="K160" s="3" t="s">
        <v>1319</v>
      </c>
    </row>
    <row r="161" spans="1:11">
      <c r="A161" s="3" t="s">
        <v>1320</v>
      </c>
      <c r="B161" s="5" t="s">
        <v>1321</v>
      </c>
      <c r="C161" s="3" t="s">
        <v>1322</v>
      </c>
      <c r="D161" s="3" t="s">
        <v>1315</v>
      </c>
      <c r="E161" s="3" t="s">
        <v>498</v>
      </c>
      <c r="F161" s="9">
        <v>1</v>
      </c>
      <c r="G161" s="23" t="s">
        <v>1323</v>
      </c>
      <c r="H161" s="23" t="s">
        <v>1323</v>
      </c>
      <c r="I161" s="23" t="s">
        <v>1324</v>
      </c>
      <c r="J161" s="3" t="s">
        <v>1325</v>
      </c>
      <c r="K161" s="3" t="s">
        <v>1319</v>
      </c>
    </row>
    <row r="162" spans="1:11">
      <c r="A162" s="3" t="s">
        <v>1326</v>
      </c>
      <c r="B162" s="3" t="s">
        <v>1327</v>
      </c>
      <c r="C162" s="3" t="s">
        <v>1328</v>
      </c>
      <c r="D162" s="3" t="s">
        <v>1329</v>
      </c>
      <c r="E162" s="3" t="s">
        <v>498</v>
      </c>
      <c r="F162" s="9">
        <v>1</v>
      </c>
      <c r="G162" s="6" t="s">
        <v>1330</v>
      </c>
      <c r="H162" s="6" t="s">
        <v>1331</v>
      </c>
      <c r="I162" s="6" t="s">
        <v>1332</v>
      </c>
      <c r="J162" s="5" t="s">
        <v>1333</v>
      </c>
      <c r="K162" s="5" t="str">
        <f t="shared" ref="K162:K174" si="2">LEFT(J162,FIND("-",J162)-1)</f>
        <v>MIPGTOGPLXZBQX</v>
      </c>
    </row>
    <row r="163" spans="1:11">
      <c r="A163" s="3" t="s">
        <v>1334</v>
      </c>
      <c r="B163" s="3" t="s">
        <v>1335</v>
      </c>
      <c r="C163" s="3" t="s">
        <v>1336</v>
      </c>
      <c r="D163" s="3" t="s">
        <v>1337</v>
      </c>
      <c r="E163" s="3" t="s">
        <v>498</v>
      </c>
      <c r="F163" s="9">
        <v>1</v>
      </c>
      <c r="G163" s="6" t="s">
        <v>1338</v>
      </c>
      <c r="H163" s="6" t="s">
        <v>1339</v>
      </c>
      <c r="I163" s="6" t="s">
        <v>1340</v>
      </c>
      <c r="J163" s="5" t="s">
        <v>1341</v>
      </c>
      <c r="K163" s="5" t="str">
        <f t="shared" si="2"/>
        <v>IALYUOSURKZWLR</v>
      </c>
    </row>
    <row r="164" spans="1:11">
      <c r="A164" s="3" t="s">
        <v>1342</v>
      </c>
      <c r="B164" s="3" t="s">
        <v>1343</v>
      </c>
      <c r="C164" s="3" t="s">
        <v>1344</v>
      </c>
      <c r="D164" s="3" t="s">
        <v>1345</v>
      </c>
      <c r="E164" s="3" t="s">
        <v>17</v>
      </c>
      <c r="F164" s="9">
        <v>1</v>
      </c>
      <c r="G164" s="6" t="s">
        <v>1346</v>
      </c>
      <c r="H164" s="6" t="s">
        <v>1347</v>
      </c>
      <c r="I164" s="6" t="s">
        <v>1348</v>
      </c>
      <c r="J164" s="5" t="s">
        <v>1349</v>
      </c>
      <c r="K164" s="5" t="str">
        <f t="shared" si="2"/>
        <v>NOLMSXJJRKOIOF</v>
      </c>
    </row>
    <row r="165" spans="1:11">
      <c r="A165" s="3" t="s">
        <v>1350</v>
      </c>
      <c r="B165" s="3" t="s">
        <v>1351</v>
      </c>
      <c r="C165" s="3" t="s">
        <v>1352</v>
      </c>
      <c r="D165" s="3" t="s">
        <v>1353</v>
      </c>
      <c r="E165" s="3" t="s">
        <v>17</v>
      </c>
      <c r="F165" s="9">
        <v>1</v>
      </c>
      <c r="G165" s="6" t="s">
        <v>1354</v>
      </c>
      <c r="H165" s="6"/>
      <c r="I165" s="6" t="s">
        <v>1355</v>
      </c>
      <c r="J165" s="5" t="s">
        <v>1356</v>
      </c>
      <c r="K165" s="5" t="str">
        <f t="shared" si="2"/>
        <v>ZWOGYBMWJSRPTR</v>
      </c>
    </row>
    <row r="166" spans="1:11">
      <c r="A166" s="3" t="s">
        <v>1357</v>
      </c>
      <c r="B166" s="3" t="s">
        <v>1358</v>
      </c>
      <c r="C166" s="3" t="s">
        <v>1359</v>
      </c>
      <c r="D166" s="3" t="s">
        <v>1360</v>
      </c>
      <c r="E166" s="3" t="s">
        <v>17</v>
      </c>
      <c r="F166" s="9">
        <v>1</v>
      </c>
      <c r="G166" s="6" t="s">
        <v>1361</v>
      </c>
      <c r="H166" s="6" t="s">
        <v>1361</v>
      </c>
      <c r="I166" s="6" t="s">
        <v>1362</v>
      </c>
      <c r="J166" s="5" t="s">
        <v>1363</v>
      </c>
      <c r="K166" s="5" t="str">
        <f t="shared" si="2"/>
        <v>CQYMOICHLLQQAH</v>
      </c>
    </row>
    <row r="167" spans="1:11">
      <c r="A167" s="3" t="s">
        <v>1364</v>
      </c>
      <c r="B167" s="3" t="s">
        <v>1365</v>
      </c>
      <c r="C167" s="3" t="s">
        <v>1366</v>
      </c>
      <c r="D167" s="3" t="s">
        <v>1367</v>
      </c>
      <c r="E167" s="3" t="s">
        <v>498</v>
      </c>
      <c r="F167" s="9">
        <v>1</v>
      </c>
      <c r="G167" s="6" t="s">
        <v>1368</v>
      </c>
      <c r="H167" s="6" t="s">
        <v>1369</v>
      </c>
      <c r="I167" s="6" t="s">
        <v>1370</v>
      </c>
      <c r="J167" s="5" t="s">
        <v>1371</v>
      </c>
      <c r="K167" s="5" t="str">
        <f t="shared" si="2"/>
        <v>KTWOFTBMHDQUEE</v>
      </c>
    </row>
    <row r="168" spans="1:11">
      <c r="A168" s="3" t="s">
        <v>1372</v>
      </c>
      <c r="B168" s="3" t="s">
        <v>1373</v>
      </c>
      <c r="C168" s="3" t="s">
        <v>1374</v>
      </c>
      <c r="D168" s="3" t="s">
        <v>1375</v>
      </c>
      <c r="E168" s="3" t="s">
        <v>17</v>
      </c>
      <c r="F168" s="9">
        <v>1</v>
      </c>
      <c r="G168" s="6" t="s">
        <v>1376</v>
      </c>
      <c r="H168" s="6" t="s">
        <v>1377</v>
      </c>
      <c r="I168" s="6" t="s">
        <v>1378</v>
      </c>
      <c r="J168" s="5" t="s">
        <v>1379</v>
      </c>
      <c r="K168" s="5" t="str">
        <f t="shared" si="2"/>
        <v>RBVGOQHQBUPSGX</v>
      </c>
    </row>
    <row r="169" spans="1:11">
      <c r="A169" s="3" t="s">
        <v>1380</v>
      </c>
      <c r="B169" s="3" t="s">
        <v>1381</v>
      </c>
      <c r="C169" s="3" t="s">
        <v>1382</v>
      </c>
      <c r="D169" s="3" t="s">
        <v>1383</v>
      </c>
      <c r="E169" s="3" t="s">
        <v>725</v>
      </c>
      <c r="F169" s="9">
        <v>2</v>
      </c>
      <c r="G169" s="6" t="s">
        <v>1384</v>
      </c>
      <c r="H169" s="6" t="s">
        <v>1385</v>
      </c>
      <c r="I169" s="6" t="s">
        <v>1386</v>
      </c>
      <c r="J169" s="5" t="s">
        <v>1387</v>
      </c>
      <c r="K169" s="5" t="str">
        <f t="shared" si="2"/>
        <v>JPJPMJVRCYAVEU</v>
      </c>
    </row>
    <row r="170" spans="1:11">
      <c r="A170" s="3" t="s">
        <v>1388</v>
      </c>
      <c r="B170" s="3" t="s">
        <v>1389</v>
      </c>
      <c r="C170" s="3" t="s">
        <v>1390</v>
      </c>
      <c r="D170" s="3" t="s">
        <v>1391</v>
      </c>
      <c r="E170" s="3" t="s">
        <v>17</v>
      </c>
      <c r="F170" s="9">
        <v>1</v>
      </c>
      <c r="G170" s="6" t="s">
        <v>1392</v>
      </c>
      <c r="H170" s="6" t="s">
        <v>1393</v>
      </c>
      <c r="I170" s="6" t="s">
        <v>1394</v>
      </c>
      <c r="J170" s="5" t="s">
        <v>1395</v>
      </c>
      <c r="K170" s="5" t="str">
        <f t="shared" si="2"/>
        <v>LXSUIBPEMIUZIA</v>
      </c>
    </row>
    <row r="171" spans="1:11">
      <c r="A171" s="3" t="s">
        <v>1396</v>
      </c>
      <c r="B171" s="3" t="s">
        <v>1397</v>
      </c>
      <c r="C171" s="3" t="s">
        <v>1398</v>
      </c>
      <c r="D171" s="3" t="s">
        <v>1399</v>
      </c>
      <c r="E171" s="3" t="s">
        <v>498</v>
      </c>
      <c r="F171" s="9">
        <v>1</v>
      </c>
      <c r="G171" s="6" t="s">
        <v>1400</v>
      </c>
      <c r="H171" s="6" t="s">
        <v>1400</v>
      </c>
      <c r="I171" s="6" t="s">
        <v>1401</v>
      </c>
      <c r="J171" s="5" t="s">
        <v>1402</v>
      </c>
      <c r="K171" s="5" t="str">
        <f t="shared" si="2"/>
        <v>CRELPJJGSLSRBO</v>
      </c>
    </row>
    <row r="172" spans="1:11">
      <c r="A172" s="3" t="s">
        <v>1403</v>
      </c>
      <c r="B172" s="3" t="s">
        <v>1404</v>
      </c>
      <c r="C172" s="3" t="s">
        <v>1405</v>
      </c>
      <c r="D172" s="3" t="s">
        <v>1406</v>
      </c>
      <c r="E172" s="3" t="s">
        <v>17</v>
      </c>
      <c r="F172" s="9">
        <v>1</v>
      </c>
      <c r="G172" s="6" t="s">
        <v>1407</v>
      </c>
      <c r="H172" s="6" t="s">
        <v>1408</v>
      </c>
      <c r="I172" s="6" t="s">
        <v>1409</v>
      </c>
      <c r="J172" s="5" t="s">
        <v>1410</v>
      </c>
      <c r="K172" s="5" t="str">
        <f t="shared" si="2"/>
        <v>NJRKBHDYCXLDKH</v>
      </c>
    </row>
    <row r="173" spans="1:11">
      <c r="A173" s="3" t="s">
        <v>1411</v>
      </c>
      <c r="B173" s="3" t="s">
        <v>1412</v>
      </c>
      <c r="C173" s="3" t="s">
        <v>1413</v>
      </c>
      <c r="D173" s="3" t="s">
        <v>1414</v>
      </c>
      <c r="E173" s="3" t="s">
        <v>17</v>
      </c>
      <c r="F173" s="9">
        <v>1</v>
      </c>
      <c r="G173" s="6" t="s">
        <v>1415</v>
      </c>
      <c r="H173" s="6" t="s">
        <v>1416</v>
      </c>
      <c r="I173" s="6" t="s">
        <v>1417</v>
      </c>
      <c r="J173" s="5" t="s">
        <v>1418</v>
      </c>
      <c r="K173" s="5" t="str">
        <f t="shared" si="2"/>
        <v>HDNWNMANFZGXKV</v>
      </c>
    </row>
    <row r="174" spans="1:11">
      <c r="A174" s="3" t="s">
        <v>1419</v>
      </c>
      <c r="B174" s="3" t="s">
        <v>1420</v>
      </c>
      <c r="C174" s="3" t="s">
        <v>1421</v>
      </c>
      <c r="D174" s="3" t="s">
        <v>1422</v>
      </c>
      <c r="E174" s="3" t="s">
        <v>498</v>
      </c>
      <c r="F174" s="9">
        <v>1</v>
      </c>
      <c r="G174" s="6" t="s">
        <v>1423</v>
      </c>
      <c r="H174" s="6" t="s">
        <v>1424</v>
      </c>
      <c r="I174" s="6" t="s">
        <v>1425</v>
      </c>
      <c r="J174" s="5" t="s">
        <v>1426</v>
      </c>
      <c r="K174" s="5" t="str">
        <f t="shared" si="2"/>
        <v>NFXZRUNTUSEVGQ</v>
      </c>
    </row>
    <row r="175" spans="1:11">
      <c r="A175" s="3" t="s">
        <v>1427</v>
      </c>
      <c r="B175" s="3" t="s">
        <v>1428</v>
      </c>
      <c r="C175" s="3" t="s">
        <v>1429</v>
      </c>
      <c r="D175" s="3" t="s">
        <v>1430</v>
      </c>
      <c r="E175" s="3" t="s">
        <v>987</v>
      </c>
      <c r="F175" s="9">
        <v>1</v>
      </c>
      <c r="G175" s="6" t="s">
        <v>1431</v>
      </c>
      <c r="H175" s="6" t="s">
        <v>1432</v>
      </c>
      <c r="I175" s="6"/>
      <c r="J175" s="5" t="s">
        <v>1433</v>
      </c>
      <c r="K175" s="5" t="s">
        <v>1434</v>
      </c>
    </row>
    <row r="176" spans="1:11">
      <c r="A176" s="3" t="s">
        <v>1435</v>
      </c>
      <c r="B176" s="3" t="s">
        <v>1436</v>
      </c>
      <c r="C176" s="3" t="s">
        <v>469</v>
      </c>
      <c r="D176" s="3" t="s">
        <v>1437</v>
      </c>
      <c r="E176" s="3" t="s">
        <v>17</v>
      </c>
      <c r="F176" s="9">
        <v>1</v>
      </c>
      <c r="G176" s="6" t="s">
        <v>1438</v>
      </c>
      <c r="H176" s="6" t="s">
        <v>1439</v>
      </c>
      <c r="I176" s="6" t="s">
        <v>1440</v>
      </c>
      <c r="J176" s="5" t="s">
        <v>1441</v>
      </c>
      <c r="K176" s="5" t="s">
        <v>1442</v>
      </c>
    </row>
    <row r="177" spans="1:11">
      <c r="A177" s="3" t="s">
        <v>1443</v>
      </c>
      <c r="B177" s="3" t="s">
        <v>1444</v>
      </c>
      <c r="C177" s="3" t="s">
        <v>469</v>
      </c>
      <c r="D177" s="3" t="s">
        <v>1445</v>
      </c>
      <c r="E177" s="3" t="s">
        <v>17</v>
      </c>
      <c r="F177" s="9">
        <v>1</v>
      </c>
      <c r="G177" s="6" t="s">
        <v>1446</v>
      </c>
      <c r="H177" s="6" t="s">
        <v>1447</v>
      </c>
      <c r="I177" s="6" t="s">
        <v>1448</v>
      </c>
      <c r="J177" s="5" t="s">
        <v>1449</v>
      </c>
      <c r="K177" s="5" t="s">
        <v>1450</v>
      </c>
    </row>
    <row r="178" spans="1:11">
      <c r="A178" s="3" t="s">
        <v>1451</v>
      </c>
      <c r="B178" s="3" t="s">
        <v>1452</v>
      </c>
      <c r="C178" s="3" t="s">
        <v>1453</v>
      </c>
      <c r="D178" s="3" t="s">
        <v>1454</v>
      </c>
      <c r="E178" s="3" t="s">
        <v>525</v>
      </c>
      <c r="F178" s="9">
        <v>2</v>
      </c>
      <c r="G178" s="6" t="s">
        <v>1455</v>
      </c>
      <c r="H178" s="6" t="s">
        <v>1455</v>
      </c>
      <c r="I178" s="6" t="s">
        <v>1456</v>
      </c>
      <c r="J178" s="5" t="s">
        <v>1457</v>
      </c>
      <c r="K178" s="5" t="str">
        <f t="shared" ref="K178:K191" si="3">LEFT(J178,FIND("-",J178)-1)</f>
        <v>YWLLJBRYLCKAGW</v>
      </c>
    </row>
    <row r="179" spans="1:11">
      <c r="A179" s="3" t="s">
        <v>1458</v>
      </c>
      <c r="B179" s="3" t="s">
        <v>1459</v>
      </c>
      <c r="C179" s="3" t="s">
        <v>1460</v>
      </c>
      <c r="D179" s="3" t="s">
        <v>1461</v>
      </c>
      <c r="E179" s="3" t="s">
        <v>17</v>
      </c>
      <c r="F179" s="9">
        <v>1</v>
      </c>
      <c r="G179" s="6" t="s">
        <v>1462</v>
      </c>
      <c r="H179" s="6" t="s">
        <v>1462</v>
      </c>
      <c r="I179" s="6" t="s">
        <v>1463</v>
      </c>
      <c r="J179" s="5" t="s">
        <v>1464</v>
      </c>
      <c r="K179" s="5" t="str">
        <f t="shared" si="3"/>
        <v>WCVFBMKDGBGXKM</v>
      </c>
    </row>
    <row r="180" spans="1:11">
      <c r="A180" s="3" t="s">
        <v>1465</v>
      </c>
      <c r="B180" s="3" t="s">
        <v>1466</v>
      </c>
      <c r="C180" s="3" t="s">
        <v>1467</v>
      </c>
      <c r="D180" s="3" t="s">
        <v>1468</v>
      </c>
      <c r="E180" s="3" t="s">
        <v>498</v>
      </c>
      <c r="F180" s="9">
        <v>1</v>
      </c>
      <c r="G180" s="6" t="s">
        <v>1469</v>
      </c>
      <c r="H180" s="6" t="s">
        <v>1469</v>
      </c>
      <c r="I180" s="6" t="s">
        <v>1470</v>
      </c>
      <c r="J180" s="5" t="s">
        <v>1471</v>
      </c>
      <c r="K180" s="5" t="str">
        <f t="shared" si="3"/>
        <v>YMJAIEYASUCCMJ</v>
      </c>
    </row>
    <row r="181" spans="1:11">
      <c r="A181" s="3" t="s">
        <v>1472</v>
      </c>
      <c r="B181" s="3" t="s">
        <v>1473</v>
      </c>
      <c r="C181" s="3" t="s">
        <v>1474</v>
      </c>
      <c r="D181" s="3" t="s">
        <v>1475</v>
      </c>
      <c r="E181" s="3" t="s">
        <v>17</v>
      </c>
      <c r="F181" s="9">
        <v>1</v>
      </c>
      <c r="G181" s="6" t="s">
        <v>1476</v>
      </c>
      <c r="H181" s="6" t="s">
        <v>1477</v>
      </c>
      <c r="I181" s="6" t="s">
        <v>1478</v>
      </c>
      <c r="J181" s="5" t="s">
        <v>1479</v>
      </c>
      <c r="K181" s="5" t="str">
        <f t="shared" si="3"/>
        <v>NIRCQEMSYUNJNP</v>
      </c>
    </row>
    <row r="182" spans="1:11">
      <c r="A182" s="3" t="s">
        <v>1480</v>
      </c>
      <c r="B182" s="3" t="s">
        <v>1481</v>
      </c>
      <c r="C182" s="3" t="s">
        <v>1482</v>
      </c>
      <c r="D182" s="3" t="s">
        <v>1483</v>
      </c>
      <c r="E182" s="3" t="s">
        <v>17</v>
      </c>
      <c r="F182" s="9">
        <v>1</v>
      </c>
      <c r="G182" s="6" t="s">
        <v>1484</v>
      </c>
      <c r="H182" s="6" t="s">
        <v>1485</v>
      </c>
      <c r="I182" s="6" t="s">
        <v>1486</v>
      </c>
      <c r="J182" s="5" t="s">
        <v>1487</v>
      </c>
      <c r="K182" s="5" t="str">
        <f t="shared" si="3"/>
        <v>OSJYKSDPPJYRFT</v>
      </c>
    </row>
    <row r="183" spans="1:11">
      <c r="A183" s="3" t="s">
        <v>1488</v>
      </c>
      <c r="B183" s="3" t="s">
        <v>1489</v>
      </c>
      <c r="C183" s="3" t="s">
        <v>1490</v>
      </c>
      <c r="D183" s="3" t="s">
        <v>1491</v>
      </c>
      <c r="E183" s="3" t="s">
        <v>17</v>
      </c>
      <c r="F183" s="9">
        <v>1</v>
      </c>
      <c r="G183" s="6" t="s">
        <v>1492</v>
      </c>
      <c r="H183" s="6" t="s">
        <v>1493</v>
      </c>
      <c r="I183" s="6" t="s">
        <v>1494</v>
      </c>
      <c r="J183" s="5" t="s">
        <v>1495</v>
      </c>
      <c r="K183" s="5" t="str">
        <f t="shared" si="3"/>
        <v>LRLJGUOZRDKCEZ</v>
      </c>
    </row>
    <row r="184" spans="1:11">
      <c r="A184" s="3" t="s">
        <v>1496</v>
      </c>
      <c r="B184" s="3" t="s">
        <v>1497</v>
      </c>
      <c r="C184" s="3" t="s">
        <v>1498</v>
      </c>
      <c r="D184" s="3" t="s">
        <v>1499</v>
      </c>
      <c r="E184" s="3" t="s">
        <v>17</v>
      </c>
      <c r="F184" s="9">
        <v>1</v>
      </c>
      <c r="G184" s="6" t="s">
        <v>1500</v>
      </c>
      <c r="H184" s="6" t="s">
        <v>1501</v>
      </c>
      <c r="I184" s="6" t="s">
        <v>1502</v>
      </c>
      <c r="J184" s="5" t="s">
        <v>1503</v>
      </c>
      <c r="K184" s="5" t="str">
        <f t="shared" si="3"/>
        <v>UZHMFQJEUXFZSS</v>
      </c>
    </row>
    <row r="185" spans="1:11">
      <c r="A185" s="3" t="s">
        <v>1504</v>
      </c>
      <c r="B185" s="3" t="s">
        <v>1505</v>
      </c>
      <c r="C185" s="3" t="s">
        <v>1506</v>
      </c>
      <c r="D185" s="3" t="s">
        <v>1507</v>
      </c>
      <c r="E185" s="3" t="s">
        <v>498</v>
      </c>
      <c r="F185" s="9">
        <v>1</v>
      </c>
      <c r="G185" s="6" t="s">
        <v>1508</v>
      </c>
      <c r="H185" s="6" t="s">
        <v>1509</v>
      </c>
      <c r="I185" s="6" t="s">
        <v>1510</v>
      </c>
      <c r="J185" s="5" t="s">
        <v>1511</v>
      </c>
      <c r="K185" s="5" t="str">
        <f t="shared" si="3"/>
        <v>YKAJTAYURKBDBW</v>
      </c>
    </row>
    <row r="186" spans="1:11">
      <c r="A186" s="3" t="s">
        <v>1512</v>
      </c>
      <c r="B186" s="3" t="s">
        <v>1513</v>
      </c>
      <c r="C186" s="3" t="s">
        <v>1514</v>
      </c>
      <c r="D186" s="3" t="s">
        <v>1515</v>
      </c>
      <c r="E186" s="3" t="s">
        <v>725</v>
      </c>
      <c r="F186" s="9">
        <v>2</v>
      </c>
      <c r="G186" s="6" t="s">
        <v>1516</v>
      </c>
      <c r="H186" s="6" t="s">
        <v>1517</v>
      </c>
      <c r="I186" s="6" t="s">
        <v>1518</v>
      </c>
      <c r="J186" s="5" t="s">
        <v>1519</v>
      </c>
      <c r="K186" s="5" t="str">
        <f t="shared" si="3"/>
        <v>OMRMWFIEDFJLAJ</v>
      </c>
    </row>
    <row r="187" spans="1:11">
      <c r="A187" s="3" t="s">
        <v>1520</v>
      </c>
      <c r="B187" s="3" t="s">
        <v>1521</v>
      </c>
      <c r="C187" s="3" t="s">
        <v>1522</v>
      </c>
      <c r="D187" s="3" t="s">
        <v>1523</v>
      </c>
      <c r="E187" s="3" t="s">
        <v>725</v>
      </c>
      <c r="F187" s="9">
        <v>2</v>
      </c>
      <c r="G187" s="6" t="s">
        <v>1524</v>
      </c>
      <c r="H187" s="6" t="s">
        <v>1525</v>
      </c>
      <c r="I187" s="6" t="s">
        <v>1526</v>
      </c>
      <c r="J187" s="5" t="s">
        <v>1527</v>
      </c>
      <c r="K187" s="5" t="str">
        <f t="shared" si="3"/>
        <v>OOWWKYOGZURVKL</v>
      </c>
    </row>
    <row r="188" spans="1:11">
      <c r="A188" s="3" t="s">
        <v>1528</v>
      </c>
      <c r="B188" s="3" t="s">
        <v>1529</v>
      </c>
      <c r="C188" s="3" t="s">
        <v>1530</v>
      </c>
      <c r="D188" s="3" t="s">
        <v>1531</v>
      </c>
      <c r="E188" s="3" t="s">
        <v>17</v>
      </c>
      <c r="F188" s="9">
        <v>1</v>
      </c>
      <c r="G188" s="6" t="s">
        <v>1532</v>
      </c>
      <c r="H188" s="6" t="s">
        <v>1532</v>
      </c>
      <c r="I188" s="6" t="s">
        <v>1533</v>
      </c>
      <c r="J188" s="5" t="s">
        <v>1534</v>
      </c>
      <c r="K188" s="5" t="str">
        <f t="shared" si="3"/>
        <v>POSDZZNQKAOHDF</v>
      </c>
    </row>
    <row r="189" spans="1:11">
      <c r="A189" s="3" t="s">
        <v>1535</v>
      </c>
      <c r="B189" s="3" t="s">
        <v>1536</v>
      </c>
      <c r="C189" s="3" t="s">
        <v>1537</v>
      </c>
      <c r="D189" s="3" t="s">
        <v>1538</v>
      </c>
      <c r="E189" s="3" t="s">
        <v>17</v>
      </c>
      <c r="F189" s="9">
        <v>1</v>
      </c>
      <c r="G189" s="6" t="s">
        <v>1539</v>
      </c>
      <c r="H189" s="6" t="s">
        <v>1540</v>
      </c>
      <c r="I189" s="6" t="s">
        <v>1541</v>
      </c>
      <c r="J189" s="5" t="s">
        <v>1542</v>
      </c>
      <c r="K189" s="5" t="str">
        <f t="shared" si="3"/>
        <v>QXUBNWJZMFWRLG</v>
      </c>
    </row>
    <row r="190" spans="1:11">
      <c r="A190" s="3" t="s">
        <v>1543</v>
      </c>
      <c r="B190" s="3" t="s">
        <v>1544</v>
      </c>
      <c r="C190" s="3" t="s">
        <v>1545</v>
      </c>
      <c r="D190" s="3" t="s">
        <v>1546</v>
      </c>
      <c r="E190" s="3" t="s">
        <v>17</v>
      </c>
      <c r="F190" s="9">
        <v>1</v>
      </c>
      <c r="G190" s="6" t="s">
        <v>1547</v>
      </c>
      <c r="H190" s="6" t="s">
        <v>1548</v>
      </c>
      <c r="I190" s="6" t="s">
        <v>1549</v>
      </c>
      <c r="J190" s="5" t="s">
        <v>1550</v>
      </c>
      <c r="K190" s="5" t="str">
        <f t="shared" si="3"/>
        <v>PDXNCYRUWZPRJX</v>
      </c>
    </row>
    <row r="191" spans="1:11">
      <c r="A191" s="3" t="s">
        <v>1551</v>
      </c>
      <c r="B191" s="3" t="s">
        <v>1552</v>
      </c>
      <c r="C191" s="3" t="s">
        <v>1553</v>
      </c>
      <c r="D191" s="3" t="s">
        <v>1554</v>
      </c>
      <c r="E191" s="3" t="s">
        <v>725</v>
      </c>
      <c r="F191" s="9">
        <v>2</v>
      </c>
      <c r="G191" s="6" t="s">
        <v>1555</v>
      </c>
      <c r="H191" s="6" t="s">
        <v>1556</v>
      </c>
      <c r="I191" s="6" t="s">
        <v>1557</v>
      </c>
      <c r="J191" s="5" t="s">
        <v>1558</v>
      </c>
      <c r="K191" s="5" t="str">
        <f t="shared" si="3"/>
        <v>AQQGXLPMISRSAO</v>
      </c>
    </row>
    <row r="192" spans="1:11">
      <c r="A192" s="3" t="s">
        <v>1559</v>
      </c>
      <c r="B192" s="8" t="s">
        <v>1560</v>
      </c>
      <c r="C192" s="8" t="s">
        <v>1561</v>
      </c>
      <c r="D192" s="3" t="s">
        <v>1562</v>
      </c>
      <c r="E192" s="3" t="s">
        <v>17</v>
      </c>
      <c r="F192" s="9">
        <v>1</v>
      </c>
      <c r="G192" s="23" t="s">
        <v>1563</v>
      </c>
      <c r="H192" s="23" t="s">
        <v>1563</v>
      </c>
      <c r="I192" s="23" t="s">
        <v>1564</v>
      </c>
      <c r="J192" s="3" t="s">
        <v>1565</v>
      </c>
      <c r="K192" s="3" t="s">
        <v>1566</v>
      </c>
    </row>
    <row r="193" spans="1:11">
      <c r="A193" s="3" t="s">
        <v>1567</v>
      </c>
      <c r="B193" s="3" t="s">
        <v>1568</v>
      </c>
      <c r="C193" s="3" t="s">
        <v>1569</v>
      </c>
      <c r="D193" s="3" t="s">
        <v>1570</v>
      </c>
      <c r="E193" s="3" t="s">
        <v>725</v>
      </c>
      <c r="F193" s="9">
        <v>2</v>
      </c>
      <c r="G193" s="6" t="s">
        <v>1571</v>
      </c>
      <c r="H193" s="6" t="s">
        <v>1572</v>
      </c>
      <c r="I193" s="6" t="s">
        <v>1573</v>
      </c>
      <c r="J193" s="5" t="s">
        <v>1574</v>
      </c>
      <c r="K193" s="5" t="str">
        <f>LEFT(J193,FIND("-",J193)-1)</f>
        <v>XVXXWYLOBKSUEI</v>
      </c>
    </row>
  </sheetData>
  <conditionalFormatting sqref="A1:A1048576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14AD-2602-4287-AE52-CA062F5B8468}">
  <dimension ref="A1:W1047"/>
  <sheetViews>
    <sheetView topLeftCell="F1" zoomScale="85" zoomScaleNormal="85" workbookViewId="0">
      <pane ySplit="1" topLeftCell="A2" activePane="bottomLeft" state="frozen"/>
      <selection pane="bottomLeft"/>
    </sheetView>
  </sheetViews>
  <sheetFormatPr defaultColWidth="9.109375" defaultRowHeight="14.4"/>
  <cols>
    <col min="1" max="1" width="22.109375" style="5" bestFit="1" customWidth="1"/>
    <col min="2" max="2" width="46.44140625" style="5" bestFit="1" customWidth="1"/>
    <col min="3" max="3" width="21.33203125" style="5" bestFit="1" customWidth="1"/>
    <col min="4" max="5" width="19" style="5" customWidth="1"/>
    <col min="6" max="6" width="125.33203125" style="5" customWidth="1"/>
    <col min="7" max="7" width="18.88671875" style="5" customWidth="1"/>
    <col min="8" max="9" width="37.44140625" style="5" customWidth="1"/>
    <col min="10" max="10" width="18.109375" style="5" customWidth="1"/>
    <col min="11" max="11" width="14.33203125" style="5" customWidth="1"/>
    <col min="12" max="12" width="16.44140625" style="17" bestFit="1" customWidth="1"/>
    <col min="13" max="13" width="14.44140625" style="17" bestFit="1" customWidth="1"/>
    <col min="14" max="14" width="8.44140625" style="17" bestFit="1" customWidth="1"/>
    <col min="15" max="15" width="13.6640625" style="18" bestFit="1" customWidth="1"/>
    <col min="16" max="16" width="22" style="18" bestFit="1" customWidth="1"/>
    <col min="17" max="17" width="7.88671875" style="18" customWidth="1"/>
    <col min="18" max="18" width="14" style="5" customWidth="1"/>
    <col min="19" max="19" width="27" style="5" customWidth="1"/>
    <col min="20" max="20" width="9.6640625" style="5" customWidth="1"/>
    <col min="21" max="21" width="14.6640625" style="5" customWidth="1"/>
    <col min="22" max="22" width="148" style="5" customWidth="1"/>
    <col min="23" max="23" width="128.44140625" style="5" bestFit="1" customWidth="1"/>
    <col min="24" max="16384" width="9.109375" style="5"/>
  </cols>
  <sheetData>
    <row r="1" spans="1:23" s="16" customFormat="1">
      <c r="A1" s="15" t="s">
        <v>1575</v>
      </c>
      <c r="B1" s="15" t="s">
        <v>1630</v>
      </c>
      <c r="C1" s="15" t="s">
        <v>1577</v>
      </c>
      <c r="D1" s="15" t="s">
        <v>1631</v>
      </c>
      <c r="E1" s="15" t="s">
        <v>1632</v>
      </c>
      <c r="F1" s="15" t="s">
        <v>1633</v>
      </c>
      <c r="G1" s="15" t="s">
        <v>1634</v>
      </c>
      <c r="H1" s="15" t="s">
        <v>1578</v>
      </c>
      <c r="I1" s="15" t="s">
        <v>1635</v>
      </c>
      <c r="J1" s="15" t="s">
        <v>1636</v>
      </c>
      <c r="K1" s="15" t="s">
        <v>2</v>
      </c>
      <c r="L1" s="15" t="s">
        <v>1637</v>
      </c>
      <c r="M1" s="15" t="s">
        <v>1582</v>
      </c>
      <c r="N1" s="15" t="s">
        <v>1583</v>
      </c>
      <c r="O1" s="15" t="s">
        <v>1638</v>
      </c>
      <c r="P1" s="15" t="s">
        <v>1585</v>
      </c>
      <c r="Q1" s="15" t="s">
        <v>1586</v>
      </c>
      <c r="R1" s="15" t="s">
        <v>1588</v>
      </c>
      <c r="S1" s="15" t="s">
        <v>1590</v>
      </c>
      <c r="T1" s="15" t="s">
        <v>1593</v>
      </c>
      <c r="U1" s="15" t="s">
        <v>1639</v>
      </c>
      <c r="V1" s="15" t="s">
        <v>1640</v>
      </c>
      <c r="W1" s="15" t="s">
        <v>1641</v>
      </c>
    </row>
    <row r="2" spans="1:23">
      <c r="A2" s="5" t="s">
        <v>1642</v>
      </c>
      <c r="B2" s="5" t="s">
        <v>1643</v>
      </c>
      <c r="C2" s="5" t="s">
        <v>1596</v>
      </c>
      <c r="G2" s="5" t="s">
        <v>1644</v>
      </c>
      <c r="H2" s="5" t="s">
        <v>1645</v>
      </c>
      <c r="J2" s="5" t="s">
        <v>1646</v>
      </c>
      <c r="L2" s="17">
        <v>25</v>
      </c>
      <c r="M2" s="17">
        <v>1.0000177549342111</v>
      </c>
      <c r="N2" s="17">
        <v>1</v>
      </c>
      <c r="O2" s="18">
        <v>1</v>
      </c>
      <c r="P2" s="18">
        <v>0.97400000000000009</v>
      </c>
      <c r="Q2" s="18">
        <f t="shared" ref="Q2:Q65" si="0">ABS(P2)</f>
        <v>0.97400000000000009</v>
      </c>
      <c r="R2" s="18">
        <f>8.3145*(L2+273.15)*LN((Q2+1)/(1-Q2))*0.001</f>
        <v>10.733239777247757</v>
      </c>
      <c r="S2" s="5" t="s">
        <v>1617</v>
      </c>
      <c r="U2" s="5" t="s">
        <v>1647</v>
      </c>
      <c r="V2" s="5" t="s">
        <v>1648</v>
      </c>
      <c r="W2" s="5" t="s">
        <v>1649</v>
      </c>
    </row>
    <row r="3" spans="1:23">
      <c r="A3" s="5" t="s">
        <v>1642</v>
      </c>
      <c r="B3" s="5" t="s">
        <v>1643</v>
      </c>
      <c r="C3" s="5" t="s">
        <v>1596</v>
      </c>
      <c r="G3" s="5" t="s">
        <v>1644</v>
      </c>
      <c r="H3" s="5" t="s">
        <v>1645</v>
      </c>
      <c r="J3" s="5" t="s">
        <v>1646</v>
      </c>
      <c r="L3" s="17">
        <v>25</v>
      </c>
      <c r="M3" s="17">
        <v>1.0000177549342111</v>
      </c>
      <c r="N3" s="17">
        <v>1</v>
      </c>
      <c r="O3" s="18">
        <v>1</v>
      </c>
      <c r="P3" s="18">
        <v>0.97400000000000009</v>
      </c>
      <c r="Q3" s="18">
        <f t="shared" si="0"/>
        <v>0.97400000000000009</v>
      </c>
      <c r="R3" s="18">
        <f t="shared" ref="R3:R66" si="1">8.3145*(L3+273.15)*LN((Q3+1)/(1-Q3))*0.001</f>
        <v>10.733239777247757</v>
      </c>
      <c r="S3" s="5" t="s">
        <v>1617</v>
      </c>
      <c r="U3" s="5" t="s">
        <v>1647</v>
      </c>
      <c r="V3" s="5" t="s">
        <v>1650</v>
      </c>
      <c r="W3" s="5" t="s">
        <v>1651</v>
      </c>
    </row>
    <row r="4" spans="1:23">
      <c r="A4" s="5" t="s">
        <v>1642</v>
      </c>
      <c r="B4" s="5" t="s">
        <v>1643</v>
      </c>
      <c r="C4" s="5" t="s">
        <v>1652</v>
      </c>
      <c r="D4" s="5" t="s">
        <v>1653</v>
      </c>
      <c r="F4" s="5" t="s">
        <v>1654</v>
      </c>
      <c r="L4" s="17">
        <v>20</v>
      </c>
      <c r="M4" s="17">
        <v>10.13317994407895</v>
      </c>
      <c r="N4" s="17">
        <v>20</v>
      </c>
      <c r="O4" s="18">
        <v>1</v>
      </c>
      <c r="P4" s="18">
        <v>0.96</v>
      </c>
      <c r="Q4" s="18">
        <f t="shared" si="0"/>
        <v>0.96</v>
      </c>
      <c r="R4" s="18">
        <f t="shared" si="1"/>
        <v>9.4859059624920494</v>
      </c>
      <c r="S4" s="5" t="s">
        <v>1617</v>
      </c>
      <c r="U4" s="5" t="s">
        <v>1655</v>
      </c>
      <c r="V4" s="5" t="s">
        <v>1656</v>
      </c>
      <c r="W4" s="5" t="s">
        <v>1657</v>
      </c>
    </row>
    <row r="5" spans="1:23">
      <c r="A5" s="5" t="s">
        <v>1642</v>
      </c>
      <c r="B5" s="5" t="s">
        <v>1643</v>
      </c>
      <c r="C5" s="5" t="s">
        <v>1596</v>
      </c>
      <c r="F5" s="5" t="s">
        <v>1658</v>
      </c>
      <c r="I5" s="5" t="s">
        <v>1659</v>
      </c>
      <c r="J5" s="5" t="s">
        <v>1660</v>
      </c>
      <c r="L5" s="17">
        <v>20</v>
      </c>
      <c r="M5" s="17">
        <v>3.0000599309210529</v>
      </c>
      <c r="N5" s="17">
        <v>4</v>
      </c>
      <c r="O5" s="18">
        <v>0.99</v>
      </c>
      <c r="P5" s="18">
        <v>0.99</v>
      </c>
      <c r="Q5" s="18">
        <f t="shared" si="0"/>
        <v>0.99</v>
      </c>
      <c r="R5" s="18">
        <f t="shared" si="1"/>
        <v>12.901878286240109</v>
      </c>
      <c r="S5" s="5" t="s">
        <v>1617</v>
      </c>
      <c r="U5" s="5" t="s">
        <v>1647</v>
      </c>
      <c r="V5" s="5" t="s">
        <v>1661</v>
      </c>
      <c r="W5" s="5" t="s">
        <v>1662</v>
      </c>
    </row>
    <row r="6" spans="1:23">
      <c r="A6" s="5" t="s">
        <v>1642</v>
      </c>
      <c r="B6" s="5" t="s">
        <v>1643</v>
      </c>
      <c r="C6" s="5" t="s">
        <v>1596</v>
      </c>
      <c r="F6" s="5" t="s">
        <v>1658</v>
      </c>
      <c r="I6" s="5" t="s">
        <v>1659</v>
      </c>
      <c r="J6" s="5" t="s">
        <v>1660</v>
      </c>
      <c r="L6" s="17">
        <v>20</v>
      </c>
      <c r="M6" s="17">
        <v>3.0000599309210529</v>
      </c>
      <c r="O6" s="18">
        <v>0.99</v>
      </c>
      <c r="P6" s="18">
        <v>0.99</v>
      </c>
      <c r="Q6" s="18">
        <f t="shared" si="0"/>
        <v>0.99</v>
      </c>
      <c r="R6" s="18">
        <f t="shared" si="1"/>
        <v>12.901878286240109</v>
      </c>
      <c r="S6" s="5" t="s">
        <v>1617</v>
      </c>
      <c r="U6" s="5" t="s">
        <v>1647</v>
      </c>
      <c r="V6" s="5" t="s">
        <v>1661</v>
      </c>
      <c r="W6" s="5" t="s">
        <v>1662</v>
      </c>
    </row>
    <row r="7" spans="1:23">
      <c r="A7" s="5" t="s">
        <v>1642</v>
      </c>
      <c r="B7" s="5" t="s">
        <v>1643</v>
      </c>
      <c r="C7" s="5" t="s">
        <v>1596</v>
      </c>
      <c r="F7" s="5" t="s">
        <v>1658</v>
      </c>
      <c r="I7" s="5" t="s">
        <v>1659</v>
      </c>
      <c r="J7" s="5" t="s">
        <v>1660</v>
      </c>
      <c r="L7" s="17">
        <v>20</v>
      </c>
      <c r="M7" s="17">
        <v>3.0000599309210529</v>
      </c>
      <c r="N7" s="17">
        <v>4</v>
      </c>
      <c r="O7" s="18">
        <v>0.99</v>
      </c>
      <c r="P7" s="18">
        <v>0.99</v>
      </c>
      <c r="Q7" s="18">
        <f t="shared" si="0"/>
        <v>0.99</v>
      </c>
      <c r="R7" s="18">
        <f t="shared" si="1"/>
        <v>12.901878286240109</v>
      </c>
      <c r="S7" s="5" t="s">
        <v>1617</v>
      </c>
      <c r="U7" s="5" t="s">
        <v>1647</v>
      </c>
      <c r="V7" s="5" t="s">
        <v>1663</v>
      </c>
      <c r="W7" s="5" t="s">
        <v>1664</v>
      </c>
    </row>
    <row r="8" spans="1:23">
      <c r="A8" s="5" t="s">
        <v>1642</v>
      </c>
      <c r="B8" s="5" t="s">
        <v>1643</v>
      </c>
      <c r="C8" s="5" t="s">
        <v>1596</v>
      </c>
      <c r="F8" s="5" t="s">
        <v>1665</v>
      </c>
      <c r="I8" s="5" t="s">
        <v>1666</v>
      </c>
      <c r="J8" s="5" t="s">
        <v>1667</v>
      </c>
      <c r="M8" s="17">
        <v>3.0399499835526318</v>
      </c>
      <c r="N8" s="17">
        <v>0.8</v>
      </c>
      <c r="O8" s="18">
        <v>0.99</v>
      </c>
      <c r="P8" s="18">
        <v>0.99400000000000011</v>
      </c>
      <c r="Q8" s="18">
        <f t="shared" si="0"/>
        <v>0.99400000000000011</v>
      </c>
      <c r="R8" s="18"/>
      <c r="S8" s="5" t="s">
        <v>1617</v>
      </c>
      <c r="U8" s="5" t="s">
        <v>1655</v>
      </c>
      <c r="V8" s="5" t="s">
        <v>1668</v>
      </c>
      <c r="W8" s="5" t="s">
        <v>1669</v>
      </c>
    </row>
    <row r="9" spans="1:23">
      <c r="A9" s="5" t="s">
        <v>1642</v>
      </c>
      <c r="B9" s="5" t="s">
        <v>1643</v>
      </c>
      <c r="C9" s="5" t="s">
        <v>1652</v>
      </c>
      <c r="G9" s="5" t="s">
        <v>1644</v>
      </c>
      <c r="L9" s="17">
        <v>50</v>
      </c>
      <c r="M9" s="17">
        <v>51.711880361842113</v>
      </c>
      <c r="N9" s="17">
        <v>12</v>
      </c>
      <c r="O9" s="18">
        <v>0.99</v>
      </c>
      <c r="P9" s="18">
        <v>0.97</v>
      </c>
      <c r="Q9" s="18">
        <f t="shared" si="0"/>
        <v>0.97</v>
      </c>
      <c r="R9" s="18">
        <f t="shared" si="1"/>
        <v>11.243288643522172</v>
      </c>
      <c r="S9" s="5" t="s">
        <v>1617</v>
      </c>
      <c r="U9" s="5" t="s">
        <v>1647</v>
      </c>
      <c r="V9" s="5" t="s">
        <v>1670</v>
      </c>
      <c r="W9" s="5" t="s">
        <v>1671</v>
      </c>
    </row>
    <row r="10" spans="1:23">
      <c r="A10" s="5" t="s">
        <v>1642</v>
      </c>
      <c r="B10" s="5" t="s">
        <v>1643</v>
      </c>
      <c r="C10" s="5" t="s">
        <v>1672</v>
      </c>
      <c r="G10" s="5" t="s">
        <v>1673</v>
      </c>
      <c r="H10" s="5" t="s">
        <v>1674</v>
      </c>
      <c r="L10" s="17">
        <v>20</v>
      </c>
      <c r="M10" s="17">
        <v>1.0133179944078949</v>
      </c>
      <c r="N10" s="17">
        <v>15</v>
      </c>
      <c r="O10" s="18">
        <v>0.99</v>
      </c>
      <c r="P10" s="18">
        <v>0.998</v>
      </c>
      <c r="Q10" s="18">
        <f t="shared" si="0"/>
        <v>0.998</v>
      </c>
      <c r="R10" s="18">
        <f t="shared" si="1"/>
        <v>16.834494225763567</v>
      </c>
      <c r="S10" s="5" t="s">
        <v>1617</v>
      </c>
      <c r="U10" s="5" t="s">
        <v>1655</v>
      </c>
      <c r="V10" s="5" t="s">
        <v>1675</v>
      </c>
      <c r="W10" s="5" t="s">
        <v>1676</v>
      </c>
    </row>
    <row r="11" spans="1:23">
      <c r="A11" s="5" t="s">
        <v>1642</v>
      </c>
      <c r="B11" s="5" t="s">
        <v>1643</v>
      </c>
      <c r="C11" s="5" t="s">
        <v>1652</v>
      </c>
      <c r="G11" s="5" t="s">
        <v>1677</v>
      </c>
      <c r="H11" s="5" t="s">
        <v>1678</v>
      </c>
      <c r="L11" s="17">
        <v>20</v>
      </c>
      <c r="M11" s="17">
        <v>1.72372490131579</v>
      </c>
      <c r="O11" s="18">
        <v>0.97</v>
      </c>
      <c r="P11" s="18">
        <v>0.81</v>
      </c>
      <c r="Q11" s="18">
        <f t="shared" si="0"/>
        <v>0.81</v>
      </c>
      <c r="R11" s="18">
        <f t="shared" si="1"/>
        <v>5.4940313473859668</v>
      </c>
      <c r="S11" s="5" t="s">
        <v>1617</v>
      </c>
      <c r="U11" s="5" t="s">
        <v>1647</v>
      </c>
      <c r="V11" s="5" t="s">
        <v>1679</v>
      </c>
      <c r="W11" s="5" t="s">
        <v>1680</v>
      </c>
    </row>
    <row r="12" spans="1:23">
      <c r="A12" s="5" t="s">
        <v>1642</v>
      </c>
      <c r="B12" s="5" t="s">
        <v>1643</v>
      </c>
      <c r="C12" s="5" t="s">
        <v>1652</v>
      </c>
      <c r="G12" s="5" t="s">
        <v>1677</v>
      </c>
      <c r="H12" s="5" t="s">
        <v>1681</v>
      </c>
      <c r="L12" s="17">
        <v>20</v>
      </c>
      <c r="M12" s="17">
        <v>1.72372490131579</v>
      </c>
      <c r="O12" s="18">
        <v>0.97</v>
      </c>
      <c r="P12" s="18">
        <v>0.81</v>
      </c>
      <c r="Q12" s="18">
        <f t="shared" si="0"/>
        <v>0.81</v>
      </c>
      <c r="R12" s="18">
        <f t="shared" si="1"/>
        <v>5.4940313473859668</v>
      </c>
      <c r="S12" s="5" t="s">
        <v>1617</v>
      </c>
      <c r="U12" s="5" t="s">
        <v>1647</v>
      </c>
      <c r="V12" s="5" t="s">
        <v>1679</v>
      </c>
      <c r="W12" s="5" t="s">
        <v>1680</v>
      </c>
    </row>
    <row r="13" spans="1:23">
      <c r="A13" s="5" t="s">
        <v>1642</v>
      </c>
      <c r="B13" s="5" t="s">
        <v>1643</v>
      </c>
      <c r="C13" s="5" t="s">
        <v>1652</v>
      </c>
      <c r="G13" s="5" t="s">
        <v>1677</v>
      </c>
      <c r="H13" s="5" t="s">
        <v>1678</v>
      </c>
      <c r="L13" s="17">
        <v>20</v>
      </c>
      <c r="M13" s="17">
        <v>1.72372490131579</v>
      </c>
      <c r="O13" s="18">
        <v>0.93</v>
      </c>
      <c r="P13" s="18">
        <v>0.8</v>
      </c>
      <c r="Q13" s="18">
        <f t="shared" si="0"/>
        <v>0.8</v>
      </c>
      <c r="R13" s="18">
        <f t="shared" si="1"/>
        <v>5.3555056818030051</v>
      </c>
      <c r="S13" s="5" t="s">
        <v>1617</v>
      </c>
      <c r="U13" s="5" t="s">
        <v>1647</v>
      </c>
      <c r="V13" s="5" t="s">
        <v>1679</v>
      </c>
      <c r="W13" s="5" t="s">
        <v>1680</v>
      </c>
    </row>
    <row r="14" spans="1:23">
      <c r="A14" s="5" t="s">
        <v>1642</v>
      </c>
      <c r="B14" s="5" t="s">
        <v>1643</v>
      </c>
      <c r="C14" s="5" t="s">
        <v>1652</v>
      </c>
      <c r="G14" s="5" t="s">
        <v>1677</v>
      </c>
      <c r="H14" s="5" t="s">
        <v>1678</v>
      </c>
      <c r="L14" s="17">
        <v>20</v>
      </c>
      <c r="M14" s="17">
        <v>1.72372490131579</v>
      </c>
      <c r="O14" s="18">
        <v>0.92</v>
      </c>
      <c r="P14" s="18">
        <v>0.82</v>
      </c>
      <c r="Q14" s="18">
        <f t="shared" si="0"/>
        <v>0.82</v>
      </c>
      <c r="R14" s="18">
        <f t="shared" si="1"/>
        <v>5.6392437699137998</v>
      </c>
      <c r="S14" s="5" t="s">
        <v>1617</v>
      </c>
      <c r="U14" s="5" t="s">
        <v>1647</v>
      </c>
      <c r="V14" s="5" t="s">
        <v>1679</v>
      </c>
      <c r="W14" s="5" t="s">
        <v>1680</v>
      </c>
    </row>
    <row r="15" spans="1:23">
      <c r="A15" s="5" t="s">
        <v>1642</v>
      </c>
      <c r="B15" s="5" t="s">
        <v>1643</v>
      </c>
      <c r="C15" s="5" t="s">
        <v>1652</v>
      </c>
      <c r="G15" s="5" t="s">
        <v>1677</v>
      </c>
      <c r="H15" s="5" t="s">
        <v>1678</v>
      </c>
      <c r="L15" s="17">
        <v>20</v>
      </c>
      <c r="M15" s="17">
        <v>1.72372490131579</v>
      </c>
      <c r="O15" s="18">
        <v>0.9</v>
      </c>
      <c r="P15" s="18">
        <v>0.82</v>
      </c>
      <c r="Q15" s="18">
        <f t="shared" si="0"/>
        <v>0.82</v>
      </c>
      <c r="R15" s="18">
        <f t="shared" si="1"/>
        <v>5.6392437699137998</v>
      </c>
      <c r="S15" s="5" t="s">
        <v>1617</v>
      </c>
      <c r="U15" s="5" t="s">
        <v>1647</v>
      </c>
      <c r="V15" s="5" t="s">
        <v>1679</v>
      </c>
      <c r="W15" s="5" t="s">
        <v>1680</v>
      </c>
    </row>
    <row r="16" spans="1:23">
      <c r="A16" s="5" t="s">
        <v>1642</v>
      </c>
      <c r="B16" s="5" t="s">
        <v>1643</v>
      </c>
      <c r="C16" s="5" t="s">
        <v>1652</v>
      </c>
      <c r="G16" s="5" t="s">
        <v>1677</v>
      </c>
      <c r="H16" s="5" t="s">
        <v>1682</v>
      </c>
      <c r="L16" s="17">
        <v>20</v>
      </c>
      <c r="M16" s="17">
        <v>1.72372490131579</v>
      </c>
      <c r="O16" s="18">
        <v>0.89</v>
      </c>
      <c r="P16" s="18">
        <v>0.82</v>
      </c>
      <c r="Q16" s="18">
        <f t="shared" si="0"/>
        <v>0.82</v>
      </c>
      <c r="R16" s="18">
        <f t="shared" si="1"/>
        <v>5.6392437699137998</v>
      </c>
      <c r="S16" s="5" t="s">
        <v>1617</v>
      </c>
      <c r="U16" s="5" t="s">
        <v>1647</v>
      </c>
      <c r="V16" s="5" t="s">
        <v>1679</v>
      </c>
      <c r="W16" s="5" t="s">
        <v>1680</v>
      </c>
    </row>
    <row r="17" spans="1:23">
      <c r="A17" s="5" t="s">
        <v>1642</v>
      </c>
      <c r="B17" s="5" t="s">
        <v>1643</v>
      </c>
      <c r="C17" s="5" t="s">
        <v>1652</v>
      </c>
      <c r="G17" s="5" t="s">
        <v>1677</v>
      </c>
      <c r="H17" s="5" t="s">
        <v>1678</v>
      </c>
      <c r="L17" s="17">
        <v>20</v>
      </c>
      <c r="M17" s="17">
        <v>1.72372490131579</v>
      </c>
      <c r="O17" s="18">
        <v>0.87</v>
      </c>
      <c r="P17" s="18">
        <v>0.81</v>
      </c>
      <c r="Q17" s="18">
        <f t="shared" si="0"/>
        <v>0.81</v>
      </c>
      <c r="R17" s="18">
        <f t="shared" si="1"/>
        <v>5.4940313473859668</v>
      </c>
      <c r="S17" s="5" t="s">
        <v>1617</v>
      </c>
      <c r="U17" s="5" t="s">
        <v>1647</v>
      </c>
      <c r="V17" s="5" t="s">
        <v>1679</v>
      </c>
      <c r="W17" s="5" t="s">
        <v>1680</v>
      </c>
    </row>
    <row r="18" spans="1:23">
      <c r="A18" s="5" t="s">
        <v>1642</v>
      </c>
      <c r="B18" s="5" t="s">
        <v>1643</v>
      </c>
      <c r="C18" s="5" t="s">
        <v>1652</v>
      </c>
      <c r="G18" s="5" t="s">
        <v>1677</v>
      </c>
      <c r="H18" s="5" t="s">
        <v>1678</v>
      </c>
      <c r="L18" s="17">
        <v>20</v>
      </c>
      <c r="M18" s="17">
        <v>1.72372490131579</v>
      </c>
      <c r="O18" s="18">
        <v>0.81</v>
      </c>
      <c r="P18" s="18">
        <v>0.82</v>
      </c>
      <c r="Q18" s="18">
        <f t="shared" si="0"/>
        <v>0.82</v>
      </c>
      <c r="R18" s="18">
        <f t="shared" si="1"/>
        <v>5.6392437699137998</v>
      </c>
      <c r="S18" s="5" t="s">
        <v>1617</v>
      </c>
      <c r="U18" s="5" t="s">
        <v>1647</v>
      </c>
      <c r="V18" s="5" t="s">
        <v>1679</v>
      </c>
      <c r="W18" s="5" t="s">
        <v>1680</v>
      </c>
    </row>
    <row r="19" spans="1:23">
      <c r="A19" s="5" t="s">
        <v>1642</v>
      </c>
      <c r="B19" s="5" t="s">
        <v>1643</v>
      </c>
      <c r="C19" s="5" t="s">
        <v>1652</v>
      </c>
      <c r="G19" s="5" t="s">
        <v>1677</v>
      </c>
      <c r="H19" s="5" t="s">
        <v>1678</v>
      </c>
      <c r="L19" s="17">
        <v>20</v>
      </c>
      <c r="M19" s="17">
        <v>1.72372490131579</v>
      </c>
      <c r="O19" s="18">
        <v>0.73</v>
      </c>
      <c r="P19" s="18">
        <v>0.8</v>
      </c>
      <c r="Q19" s="18">
        <f t="shared" si="0"/>
        <v>0.8</v>
      </c>
      <c r="R19" s="18">
        <f t="shared" si="1"/>
        <v>5.3555056818030051</v>
      </c>
      <c r="S19" s="5" t="s">
        <v>1617</v>
      </c>
      <c r="U19" s="5" t="s">
        <v>1647</v>
      </c>
      <c r="V19" s="5" t="s">
        <v>1679</v>
      </c>
      <c r="W19" s="5" t="s">
        <v>1680</v>
      </c>
    </row>
    <row r="20" spans="1:23">
      <c r="A20" s="5" t="s">
        <v>1642</v>
      </c>
      <c r="B20" s="5" t="s">
        <v>1643</v>
      </c>
      <c r="C20" s="5" t="s">
        <v>1652</v>
      </c>
      <c r="G20" s="5" t="s">
        <v>1677</v>
      </c>
      <c r="H20" s="5" t="s">
        <v>1678</v>
      </c>
      <c r="L20" s="17">
        <v>20</v>
      </c>
      <c r="M20" s="17">
        <v>1.72372490131579</v>
      </c>
      <c r="O20" s="18">
        <v>0.6</v>
      </c>
      <c r="P20" s="18">
        <v>0.8</v>
      </c>
      <c r="Q20" s="18">
        <f t="shared" si="0"/>
        <v>0.8</v>
      </c>
      <c r="R20" s="18">
        <f t="shared" si="1"/>
        <v>5.3555056818030051</v>
      </c>
      <c r="S20" s="5" t="s">
        <v>1617</v>
      </c>
      <c r="U20" s="5" t="s">
        <v>1647</v>
      </c>
      <c r="V20" s="5" t="s">
        <v>1679</v>
      </c>
      <c r="W20" s="5" t="s">
        <v>1680</v>
      </c>
    </row>
    <row r="21" spans="1:23">
      <c r="A21" s="5" t="s">
        <v>1642</v>
      </c>
      <c r="B21" s="5" t="s">
        <v>1643</v>
      </c>
      <c r="C21" s="5" t="s">
        <v>1652</v>
      </c>
      <c r="G21" s="5" t="s">
        <v>1644</v>
      </c>
      <c r="H21" s="5" t="s">
        <v>1683</v>
      </c>
      <c r="J21" s="5" t="s">
        <v>1684</v>
      </c>
      <c r="L21" s="17">
        <v>20</v>
      </c>
      <c r="M21" s="17">
        <v>1.72372490131579</v>
      </c>
      <c r="N21" s="17">
        <v>12</v>
      </c>
      <c r="P21" s="18">
        <v>0.9840000000000001</v>
      </c>
      <c r="Q21" s="18">
        <f t="shared" si="0"/>
        <v>0.9840000000000001</v>
      </c>
      <c r="R21" s="18">
        <f t="shared" si="1"/>
        <v>11.748933440287963</v>
      </c>
      <c r="S21" s="5" t="s">
        <v>1617</v>
      </c>
      <c r="U21" s="5" t="s">
        <v>1647</v>
      </c>
      <c r="V21" s="5" t="s">
        <v>1685</v>
      </c>
      <c r="W21" s="5" t="s">
        <v>1686</v>
      </c>
    </row>
    <row r="22" spans="1:23">
      <c r="A22" s="5" t="s">
        <v>1642</v>
      </c>
      <c r="B22" s="5" t="s">
        <v>1643</v>
      </c>
      <c r="C22" s="5" t="s">
        <v>1596</v>
      </c>
      <c r="G22" s="5" t="s">
        <v>1644</v>
      </c>
      <c r="H22" s="5" t="s">
        <v>1687</v>
      </c>
      <c r="J22" s="5" t="s">
        <v>1688</v>
      </c>
      <c r="L22" s="17">
        <v>25</v>
      </c>
      <c r="M22" s="17">
        <v>1.0000177549342111</v>
      </c>
      <c r="N22" s="17">
        <v>1</v>
      </c>
      <c r="P22" s="18">
        <v>0.78</v>
      </c>
      <c r="Q22" s="18">
        <f t="shared" si="0"/>
        <v>0.78</v>
      </c>
      <c r="R22" s="18">
        <f t="shared" si="1"/>
        <v>5.182880641463405</v>
      </c>
      <c r="S22" s="5" t="s">
        <v>1617</v>
      </c>
      <c r="U22" s="5" t="s">
        <v>1647</v>
      </c>
      <c r="V22" s="5" t="s">
        <v>1689</v>
      </c>
      <c r="W22" s="5" t="s">
        <v>1690</v>
      </c>
    </row>
    <row r="23" spans="1:23">
      <c r="A23" s="5" t="s">
        <v>1642</v>
      </c>
      <c r="B23" s="5" t="s">
        <v>1643</v>
      </c>
      <c r="C23" s="5" t="s">
        <v>1596</v>
      </c>
      <c r="G23" s="5" t="s">
        <v>1644</v>
      </c>
      <c r="H23" s="5" t="s">
        <v>1691</v>
      </c>
      <c r="J23" s="5" t="s">
        <v>1692</v>
      </c>
      <c r="L23" s="17">
        <v>25</v>
      </c>
      <c r="M23" s="17">
        <v>1.0000177549342111</v>
      </c>
      <c r="N23" s="17">
        <v>1</v>
      </c>
      <c r="P23" s="18">
        <v>0.65</v>
      </c>
      <c r="Q23" s="18">
        <f t="shared" si="0"/>
        <v>0.65</v>
      </c>
      <c r="R23" s="18">
        <f t="shared" si="1"/>
        <v>3.8438816376046332</v>
      </c>
      <c r="S23" s="5" t="s">
        <v>1617</v>
      </c>
      <c r="U23" s="5" t="s">
        <v>1647</v>
      </c>
      <c r="V23" s="5" t="s">
        <v>1689</v>
      </c>
      <c r="W23" s="5" t="s">
        <v>1690</v>
      </c>
    </row>
    <row r="24" spans="1:23">
      <c r="A24" s="5" t="s">
        <v>1642</v>
      </c>
      <c r="B24" s="5" t="s">
        <v>1643</v>
      </c>
      <c r="C24" s="5" t="s">
        <v>1596</v>
      </c>
      <c r="G24" s="5" t="s">
        <v>1644</v>
      </c>
      <c r="H24" s="5" t="s">
        <v>1693</v>
      </c>
      <c r="J24" s="5" t="s">
        <v>1694</v>
      </c>
      <c r="L24" s="17">
        <v>25</v>
      </c>
      <c r="M24" s="17">
        <v>1.0000177549342111</v>
      </c>
      <c r="N24" s="17">
        <v>1</v>
      </c>
      <c r="P24" s="18">
        <v>0.56999999999999995</v>
      </c>
      <c r="Q24" s="18">
        <f t="shared" si="0"/>
        <v>0.56999999999999995</v>
      </c>
      <c r="R24" s="18">
        <f t="shared" si="1"/>
        <v>3.2103770498250412</v>
      </c>
      <c r="S24" s="5" t="s">
        <v>1617</v>
      </c>
      <c r="U24" s="5" t="s">
        <v>1647</v>
      </c>
      <c r="V24" s="5" t="s">
        <v>1689</v>
      </c>
      <c r="W24" s="5" t="s">
        <v>1690</v>
      </c>
    </row>
    <row r="25" spans="1:23">
      <c r="A25" s="5" t="s">
        <v>1642</v>
      </c>
      <c r="B25" s="5" t="s">
        <v>1643</v>
      </c>
      <c r="C25" s="5" t="s">
        <v>1596</v>
      </c>
      <c r="G25" s="5" t="s">
        <v>1644</v>
      </c>
      <c r="H25" s="5" t="s">
        <v>1695</v>
      </c>
      <c r="J25" s="5" t="s">
        <v>1696</v>
      </c>
      <c r="L25" s="17">
        <v>25</v>
      </c>
      <c r="M25" s="17">
        <v>1.0000177549342111</v>
      </c>
      <c r="N25" s="17">
        <v>1</v>
      </c>
      <c r="P25" s="18">
        <v>0.42</v>
      </c>
      <c r="Q25" s="18">
        <f t="shared" si="0"/>
        <v>0.42</v>
      </c>
      <c r="R25" s="18">
        <f t="shared" si="1"/>
        <v>2.2196285570516543</v>
      </c>
      <c r="S25" s="5" t="s">
        <v>1617</v>
      </c>
      <c r="U25" s="5" t="s">
        <v>1647</v>
      </c>
      <c r="V25" s="5" t="s">
        <v>1689</v>
      </c>
      <c r="W25" s="5" t="s">
        <v>1690</v>
      </c>
    </row>
    <row r="26" spans="1:23">
      <c r="A26" s="5" t="s">
        <v>1642</v>
      </c>
      <c r="B26" s="5" t="s">
        <v>1643</v>
      </c>
      <c r="C26" s="5" t="s">
        <v>1596</v>
      </c>
      <c r="G26" s="5" t="s">
        <v>1644</v>
      </c>
      <c r="H26" s="5" t="s">
        <v>1697</v>
      </c>
      <c r="J26" s="5" t="s">
        <v>1698</v>
      </c>
      <c r="L26" s="17">
        <v>25</v>
      </c>
      <c r="M26" s="17">
        <v>1.0000177549342111</v>
      </c>
      <c r="N26" s="17">
        <v>1</v>
      </c>
      <c r="P26" s="18">
        <v>0.52</v>
      </c>
      <c r="Q26" s="18">
        <f t="shared" si="0"/>
        <v>0.52</v>
      </c>
      <c r="R26" s="18">
        <f t="shared" si="1"/>
        <v>2.8574558211118539</v>
      </c>
      <c r="S26" s="5" t="s">
        <v>1617</v>
      </c>
      <c r="U26" s="5" t="s">
        <v>1647</v>
      </c>
      <c r="V26" s="5" t="s">
        <v>1689</v>
      </c>
      <c r="W26" s="5" t="s">
        <v>1690</v>
      </c>
    </row>
    <row r="27" spans="1:23">
      <c r="A27" s="5" t="s">
        <v>1642</v>
      </c>
      <c r="B27" s="5" t="s">
        <v>1643</v>
      </c>
      <c r="C27" s="5" t="s">
        <v>1596</v>
      </c>
      <c r="G27" s="5" t="s">
        <v>1644</v>
      </c>
      <c r="H27" s="5" t="s">
        <v>1699</v>
      </c>
      <c r="L27" s="17">
        <v>25</v>
      </c>
      <c r="M27" s="17">
        <v>1.0000177549342111</v>
      </c>
      <c r="N27" s="17">
        <v>1</v>
      </c>
      <c r="P27" s="18">
        <v>0.77</v>
      </c>
      <c r="Q27" s="18">
        <f t="shared" si="0"/>
        <v>0.77</v>
      </c>
      <c r="R27" s="18">
        <f t="shared" si="1"/>
        <v>5.0587200819003435</v>
      </c>
      <c r="S27" s="5" t="s">
        <v>1617</v>
      </c>
      <c r="U27" s="5" t="s">
        <v>1647</v>
      </c>
      <c r="V27" s="5" t="s">
        <v>1689</v>
      </c>
      <c r="W27" s="5" t="s">
        <v>1690</v>
      </c>
    </row>
    <row r="28" spans="1:23">
      <c r="A28" s="5" t="s">
        <v>1642</v>
      </c>
      <c r="B28" s="5" t="s">
        <v>1643</v>
      </c>
      <c r="C28" s="5" t="s">
        <v>1596</v>
      </c>
      <c r="G28" s="5" t="s">
        <v>1644</v>
      </c>
      <c r="H28" s="5" t="s">
        <v>1700</v>
      </c>
      <c r="L28" s="17">
        <v>25</v>
      </c>
      <c r="M28" s="17">
        <v>1.0000177549342111</v>
      </c>
      <c r="N28" s="17">
        <v>1</v>
      </c>
      <c r="P28" s="18">
        <v>0.83</v>
      </c>
      <c r="Q28" s="18">
        <f t="shared" si="0"/>
        <v>0.83</v>
      </c>
      <c r="R28" s="18">
        <f t="shared" si="1"/>
        <v>5.890704668096383</v>
      </c>
      <c r="S28" s="5" t="s">
        <v>1617</v>
      </c>
      <c r="U28" s="5" t="s">
        <v>1647</v>
      </c>
      <c r="V28" s="5" t="s">
        <v>1701</v>
      </c>
      <c r="W28" s="5" t="s">
        <v>1702</v>
      </c>
    </row>
    <row r="29" spans="1:23">
      <c r="A29" s="5" t="s">
        <v>1642</v>
      </c>
      <c r="B29" s="5" t="s">
        <v>1643</v>
      </c>
      <c r="C29" s="5" t="s">
        <v>1596</v>
      </c>
      <c r="G29" s="5" t="s">
        <v>1644</v>
      </c>
      <c r="H29" s="5" t="s">
        <v>1703</v>
      </c>
      <c r="L29" s="17">
        <v>25</v>
      </c>
      <c r="M29" s="17">
        <v>1.0000177549342111</v>
      </c>
      <c r="N29" s="17">
        <v>1</v>
      </c>
      <c r="P29" s="18">
        <v>0.84</v>
      </c>
      <c r="Q29" s="18">
        <f t="shared" si="0"/>
        <v>0.84</v>
      </c>
      <c r="R29" s="18">
        <f t="shared" si="1"/>
        <v>6.054500572985857</v>
      </c>
      <c r="S29" s="5" t="s">
        <v>1617</v>
      </c>
      <c r="U29" s="5" t="s">
        <v>1647</v>
      </c>
      <c r="V29" s="5" t="s">
        <v>1701</v>
      </c>
      <c r="W29" s="5" t="s">
        <v>1702</v>
      </c>
    </row>
    <row r="30" spans="1:23">
      <c r="A30" s="5" t="s">
        <v>1642</v>
      </c>
      <c r="B30" s="5" t="s">
        <v>1643</v>
      </c>
      <c r="C30" s="5" t="s">
        <v>1596</v>
      </c>
      <c r="F30" s="5" t="s">
        <v>1704</v>
      </c>
      <c r="I30" s="5" t="s">
        <v>554</v>
      </c>
      <c r="J30" s="5" t="s">
        <v>555</v>
      </c>
      <c r="K30" s="5" t="s">
        <v>553</v>
      </c>
      <c r="L30" s="17">
        <v>30</v>
      </c>
      <c r="M30" s="17">
        <v>10.00017754934211</v>
      </c>
      <c r="P30" s="18">
        <v>0.99</v>
      </c>
      <c r="Q30" s="18">
        <f t="shared" si="0"/>
        <v>0.99</v>
      </c>
      <c r="R30" s="18">
        <f t="shared" si="1"/>
        <v>13.341990115891827</v>
      </c>
      <c r="S30" s="5" t="s">
        <v>1617</v>
      </c>
      <c r="U30" s="5" t="s">
        <v>1647</v>
      </c>
      <c r="V30" s="5" t="s">
        <v>1705</v>
      </c>
      <c r="W30" s="5" t="s">
        <v>1706</v>
      </c>
    </row>
    <row r="31" spans="1:23">
      <c r="A31" s="5" t="s">
        <v>1642</v>
      </c>
      <c r="B31" s="5" t="s">
        <v>1643</v>
      </c>
      <c r="C31" s="5" t="s">
        <v>1672</v>
      </c>
      <c r="G31" s="5" t="s">
        <v>1644</v>
      </c>
      <c r="H31" s="5" t="s">
        <v>1707</v>
      </c>
      <c r="L31" s="17">
        <v>20</v>
      </c>
      <c r="M31" s="17">
        <v>20.00035509868421</v>
      </c>
      <c r="P31" s="18">
        <v>0.86</v>
      </c>
      <c r="Q31" s="18">
        <f t="shared" si="0"/>
        <v>0.86</v>
      </c>
      <c r="R31" s="18">
        <f t="shared" si="1"/>
        <v>6.3047854198729123</v>
      </c>
      <c r="S31" s="5" t="s">
        <v>1617</v>
      </c>
      <c r="U31" s="5" t="s">
        <v>1647</v>
      </c>
      <c r="V31" s="5" t="s">
        <v>1708</v>
      </c>
      <c r="W31" s="5" t="s">
        <v>1709</v>
      </c>
    </row>
    <row r="32" spans="1:23">
      <c r="A32" s="5" t="s">
        <v>1642</v>
      </c>
      <c r="B32" s="5" t="s">
        <v>1643</v>
      </c>
      <c r="C32" s="5" t="s">
        <v>1596</v>
      </c>
      <c r="G32" s="5" t="s">
        <v>1644</v>
      </c>
      <c r="H32" s="5" t="s">
        <v>1710</v>
      </c>
      <c r="L32" s="17">
        <v>25</v>
      </c>
      <c r="M32" s="17">
        <v>1.0000177549342111</v>
      </c>
      <c r="N32" s="17">
        <v>1</v>
      </c>
      <c r="P32" s="18">
        <v>0.97199999999999998</v>
      </c>
      <c r="Q32" s="18">
        <f t="shared" si="0"/>
        <v>0.97199999999999998</v>
      </c>
      <c r="R32" s="18">
        <f t="shared" si="1"/>
        <v>10.547015580329733</v>
      </c>
      <c r="S32" s="5" t="s">
        <v>1617</v>
      </c>
      <c r="U32" s="5" t="s">
        <v>1647</v>
      </c>
      <c r="V32" s="5" t="s">
        <v>1711</v>
      </c>
      <c r="W32" s="5" t="s">
        <v>1712</v>
      </c>
    </row>
    <row r="33" spans="1:23">
      <c r="A33" s="5" t="s">
        <v>1642</v>
      </c>
      <c r="B33" s="5" t="s">
        <v>1643</v>
      </c>
      <c r="C33" s="5" t="s">
        <v>1596</v>
      </c>
      <c r="G33" s="5" t="s">
        <v>1644</v>
      </c>
      <c r="H33" s="5" t="s">
        <v>1713</v>
      </c>
      <c r="L33" s="17">
        <v>25</v>
      </c>
      <c r="M33" s="17">
        <v>1.0000177549342111</v>
      </c>
      <c r="N33" s="17">
        <v>1</v>
      </c>
      <c r="P33" s="18">
        <v>0.9840000000000001</v>
      </c>
      <c r="Q33" s="18">
        <f t="shared" si="0"/>
        <v>0.9840000000000001</v>
      </c>
      <c r="R33" s="18">
        <f t="shared" si="1"/>
        <v>11.949324595674078</v>
      </c>
      <c r="S33" s="5" t="s">
        <v>1617</v>
      </c>
      <c r="U33" s="5" t="s">
        <v>1647</v>
      </c>
      <c r="V33" s="5" t="s">
        <v>1711</v>
      </c>
      <c r="W33" s="5" t="s">
        <v>1712</v>
      </c>
    </row>
    <row r="34" spans="1:23">
      <c r="A34" s="5" t="s">
        <v>1642</v>
      </c>
      <c r="B34" s="5" t="s">
        <v>1643</v>
      </c>
      <c r="C34" s="5" t="s">
        <v>1652</v>
      </c>
      <c r="G34" s="5" t="s">
        <v>1673</v>
      </c>
      <c r="H34" s="5" t="s">
        <v>1714</v>
      </c>
      <c r="L34" s="17">
        <v>25</v>
      </c>
      <c r="M34" s="17">
        <v>1.0000177549342111</v>
      </c>
      <c r="N34" s="17">
        <v>24</v>
      </c>
      <c r="P34" s="18">
        <v>0.95</v>
      </c>
      <c r="Q34" s="18">
        <f t="shared" si="0"/>
        <v>0.95</v>
      </c>
      <c r="R34" s="18">
        <f t="shared" si="1"/>
        <v>9.0818527279060035</v>
      </c>
      <c r="S34" s="5" t="s">
        <v>1617</v>
      </c>
      <c r="U34" s="5" t="s">
        <v>1655</v>
      </c>
      <c r="V34" s="5" t="s">
        <v>1715</v>
      </c>
      <c r="W34" s="5" t="s">
        <v>1716</v>
      </c>
    </row>
    <row r="35" spans="1:23">
      <c r="A35" s="5" t="s">
        <v>1642</v>
      </c>
      <c r="B35" s="5" t="s">
        <v>1643</v>
      </c>
      <c r="C35" s="5" t="s">
        <v>1652</v>
      </c>
      <c r="F35" s="5" t="s">
        <v>1717</v>
      </c>
      <c r="L35" s="17">
        <v>20</v>
      </c>
      <c r="M35" s="17">
        <v>10.00017754934211</v>
      </c>
      <c r="N35" s="17">
        <v>6</v>
      </c>
      <c r="P35" s="18">
        <v>0.99</v>
      </c>
      <c r="Q35" s="18">
        <f t="shared" si="0"/>
        <v>0.99</v>
      </c>
      <c r="R35" s="18">
        <f t="shared" si="1"/>
        <v>12.901878286240109</v>
      </c>
      <c r="S35" s="5" t="s">
        <v>1617</v>
      </c>
      <c r="U35" s="5" t="s">
        <v>1655</v>
      </c>
      <c r="V35" s="5" t="s">
        <v>1718</v>
      </c>
      <c r="W35" s="5" t="s">
        <v>1719</v>
      </c>
    </row>
    <row r="36" spans="1:23">
      <c r="A36" s="5" t="s">
        <v>1642</v>
      </c>
      <c r="B36" s="5" t="s">
        <v>1643</v>
      </c>
      <c r="C36" s="5" t="s">
        <v>1652</v>
      </c>
      <c r="E36" s="5" t="s">
        <v>1720</v>
      </c>
      <c r="G36" s="5" t="s">
        <v>1644</v>
      </c>
      <c r="H36" s="5" t="s">
        <v>1721</v>
      </c>
      <c r="L36" s="17">
        <v>20</v>
      </c>
      <c r="M36" s="17">
        <v>20.26633322368421</v>
      </c>
      <c r="N36" s="17">
        <v>4</v>
      </c>
      <c r="P36" s="18">
        <v>0.98</v>
      </c>
      <c r="Q36" s="18">
        <f t="shared" si="0"/>
        <v>0.98</v>
      </c>
      <c r="R36" s="18">
        <f t="shared" si="1"/>
        <v>11.200125248824696</v>
      </c>
      <c r="S36" s="5" t="s">
        <v>1617</v>
      </c>
      <c r="U36" s="5" t="s">
        <v>1655</v>
      </c>
      <c r="V36" s="5" t="s">
        <v>1722</v>
      </c>
      <c r="W36" s="5" t="s">
        <v>1723</v>
      </c>
    </row>
    <row r="37" spans="1:23">
      <c r="A37" s="5" t="s">
        <v>1642</v>
      </c>
      <c r="B37" s="5" t="s">
        <v>1643</v>
      </c>
      <c r="C37" s="5" t="s">
        <v>1724</v>
      </c>
      <c r="F37" s="5" t="s">
        <v>1725</v>
      </c>
      <c r="L37" s="17">
        <v>-10</v>
      </c>
      <c r="M37" s="17">
        <v>10.13317994407895</v>
      </c>
      <c r="N37" s="17">
        <v>48</v>
      </c>
      <c r="P37" s="18">
        <v>0.92</v>
      </c>
      <c r="Q37" s="18">
        <f t="shared" si="0"/>
        <v>0.92</v>
      </c>
      <c r="R37" s="18">
        <f t="shared" si="1"/>
        <v>6.9534568038344267</v>
      </c>
      <c r="S37" s="5" t="s">
        <v>1617</v>
      </c>
      <c r="U37" s="5" t="s">
        <v>1655</v>
      </c>
      <c r="V37" s="5" t="s">
        <v>1726</v>
      </c>
      <c r="W37" s="5" t="s">
        <v>1727</v>
      </c>
    </row>
    <row r="38" spans="1:23">
      <c r="A38" s="5" t="s">
        <v>1642</v>
      </c>
      <c r="B38" s="5" t="s">
        <v>1643</v>
      </c>
      <c r="C38" s="5" t="s">
        <v>1652</v>
      </c>
      <c r="F38" s="5" t="s">
        <v>1728</v>
      </c>
      <c r="L38" s="17">
        <v>20</v>
      </c>
      <c r="M38" s="17">
        <v>20.00035509868421</v>
      </c>
      <c r="N38" s="17">
        <v>14</v>
      </c>
      <c r="P38" s="18">
        <v>0.96</v>
      </c>
      <c r="Q38" s="18">
        <f t="shared" si="0"/>
        <v>0.96</v>
      </c>
      <c r="R38" s="18">
        <f t="shared" si="1"/>
        <v>9.4859059624920494</v>
      </c>
      <c r="S38" s="5" t="s">
        <v>1617</v>
      </c>
      <c r="U38" s="5" t="s">
        <v>1655</v>
      </c>
      <c r="V38" s="5" t="s">
        <v>1729</v>
      </c>
      <c r="W38" s="5" t="s">
        <v>1730</v>
      </c>
    </row>
    <row r="39" spans="1:23">
      <c r="A39" s="5" t="s">
        <v>1642</v>
      </c>
      <c r="B39" s="5" t="s">
        <v>1643</v>
      </c>
      <c r="C39" s="5" t="s">
        <v>1596</v>
      </c>
      <c r="F39" s="5" t="s">
        <v>1731</v>
      </c>
      <c r="I39" s="5" t="s">
        <v>1732</v>
      </c>
      <c r="J39" s="5" t="s">
        <v>1733</v>
      </c>
      <c r="L39" s="17">
        <v>22</v>
      </c>
      <c r="M39" s="17">
        <v>1.0000177549342111</v>
      </c>
      <c r="N39" s="17">
        <v>3.3333300000000003E-2</v>
      </c>
      <c r="P39" s="18">
        <v>0.99</v>
      </c>
      <c r="Q39" s="18">
        <f t="shared" si="0"/>
        <v>0.99</v>
      </c>
      <c r="R39" s="18">
        <f t="shared" si="1"/>
        <v>12.989900652170453</v>
      </c>
      <c r="S39" s="5" t="s">
        <v>1617</v>
      </c>
      <c r="U39" s="5" t="s">
        <v>1655</v>
      </c>
      <c r="V39" s="5" t="s">
        <v>1734</v>
      </c>
      <c r="W39" s="5" t="s">
        <v>1735</v>
      </c>
    </row>
    <row r="40" spans="1:23">
      <c r="A40" s="5" t="s">
        <v>1642</v>
      </c>
      <c r="B40" s="5" t="s">
        <v>1643</v>
      </c>
      <c r="C40" s="5" t="s">
        <v>1596</v>
      </c>
      <c r="G40" s="5" t="s">
        <v>1644</v>
      </c>
      <c r="H40" s="5" t="s">
        <v>1736</v>
      </c>
      <c r="L40" s="17">
        <v>25</v>
      </c>
      <c r="M40" s="17">
        <v>1.0000177549342111</v>
      </c>
      <c r="N40" s="17">
        <v>1.1666700000000001</v>
      </c>
      <c r="P40" s="18">
        <v>0.98</v>
      </c>
      <c r="Q40" s="18">
        <f t="shared" si="0"/>
        <v>0.98</v>
      </c>
      <c r="R40" s="18">
        <f t="shared" si="1"/>
        <v>11.391155868794415</v>
      </c>
      <c r="S40" s="5" t="s">
        <v>1617</v>
      </c>
      <c r="U40" s="5" t="s">
        <v>1647</v>
      </c>
      <c r="V40" s="5" t="s">
        <v>1737</v>
      </c>
      <c r="W40" s="5" t="s">
        <v>1738</v>
      </c>
    </row>
    <row r="41" spans="1:23">
      <c r="A41" s="5" t="s">
        <v>1642</v>
      </c>
      <c r="B41" s="5" t="s">
        <v>1643</v>
      </c>
      <c r="C41" s="5" t="s">
        <v>1739</v>
      </c>
      <c r="G41" s="5" t="s">
        <v>1644</v>
      </c>
      <c r="H41" s="5" t="s">
        <v>1740</v>
      </c>
      <c r="L41" s="17">
        <v>25</v>
      </c>
      <c r="M41" s="17">
        <v>1.0000177549342111</v>
      </c>
      <c r="N41" s="17">
        <v>2.1666699999999999</v>
      </c>
      <c r="P41" s="18">
        <v>0.99</v>
      </c>
      <c r="Q41" s="18">
        <f t="shared" si="0"/>
        <v>0.99</v>
      </c>
      <c r="R41" s="18">
        <f t="shared" si="1"/>
        <v>13.121934201065967</v>
      </c>
      <c r="S41" s="5" t="s">
        <v>1617</v>
      </c>
      <c r="U41" s="5" t="s">
        <v>1647</v>
      </c>
      <c r="V41" s="5" t="s">
        <v>1737</v>
      </c>
      <c r="W41" s="5" t="s">
        <v>1738</v>
      </c>
    </row>
    <row r="42" spans="1:23">
      <c r="A42" s="5" t="s">
        <v>1642</v>
      </c>
      <c r="B42" s="5" t="s">
        <v>1643</v>
      </c>
      <c r="C42" s="5" t="s">
        <v>1739</v>
      </c>
      <c r="G42" s="5" t="s">
        <v>1644</v>
      </c>
      <c r="H42" s="5" t="s">
        <v>1741</v>
      </c>
      <c r="L42" s="17">
        <v>25</v>
      </c>
      <c r="M42" s="17">
        <v>1.0000177549342111</v>
      </c>
      <c r="N42" s="17">
        <v>2.1666699999999999</v>
      </c>
      <c r="P42" s="18">
        <v>0.95700000000000007</v>
      </c>
      <c r="Q42" s="18">
        <f t="shared" si="0"/>
        <v>0.95700000000000007</v>
      </c>
      <c r="R42" s="18">
        <f t="shared" si="1"/>
        <v>9.464620797543656</v>
      </c>
      <c r="S42" s="5" t="s">
        <v>1617</v>
      </c>
      <c r="U42" s="5" t="s">
        <v>1647</v>
      </c>
      <c r="V42" s="5" t="s">
        <v>1737</v>
      </c>
      <c r="W42" s="5" t="s">
        <v>1738</v>
      </c>
    </row>
    <row r="43" spans="1:23">
      <c r="A43" s="5" t="s">
        <v>1642</v>
      </c>
      <c r="B43" s="5" t="s">
        <v>1643</v>
      </c>
      <c r="C43" s="5" t="s">
        <v>1739</v>
      </c>
      <c r="G43" s="5" t="s">
        <v>1644</v>
      </c>
      <c r="H43" s="5" t="s">
        <v>1742</v>
      </c>
      <c r="L43" s="17">
        <v>25</v>
      </c>
      <c r="M43" s="17">
        <v>1.0000177549342111</v>
      </c>
      <c r="N43" s="17">
        <v>2.1666699999999999</v>
      </c>
      <c r="P43" s="18">
        <v>0.996</v>
      </c>
      <c r="Q43" s="18">
        <f t="shared" si="0"/>
        <v>0.996</v>
      </c>
      <c r="R43" s="18">
        <f t="shared" si="1"/>
        <v>15.400852795179015</v>
      </c>
      <c r="S43" s="5" t="s">
        <v>1617</v>
      </c>
      <c r="U43" s="5" t="s">
        <v>1647</v>
      </c>
      <c r="V43" s="5" t="s">
        <v>1737</v>
      </c>
      <c r="W43" s="5" t="s">
        <v>1738</v>
      </c>
    </row>
    <row r="44" spans="1:23">
      <c r="A44" s="5" t="s">
        <v>1642</v>
      </c>
      <c r="B44" s="5" t="s">
        <v>1643</v>
      </c>
      <c r="C44" s="5" t="s">
        <v>1596</v>
      </c>
      <c r="G44" s="5" t="s">
        <v>1644</v>
      </c>
      <c r="H44" s="5" t="s">
        <v>1743</v>
      </c>
      <c r="J44" s="5" t="s">
        <v>1744</v>
      </c>
      <c r="M44" s="17">
        <v>3.0399499835526318</v>
      </c>
      <c r="N44" s="17">
        <v>1</v>
      </c>
      <c r="O44" s="18">
        <v>1</v>
      </c>
      <c r="P44" s="18">
        <v>0.92</v>
      </c>
      <c r="Q44" s="18">
        <f t="shared" si="0"/>
        <v>0.92</v>
      </c>
      <c r="R44" s="18"/>
      <c r="S44" s="5" t="s">
        <v>1597</v>
      </c>
      <c r="U44" s="5" t="s">
        <v>1647</v>
      </c>
      <c r="V44" s="5" t="s">
        <v>1745</v>
      </c>
      <c r="W44" s="5" t="s">
        <v>1746</v>
      </c>
    </row>
    <row r="45" spans="1:23">
      <c r="A45" s="5" t="s">
        <v>1642</v>
      </c>
      <c r="B45" s="5" t="s">
        <v>1643</v>
      </c>
      <c r="C45" s="5" t="s">
        <v>1596</v>
      </c>
      <c r="G45" s="5" t="s">
        <v>1644</v>
      </c>
      <c r="H45" s="5" t="s">
        <v>1747</v>
      </c>
      <c r="J45" s="5" t="s">
        <v>1748</v>
      </c>
      <c r="M45" s="17">
        <v>3.0399499835526318</v>
      </c>
      <c r="N45" s="17">
        <v>1</v>
      </c>
      <c r="O45" s="18">
        <v>1</v>
      </c>
      <c r="P45" s="18">
        <v>0.9</v>
      </c>
      <c r="Q45" s="18">
        <f t="shared" si="0"/>
        <v>0.9</v>
      </c>
      <c r="R45" s="18"/>
      <c r="S45" s="5" t="s">
        <v>1597</v>
      </c>
      <c r="U45" s="5" t="s">
        <v>1647</v>
      </c>
      <c r="V45" s="5" t="s">
        <v>1745</v>
      </c>
      <c r="W45" s="5" t="s">
        <v>1746</v>
      </c>
    </row>
    <row r="46" spans="1:23">
      <c r="A46" s="5" t="s">
        <v>1642</v>
      </c>
      <c r="B46" s="5" t="s">
        <v>1643</v>
      </c>
      <c r="C46" s="5" t="s">
        <v>1596</v>
      </c>
      <c r="G46" s="5" t="s">
        <v>1644</v>
      </c>
      <c r="H46" s="5" t="s">
        <v>1749</v>
      </c>
      <c r="J46" s="5" t="s">
        <v>1750</v>
      </c>
      <c r="M46" s="17">
        <v>3.0399499835526318</v>
      </c>
      <c r="N46" s="17">
        <v>1</v>
      </c>
      <c r="O46" s="18">
        <v>1</v>
      </c>
      <c r="P46" s="18">
        <v>0.88</v>
      </c>
      <c r="Q46" s="18">
        <f t="shared" si="0"/>
        <v>0.88</v>
      </c>
      <c r="R46" s="18"/>
      <c r="S46" s="5" t="s">
        <v>1597</v>
      </c>
      <c r="U46" s="5" t="s">
        <v>1647</v>
      </c>
      <c r="V46" s="5" t="s">
        <v>1745</v>
      </c>
      <c r="W46" s="5" t="s">
        <v>1746</v>
      </c>
    </row>
    <row r="47" spans="1:23">
      <c r="A47" s="5" t="s">
        <v>1642</v>
      </c>
      <c r="B47" s="5" t="s">
        <v>1643</v>
      </c>
      <c r="C47" s="5" t="s">
        <v>1596</v>
      </c>
      <c r="G47" s="5" t="s">
        <v>1644</v>
      </c>
      <c r="H47" s="5" t="s">
        <v>1751</v>
      </c>
      <c r="J47" s="5" t="s">
        <v>1752</v>
      </c>
      <c r="M47" s="17">
        <v>3.0399499835526318</v>
      </c>
      <c r="N47" s="17">
        <v>1</v>
      </c>
      <c r="O47" s="18">
        <v>1</v>
      </c>
      <c r="P47" s="18">
        <v>0.995</v>
      </c>
      <c r="Q47" s="18">
        <f t="shared" si="0"/>
        <v>0.995</v>
      </c>
      <c r="R47" s="18"/>
      <c r="S47" s="5" t="s">
        <v>1597</v>
      </c>
      <c r="U47" s="5" t="s">
        <v>1647</v>
      </c>
      <c r="V47" s="5" t="s">
        <v>1745</v>
      </c>
      <c r="W47" s="5" t="s">
        <v>1746</v>
      </c>
    </row>
    <row r="48" spans="1:23">
      <c r="A48" s="5" t="s">
        <v>1642</v>
      </c>
      <c r="B48" s="5" t="s">
        <v>1643</v>
      </c>
      <c r="C48" s="5" t="s">
        <v>1596</v>
      </c>
      <c r="G48" s="5" t="s">
        <v>1644</v>
      </c>
      <c r="H48" s="5" t="s">
        <v>1753</v>
      </c>
      <c r="J48" s="5" t="s">
        <v>1754</v>
      </c>
      <c r="M48" s="17">
        <v>3.0399499835526318</v>
      </c>
      <c r="N48" s="17">
        <v>1</v>
      </c>
      <c r="O48" s="18">
        <v>1</v>
      </c>
      <c r="P48" s="18">
        <v>0.996</v>
      </c>
      <c r="Q48" s="18">
        <f t="shared" si="0"/>
        <v>0.996</v>
      </c>
      <c r="R48" s="18"/>
      <c r="S48" s="5" t="s">
        <v>1597</v>
      </c>
      <c r="U48" s="5" t="s">
        <v>1647</v>
      </c>
      <c r="V48" s="5" t="s">
        <v>1745</v>
      </c>
      <c r="W48" s="5" t="s">
        <v>1746</v>
      </c>
    </row>
    <row r="49" spans="1:23">
      <c r="A49" s="5" t="s">
        <v>1642</v>
      </c>
      <c r="B49" s="5" t="s">
        <v>1643</v>
      </c>
      <c r="C49" s="5" t="s">
        <v>1596</v>
      </c>
      <c r="F49" s="5" t="s">
        <v>1755</v>
      </c>
      <c r="I49" s="5" t="s">
        <v>1756</v>
      </c>
      <c r="J49" s="5" t="s">
        <v>1757</v>
      </c>
      <c r="L49" s="17">
        <v>20</v>
      </c>
      <c r="M49" s="17">
        <v>1.0133179944078949</v>
      </c>
      <c r="N49" s="17">
        <v>1</v>
      </c>
      <c r="O49" s="18">
        <v>1</v>
      </c>
      <c r="P49" s="18">
        <v>0.99</v>
      </c>
      <c r="Q49" s="18">
        <f t="shared" si="0"/>
        <v>0.99</v>
      </c>
      <c r="R49" s="18">
        <f t="shared" si="1"/>
        <v>12.901878286240109</v>
      </c>
      <c r="S49" s="5" t="s">
        <v>1597</v>
      </c>
      <c r="U49" s="5" t="s">
        <v>1647</v>
      </c>
      <c r="V49" s="5" t="s">
        <v>1758</v>
      </c>
      <c r="W49" s="5" t="s">
        <v>1759</v>
      </c>
    </row>
    <row r="50" spans="1:23">
      <c r="A50" s="5" t="s">
        <v>1642</v>
      </c>
      <c r="B50" s="5" t="s">
        <v>1643</v>
      </c>
      <c r="C50" s="5" t="s">
        <v>1596</v>
      </c>
      <c r="F50" s="5" t="s">
        <v>1760</v>
      </c>
      <c r="I50" s="5" t="s">
        <v>1756</v>
      </c>
      <c r="J50" s="5" t="s">
        <v>1757</v>
      </c>
      <c r="L50" s="17">
        <v>20</v>
      </c>
      <c r="M50" s="17">
        <v>2.0266333223684212</v>
      </c>
      <c r="N50" s="17">
        <v>3</v>
      </c>
      <c r="O50" s="18">
        <v>0.99</v>
      </c>
      <c r="P50" s="18">
        <v>0.96799999999999997</v>
      </c>
      <c r="Q50" s="18">
        <f t="shared" si="0"/>
        <v>0.96799999999999997</v>
      </c>
      <c r="R50" s="18">
        <f t="shared" si="1"/>
        <v>10.039723395052139</v>
      </c>
      <c r="S50" s="5" t="s">
        <v>1597</v>
      </c>
      <c r="U50" s="5" t="s">
        <v>1647</v>
      </c>
      <c r="V50" s="5" t="s">
        <v>1758</v>
      </c>
      <c r="W50" s="5" t="s">
        <v>1759</v>
      </c>
    </row>
    <row r="51" spans="1:23">
      <c r="A51" s="5" t="s">
        <v>1642</v>
      </c>
      <c r="B51" s="5" t="s">
        <v>1643</v>
      </c>
      <c r="C51" s="5" t="s">
        <v>1596</v>
      </c>
      <c r="F51" s="5" t="s">
        <v>1761</v>
      </c>
      <c r="I51" s="5" t="s">
        <v>1762</v>
      </c>
      <c r="J51" s="5" t="s">
        <v>1763</v>
      </c>
      <c r="M51" s="17">
        <v>3.0399499835526318</v>
      </c>
      <c r="N51" s="17">
        <v>0.8</v>
      </c>
      <c r="O51" s="18">
        <v>0.99</v>
      </c>
      <c r="P51" s="18">
        <v>0.99099999999999999</v>
      </c>
      <c r="Q51" s="18">
        <f t="shared" si="0"/>
        <v>0.99099999999999999</v>
      </c>
      <c r="R51" s="18"/>
      <c r="S51" s="5" t="s">
        <v>1597</v>
      </c>
      <c r="U51" s="5" t="s">
        <v>1655</v>
      </c>
      <c r="V51" s="5" t="s">
        <v>1668</v>
      </c>
      <c r="W51" s="5" t="s">
        <v>1669</v>
      </c>
    </row>
    <row r="52" spans="1:23">
      <c r="A52" s="5" t="s">
        <v>1642</v>
      </c>
      <c r="B52" s="5" t="s">
        <v>1643</v>
      </c>
      <c r="C52" s="5" t="s">
        <v>1652</v>
      </c>
      <c r="G52" s="5" t="s">
        <v>1673</v>
      </c>
      <c r="H52" s="5" t="s">
        <v>1764</v>
      </c>
      <c r="L52" s="17">
        <v>20</v>
      </c>
      <c r="M52" s="17">
        <v>2.0266333223684212</v>
      </c>
      <c r="N52" s="17">
        <v>16</v>
      </c>
      <c r="O52" s="18">
        <v>0.99</v>
      </c>
      <c r="P52" s="18">
        <v>0.93</v>
      </c>
      <c r="Q52" s="18">
        <f t="shared" si="0"/>
        <v>0.93</v>
      </c>
      <c r="R52" s="18">
        <f t="shared" si="1"/>
        <v>8.084305324055677</v>
      </c>
      <c r="S52" s="5" t="s">
        <v>1597</v>
      </c>
      <c r="U52" s="5" t="s">
        <v>1655</v>
      </c>
      <c r="V52" s="5" t="s">
        <v>1765</v>
      </c>
      <c r="W52" s="5" t="s">
        <v>1766</v>
      </c>
    </row>
    <row r="53" spans="1:23">
      <c r="A53" s="5" t="s">
        <v>1642</v>
      </c>
      <c r="B53" s="5" t="s">
        <v>1643</v>
      </c>
      <c r="C53" s="5" t="s">
        <v>1652</v>
      </c>
      <c r="G53" s="5" t="s">
        <v>1673</v>
      </c>
      <c r="H53" s="5" t="s">
        <v>1767</v>
      </c>
      <c r="L53" s="17">
        <v>25</v>
      </c>
      <c r="M53" s="17">
        <v>1.0000177549342111</v>
      </c>
      <c r="N53" s="17">
        <v>12</v>
      </c>
      <c r="O53" s="18">
        <v>0.99</v>
      </c>
      <c r="P53" s="18">
        <v>0.99900000000000011</v>
      </c>
      <c r="Q53" s="18">
        <f t="shared" si="0"/>
        <v>0.99900000000000011</v>
      </c>
      <c r="R53" s="18">
        <f t="shared" si="1"/>
        <v>18.841155504422471</v>
      </c>
      <c r="S53" s="5" t="s">
        <v>1597</v>
      </c>
      <c r="U53" s="5" t="s">
        <v>1647</v>
      </c>
      <c r="V53" s="5" t="s">
        <v>1768</v>
      </c>
      <c r="W53" s="5" t="s">
        <v>1769</v>
      </c>
    </row>
    <row r="54" spans="1:23">
      <c r="A54" s="5" t="s">
        <v>1642</v>
      </c>
      <c r="B54" s="5" t="s">
        <v>1643</v>
      </c>
      <c r="C54" s="5" t="s">
        <v>1596</v>
      </c>
      <c r="D54" s="5" t="s">
        <v>1770</v>
      </c>
      <c r="G54" s="5" t="s">
        <v>1673</v>
      </c>
      <c r="H54" s="5" t="s">
        <v>556</v>
      </c>
      <c r="L54" s="17">
        <v>20</v>
      </c>
      <c r="M54" s="17">
        <v>1.0000177549342111</v>
      </c>
      <c r="N54" s="17">
        <v>16</v>
      </c>
      <c r="O54" s="18">
        <v>0.98</v>
      </c>
      <c r="P54" s="18">
        <v>0.84</v>
      </c>
      <c r="Q54" s="18">
        <f t="shared" si="0"/>
        <v>0.84</v>
      </c>
      <c r="R54" s="18">
        <f t="shared" si="1"/>
        <v>5.9529661008579717</v>
      </c>
      <c r="S54" s="5" t="s">
        <v>1597</v>
      </c>
      <c r="U54" s="5" t="s">
        <v>1647</v>
      </c>
      <c r="V54" s="5" t="s">
        <v>1771</v>
      </c>
      <c r="W54" s="5" t="s">
        <v>1772</v>
      </c>
    </row>
    <row r="55" spans="1:23">
      <c r="A55" s="5" t="s">
        <v>1642</v>
      </c>
      <c r="B55" s="5" t="s">
        <v>1643</v>
      </c>
      <c r="C55" s="5" t="s">
        <v>1596</v>
      </c>
      <c r="F55" s="5" t="s">
        <v>1773</v>
      </c>
      <c r="J55" s="5" t="s">
        <v>1774</v>
      </c>
      <c r="L55" s="17">
        <v>20</v>
      </c>
      <c r="M55" s="17">
        <v>3.0000599309210529</v>
      </c>
      <c r="N55" s="17">
        <v>2</v>
      </c>
      <c r="O55" s="18">
        <v>0.97</v>
      </c>
      <c r="P55" s="18">
        <v>0.91</v>
      </c>
      <c r="Q55" s="18">
        <f t="shared" si="0"/>
        <v>0.91</v>
      </c>
      <c r="R55" s="18">
        <f t="shared" si="1"/>
        <v>7.446362855635277</v>
      </c>
      <c r="S55" s="5" t="s">
        <v>1597</v>
      </c>
      <c r="U55" s="5" t="s">
        <v>1655</v>
      </c>
      <c r="V55" s="5" t="s">
        <v>1775</v>
      </c>
      <c r="W55" s="5" t="s">
        <v>1776</v>
      </c>
    </row>
    <row r="56" spans="1:23">
      <c r="A56" s="5" t="s">
        <v>1642</v>
      </c>
      <c r="B56" s="5" t="s">
        <v>1643</v>
      </c>
      <c r="C56" s="5" t="s">
        <v>1777</v>
      </c>
      <c r="E56" s="5" t="s">
        <v>1720</v>
      </c>
      <c r="G56" s="5" t="s">
        <v>1673</v>
      </c>
      <c r="H56" s="5" t="s">
        <v>1778</v>
      </c>
      <c r="L56" s="17">
        <v>20</v>
      </c>
      <c r="M56" s="17">
        <v>1.0133179944078949</v>
      </c>
      <c r="N56" s="17">
        <v>6</v>
      </c>
      <c r="O56" s="18">
        <v>0.94</v>
      </c>
      <c r="P56" s="18">
        <v>0.97</v>
      </c>
      <c r="Q56" s="18">
        <f t="shared" si="0"/>
        <v>0.97</v>
      </c>
      <c r="R56" s="18">
        <f t="shared" si="1"/>
        <v>10.199505077668341</v>
      </c>
      <c r="S56" s="5" t="s">
        <v>1597</v>
      </c>
      <c r="U56" s="5" t="s">
        <v>1655</v>
      </c>
      <c r="V56" s="5" t="s">
        <v>1779</v>
      </c>
      <c r="W56" s="5" t="s">
        <v>1780</v>
      </c>
    </row>
    <row r="57" spans="1:23">
      <c r="A57" s="5" t="s">
        <v>1642</v>
      </c>
      <c r="B57" s="5" t="s">
        <v>1643</v>
      </c>
      <c r="C57" s="5" t="s">
        <v>1672</v>
      </c>
      <c r="D57" s="5" t="s">
        <v>1781</v>
      </c>
      <c r="G57" s="5" t="s">
        <v>1673</v>
      </c>
      <c r="H57" s="5" t="s">
        <v>1782</v>
      </c>
      <c r="I57" s="5" t="s">
        <v>1783</v>
      </c>
      <c r="J57" s="5" t="s">
        <v>1784</v>
      </c>
      <c r="L57" s="17">
        <v>20</v>
      </c>
      <c r="M57" s="17">
        <v>8.0001420394736851</v>
      </c>
      <c r="N57" s="17">
        <v>16</v>
      </c>
      <c r="P57" s="18">
        <v>0.98</v>
      </c>
      <c r="Q57" s="18">
        <f t="shared" si="0"/>
        <v>0.98</v>
      </c>
      <c r="R57" s="18">
        <f t="shared" si="1"/>
        <v>11.200125248824696</v>
      </c>
      <c r="S57" s="5" t="s">
        <v>1597</v>
      </c>
      <c r="U57" s="5" t="s">
        <v>1647</v>
      </c>
      <c r="V57" s="5" t="s">
        <v>1785</v>
      </c>
      <c r="W57" s="5" t="s">
        <v>1786</v>
      </c>
    </row>
    <row r="58" spans="1:23">
      <c r="A58" s="5" t="s">
        <v>1642</v>
      </c>
      <c r="B58" s="5" t="s">
        <v>1643</v>
      </c>
      <c r="C58" s="5" t="s">
        <v>1596</v>
      </c>
      <c r="D58" s="5" t="s">
        <v>1781</v>
      </c>
      <c r="G58" s="5" t="s">
        <v>1673</v>
      </c>
      <c r="H58" s="5" t="s">
        <v>1782</v>
      </c>
      <c r="I58" s="5" t="s">
        <v>1783</v>
      </c>
      <c r="J58" s="5" t="s">
        <v>1784</v>
      </c>
      <c r="L58" s="17">
        <v>20</v>
      </c>
      <c r="M58" s="17">
        <v>8.0001420394736851</v>
      </c>
      <c r="N58" s="17">
        <v>16</v>
      </c>
      <c r="P58" s="18">
        <v>0.98</v>
      </c>
      <c r="Q58" s="18">
        <f t="shared" si="0"/>
        <v>0.98</v>
      </c>
      <c r="R58" s="18">
        <f t="shared" si="1"/>
        <v>11.200125248824696</v>
      </c>
      <c r="S58" s="5" t="s">
        <v>1597</v>
      </c>
      <c r="U58" s="5" t="s">
        <v>1647</v>
      </c>
      <c r="V58" s="5" t="s">
        <v>1785</v>
      </c>
      <c r="W58" s="5" t="s">
        <v>1786</v>
      </c>
    </row>
    <row r="59" spans="1:23">
      <c r="A59" s="5" t="s">
        <v>1642</v>
      </c>
      <c r="B59" s="5" t="s">
        <v>1643</v>
      </c>
      <c r="C59" s="5" t="s">
        <v>1652</v>
      </c>
      <c r="G59" s="5" t="s">
        <v>1673</v>
      </c>
      <c r="H59" s="5" t="s">
        <v>1782</v>
      </c>
      <c r="I59" s="5" t="s">
        <v>1783</v>
      </c>
      <c r="J59" s="5" t="s">
        <v>1784</v>
      </c>
      <c r="L59" s="17">
        <v>20</v>
      </c>
      <c r="M59" s="17">
        <v>8.0001420394736851</v>
      </c>
      <c r="N59" s="17">
        <v>16</v>
      </c>
      <c r="P59" s="18">
        <v>0.99</v>
      </c>
      <c r="Q59" s="18">
        <f t="shared" si="0"/>
        <v>0.99</v>
      </c>
      <c r="R59" s="18">
        <f t="shared" si="1"/>
        <v>12.901878286240109</v>
      </c>
      <c r="S59" s="5" t="s">
        <v>1597</v>
      </c>
      <c r="U59" s="5" t="s">
        <v>1647</v>
      </c>
      <c r="V59" s="5" t="s">
        <v>1785</v>
      </c>
      <c r="W59" s="5" t="s">
        <v>1786</v>
      </c>
    </row>
    <row r="60" spans="1:23">
      <c r="A60" s="5" t="s">
        <v>1642</v>
      </c>
      <c r="B60" s="5" t="s">
        <v>1643</v>
      </c>
      <c r="C60" s="5" t="s">
        <v>1672</v>
      </c>
      <c r="D60" s="5" t="s">
        <v>1781</v>
      </c>
      <c r="G60" s="5" t="s">
        <v>1673</v>
      </c>
      <c r="H60" s="5" t="s">
        <v>1787</v>
      </c>
      <c r="I60" s="5" t="s">
        <v>1788</v>
      </c>
      <c r="J60" s="5" t="s">
        <v>1789</v>
      </c>
      <c r="L60" s="17">
        <v>20</v>
      </c>
      <c r="M60" s="17">
        <v>8.0001420394736851</v>
      </c>
      <c r="N60" s="17">
        <v>16</v>
      </c>
      <c r="P60" s="18">
        <v>0.96</v>
      </c>
      <c r="Q60" s="18">
        <f t="shared" si="0"/>
        <v>0.96</v>
      </c>
      <c r="R60" s="18">
        <f t="shared" si="1"/>
        <v>9.4859059624920494</v>
      </c>
      <c r="S60" s="5" t="s">
        <v>1597</v>
      </c>
      <c r="U60" s="5" t="s">
        <v>1647</v>
      </c>
      <c r="V60" s="5" t="s">
        <v>1785</v>
      </c>
      <c r="W60" s="5" t="s">
        <v>1786</v>
      </c>
    </row>
    <row r="61" spans="1:23">
      <c r="A61" s="5" t="s">
        <v>1642</v>
      </c>
      <c r="B61" s="5" t="s">
        <v>1643</v>
      </c>
      <c r="C61" s="5" t="s">
        <v>1596</v>
      </c>
      <c r="D61" s="5" t="s">
        <v>1781</v>
      </c>
      <c r="G61" s="5" t="s">
        <v>1673</v>
      </c>
      <c r="H61" s="5" t="s">
        <v>1787</v>
      </c>
      <c r="I61" s="5" t="s">
        <v>1788</v>
      </c>
      <c r="J61" s="5" t="s">
        <v>1789</v>
      </c>
      <c r="L61" s="17">
        <v>20</v>
      </c>
      <c r="M61" s="17">
        <v>8.0001420394736851</v>
      </c>
      <c r="N61" s="17">
        <v>16</v>
      </c>
      <c r="P61" s="18">
        <v>0.95</v>
      </c>
      <c r="Q61" s="18">
        <f t="shared" si="0"/>
        <v>0.95</v>
      </c>
      <c r="R61" s="18">
        <f t="shared" si="1"/>
        <v>8.9295493113722788</v>
      </c>
      <c r="S61" s="5" t="s">
        <v>1597</v>
      </c>
      <c r="U61" s="5" t="s">
        <v>1647</v>
      </c>
      <c r="V61" s="5" t="s">
        <v>1785</v>
      </c>
      <c r="W61" s="5" t="s">
        <v>1786</v>
      </c>
    </row>
    <row r="62" spans="1:23">
      <c r="A62" s="5" t="s">
        <v>1642</v>
      </c>
      <c r="B62" s="5" t="s">
        <v>1643</v>
      </c>
      <c r="C62" s="5" t="s">
        <v>1652</v>
      </c>
      <c r="G62" s="5" t="s">
        <v>1673</v>
      </c>
      <c r="H62" s="5" t="s">
        <v>1787</v>
      </c>
      <c r="I62" s="5" t="s">
        <v>1788</v>
      </c>
      <c r="J62" s="5" t="s">
        <v>1789</v>
      </c>
      <c r="L62" s="17">
        <v>20</v>
      </c>
      <c r="M62" s="17">
        <v>8.0001420394736851</v>
      </c>
      <c r="N62" s="17">
        <v>16</v>
      </c>
      <c r="P62" s="18">
        <v>0.97</v>
      </c>
      <c r="Q62" s="18">
        <f t="shared" si="0"/>
        <v>0.97</v>
      </c>
      <c r="R62" s="18">
        <f t="shared" si="1"/>
        <v>10.199505077668341</v>
      </c>
      <c r="S62" s="5" t="s">
        <v>1597</v>
      </c>
      <c r="U62" s="5" t="s">
        <v>1647</v>
      </c>
      <c r="V62" s="5" t="s">
        <v>1785</v>
      </c>
      <c r="W62" s="5" t="s">
        <v>1786</v>
      </c>
    </row>
    <row r="63" spans="1:23">
      <c r="A63" s="5" t="s">
        <v>1642</v>
      </c>
      <c r="B63" s="5" t="s">
        <v>1643</v>
      </c>
      <c r="C63" s="5" t="s">
        <v>1596</v>
      </c>
      <c r="G63" s="5" t="s">
        <v>1644</v>
      </c>
      <c r="H63" s="5" t="s">
        <v>1790</v>
      </c>
      <c r="I63" s="5" t="s">
        <v>1791</v>
      </c>
      <c r="J63" s="5" t="s">
        <v>582</v>
      </c>
      <c r="K63" s="5" t="s">
        <v>580</v>
      </c>
      <c r="M63" s="17">
        <v>3.0399499835526318</v>
      </c>
      <c r="P63" s="18">
        <v>0.99900000000000011</v>
      </c>
      <c r="Q63" s="18">
        <f t="shared" si="0"/>
        <v>0.99900000000000011</v>
      </c>
      <c r="R63" s="18"/>
      <c r="S63" s="5" t="s">
        <v>1597</v>
      </c>
      <c r="U63" s="5" t="s">
        <v>1647</v>
      </c>
      <c r="V63" s="5" t="s">
        <v>1792</v>
      </c>
      <c r="W63" s="5" t="s">
        <v>1793</v>
      </c>
    </row>
    <row r="64" spans="1:23">
      <c r="A64" s="5" t="s">
        <v>1642</v>
      </c>
      <c r="B64" s="5" t="s">
        <v>1643</v>
      </c>
      <c r="C64" s="5" t="s">
        <v>1596</v>
      </c>
      <c r="F64" s="5" t="s">
        <v>1794</v>
      </c>
      <c r="J64" s="5" t="s">
        <v>1795</v>
      </c>
      <c r="L64" s="17">
        <v>30</v>
      </c>
      <c r="M64" s="17">
        <v>10.00017754934211</v>
      </c>
      <c r="P64" s="18">
        <v>0.98799999999999999</v>
      </c>
      <c r="Q64" s="18">
        <f t="shared" si="0"/>
        <v>0.98799999999999999</v>
      </c>
      <c r="R64" s="18">
        <f t="shared" si="1"/>
        <v>12.87990673553305</v>
      </c>
      <c r="S64" s="5" t="s">
        <v>1597</v>
      </c>
      <c r="U64" s="5" t="s">
        <v>1647</v>
      </c>
      <c r="V64" s="5" t="s">
        <v>1705</v>
      </c>
      <c r="W64" s="5" t="s">
        <v>1706</v>
      </c>
    </row>
    <row r="65" spans="1:23">
      <c r="A65" s="5" t="s">
        <v>1642</v>
      </c>
      <c r="B65" s="5" t="s">
        <v>1643</v>
      </c>
      <c r="C65" s="5" t="s">
        <v>1596</v>
      </c>
      <c r="F65" s="5" t="s">
        <v>1796</v>
      </c>
      <c r="L65" s="17">
        <v>30</v>
      </c>
      <c r="M65" s="17">
        <v>10.00017754934211</v>
      </c>
      <c r="N65" s="17">
        <v>0.33333299999999999</v>
      </c>
      <c r="P65" s="18">
        <v>0.995</v>
      </c>
      <c r="Q65" s="18">
        <f t="shared" si="0"/>
        <v>0.995</v>
      </c>
      <c r="R65" s="18">
        <f t="shared" si="1"/>
        <v>15.095420852276533</v>
      </c>
      <c r="S65" s="5" t="s">
        <v>1597</v>
      </c>
      <c r="U65" s="5" t="s">
        <v>1647</v>
      </c>
      <c r="V65" s="5" t="s">
        <v>1705</v>
      </c>
      <c r="W65" s="5" t="s">
        <v>1706</v>
      </c>
    </row>
    <row r="66" spans="1:23">
      <c r="A66" s="5" t="s">
        <v>1642</v>
      </c>
      <c r="B66" s="5" t="s">
        <v>1643</v>
      </c>
      <c r="C66" s="5" t="s">
        <v>1672</v>
      </c>
      <c r="G66" s="5" t="s">
        <v>1644</v>
      </c>
      <c r="H66" s="5" t="s">
        <v>1797</v>
      </c>
      <c r="J66" s="5" t="s">
        <v>1798</v>
      </c>
      <c r="L66" s="17">
        <v>-40</v>
      </c>
      <c r="M66" s="17">
        <v>20.00035509868421</v>
      </c>
      <c r="P66" s="18">
        <v>0.98</v>
      </c>
      <c r="Q66" s="18">
        <f t="shared" ref="Q66:Q129" si="2">ABS(P66)</f>
        <v>0.98</v>
      </c>
      <c r="R66" s="18">
        <f t="shared" si="1"/>
        <v>8.9077578091880518</v>
      </c>
      <c r="S66" s="5" t="s">
        <v>1597</v>
      </c>
      <c r="U66" s="5" t="s">
        <v>1647</v>
      </c>
      <c r="V66" s="5" t="s">
        <v>1708</v>
      </c>
      <c r="W66" s="5" t="s">
        <v>1709</v>
      </c>
    </row>
    <row r="67" spans="1:23">
      <c r="A67" s="5" t="s">
        <v>1642</v>
      </c>
      <c r="B67" s="5" t="s">
        <v>1643</v>
      </c>
      <c r="C67" s="5" t="s">
        <v>1672</v>
      </c>
      <c r="G67" s="5" t="s">
        <v>1644</v>
      </c>
      <c r="H67" s="5" t="s">
        <v>1797</v>
      </c>
      <c r="J67" s="5" t="s">
        <v>1798</v>
      </c>
      <c r="L67" s="17">
        <v>-40</v>
      </c>
      <c r="M67" s="17">
        <v>20.00035509868421</v>
      </c>
      <c r="P67" s="18">
        <v>0.98</v>
      </c>
      <c r="Q67" s="18">
        <f t="shared" si="2"/>
        <v>0.98</v>
      </c>
      <c r="R67" s="18">
        <f t="shared" ref="R67:R130" si="3">8.3145*(L67+273.15)*LN((Q67+1)/(1-Q67))*0.001</f>
        <v>8.9077578091880518</v>
      </c>
      <c r="S67" s="5" t="s">
        <v>1597</v>
      </c>
      <c r="U67" s="5" t="s">
        <v>1647</v>
      </c>
      <c r="V67" s="5" t="s">
        <v>1708</v>
      </c>
      <c r="W67" s="5" t="s">
        <v>1709</v>
      </c>
    </row>
    <row r="68" spans="1:23">
      <c r="A68" s="5" t="s">
        <v>1642</v>
      </c>
      <c r="B68" s="5" t="s">
        <v>1643</v>
      </c>
      <c r="C68" s="5" t="s">
        <v>1672</v>
      </c>
      <c r="G68" s="5" t="s">
        <v>1644</v>
      </c>
      <c r="H68" s="5" t="s">
        <v>1799</v>
      </c>
      <c r="J68" s="5" t="s">
        <v>1798</v>
      </c>
      <c r="L68" s="17">
        <v>-40</v>
      </c>
      <c r="M68" s="17">
        <v>20.00035509868421</v>
      </c>
      <c r="P68" s="18">
        <v>0.92</v>
      </c>
      <c r="Q68" s="18">
        <f t="shared" si="2"/>
        <v>0.92</v>
      </c>
      <c r="R68" s="18">
        <f t="shared" si="3"/>
        <v>6.1607389466615876</v>
      </c>
      <c r="S68" s="5" t="s">
        <v>1597</v>
      </c>
      <c r="U68" s="5" t="s">
        <v>1647</v>
      </c>
      <c r="V68" s="5" t="s">
        <v>1708</v>
      </c>
      <c r="W68" s="5" t="s">
        <v>1709</v>
      </c>
    </row>
    <row r="69" spans="1:23">
      <c r="A69" s="5" t="s">
        <v>1642</v>
      </c>
      <c r="B69" s="5" t="s">
        <v>1643</v>
      </c>
      <c r="C69" s="5" t="s">
        <v>1672</v>
      </c>
      <c r="G69" s="5" t="s">
        <v>1644</v>
      </c>
      <c r="H69" s="5" t="s">
        <v>1800</v>
      </c>
      <c r="L69" s="17">
        <v>20</v>
      </c>
      <c r="M69" s="17">
        <v>20.00035509868421</v>
      </c>
      <c r="P69" s="18">
        <v>0.99</v>
      </c>
      <c r="Q69" s="18">
        <f t="shared" si="2"/>
        <v>0.99</v>
      </c>
      <c r="R69" s="18">
        <f t="shared" si="3"/>
        <v>12.901878286240109</v>
      </c>
      <c r="S69" s="5" t="s">
        <v>1597</v>
      </c>
      <c r="U69" s="5" t="s">
        <v>1647</v>
      </c>
      <c r="V69" s="5" t="s">
        <v>1708</v>
      </c>
      <c r="W69" s="5" t="s">
        <v>1709</v>
      </c>
    </row>
    <row r="70" spans="1:23">
      <c r="A70" s="5" t="s">
        <v>1642</v>
      </c>
      <c r="B70" s="5" t="s">
        <v>1643</v>
      </c>
      <c r="C70" s="5" t="s">
        <v>1672</v>
      </c>
      <c r="G70" s="5" t="s">
        <v>1644</v>
      </c>
      <c r="H70" s="5" t="s">
        <v>1800</v>
      </c>
      <c r="L70" s="17">
        <v>20</v>
      </c>
      <c r="M70" s="17">
        <v>20.00035509868421</v>
      </c>
      <c r="P70" s="18">
        <v>0.99</v>
      </c>
      <c r="Q70" s="18">
        <f t="shared" si="2"/>
        <v>0.99</v>
      </c>
      <c r="R70" s="18">
        <f t="shared" si="3"/>
        <v>12.901878286240109</v>
      </c>
      <c r="S70" s="5" t="s">
        <v>1597</v>
      </c>
      <c r="U70" s="5" t="s">
        <v>1647</v>
      </c>
      <c r="V70" s="5" t="s">
        <v>1708</v>
      </c>
      <c r="W70" s="5" t="s">
        <v>1709</v>
      </c>
    </row>
    <row r="71" spans="1:23">
      <c r="A71" s="5" t="s">
        <v>1642</v>
      </c>
      <c r="B71" s="5" t="s">
        <v>1643</v>
      </c>
      <c r="C71" s="5" t="s">
        <v>1596</v>
      </c>
      <c r="G71" s="5" t="s">
        <v>1644</v>
      </c>
      <c r="H71" s="5" t="s">
        <v>1801</v>
      </c>
      <c r="I71" s="5" t="s">
        <v>201</v>
      </c>
      <c r="J71" s="5" t="s">
        <v>1802</v>
      </c>
      <c r="K71" s="5" t="s">
        <v>200</v>
      </c>
      <c r="L71" s="17">
        <v>30</v>
      </c>
      <c r="M71" s="17">
        <v>1.0500189759868419</v>
      </c>
      <c r="N71" s="17">
        <v>7</v>
      </c>
      <c r="P71" s="18">
        <v>0.98599999999999999</v>
      </c>
      <c r="Q71" s="18">
        <f t="shared" si="2"/>
        <v>0.98599999999999999</v>
      </c>
      <c r="R71" s="18">
        <f t="shared" si="3"/>
        <v>12.488826645356387</v>
      </c>
      <c r="S71" s="5" t="s">
        <v>1597</v>
      </c>
      <c r="U71" s="5" t="s">
        <v>1647</v>
      </c>
      <c r="V71" s="5" t="s">
        <v>1803</v>
      </c>
      <c r="W71" s="5" t="s">
        <v>1804</v>
      </c>
    </row>
    <row r="72" spans="1:23">
      <c r="A72" s="5" t="s">
        <v>1642</v>
      </c>
      <c r="B72" s="5" t="s">
        <v>1643</v>
      </c>
      <c r="C72" s="5" t="s">
        <v>1596</v>
      </c>
      <c r="G72" s="5" t="s">
        <v>1644</v>
      </c>
      <c r="H72" s="5" t="s">
        <v>1805</v>
      </c>
      <c r="I72" s="5" t="s">
        <v>183</v>
      </c>
      <c r="J72" s="5" t="s">
        <v>184</v>
      </c>
      <c r="K72" s="5" t="s">
        <v>182</v>
      </c>
      <c r="L72" s="17">
        <v>25</v>
      </c>
      <c r="M72" s="17">
        <v>1.0500189759868419</v>
      </c>
      <c r="N72" s="17">
        <v>4</v>
      </c>
      <c r="P72" s="18">
        <v>0.97599999999999998</v>
      </c>
      <c r="Q72" s="18">
        <f t="shared" si="2"/>
        <v>0.97599999999999998</v>
      </c>
      <c r="R72" s="18">
        <f t="shared" si="3"/>
        <v>10.934173449944783</v>
      </c>
      <c r="S72" s="5" t="s">
        <v>1597</v>
      </c>
      <c r="U72" s="5" t="s">
        <v>1647</v>
      </c>
      <c r="V72" s="5" t="s">
        <v>1803</v>
      </c>
      <c r="W72" s="5" t="s">
        <v>1804</v>
      </c>
    </row>
    <row r="73" spans="1:23">
      <c r="A73" s="5" t="s">
        <v>1642</v>
      </c>
      <c r="B73" s="5" t="s">
        <v>1643</v>
      </c>
      <c r="C73" s="5" t="s">
        <v>1596</v>
      </c>
      <c r="G73" s="5" t="s">
        <v>1806</v>
      </c>
      <c r="H73" s="5" t="s">
        <v>1807</v>
      </c>
      <c r="I73" s="5" t="s">
        <v>1397</v>
      </c>
      <c r="J73" s="5" t="s">
        <v>1398</v>
      </c>
      <c r="K73" s="5" t="s">
        <v>1396</v>
      </c>
      <c r="L73" s="17">
        <v>25</v>
      </c>
      <c r="M73" s="17">
        <v>10.00017754934211</v>
      </c>
      <c r="N73" s="17">
        <v>24.5</v>
      </c>
      <c r="P73" s="18">
        <v>0.99900000000000011</v>
      </c>
      <c r="Q73" s="18">
        <f t="shared" si="2"/>
        <v>0.99900000000000011</v>
      </c>
      <c r="R73" s="18">
        <f t="shared" si="3"/>
        <v>18.841155504422471</v>
      </c>
      <c r="S73" s="5" t="s">
        <v>1597</v>
      </c>
      <c r="U73" s="5" t="s">
        <v>1647</v>
      </c>
      <c r="V73" s="5" t="s">
        <v>1808</v>
      </c>
      <c r="W73" s="5" t="s">
        <v>1809</v>
      </c>
    </row>
    <row r="74" spans="1:23">
      <c r="A74" s="5" t="s">
        <v>1642</v>
      </c>
      <c r="B74" s="5" t="s">
        <v>1643</v>
      </c>
      <c r="C74" s="5" t="s">
        <v>1596</v>
      </c>
      <c r="G74" s="5" t="s">
        <v>1673</v>
      </c>
      <c r="H74" s="5" t="s">
        <v>1810</v>
      </c>
      <c r="L74" s="17">
        <v>25</v>
      </c>
      <c r="M74" s="17">
        <v>1.5199816578947369</v>
      </c>
      <c r="N74" s="17">
        <v>2.5</v>
      </c>
      <c r="P74" s="18">
        <v>0.95</v>
      </c>
      <c r="Q74" s="18">
        <f t="shared" si="2"/>
        <v>0.95</v>
      </c>
      <c r="R74" s="18">
        <f t="shared" si="3"/>
        <v>9.0818527279060035</v>
      </c>
      <c r="S74" s="5" t="s">
        <v>1597</v>
      </c>
      <c r="U74" s="5" t="s">
        <v>1655</v>
      </c>
      <c r="V74" s="5" t="s">
        <v>1811</v>
      </c>
      <c r="W74" s="5" t="s">
        <v>1812</v>
      </c>
    </row>
    <row r="75" spans="1:23">
      <c r="A75" s="5" t="s">
        <v>1642</v>
      </c>
      <c r="B75" s="5" t="s">
        <v>1643</v>
      </c>
      <c r="C75" s="5" t="s">
        <v>1672</v>
      </c>
      <c r="G75" s="5" t="s">
        <v>1644</v>
      </c>
      <c r="H75" s="5" t="s">
        <v>1813</v>
      </c>
      <c r="L75" s="17">
        <v>20</v>
      </c>
      <c r="M75" s="17">
        <v>20.00035509868421</v>
      </c>
      <c r="N75" s="17">
        <v>18</v>
      </c>
      <c r="P75" s="18">
        <v>0.99</v>
      </c>
      <c r="Q75" s="18">
        <f t="shared" si="2"/>
        <v>0.99</v>
      </c>
      <c r="R75" s="18">
        <f t="shared" si="3"/>
        <v>12.901878286240109</v>
      </c>
      <c r="S75" s="5" t="s">
        <v>1597</v>
      </c>
      <c r="U75" s="5" t="s">
        <v>1655</v>
      </c>
      <c r="V75" s="5" t="s">
        <v>1814</v>
      </c>
      <c r="W75" s="5" t="s">
        <v>1815</v>
      </c>
    </row>
    <row r="76" spans="1:23">
      <c r="A76" s="5" t="s">
        <v>1642</v>
      </c>
      <c r="B76" s="5" t="s">
        <v>1643</v>
      </c>
      <c r="C76" s="5" t="s">
        <v>1652</v>
      </c>
      <c r="E76" s="5" t="s">
        <v>1816</v>
      </c>
      <c r="G76" s="5" t="s">
        <v>1644</v>
      </c>
      <c r="H76" s="5" t="s">
        <v>1817</v>
      </c>
      <c r="L76" s="17">
        <v>25</v>
      </c>
      <c r="M76" s="17">
        <v>10.00017754934211</v>
      </c>
      <c r="N76" s="17">
        <v>16</v>
      </c>
      <c r="P76" s="18">
        <v>0.91</v>
      </c>
      <c r="Q76" s="18">
        <f t="shared" si="2"/>
        <v>0.91</v>
      </c>
      <c r="R76" s="18">
        <f t="shared" si="3"/>
        <v>7.5733688739814342</v>
      </c>
      <c r="S76" s="5" t="s">
        <v>1597</v>
      </c>
      <c r="U76" s="5" t="s">
        <v>1655</v>
      </c>
      <c r="V76" s="5" t="s">
        <v>1818</v>
      </c>
      <c r="W76" s="5" t="s">
        <v>1819</v>
      </c>
    </row>
    <row r="77" spans="1:23">
      <c r="A77" s="5" t="s">
        <v>1642</v>
      </c>
      <c r="B77" s="5" t="s">
        <v>1643</v>
      </c>
      <c r="C77" s="5" t="s">
        <v>1596</v>
      </c>
      <c r="G77" s="5" t="s">
        <v>1673</v>
      </c>
      <c r="H77" s="5" t="s">
        <v>1820</v>
      </c>
      <c r="J77" s="5" t="s">
        <v>1821</v>
      </c>
      <c r="L77" s="17">
        <v>20</v>
      </c>
      <c r="M77" s="17">
        <v>5.0000954407894742</v>
      </c>
      <c r="N77" s="17">
        <v>2</v>
      </c>
      <c r="P77" s="18">
        <v>0.99900000000000011</v>
      </c>
      <c r="Q77" s="18">
        <f t="shared" si="2"/>
        <v>0.99900000000000011</v>
      </c>
      <c r="R77" s="18">
        <f t="shared" si="3"/>
        <v>18.52518777837145</v>
      </c>
      <c r="S77" s="5" t="s">
        <v>1597</v>
      </c>
      <c r="U77" s="5" t="s">
        <v>1655</v>
      </c>
      <c r="V77" s="5" t="s">
        <v>1822</v>
      </c>
      <c r="W77" s="5" t="s">
        <v>1823</v>
      </c>
    </row>
    <row r="78" spans="1:23">
      <c r="A78" s="5" t="s">
        <v>1642</v>
      </c>
      <c r="B78" s="5" t="s">
        <v>1643</v>
      </c>
      <c r="C78" s="5" t="s">
        <v>1596</v>
      </c>
      <c r="G78" s="5" t="s">
        <v>1644</v>
      </c>
      <c r="H78" s="5" t="s">
        <v>1824</v>
      </c>
      <c r="J78" s="5" t="s">
        <v>1825</v>
      </c>
      <c r="L78" s="17">
        <v>20</v>
      </c>
      <c r="M78" s="17">
        <v>1.0133179944078949</v>
      </c>
      <c r="N78" s="17">
        <v>16</v>
      </c>
      <c r="P78" s="18">
        <v>0.91</v>
      </c>
      <c r="Q78" s="18">
        <f t="shared" si="2"/>
        <v>0.91</v>
      </c>
      <c r="R78" s="18">
        <f t="shared" si="3"/>
        <v>7.446362855635277</v>
      </c>
      <c r="S78" s="5" t="s">
        <v>1597</v>
      </c>
      <c r="U78" s="5" t="s">
        <v>1655</v>
      </c>
      <c r="V78" s="5" t="s">
        <v>1826</v>
      </c>
      <c r="W78" s="5" t="s">
        <v>1827</v>
      </c>
    </row>
    <row r="79" spans="1:23">
      <c r="A79" s="5" t="s">
        <v>1642</v>
      </c>
      <c r="B79" s="5" t="s">
        <v>1643</v>
      </c>
      <c r="C79" s="5" t="s">
        <v>1652</v>
      </c>
      <c r="F79" s="5" t="s">
        <v>1828</v>
      </c>
      <c r="L79" s="17">
        <v>20</v>
      </c>
      <c r="M79" s="17">
        <v>10.00017754934211</v>
      </c>
      <c r="N79" s="17">
        <v>6</v>
      </c>
      <c r="P79" s="18">
        <v>0.95</v>
      </c>
      <c r="Q79" s="18">
        <f t="shared" si="2"/>
        <v>0.95</v>
      </c>
      <c r="R79" s="18">
        <f t="shared" si="3"/>
        <v>8.9295493113722788</v>
      </c>
      <c r="S79" s="5" t="s">
        <v>1597</v>
      </c>
      <c r="U79" s="5" t="s">
        <v>1655</v>
      </c>
      <c r="V79" s="5" t="s">
        <v>1718</v>
      </c>
      <c r="W79" s="5" t="s">
        <v>1719</v>
      </c>
    </row>
    <row r="80" spans="1:23">
      <c r="A80" s="5" t="s">
        <v>1642</v>
      </c>
      <c r="B80" s="5" t="s">
        <v>1643</v>
      </c>
      <c r="C80" s="5" t="s">
        <v>1596</v>
      </c>
      <c r="G80" s="5" t="s">
        <v>1644</v>
      </c>
      <c r="H80" s="5" t="s">
        <v>1829</v>
      </c>
      <c r="J80" s="5" t="s">
        <v>1830</v>
      </c>
      <c r="L80" s="17">
        <v>20</v>
      </c>
      <c r="M80" s="17">
        <v>1.0000177549342111</v>
      </c>
      <c r="N80" s="17">
        <v>16</v>
      </c>
      <c r="P80" s="18">
        <v>0.91</v>
      </c>
      <c r="Q80" s="18">
        <f t="shared" si="2"/>
        <v>0.91</v>
      </c>
      <c r="R80" s="18">
        <f t="shared" si="3"/>
        <v>7.446362855635277</v>
      </c>
      <c r="S80" s="5" t="s">
        <v>1597</v>
      </c>
      <c r="U80" s="5" t="s">
        <v>1655</v>
      </c>
      <c r="V80" s="5" t="s">
        <v>1831</v>
      </c>
      <c r="W80" s="5" t="s">
        <v>1832</v>
      </c>
    </row>
    <row r="81" spans="1:23">
      <c r="A81" s="5" t="s">
        <v>1642</v>
      </c>
      <c r="B81" s="5" t="s">
        <v>1643</v>
      </c>
      <c r="C81" s="5" t="s">
        <v>1596</v>
      </c>
      <c r="G81" s="5" t="s">
        <v>1673</v>
      </c>
      <c r="H81" s="5" t="s">
        <v>1833</v>
      </c>
      <c r="L81" s="17">
        <v>20</v>
      </c>
      <c r="M81" s="17">
        <v>0</v>
      </c>
      <c r="N81" s="17">
        <v>20</v>
      </c>
      <c r="P81" s="18">
        <v>0.93</v>
      </c>
      <c r="Q81" s="18">
        <f t="shared" si="2"/>
        <v>0.93</v>
      </c>
      <c r="R81" s="18">
        <f t="shared" si="3"/>
        <v>8.084305324055677</v>
      </c>
      <c r="S81" s="5" t="s">
        <v>1597</v>
      </c>
      <c r="U81" s="5" t="s">
        <v>1655</v>
      </c>
      <c r="V81" s="5" t="s">
        <v>1834</v>
      </c>
      <c r="W81" s="5" t="s">
        <v>1835</v>
      </c>
    </row>
    <row r="82" spans="1:23">
      <c r="A82" s="5" t="s">
        <v>1642</v>
      </c>
      <c r="B82" s="5" t="s">
        <v>1643</v>
      </c>
      <c r="F82" s="5" t="s">
        <v>1836</v>
      </c>
      <c r="J82" s="5" t="s">
        <v>1837</v>
      </c>
      <c r="L82" s="17">
        <v>20</v>
      </c>
      <c r="M82" s="17">
        <v>5.7001045361842104</v>
      </c>
      <c r="N82" s="17">
        <v>0.6</v>
      </c>
      <c r="P82" s="18">
        <v>0.998</v>
      </c>
      <c r="Q82" s="18">
        <f t="shared" si="2"/>
        <v>0.998</v>
      </c>
      <c r="R82" s="18">
        <f t="shared" si="3"/>
        <v>16.834494225763567</v>
      </c>
      <c r="S82" s="5" t="s">
        <v>1597</v>
      </c>
      <c r="U82" s="5" t="s">
        <v>1655</v>
      </c>
      <c r="V82" s="5" t="s">
        <v>1838</v>
      </c>
      <c r="W82" s="5" t="s">
        <v>1839</v>
      </c>
    </row>
    <row r="83" spans="1:23">
      <c r="A83" s="5" t="s">
        <v>1642</v>
      </c>
      <c r="B83" s="5" t="s">
        <v>1643</v>
      </c>
      <c r="C83" s="5" t="s">
        <v>1652</v>
      </c>
      <c r="G83" s="5" t="s">
        <v>1673</v>
      </c>
      <c r="H83" s="5" t="s">
        <v>1840</v>
      </c>
      <c r="J83" s="5" t="s">
        <v>1841</v>
      </c>
      <c r="L83" s="17">
        <v>25</v>
      </c>
      <c r="M83" s="17">
        <v>10.13317994407895</v>
      </c>
      <c r="N83" s="17">
        <v>6</v>
      </c>
      <c r="P83" s="18">
        <v>0.92</v>
      </c>
      <c r="Q83" s="18">
        <f t="shared" si="2"/>
        <v>0.92</v>
      </c>
      <c r="R83" s="18">
        <f t="shared" si="3"/>
        <v>7.8782943038694073</v>
      </c>
      <c r="S83" s="5" t="s">
        <v>1597</v>
      </c>
      <c r="U83" s="5" t="s">
        <v>1655</v>
      </c>
      <c r="V83" s="5" t="s">
        <v>1842</v>
      </c>
      <c r="W83" s="5" t="s">
        <v>1843</v>
      </c>
    </row>
    <row r="84" spans="1:23">
      <c r="A84" s="5" t="s">
        <v>1642</v>
      </c>
      <c r="B84" s="5" t="s">
        <v>1643</v>
      </c>
      <c r="C84" s="5" t="s">
        <v>1596</v>
      </c>
      <c r="F84" s="5" t="s">
        <v>1844</v>
      </c>
      <c r="L84" s="17">
        <v>20</v>
      </c>
      <c r="M84" s="17">
        <v>3.0000599309210529</v>
      </c>
      <c r="N84" s="17">
        <v>12</v>
      </c>
      <c r="P84" s="18">
        <v>0.99</v>
      </c>
      <c r="Q84" s="18">
        <f t="shared" si="2"/>
        <v>0.99</v>
      </c>
      <c r="R84" s="18">
        <f t="shared" si="3"/>
        <v>12.901878286240109</v>
      </c>
      <c r="S84" s="5" t="s">
        <v>1597</v>
      </c>
      <c r="U84" s="5" t="s">
        <v>1655</v>
      </c>
      <c r="V84" s="5" t="s">
        <v>1845</v>
      </c>
      <c r="W84" s="5" t="s">
        <v>1846</v>
      </c>
    </row>
    <row r="85" spans="1:23">
      <c r="A85" s="5" t="s">
        <v>1642</v>
      </c>
      <c r="B85" s="5" t="s">
        <v>1643</v>
      </c>
      <c r="C85" s="5" t="s">
        <v>1652</v>
      </c>
      <c r="F85" s="5" t="s">
        <v>1847</v>
      </c>
      <c r="L85" s="17">
        <v>20</v>
      </c>
      <c r="M85" s="17">
        <v>15.000232993421051</v>
      </c>
      <c r="N85" s="17">
        <v>3</v>
      </c>
      <c r="P85" s="18">
        <v>0.92</v>
      </c>
      <c r="Q85" s="18">
        <f t="shared" si="2"/>
        <v>0.92</v>
      </c>
      <c r="R85" s="18">
        <f t="shared" si="3"/>
        <v>7.7461746610072693</v>
      </c>
      <c r="S85" s="5" t="s">
        <v>1597</v>
      </c>
      <c r="U85" s="5" t="s">
        <v>1655</v>
      </c>
      <c r="V85" s="5" t="s">
        <v>1848</v>
      </c>
      <c r="W85" s="5" t="s">
        <v>1849</v>
      </c>
    </row>
    <row r="86" spans="1:23">
      <c r="A86" s="5" t="s">
        <v>1642</v>
      </c>
      <c r="B86" s="5" t="s">
        <v>1643</v>
      </c>
      <c r="C86" s="5" t="s">
        <v>1739</v>
      </c>
      <c r="G86" s="5" t="s">
        <v>1806</v>
      </c>
      <c r="H86" s="5" t="s">
        <v>1850</v>
      </c>
      <c r="J86" s="5" t="s">
        <v>1851</v>
      </c>
      <c r="L86" s="17">
        <v>25</v>
      </c>
      <c r="M86" s="17">
        <v>0</v>
      </c>
      <c r="N86" s="17">
        <v>2</v>
      </c>
      <c r="P86" s="18">
        <v>0.99</v>
      </c>
      <c r="Q86" s="18">
        <f t="shared" si="2"/>
        <v>0.99</v>
      </c>
      <c r="R86" s="18">
        <f t="shared" si="3"/>
        <v>13.121934201065967</v>
      </c>
      <c r="S86" s="5" t="s">
        <v>1597</v>
      </c>
      <c r="U86" s="5" t="s">
        <v>1655</v>
      </c>
      <c r="V86" s="5" t="s">
        <v>1852</v>
      </c>
      <c r="W86" s="5" t="s">
        <v>1853</v>
      </c>
    </row>
    <row r="87" spans="1:23">
      <c r="A87" s="5" t="s">
        <v>1642</v>
      </c>
      <c r="B87" s="5" t="s">
        <v>1643</v>
      </c>
      <c r="C87" s="5" t="s">
        <v>1616</v>
      </c>
      <c r="G87" s="5" t="s">
        <v>1673</v>
      </c>
      <c r="H87" s="5" t="s">
        <v>1854</v>
      </c>
      <c r="J87" s="5" t="s">
        <v>1855</v>
      </c>
      <c r="L87" s="17">
        <v>15</v>
      </c>
      <c r="M87" s="17">
        <v>1.0133179944078949</v>
      </c>
      <c r="N87" s="17">
        <v>8</v>
      </c>
      <c r="P87" s="18">
        <v>0.96499999999999997</v>
      </c>
      <c r="Q87" s="18">
        <f t="shared" si="2"/>
        <v>0.96499999999999997</v>
      </c>
      <c r="R87" s="18">
        <f t="shared" si="3"/>
        <v>9.6501348795797046</v>
      </c>
      <c r="S87" s="5" t="s">
        <v>1597</v>
      </c>
      <c r="U87" s="5" t="s">
        <v>1655</v>
      </c>
      <c r="V87" s="5" t="s">
        <v>1856</v>
      </c>
      <c r="W87" s="5" t="s">
        <v>1857</v>
      </c>
    </row>
    <row r="88" spans="1:23">
      <c r="A88" s="5" t="s">
        <v>1642</v>
      </c>
      <c r="B88" s="5" t="s">
        <v>1643</v>
      </c>
      <c r="C88" s="5" t="s">
        <v>1596</v>
      </c>
      <c r="F88" s="5" t="s">
        <v>1858</v>
      </c>
      <c r="L88" s="17">
        <v>20</v>
      </c>
      <c r="M88" s="17">
        <v>3.0000599309210529</v>
      </c>
      <c r="N88" s="17">
        <v>15</v>
      </c>
      <c r="P88" s="18">
        <v>0.95</v>
      </c>
      <c r="Q88" s="18">
        <f t="shared" si="2"/>
        <v>0.95</v>
      </c>
      <c r="R88" s="18">
        <f t="shared" si="3"/>
        <v>8.9295493113722788</v>
      </c>
      <c r="S88" s="5" t="s">
        <v>1597</v>
      </c>
      <c r="U88" s="5" t="s">
        <v>1655</v>
      </c>
      <c r="V88" s="5" t="s">
        <v>1859</v>
      </c>
      <c r="W88" s="5" t="s">
        <v>1860</v>
      </c>
    </row>
    <row r="89" spans="1:23">
      <c r="A89" s="5" t="s">
        <v>1642</v>
      </c>
      <c r="B89" s="5" t="s">
        <v>1643</v>
      </c>
      <c r="C89" s="5" t="s">
        <v>1861</v>
      </c>
      <c r="G89" s="5" t="s">
        <v>1673</v>
      </c>
      <c r="H89" s="5" t="s">
        <v>1862</v>
      </c>
      <c r="L89" s="17">
        <v>20</v>
      </c>
      <c r="M89" s="17">
        <v>15.000232993421051</v>
      </c>
      <c r="N89" s="17">
        <v>16</v>
      </c>
      <c r="P89" s="18">
        <v>0.99</v>
      </c>
      <c r="Q89" s="18">
        <f t="shared" si="2"/>
        <v>0.99</v>
      </c>
      <c r="R89" s="18">
        <f t="shared" si="3"/>
        <v>12.901878286240109</v>
      </c>
      <c r="S89" s="5" t="s">
        <v>1597</v>
      </c>
      <c r="U89" s="5" t="s">
        <v>1655</v>
      </c>
      <c r="V89" s="5" t="s">
        <v>1863</v>
      </c>
      <c r="W89" s="5" t="s">
        <v>1864</v>
      </c>
    </row>
    <row r="90" spans="1:23">
      <c r="A90" s="5" t="s">
        <v>1642</v>
      </c>
      <c r="B90" s="5" t="s">
        <v>1865</v>
      </c>
      <c r="C90" s="5" t="s">
        <v>1596</v>
      </c>
      <c r="G90" s="5" t="s">
        <v>1644</v>
      </c>
      <c r="H90" s="5" t="s">
        <v>1866</v>
      </c>
      <c r="L90" s="17">
        <v>25</v>
      </c>
      <c r="M90" s="17">
        <v>1.0500189759868419</v>
      </c>
      <c r="N90" s="17">
        <v>1</v>
      </c>
      <c r="O90" s="18">
        <v>1</v>
      </c>
      <c r="P90" s="18">
        <v>0.99099999999999999</v>
      </c>
      <c r="Q90" s="18">
        <f t="shared" si="2"/>
        <v>0.99099999999999999</v>
      </c>
      <c r="R90" s="18">
        <f t="shared" si="3"/>
        <v>13.384364966045748</v>
      </c>
      <c r="S90" s="5" t="s">
        <v>1617</v>
      </c>
      <c r="U90" s="5" t="s">
        <v>1647</v>
      </c>
      <c r="V90" s="5" t="s">
        <v>1711</v>
      </c>
      <c r="W90" s="5" t="s">
        <v>1712</v>
      </c>
    </row>
    <row r="91" spans="1:23">
      <c r="A91" s="5" t="s">
        <v>1642</v>
      </c>
      <c r="B91" s="5" t="s">
        <v>1865</v>
      </c>
      <c r="C91" s="5" t="s">
        <v>1596</v>
      </c>
      <c r="G91" s="5" t="s">
        <v>1644</v>
      </c>
      <c r="H91" s="5" t="s">
        <v>1867</v>
      </c>
      <c r="J91" s="5" t="s">
        <v>1868</v>
      </c>
      <c r="L91" s="17">
        <v>25</v>
      </c>
      <c r="M91" s="17">
        <v>1.0500189759868419</v>
      </c>
      <c r="N91" s="17">
        <v>1</v>
      </c>
      <c r="O91" s="18">
        <v>1</v>
      </c>
      <c r="P91" s="18">
        <v>0.99</v>
      </c>
      <c r="Q91" s="18">
        <f t="shared" si="2"/>
        <v>0.99</v>
      </c>
      <c r="R91" s="18">
        <f t="shared" si="3"/>
        <v>13.121934201065967</v>
      </c>
      <c r="S91" s="5" t="s">
        <v>1617</v>
      </c>
      <c r="U91" s="5" t="s">
        <v>1647</v>
      </c>
      <c r="V91" s="5" t="s">
        <v>1711</v>
      </c>
      <c r="W91" s="5" t="s">
        <v>1712</v>
      </c>
    </row>
    <row r="92" spans="1:23">
      <c r="A92" s="5" t="s">
        <v>1642</v>
      </c>
      <c r="B92" s="5" t="s">
        <v>1869</v>
      </c>
      <c r="C92" s="5" t="s">
        <v>1596</v>
      </c>
      <c r="F92" s="5" t="s">
        <v>1870</v>
      </c>
      <c r="J92" s="5" t="s">
        <v>1871</v>
      </c>
      <c r="L92" s="17">
        <v>20</v>
      </c>
      <c r="M92" s="17">
        <v>3.0399499835526318</v>
      </c>
      <c r="N92" s="17">
        <v>0.5</v>
      </c>
      <c r="O92" s="18">
        <v>0.99</v>
      </c>
      <c r="P92" s="18">
        <v>0.99900000000000011</v>
      </c>
      <c r="Q92" s="18">
        <f t="shared" si="2"/>
        <v>0.99900000000000011</v>
      </c>
      <c r="R92" s="18">
        <f t="shared" si="3"/>
        <v>18.52518777837145</v>
      </c>
      <c r="S92" s="5" t="s">
        <v>1597</v>
      </c>
      <c r="U92" s="5" t="s">
        <v>1647</v>
      </c>
      <c r="V92" s="5" t="s">
        <v>1872</v>
      </c>
      <c r="W92" s="5" t="s">
        <v>1873</v>
      </c>
    </row>
    <row r="93" spans="1:23">
      <c r="A93" s="5" t="s">
        <v>1642</v>
      </c>
      <c r="B93" s="5" t="s">
        <v>1869</v>
      </c>
      <c r="C93" s="5" t="s">
        <v>1652</v>
      </c>
      <c r="G93" s="5" t="s">
        <v>1806</v>
      </c>
      <c r="H93" s="5" t="s">
        <v>1874</v>
      </c>
      <c r="L93" s="17">
        <v>20</v>
      </c>
      <c r="M93" s="17">
        <v>20.26633322368421</v>
      </c>
      <c r="N93" s="17">
        <v>12</v>
      </c>
      <c r="O93" s="18">
        <v>0.99</v>
      </c>
      <c r="P93" s="18">
        <v>0.96</v>
      </c>
      <c r="Q93" s="18">
        <f t="shared" si="2"/>
        <v>0.96</v>
      </c>
      <c r="R93" s="18">
        <f t="shared" si="3"/>
        <v>9.4859059624920494</v>
      </c>
      <c r="S93" s="5" t="s">
        <v>1597</v>
      </c>
      <c r="U93" s="5" t="s">
        <v>1647</v>
      </c>
      <c r="V93" s="5" t="s">
        <v>1875</v>
      </c>
      <c r="W93" s="5" t="s">
        <v>1876</v>
      </c>
    </row>
    <row r="94" spans="1:23">
      <c r="A94" s="5" t="s">
        <v>1642</v>
      </c>
      <c r="B94" s="5" t="s">
        <v>1869</v>
      </c>
      <c r="C94" s="5" t="s">
        <v>1672</v>
      </c>
      <c r="G94" s="5" t="s">
        <v>1673</v>
      </c>
      <c r="H94" s="5" t="s">
        <v>1877</v>
      </c>
      <c r="L94" s="17">
        <v>27.5</v>
      </c>
      <c r="M94" s="17">
        <v>0</v>
      </c>
      <c r="N94" s="17">
        <v>10</v>
      </c>
      <c r="O94" s="18">
        <v>0.99</v>
      </c>
      <c r="P94" s="18">
        <v>0.998</v>
      </c>
      <c r="Q94" s="18">
        <f t="shared" si="2"/>
        <v>0.998</v>
      </c>
      <c r="R94" s="18">
        <f t="shared" si="3"/>
        <v>17.265190820316619</v>
      </c>
      <c r="S94" s="5" t="s">
        <v>1597</v>
      </c>
      <c r="U94" s="5" t="s">
        <v>1655</v>
      </c>
      <c r="V94" s="5" t="s">
        <v>1878</v>
      </c>
      <c r="W94" s="5" t="s">
        <v>1879</v>
      </c>
    </row>
    <row r="95" spans="1:23">
      <c r="A95" s="5" t="s">
        <v>1642</v>
      </c>
      <c r="B95" s="5" t="s">
        <v>1869</v>
      </c>
      <c r="C95" s="5" t="s">
        <v>1652</v>
      </c>
      <c r="D95" s="5" t="s">
        <v>1770</v>
      </c>
      <c r="G95" s="5" t="s">
        <v>1673</v>
      </c>
      <c r="H95" s="5" t="s">
        <v>1880</v>
      </c>
      <c r="J95" s="5" t="s">
        <v>1881</v>
      </c>
      <c r="L95" s="17">
        <v>20</v>
      </c>
      <c r="M95" s="17">
        <v>10.00017754934211</v>
      </c>
      <c r="N95" s="17">
        <v>8</v>
      </c>
      <c r="O95" s="18">
        <v>0.99</v>
      </c>
      <c r="P95" s="18">
        <v>0.99</v>
      </c>
      <c r="Q95" s="18">
        <f t="shared" si="2"/>
        <v>0.99</v>
      </c>
      <c r="R95" s="18">
        <f t="shared" si="3"/>
        <v>12.901878286240109</v>
      </c>
      <c r="S95" s="5" t="s">
        <v>1597</v>
      </c>
      <c r="U95" s="5" t="s">
        <v>1655</v>
      </c>
      <c r="V95" s="5" t="s">
        <v>1882</v>
      </c>
      <c r="W95" s="5" t="s">
        <v>1883</v>
      </c>
    </row>
    <row r="96" spans="1:23">
      <c r="A96" s="5" t="s">
        <v>1642</v>
      </c>
      <c r="B96" s="5" t="s">
        <v>1869</v>
      </c>
      <c r="C96" s="5" t="s">
        <v>1884</v>
      </c>
      <c r="G96" s="5" t="s">
        <v>1673</v>
      </c>
      <c r="H96" s="5" t="s">
        <v>1880</v>
      </c>
      <c r="J96" s="5" t="s">
        <v>1881</v>
      </c>
      <c r="L96" s="17">
        <v>20</v>
      </c>
      <c r="M96" s="17">
        <v>10.13317994407895</v>
      </c>
      <c r="N96" s="17">
        <v>8</v>
      </c>
      <c r="O96" s="18">
        <v>0.99</v>
      </c>
      <c r="P96" s="18">
        <v>0.99</v>
      </c>
      <c r="Q96" s="18">
        <f t="shared" si="2"/>
        <v>0.99</v>
      </c>
      <c r="R96" s="18">
        <f t="shared" si="3"/>
        <v>12.901878286240109</v>
      </c>
      <c r="S96" s="5" t="s">
        <v>1597</v>
      </c>
      <c r="U96" s="5" t="s">
        <v>1647</v>
      </c>
      <c r="V96" s="5" t="s">
        <v>1885</v>
      </c>
      <c r="W96" s="5" t="s">
        <v>1886</v>
      </c>
    </row>
    <row r="97" spans="1:23">
      <c r="A97" s="5" t="s">
        <v>1642</v>
      </c>
      <c r="B97" s="5" t="s">
        <v>1869</v>
      </c>
      <c r="C97" s="5" t="s">
        <v>1652</v>
      </c>
      <c r="G97" s="5" t="s">
        <v>1673</v>
      </c>
      <c r="H97" s="5" t="s">
        <v>1887</v>
      </c>
      <c r="L97" s="17">
        <v>20</v>
      </c>
      <c r="M97" s="17">
        <v>10.00017754934211</v>
      </c>
      <c r="N97" s="17">
        <v>12</v>
      </c>
      <c r="O97" s="18">
        <v>0.99</v>
      </c>
      <c r="P97" s="18">
        <v>0.99900000000000011</v>
      </c>
      <c r="Q97" s="18">
        <f t="shared" si="2"/>
        <v>0.99900000000000011</v>
      </c>
      <c r="R97" s="18">
        <f t="shared" si="3"/>
        <v>18.52518777837145</v>
      </c>
      <c r="S97" s="5" t="s">
        <v>1597</v>
      </c>
      <c r="U97" s="5" t="s">
        <v>1655</v>
      </c>
      <c r="V97" s="5" t="s">
        <v>1888</v>
      </c>
      <c r="W97" s="5" t="s">
        <v>1889</v>
      </c>
    </row>
    <row r="98" spans="1:23">
      <c r="A98" s="5" t="s">
        <v>1642</v>
      </c>
      <c r="B98" s="5" t="s">
        <v>1869</v>
      </c>
      <c r="C98" s="5" t="s">
        <v>1739</v>
      </c>
      <c r="G98" s="5" t="s">
        <v>1644</v>
      </c>
      <c r="H98" s="5" t="s">
        <v>1890</v>
      </c>
      <c r="I98" s="5" t="s">
        <v>1891</v>
      </c>
      <c r="J98" s="5" t="s">
        <v>1892</v>
      </c>
      <c r="K98" s="5" t="s">
        <v>1893</v>
      </c>
      <c r="L98" s="17">
        <v>20</v>
      </c>
      <c r="M98" s="17">
        <v>0</v>
      </c>
      <c r="N98" s="17">
        <v>6</v>
      </c>
      <c r="O98" s="18">
        <v>0.98</v>
      </c>
      <c r="P98" s="18">
        <v>0.99</v>
      </c>
      <c r="Q98" s="18">
        <f t="shared" si="2"/>
        <v>0.99</v>
      </c>
      <c r="R98" s="18">
        <f t="shared" si="3"/>
        <v>12.901878286240109</v>
      </c>
      <c r="S98" s="5" t="s">
        <v>1597</v>
      </c>
      <c r="U98" s="5" t="s">
        <v>1655</v>
      </c>
      <c r="V98" s="5" t="s">
        <v>1894</v>
      </c>
      <c r="W98" s="5" t="s">
        <v>1895</v>
      </c>
    </row>
    <row r="99" spans="1:23">
      <c r="A99" s="5" t="s">
        <v>1642</v>
      </c>
      <c r="B99" s="5" t="s">
        <v>1869</v>
      </c>
      <c r="C99" s="5" t="s">
        <v>1861</v>
      </c>
      <c r="G99" s="5" t="s">
        <v>1673</v>
      </c>
      <c r="H99" s="5" t="s">
        <v>1896</v>
      </c>
      <c r="L99" s="17">
        <v>0</v>
      </c>
      <c r="M99" s="17">
        <v>30.000599309210521</v>
      </c>
      <c r="N99" s="17">
        <v>24</v>
      </c>
      <c r="O99" s="18">
        <v>0.97</v>
      </c>
      <c r="P99" s="18">
        <v>0.9</v>
      </c>
      <c r="Q99" s="18">
        <f t="shared" si="2"/>
        <v>0.9</v>
      </c>
      <c r="R99" s="18">
        <f t="shared" si="3"/>
        <v>6.6871320752761099</v>
      </c>
      <c r="S99" s="5" t="s">
        <v>1597</v>
      </c>
      <c r="U99" s="5" t="s">
        <v>1647</v>
      </c>
      <c r="V99" s="5" t="s">
        <v>1897</v>
      </c>
      <c r="W99" s="5" t="s">
        <v>1898</v>
      </c>
    </row>
    <row r="100" spans="1:23">
      <c r="A100" s="5" t="s">
        <v>1642</v>
      </c>
      <c r="B100" s="5" t="s">
        <v>1869</v>
      </c>
      <c r="C100" s="5" t="s">
        <v>1672</v>
      </c>
      <c r="G100" s="5" t="s">
        <v>1673</v>
      </c>
      <c r="H100" s="5" t="s">
        <v>1899</v>
      </c>
      <c r="L100" s="17">
        <v>20</v>
      </c>
      <c r="M100" s="17">
        <v>25.000477203947369</v>
      </c>
      <c r="N100" s="17">
        <v>2</v>
      </c>
      <c r="O100" s="18">
        <v>0.97</v>
      </c>
      <c r="P100" s="18">
        <v>0.99</v>
      </c>
      <c r="Q100" s="18">
        <f t="shared" si="2"/>
        <v>0.99</v>
      </c>
      <c r="R100" s="18">
        <f t="shared" si="3"/>
        <v>12.901878286240109</v>
      </c>
      <c r="S100" s="5" t="s">
        <v>1597</v>
      </c>
      <c r="U100" s="5" t="s">
        <v>1655</v>
      </c>
      <c r="V100" s="5" t="s">
        <v>1900</v>
      </c>
      <c r="W100" s="5" t="s">
        <v>1901</v>
      </c>
    </row>
    <row r="101" spans="1:23">
      <c r="A101" s="5" t="s">
        <v>1642</v>
      </c>
      <c r="B101" s="5" t="s">
        <v>1869</v>
      </c>
      <c r="C101" s="5" t="s">
        <v>1616</v>
      </c>
      <c r="E101" s="5" t="s">
        <v>1902</v>
      </c>
      <c r="G101" s="5" t="s">
        <v>1903</v>
      </c>
      <c r="H101" s="5" t="s">
        <v>1791</v>
      </c>
      <c r="I101" s="5" t="s">
        <v>1791</v>
      </c>
      <c r="J101" s="5" t="s">
        <v>582</v>
      </c>
      <c r="K101" s="5" t="s">
        <v>580</v>
      </c>
      <c r="L101" s="17">
        <v>70</v>
      </c>
      <c r="M101" s="17">
        <v>0</v>
      </c>
      <c r="N101" s="17">
        <v>48</v>
      </c>
      <c r="O101" s="18">
        <v>0.96</v>
      </c>
      <c r="P101" s="18">
        <v>0.91</v>
      </c>
      <c r="Q101" s="18">
        <f t="shared" si="2"/>
        <v>0.91</v>
      </c>
      <c r="R101" s="18">
        <f t="shared" si="3"/>
        <v>8.7164230390968633</v>
      </c>
      <c r="S101" s="5" t="s">
        <v>1597</v>
      </c>
      <c r="U101" s="5" t="s">
        <v>1655</v>
      </c>
      <c r="V101" s="5" t="s">
        <v>1904</v>
      </c>
      <c r="W101" s="5" t="s">
        <v>1905</v>
      </c>
    </row>
    <row r="102" spans="1:23">
      <c r="A102" s="5" t="s">
        <v>1642</v>
      </c>
      <c r="B102" s="5" t="s">
        <v>1869</v>
      </c>
      <c r="C102" s="5" t="s">
        <v>1672</v>
      </c>
      <c r="G102" s="5" t="s">
        <v>1644</v>
      </c>
      <c r="H102" s="5" t="s">
        <v>1906</v>
      </c>
      <c r="L102" s="17">
        <v>20</v>
      </c>
      <c r="M102" s="17">
        <v>20.00035509868421</v>
      </c>
      <c r="N102" s="17">
        <v>18</v>
      </c>
      <c r="P102" s="18">
        <v>0.99</v>
      </c>
      <c r="Q102" s="18">
        <f t="shared" si="2"/>
        <v>0.99</v>
      </c>
      <c r="R102" s="18">
        <f t="shared" si="3"/>
        <v>12.901878286240109</v>
      </c>
      <c r="S102" s="5" t="s">
        <v>1597</v>
      </c>
      <c r="U102" s="5" t="s">
        <v>1655</v>
      </c>
      <c r="V102" s="5" t="s">
        <v>1907</v>
      </c>
      <c r="W102" s="5" t="s">
        <v>1908</v>
      </c>
    </row>
    <row r="103" spans="1:23">
      <c r="A103" s="5" t="s">
        <v>1642</v>
      </c>
      <c r="B103" s="5" t="s">
        <v>1869</v>
      </c>
      <c r="C103" s="5" t="s">
        <v>1596</v>
      </c>
      <c r="G103" s="5" t="s">
        <v>1909</v>
      </c>
      <c r="H103" s="5" t="s">
        <v>1910</v>
      </c>
      <c r="I103" s="5" t="s">
        <v>1791</v>
      </c>
      <c r="J103" s="5" t="s">
        <v>582</v>
      </c>
      <c r="K103" s="5" t="s">
        <v>580</v>
      </c>
      <c r="L103" s="17">
        <v>20</v>
      </c>
      <c r="M103" s="17">
        <v>3.0399499835526318</v>
      </c>
      <c r="N103" s="17">
        <v>3.3333300000000003E-2</v>
      </c>
      <c r="P103" s="18">
        <v>0.997</v>
      </c>
      <c r="Q103" s="18">
        <f t="shared" si="2"/>
        <v>0.997</v>
      </c>
      <c r="R103" s="18">
        <f t="shared" si="3"/>
        <v>15.844995101755439</v>
      </c>
      <c r="S103" s="5" t="s">
        <v>1597</v>
      </c>
      <c r="U103" s="5" t="s">
        <v>1655</v>
      </c>
      <c r="V103" s="5" t="s">
        <v>1911</v>
      </c>
      <c r="W103" s="5" t="s">
        <v>1912</v>
      </c>
    </row>
    <row r="104" spans="1:23">
      <c r="A104" s="5" t="s">
        <v>1642</v>
      </c>
      <c r="B104" s="5" t="s">
        <v>1869</v>
      </c>
      <c r="C104" s="5" t="s">
        <v>1596</v>
      </c>
      <c r="F104" s="5" t="s">
        <v>1913</v>
      </c>
      <c r="J104" s="5" t="s">
        <v>1914</v>
      </c>
      <c r="M104" s="17">
        <v>2.0266333223684212</v>
      </c>
      <c r="N104" s="17">
        <v>3</v>
      </c>
      <c r="P104" s="18">
        <v>0.99</v>
      </c>
      <c r="Q104" s="18">
        <f t="shared" si="2"/>
        <v>0.99</v>
      </c>
      <c r="R104" s="18"/>
      <c r="S104" s="5" t="s">
        <v>1597</v>
      </c>
      <c r="U104" s="5" t="s">
        <v>1655</v>
      </c>
      <c r="V104" s="5" t="s">
        <v>1911</v>
      </c>
      <c r="W104" s="5" t="s">
        <v>1912</v>
      </c>
    </row>
    <row r="105" spans="1:23">
      <c r="A105" s="5" t="s">
        <v>1642</v>
      </c>
      <c r="B105" s="5" t="s">
        <v>1869</v>
      </c>
      <c r="C105" s="5" t="s">
        <v>1672</v>
      </c>
      <c r="G105" s="5" t="s">
        <v>1909</v>
      </c>
      <c r="L105" s="17">
        <v>25</v>
      </c>
      <c r="M105" s="17">
        <v>1.2000213059210529</v>
      </c>
      <c r="N105" s="17">
        <v>16</v>
      </c>
      <c r="P105" s="18">
        <v>0.96</v>
      </c>
      <c r="Q105" s="18">
        <f t="shared" si="2"/>
        <v>0.96</v>
      </c>
      <c r="R105" s="18">
        <f t="shared" si="3"/>
        <v>9.6476986618352534</v>
      </c>
      <c r="S105" s="5" t="s">
        <v>1597</v>
      </c>
      <c r="U105" s="5" t="s">
        <v>1655</v>
      </c>
      <c r="V105" s="5" t="s">
        <v>1915</v>
      </c>
      <c r="W105" s="5" t="s">
        <v>1916</v>
      </c>
    </row>
    <row r="106" spans="1:23">
      <c r="A106" s="5" t="s">
        <v>1642</v>
      </c>
      <c r="B106" s="5" t="s">
        <v>1869</v>
      </c>
      <c r="C106" s="5" t="s">
        <v>1672</v>
      </c>
      <c r="G106" s="5" t="s">
        <v>1644</v>
      </c>
      <c r="H106" s="5" t="s">
        <v>1917</v>
      </c>
      <c r="L106" s="17">
        <v>20</v>
      </c>
      <c r="M106" s="17">
        <v>20.00035509868421</v>
      </c>
      <c r="N106" s="17">
        <v>18</v>
      </c>
      <c r="P106" s="18">
        <v>0.96</v>
      </c>
      <c r="Q106" s="18">
        <f t="shared" si="2"/>
        <v>0.96</v>
      </c>
      <c r="R106" s="18">
        <f t="shared" si="3"/>
        <v>9.4859059624920494</v>
      </c>
      <c r="S106" s="5" t="s">
        <v>1597</v>
      </c>
      <c r="U106" s="5" t="s">
        <v>1655</v>
      </c>
      <c r="V106" s="5" t="s">
        <v>1918</v>
      </c>
      <c r="W106" s="5" t="s">
        <v>1919</v>
      </c>
    </row>
    <row r="107" spans="1:23">
      <c r="A107" s="5" t="s">
        <v>1642</v>
      </c>
      <c r="B107" s="5" t="s">
        <v>1869</v>
      </c>
      <c r="C107" s="5" t="s">
        <v>1596</v>
      </c>
      <c r="F107" s="5" t="s">
        <v>1920</v>
      </c>
      <c r="I107" s="5" t="s">
        <v>1921</v>
      </c>
      <c r="J107" s="5" t="s">
        <v>1922</v>
      </c>
      <c r="K107" s="5" t="s">
        <v>1923</v>
      </c>
      <c r="L107" s="17">
        <v>20</v>
      </c>
      <c r="M107" s="17">
        <v>10.13317994407895</v>
      </c>
      <c r="N107" s="17">
        <v>16</v>
      </c>
      <c r="P107" s="18">
        <v>0.92</v>
      </c>
      <c r="Q107" s="18">
        <f t="shared" si="2"/>
        <v>0.92</v>
      </c>
      <c r="R107" s="18">
        <f t="shared" si="3"/>
        <v>7.7461746610072693</v>
      </c>
      <c r="S107" s="5" t="s">
        <v>1597</v>
      </c>
      <c r="U107" s="5" t="s">
        <v>1655</v>
      </c>
      <c r="V107" s="5" t="s">
        <v>1924</v>
      </c>
      <c r="W107" s="5" t="s">
        <v>1925</v>
      </c>
    </row>
    <row r="108" spans="1:23">
      <c r="A108" s="5" t="s">
        <v>1642</v>
      </c>
      <c r="B108" s="5" t="s">
        <v>1869</v>
      </c>
      <c r="C108" s="5" t="s">
        <v>1652</v>
      </c>
      <c r="D108" s="5" t="s">
        <v>1926</v>
      </c>
      <c r="F108" s="5" t="s">
        <v>1927</v>
      </c>
      <c r="L108" s="17">
        <v>20</v>
      </c>
      <c r="M108" s="17">
        <v>1.0133179944078949</v>
      </c>
      <c r="N108" s="17">
        <v>6</v>
      </c>
      <c r="P108" s="18">
        <v>0.97</v>
      </c>
      <c r="Q108" s="18">
        <f t="shared" si="2"/>
        <v>0.97</v>
      </c>
      <c r="R108" s="18">
        <f t="shared" si="3"/>
        <v>10.199505077668341</v>
      </c>
      <c r="S108" s="5" t="s">
        <v>1597</v>
      </c>
      <c r="U108" s="5" t="s">
        <v>1647</v>
      </c>
      <c r="V108" s="5" t="s">
        <v>1928</v>
      </c>
      <c r="W108" s="5" t="s">
        <v>1929</v>
      </c>
    </row>
    <row r="109" spans="1:23">
      <c r="A109" s="5" t="s">
        <v>1642</v>
      </c>
      <c r="B109" s="5" t="s">
        <v>1869</v>
      </c>
      <c r="C109" s="5" t="s">
        <v>1672</v>
      </c>
      <c r="F109" s="5" t="s">
        <v>1930</v>
      </c>
      <c r="L109" s="17">
        <v>20</v>
      </c>
      <c r="M109" s="17">
        <v>20.00035509868421</v>
      </c>
      <c r="N109" s="17">
        <v>18</v>
      </c>
      <c r="P109" s="18">
        <v>0.99</v>
      </c>
      <c r="Q109" s="18">
        <f t="shared" si="2"/>
        <v>0.99</v>
      </c>
      <c r="R109" s="18">
        <f t="shared" si="3"/>
        <v>12.901878286240109</v>
      </c>
      <c r="S109" s="5" t="s">
        <v>1597</v>
      </c>
      <c r="U109" s="5" t="s">
        <v>1655</v>
      </c>
      <c r="V109" s="5" t="s">
        <v>1931</v>
      </c>
      <c r="W109" s="5" t="s">
        <v>1932</v>
      </c>
    </row>
    <row r="110" spans="1:23">
      <c r="A110" s="5" t="s">
        <v>1642</v>
      </c>
      <c r="B110" s="5" t="s">
        <v>1869</v>
      </c>
      <c r="C110" s="5" t="s">
        <v>1652</v>
      </c>
      <c r="G110" s="5" t="s">
        <v>1673</v>
      </c>
      <c r="H110" s="5" t="s">
        <v>1933</v>
      </c>
      <c r="L110" s="17">
        <v>5</v>
      </c>
      <c r="M110" s="17">
        <v>10.00017754934211</v>
      </c>
      <c r="N110" s="17">
        <v>20</v>
      </c>
      <c r="P110" s="18">
        <v>0.98</v>
      </c>
      <c r="Q110" s="18">
        <f t="shared" si="2"/>
        <v>0.98</v>
      </c>
      <c r="R110" s="18">
        <f t="shared" si="3"/>
        <v>10.627033388915535</v>
      </c>
      <c r="S110" s="5" t="s">
        <v>1597</v>
      </c>
      <c r="U110" s="5" t="s">
        <v>1655</v>
      </c>
      <c r="V110" s="5" t="s">
        <v>1934</v>
      </c>
      <c r="W110" s="5" t="s">
        <v>1935</v>
      </c>
    </row>
    <row r="111" spans="1:23">
      <c r="A111" s="5" t="s">
        <v>1642</v>
      </c>
      <c r="B111" s="5" t="s">
        <v>1869</v>
      </c>
      <c r="C111" s="5" t="s">
        <v>1739</v>
      </c>
      <c r="G111" s="5" t="s">
        <v>1806</v>
      </c>
      <c r="H111" s="5" t="s">
        <v>1936</v>
      </c>
      <c r="J111" s="5" t="s">
        <v>1851</v>
      </c>
      <c r="L111" s="17">
        <v>25</v>
      </c>
      <c r="M111" s="17">
        <v>0</v>
      </c>
      <c r="N111" s="17">
        <v>2</v>
      </c>
      <c r="P111" s="18">
        <v>0.99</v>
      </c>
      <c r="Q111" s="18">
        <f t="shared" si="2"/>
        <v>0.99</v>
      </c>
      <c r="R111" s="18">
        <f t="shared" si="3"/>
        <v>13.121934201065967</v>
      </c>
      <c r="S111" s="5" t="s">
        <v>1597</v>
      </c>
      <c r="U111" s="5" t="s">
        <v>1647</v>
      </c>
      <c r="V111" s="5" t="s">
        <v>1937</v>
      </c>
      <c r="W111" s="5" t="s">
        <v>1938</v>
      </c>
    </row>
    <row r="112" spans="1:23">
      <c r="A112" s="5" t="s">
        <v>1642</v>
      </c>
      <c r="B112" s="5" t="s">
        <v>1869</v>
      </c>
      <c r="C112" s="5" t="s">
        <v>1652</v>
      </c>
      <c r="G112" s="5" t="s">
        <v>1644</v>
      </c>
      <c r="H112" s="5" t="s">
        <v>1939</v>
      </c>
      <c r="L112" s="17">
        <v>25</v>
      </c>
      <c r="M112" s="17">
        <v>5.0665966381578951</v>
      </c>
      <c r="N112" s="17">
        <v>1</v>
      </c>
      <c r="P112" s="18">
        <v>0.99</v>
      </c>
      <c r="Q112" s="18">
        <f t="shared" si="2"/>
        <v>0.99</v>
      </c>
      <c r="R112" s="18">
        <f t="shared" si="3"/>
        <v>13.121934201065967</v>
      </c>
      <c r="S112" s="5" t="s">
        <v>1597</v>
      </c>
      <c r="U112" s="5" t="s">
        <v>1655</v>
      </c>
      <c r="V112" s="5" t="s">
        <v>1940</v>
      </c>
      <c r="W112" s="5" t="s">
        <v>1941</v>
      </c>
    </row>
    <row r="113" spans="1:23">
      <c r="A113" s="5" t="s">
        <v>1642</v>
      </c>
      <c r="B113" s="5" t="s">
        <v>1869</v>
      </c>
      <c r="C113" s="5" t="s">
        <v>1596</v>
      </c>
      <c r="G113" s="5" t="s">
        <v>1644</v>
      </c>
      <c r="H113" s="5" t="s">
        <v>1942</v>
      </c>
      <c r="M113" s="17">
        <v>3.0399499835526318</v>
      </c>
      <c r="N113" s="17">
        <v>2</v>
      </c>
      <c r="P113" s="18">
        <v>0.9890000000000001</v>
      </c>
      <c r="Q113" s="18">
        <f t="shared" si="2"/>
        <v>0.9890000000000001</v>
      </c>
      <c r="R113" s="18"/>
      <c r="S113" s="5" t="s">
        <v>1597</v>
      </c>
      <c r="U113" s="5" t="s">
        <v>1647</v>
      </c>
      <c r="V113" s="5" t="s">
        <v>1943</v>
      </c>
      <c r="W113" s="5" t="s">
        <v>1944</v>
      </c>
    </row>
    <row r="114" spans="1:23">
      <c r="A114" s="5" t="s">
        <v>1642</v>
      </c>
      <c r="B114" s="5" t="s">
        <v>1869</v>
      </c>
      <c r="C114" s="5" t="s">
        <v>1596</v>
      </c>
      <c r="F114" s="5" t="s">
        <v>1945</v>
      </c>
      <c r="M114" s="17">
        <v>3.0399499835526318</v>
      </c>
      <c r="N114" s="17">
        <v>0.8</v>
      </c>
      <c r="P114" s="18">
        <v>0.99099999999999999</v>
      </c>
      <c r="Q114" s="18">
        <f t="shared" si="2"/>
        <v>0.99099999999999999</v>
      </c>
      <c r="R114" s="18"/>
      <c r="S114" s="5" t="s">
        <v>1597</v>
      </c>
      <c r="U114" s="5" t="s">
        <v>1647</v>
      </c>
      <c r="V114" s="5" t="s">
        <v>1946</v>
      </c>
      <c r="W114" s="5" t="s">
        <v>1947</v>
      </c>
    </row>
    <row r="115" spans="1:23">
      <c r="A115" s="5" t="s">
        <v>1642</v>
      </c>
      <c r="B115" s="5" t="s">
        <v>1869</v>
      </c>
      <c r="C115" s="5" t="s">
        <v>1596</v>
      </c>
      <c r="G115" s="5" t="s">
        <v>1644</v>
      </c>
      <c r="H115" s="5" t="s">
        <v>1948</v>
      </c>
      <c r="M115" s="17">
        <v>3.0399499835526318</v>
      </c>
      <c r="N115" s="17">
        <v>2</v>
      </c>
      <c r="P115" s="18">
        <v>0.99900000000000011</v>
      </c>
      <c r="Q115" s="18">
        <f t="shared" si="2"/>
        <v>0.99900000000000011</v>
      </c>
      <c r="R115" s="18"/>
      <c r="S115" s="5" t="s">
        <v>1597</v>
      </c>
      <c r="U115" s="5" t="s">
        <v>1647</v>
      </c>
      <c r="V115" s="5" t="s">
        <v>1949</v>
      </c>
      <c r="W115" s="5" t="s">
        <v>1950</v>
      </c>
    </row>
    <row r="116" spans="1:23">
      <c r="A116" s="5" t="s">
        <v>1642</v>
      </c>
      <c r="B116" s="5" t="s">
        <v>1869</v>
      </c>
      <c r="G116" s="5" t="s">
        <v>1673</v>
      </c>
      <c r="H116" s="5" t="s">
        <v>1951</v>
      </c>
      <c r="L116" s="17">
        <v>-2</v>
      </c>
      <c r="M116" s="17">
        <v>1.0000177549342111</v>
      </c>
      <c r="N116" s="17">
        <v>5</v>
      </c>
      <c r="P116" s="18">
        <v>0.92</v>
      </c>
      <c r="Q116" s="18">
        <f t="shared" si="2"/>
        <v>0.92</v>
      </c>
      <c r="R116" s="18">
        <f t="shared" si="3"/>
        <v>7.1648482324138518</v>
      </c>
      <c r="S116" s="5" t="s">
        <v>1597</v>
      </c>
      <c r="U116" s="5" t="s">
        <v>1655</v>
      </c>
      <c r="V116" s="5" t="s">
        <v>1952</v>
      </c>
      <c r="W116" s="5" t="s">
        <v>1953</v>
      </c>
    </row>
    <row r="117" spans="1:23">
      <c r="A117" s="5" t="s">
        <v>1642</v>
      </c>
      <c r="B117" s="5" t="s">
        <v>1643</v>
      </c>
      <c r="C117" s="5" t="s">
        <v>1672</v>
      </c>
      <c r="G117" s="5" t="s">
        <v>1673</v>
      </c>
      <c r="H117" s="5" t="s">
        <v>1954</v>
      </c>
      <c r="I117" s="5" t="s">
        <v>1955</v>
      </c>
      <c r="J117" s="5" t="s">
        <v>1956</v>
      </c>
      <c r="L117" s="17">
        <v>20</v>
      </c>
      <c r="M117" s="17">
        <v>1.0000177549342111</v>
      </c>
      <c r="N117" s="17">
        <v>24</v>
      </c>
      <c r="O117" s="18">
        <v>1</v>
      </c>
      <c r="P117" s="18">
        <v>0.78400000000000003</v>
      </c>
      <c r="Q117" s="18">
        <f t="shared" si="2"/>
        <v>0.78400000000000003</v>
      </c>
      <c r="R117" s="18">
        <f t="shared" si="3"/>
        <v>5.1461585670344769</v>
      </c>
      <c r="U117" s="5" t="s">
        <v>1647</v>
      </c>
      <c r="V117" s="5" t="s">
        <v>1957</v>
      </c>
      <c r="W117" s="5" t="s">
        <v>1958</v>
      </c>
    </row>
    <row r="118" spans="1:23">
      <c r="A118" s="5" t="s">
        <v>1642</v>
      </c>
      <c r="B118" s="5" t="s">
        <v>1643</v>
      </c>
      <c r="C118" s="5" t="s">
        <v>1672</v>
      </c>
      <c r="E118" s="5" t="s">
        <v>1959</v>
      </c>
      <c r="G118" s="5" t="s">
        <v>1673</v>
      </c>
      <c r="H118" s="5" t="s">
        <v>1954</v>
      </c>
      <c r="I118" s="5" t="s">
        <v>1955</v>
      </c>
      <c r="J118" s="5" t="s">
        <v>1956</v>
      </c>
      <c r="L118" s="17">
        <v>20</v>
      </c>
      <c r="M118" s="17">
        <v>1.0000177549342111</v>
      </c>
      <c r="N118" s="17">
        <v>24</v>
      </c>
      <c r="O118" s="18">
        <v>1</v>
      </c>
      <c r="P118" s="18">
        <v>0.6</v>
      </c>
      <c r="Q118" s="18">
        <f t="shared" si="2"/>
        <v>0.6</v>
      </c>
      <c r="R118" s="18">
        <f t="shared" si="3"/>
        <v>3.3789478800705099</v>
      </c>
      <c r="U118" s="5" t="s">
        <v>1647</v>
      </c>
      <c r="V118" s="5" t="s">
        <v>1957</v>
      </c>
      <c r="W118" s="5" t="s">
        <v>1958</v>
      </c>
    </row>
    <row r="119" spans="1:23">
      <c r="A119" s="5" t="s">
        <v>1642</v>
      </c>
      <c r="B119" s="5" t="s">
        <v>1643</v>
      </c>
      <c r="C119" s="5" t="s">
        <v>1596</v>
      </c>
      <c r="D119" s="5" t="s">
        <v>1770</v>
      </c>
      <c r="G119" s="5" t="s">
        <v>1673</v>
      </c>
      <c r="H119" s="5" t="s">
        <v>556</v>
      </c>
      <c r="L119" s="17">
        <v>20</v>
      </c>
      <c r="M119" s="17">
        <v>1.0000177549342111</v>
      </c>
      <c r="N119" s="17">
        <v>16</v>
      </c>
      <c r="O119" s="18">
        <v>0.98</v>
      </c>
      <c r="P119" s="18">
        <v>0.78</v>
      </c>
      <c r="Q119" s="18">
        <f t="shared" si="2"/>
        <v>0.78</v>
      </c>
      <c r="R119" s="18">
        <f t="shared" si="3"/>
        <v>5.0959633072111252</v>
      </c>
      <c r="U119" s="5" t="s">
        <v>1647</v>
      </c>
      <c r="V119" s="5" t="s">
        <v>1771</v>
      </c>
      <c r="W119" s="5" t="s">
        <v>1772</v>
      </c>
    </row>
    <row r="120" spans="1:23">
      <c r="A120" s="5" t="s">
        <v>1642</v>
      </c>
      <c r="B120" s="5" t="s">
        <v>1643</v>
      </c>
      <c r="C120" s="5" t="s">
        <v>1596</v>
      </c>
      <c r="D120" s="5" t="s">
        <v>1770</v>
      </c>
      <c r="G120" s="5" t="s">
        <v>1673</v>
      </c>
      <c r="H120" s="5" t="s">
        <v>1960</v>
      </c>
      <c r="L120" s="17">
        <v>25</v>
      </c>
      <c r="M120" s="17">
        <v>1.0000177549342111</v>
      </c>
      <c r="N120" s="17">
        <v>16</v>
      </c>
      <c r="O120" s="18">
        <v>0.98</v>
      </c>
      <c r="P120" s="18">
        <v>0.52300000000000002</v>
      </c>
      <c r="Q120" s="18">
        <f t="shared" si="2"/>
        <v>0.52300000000000002</v>
      </c>
      <c r="R120" s="18">
        <f t="shared" si="3"/>
        <v>2.8778858706084751</v>
      </c>
      <c r="U120" s="5" t="s">
        <v>1647</v>
      </c>
      <c r="V120" s="5" t="s">
        <v>1961</v>
      </c>
      <c r="W120" s="5" t="s">
        <v>1962</v>
      </c>
    </row>
    <row r="121" spans="1:23">
      <c r="A121" s="5" t="s">
        <v>1642</v>
      </c>
      <c r="B121" s="5" t="s">
        <v>1643</v>
      </c>
      <c r="C121" s="5" t="s">
        <v>1596</v>
      </c>
      <c r="D121" s="5" t="s">
        <v>1770</v>
      </c>
      <c r="G121" s="5" t="s">
        <v>1644</v>
      </c>
      <c r="H121" s="5" t="s">
        <v>1960</v>
      </c>
      <c r="L121" s="17">
        <v>25</v>
      </c>
      <c r="M121" s="17">
        <v>1.0000177549342111</v>
      </c>
      <c r="N121" s="17">
        <v>16</v>
      </c>
      <c r="O121" s="18">
        <v>0.97</v>
      </c>
      <c r="P121" s="18">
        <v>0.69</v>
      </c>
      <c r="Q121" s="18">
        <f t="shared" si="2"/>
        <v>0.69</v>
      </c>
      <c r="R121" s="18">
        <f t="shared" si="3"/>
        <v>4.2041106619918009</v>
      </c>
      <c r="U121" s="5" t="s">
        <v>1647</v>
      </c>
      <c r="V121" s="5" t="s">
        <v>1961</v>
      </c>
      <c r="W121" s="5" t="s">
        <v>1962</v>
      </c>
    </row>
    <row r="122" spans="1:23">
      <c r="A122" s="5" t="s">
        <v>1642</v>
      </c>
      <c r="B122" s="5" t="s">
        <v>1643</v>
      </c>
      <c r="C122" s="5" t="s">
        <v>1596</v>
      </c>
      <c r="D122" s="5" t="s">
        <v>1770</v>
      </c>
      <c r="G122" s="5" t="s">
        <v>1673</v>
      </c>
      <c r="H122" s="5" t="s">
        <v>1963</v>
      </c>
      <c r="L122" s="17">
        <v>20</v>
      </c>
      <c r="M122" s="17">
        <v>1.0000177549342111</v>
      </c>
      <c r="N122" s="17">
        <v>16</v>
      </c>
      <c r="O122" s="18">
        <v>0.97</v>
      </c>
      <c r="P122" s="18">
        <v>0.51</v>
      </c>
      <c r="Q122" s="18">
        <f t="shared" si="2"/>
        <v>0.51</v>
      </c>
      <c r="R122" s="18">
        <f t="shared" si="3"/>
        <v>2.7431902120253508</v>
      </c>
      <c r="U122" s="5" t="s">
        <v>1647</v>
      </c>
      <c r="V122" s="5" t="s">
        <v>1771</v>
      </c>
      <c r="W122" s="5" t="s">
        <v>1772</v>
      </c>
    </row>
    <row r="123" spans="1:23">
      <c r="A123" s="5" t="s">
        <v>1642</v>
      </c>
      <c r="B123" s="5" t="s">
        <v>1643</v>
      </c>
      <c r="C123" s="5" t="s">
        <v>1596</v>
      </c>
      <c r="D123" s="5" t="s">
        <v>1770</v>
      </c>
      <c r="G123" s="5" t="s">
        <v>1673</v>
      </c>
      <c r="H123" s="5" t="s">
        <v>1964</v>
      </c>
      <c r="J123" s="5" t="s">
        <v>1965</v>
      </c>
      <c r="L123" s="17">
        <v>20</v>
      </c>
      <c r="M123" s="17">
        <v>1.0000177549342111</v>
      </c>
      <c r="N123" s="17">
        <v>16</v>
      </c>
      <c r="O123" s="18">
        <v>0.97</v>
      </c>
      <c r="P123" s="18">
        <v>0.46</v>
      </c>
      <c r="Q123" s="18">
        <f t="shared" si="2"/>
        <v>0.46</v>
      </c>
      <c r="R123" s="18">
        <f t="shared" si="3"/>
        <v>2.4242887629134993</v>
      </c>
      <c r="U123" s="5" t="s">
        <v>1647</v>
      </c>
      <c r="V123" s="5" t="s">
        <v>1771</v>
      </c>
      <c r="W123" s="5" t="s">
        <v>1772</v>
      </c>
    </row>
    <row r="124" spans="1:23">
      <c r="A124" s="5" t="s">
        <v>1642</v>
      </c>
      <c r="B124" s="5" t="s">
        <v>1643</v>
      </c>
      <c r="C124" s="5" t="s">
        <v>1596</v>
      </c>
      <c r="D124" s="5" t="s">
        <v>1781</v>
      </c>
      <c r="G124" s="5" t="s">
        <v>1644</v>
      </c>
      <c r="H124" s="5" t="s">
        <v>1960</v>
      </c>
      <c r="L124" s="17">
        <v>25</v>
      </c>
      <c r="M124" s="17">
        <v>1.0000177549342111</v>
      </c>
      <c r="N124" s="17">
        <v>16</v>
      </c>
      <c r="P124" s="18">
        <v>0.67</v>
      </c>
      <c r="Q124" s="18">
        <f t="shared" si="2"/>
        <v>0.67</v>
      </c>
      <c r="R124" s="18">
        <f t="shared" si="3"/>
        <v>4.0196128123057955</v>
      </c>
      <c r="U124" s="5" t="s">
        <v>1647</v>
      </c>
      <c r="V124" s="5" t="s">
        <v>1966</v>
      </c>
      <c r="W124" s="5" t="s">
        <v>1967</v>
      </c>
    </row>
    <row r="125" spans="1:23">
      <c r="A125" s="5" t="s">
        <v>1642</v>
      </c>
      <c r="B125" s="5" t="s">
        <v>1643</v>
      </c>
      <c r="C125" s="5" t="s">
        <v>1596</v>
      </c>
      <c r="D125" s="5" t="s">
        <v>1770</v>
      </c>
      <c r="G125" s="5" t="s">
        <v>1644</v>
      </c>
      <c r="H125" s="5" t="s">
        <v>1960</v>
      </c>
      <c r="L125" s="17">
        <v>25</v>
      </c>
      <c r="M125" s="17">
        <v>1.0000177549342111</v>
      </c>
      <c r="N125" s="17">
        <v>16</v>
      </c>
      <c r="P125" s="18">
        <v>0.71</v>
      </c>
      <c r="Q125" s="18">
        <f t="shared" si="2"/>
        <v>0.71</v>
      </c>
      <c r="R125" s="18">
        <f t="shared" si="3"/>
        <v>4.3986011247807282</v>
      </c>
      <c r="U125" s="5" t="s">
        <v>1647</v>
      </c>
      <c r="V125" s="5" t="s">
        <v>1966</v>
      </c>
      <c r="W125" s="5" t="s">
        <v>1967</v>
      </c>
    </row>
    <row r="126" spans="1:23">
      <c r="A126" s="5" t="s">
        <v>1642</v>
      </c>
      <c r="B126" s="5" t="s">
        <v>1643</v>
      </c>
      <c r="C126" s="5" t="s">
        <v>1596</v>
      </c>
      <c r="D126" s="5" t="s">
        <v>1770</v>
      </c>
      <c r="G126" s="5" t="s">
        <v>1673</v>
      </c>
      <c r="H126" s="5" t="s">
        <v>1960</v>
      </c>
      <c r="L126" s="17">
        <v>25</v>
      </c>
      <c r="M126" s="17">
        <v>1.0000177549342111</v>
      </c>
      <c r="N126" s="17">
        <v>16</v>
      </c>
      <c r="P126" s="18">
        <v>0.52300000000000002</v>
      </c>
      <c r="Q126" s="18">
        <f t="shared" si="2"/>
        <v>0.52300000000000002</v>
      </c>
      <c r="R126" s="18">
        <f t="shared" si="3"/>
        <v>2.8778858706084751</v>
      </c>
      <c r="U126" s="5" t="s">
        <v>1647</v>
      </c>
      <c r="V126" s="5" t="s">
        <v>1966</v>
      </c>
      <c r="W126" s="5" t="s">
        <v>1967</v>
      </c>
    </row>
    <row r="127" spans="1:23">
      <c r="A127" s="5" t="s">
        <v>1642</v>
      </c>
      <c r="B127" s="5" t="s">
        <v>1643</v>
      </c>
      <c r="C127" s="5" t="s">
        <v>1652</v>
      </c>
      <c r="E127" s="5" t="s">
        <v>1968</v>
      </c>
      <c r="G127" s="5" t="s">
        <v>1677</v>
      </c>
      <c r="H127" s="5" t="s">
        <v>1969</v>
      </c>
      <c r="L127" s="17">
        <v>20</v>
      </c>
      <c r="M127" s="17">
        <v>1.72372490131579</v>
      </c>
      <c r="N127" s="17">
        <v>10</v>
      </c>
      <c r="P127" s="18">
        <v>0.05</v>
      </c>
      <c r="Q127" s="18">
        <f t="shared" si="2"/>
        <v>0.05</v>
      </c>
      <c r="R127" s="18">
        <f t="shared" si="3"/>
        <v>0.24394298902583123</v>
      </c>
      <c r="U127" s="5" t="s">
        <v>1647</v>
      </c>
      <c r="V127" s="5" t="s">
        <v>1679</v>
      </c>
      <c r="W127" s="5" t="s">
        <v>1680</v>
      </c>
    </row>
    <row r="128" spans="1:23">
      <c r="A128" s="5" t="s">
        <v>1642</v>
      </c>
      <c r="B128" s="5" t="s">
        <v>1643</v>
      </c>
      <c r="C128" s="5" t="s">
        <v>1652</v>
      </c>
      <c r="E128" s="5" t="s">
        <v>1968</v>
      </c>
      <c r="G128" s="5" t="s">
        <v>1677</v>
      </c>
      <c r="L128" s="17">
        <v>20</v>
      </c>
      <c r="M128" s="17">
        <v>1.72372490131579</v>
      </c>
      <c r="N128" s="17">
        <v>10</v>
      </c>
      <c r="P128" s="18">
        <v>0.1</v>
      </c>
      <c r="Q128" s="18">
        <f t="shared" si="2"/>
        <v>0.1</v>
      </c>
      <c r="R128" s="18">
        <f t="shared" si="3"/>
        <v>0.48911388521868965</v>
      </c>
      <c r="U128" s="5" t="s">
        <v>1647</v>
      </c>
      <c r="V128" s="5" t="s">
        <v>1679</v>
      </c>
      <c r="W128" s="5" t="s">
        <v>1680</v>
      </c>
    </row>
    <row r="129" spans="1:23">
      <c r="A129" s="5" t="s">
        <v>1642</v>
      </c>
      <c r="B129" s="5" t="s">
        <v>1643</v>
      </c>
      <c r="C129" s="5" t="s">
        <v>1652</v>
      </c>
      <c r="E129" s="5" t="s">
        <v>1968</v>
      </c>
      <c r="G129" s="5" t="s">
        <v>1677</v>
      </c>
      <c r="L129" s="17">
        <v>20</v>
      </c>
      <c r="M129" s="17">
        <v>1.72372490131579</v>
      </c>
      <c r="N129" s="17">
        <v>10</v>
      </c>
      <c r="P129" s="18">
        <v>0.01</v>
      </c>
      <c r="Q129" s="18">
        <f t="shared" si="2"/>
        <v>0.01</v>
      </c>
      <c r="R129" s="18">
        <f t="shared" si="3"/>
        <v>4.8749538527952579E-2</v>
      </c>
      <c r="U129" s="5" t="s">
        <v>1647</v>
      </c>
      <c r="V129" s="5" t="s">
        <v>1679</v>
      </c>
      <c r="W129" s="5" t="s">
        <v>1680</v>
      </c>
    </row>
    <row r="130" spans="1:23">
      <c r="A130" s="5" t="s">
        <v>1642</v>
      </c>
      <c r="B130" s="5" t="s">
        <v>1643</v>
      </c>
      <c r="C130" s="5" t="s">
        <v>1652</v>
      </c>
      <c r="E130" s="5" t="s">
        <v>1968</v>
      </c>
      <c r="G130" s="5" t="s">
        <v>1677</v>
      </c>
      <c r="L130" s="17">
        <v>20</v>
      </c>
      <c r="M130" s="17">
        <v>1.72372490131579</v>
      </c>
      <c r="N130" s="17">
        <v>10</v>
      </c>
      <c r="P130" s="18">
        <v>0.08</v>
      </c>
      <c r="Q130" s="18">
        <f t="shared" ref="Q130:Q193" si="4">ABS(P130)</f>
        <v>0.08</v>
      </c>
      <c r="R130" s="18">
        <f t="shared" si="3"/>
        <v>0.39081848181128087</v>
      </c>
      <c r="U130" s="5" t="s">
        <v>1647</v>
      </c>
      <c r="V130" s="5" t="s">
        <v>1679</v>
      </c>
      <c r="W130" s="5" t="s">
        <v>1680</v>
      </c>
    </row>
    <row r="131" spans="1:23">
      <c r="A131" s="5" t="s">
        <v>1642</v>
      </c>
      <c r="B131" s="5" t="s">
        <v>1643</v>
      </c>
      <c r="C131" s="5" t="s">
        <v>1652</v>
      </c>
      <c r="E131" s="5" t="s">
        <v>1968</v>
      </c>
      <c r="G131" s="5" t="s">
        <v>1677</v>
      </c>
      <c r="H131" s="5" t="s">
        <v>1970</v>
      </c>
      <c r="L131" s="17">
        <v>20</v>
      </c>
      <c r="M131" s="17">
        <v>1.72372490131579</v>
      </c>
      <c r="N131" s="17">
        <v>10</v>
      </c>
      <c r="P131" s="18">
        <v>0.33</v>
      </c>
      <c r="Q131" s="18">
        <f t="shared" si="4"/>
        <v>0.33</v>
      </c>
      <c r="R131" s="18">
        <f t="shared" ref="R131:R194" si="5">8.3145*(L131+273.15)*LN((Q131+1)/(1-Q131))*0.001</f>
        <v>1.6712162091597618</v>
      </c>
      <c r="U131" s="5" t="s">
        <v>1647</v>
      </c>
      <c r="V131" s="5" t="s">
        <v>1679</v>
      </c>
      <c r="W131" s="5" t="s">
        <v>1680</v>
      </c>
    </row>
    <row r="132" spans="1:23">
      <c r="A132" s="5" t="s">
        <v>1642</v>
      </c>
      <c r="B132" s="5" t="s">
        <v>1643</v>
      </c>
      <c r="C132" s="5" t="s">
        <v>1652</v>
      </c>
      <c r="E132" s="5" t="s">
        <v>1968</v>
      </c>
      <c r="G132" s="5" t="s">
        <v>1677</v>
      </c>
      <c r="H132" s="5" t="s">
        <v>1971</v>
      </c>
      <c r="L132" s="17">
        <v>20</v>
      </c>
      <c r="M132" s="17">
        <v>1.72372490131579</v>
      </c>
      <c r="N132" s="17">
        <v>10</v>
      </c>
      <c r="P132" s="18">
        <v>0.08</v>
      </c>
      <c r="Q132" s="18">
        <f t="shared" si="4"/>
        <v>0.08</v>
      </c>
      <c r="R132" s="18">
        <f t="shared" si="5"/>
        <v>0.39081848181128087</v>
      </c>
      <c r="U132" s="5" t="s">
        <v>1647</v>
      </c>
      <c r="V132" s="5" t="s">
        <v>1679</v>
      </c>
      <c r="W132" s="5" t="s">
        <v>1680</v>
      </c>
    </row>
    <row r="133" spans="1:23">
      <c r="A133" s="5" t="s">
        <v>1642</v>
      </c>
      <c r="B133" s="5" t="s">
        <v>1643</v>
      </c>
      <c r="C133" s="5" t="s">
        <v>1652</v>
      </c>
      <c r="E133" s="5" t="s">
        <v>1968</v>
      </c>
      <c r="G133" s="5" t="s">
        <v>1677</v>
      </c>
      <c r="H133" s="5" t="s">
        <v>1972</v>
      </c>
      <c r="L133" s="17">
        <v>20</v>
      </c>
      <c r="M133" s="17">
        <v>1.72372490131579</v>
      </c>
      <c r="N133" s="17">
        <v>10</v>
      </c>
      <c r="P133" s="18">
        <v>0.03</v>
      </c>
      <c r="Q133" s="18">
        <f t="shared" si="4"/>
        <v>0.03</v>
      </c>
      <c r="R133" s="18">
        <f t="shared" si="5"/>
        <v>0.1462876373288769</v>
      </c>
      <c r="U133" s="5" t="s">
        <v>1647</v>
      </c>
      <c r="V133" s="5" t="s">
        <v>1679</v>
      </c>
      <c r="W133" s="5" t="s">
        <v>1680</v>
      </c>
    </row>
    <row r="134" spans="1:23">
      <c r="A134" s="5" t="s">
        <v>1642</v>
      </c>
      <c r="B134" s="5" t="s">
        <v>1643</v>
      </c>
      <c r="C134" s="5" t="s">
        <v>1652</v>
      </c>
      <c r="E134" s="5" t="s">
        <v>1968</v>
      </c>
      <c r="G134" s="5" t="s">
        <v>1677</v>
      </c>
      <c r="H134" s="5" t="s">
        <v>1973</v>
      </c>
      <c r="L134" s="17">
        <v>20</v>
      </c>
      <c r="M134" s="17">
        <v>1.72372490131579</v>
      </c>
      <c r="N134" s="17">
        <v>10</v>
      </c>
      <c r="P134" s="18">
        <v>0.56999999999999995</v>
      </c>
      <c r="Q134" s="18">
        <f t="shared" si="4"/>
        <v>0.56999999999999995</v>
      </c>
      <c r="R134" s="18">
        <f t="shared" si="5"/>
        <v>3.1565387628918695</v>
      </c>
      <c r="U134" s="5" t="s">
        <v>1647</v>
      </c>
      <c r="V134" s="5" t="s">
        <v>1679</v>
      </c>
      <c r="W134" s="5" t="s">
        <v>1680</v>
      </c>
    </row>
    <row r="135" spans="1:23">
      <c r="A135" s="5" t="s">
        <v>1642</v>
      </c>
      <c r="B135" s="5" t="s">
        <v>1643</v>
      </c>
      <c r="C135" s="5" t="s">
        <v>1652</v>
      </c>
      <c r="G135" s="5" t="s">
        <v>1677</v>
      </c>
      <c r="H135" s="5" t="s">
        <v>1974</v>
      </c>
      <c r="L135" s="17">
        <v>20</v>
      </c>
      <c r="M135" s="17">
        <v>1.72372490131579</v>
      </c>
      <c r="N135" s="17">
        <v>10</v>
      </c>
      <c r="P135" s="18">
        <v>0.08</v>
      </c>
      <c r="Q135" s="18">
        <f t="shared" si="4"/>
        <v>0.08</v>
      </c>
      <c r="R135" s="18">
        <f t="shared" si="5"/>
        <v>0.39081848181128087</v>
      </c>
      <c r="U135" s="5" t="s">
        <v>1647</v>
      </c>
      <c r="V135" s="5" t="s">
        <v>1679</v>
      </c>
      <c r="W135" s="5" t="s">
        <v>1680</v>
      </c>
    </row>
    <row r="136" spans="1:23">
      <c r="A136" s="5" t="s">
        <v>1642</v>
      </c>
      <c r="B136" s="5" t="s">
        <v>1643</v>
      </c>
      <c r="C136" s="5" t="s">
        <v>1652</v>
      </c>
      <c r="G136" s="5" t="s">
        <v>1677</v>
      </c>
      <c r="H136" s="5" t="s">
        <v>1974</v>
      </c>
      <c r="L136" s="17">
        <v>20</v>
      </c>
      <c r="M136" s="17">
        <v>1.72372490131579</v>
      </c>
      <c r="N136" s="17">
        <v>10</v>
      </c>
      <c r="P136" s="18">
        <v>0.03</v>
      </c>
      <c r="Q136" s="18">
        <f t="shared" si="4"/>
        <v>0.03</v>
      </c>
      <c r="R136" s="18">
        <f t="shared" si="5"/>
        <v>0.1462876373288769</v>
      </c>
      <c r="U136" s="5" t="s">
        <v>1647</v>
      </c>
      <c r="V136" s="5" t="s">
        <v>1679</v>
      </c>
      <c r="W136" s="5" t="s">
        <v>1680</v>
      </c>
    </row>
    <row r="137" spans="1:23">
      <c r="A137" s="5" t="s">
        <v>1642</v>
      </c>
      <c r="B137" s="5" t="s">
        <v>1643</v>
      </c>
      <c r="C137" s="5" t="s">
        <v>1652</v>
      </c>
      <c r="G137" s="5" t="s">
        <v>1677</v>
      </c>
      <c r="H137" s="5" t="s">
        <v>1974</v>
      </c>
      <c r="L137" s="17">
        <v>20</v>
      </c>
      <c r="M137" s="17">
        <v>1.72372490131579</v>
      </c>
      <c r="N137" s="17">
        <v>10</v>
      </c>
      <c r="P137" s="18">
        <v>0.12</v>
      </c>
      <c r="Q137" s="18">
        <f t="shared" si="4"/>
        <v>0.12</v>
      </c>
      <c r="R137" s="18">
        <f t="shared" si="5"/>
        <v>0.58780735425958763</v>
      </c>
      <c r="U137" s="5" t="s">
        <v>1647</v>
      </c>
      <c r="V137" s="5" t="s">
        <v>1679</v>
      </c>
      <c r="W137" s="5" t="s">
        <v>1680</v>
      </c>
    </row>
    <row r="138" spans="1:23">
      <c r="A138" s="5" t="s">
        <v>1642</v>
      </c>
      <c r="B138" s="5" t="s">
        <v>1643</v>
      </c>
      <c r="C138" s="5" t="s">
        <v>1652</v>
      </c>
      <c r="G138" s="5" t="s">
        <v>1677</v>
      </c>
      <c r="H138" s="5" t="s">
        <v>1974</v>
      </c>
      <c r="L138" s="17">
        <v>20</v>
      </c>
      <c r="M138" s="17">
        <v>1.72372490131579</v>
      </c>
      <c r="N138" s="17">
        <v>10</v>
      </c>
      <c r="P138" s="18">
        <v>0.01</v>
      </c>
      <c r="Q138" s="18">
        <f t="shared" si="4"/>
        <v>0.01</v>
      </c>
      <c r="R138" s="18">
        <f t="shared" si="5"/>
        <v>4.8749538527952579E-2</v>
      </c>
      <c r="U138" s="5" t="s">
        <v>1647</v>
      </c>
      <c r="V138" s="5" t="s">
        <v>1679</v>
      </c>
      <c r="W138" s="5" t="s">
        <v>1680</v>
      </c>
    </row>
    <row r="139" spans="1:23">
      <c r="A139" s="5" t="s">
        <v>1642</v>
      </c>
      <c r="B139" s="5" t="s">
        <v>1643</v>
      </c>
      <c r="C139" s="5" t="s">
        <v>1652</v>
      </c>
      <c r="G139" s="5" t="s">
        <v>1677</v>
      </c>
      <c r="H139" s="5" t="s">
        <v>1974</v>
      </c>
      <c r="L139" s="17">
        <v>20</v>
      </c>
      <c r="M139" s="17">
        <v>1.72372490131579</v>
      </c>
      <c r="N139" s="17">
        <v>10</v>
      </c>
      <c r="P139" s="18">
        <v>0.13</v>
      </c>
      <c r="Q139" s="18">
        <f t="shared" si="4"/>
        <v>0.13</v>
      </c>
      <c r="R139" s="18">
        <f t="shared" si="5"/>
        <v>0.63732949002107353</v>
      </c>
      <c r="U139" s="5" t="s">
        <v>1647</v>
      </c>
      <c r="V139" s="5" t="s">
        <v>1679</v>
      </c>
      <c r="W139" s="5" t="s">
        <v>1680</v>
      </c>
    </row>
    <row r="140" spans="1:23">
      <c r="A140" s="5" t="s">
        <v>1642</v>
      </c>
      <c r="B140" s="5" t="s">
        <v>1643</v>
      </c>
      <c r="C140" s="5" t="s">
        <v>1652</v>
      </c>
      <c r="E140" s="5" t="s">
        <v>1975</v>
      </c>
      <c r="G140" s="5" t="s">
        <v>1677</v>
      </c>
      <c r="L140" s="17">
        <v>20</v>
      </c>
      <c r="M140" s="17">
        <v>1.72372490131579</v>
      </c>
      <c r="N140" s="17">
        <v>10</v>
      </c>
      <c r="P140" s="18">
        <v>0.01</v>
      </c>
      <c r="Q140" s="18">
        <f t="shared" si="4"/>
        <v>0.01</v>
      </c>
      <c r="R140" s="18">
        <f t="shared" si="5"/>
        <v>4.8749538527952579E-2</v>
      </c>
      <c r="U140" s="5" t="s">
        <v>1647</v>
      </c>
      <c r="V140" s="5" t="s">
        <v>1679</v>
      </c>
      <c r="W140" s="5" t="s">
        <v>1680</v>
      </c>
    </row>
    <row r="141" spans="1:23">
      <c r="A141" s="5" t="s">
        <v>1642</v>
      </c>
      <c r="B141" s="5" t="s">
        <v>1643</v>
      </c>
      <c r="C141" s="5" t="s">
        <v>1652</v>
      </c>
      <c r="E141" s="5" t="s">
        <v>1975</v>
      </c>
      <c r="G141" s="5" t="s">
        <v>1677</v>
      </c>
      <c r="L141" s="17">
        <v>20</v>
      </c>
      <c r="M141" s="17">
        <v>1.72372490131579</v>
      </c>
      <c r="N141" s="17">
        <v>10</v>
      </c>
      <c r="P141" s="18">
        <v>0.05</v>
      </c>
      <c r="Q141" s="18">
        <f t="shared" si="4"/>
        <v>0.05</v>
      </c>
      <c r="R141" s="18">
        <f t="shared" si="5"/>
        <v>0.24394298902583123</v>
      </c>
      <c r="U141" s="5" t="s">
        <v>1647</v>
      </c>
      <c r="V141" s="5" t="s">
        <v>1679</v>
      </c>
      <c r="W141" s="5" t="s">
        <v>1680</v>
      </c>
    </row>
    <row r="142" spans="1:23">
      <c r="A142" s="5" t="s">
        <v>1642</v>
      </c>
      <c r="B142" s="5" t="s">
        <v>1643</v>
      </c>
      <c r="C142" s="5" t="s">
        <v>1652</v>
      </c>
      <c r="E142" s="5" t="s">
        <v>1975</v>
      </c>
      <c r="G142" s="5" t="s">
        <v>1677</v>
      </c>
      <c r="H142" s="5" t="s">
        <v>1970</v>
      </c>
      <c r="L142" s="17">
        <v>20</v>
      </c>
      <c r="M142" s="17">
        <v>1.72372490131579</v>
      </c>
      <c r="N142" s="17">
        <v>10</v>
      </c>
      <c r="P142" s="18">
        <v>7.0000000000000007E-2</v>
      </c>
      <c r="Q142" s="18">
        <f t="shared" si="4"/>
        <v>7.0000000000000007E-2</v>
      </c>
      <c r="R142" s="18">
        <f t="shared" si="5"/>
        <v>0.34179439001380313</v>
      </c>
      <c r="U142" s="5" t="s">
        <v>1647</v>
      </c>
      <c r="V142" s="5" t="s">
        <v>1679</v>
      </c>
      <c r="W142" s="5" t="s">
        <v>1680</v>
      </c>
    </row>
    <row r="143" spans="1:23">
      <c r="A143" s="5" t="s">
        <v>1642</v>
      </c>
      <c r="B143" s="5" t="s">
        <v>1643</v>
      </c>
      <c r="C143" s="5" t="s">
        <v>1652</v>
      </c>
      <c r="E143" s="5" t="s">
        <v>1975</v>
      </c>
      <c r="G143" s="5" t="s">
        <v>1677</v>
      </c>
      <c r="H143" s="5" t="s">
        <v>1971</v>
      </c>
      <c r="L143" s="17">
        <v>20</v>
      </c>
      <c r="M143" s="17">
        <v>1.72372490131579</v>
      </c>
      <c r="N143" s="17">
        <v>10</v>
      </c>
      <c r="P143" s="18">
        <v>0.05</v>
      </c>
      <c r="Q143" s="18">
        <f t="shared" si="4"/>
        <v>0.05</v>
      </c>
      <c r="R143" s="18">
        <f t="shared" si="5"/>
        <v>0.24394298902583123</v>
      </c>
      <c r="U143" s="5" t="s">
        <v>1647</v>
      </c>
      <c r="V143" s="5" t="s">
        <v>1679</v>
      </c>
      <c r="W143" s="5" t="s">
        <v>1680</v>
      </c>
    </row>
    <row r="144" spans="1:23">
      <c r="A144" s="5" t="s">
        <v>1642</v>
      </c>
      <c r="B144" s="5" t="s">
        <v>1643</v>
      </c>
      <c r="C144" s="5" t="s">
        <v>1652</v>
      </c>
      <c r="E144" s="5" t="s">
        <v>1975</v>
      </c>
      <c r="G144" s="5" t="s">
        <v>1677</v>
      </c>
      <c r="H144" s="5" t="s">
        <v>1972</v>
      </c>
      <c r="L144" s="17">
        <v>20</v>
      </c>
      <c r="M144" s="17">
        <v>1.72372490131579</v>
      </c>
      <c r="N144" s="17">
        <v>10</v>
      </c>
      <c r="P144" s="18">
        <v>0.02</v>
      </c>
      <c r="Q144" s="18">
        <f t="shared" si="4"/>
        <v>0.02</v>
      </c>
      <c r="R144" s="18">
        <f t="shared" si="5"/>
        <v>9.750882956435826E-2</v>
      </c>
      <c r="U144" s="5" t="s">
        <v>1647</v>
      </c>
      <c r="V144" s="5" t="s">
        <v>1679</v>
      </c>
      <c r="W144" s="5" t="s">
        <v>1680</v>
      </c>
    </row>
    <row r="145" spans="1:23">
      <c r="A145" s="5" t="s">
        <v>1642</v>
      </c>
      <c r="B145" s="5" t="s">
        <v>1643</v>
      </c>
      <c r="C145" s="5" t="s">
        <v>1652</v>
      </c>
      <c r="E145" s="5" t="s">
        <v>1975</v>
      </c>
      <c r="G145" s="5" t="s">
        <v>1677</v>
      </c>
      <c r="H145" s="5" t="s">
        <v>1973</v>
      </c>
      <c r="L145" s="17">
        <v>20</v>
      </c>
      <c r="M145" s="17">
        <v>1.72372490131579</v>
      </c>
      <c r="N145" s="17">
        <v>10</v>
      </c>
      <c r="P145" s="18">
        <v>0.05</v>
      </c>
      <c r="Q145" s="18">
        <f t="shared" si="4"/>
        <v>0.05</v>
      </c>
      <c r="R145" s="18">
        <f t="shared" si="5"/>
        <v>0.24394298902583123</v>
      </c>
      <c r="U145" s="5" t="s">
        <v>1647</v>
      </c>
      <c r="V145" s="5" t="s">
        <v>1679</v>
      </c>
      <c r="W145" s="5" t="s">
        <v>1680</v>
      </c>
    </row>
    <row r="146" spans="1:23">
      <c r="A146" s="5" t="s">
        <v>1642</v>
      </c>
      <c r="B146" s="5" t="s">
        <v>1643</v>
      </c>
      <c r="C146" s="5" t="s">
        <v>1652</v>
      </c>
      <c r="G146" s="5" t="s">
        <v>1677</v>
      </c>
      <c r="H146" s="5" t="s">
        <v>1976</v>
      </c>
      <c r="L146" s="17">
        <v>20</v>
      </c>
      <c r="M146" s="17">
        <v>1.72372490131579</v>
      </c>
      <c r="N146" s="17">
        <v>10</v>
      </c>
      <c r="P146" s="18">
        <v>0.01</v>
      </c>
      <c r="Q146" s="18">
        <f t="shared" si="4"/>
        <v>0.01</v>
      </c>
      <c r="R146" s="18">
        <f t="shared" si="5"/>
        <v>4.8749538527952579E-2</v>
      </c>
      <c r="U146" s="5" t="s">
        <v>1647</v>
      </c>
      <c r="V146" s="5" t="s">
        <v>1679</v>
      </c>
      <c r="W146" s="5" t="s">
        <v>1680</v>
      </c>
    </row>
    <row r="147" spans="1:23">
      <c r="A147" s="5" t="s">
        <v>1642</v>
      </c>
      <c r="B147" s="5" t="s">
        <v>1643</v>
      </c>
      <c r="C147" s="5" t="s">
        <v>1652</v>
      </c>
      <c r="G147" s="5" t="s">
        <v>1677</v>
      </c>
      <c r="H147" s="5" t="s">
        <v>1976</v>
      </c>
      <c r="L147" s="17">
        <v>20</v>
      </c>
      <c r="M147" s="17">
        <v>1.72372490131579</v>
      </c>
      <c r="N147" s="17">
        <v>10</v>
      </c>
      <c r="P147" s="18">
        <v>0.03</v>
      </c>
      <c r="Q147" s="18">
        <f t="shared" si="4"/>
        <v>0.03</v>
      </c>
      <c r="R147" s="18">
        <f t="shared" si="5"/>
        <v>0.1462876373288769</v>
      </c>
      <c r="U147" s="5" t="s">
        <v>1647</v>
      </c>
      <c r="V147" s="5" t="s">
        <v>1679</v>
      </c>
      <c r="W147" s="5" t="s">
        <v>1680</v>
      </c>
    </row>
    <row r="148" spans="1:23">
      <c r="A148" s="5" t="s">
        <v>1642</v>
      </c>
      <c r="B148" s="5" t="s">
        <v>1643</v>
      </c>
      <c r="C148" s="5" t="s">
        <v>1652</v>
      </c>
      <c r="G148" s="5" t="s">
        <v>1677</v>
      </c>
      <c r="H148" s="5" t="s">
        <v>1970</v>
      </c>
      <c r="L148" s="17">
        <v>20</v>
      </c>
      <c r="M148" s="17">
        <v>1.72372490131579</v>
      </c>
      <c r="N148" s="17">
        <v>10</v>
      </c>
      <c r="P148" s="18">
        <v>0.01</v>
      </c>
      <c r="Q148" s="18">
        <f t="shared" si="4"/>
        <v>0.01</v>
      </c>
      <c r="R148" s="18">
        <f t="shared" si="5"/>
        <v>4.8749538527952579E-2</v>
      </c>
      <c r="U148" s="5" t="s">
        <v>1647</v>
      </c>
      <c r="V148" s="5" t="s">
        <v>1679</v>
      </c>
      <c r="W148" s="5" t="s">
        <v>1680</v>
      </c>
    </row>
    <row r="149" spans="1:23">
      <c r="A149" s="5" t="s">
        <v>1642</v>
      </c>
      <c r="B149" s="5" t="s">
        <v>1643</v>
      </c>
      <c r="C149" s="5" t="s">
        <v>1652</v>
      </c>
      <c r="G149" s="5" t="s">
        <v>1677</v>
      </c>
      <c r="H149" s="5" t="s">
        <v>1976</v>
      </c>
      <c r="L149" s="17">
        <v>20</v>
      </c>
      <c r="M149" s="17">
        <v>1.72372490131579</v>
      </c>
      <c r="N149" s="17">
        <v>10</v>
      </c>
      <c r="P149" s="18">
        <v>0.05</v>
      </c>
      <c r="Q149" s="18">
        <f t="shared" si="4"/>
        <v>0.05</v>
      </c>
      <c r="R149" s="18">
        <f t="shared" si="5"/>
        <v>0.24394298902583123</v>
      </c>
      <c r="U149" s="5" t="s">
        <v>1647</v>
      </c>
      <c r="V149" s="5" t="s">
        <v>1679</v>
      </c>
      <c r="W149" s="5" t="s">
        <v>1680</v>
      </c>
    </row>
    <row r="150" spans="1:23">
      <c r="A150" s="5" t="s">
        <v>1642</v>
      </c>
      <c r="B150" s="5" t="s">
        <v>1643</v>
      </c>
      <c r="C150" s="5" t="s">
        <v>1652</v>
      </c>
      <c r="G150" s="5" t="s">
        <v>1677</v>
      </c>
      <c r="H150" s="5" t="s">
        <v>1972</v>
      </c>
      <c r="L150" s="17">
        <v>20</v>
      </c>
      <c r="M150" s="17">
        <v>1.72372490131579</v>
      </c>
      <c r="N150" s="17">
        <v>10</v>
      </c>
      <c r="P150" s="18">
        <v>0.01</v>
      </c>
      <c r="Q150" s="18">
        <f t="shared" si="4"/>
        <v>0.01</v>
      </c>
      <c r="R150" s="18">
        <f t="shared" si="5"/>
        <v>4.8749538527952579E-2</v>
      </c>
      <c r="U150" s="5" t="s">
        <v>1647</v>
      </c>
      <c r="V150" s="5" t="s">
        <v>1679</v>
      </c>
      <c r="W150" s="5" t="s">
        <v>1680</v>
      </c>
    </row>
    <row r="151" spans="1:23">
      <c r="A151" s="5" t="s">
        <v>1642</v>
      </c>
      <c r="B151" s="5" t="s">
        <v>1643</v>
      </c>
      <c r="C151" s="5" t="s">
        <v>1652</v>
      </c>
      <c r="G151" s="5" t="s">
        <v>1677</v>
      </c>
      <c r="H151" s="5" t="s">
        <v>1976</v>
      </c>
      <c r="L151" s="17">
        <v>20</v>
      </c>
      <c r="M151" s="17">
        <v>1.72372490131579</v>
      </c>
      <c r="N151" s="17">
        <v>10</v>
      </c>
      <c r="P151" s="18">
        <v>7.0000000000000007E-2</v>
      </c>
      <c r="Q151" s="18">
        <f t="shared" si="4"/>
        <v>7.0000000000000007E-2</v>
      </c>
      <c r="R151" s="18">
        <f t="shared" si="5"/>
        <v>0.34179439001380313</v>
      </c>
      <c r="U151" s="5" t="s">
        <v>1647</v>
      </c>
      <c r="V151" s="5" t="s">
        <v>1679</v>
      </c>
      <c r="W151" s="5" t="s">
        <v>1680</v>
      </c>
    </row>
    <row r="152" spans="1:23">
      <c r="A152" s="5" t="s">
        <v>1642</v>
      </c>
      <c r="B152" s="5" t="s">
        <v>1643</v>
      </c>
      <c r="C152" s="5" t="s">
        <v>1652</v>
      </c>
      <c r="G152" s="5" t="s">
        <v>1677</v>
      </c>
      <c r="L152" s="17">
        <v>20</v>
      </c>
      <c r="M152" s="17">
        <v>1.72372490131579</v>
      </c>
      <c r="N152" s="17">
        <v>10</v>
      </c>
      <c r="P152" s="18">
        <v>0.26</v>
      </c>
      <c r="Q152" s="18">
        <f t="shared" si="4"/>
        <v>0.26</v>
      </c>
      <c r="R152" s="18">
        <f t="shared" si="5"/>
        <v>1.2972229599899696</v>
      </c>
      <c r="U152" s="5" t="s">
        <v>1647</v>
      </c>
      <c r="V152" s="5" t="s">
        <v>1679</v>
      </c>
      <c r="W152" s="5" t="s">
        <v>1680</v>
      </c>
    </row>
    <row r="153" spans="1:23">
      <c r="A153" s="5" t="s">
        <v>1642</v>
      </c>
      <c r="B153" s="5" t="s">
        <v>1643</v>
      </c>
      <c r="C153" s="5" t="s">
        <v>1652</v>
      </c>
      <c r="G153" s="5" t="s">
        <v>1677</v>
      </c>
      <c r="L153" s="17">
        <v>20</v>
      </c>
      <c r="M153" s="17">
        <v>1.72372490131579</v>
      </c>
      <c r="N153" s="17">
        <v>10</v>
      </c>
      <c r="P153" s="18">
        <v>0.43</v>
      </c>
      <c r="Q153" s="18">
        <f t="shared" si="4"/>
        <v>0.43</v>
      </c>
      <c r="R153" s="18">
        <f t="shared" si="5"/>
        <v>2.2419003634692731</v>
      </c>
      <c r="U153" s="5" t="s">
        <v>1647</v>
      </c>
      <c r="V153" s="5" t="s">
        <v>1679</v>
      </c>
      <c r="W153" s="5" t="s">
        <v>1680</v>
      </c>
    </row>
    <row r="154" spans="1:23">
      <c r="A154" s="5" t="s">
        <v>1642</v>
      </c>
      <c r="B154" s="5" t="s">
        <v>1643</v>
      </c>
      <c r="C154" s="5" t="s">
        <v>1652</v>
      </c>
      <c r="G154" s="5" t="s">
        <v>1677</v>
      </c>
      <c r="H154" s="5" t="s">
        <v>1970</v>
      </c>
      <c r="L154" s="17">
        <v>20</v>
      </c>
      <c r="M154" s="17">
        <v>1.72372490131579</v>
      </c>
      <c r="N154" s="17">
        <v>10</v>
      </c>
      <c r="P154" s="18">
        <v>0.28999999999999998</v>
      </c>
      <c r="Q154" s="18">
        <f t="shared" si="4"/>
        <v>0.28999999999999998</v>
      </c>
      <c r="R154" s="18">
        <f t="shared" si="5"/>
        <v>1.4554482394924571</v>
      </c>
      <c r="U154" s="5" t="s">
        <v>1647</v>
      </c>
      <c r="V154" s="5" t="s">
        <v>1679</v>
      </c>
      <c r="W154" s="5" t="s">
        <v>1680</v>
      </c>
    </row>
    <row r="155" spans="1:23">
      <c r="A155" s="5" t="s">
        <v>1642</v>
      </c>
      <c r="B155" s="5" t="s">
        <v>1643</v>
      </c>
      <c r="C155" s="5" t="s">
        <v>1652</v>
      </c>
      <c r="G155" s="5" t="s">
        <v>1677</v>
      </c>
      <c r="H155" s="5" t="s">
        <v>1972</v>
      </c>
      <c r="L155" s="17">
        <v>20</v>
      </c>
      <c r="M155" s="17">
        <v>1.72372490131579</v>
      </c>
      <c r="N155" s="17">
        <v>10</v>
      </c>
      <c r="P155" s="18">
        <v>0.03</v>
      </c>
      <c r="Q155" s="18">
        <f t="shared" si="4"/>
        <v>0.03</v>
      </c>
      <c r="R155" s="18">
        <f t="shared" si="5"/>
        <v>0.1462876373288769</v>
      </c>
      <c r="U155" s="5" t="s">
        <v>1647</v>
      </c>
      <c r="V155" s="5" t="s">
        <v>1679</v>
      </c>
      <c r="W155" s="5" t="s">
        <v>1680</v>
      </c>
    </row>
    <row r="156" spans="1:23">
      <c r="A156" s="5" t="s">
        <v>1642</v>
      </c>
      <c r="B156" s="5" t="s">
        <v>1643</v>
      </c>
      <c r="C156" s="5" t="s">
        <v>1652</v>
      </c>
      <c r="G156" s="5" t="s">
        <v>1677</v>
      </c>
      <c r="H156" s="5" t="s">
        <v>1973</v>
      </c>
      <c r="L156" s="17">
        <v>20</v>
      </c>
      <c r="M156" s="17">
        <v>1.72372490131579</v>
      </c>
      <c r="N156" s="17">
        <v>10</v>
      </c>
      <c r="P156" s="18">
        <v>0.61</v>
      </c>
      <c r="Q156" s="18">
        <f t="shared" si="4"/>
        <v>0.61</v>
      </c>
      <c r="R156" s="18">
        <f t="shared" si="5"/>
        <v>3.4558437107669708</v>
      </c>
      <c r="U156" s="5" t="s">
        <v>1647</v>
      </c>
      <c r="V156" s="5" t="s">
        <v>1679</v>
      </c>
      <c r="W156" s="5" t="s">
        <v>1680</v>
      </c>
    </row>
    <row r="157" spans="1:23">
      <c r="A157" s="5" t="s">
        <v>1642</v>
      </c>
      <c r="B157" s="5" t="s">
        <v>1643</v>
      </c>
      <c r="C157" s="5" t="s">
        <v>1652</v>
      </c>
      <c r="G157" s="5" t="s">
        <v>1677</v>
      </c>
      <c r="L157" s="17">
        <v>20</v>
      </c>
      <c r="M157" s="17">
        <v>1.72372490131579</v>
      </c>
      <c r="N157" s="17">
        <v>10</v>
      </c>
      <c r="P157" s="18">
        <v>0.04</v>
      </c>
      <c r="Q157" s="18">
        <f t="shared" si="4"/>
        <v>0.04</v>
      </c>
      <c r="R157" s="18">
        <f t="shared" si="5"/>
        <v>0.19509574949876737</v>
      </c>
      <c r="U157" s="5" t="s">
        <v>1647</v>
      </c>
      <c r="V157" s="5" t="s">
        <v>1679</v>
      </c>
      <c r="W157" s="5" t="s">
        <v>1680</v>
      </c>
    </row>
    <row r="158" spans="1:23">
      <c r="A158" s="5" t="s">
        <v>1642</v>
      </c>
      <c r="B158" s="5" t="s">
        <v>1643</v>
      </c>
      <c r="C158" s="5" t="s">
        <v>1652</v>
      </c>
      <c r="G158" s="5" t="s">
        <v>1677</v>
      </c>
      <c r="H158" s="5" t="s">
        <v>1970</v>
      </c>
      <c r="L158" s="17">
        <v>20</v>
      </c>
      <c r="M158" s="17">
        <v>1.72372490131579</v>
      </c>
      <c r="N158" s="17">
        <v>10</v>
      </c>
      <c r="P158" s="18">
        <v>0.06</v>
      </c>
      <c r="Q158" s="18">
        <f t="shared" si="4"/>
        <v>0.06</v>
      </c>
      <c r="R158" s="18">
        <f t="shared" si="5"/>
        <v>0.2928392260596967</v>
      </c>
      <c r="U158" s="5" t="s">
        <v>1647</v>
      </c>
      <c r="V158" s="5" t="s">
        <v>1679</v>
      </c>
      <c r="W158" s="5" t="s">
        <v>1680</v>
      </c>
    </row>
    <row r="159" spans="1:23">
      <c r="A159" s="5" t="s">
        <v>1642</v>
      </c>
      <c r="B159" s="5" t="s">
        <v>1643</v>
      </c>
      <c r="C159" s="5" t="s">
        <v>1652</v>
      </c>
      <c r="G159" s="5" t="s">
        <v>1677</v>
      </c>
      <c r="H159" s="5" t="s">
        <v>1971</v>
      </c>
      <c r="L159" s="17">
        <v>20</v>
      </c>
      <c r="M159" s="17">
        <v>1.72372490131579</v>
      </c>
      <c r="N159" s="17">
        <v>10</v>
      </c>
      <c r="P159" s="18">
        <v>0.02</v>
      </c>
      <c r="Q159" s="18">
        <f t="shared" si="4"/>
        <v>0.02</v>
      </c>
      <c r="R159" s="18">
        <f t="shared" si="5"/>
        <v>9.750882956435826E-2</v>
      </c>
      <c r="U159" s="5" t="s">
        <v>1647</v>
      </c>
      <c r="V159" s="5" t="s">
        <v>1679</v>
      </c>
      <c r="W159" s="5" t="s">
        <v>1680</v>
      </c>
    </row>
    <row r="160" spans="1:23">
      <c r="A160" s="5" t="s">
        <v>1642</v>
      </c>
      <c r="B160" s="5" t="s">
        <v>1643</v>
      </c>
      <c r="C160" s="5" t="s">
        <v>1652</v>
      </c>
      <c r="G160" s="5" t="s">
        <v>1677</v>
      </c>
      <c r="H160" s="5" t="s">
        <v>1972</v>
      </c>
      <c r="L160" s="17">
        <v>20</v>
      </c>
      <c r="M160" s="17">
        <v>1.72372490131579</v>
      </c>
      <c r="N160" s="17">
        <v>10</v>
      </c>
      <c r="P160" s="18">
        <v>0.1</v>
      </c>
      <c r="Q160" s="18">
        <f t="shared" si="4"/>
        <v>0.1</v>
      </c>
      <c r="R160" s="18">
        <f t="shared" si="5"/>
        <v>0.48911388521868965</v>
      </c>
      <c r="U160" s="5" t="s">
        <v>1647</v>
      </c>
      <c r="V160" s="5" t="s">
        <v>1679</v>
      </c>
      <c r="W160" s="5" t="s">
        <v>1680</v>
      </c>
    </row>
    <row r="161" spans="1:23">
      <c r="A161" s="5" t="s">
        <v>1642</v>
      </c>
      <c r="B161" s="5" t="s">
        <v>1643</v>
      </c>
      <c r="C161" s="5" t="s">
        <v>1652</v>
      </c>
      <c r="G161" s="5" t="s">
        <v>1677</v>
      </c>
      <c r="L161" s="17">
        <v>20</v>
      </c>
      <c r="M161" s="17">
        <v>1.72372490131579</v>
      </c>
      <c r="N161" s="17">
        <v>10</v>
      </c>
      <c r="P161" s="18">
        <v>0.43</v>
      </c>
      <c r="Q161" s="18">
        <f t="shared" si="4"/>
        <v>0.43</v>
      </c>
      <c r="R161" s="18">
        <f t="shared" si="5"/>
        <v>2.2419003634692731</v>
      </c>
      <c r="U161" s="5" t="s">
        <v>1647</v>
      </c>
      <c r="V161" s="5" t="s">
        <v>1679</v>
      </c>
      <c r="W161" s="5" t="s">
        <v>1680</v>
      </c>
    </row>
    <row r="162" spans="1:23">
      <c r="A162" s="5" t="s">
        <v>1642</v>
      </c>
      <c r="B162" s="5" t="s">
        <v>1643</v>
      </c>
      <c r="C162" s="5" t="s">
        <v>1652</v>
      </c>
      <c r="G162" s="5" t="s">
        <v>1677</v>
      </c>
      <c r="H162" s="5" t="s">
        <v>1970</v>
      </c>
      <c r="L162" s="17">
        <v>20</v>
      </c>
      <c r="M162" s="17">
        <v>1.72372490131579</v>
      </c>
      <c r="N162" s="17">
        <v>10</v>
      </c>
      <c r="P162" s="18">
        <v>0.34</v>
      </c>
      <c r="Q162" s="18">
        <f t="shared" si="4"/>
        <v>0.34</v>
      </c>
      <c r="R162" s="18">
        <f t="shared" si="5"/>
        <v>1.7261271972847669</v>
      </c>
      <c r="U162" s="5" t="s">
        <v>1647</v>
      </c>
      <c r="V162" s="5" t="s">
        <v>1679</v>
      </c>
      <c r="W162" s="5" t="s">
        <v>1680</v>
      </c>
    </row>
    <row r="163" spans="1:23">
      <c r="A163" s="5" t="s">
        <v>1642</v>
      </c>
      <c r="B163" s="5" t="s">
        <v>1643</v>
      </c>
      <c r="C163" s="5" t="s">
        <v>1652</v>
      </c>
      <c r="G163" s="5" t="s">
        <v>1677</v>
      </c>
      <c r="H163" s="5" t="s">
        <v>1970</v>
      </c>
      <c r="L163" s="17">
        <v>20</v>
      </c>
      <c r="M163" s="17">
        <v>1.72372490131579</v>
      </c>
      <c r="N163" s="17">
        <v>10</v>
      </c>
      <c r="P163" s="18">
        <v>0.04</v>
      </c>
      <c r="Q163" s="18">
        <f t="shared" si="4"/>
        <v>0.04</v>
      </c>
      <c r="R163" s="18">
        <f t="shared" si="5"/>
        <v>0.19509574949876737</v>
      </c>
      <c r="U163" s="5" t="s">
        <v>1647</v>
      </c>
      <c r="V163" s="5" t="s">
        <v>1679</v>
      </c>
      <c r="W163" s="5" t="s">
        <v>1680</v>
      </c>
    </row>
    <row r="164" spans="1:23">
      <c r="A164" s="5" t="s">
        <v>1642</v>
      </c>
      <c r="B164" s="5" t="s">
        <v>1643</v>
      </c>
      <c r="C164" s="5" t="s">
        <v>1652</v>
      </c>
      <c r="G164" s="5" t="s">
        <v>1677</v>
      </c>
      <c r="H164" s="5" t="s">
        <v>1972</v>
      </c>
      <c r="L164" s="17">
        <v>20</v>
      </c>
      <c r="M164" s="17">
        <v>1.72372490131579</v>
      </c>
      <c r="N164" s="17">
        <v>10</v>
      </c>
      <c r="P164" s="18">
        <v>0.04</v>
      </c>
      <c r="Q164" s="18">
        <f t="shared" si="4"/>
        <v>0.04</v>
      </c>
      <c r="R164" s="18">
        <f t="shared" si="5"/>
        <v>0.19509574949876737</v>
      </c>
      <c r="U164" s="5" t="s">
        <v>1647</v>
      </c>
      <c r="V164" s="5" t="s">
        <v>1679</v>
      </c>
      <c r="W164" s="5" t="s">
        <v>1680</v>
      </c>
    </row>
    <row r="165" spans="1:23">
      <c r="A165" s="5" t="s">
        <v>1642</v>
      </c>
      <c r="B165" s="5" t="s">
        <v>1643</v>
      </c>
      <c r="C165" s="5" t="s">
        <v>1652</v>
      </c>
      <c r="G165" s="5" t="s">
        <v>1677</v>
      </c>
      <c r="H165" s="5" t="s">
        <v>1970</v>
      </c>
      <c r="L165" s="17">
        <v>20</v>
      </c>
      <c r="M165" s="17">
        <v>1.72372490131579</v>
      </c>
      <c r="N165" s="17">
        <v>10</v>
      </c>
      <c r="P165" s="18">
        <v>0.56999999999999995</v>
      </c>
      <c r="Q165" s="18">
        <f t="shared" si="4"/>
        <v>0.56999999999999995</v>
      </c>
      <c r="R165" s="18">
        <f t="shared" si="5"/>
        <v>3.1565387628918695</v>
      </c>
      <c r="U165" s="5" t="s">
        <v>1647</v>
      </c>
      <c r="V165" s="5" t="s">
        <v>1679</v>
      </c>
      <c r="W165" s="5" t="s">
        <v>1680</v>
      </c>
    </row>
    <row r="166" spans="1:23">
      <c r="A166" s="5" t="s">
        <v>1642</v>
      </c>
      <c r="B166" s="5" t="s">
        <v>1643</v>
      </c>
      <c r="C166" s="5" t="s">
        <v>1652</v>
      </c>
      <c r="G166" s="5" t="s">
        <v>1677</v>
      </c>
      <c r="H166" s="5" t="s">
        <v>1971</v>
      </c>
      <c r="L166" s="17">
        <v>20</v>
      </c>
      <c r="M166" s="17">
        <v>1.72372490131579</v>
      </c>
      <c r="N166" s="17">
        <v>10</v>
      </c>
      <c r="P166" s="18">
        <v>0.11</v>
      </c>
      <c r="Q166" s="18">
        <f t="shared" si="4"/>
        <v>0.11</v>
      </c>
      <c r="R166" s="18">
        <f t="shared" si="5"/>
        <v>0.5384056697277444</v>
      </c>
      <c r="U166" s="5" t="s">
        <v>1647</v>
      </c>
      <c r="V166" s="5" t="s">
        <v>1679</v>
      </c>
      <c r="W166" s="5" t="s">
        <v>1680</v>
      </c>
    </row>
    <row r="167" spans="1:23">
      <c r="A167" s="5" t="s">
        <v>1642</v>
      </c>
      <c r="B167" s="5" t="s">
        <v>1643</v>
      </c>
      <c r="C167" s="5" t="s">
        <v>1652</v>
      </c>
      <c r="G167" s="5" t="s">
        <v>1677</v>
      </c>
      <c r="H167" s="5" t="s">
        <v>1972</v>
      </c>
      <c r="L167" s="17">
        <v>20</v>
      </c>
      <c r="M167" s="17">
        <v>1.72372490131579</v>
      </c>
      <c r="N167" s="17">
        <v>10</v>
      </c>
      <c r="P167" s="18">
        <v>0.04</v>
      </c>
      <c r="Q167" s="18">
        <f t="shared" si="4"/>
        <v>0.04</v>
      </c>
      <c r="R167" s="18">
        <f t="shared" si="5"/>
        <v>0.19509574949876737</v>
      </c>
      <c r="U167" s="5" t="s">
        <v>1647</v>
      </c>
      <c r="V167" s="5" t="s">
        <v>1679</v>
      </c>
      <c r="W167" s="5" t="s">
        <v>1680</v>
      </c>
    </row>
    <row r="168" spans="1:23">
      <c r="A168" s="5" t="s">
        <v>1642</v>
      </c>
      <c r="B168" s="5" t="s">
        <v>1643</v>
      </c>
      <c r="C168" s="5" t="s">
        <v>1652</v>
      </c>
      <c r="G168" s="5" t="s">
        <v>1677</v>
      </c>
      <c r="H168" s="5" t="s">
        <v>1972</v>
      </c>
      <c r="L168" s="17">
        <v>20</v>
      </c>
      <c r="M168" s="17">
        <v>1.72372490131579</v>
      </c>
      <c r="N168" s="17">
        <v>10</v>
      </c>
      <c r="P168" s="18">
        <v>0.02</v>
      </c>
      <c r="Q168" s="18">
        <f t="shared" si="4"/>
        <v>0.02</v>
      </c>
      <c r="R168" s="18">
        <f t="shared" si="5"/>
        <v>9.750882956435826E-2</v>
      </c>
      <c r="U168" s="5" t="s">
        <v>1647</v>
      </c>
      <c r="V168" s="5" t="s">
        <v>1679</v>
      </c>
      <c r="W168" s="5" t="s">
        <v>1680</v>
      </c>
    </row>
    <row r="169" spans="1:23">
      <c r="A169" s="5" t="s">
        <v>1642</v>
      </c>
      <c r="B169" s="5" t="s">
        <v>1643</v>
      </c>
      <c r="C169" s="5" t="s">
        <v>1652</v>
      </c>
      <c r="G169" s="5" t="s">
        <v>1677</v>
      </c>
      <c r="H169" s="5" t="s">
        <v>1972</v>
      </c>
      <c r="L169" s="17">
        <v>20</v>
      </c>
      <c r="M169" s="17">
        <v>1.72372490131579</v>
      </c>
      <c r="N169" s="17">
        <v>10</v>
      </c>
      <c r="P169" s="18">
        <v>0.76</v>
      </c>
      <c r="Q169" s="18">
        <f t="shared" si="4"/>
        <v>0.76</v>
      </c>
      <c r="R169" s="18">
        <f t="shared" si="5"/>
        <v>4.8563406661554476</v>
      </c>
      <c r="U169" s="5" t="s">
        <v>1647</v>
      </c>
      <c r="V169" s="5" t="s">
        <v>1679</v>
      </c>
      <c r="W169" s="5" t="s">
        <v>1680</v>
      </c>
    </row>
    <row r="170" spans="1:23">
      <c r="A170" s="5" t="s">
        <v>1642</v>
      </c>
      <c r="B170" s="5" t="s">
        <v>1643</v>
      </c>
      <c r="C170" s="5" t="s">
        <v>1652</v>
      </c>
      <c r="G170" s="5" t="s">
        <v>1677</v>
      </c>
      <c r="H170" s="5" t="s">
        <v>1973</v>
      </c>
      <c r="L170" s="17">
        <v>20</v>
      </c>
      <c r="M170" s="17">
        <v>1.72372490131579</v>
      </c>
      <c r="N170" s="17">
        <v>10</v>
      </c>
      <c r="P170" s="18">
        <v>0.65</v>
      </c>
      <c r="Q170" s="18">
        <f t="shared" si="4"/>
        <v>0.65</v>
      </c>
      <c r="R170" s="18">
        <f t="shared" si="5"/>
        <v>3.7794194266771703</v>
      </c>
      <c r="U170" s="5" t="s">
        <v>1647</v>
      </c>
      <c r="V170" s="5" t="s">
        <v>1679</v>
      </c>
      <c r="W170" s="5" t="s">
        <v>1680</v>
      </c>
    </row>
    <row r="171" spans="1:23">
      <c r="A171" s="5" t="s">
        <v>1642</v>
      </c>
      <c r="B171" s="5" t="s">
        <v>1643</v>
      </c>
      <c r="C171" s="5" t="s">
        <v>1652</v>
      </c>
      <c r="G171" s="5" t="s">
        <v>1677</v>
      </c>
      <c r="H171" s="5" t="s">
        <v>1681</v>
      </c>
      <c r="L171" s="17">
        <v>20</v>
      </c>
      <c r="M171" s="17">
        <v>1.72372490131579</v>
      </c>
      <c r="P171" s="18">
        <v>0.62</v>
      </c>
      <c r="Q171" s="18">
        <f t="shared" si="4"/>
        <v>0.62</v>
      </c>
      <c r="R171" s="18">
        <f t="shared" si="5"/>
        <v>3.5342485304843119</v>
      </c>
      <c r="U171" s="5" t="s">
        <v>1647</v>
      </c>
      <c r="V171" s="5" t="s">
        <v>1679</v>
      </c>
      <c r="W171" s="5" t="s">
        <v>1680</v>
      </c>
    </row>
    <row r="172" spans="1:23">
      <c r="A172" s="5" t="s">
        <v>1642</v>
      </c>
      <c r="B172" s="5" t="s">
        <v>1643</v>
      </c>
      <c r="C172" s="5" t="s">
        <v>1652</v>
      </c>
      <c r="G172" s="5" t="s">
        <v>1677</v>
      </c>
      <c r="H172" s="5" t="s">
        <v>1681</v>
      </c>
      <c r="L172" s="17">
        <v>20</v>
      </c>
      <c r="M172" s="17">
        <v>1.72372490131579</v>
      </c>
      <c r="P172" s="18">
        <v>0.69</v>
      </c>
      <c r="Q172" s="18">
        <f t="shared" si="4"/>
        <v>0.69</v>
      </c>
      <c r="R172" s="18">
        <f t="shared" si="5"/>
        <v>4.1336073807241211</v>
      </c>
      <c r="U172" s="5" t="s">
        <v>1647</v>
      </c>
      <c r="V172" s="5" t="s">
        <v>1679</v>
      </c>
      <c r="W172" s="5" t="s">
        <v>1680</v>
      </c>
    </row>
    <row r="173" spans="1:23">
      <c r="A173" s="5" t="s">
        <v>1642</v>
      </c>
      <c r="B173" s="5" t="s">
        <v>1643</v>
      </c>
      <c r="C173" s="5" t="s">
        <v>1652</v>
      </c>
      <c r="G173" s="5" t="s">
        <v>1677</v>
      </c>
      <c r="H173" s="5" t="s">
        <v>1681</v>
      </c>
      <c r="L173" s="17">
        <v>20</v>
      </c>
      <c r="M173" s="17">
        <v>1.72372490131579</v>
      </c>
      <c r="P173" s="18">
        <v>0.56999999999999995</v>
      </c>
      <c r="Q173" s="18">
        <f t="shared" si="4"/>
        <v>0.56999999999999995</v>
      </c>
      <c r="R173" s="18">
        <f t="shared" si="5"/>
        <v>3.1565387628918695</v>
      </c>
      <c r="U173" s="5" t="s">
        <v>1647</v>
      </c>
      <c r="V173" s="5" t="s">
        <v>1679</v>
      </c>
      <c r="W173" s="5" t="s">
        <v>1680</v>
      </c>
    </row>
    <row r="174" spans="1:23">
      <c r="A174" s="5" t="s">
        <v>1642</v>
      </c>
      <c r="B174" s="5" t="s">
        <v>1643</v>
      </c>
      <c r="C174" s="5" t="s">
        <v>1652</v>
      </c>
      <c r="G174" s="5" t="s">
        <v>1677</v>
      </c>
      <c r="H174" s="5" t="s">
        <v>1681</v>
      </c>
      <c r="L174" s="17">
        <v>20</v>
      </c>
      <c r="M174" s="17">
        <v>1.72372490131579</v>
      </c>
      <c r="P174" s="18">
        <v>0.34</v>
      </c>
      <c r="Q174" s="18">
        <f t="shared" si="4"/>
        <v>0.34</v>
      </c>
      <c r="R174" s="18">
        <f t="shared" si="5"/>
        <v>1.7261271972847669</v>
      </c>
      <c r="U174" s="5" t="s">
        <v>1647</v>
      </c>
      <c r="V174" s="5" t="s">
        <v>1679</v>
      </c>
      <c r="W174" s="5" t="s">
        <v>1680</v>
      </c>
    </row>
    <row r="175" spans="1:23">
      <c r="A175" s="5" t="s">
        <v>1642</v>
      </c>
      <c r="B175" s="5" t="s">
        <v>1643</v>
      </c>
      <c r="C175" s="5" t="s">
        <v>1652</v>
      </c>
      <c r="G175" s="5" t="s">
        <v>1677</v>
      </c>
      <c r="H175" s="5" t="s">
        <v>1681</v>
      </c>
      <c r="L175" s="17">
        <v>20</v>
      </c>
      <c r="M175" s="17">
        <v>1.72372490131579</v>
      </c>
      <c r="P175" s="18">
        <v>0.41</v>
      </c>
      <c r="Q175" s="18">
        <f t="shared" si="4"/>
        <v>0.41</v>
      </c>
      <c r="R175" s="18">
        <f t="shared" si="5"/>
        <v>2.1235138229948656</v>
      </c>
      <c r="U175" s="5" t="s">
        <v>1647</v>
      </c>
      <c r="V175" s="5" t="s">
        <v>1679</v>
      </c>
      <c r="W175" s="5" t="s">
        <v>1680</v>
      </c>
    </row>
    <row r="176" spans="1:23">
      <c r="A176" s="5" t="s">
        <v>1642</v>
      </c>
      <c r="B176" s="5" t="s">
        <v>1643</v>
      </c>
      <c r="C176" s="5" t="s">
        <v>1652</v>
      </c>
      <c r="G176" s="5" t="s">
        <v>1677</v>
      </c>
      <c r="H176" s="5" t="s">
        <v>1681</v>
      </c>
      <c r="L176" s="17">
        <v>20</v>
      </c>
      <c r="M176" s="17">
        <v>1.72372490131579</v>
      </c>
      <c r="P176" s="18">
        <v>0.64</v>
      </c>
      <c r="Q176" s="18">
        <f t="shared" si="4"/>
        <v>0.64</v>
      </c>
      <c r="R176" s="18">
        <f t="shared" si="5"/>
        <v>3.695938812382888</v>
      </c>
      <c r="U176" s="5" t="s">
        <v>1647</v>
      </c>
      <c r="V176" s="5" t="s">
        <v>1679</v>
      </c>
      <c r="W176" s="5" t="s">
        <v>1680</v>
      </c>
    </row>
    <row r="177" spans="1:23">
      <c r="A177" s="5" t="s">
        <v>1642</v>
      </c>
      <c r="B177" s="5" t="s">
        <v>1643</v>
      </c>
      <c r="C177" s="5" t="s">
        <v>1652</v>
      </c>
      <c r="G177" s="5" t="s">
        <v>1677</v>
      </c>
      <c r="H177" s="5" t="s">
        <v>1681</v>
      </c>
      <c r="L177" s="17">
        <v>20</v>
      </c>
      <c r="M177" s="17">
        <v>1.72372490131579</v>
      </c>
      <c r="P177" s="18">
        <v>0.61</v>
      </c>
      <c r="Q177" s="18">
        <f t="shared" si="4"/>
        <v>0.61</v>
      </c>
      <c r="R177" s="18">
        <f t="shared" si="5"/>
        <v>3.4558437107669708</v>
      </c>
      <c r="U177" s="5" t="s">
        <v>1647</v>
      </c>
      <c r="V177" s="5" t="s">
        <v>1679</v>
      </c>
      <c r="W177" s="5" t="s">
        <v>1680</v>
      </c>
    </row>
    <row r="178" spans="1:23">
      <c r="A178" s="5" t="s">
        <v>1642</v>
      </c>
      <c r="B178" s="5" t="s">
        <v>1643</v>
      </c>
      <c r="C178" s="5" t="s">
        <v>1652</v>
      </c>
      <c r="G178" s="5" t="s">
        <v>1677</v>
      </c>
      <c r="H178" s="5" t="s">
        <v>1681</v>
      </c>
      <c r="L178" s="17">
        <v>20</v>
      </c>
      <c r="M178" s="17">
        <v>1.72372490131579</v>
      </c>
      <c r="P178" s="18">
        <v>0.31</v>
      </c>
      <c r="Q178" s="18">
        <f t="shared" si="4"/>
        <v>0.31</v>
      </c>
      <c r="R178" s="18">
        <f t="shared" si="5"/>
        <v>1.5625919885473367</v>
      </c>
      <c r="U178" s="5" t="s">
        <v>1647</v>
      </c>
      <c r="V178" s="5" t="s">
        <v>1679</v>
      </c>
      <c r="W178" s="5" t="s">
        <v>1680</v>
      </c>
    </row>
    <row r="179" spans="1:23">
      <c r="A179" s="5" t="s">
        <v>1642</v>
      </c>
      <c r="B179" s="5" t="s">
        <v>1643</v>
      </c>
      <c r="C179" s="5" t="s">
        <v>1652</v>
      </c>
      <c r="G179" s="5" t="s">
        <v>1677</v>
      </c>
      <c r="H179" s="5" t="s">
        <v>1681</v>
      </c>
      <c r="L179" s="17">
        <v>20</v>
      </c>
      <c r="M179" s="17">
        <v>1.72372490131579</v>
      </c>
      <c r="P179" s="18">
        <v>0.53</v>
      </c>
      <c r="Q179" s="18">
        <f t="shared" si="4"/>
        <v>0.53</v>
      </c>
      <c r="R179" s="18">
        <f t="shared" si="5"/>
        <v>2.8768345204381935</v>
      </c>
      <c r="U179" s="5" t="s">
        <v>1647</v>
      </c>
      <c r="V179" s="5" t="s">
        <v>1679</v>
      </c>
      <c r="W179" s="5" t="s">
        <v>1680</v>
      </c>
    </row>
    <row r="180" spans="1:23">
      <c r="A180" s="5" t="s">
        <v>1642</v>
      </c>
      <c r="B180" s="5" t="s">
        <v>1643</v>
      </c>
      <c r="C180" s="5" t="s">
        <v>1652</v>
      </c>
      <c r="G180" s="5" t="s">
        <v>1677</v>
      </c>
      <c r="H180" s="5" t="s">
        <v>1681</v>
      </c>
      <c r="L180" s="17">
        <v>20</v>
      </c>
      <c r="M180" s="17">
        <v>1.72372490131579</v>
      </c>
      <c r="P180" s="18">
        <v>0.65</v>
      </c>
      <c r="Q180" s="18">
        <f t="shared" si="4"/>
        <v>0.65</v>
      </c>
      <c r="R180" s="18">
        <f t="shared" si="5"/>
        <v>3.7794194266771703</v>
      </c>
      <c r="U180" s="5" t="s">
        <v>1647</v>
      </c>
      <c r="V180" s="5" t="s">
        <v>1679</v>
      </c>
      <c r="W180" s="5" t="s">
        <v>1680</v>
      </c>
    </row>
    <row r="181" spans="1:23">
      <c r="A181" s="5" t="s">
        <v>1642</v>
      </c>
      <c r="B181" s="5" t="s">
        <v>1643</v>
      </c>
      <c r="C181" s="5" t="s">
        <v>1652</v>
      </c>
      <c r="G181" s="5" t="s">
        <v>1677</v>
      </c>
      <c r="H181" s="5" t="s">
        <v>1681</v>
      </c>
      <c r="L181" s="17">
        <v>20</v>
      </c>
      <c r="M181" s="17">
        <v>1.72372490131579</v>
      </c>
      <c r="P181" s="18">
        <v>0.52</v>
      </c>
      <c r="Q181" s="18">
        <f t="shared" si="4"/>
        <v>0.52</v>
      </c>
      <c r="R181" s="18">
        <f t="shared" si="5"/>
        <v>2.8095360521849408</v>
      </c>
      <c r="U181" s="5" t="s">
        <v>1647</v>
      </c>
      <c r="V181" s="5" t="s">
        <v>1679</v>
      </c>
      <c r="W181" s="5" t="s">
        <v>1680</v>
      </c>
    </row>
    <row r="182" spans="1:23">
      <c r="A182" s="5" t="s">
        <v>1642</v>
      </c>
      <c r="B182" s="5" t="s">
        <v>1643</v>
      </c>
      <c r="C182" s="5" t="s">
        <v>1652</v>
      </c>
      <c r="G182" s="5" t="s">
        <v>1677</v>
      </c>
      <c r="H182" s="5" t="s">
        <v>1681</v>
      </c>
      <c r="L182" s="17">
        <v>20</v>
      </c>
      <c r="M182" s="17">
        <v>1.72372490131579</v>
      </c>
      <c r="P182" s="18">
        <v>0.79</v>
      </c>
      <c r="Q182" s="18">
        <f t="shared" si="4"/>
        <v>0.79</v>
      </c>
      <c r="R182" s="18">
        <f t="shared" si="5"/>
        <v>5.2230059055651195</v>
      </c>
      <c r="U182" s="5" t="s">
        <v>1647</v>
      </c>
      <c r="V182" s="5" t="s">
        <v>1679</v>
      </c>
      <c r="W182" s="5" t="s">
        <v>1680</v>
      </c>
    </row>
    <row r="183" spans="1:23">
      <c r="A183" s="5" t="s">
        <v>1642</v>
      </c>
      <c r="B183" s="5" t="s">
        <v>1643</v>
      </c>
      <c r="C183" s="5" t="s">
        <v>1652</v>
      </c>
      <c r="G183" s="5" t="s">
        <v>1677</v>
      </c>
      <c r="H183" s="5" t="s">
        <v>1681</v>
      </c>
      <c r="L183" s="17">
        <v>20</v>
      </c>
      <c r="M183" s="17">
        <v>1.72372490131579</v>
      </c>
      <c r="P183" s="18">
        <v>0.76</v>
      </c>
      <c r="Q183" s="18">
        <f t="shared" si="4"/>
        <v>0.76</v>
      </c>
      <c r="R183" s="18">
        <f t="shared" si="5"/>
        <v>4.8563406661554476</v>
      </c>
      <c r="U183" s="5" t="s">
        <v>1647</v>
      </c>
      <c r="V183" s="5" t="s">
        <v>1679</v>
      </c>
      <c r="W183" s="5" t="s">
        <v>1680</v>
      </c>
    </row>
    <row r="184" spans="1:23">
      <c r="A184" s="5" t="s">
        <v>1642</v>
      </c>
      <c r="B184" s="5" t="s">
        <v>1643</v>
      </c>
      <c r="C184" s="5" t="s">
        <v>1652</v>
      </c>
      <c r="G184" s="5" t="s">
        <v>1677</v>
      </c>
      <c r="H184" s="5" t="s">
        <v>1681</v>
      </c>
      <c r="L184" s="17">
        <v>20</v>
      </c>
      <c r="M184" s="17">
        <v>1.72372490131579</v>
      </c>
      <c r="P184" s="18">
        <v>0.7</v>
      </c>
      <c r="Q184" s="18">
        <f t="shared" si="4"/>
        <v>0.7</v>
      </c>
      <c r="R184" s="18">
        <f t="shared" si="5"/>
        <v>4.2279091102534068</v>
      </c>
      <c r="U184" s="5" t="s">
        <v>1647</v>
      </c>
      <c r="V184" s="5" t="s">
        <v>1679</v>
      </c>
      <c r="W184" s="5" t="s">
        <v>1680</v>
      </c>
    </row>
    <row r="185" spans="1:23">
      <c r="A185" s="5" t="s">
        <v>1642</v>
      </c>
      <c r="B185" s="5" t="s">
        <v>1643</v>
      </c>
      <c r="C185" s="5" t="s">
        <v>1652</v>
      </c>
      <c r="G185" s="5" t="s">
        <v>1677</v>
      </c>
      <c r="H185" s="5" t="s">
        <v>1681</v>
      </c>
      <c r="L185" s="17">
        <v>20</v>
      </c>
      <c r="M185" s="17">
        <v>1.72372490131579</v>
      </c>
      <c r="P185" s="18">
        <v>0.35</v>
      </c>
      <c r="Q185" s="18">
        <f t="shared" si="4"/>
        <v>0.35</v>
      </c>
      <c r="R185" s="18">
        <f t="shared" si="5"/>
        <v>1.7814620522337279</v>
      </c>
      <c r="U185" s="5" t="s">
        <v>1647</v>
      </c>
      <c r="V185" s="5" t="s">
        <v>1679</v>
      </c>
      <c r="W185" s="5" t="s">
        <v>1680</v>
      </c>
    </row>
    <row r="186" spans="1:23">
      <c r="A186" s="5" t="s">
        <v>1642</v>
      </c>
      <c r="B186" s="5" t="s">
        <v>1643</v>
      </c>
      <c r="C186" s="5" t="s">
        <v>1652</v>
      </c>
      <c r="G186" s="5" t="s">
        <v>1677</v>
      </c>
      <c r="H186" s="5" t="s">
        <v>1681</v>
      </c>
      <c r="L186" s="17">
        <v>20</v>
      </c>
      <c r="M186" s="17">
        <v>1.72372490131579</v>
      </c>
      <c r="P186" s="18">
        <v>0.66</v>
      </c>
      <c r="Q186" s="18">
        <f t="shared" si="4"/>
        <v>0.66</v>
      </c>
      <c r="R186" s="18">
        <f t="shared" si="5"/>
        <v>3.8648010348028921</v>
      </c>
      <c r="U186" s="5" t="s">
        <v>1647</v>
      </c>
      <c r="V186" s="5" t="s">
        <v>1679</v>
      </c>
      <c r="W186" s="5" t="s">
        <v>1680</v>
      </c>
    </row>
    <row r="187" spans="1:23">
      <c r="A187" s="5" t="s">
        <v>1642</v>
      </c>
      <c r="B187" s="5" t="s">
        <v>1643</v>
      </c>
      <c r="C187" s="5" t="s">
        <v>1652</v>
      </c>
      <c r="G187" s="5" t="s">
        <v>1677</v>
      </c>
      <c r="H187" s="5" t="s">
        <v>1681</v>
      </c>
      <c r="L187" s="17">
        <v>20</v>
      </c>
      <c r="M187" s="17">
        <v>1.72372490131579</v>
      </c>
      <c r="P187" s="18">
        <v>0.72</v>
      </c>
      <c r="Q187" s="18">
        <f t="shared" si="4"/>
        <v>0.72</v>
      </c>
      <c r="R187" s="18">
        <f t="shared" si="5"/>
        <v>4.4245799135549628</v>
      </c>
      <c r="U187" s="5" t="s">
        <v>1647</v>
      </c>
      <c r="V187" s="5" t="s">
        <v>1679</v>
      </c>
      <c r="W187" s="5" t="s">
        <v>1680</v>
      </c>
    </row>
    <row r="188" spans="1:23">
      <c r="A188" s="5" t="s">
        <v>1642</v>
      </c>
      <c r="B188" s="5" t="s">
        <v>1643</v>
      </c>
      <c r="C188" s="5" t="s">
        <v>1652</v>
      </c>
      <c r="G188" s="5" t="s">
        <v>1677</v>
      </c>
      <c r="H188" s="5" t="s">
        <v>1681</v>
      </c>
      <c r="L188" s="17">
        <v>20</v>
      </c>
      <c r="M188" s="17">
        <v>1.72372490131579</v>
      </c>
      <c r="P188" s="18">
        <v>0.73</v>
      </c>
      <c r="Q188" s="18">
        <f t="shared" si="4"/>
        <v>0.73</v>
      </c>
      <c r="R188" s="18">
        <f t="shared" si="5"/>
        <v>4.5273521217382342</v>
      </c>
      <c r="U188" s="5" t="s">
        <v>1647</v>
      </c>
      <c r="V188" s="5" t="s">
        <v>1679</v>
      </c>
      <c r="W188" s="5" t="s">
        <v>1680</v>
      </c>
    </row>
    <row r="189" spans="1:23">
      <c r="A189" s="5" t="s">
        <v>1642</v>
      </c>
      <c r="B189" s="5" t="s">
        <v>1643</v>
      </c>
      <c r="C189" s="5" t="s">
        <v>1652</v>
      </c>
      <c r="G189" s="5" t="s">
        <v>1677</v>
      </c>
      <c r="H189" s="5" t="s">
        <v>1681</v>
      </c>
      <c r="L189" s="17">
        <v>20</v>
      </c>
      <c r="M189" s="17">
        <v>1.72372490131579</v>
      </c>
      <c r="P189" s="18">
        <v>0.6</v>
      </c>
      <c r="Q189" s="18">
        <f t="shared" si="4"/>
        <v>0.6</v>
      </c>
      <c r="R189" s="18">
        <f t="shared" si="5"/>
        <v>3.3789478800705099</v>
      </c>
      <c r="U189" s="5" t="s">
        <v>1647</v>
      </c>
      <c r="V189" s="5" t="s">
        <v>1679</v>
      </c>
      <c r="W189" s="5" t="s">
        <v>1680</v>
      </c>
    </row>
    <row r="190" spans="1:23">
      <c r="A190" s="5" t="s">
        <v>1642</v>
      </c>
      <c r="B190" s="5" t="s">
        <v>1643</v>
      </c>
      <c r="C190" s="5" t="s">
        <v>1652</v>
      </c>
      <c r="G190" s="5" t="s">
        <v>1677</v>
      </c>
      <c r="H190" s="5" t="s">
        <v>1681</v>
      </c>
      <c r="L190" s="17">
        <v>20</v>
      </c>
      <c r="M190" s="17">
        <v>1.72372490131579</v>
      </c>
      <c r="P190" s="18">
        <v>0.76</v>
      </c>
      <c r="Q190" s="18">
        <f t="shared" si="4"/>
        <v>0.76</v>
      </c>
      <c r="R190" s="18">
        <f t="shared" si="5"/>
        <v>4.8563406661554476</v>
      </c>
      <c r="U190" s="5" t="s">
        <v>1647</v>
      </c>
      <c r="V190" s="5" t="s">
        <v>1679</v>
      </c>
      <c r="W190" s="5" t="s">
        <v>1680</v>
      </c>
    </row>
    <row r="191" spans="1:23">
      <c r="A191" s="5" t="s">
        <v>1642</v>
      </c>
      <c r="B191" s="5" t="s">
        <v>1643</v>
      </c>
      <c r="C191" s="5" t="s">
        <v>1652</v>
      </c>
      <c r="G191" s="5" t="s">
        <v>1677</v>
      </c>
      <c r="H191" s="5" t="s">
        <v>1681</v>
      </c>
      <c r="L191" s="17">
        <v>20</v>
      </c>
      <c r="M191" s="17">
        <v>1.72372490131579</v>
      </c>
      <c r="P191" s="18">
        <v>0.75</v>
      </c>
      <c r="Q191" s="18">
        <f t="shared" si="4"/>
        <v>0.75</v>
      </c>
      <c r="R191" s="18">
        <f t="shared" si="5"/>
        <v>4.7429529812460265</v>
      </c>
      <c r="U191" s="5" t="s">
        <v>1647</v>
      </c>
      <c r="V191" s="5" t="s">
        <v>1679</v>
      </c>
      <c r="W191" s="5" t="s">
        <v>1680</v>
      </c>
    </row>
    <row r="192" spans="1:23">
      <c r="A192" s="5" t="s">
        <v>1642</v>
      </c>
      <c r="B192" s="5" t="s">
        <v>1643</v>
      </c>
      <c r="C192" s="5" t="s">
        <v>1652</v>
      </c>
      <c r="G192" s="5" t="s">
        <v>1677</v>
      </c>
      <c r="H192" s="5" t="s">
        <v>1681</v>
      </c>
      <c r="L192" s="17">
        <v>20</v>
      </c>
      <c r="M192" s="17">
        <v>1.72372490131579</v>
      </c>
      <c r="P192" s="18">
        <v>0.7</v>
      </c>
      <c r="Q192" s="18">
        <f t="shared" si="4"/>
        <v>0.7</v>
      </c>
      <c r="R192" s="18">
        <f t="shared" si="5"/>
        <v>4.2279091102534068</v>
      </c>
      <c r="U192" s="5" t="s">
        <v>1647</v>
      </c>
      <c r="V192" s="5" t="s">
        <v>1679</v>
      </c>
      <c r="W192" s="5" t="s">
        <v>1680</v>
      </c>
    </row>
    <row r="193" spans="1:23">
      <c r="A193" s="5" t="s">
        <v>1642</v>
      </c>
      <c r="B193" s="5" t="s">
        <v>1643</v>
      </c>
      <c r="C193" s="5" t="s">
        <v>1652</v>
      </c>
      <c r="G193" s="5" t="s">
        <v>1677</v>
      </c>
      <c r="H193" s="5" t="s">
        <v>1681</v>
      </c>
      <c r="L193" s="17">
        <v>20</v>
      </c>
      <c r="M193" s="17">
        <v>1.72372490131579</v>
      </c>
      <c r="P193" s="18">
        <v>0.61</v>
      </c>
      <c r="Q193" s="18">
        <f t="shared" si="4"/>
        <v>0.61</v>
      </c>
      <c r="R193" s="18">
        <f t="shared" si="5"/>
        <v>3.4558437107669708</v>
      </c>
      <c r="U193" s="5" t="s">
        <v>1647</v>
      </c>
      <c r="V193" s="5" t="s">
        <v>1679</v>
      </c>
      <c r="W193" s="5" t="s">
        <v>1680</v>
      </c>
    </row>
    <row r="194" spans="1:23">
      <c r="A194" s="5" t="s">
        <v>1642</v>
      </c>
      <c r="B194" s="5" t="s">
        <v>1643</v>
      </c>
      <c r="C194" s="5" t="s">
        <v>1652</v>
      </c>
      <c r="G194" s="5" t="s">
        <v>1677</v>
      </c>
      <c r="H194" s="5" t="s">
        <v>1681</v>
      </c>
      <c r="L194" s="17">
        <v>20</v>
      </c>
      <c r="M194" s="17">
        <v>1.72372490131579</v>
      </c>
      <c r="P194" s="18">
        <v>0.57999999999999996</v>
      </c>
      <c r="Q194" s="18">
        <f t="shared" ref="Q194:Q257" si="6">ABS(P194)</f>
        <v>0.57999999999999996</v>
      </c>
      <c r="R194" s="18">
        <f t="shared" si="5"/>
        <v>3.2293674755936288</v>
      </c>
      <c r="U194" s="5" t="s">
        <v>1647</v>
      </c>
      <c r="V194" s="5" t="s">
        <v>1679</v>
      </c>
      <c r="W194" s="5" t="s">
        <v>1680</v>
      </c>
    </row>
    <row r="195" spans="1:23">
      <c r="A195" s="5" t="s">
        <v>1642</v>
      </c>
      <c r="B195" s="5" t="s">
        <v>1643</v>
      </c>
      <c r="C195" s="5" t="s">
        <v>1652</v>
      </c>
      <c r="G195" s="5" t="s">
        <v>1677</v>
      </c>
      <c r="H195" s="5" t="s">
        <v>1682</v>
      </c>
      <c r="L195" s="17">
        <v>20</v>
      </c>
      <c r="M195" s="17">
        <v>1.72372490131579</v>
      </c>
      <c r="P195" s="18">
        <v>0.57999999999999996</v>
      </c>
      <c r="Q195" s="18">
        <f t="shared" si="6"/>
        <v>0.57999999999999996</v>
      </c>
      <c r="R195" s="18">
        <f t="shared" ref="R195:R258" si="7">8.3145*(L195+273.15)*LN((Q195+1)/(1-Q195))*0.001</f>
        <v>3.2293674755936288</v>
      </c>
      <c r="U195" s="5" t="s">
        <v>1647</v>
      </c>
      <c r="V195" s="5" t="s">
        <v>1679</v>
      </c>
      <c r="W195" s="5" t="s">
        <v>1680</v>
      </c>
    </row>
    <row r="196" spans="1:23">
      <c r="A196" s="5" t="s">
        <v>1642</v>
      </c>
      <c r="B196" s="5" t="s">
        <v>1643</v>
      </c>
      <c r="C196" s="5" t="s">
        <v>1652</v>
      </c>
      <c r="G196" s="5" t="s">
        <v>1677</v>
      </c>
      <c r="H196" s="5" t="s">
        <v>1682</v>
      </c>
      <c r="L196" s="17">
        <v>20</v>
      </c>
      <c r="M196" s="17">
        <v>1.72372490131579</v>
      </c>
      <c r="P196" s="18">
        <v>0.13</v>
      </c>
      <c r="Q196" s="18">
        <f t="shared" si="6"/>
        <v>0.13</v>
      </c>
      <c r="R196" s="18">
        <f t="shared" si="7"/>
        <v>0.63732949002107353</v>
      </c>
      <c r="U196" s="5" t="s">
        <v>1647</v>
      </c>
      <c r="V196" s="5" t="s">
        <v>1679</v>
      </c>
      <c r="W196" s="5" t="s">
        <v>1680</v>
      </c>
    </row>
    <row r="197" spans="1:23">
      <c r="A197" s="5" t="s">
        <v>1642</v>
      </c>
      <c r="B197" s="5" t="s">
        <v>1643</v>
      </c>
      <c r="C197" s="5" t="s">
        <v>1652</v>
      </c>
      <c r="G197" s="5" t="s">
        <v>1677</v>
      </c>
      <c r="H197" s="5" t="s">
        <v>1682</v>
      </c>
      <c r="L197" s="17">
        <v>20</v>
      </c>
      <c r="M197" s="17">
        <v>1.72372490131579</v>
      </c>
      <c r="P197" s="18">
        <v>0.59</v>
      </c>
      <c r="Q197" s="18">
        <f t="shared" si="6"/>
        <v>0.59</v>
      </c>
      <c r="R197" s="18">
        <f t="shared" si="7"/>
        <v>3.3034806852950265</v>
      </c>
      <c r="U197" s="5" t="s">
        <v>1647</v>
      </c>
      <c r="V197" s="5" t="s">
        <v>1679</v>
      </c>
      <c r="W197" s="5" t="s">
        <v>1680</v>
      </c>
    </row>
    <row r="198" spans="1:23">
      <c r="A198" s="5" t="s">
        <v>1642</v>
      </c>
      <c r="B198" s="5" t="s">
        <v>1643</v>
      </c>
      <c r="C198" s="5" t="s">
        <v>1652</v>
      </c>
      <c r="G198" s="5" t="s">
        <v>1677</v>
      </c>
      <c r="H198" s="5" t="s">
        <v>1682</v>
      </c>
      <c r="L198" s="17">
        <v>20</v>
      </c>
      <c r="M198" s="17">
        <v>1.72372490131579</v>
      </c>
      <c r="P198" s="18">
        <v>0.57999999999999996</v>
      </c>
      <c r="Q198" s="18">
        <f t="shared" si="6"/>
        <v>0.57999999999999996</v>
      </c>
      <c r="R198" s="18">
        <f t="shared" si="7"/>
        <v>3.2293674755936288</v>
      </c>
      <c r="U198" s="5" t="s">
        <v>1647</v>
      </c>
      <c r="V198" s="5" t="s">
        <v>1679</v>
      </c>
      <c r="W198" s="5" t="s">
        <v>1680</v>
      </c>
    </row>
    <row r="199" spans="1:23">
      <c r="A199" s="5" t="s">
        <v>1642</v>
      </c>
      <c r="B199" s="5" t="s">
        <v>1643</v>
      </c>
      <c r="C199" s="5" t="s">
        <v>1652</v>
      </c>
      <c r="G199" s="5" t="s">
        <v>1677</v>
      </c>
      <c r="H199" s="5" t="s">
        <v>1682</v>
      </c>
      <c r="L199" s="17">
        <v>20</v>
      </c>
      <c r="M199" s="17">
        <v>1.72372490131579</v>
      </c>
      <c r="P199" s="18">
        <v>0.17</v>
      </c>
      <c r="Q199" s="18">
        <f t="shared" si="6"/>
        <v>0.17</v>
      </c>
      <c r="R199" s="18">
        <f t="shared" si="7"/>
        <v>0.83683916631598376</v>
      </c>
      <c r="U199" s="5" t="s">
        <v>1647</v>
      </c>
      <c r="V199" s="5" t="s">
        <v>1679</v>
      </c>
      <c r="W199" s="5" t="s">
        <v>1680</v>
      </c>
    </row>
    <row r="200" spans="1:23">
      <c r="A200" s="5" t="s">
        <v>1642</v>
      </c>
      <c r="B200" s="5" t="s">
        <v>1643</v>
      </c>
      <c r="C200" s="5" t="s">
        <v>1652</v>
      </c>
      <c r="G200" s="5" t="s">
        <v>1677</v>
      </c>
      <c r="H200" s="5" t="s">
        <v>1682</v>
      </c>
      <c r="L200" s="17">
        <v>20</v>
      </c>
      <c r="M200" s="17">
        <v>1.72372490131579</v>
      </c>
      <c r="P200" s="18">
        <v>0.76</v>
      </c>
      <c r="Q200" s="18">
        <f t="shared" si="6"/>
        <v>0.76</v>
      </c>
      <c r="R200" s="18">
        <f t="shared" si="7"/>
        <v>4.8563406661554476</v>
      </c>
      <c r="U200" s="5" t="s">
        <v>1647</v>
      </c>
      <c r="V200" s="5" t="s">
        <v>1679</v>
      </c>
      <c r="W200" s="5" t="s">
        <v>1680</v>
      </c>
    </row>
    <row r="201" spans="1:23">
      <c r="A201" s="5" t="s">
        <v>1642</v>
      </c>
      <c r="B201" s="5" t="s">
        <v>1643</v>
      </c>
      <c r="C201" s="5" t="s">
        <v>1652</v>
      </c>
      <c r="G201" s="5" t="s">
        <v>1677</v>
      </c>
      <c r="H201" s="5" t="s">
        <v>1682</v>
      </c>
      <c r="L201" s="17">
        <v>20</v>
      </c>
      <c r="M201" s="17">
        <v>1.72372490131579</v>
      </c>
      <c r="P201" s="18">
        <v>0.66</v>
      </c>
      <c r="Q201" s="18">
        <f t="shared" si="6"/>
        <v>0.66</v>
      </c>
      <c r="R201" s="18">
        <f t="shared" si="7"/>
        <v>3.8648010348028921</v>
      </c>
      <c r="U201" s="5" t="s">
        <v>1647</v>
      </c>
      <c r="V201" s="5" t="s">
        <v>1679</v>
      </c>
      <c r="W201" s="5" t="s">
        <v>1680</v>
      </c>
    </row>
    <row r="202" spans="1:23">
      <c r="A202" s="5" t="s">
        <v>1642</v>
      </c>
      <c r="B202" s="5" t="s">
        <v>1643</v>
      </c>
      <c r="C202" s="5" t="s">
        <v>1652</v>
      </c>
      <c r="G202" s="5" t="s">
        <v>1677</v>
      </c>
      <c r="H202" s="5" t="s">
        <v>1682</v>
      </c>
      <c r="L202" s="17">
        <v>20</v>
      </c>
      <c r="M202" s="17">
        <v>1.72372490131579</v>
      </c>
      <c r="P202" s="18">
        <v>0.22</v>
      </c>
      <c r="Q202" s="18">
        <f t="shared" si="6"/>
        <v>0.22</v>
      </c>
      <c r="R202" s="18">
        <f t="shared" si="7"/>
        <v>1.0902768656342858</v>
      </c>
      <c r="U202" s="5" t="s">
        <v>1647</v>
      </c>
      <c r="V202" s="5" t="s">
        <v>1679</v>
      </c>
      <c r="W202" s="5" t="s">
        <v>1680</v>
      </c>
    </row>
    <row r="203" spans="1:23">
      <c r="A203" s="5" t="s">
        <v>1642</v>
      </c>
      <c r="B203" s="5" t="s">
        <v>1643</v>
      </c>
      <c r="C203" s="5" t="s">
        <v>1652</v>
      </c>
      <c r="G203" s="5" t="s">
        <v>1677</v>
      </c>
      <c r="H203" s="5" t="s">
        <v>1681</v>
      </c>
      <c r="L203" s="17">
        <v>20</v>
      </c>
      <c r="M203" s="17">
        <v>1.72372490131579</v>
      </c>
      <c r="P203" s="18">
        <v>0.73</v>
      </c>
      <c r="Q203" s="18">
        <f t="shared" si="6"/>
        <v>0.73</v>
      </c>
      <c r="R203" s="18">
        <f t="shared" si="7"/>
        <v>4.5273521217382342</v>
      </c>
      <c r="U203" s="5" t="s">
        <v>1647</v>
      </c>
      <c r="V203" s="5" t="s">
        <v>1679</v>
      </c>
      <c r="W203" s="5" t="s">
        <v>1680</v>
      </c>
    </row>
    <row r="204" spans="1:23">
      <c r="A204" s="5" t="s">
        <v>1642</v>
      </c>
      <c r="B204" s="5" t="s">
        <v>1643</v>
      </c>
      <c r="C204" s="5" t="s">
        <v>1652</v>
      </c>
      <c r="G204" s="5" t="s">
        <v>1677</v>
      </c>
      <c r="H204" s="5" t="s">
        <v>1681</v>
      </c>
      <c r="L204" s="17">
        <v>20</v>
      </c>
      <c r="M204" s="17">
        <v>1.72372490131579</v>
      </c>
      <c r="P204" s="18">
        <v>0.75</v>
      </c>
      <c r="Q204" s="18">
        <f t="shared" si="6"/>
        <v>0.75</v>
      </c>
      <c r="R204" s="18">
        <f t="shared" si="7"/>
        <v>4.7429529812460265</v>
      </c>
      <c r="U204" s="5" t="s">
        <v>1647</v>
      </c>
      <c r="V204" s="5" t="s">
        <v>1679</v>
      </c>
      <c r="W204" s="5" t="s">
        <v>1680</v>
      </c>
    </row>
    <row r="205" spans="1:23">
      <c r="A205" s="5" t="s">
        <v>1642</v>
      </c>
      <c r="B205" s="5" t="s">
        <v>1643</v>
      </c>
      <c r="C205" s="5" t="s">
        <v>1652</v>
      </c>
      <c r="G205" s="5" t="s">
        <v>1677</v>
      </c>
      <c r="H205" s="5" t="s">
        <v>1682</v>
      </c>
      <c r="L205" s="17">
        <v>20</v>
      </c>
      <c r="M205" s="17">
        <v>1.72372490131579</v>
      </c>
      <c r="P205" s="18">
        <v>0.78</v>
      </c>
      <c r="Q205" s="18">
        <f t="shared" si="6"/>
        <v>0.78</v>
      </c>
      <c r="R205" s="18">
        <f t="shared" si="7"/>
        <v>5.0959633072111252</v>
      </c>
      <c r="U205" s="5" t="s">
        <v>1647</v>
      </c>
      <c r="V205" s="5" t="s">
        <v>1679</v>
      </c>
      <c r="W205" s="5" t="s">
        <v>1680</v>
      </c>
    </row>
    <row r="206" spans="1:23">
      <c r="A206" s="5" t="s">
        <v>1642</v>
      </c>
      <c r="B206" s="5" t="s">
        <v>1643</v>
      </c>
      <c r="C206" s="5" t="s">
        <v>1652</v>
      </c>
      <c r="G206" s="5" t="s">
        <v>1677</v>
      </c>
      <c r="H206" s="5" t="s">
        <v>1678</v>
      </c>
      <c r="L206" s="17">
        <v>20</v>
      </c>
      <c r="M206" s="17">
        <v>1.72372490131579</v>
      </c>
      <c r="P206" s="18">
        <v>0.79</v>
      </c>
      <c r="Q206" s="18">
        <f t="shared" si="6"/>
        <v>0.79</v>
      </c>
      <c r="R206" s="18">
        <f t="shared" si="7"/>
        <v>5.2230059055651195</v>
      </c>
      <c r="U206" s="5" t="s">
        <v>1647</v>
      </c>
      <c r="V206" s="5" t="s">
        <v>1679</v>
      </c>
      <c r="W206" s="5" t="s">
        <v>1680</v>
      </c>
    </row>
    <row r="207" spans="1:23">
      <c r="A207" s="5" t="s">
        <v>1642</v>
      </c>
      <c r="B207" s="5" t="s">
        <v>1643</v>
      </c>
      <c r="C207" s="5" t="s">
        <v>1652</v>
      </c>
      <c r="G207" s="5" t="s">
        <v>1677</v>
      </c>
      <c r="H207" s="5" t="s">
        <v>1682</v>
      </c>
      <c r="L207" s="17">
        <v>20</v>
      </c>
      <c r="M207" s="17">
        <v>1.72372490131579</v>
      </c>
      <c r="P207" s="18">
        <v>0.7</v>
      </c>
      <c r="Q207" s="18">
        <f t="shared" si="6"/>
        <v>0.7</v>
      </c>
      <c r="R207" s="18">
        <f t="shared" si="7"/>
        <v>4.2279091102534068</v>
      </c>
      <c r="U207" s="5" t="s">
        <v>1647</v>
      </c>
      <c r="V207" s="5" t="s">
        <v>1679</v>
      </c>
      <c r="W207" s="5" t="s">
        <v>1680</v>
      </c>
    </row>
    <row r="208" spans="1:23">
      <c r="A208" s="5" t="s">
        <v>1642</v>
      </c>
      <c r="B208" s="5" t="s">
        <v>1643</v>
      </c>
      <c r="C208" s="5" t="s">
        <v>1652</v>
      </c>
      <c r="G208" s="5" t="s">
        <v>1677</v>
      </c>
      <c r="H208" s="5" t="s">
        <v>1682</v>
      </c>
      <c r="L208" s="17">
        <v>20</v>
      </c>
      <c r="M208" s="17">
        <v>1.72372490131579</v>
      </c>
      <c r="P208" s="18">
        <v>0.74</v>
      </c>
      <c r="Q208" s="18">
        <f t="shared" si="6"/>
        <v>0.74</v>
      </c>
      <c r="R208" s="18">
        <f t="shared" si="7"/>
        <v>4.6333886628852907</v>
      </c>
      <c r="U208" s="5" t="s">
        <v>1647</v>
      </c>
      <c r="V208" s="5" t="s">
        <v>1679</v>
      </c>
      <c r="W208" s="5" t="s">
        <v>1680</v>
      </c>
    </row>
    <row r="209" spans="1:23">
      <c r="A209" s="5" t="s">
        <v>1642</v>
      </c>
      <c r="B209" s="5" t="s">
        <v>1643</v>
      </c>
      <c r="C209" s="5" t="s">
        <v>1652</v>
      </c>
      <c r="G209" s="5" t="s">
        <v>1677</v>
      </c>
      <c r="H209" s="5" t="s">
        <v>1678</v>
      </c>
      <c r="L209" s="17">
        <v>20</v>
      </c>
      <c r="M209" s="17">
        <v>1.72372490131579</v>
      </c>
      <c r="P209" s="18">
        <v>0.77</v>
      </c>
      <c r="Q209" s="18">
        <f t="shared" si="6"/>
        <v>0.77</v>
      </c>
      <c r="R209" s="18">
        <f t="shared" si="7"/>
        <v>4.9738849304346333</v>
      </c>
      <c r="U209" s="5" t="s">
        <v>1647</v>
      </c>
      <c r="V209" s="5" t="s">
        <v>1679</v>
      </c>
      <c r="W209" s="5" t="s">
        <v>1680</v>
      </c>
    </row>
    <row r="210" spans="1:23">
      <c r="A210" s="5" t="s">
        <v>1642</v>
      </c>
      <c r="B210" s="5" t="s">
        <v>1643</v>
      </c>
      <c r="C210" s="5" t="s">
        <v>1652</v>
      </c>
      <c r="G210" s="5" t="s">
        <v>1677</v>
      </c>
      <c r="H210" s="5" t="s">
        <v>1678</v>
      </c>
      <c r="L210" s="17">
        <v>20</v>
      </c>
      <c r="M210" s="17">
        <v>1.72372490131579</v>
      </c>
      <c r="P210" s="18">
        <v>0.78</v>
      </c>
      <c r="Q210" s="18">
        <f t="shared" si="6"/>
        <v>0.78</v>
      </c>
      <c r="R210" s="18">
        <f t="shared" si="7"/>
        <v>5.0959633072111252</v>
      </c>
      <c r="U210" s="5" t="s">
        <v>1647</v>
      </c>
      <c r="V210" s="5" t="s">
        <v>1679</v>
      </c>
      <c r="W210" s="5" t="s">
        <v>1680</v>
      </c>
    </row>
    <row r="211" spans="1:23">
      <c r="A211" s="5" t="s">
        <v>1642</v>
      </c>
      <c r="B211" s="5" t="s">
        <v>1643</v>
      </c>
      <c r="C211" s="5" t="s">
        <v>1652</v>
      </c>
      <c r="G211" s="5" t="s">
        <v>1677</v>
      </c>
      <c r="H211" s="5" t="s">
        <v>1682</v>
      </c>
      <c r="L211" s="17">
        <v>20</v>
      </c>
      <c r="M211" s="17">
        <v>1.72372490131579</v>
      </c>
      <c r="P211" s="18">
        <v>0.78</v>
      </c>
      <c r="Q211" s="18">
        <f t="shared" si="6"/>
        <v>0.78</v>
      </c>
      <c r="R211" s="18">
        <f t="shared" si="7"/>
        <v>5.0959633072111252</v>
      </c>
      <c r="U211" s="5" t="s">
        <v>1647</v>
      </c>
      <c r="V211" s="5" t="s">
        <v>1679</v>
      </c>
      <c r="W211" s="5" t="s">
        <v>1680</v>
      </c>
    </row>
    <row r="212" spans="1:23">
      <c r="A212" s="5" t="s">
        <v>1642</v>
      </c>
      <c r="B212" s="5" t="s">
        <v>1643</v>
      </c>
      <c r="C212" s="5" t="s">
        <v>1652</v>
      </c>
      <c r="G212" s="5" t="s">
        <v>1677</v>
      </c>
      <c r="H212" s="5" t="s">
        <v>1681</v>
      </c>
      <c r="L212" s="17">
        <v>20</v>
      </c>
      <c r="M212" s="17">
        <v>1.72372490131579</v>
      </c>
      <c r="P212" s="18">
        <v>0.59</v>
      </c>
      <c r="Q212" s="18">
        <f t="shared" si="6"/>
        <v>0.59</v>
      </c>
      <c r="R212" s="18">
        <f t="shared" si="7"/>
        <v>3.3034806852950265</v>
      </c>
      <c r="U212" s="5" t="s">
        <v>1647</v>
      </c>
      <c r="V212" s="5" t="s">
        <v>1679</v>
      </c>
      <c r="W212" s="5" t="s">
        <v>1680</v>
      </c>
    </row>
    <row r="213" spans="1:23">
      <c r="A213" s="5" t="s">
        <v>1642</v>
      </c>
      <c r="B213" s="5" t="s">
        <v>1643</v>
      </c>
      <c r="C213" s="5" t="s">
        <v>1652</v>
      </c>
      <c r="G213" s="5" t="s">
        <v>1677</v>
      </c>
      <c r="H213" s="5" t="s">
        <v>1681</v>
      </c>
      <c r="L213" s="17">
        <v>20</v>
      </c>
      <c r="M213" s="17">
        <v>1.72372490131579</v>
      </c>
      <c r="P213" s="18">
        <v>0.64</v>
      </c>
      <c r="Q213" s="18">
        <f t="shared" si="6"/>
        <v>0.64</v>
      </c>
      <c r="R213" s="18">
        <f t="shared" si="7"/>
        <v>3.695938812382888</v>
      </c>
      <c r="U213" s="5" t="s">
        <v>1647</v>
      </c>
      <c r="V213" s="5" t="s">
        <v>1679</v>
      </c>
      <c r="W213" s="5" t="s">
        <v>1680</v>
      </c>
    </row>
    <row r="214" spans="1:23">
      <c r="A214" s="5" t="s">
        <v>1642</v>
      </c>
      <c r="B214" s="5" t="s">
        <v>1643</v>
      </c>
      <c r="C214" s="5" t="s">
        <v>1652</v>
      </c>
      <c r="G214" s="5" t="s">
        <v>1677</v>
      </c>
      <c r="H214" s="5" t="s">
        <v>1682</v>
      </c>
      <c r="L214" s="17">
        <v>20</v>
      </c>
      <c r="M214" s="17">
        <v>1.72372490131579</v>
      </c>
      <c r="P214" s="18">
        <v>0.57999999999999996</v>
      </c>
      <c r="Q214" s="18">
        <f t="shared" si="6"/>
        <v>0.57999999999999996</v>
      </c>
      <c r="R214" s="18">
        <f t="shared" si="7"/>
        <v>3.2293674755936288</v>
      </c>
      <c r="U214" s="5" t="s">
        <v>1647</v>
      </c>
      <c r="V214" s="5" t="s">
        <v>1679</v>
      </c>
      <c r="W214" s="5" t="s">
        <v>1680</v>
      </c>
    </row>
    <row r="215" spans="1:23">
      <c r="A215" s="5" t="s">
        <v>1642</v>
      </c>
      <c r="B215" s="5" t="s">
        <v>1643</v>
      </c>
      <c r="C215" s="5" t="s">
        <v>1652</v>
      </c>
      <c r="G215" s="5" t="s">
        <v>1677</v>
      </c>
      <c r="H215" s="5" t="s">
        <v>1682</v>
      </c>
      <c r="L215" s="17">
        <v>20</v>
      </c>
      <c r="M215" s="17">
        <v>1.72372490131579</v>
      </c>
      <c r="P215" s="18">
        <v>0.35</v>
      </c>
      <c r="Q215" s="18">
        <f t="shared" si="6"/>
        <v>0.35</v>
      </c>
      <c r="R215" s="18">
        <f t="shared" si="7"/>
        <v>1.7814620522337279</v>
      </c>
      <c r="U215" s="5" t="s">
        <v>1647</v>
      </c>
      <c r="V215" s="5" t="s">
        <v>1679</v>
      </c>
      <c r="W215" s="5" t="s">
        <v>1680</v>
      </c>
    </row>
    <row r="216" spans="1:23">
      <c r="A216" s="5" t="s">
        <v>1642</v>
      </c>
      <c r="B216" s="5" t="s">
        <v>1643</v>
      </c>
      <c r="C216" s="5" t="s">
        <v>1652</v>
      </c>
      <c r="G216" s="5" t="s">
        <v>1677</v>
      </c>
      <c r="H216" s="5" t="s">
        <v>1682</v>
      </c>
      <c r="L216" s="17">
        <v>20</v>
      </c>
      <c r="M216" s="17">
        <v>1.72372490131579</v>
      </c>
      <c r="P216" s="18">
        <v>0.09</v>
      </c>
      <c r="Q216" s="18">
        <f t="shared" si="6"/>
        <v>0.09</v>
      </c>
      <c r="R216" s="18">
        <f t="shared" si="7"/>
        <v>0.43992158634891959</v>
      </c>
      <c r="U216" s="5" t="s">
        <v>1647</v>
      </c>
      <c r="V216" s="5" t="s">
        <v>1679</v>
      </c>
      <c r="W216" s="5" t="s">
        <v>1680</v>
      </c>
    </row>
    <row r="217" spans="1:23">
      <c r="A217" s="5" t="s">
        <v>1642</v>
      </c>
      <c r="B217" s="5" t="s">
        <v>1643</v>
      </c>
      <c r="C217" s="5" t="s">
        <v>1652</v>
      </c>
      <c r="G217" s="5" t="s">
        <v>1677</v>
      </c>
      <c r="H217" s="5" t="s">
        <v>1682</v>
      </c>
      <c r="L217" s="17">
        <v>20</v>
      </c>
      <c r="M217" s="17">
        <v>1.72372490131579</v>
      </c>
      <c r="P217" s="18">
        <v>0.67</v>
      </c>
      <c r="Q217" s="18">
        <f t="shared" si="6"/>
        <v>0.67</v>
      </c>
      <c r="R217" s="18">
        <f t="shared" si="7"/>
        <v>3.9522035751381654</v>
      </c>
      <c r="U217" s="5" t="s">
        <v>1647</v>
      </c>
      <c r="V217" s="5" t="s">
        <v>1679</v>
      </c>
      <c r="W217" s="5" t="s">
        <v>1680</v>
      </c>
    </row>
    <row r="218" spans="1:23">
      <c r="A218" s="5" t="s">
        <v>1642</v>
      </c>
      <c r="B218" s="5" t="s">
        <v>1643</v>
      </c>
      <c r="C218" s="5" t="s">
        <v>1652</v>
      </c>
      <c r="G218" s="5" t="s">
        <v>1677</v>
      </c>
      <c r="H218" s="5" t="s">
        <v>1682</v>
      </c>
      <c r="L218" s="17">
        <v>20</v>
      </c>
      <c r="M218" s="17">
        <v>1.72372490131579</v>
      </c>
      <c r="P218" s="18">
        <v>0.69</v>
      </c>
      <c r="Q218" s="18">
        <f t="shared" si="6"/>
        <v>0.69</v>
      </c>
      <c r="R218" s="18">
        <f t="shared" si="7"/>
        <v>4.1336073807241211</v>
      </c>
      <c r="U218" s="5" t="s">
        <v>1647</v>
      </c>
      <c r="V218" s="5" t="s">
        <v>1679</v>
      </c>
      <c r="W218" s="5" t="s">
        <v>1680</v>
      </c>
    </row>
    <row r="219" spans="1:23">
      <c r="A219" s="5" t="s">
        <v>1642</v>
      </c>
      <c r="B219" s="5" t="s">
        <v>1643</v>
      </c>
      <c r="C219" s="5" t="s">
        <v>1652</v>
      </c>
      <c r="G219" s="5" t="s">
        <v>1677</v>
      </c>
      <c r="H219" s="5" t="s">
        <v>1682</v>
      </c>
      <c r="L219" s="17">
        <v>20</v>
      </c>
      <c r="M219" s="17">
        <v>1.72372490131579</v>
      </c>
      <c r="P219" s="18">
        <v>0.28000000000000003</v>
      </c>
      <c r="Q219" s="18">
        <f t="shared" si="6"/>
        <v>0.28000000000000003</v>
      </c>
      <c r="R219" s="18">
        <f t="shared" si="7"/>
        <v>1.4023900783380152</v>
      </c>
      <c r="U219" s="5" t="s">
        <v>1647</v>
      </c>
      <c r="V219" s="5" t="s">
        <v>1679</v>
      </c>
      <c r="W219" s="5" t="s">
        <v>1680</v>
      </c>
    </row>
    <row r="220" spans="1:23">
      <c r="A220" s="5" t="s">
        <v>1642</v>
      </c>
      <c r="B220" s="5" t="s">
        <v>1643</v>
      </c>
      <c r="C220" s="5" t="s">
        <v>1652</v>
      </c>
      <c r="G220" s="5" t="s">
        <v>1677</v>
      </c>
      <c r="H220" s="5" t="s">
        <v>1682</v>
      </c>
      <c r="L220" s="17">
        <v>20</v>
      </c>
      <c r="M220" s="17">
        <v>1.72372490131579</v>
      </c>
      <c r="P220" s="18">
        <v>0.73</v>
      </c>
      <c r="Q220" s="18">
        <f t="shared" si="6"/>
        <v>0.73</v>
      </c>
      <c r="R220" s="18">
        <f t="shared" si="7"/>
        <v>4.5273521217382342</v>
      </c>
      <c r="U220" s="5" t="s">
        <v>1647</v>
      </c>
      <c r="V220" s="5" t="s">
        <v>1679</v>
      </c>
      <c r="W220" s="5" t="s">
        <v>1680</v>
      </c>
    </row>
    <row r="221" spans="1:23">
      <c r="A221" s="5" t="s">
        <v>1642</v>
      </c>
      <c r="B221" s="5" t="s">
        <v>1643</v>
      </c>
      <c r="C221" s="5" t="s">
        <v>1652</v>
      </c>
      <c r="G221" s="5" t="s">
        <v>1677</v>
      </c>
      <c r="H221" s="5" t="s">
        <v>1682</v>
      </c>
      <c r="L221" s="17">
        <v>20</v>
      </c>
      <c r="M221" s="17">
        <v>1.72372490131579</v>
      </c>
      <c r="P221" s="18">
        <v>0.67</v>
      </c>
      <c r="Q221" s="18">
        <f t="shared" si="6"/>
        <v>0.67</v>
      </c>
      <c r="R221" s="18">
        <f t="shared" si="7"/>
        <v>3.9522035751381654</v>
      </c>
      <c r="U221" s="5" t="s">
        <v>1647</v>
      </c>
      <c r="V221" s="5" t="s">
        <v>1679</v>
      </c>
      <c r="W221" s="5" t="s">
        <v>1680</v>
      </c>
    </row>
    <row r="222" spans="1:23">
      <c r="A222" s="5" t="s">
        <v>1642</v>
      </c>
      <c r="B222" s="5" t="s">
        <v>1643</v>
      </c>
      <c r="C222" s="5" t="s">
        <v>1652</v>
      </c>
      <c r="G222" s="5" t="s">
        <v>1677</v>
      </c>
      <c r="H222" s="5" t="s">
        <v>1682</v>
      </c>
      <c r="L222" s="17">
        <v>20</v>
      </c>
      <c r="M222" s="17">
        <v>1.72372490131579</v>
      </c>
      <c r="P222" s="18">
        <v>0.39</v>
      </c>
      <c r="Q222" s="18">
        <f t="shared" si="6"/>
        <v>0.39</v>
      </c>
      <c r="R222" s="18">
        <f t="shared" si="7"/>
        <v>2.0074392460064217</v>
      </c>
      <c r="U222" s="5" t="s">
        <v>1647</v>
      </c>
      <c r="V222" s="5" t="s">
        <v>1679</v>
      </c>
      <c r="W222" s="5" t="s">
        <v>1680</v>
      </c>
    </row>
    <row r="223" spans="1:23">
      <c r="A223" s="5" t="s">
        <v>1642</v>
      </c>
      <c r="B223" s="5" t="s">
        <v>1643</v>
      </c>
      <c r="C223" s="5" t="s">
        <v>1652</v>
      </c>
      <c r="G223" s="5" t="s">
        <v>1677</v>
      </c>
      <c r="H223" s="5" t="s">
        <v>1681</v>
      </c>
      <c r="L223" s="17">
        <v>20</v>
      </c>
      <c r="M223" s="17">
        <v>1.72372490131579</v>
      </c>
      <c r="P223" s="18">
        <v>0.75</v>
      </c>
      <c r="Q223" s="18">
        <f t="shared" si="6"/>
        <v>0.75</v>
      </c>
      <c r="R223" s="18">
        <f t="shared" si="7"/>
        <v>4.7429529812460265</v>
      </c>
      <c r="U223" s="5" t="s">
        <v>1647</v>
      </c>
      <c r="V223" s="5" t="s">
        <v>1679</v>
      </c>
      <c r="W223" s="5" t="s">
        <v>1680</v>
      </c>
    </row>
    <row r="224" spans="1:23">
      <c r="A224" s="5" t="s">
        <v>1642</v>
      </c>
      <c r="B224" s="5" t="s">
        <v>1643</v>
      </c>
      <c r="C224" s="5" t="s">
        <v>1652</v>
      </c>
      <c r="G224" s="5" t="s">
        <v>1677</v>
      </c>
      <c r="H224" s="5" t="s">
        <v>1681</v>
      </c>
      <c r="L224" s="17">
        <v>20</v>
      </c>
      <c r="M224" s="17">
        <v>1.72372490131579</v>
      </c>
      <c r="P224" s="18">
        <v>0.78</v>
      </c>
      <c r="Q224" s="18">
        <f t="shared" si="6"/>
        <v>0.78</v>
      </c>
      <c r="R224" s="18">
        <f t="shared" si="7"/>
        <v>5.0959633072111252</v>
      </c>
      <c r="U224" s="5" t="s">
        <v>1647</v>
      </c>
      <c r="V224" s="5" t="s">
        <v>1679</v>
      </c>
      <c r="W224" s="5" t="s">
        <v>1680</v>
      </c>
    </row>
    <row r="225" spans="1:23">
      <c r="A225" s="5" t="s">
        <v>1642</v>
      </c>
      <c r="B225" s="5" t="s">
        <v>1643</v>
      </c>
      <c r="C225" s="5" t="s">
        <v>1652</v>
      </c>
      <c r="G225" s="5" t="s">
        <v>1677</v>
      </c>
      <c r="H225" s="5" t="s">
        <v>1682</v>
      </c>
      <c r="L225" s="17">
        <v>20</v>
      </c>
      <c r="M225" s="17">
        <v>1.72372490131579</v>
      </c>
      <c r="P225" s="18">
        <v>0.79</v>
      </c>
      <c r="Q225" s="18">
        <f t="shared" si="6"/>
        <v>0.79</v>
      </c>
      <c r="R225" s="18">
        <f t="shared" si="7"/>
        <v>5.2230059055651195</v>
      </c>
      <c r="U225" s="5" t="s">
        <v>1647</v>
      </c>
      <c r="V225" s="5" t="s">
        <v>1679</v>
      </c>
      <c r="W225" s="5" t="s">
        <v>1680</v>
      </c>
    </row>
    <row r="226" spans="1:23">
      <c r="A226" s="5" t="s">
        <v>1642</v>
      </c>
      <c r="B226" s="5" t="s">
        <v>1643</v>
      </c>
      <c r="C226" s="5" t="s">
        <v>1652</v>
      </c>
      <c r="G226" s="5" t="s">
        <v>1677</v>
      </c>
      <c r="H226" s="5" t="s">
        <v>1682</v>
      </c>
      <c r="L226" s="17">
        <v>20</v>
      </c>
      <c r="M226" s="17">
        <v>1.72372490131579</v>
      </c>
      <c r="P226" s="18">
        <v>0.75</v>
      </c>
      <c r="Q226" s="18">
        <f t="shared" si="6"/>
        <v>0.75</v>
      </c>
      <c r="R226" s="18">
        <f t="shared" si="7"/>
        <v>4.7429529812460265</v>
      </c>
      <c r="U226" s="5" t="s">
        <v>1647</v>
      </c>
      <c r="V226" s="5" t="s">
        <v>1679</v>
      </c>
      <c r="W226" s="5" t="s">
        <v>1680</v>
      </c>
    </row>
    <row r="227" spans="1:23">
      <c r="A227" s="5" t="s">
        <v>1642</v>
      </c>
      <c r="B227" s="5" t="s">
        <v>1643</v>
      </c>
      <c r="C227" s="5" t="s">
        <v>1652</v>
      </c>
      <c r="G227" s="5" t="s">
        <v>1677</v>
      </c>
      <c r="H227" s="5" t="s">
        <v>1678</v>
      </c>
      <c r="L227" s="17">
        <v>20</v>
      </c>
      <c r="M227" s="17">
        <v>1.72372490131579</v>
      </c>
      <c r="P227" s="18">
        <v>0.78</v>
      </c>
      <c r="Q227" s="18">
        <f t="shared" si="6"/>
        <v>0.78</v>
      </c>
      <c r="R227" s="18">
        <f t="shared" si="7"/>
        <v>5.0959633072111252</v>
      </c>
      <c r="U227" s="5" t="s">
        <v>1647</v>
      </c>
      <c r="V227" s="5" t="s">
        <v>1679</v>
      </c>
      <c r="W227" s="5" t="s">
        <v>1680</v>
      </c>
    </row>
    <row r="228" spans="1:23">
      <c r="A228" s="5" t="s">
        <v>1642</v>
      </c>
      <c r="B228" s="5" t="s">
        <v>1643</v>
      </c>
      <c r="C228" s="5" t="s">
        <v>1652</v>
      </c>
      <c r="G228" s="5" t="s">
        <v>1677</v>
      </c>
      <c r="H228" s="5" t="s">
        <v>1682</v>
      </c>
      <c r="L228" s="17">
        <v>20</v>
      </c>
      <c r="M228" s="17">
        <v>1.72372490131579</v>
      </c>
      <c r="P228" s="18">
        <v>0.71</v>
      </c>
      <c r="Q228" s="18">
        <f t="shared" si="6"/>
        <v>0.71</v>
      </c>
      <c r="R228" s="18">
        <f t="shared" si="7"/>
        <v>4.3248362224701342</v>
      </c>
      <c r="U228" s="5" t="s">
        <v>1647</v>
      </c>
      <c r="V228" s="5" t="s">
        <v>1679</v>
      </c>
      <c r="W228" s="5" t="s">
        <v>1680</v>
      </c>
    </row>
    <row r="229" spans="1:23">
      <c r="A229" s="5" t="s">
        <v>1642</v>
      </c>
      <c r="B229" s="5" t="s">
        <v>1643</v>
      </c>
      <c r="C229" s="5" t="s">
        <v>1652</v>
      </c>
      <c r="G229" s="5" t="s">
        <v>1677</v>
      </c>
      <c r="H229" s="5" t="s">
        <v>1681</v>
      </c>
      <c r="L229" s="17">
        <v>20</v>
      </c>
      <c r="M229" s="17">
        <v>1.72372490131579</v>
      </c>
      <c r="P229" s="18">
        <v>0.75</v>
      </c>
      <c r="Q229" s="18">
        <f t="shared" si="6"/>
        <v>0.75</v>
      </c>
      <c r="R229" s="18">
        <f t="shared" si="7"/>
        <v>4.7429529812460265</v>
      </c>
      <c r="U229" s="5" t="s">
        <v>1647</v>
      </c>
      <c r="V229" s="5" t="s">
        <v>1679</v>
      </c>
      <c r="W229" s="5" t="s">
        <v>1680</v>
      </c>
    </row>
    <row r="230" spans="1:23">
      <c r="A230" s="5" t="s">
        <v>1642</v>
      </c>
      <c r="B230" s="5" t="s">
        <v>1643</v>
      </c>
      <c r="C230" s="5" t="s">
        <v>1652</v>
      </c>
      <c r="G230" s="5" t="s">
        <v>1677</v>
      </c>
      <c r="H230" s="5" t="s">
        <v>1682</v>
      </c>
      <c r="L230" s="17">
        <v>20</v>
      </c>
      <c r="M230" s="17">
        <v>1.72372490131579</v>
      </c>
      <c r="P230" s="18">
        <v>0.43</v>
      </c>
      <c r="Q230" s="18">
        <f t="shared" si="6"/>
        <v>0.43</v>
      </c>
      <c r="R230" s="18">
        <f t="shared" si="7"/>
        <v>2.2419003634692731</v>
      </c>
      <c r="U230" s="5" t="s">
        <v>1647</v>
      </c>
      <c r="V230" s="5" t="s">
        <v>1679</v>
      </c>
      <c r="W230" s="5" t="s">
        <v>1680</v>
      </c>
    </row>
    <row r="231" spans="1:23">
      <c r="A231" s="5" t="s">
        <v>1642</v>
      </c>
      <c r="B231" s="5" t="s">
        <v>1643</v>
      </c>
      <c r="C231" s="5" t="s">
        <v>1652</v>
      </c>
      <c r="G231" s="5" t="s">
        <v>1677</v>
      </c>
      <c r="H231" s="5" t="s">
        <v>1682</v>
      </c>
      <c r="L231" s="17">
        <v>20</v>
      </c>
      <c r="M231" s="17">
        <v>1.72372490131579</v>
      </c>
      <c r="P231" s="18">
        <v>0.35</v>
      </c>
      <c r="Q231" s="18">
        <f t="shared" si="6"/>
        <v>0.35</v>
      </c>
      <c r="R231" s="18">
        <f t="shared" si="7"/>
        <v>1.7814620522337279</v>
      </c>
      <c r="U231" s="5" t="s">
        <v>1647</v>
      </c>
      <c r="V231" s="5" t="s">
        <v>1679</v>
      </c>
      <c r="W231" s="5" t="s">
        <v>1680</v>
      </c>
    </row>
    <row r="232" spans="1:23">
      <c r="A232" s="5" t="s">
        <v>1642</v>
      </c>
      <c r="B232" s="5" t="s">
        <v>1643</v>
      </c>
      <c r="C232" s="5" t="s">
        <v>1652</v>
      </c>
      <c r="G232" s="5" t="s">
        <v>1677</v>
      </c>
      <c r="H232" s="5" t="s">
        <v>1682</v>
      </c>
      <c r="L232" s="17">
        <v>20</v>
      </c>
      <c r="M232" s="17">
        <v>1.72372490131579</v>
      </c>
      <c r="P232" s="18">
        <v>0.22</v>
      </c>
      <c r="Q232" s="18">
        <f t="shared" si="6"/>
        <v>0.22</v>
      </c>
      <c r="R232" s="18">
        <f t="shared" si="7"/>
        <v>1.0902768656342858</v>
      </c>
      <c r="U232" s="5" t="s">
        <v>1647</v>
      </c>
      <c r="V232" s="5" t="s">
        <v>1679</v>
      </c>
      <c r="W232" s="5" t="s">
        <v>1680</v>
      </c>
    </row>
    <row r="233" spans="1:23">
      <c r="A233" s="5" t="s">
        <v>1642</v>
      </c>
      <c r="B233" s="5" t="s">
        <v>1643</v>
      </c>
      <c r="C233" s="5" t="s">
        <v>1652</v>
      </c>
      <c r="G233" s="5" t="s">
        <v>1677</v>
      </c>
      <c r="H233" s="5" t="s">
        <v>1682</v>
      </c>
      <c r="L233" s="17">
        <v>20</v>
      </c>
      <c r="M233" s="17">
        <v>1.72372490131579</v>
      </c>
      <c r="P233" s="18">
        <v>0.45</v>
      </c>
      <c r="Q233" s="18">
        <f t="shared" si="6"/>
        <v>0.45</v>
      </c>
      <c r="R233" s="18">
        <f t="shared" si="7"/>
        <v>2.3628127254328737</v>
      </c>
      <c r="U233" s="5" t="s">
        <v>1647</v>
      </c>
      <c r="V233" s="5" t="s">
        <v>1679</v>
      </c>
      <c r="W233" s="5" t="s">
        <v>1680</v>
      </c>
    </row>
    <row r="234" spans="1:23">
      <c r="A234" s="5" t="s">
        <v>1642</v>
      </c>
      <c r="B234" s="5" t="s">
        <v>1643</v>
      </c>
      <c r="C234" s="5" t="s">
        <v>1652</v>
      </c>
      <c r="G234" s="5" t="s">
        <v>1677</v>
      </c>
      <c r="H234" s="5" t="s">
        <v>1682</v>
      </c>
      <c r="L234" s="17">
        <v>20</v>
      </c>
      <c r="M234" s="17">
        <v>1.72372490131579</v>
      </c>
      <c r="P234" s="18">
        <v>0.5</v>
      </c>
      <c r="Q234" s="18">
        <f t="shared" si="6"/>
        <v>0.5</v>
      </c>
      <c r="R234" s="18">
        <f t="shared" si="7"/>
        <v>2.6777528409015026</v>
      </c>
      <c r="U234" s="5" t="s">
        <v>1647</v>
      </c>
      <c r="V234" s="5" t="s">
        <v>1679</v>
      </c>
      <c r="W234" s="5" t="s">
        <v>1680</v>
      </c>
    </row>
    <row r="235" spans="1:23">
      <c r="A235" s="5" t="s">
        <v>1642</v>
      </c>
      <c r="B235" s="5" t="s">
        <v>1643</v>
      </c>
      <c r="C235" s="5" t="s">
        <v>1652</v>
      </c>
      <c r="G235" s="5" t="s">
        <v>1677</v>
      </c>
      <c r="H235" s="5" t="s">
        <v>1682</v>
      </c>
      <c r="L235" s="17">
        <v>20</v>
      </c>
      <c r="M235" s="17">
        <v>1.72372490131579</v>
      </c>
      <c r="P235" s="18">
        <v>0.16</v>
      </c>
      <c r="Q235" s="18">
        <f t="shared" si="6"/>
        <v>0.16</v>
      </c>
      <c r="R235" s="18">
        <f t="shared" si="7"/>
        <v>0.78672647030703913</v>
      </c>
      <c r="U235" s="5" t="s">
        <v>1647</v>
      </c>
      <c r="V235" s="5" t="s">
        <v>1679</v>
      </c>
      <c r="W235" s="5" t="s">
        <v>1680</v>
      </c>
    </row>
    <row r="236" spans="1:23">
      <c r="A236" s="5" t="s">
        <v>1642</v>
      </c>
      <c r="B236" s="5" t="s">
        <v>1643</v>
      </c>
      <c r="C236" s="5" t="s">
        <v>1652</v>
      </c>
      <c r="G236" s="5" t="s">
        <v>1677</v>
      </c>
      <c r="H236" s="5" t="s">
        <v>1682</v>
      </c>
      <c r="L236" s="17">
        <v>20</v>
      </c>
      <c r="M236" s="17">
        <v>1.72372490131579</v>
      </c>
      <c r="P236" s="18">
        <v>0.54</v>
      </c>
      <c r="Q236" s="18">
        <f t="shared" si="6"/>
        <v>0.54</v>
      </c>
      <c r="R236" s="18">
        <f t="shared" si="7"/>
        <v>2.9451325073744945</v>
      </c>
      <c r="U236" s="5" t="s">
        <v>1647</v>
      </c>
      <c r="V236" s="5" t="s">
        <v>1679</v>
      </c>
      <c r="W236" s="5" t="s">
        <v>1680</v>
      </c>
    </row>
    <row r="237" spans="1:23">
      <c r="A237" s="5" t="s">
        <v>1642</v>
      </c>
      <c r="B237" s="5" t="s">
        <v>1643</v>
      </c>
      <c r="C237" s="5" t="s">
        <v>1652</v>
      </c>
      <c r="G237" s="5" t="s">
        <v>1677</v>
      </c>
      <c r="H237" s="5" t="s">
        <v>1682</v>
      </c>
      <c r="L237" s="17">
        <v>20</v>
      </c>
      <c r="M237" s="17">
        <v>1.72372490131579</v>
      </c>
      <c r="P237" s="18">
        <v>0.52</v>
      </c>
      <c r="Q237" s="18">
        <f t="shared" si="6"/>
        <v>0.52</v>
      </c>
      <c r="R237" s="18">
        <f t="shared" si="7"/>
        <v>2.8095360521849408</v>
      </c>
      <c r="U237" s="5" t="s">
        <v>1647</v>
      </c>
      <c r="V237" s="5" t="s">
        <v>1679</v>
      </c>
      <c r="W237" s="5" t="s">
        <v>1680</v>
      </c>
    </row>
    <row r="238" spans="1:23">
      <c r="A238" s="5" t="s">
        <v>1642</v>
      </c>
      <c r="B238" s="5" t="s">
        <v>1643</v>
      </c>
      <c r="C238" s="5" t="s">
        <v>1652</v>
      </c>
      <c r="G238" s="5" t="s">
        <v>1677</v>
      </c>
      <c r="H238" s="5" t="s">
        <v>1682</v>
      </c>
      <c r="L238" s="17">
        <v>20</v>
      </c>
      <c r="M238" s="17">
        <v>1.72372490131579</v>
      </c>
      <c r="P238" s="18">
        <v>0.2</v>
      </c>
      <c r="Q238" s="18">
        <f t="shared" si="6"/>
        <v>0.2</v>
      </c>
      <c r="R238" s="18">
        <f t="shared" si="7"/>
        <v>0.98827890086624703</v>
      </c>
      <c r="U238" s="5" t="s">
        <v>1647</v>
      </c>
      <c r="V238" s="5" t="s">
        <v>1679</v>
      </c>
      <c r="W238" s="5" t="s">
        <v>1680</v>
      </c>
    </row>
    <row r="239" spans="1:23">
      <c r="A239" s="5" t="s">
        <v>1642</v>
      </c>
      <c r="B239" s="5" t="s">
        <v>1643</v>
      </c>
      <c r="C239" s="5" t="s">
        <v>1652</v>
      </c>
      <c r="G239" s="5" t="s">
        <v>1677</v>
      </c>
      <c r="H239" s="5" t="s">
        <v>1681</v>
      </c>
      <c r="L239" s="17">
        <v>20</v>
      </c>
      <c r="M239" s="17">
        <v>1.72372490131579</v>
      </c>
      <c r="P239" s="18">
        <v>0.71</v>
      </c>
      <c r="Q239" s="18">
        <f t="shared" si="6"/>
        <v>0.71</v>
      </c>
      <c r="R239" s="18">
        <f t="shared" si="7"/>
        <v>4.3248362224701342</v>
      </c>
      <c r="U239" s="5" t="s">
        <v>1647</v>
      </c>
      <c r="V239" s="5" t="s">
        <v>1679</v>
      </c>
      <c r="W239" s="5" t="s">
        <v>1680</v>
      </c>
    </row>
    <row r="240" spans="1:23">
      <c r="A240" s="5" t="s">
        <v>1642</v>
      </c>
      <c r="B240" s="5" t="s">
        <v>1643</v>
      </c>
      <c r="C240" s="5" t="s">
        <v>1652</v>
      </c>
      <c r="G240" s="5" t="s">
        <v>1677</v>
      </c>
      <c r="H240" s="5" t="s">
        <v>1681</v>
      </c>
      <c r="L240" s="17">
        <v>20</v>
      </c>
      <c r="M240" s="17">
        <v>1.72372490131579</v>
      </c>
      <c r="P240" s="18">
        <v>0.73</v>
      </c>
      <c r="Q240" s="18">
        <f t="shared" si="6"/>
        <v>0.73</v>
      </c>
      <c r="R240" s="18">
        <f t="shared" si="7"/>
        <v>4.5273521217382342</v>
      </c>
      <c r="U240" s="5" t="s">
        <v>1647</v>
      </c>
      <c r="V240" s="5" t="s">
        <v>1679</v>
      </c>
      <c r="W240" s="5" t="s">
        <v>1680</v>
      </c>
    </row>
    <row r="241" spans="1:23">
      <c r="A241" s="5" t="s">
        <v>1642</v>
      </c>
      <c r="B241" s="5" t="s">
        <v>1643</v>
      </c>
      <c r="C241" s="5" t="s">
        <v>1652</v>
      </c>
      <c r="G241" s="5" t="s">
        <v>1677</v>
      </c>
      <c r="H241" s="5" t="s">
        <v>1681</v>
      </c>
      <c r="L241" s="17">
        <v>20</v>
      </c>
      <c r="M241" s="17">
        <v>1.72372490131579</v>
      </c>
      <c r="P241" s="18">
        <v>0.78</v>
      </c>
      <c r="Q241" s="18">
        <f t="shared" si="6"/>
        <v>0.78</v>
      </c>
      <c r="R241" s="18">
        <f t="shared" si="7"/>
        <v>5.0959633072111252</v>
      </c>
      <c r="U241" s="5" t="s">
        <v>1647</v>
      </c>
      <c r="V241" s="5" t="s">
        <v>1679</v>
      </c>
      <c r="W241" s="5" t="s">
        <v>1680</v>
      </c>
    </row>
    <row r="242" spans="1:23">
      <c r="A242" s="5" t="s">
        <v>1642</v>
      </c>
      <c r="B242" s="5" t="s">
        <v>1643</v>
      </c>
      <c r="C242" s="5" t="s">
        <v>1652</v>
      </c>
      <c r="G242" s="5" t="s">
        <v>1677</v>
      </c>
      <c r="H242" s="5" t="s">
        <v>1682</v>
      </c>
      <c r="L242" s="17">
        <v>20</v>
      </c>
      <c r="M242" s="17">
        <v>1.72372490131579</v>
      </c>
      <c r="P242" s="18">
        <v>0.76</v>
      </c>
      <c r="Q242" s="18">
        <f t="shared" si="6"/>
        <v>0.76</v>
      </c>
      <c r="R242" s="18">
        <f t="shared" si="7"/>
        <v>4.8563406661554476</v>
      </c>
      <c r="U242" s="5" t="s">
        <v>1647</v>
      </c>
      <c r="V242" s="5" t="s">
        <v>1679</v>
      </c>
      <c r="W242" s="5" t="s">
        <v>1680</v>
      </c>
    </row>
    <row r="243" spans="1:23">
      <c r="A243" s="5" t="s">
        <v>1642</v>
      </c>
      <c r="B243" s="5" t="s">
        <v>1643</v>
      </c>
      <c r="C243" s="5" t="s">
        <v>1652</v>
      </c>
      <c r="G243" s="5" t="s">
        <v>1677</v>
      </c>
      <c r="H243" s="5" t="s">
        <v>1678</v>
      </c>
      <c r="L243" s="17">
        <v>20</v>
      </c>
      <c r="M243" s="17">
        <v>1.72372490131579</v>
      </c>
      <c r="P243" s="18">
        <v>0.79</v>
      </c>
      <c r="Q243" s="18">
        <f t="shared" si="6"/>
        <v>0.79</v>
      </c>
      <c r="R243" s="18">
        <f t="shared" si="7"/>
        <v>5.2230059055651195</v>
      </c>
      <c r="U243" s="5" t="s">
        <v>1647</v>
      </c>
      <c r="V243" s="5" t="s">
        <v>1679</v>
      </c>
      <c r="W243" s="5" t="s">
        <v>1680</v>
      </c>
    </row>
    <row r="244" spans="1:23">
      <c r="A244" s="5" t="s">
        <v>1642</v>
      </c>
      <c r="B244" s="5" t="s">
        <v>1643</v>
      </c>
      <c r="C244" s="5" t="s">
        <v>1652</v>
      </c>
      <c r="G244" s="5" t="s">
        <v>1677</v>
      </c>
      <c r="H244" s="5" t="s">
        <v>1682</v>
      </c>
      <c r="L244" s="17">
        <v>20</v>
      </c>
      <c r="M244" s="17">
        <v>1.72372490131579</v>
      </c>
      <c r="P244" s="18">
        <v>0.73</v>
      </c>
      <c r="Q244" s="18">
        <f t="shared" si="6"/>
        <v>0.73</v>
      </c>
      <c r="R244" s="18">
        <f t="shared" si="7"/>
        <v>4.5273521217382342</v>
      </c>
      <c r="U244" s="5" t="s">
        <v>1647</v>
      </c>
      <c r="V244" s="5" t="s">
        <v>1679</v>
      </c>
      <c r="W244" s="5" t="s">
        <v>1680</v>
      </c>
    </row>
    <row r="245" spans="1:23">
      <c r="A245" s="5" t="s">
        <v>1642</v>
      </c>
      <c r="B245" s="5" t="s">
        <v>1643</v>
      </c>
      <c r="C245" s="5" t="s">
        <v>1652</v>
      </c>
      <c r="G245" s="5" t="s">
        <v>1677</v>
      </c>
      <c r="H245" s="5" t="s">
        <v>1678</v>
      </c>
      <c r="L245" s="17">
        <v>20</v>
      </c>
      <c r="M245" s="17">
        <v>1.72372490131579</v>
      </c>
      <c r="P245" s="18">
        <v>0.76</v>
      </c>
      <c r="Q245" s="18">
        <f t="shared" si="6"/>
        <v>0.76</v>
      </c>
      <c r="R245" s="18">
        <f t="shared" si="7"/>
        <v>4.8563406661554476</v>
      </c>
      <c r="U245" s="5" t="s">
        <v>1647</v>
      </c>
      <c r="V245" s="5" t="s">
        <v>1679</v>
      </c>
      <c r="W245" s="5" t="s">
        <v>1680</v>
      </c>
    </row>
    <row r="246" spans="1:23">
      <c r="A246" s="5" t="s">
        <v>1642</v>
      </c>
      <c r="B246" s="5" t="s">
        <v>1643</v>
      </c>
      <c r="C246" s="5" t="s">
        <v>1652</v>
      </c>
      <c r="G246" s="5" t="s">
        <v>1677</v>
      </c>
      <c r="H246" s="5" t="s">
        <v>1682</v>
      </c>
      <c r="L246" s="17">
        <v>20</v>
      </c>
      <c r="M246" s="17">
        <v>1.72372490131579</v>
      </c>
      <c r="P246" s="18">
        <v>0.76</v>
      </c>
      <c r="Q246" s="18">
        <f t="shared" si="6"/>
        <v>0.76</v>
      </c>
      <c r="R246" s="18">
        <f t="shared" si="7"/>
        <v>4.8563406661554476</v>
      </c>
      <c r="U246" s="5" t="s">
        <v>1647</v>
      </c>
      <c r="V246" s="5" t="s">
        <v>1679</v>
      </c>
      <c r="W246" s="5" t="s">
        <v>1680</v>
      </c>
    </row>
    <row r="247" spans="1:23">
      <c r="A247" s="5" t="s">
        <v>1642</v>
      </c>
      <c r="B247" s="5" t="s">
        <v>1643</v>
      </c>
      <c r="C247" s="5" t="s">
        <v>1652</v>
      </c>
      <c r="G247" s="5" t="s">
        <v>1677</v>
      </c>
      <c r="H247" s="5" t="s">
        <v>1678</v>
      </c>
      <c r="L247" s="17">
        <v>20</v>
      </c>
      <c r="M247" s="17">
        <v>1.72372490131579</v>
      </c>
      <c r="P247" s="18">
        <v>0.79</v>
      </c>
      <c r="Q247" s="18">
        <f t="shared" si="6"/>
        <v>0.79</v>
      </c>
      <c r="R247" s="18">
        <f t="shared" si="7"/>
        <v>5.2230059055651195</v>
      </c>
      <c r="U247" s="5" t="s">
        <v>1647</v>
      </c>
      <c r="V247" s="5" t="s">
        <v>1679</v>
      </c>
      <c r="W247" s="5" t="s">
        <v>1680</v>
      </c>
    </row>
    <row r="248" spans="1:23">
      <c r="A248" s="5" t="s">
        <v>1642</v>
      </c>
      <c r="B248" s="5" t="s">
        <v>1643</v>
      </c>
      <c r="C248" s="5" t="s">
        <v>1652</v>
      </c>
      <c r="G248" s="5" t="s">
        <v>1677</v>
      </c>
      <c r="H248" s="5" t="s">
        <v>1678</v>
      </c>
      <c r="L248" s="17">
        <v>20</v>
      </c>
      <c r="M248" s="17">
        <v>1.72372490131579</v>
      </c>
      <c r="P248" s="18">
        <v>0.76</v>
      </c>
      <c r="Q248" s="18">
        <f t="shared" si="6"/>
        <v>0.76</v>
      </c>
      <c r="R248" s="18">
        <f t="shared" si="7"/>
        <v>4.8563406661554476</v>
      </c>
      <c r="U248" s="5" t="s">
        <v>1647</v>
      </c>
      <c r="V248" s="5" t="s">
        <v>1679</v>
      </c>
      <c r="W248" s="5" t="s">
        <v>1680</v>
      </c>
    </row>
    <row r="249" spans="1:23">
      <c r="A249" s="5" t="s">
        <v>1642</v>
      </c>
      <c r="B249" s="5" t="s">
        <v>1643</v>
      </c>
      <c r="C249" s="5" t="s">
        <v>1652</v>
      </c>
      <c r="G249" s="5" t="s">
        <v>1677</v>
      </c>
      <c r="H249" s="5" t="s">
        <v>1682</v>
      </c>
      <c r="L249" s="17">
        <v>20</v>
      </c>
      <c r="M249" s="17">
        <v>1.72372490131579</v>
      </c>
      <c r="P249" s="18">
        <v>0.79</v>
      </c>
      <c r="Q249" s="18">
        <f t="shared" si="6"/>
        <v>0.79</v>
      </c>
      <c r="R249" s="18">
        <f t="shared" si="7"/>
        <v>5.2230059055651195</v>
      </c>
      <c r="U249" s="5" t="s">
        <v>1647</v>
      </c>
      <c r="V249" s="5" t="s">
        <v>1679</v>
      </c>
      <c r="W249" s="5" t="s">
        <v>1680</v>
      </c>
    </row>
    <row r="250" spans="1:23">
      <c r="A250" s="5" t="s">
        <v>1642</v>
      </c>
      <c r="B250" s="5" t="s">
        <v>1643</v>
      </c>
      <c r="C250" s="5" t="s">
        <v>1652</v>
      </c>
      <c r="G250" s="5" t="s">
        <v>1677</v>
      </c>
      <c r="H250" s="5" t="s">
        <v>1681</v>
      </c>
      <c r="L250" s="17">
        <v>20</v>
      </c>
      <c r="M250" s="17">
        <v>1.72372490131579</v>
      </c>
      <c r="P250" s="18">
        <v>0.76</v>
      </c>
      <c r="Q250" s="18">
        <f t="shared" si="6"/>
        <v>0.76</v>
      </c>
      <c r="R250" s="18">
        <f t="shared" si="7"/>
        <v>4.8563406661554476</v>
      </c>
      <c r="U250" s="5" t="s">
        <v>1647</v>
      </c>
      <c r="V250" s="5" t="s">
        <v>1679</v>
      </c>
      <c r="W250" s="5" t="s">
        <v>1680</v>
      </c>
    </row>
    <row r="251" spans="1:23">
      <c r="A251" s="5" t="s">
        <v>1642</v>
      </c>
      <c r="B251" s="5" t="s">
        <v>1643</v>
      </c>
      <c r="C251" s="5" t="s">
        <v>1652</v>
      </c>
      <c r="G251" s="5" t="s">
        <v>1677</v>
      </c>
      <c r="H251" s="5" t="s">
        <v>1682</v>
      </c>
      <c r="L251" s="17">
        <v>20</v>
      </c>
      <c r="M251" s="17">
        <v>1.72372490131579</v>
      </c>
      <c r="P251" s="18">
        <v>0.75</v>
      </c>
      <c r="Q251" s="18">
        <f t="shared" si="6"/>
        <v>0.75</v>
      </c>
      <c r="R251" s="18">
        <f t="shared" si="7"/>
        <v>4.7429529812460265</v>
      </c>
      <c r="U251" s="5" t="s">
        <v>1647</v>
      </c>
      <c r="V251" s="5" t="s">
        <v>1679</v>
      </c>
      <c r="W251" s="5" t="s">
        <v>1680</v>
      </c>
    </row>
    <row r="252" spans="1:23">
      <c r="A252" s="5" t="s">
        <v>1642</v>
      </c>
      <c r="B252" s="5" t="s">
        <v>1643</v>
      </c>
      <c r="C252" s="5" t="s">
        <v>1652</v>
      </c>
      <c r="G252" s="5" t="s">
        <v>1677</v>
      </c>
      <c r="H252" s="5" t="s">
        <v>1678</v>
      </c>
      <c r="L252" s="17">
        <v>20</v>
      </c>
      <c r="M252" s="17">
        <v>1.72372490131579</v>
      </c>
      <c r="P252" s="18">
        <v>0.79</v>
      </c>
      <c r="Q252" s="18">
        <f t="shared" si="6"/>
        <v>0.79</v>
      </c>
      <c r="R252" s="18">
        <f t="shared" si="7"/>
        <v>5.2230059055651195</v>
      </c>
      <c r="U252" s="5" t="s">
        <v>1647</v>
      </c>
      <c r="V252" s="5" t="s">
        <v>1679</v>
      </c>
      <c r="W252" s="5" t="s">
        <v>1680</v>
      </c>
    </row>
    <row r="253" spans="1:23">
      <c r="A253" s="5" t="s">
        <v>1642</v>
      </c>
      <c r="B253" s="5" t="s">
        <v>1643</v>
      </c>
      <c r="C253" s="5" t="s">
        <v>1652</v>
      </c>
      <c r="G253" s="5" t="s">
        <v>1677</v>
      </c>
      <c r="H253" s="5" t="s">
        <v>1682</v>
      </c>
      <c r="L253" s="17">
        <v>20</v>
      </c>
      <c r="M253" s="17">
        <v>1.72372490131579</v>
      </c>
      <c r="P253" s="18">
        <v>0.69</v>
      </c>
      <c r="Q253" s="18">
        <f t="shared" si="6"/>
        <v>0.69</v>
      </c>
      <c r="R253" s="18">
        <f t="shared" si="7"/>
        <v>4.1336073807241211</v>
      </c>
      <c r="U253" s="5" t="s">
        <v>1647</v>
      </c>
      <c r="V253" s="5" t="s">
        <v>1679</v>
      </c>
      <c r="W253" s="5" t="s">
        <v>1680</v>
      </c>
    </row>
    <row r="254" spans="1:23">
      <c r="A254" s="5" t="s">
        <v>1642</v>
      </c>
      <c r="B254" s="5" t="s">
        <v>1643</v>
      </c>
      <c r="C254" s="5" t="s">
        <v>1652</v>
      </c>
      <c r="G254" s="5" t="s">
        <v>1677</v>
      </c>
      <c r="H254" s="5" t="s">
        <v>1678</v>
      </c>
      <c r="L254" s="17">
        <v>20</v>
      </c>
      <c r="M254" s="17">
        <v>1.72372490131579</v>
      </c>
      <c r="P254" s="18">
        <v>0.76</v>
      </c>
      <c r="Q254" s="18">
        <f t="shared" si="6"/>
        <v>0.76</v>
      </c>
      <c r="R254" s="18">
        <f t="shared" si="7"/>
        <v>4.8563406661554476</v>
      </c>
      <c r="U254" s="5" t="s">
        <v>1647</v>
      </c>
      <c r="V254" s="5" t="s">
        <v>1679</v>
      </c>
      <c r="W254" s="5" t="s">
        <v>1680</v>
      </c>
    </row>
    <row r="255" spans="1:23">
      <c r="A255" s="5" t="s">
        <v>1642</v>
      </c>
      <c r="B255" s="5" t="s">
        <v>1643</v>
      </c>
      <c r="C255" s="5" t="s">
        <v>1652</v>
      </c>
      <c r="G255" s="5" t="s">
        <v>1677</v>
      </c>
      <c r="H255" s="5" t="s">
        <v>1682</v>
      </c>
      <c r="L255" s="17">
        <v>20</v>
      </c>
      <c r="M255" s="17">
        <v>1.72372490131579</v>
      </c>
      <c r="P255" s="18">
        <v>0.55000000000000004</v>
      </c>
      <c r="Q255" s="18">
        <f t="shared" si="6"/>
        <v>0.55000000000000004</v>
      </c>
      <c r="R255" s="18">
        <f t="shared" si="7"/>
        <v>3.0144798784144329</v>
      </c>
      <c r="U255" s="5" t="s">
        <v>1647</v>
      </c>
      <c r="V255" s="5" t="s">
        <v>1679</v>
      </c>
      <c r="W255" s="5" t="s">
        <v>1680</v>
      </c>
    </row>
    <row r="256" spans="1:23">
      <c r="A256" s="5" t="s">
        <v>1642</v>
      </c>
      <c r="B256" s="5" t="s">
        <v>1643</v>
      </c>
      <c r="C256" s="5" t="s">
        <v>1652</v>
      </c>
      <c r="G256" s="5" t="s">
        <v>1677</v>
      </c>
      <c r="H256" s="5" t="s">
        <v>1678</v>
      </c>
      <c r="L256" s="17">
        <v>20</v>
      </c>
      <c r="M256" s="17">
        <v>1.72372490131579</v>
      </c>
      <c r="P256" s="18">
        <v>0.76</v>
      </c>
      <c r="Q256" s="18">
        <f t="shared" si="6"/>
        <v>0.76</v>
      </c>
      <c r="R256" s="18">
        <f t="shared" si="7"/>
        <v>4.8563406661554476</v>
      </c>
      <c r="U256" s="5" t="s">
        <v>1647</v>
      </c>
      <c r="V256" s="5" t="s">
        <v>1679</v>
      </c>
      <c r="W256" s="5" t="s">
        <v>1680</v>
      </c>
    </row>
    <row r="257" spans="1:23">
      <c r="A257" s="5" t="s">
        <v>1642</v>
      </c>
      <c r="B257" s="5" t="s">
        <v>1643</v>
      </c>
      <c r="C257" s="5" t="s">
        <v>1652</v>
      </c>
      <c r="G257" s="5" t="s">
        <v>1677</v>
      </c>
      <c r="H257" s="5" t="s">
        <v>1678</v>
      </c>
      <c r="L257" s="17">
        <v>20</v>
      </c>
      <c r="M257" s="17">
        <v>1.72372490131579</v>
      </c>
      <c r="P257" s="18">
        <v>0.78</v>
      </c>
      <c r="Q257" s="18">
        <f t="shared" si="6"/>
        <v>0.78</v>
      </c>
      <c r="R257" s="18">
        <f t="shared" si="7"/>
        <v>5.0959633072111252</v>
      </c>
      <c r="U257" s="5" t="s">
        <v>1647</v>
      </c>
      <c r="V257" s="5" t="s">
        <v>1679</v>
      </c>
      <c r="W257" s="5" t="s">
        <v>1680</v>
      </c>
    </row>
    <row r="258" spans="1:23">
      <c r="A258" s="5" t="s">
        <v>1642</v>
      </c>
      <c r="B258" s="5" t="s">
        <v>1643</v>
      </c>
      <c r="C258" s="5" t="s">
        <v>1652</v>
      </c>
      <c r="G258" s="5" t="s">
        <v>1677</v>
      </c>
      <c r="H258" s="5" t="s">
        <v>1682</v>
      </c>
      <c r="L258" s="17">
        <v>20</v>
      </c>
      <c r="M258" s="17">
        <v>1.72372490131579</v>
      </c>
      <c r="P258" s="18">
        <v>0.75</v>
      </c>
      <c r="Q258" s="18">
        <f t="shared" ref="Q258:Q321" si="8">ABS(P258)</f>
        <v>0.75</v>
      </c>
      <c r="R258" s="18">
        <f t="shared" si="7"/>
        <v>4.7429529812460265</v>
      </c>
      <c r="U258" s="5" t="s">
        <v>1647</v>
      </c>
      <c r="V258" s="5" t="s">
        <v>1679</v>
      </c>
      <c r="W258" s="5" t="s">
        <v>1680</v>
      </c>
    </row>
    <row r="259" spans="1:23">
      <c r="A259" s="5" t="s">
        <v>1642</v>
      </c>
      <c r="B259" s="5" t="s">
        <v>1643</v>
      </c>
      <c r="C259" s="5" t="s">
        <v>1652</v>
      </c>
      <c r="G259" s="5" t="s">
        <v>1677</v>
      </c>
      <c r="H259" s="5" t="s">
        <v>1681</v>
      </c>
      <c r="L259" s="17">
        <v>20</v>
      </c>
      <c r="M259" s="17">
        <v>1.72372490131579</v>
      </c>
      <c r="P259" s="18">
        <v>0.69</v>
      </c>
      <c r="Q259" s="18">
        <f t="shared" si="8"/>
        <v>0.69</v>
      </c>
      <c r="R259" s="18">
        <f t="shared" ref="R259:R322" si="9">8.3145*(L259+273.15)*LN((Q259+1)/(1-Q259))*0.001</f>
        <v>4.1336073807241211</v>
      </c>
      <c r="U259" s="5" t="s">
        <v>1647</v>
      </c>
      <c r="V259" s="5" t="s">
        <v>1679</v>
      </c>
      <c r="W259" s="5" t="s">
        <v>1680</v>
      </c>
    </row>
    <row r="260" spans="1:23">
      <c r="A260" s="5" t="s">
        <v>1642</v>
      </c>
      <c r="B260" s="5" t="s">
        <v>1643</v>
      </c>
      <c r="C260" s="5" t="s">
        <v>1652</v>
      </c>
      <c r="G260" s="5" t="s">
        <v>1677</v>
      </c>
      <c r="H260" s="5" t="s">
        <v>1681</v>
      </c>
      <c r="L260" s="17">
        <v>20</v>
      </c>
      <c r="M260" s="17">
        <v>1.72372490131579</v>
      </c>
      <c r="P260" s="18">
        <v>0.72</v>
      </c>
      <c r="Q260" s="18">
        <f t="shared" si="8"/>
        <v>0.72</v>
      </c>
      <c r="R260" s="18">
        <f t="shared" si="9"/>
        <v>4.4245799135549628</v>
      </c>
      <c r="U260" s="5" t="s">
        <v>1647</v>
      </c>
      <c r="V260" s="5" t="s">
        <v>1679</v>
      </c>
      <c r="W260" s="5" t="s">
        <v>1680</v>
      </c>
    </row>
    <row r="261" spans="1:23">
      <c r="A261" s="5" t="s">
        <v>1642</v>
      </c>
      <c r="B261" s="5" t="s">
        <v>1643</v>
      </c>
      <c r="C261" s="5" t="s">
        <v>1652</v>
      </c>
      <c r="G261" s="5" t="s">
        <v>1677</v>
      </c>
      <c r="H261" s="5" t="s">
        <v>1682</v>
      </c>
      <c r="L261" s="17">
        <v>20</v>
      </c>
      <c r="M261" s="17">
        <v>1.72372490131579</v>
      </c>
      <c r="P261" s="18">
        <v>0.73</v>
      </c>
      <c r="Q261" s="18">
        <f t="shared" si="8"/>
        <v>0.73</v>
      </c>
      <c r="R261" s="18">
        <f t="shared" si="9"/>
        <v>4.5273521217382342</v>
      </c>
      <c r="U261" s="5" t="s">
        <v>1647</v>
      </c>
      <c r="V261" s="5" t="s">
        <v>1679</v>
      </c>
      <c r="W261" s="5" t="s">
        <v>1680</v>
      </c>
    </row>
    <row r="262" spans="1:23">
      <c r="A262" s="5" t="s">
        <v>1642</v>
      </c>
      <c r="B262" s="5" t="s">
        <v>1643</v>
      </c>
      <c r="C262" s="5" t="s">
        <v>1652</v>
      </c>
      <c r="G262" s="5" t="s">
        <v>1677</v>
      </c>
      <c r="H262" s="5" t="s">
        <v>1678</v>
      </c>
      <c r="L262" s="17">
        <v>20</v>
      </c>
      <c r="M262" s="17">
        <v>1.72372490131579</v>
      </c>
      <c r="P262" s="18">
        <v>0.75</v>
      </c>
      <c r="Q262" s="18">
        <f t="shared" si="8"/>
        <v>0.75</v>
      </c>
      <c r="R262" s="18">
        <f t="shared" si="9"/>
        <v>4.7429529812460265</v>
      </c>
      <c r="U262" s="5" t="s">
        <v>1647</v>
      </c>
      <c r="V262" s="5" t="s">
        <v>1679</v>
      </c>
      <c r="W262" s="5" t="s">
        <v>1680</v>
      </c>
    </row>
    <row r="263" spans="1:23">
      <c r="A263" s="5" t="s">
        <v>1642</v>
      </c>
      <c r="B263" s="5" t="s">
        <v>1643</v>
      </c>
      <c r="C263" s="5" t="s">
        <v>1652</v>
      </c>
      <c r="G263" s="5" t="s">
        <v>1677</v>
      </c>
      <c r="H263" s="5" t="s">
        <v>1682</v>
      </c>
      <c r="L263" s="17">
        <v>20</v>
      </c>
      <c r="M263" s="17">
        <v>1.72372490131579</v>
      </c>
      <c r="P263" s="18">
        <v>0.65</v>
      </c>
      <c r="Q263" s="18">
        <f t="shared" si="8"/>
        <v>0.65</v>
      </c>
      <c r="R263" s="18">
        <f t="shared" si="9"/>
        <v>3.7794194266771703</v>
      </c>
      <c r="U263" s="5" t="s">
        <v>1647</v>
      </c>
      <c r="V263" s="5" t="s">
        <v>1679</v>
      </c>
      <c r="W263" s="5" t="s">
        <v>1680</v>
      </c>
    </row>
    <row r="264" spans="1:23">
      <c r="A264" s="5" t="s">
        <v>1642</v>
      </c>
      <c r="B264" s="5" t="s">
        <v>1643</v>
      </c>
      <c r="C264" s="5" t="s">
        <v>1652</v>
      </c>
      <c r="G264" s="5" t="s">
        <v>1677</v>
      </c>
      <c r="H264" s="5" t="s">
        <v>1678</v>
      </c>
      <c r="L264" s="17">
        <v>20</v>
      </c>
      <c r="M264" s="17">
        <v>1.72372490131579</v>
      </c>
      <c r="P264" s="18">
        <v>0.8</v>
      </c>
      <c r="Q264" s="18">
        <f t="shared" si="8"/>
        <v>0.8</v>
      </c>
      <c r="R264" s="18">
        <f t="shared" si="9"/>
        <v>5.3555056818030051</v>
      </c>
      <c r="U264" s="5" t="s">
        <v>1647</v>
      </c>
      <c r="V264" s="5" t="s">
        <v>1679</v>
      </c>
      <c r="W264" s="5" t="s">
        <v>1680</v>
      </c>
    </row>
    <row r="265" spans="1:23">
      <c r="A265" s="5" t="s">
        <v>1642</v>
      </c>
      <c r="B265" s="5" t="s">
        <v>1643</v>
      </c>
      <c r="C265" s="5" t="s">
        <v>1652</v>
      </c>
      <c r="G265" s="5" t="s">
        <v>1677</v>
      </c>
      <c r="H265" s="5" t="s">
        <v>1678</v>
      </c>
      <c r="L265" s="17">
        <v>20</v>
      </c>
      <c r="M265" s="17">
        <v>1.72372490131579</v>
      </c>
      <c r="P265" s="18">
        <v>0.78</v>
      </c>
      <c r="Q265" s="18">
        <f t="shared" si="8"/>
        <v>0.78</v>
      </c>
      <c r="R265" s="18">
        <f t="shared" si="9"/>
        <v>5.0959633072111252</v>
      </c>
      <c r="U265" s="5" t="s">
        <v>1647</v>
      </c>
      <c r="V265" s="5" t="s">
        <v>1679</v>
      </c>
      <c r="W265" s="5" t="s">
        <v>1680</v>
      </c>
    </row>
    <row r="266" spans="1:23">
      <c r="A266" s="5" t="s">
        <v>1642</v>
      </c>
      <c r="B266" s="5" t="s">
        <v>1643</v>
      </c>
      <c r="C266" s="5" t="s">
        <v>1652</v>
      </c>
      <c r="G266" s="5" t="s">
        <v>1677</v>
      </c>
      <c r="H266" s="5" t="s">
        <v>1682</v>
      </c>
      <c r="L266" s="17">
        <v>20</v>
      </c>
      <c r="M266" s="17">
        <v>1.72372490131579</v>
      </c>
      <c r="P266" s="18">
        <v>0.66</v>
      </c>
      <c r="Q266" s="18">
        <f t="shared" si="8"/>
        <v>0.66</v>
      </c>
      <c r="R266" s="18">
        <f t="shared" si="9"/>
        <v>3.8648010348028921</v>
      </c>
      <c r="U266" s="5" t="s">
        <v>1647</v>
      </c>
      <c r="V266" s="5" t="s">
        <v>1679</v>
      </c>
      <c r="W266" s="5" t="s">
        <v>1680</v>
      </c>
    </row>
    <row r="267" spans="1:23">
      <c r="A267" s="5" t="s">
        <v>1642</v>
      </c>
      <c r="B267" s="5" t="s">
        <v>1643</v>
      </c>
      <c r="C267" s="5" t="s">
        <v>1652</v>
      </c>
      <c r="G267" s="5" t="s">
        <v>1677</v>
      </c>
      <c r="H267" s="5" t="s">
        <v>1678</v>
      </c>
      <c r="L267" s="17">
        <v>20</v>
      </c>
      <c r="M267" s="17">
        <v>1.72372490131579</v>
      </c>
      <c r="P267" s="18">
        <v>0.76</v>
      </c>
      <c r="Q267" s="18">
        <f t="shared" si="8"/>
        <v>0.76</v>
      </c>
      <c r="R267" s="18">
        <f t="shared" si="9"/>
        <v>4.8563406661554476</v>
      </c>
      <c r="U267" s="5" t="s">
        <v>1647</v>
      </c>
      <c r="V267" s="5" t="s">
        <v>1679</v>
      </c>
      <c r="W267" s="5" t="s">
        <v>1680</v>
      </c>
    </row>
    <row r="268" spans="1:23">
      <c r="A268" s="5" t="s">
        <v>1642</v>
      </c>
      <c r="B268" s="5" t="s">
        <v>1643</v>
      </c>
      <c r="C268" s="5" t="s">
        <v>1652</v>
      </c>
      <c r="G268" s="5" t="s">
        <v>1677</v>
      </c>
      <c r="H268" s="5" t="s">
        <v>1678</v>
      </c>
      <c r="L268" s="17">
        <v>20</v>
      </c>
      <c r="M268" s="17">
        <v>1.72372490131579</v>
      </c>
      <c r="P268" s="18">
        <v>0.76</v>
      </c>
      <c r="Q268" s="18">
        <f t="shared" si="8"/>
        <v>0.76</v>
      </c>
      <c r="R268" s="18">
        <f t="shared" si="9"/>
        <v>4.8563406661554476</v>
      </c>
      <c r="U268" s="5" t="s">
        <v>1647</v>
      </c>
      <c r="V268" s="5" t="s">
        <v>1679</v>
      </c>
      <c r="W268" s="5" t="s">
        <v>1680</v>
      </c>
    </row>
    <row r="269" spans="1:23">
      <c r="A269" s="5" t="s">
        <v>1642</v>
      </c>
      <c r="B269" s="5" t="s">
        <v>1643</v>
      </c>
      <c r="C269" s="5" t="s">
        <v>1652</v>
      </c>
      <c r="G269" s="5" t="s">
        <v>1677</v>
      </c>
      <c r="H269" s="5" t="s">
        <v>1682</v>
      </c>
      <c r="L269" s="17">
        <v>20</v>
      </c>
      <c r="M269" s="17">
        <v>1.72372490131579</v>
      </c>
      <c r="P269" s="18">
        <v>0.75</v>
      </c>
      <c r="Q269" s="18">
        <f t="shared" si="8"/>
        <v>0.75</v>
      </c>
      <c r="R269" s="18">
        <f t="shared" si="9"/>
        <v>4.7429529812460265</v>
      </c>
      <c r="U269" s="5" t="s">
        <v>1647</v>
      </c>
      <c r="V269" s="5" t="s">
        <v>1679</v>
      </c>
      <c r="W269" s="5" t="s">
        <v>1680</v>
      </c>
    </row>
    <row r="270" spans="1:23">
      <c r="A270" s="5" t="s">
        <v>1642</v>
      </c>
      <c r="B270" s="5" t="s">
        <v>1643</v>
      </c>
      <c r="C270" s="5" t="s">
        <v>1596</v>
      </c>
      <c r="G270" s="5" t="s">
        <v>1644</v>
      </c>
      <c r="H270" s="5" t="s">
        <v>1977</v>
      </c>
      <c r="L270" s="17">
        <v>25</v>
      </c>
      <c r="M270" s="17">
        <v>1.0000177549342111</v>
      </c>
      <c r="N270" s="17">
        <v>1</v>
      </c>
      <c r="P270" s="18">
        <v>0.67</v>
      </c>
      <c r="Q270" s="18">
        <f t="shared" si="8"/>
        <v>0.67</v>
      </c>
      <c r="R270" s="18">
        <f t="shared" si="9"/>
        <v>4.0196128123057955</v>
      </c>
      <c r="U270" s="5" t="s">
        <v>1647</v>
      </c>
      <c r="V270" s="5" t="s">
        <v>1701</v>
      </c>
      <c r="W270" s="5" t="s">
        <v>1702</v>
      </c>
    </row>
    <row r="271" spans="1:23">
      <c r="A271" s="5" t="s">
        <v>1642</v>
      </c>
      <c r="B271" s="5" t="s">
        <v>1643</v>
      </c>
      <c r="C271" s="5" t="s">
        <v>1596</v>
      </c>
      <c r="G271" s="5" t="s">
        <v>1644</v>
      </c>
      <c r="H271" s="5" t="s">
        <v>1978</v>
      </c>
      <c r="L271" s="17">
        <v>25</v>
      </c>
      <c r="M271" s="17">
        <v>1.0000177549342111</v>
      </c>
      <c r="N271" s="17">
        <v>1</v>
      </c>
      <c r="P271" s="18">
        <v>0.49</v>
      </c>
      <c r="Q271" s="18">
        <f t="shared" si="8"/>
        <v>0.49</v>
      </c>
      <c r="R271" s="18">
        <f t="shared" si="9"/>
        <v>2.6577530286747644</v>
      </c>
      <c r="U271" s="5" t="s">
        <v>1647</v>
      </c>
      <c r="V271" s="5" t="s">
        <v>1701</v>
      </c>
      <c r="W271" s="5" t="s">
        <v>1702</v>
      </c>
    </row>
    <row r="272" spans="1:23">
      <c r="A272" s="5" t="s">
        <v>1642</v>
      </c>
      <c r="B272" s="5" t="s">
        <v>1643</v>
      </c>
      <c r="C272" s="5" t="s">
        <v>1672</v>
      </c>
      <c r="G272" s="5" t="s">
        <v>1644</v>
      </c>
      <c r="H272" s="5" t="s">
        <v>1979</v>
      </c>
      <c r="J272" s="5" t="s">
        <v>1980</v>
      </c>
      <c r="L272" s="17">
        <v>20</v>
      </c>
      <c r="M272" s="17">
        <v>20.00035509868421</v>
      </c>
      <c r="P272" s="18">
        <v>0.78</v>
      </c>
      <c r="Q272" s="18">
        <f t="shared" si="8"/>
        <v>0.78</v>
      </c>
      <c r="R272" s="18">
        <f t="shared" si="9"/>
        <v>5.0959633072111252</v>
      </c>
      <c r="U272" s="5" t="s">
        <v>1647</v>
      </c>
      <c r="V272" s="5" t="s">
        <v>1708</v>
      </c>
      <c r="W272" s="5" t="s">
        <v>1709</v>
      </c>
    </row>
    <row r="273" spans="1:23">
      <c r="A273" s="5" t="s">
        <v>1642</v>
      </c>
      <c r="B273" s="5" t="s">
        <v>1643</v>
      </c>
      <c r="C273" s="5" t="s">
        <v>1652</v>
      </c>
      <c r="G273" s="5" t="s">
        <v>1644</v>
      </c>
      <c r="H273" s="5" t="s">
        <v>1981</v>
      </c>
      <c r="J273" s="5" t="s">
        <v>1982</v>
      </c>
      <c r="L273" s="17">
        <v>20</v>
      </c>
      <c r="M273" s="17">
        <v>20.00035509868421</v>
      </c>
      <c r="P273" s="18">
        <v>0.47</v>
      </c>
      <c r="Q273" s="18">
        <f t="shared" si="8"/>
        <v>0.47</v>
      </c>
      <c r="R273" s="18">
        <f t="shared" si="9"/>
        <v>2.4864864648141385</v>
      </c>
      <c r="U273" s="5" t="s">
        <v>1647</v>
      </c>
      <c r="V273" s="5" t="s">
        <v>1708</v>
      </c>
      <c r="W273" s="5" t="s">
        <v>1709</v>
      </c>
    </row>
    <row r="274" spans="1:23">
      <c r="A274" s="5" t="s">
        <v>1642</v>
      </c>
      <c r="B274" s="5" t="s">
        <v>1643</v>
      </c>
      <c r="C274" s="5" t="s">
        <v>1596</v>
      </c>
      <c r="G274" s="5" t="s">
        <v>1806</v>
      </c>
      <c r="H274" s="5" t="s">
        <v>1983</v>
      </c>
      <c r="I274" s="5" t="s">
        <v>1984</v>
      </c>
      <c r="J274" s="5" t="s">
        <v>1985</v>
      </c>
      <c r="K274" s="5" t="s">
        <v>1986</v>
      </c>
      <c r="L274" s="17">
        <v>25</v>
      </c>
      <c r="M274" s="17">
        <v>10.00017754934211</v>
      </c>
      <c r="N274" s="17">
        <v>24.5</v>
      </c>
      <c r="P274" s="18">
        <v>0.15329999999999999</v>
      </c>
      <c r="Q274" s="18">
        <f t="shared" si="8"/>
        <v>0.15329999999999999</v>
      </c>
      <c r="R274" s="18">
        <f t="shared" si="9"/>
        <v>0.76609099541266779</v>
      </c>
      <c r="U274" s="5" t="s">
        <v>1647</v>
      </c>
      <c r="V274" s="5" t="s">
        <v>1808</v>
      </c>
      <c r="W274" s="5" t="s">
        <v>1809</v>
      </c>
    </row>
    <row r="275" spans="1:23">
      <c r="A275" s="5" t="s">
        <v>1642</v>
      </c>
      <c r="B275" s="5" t="s">
        <v>1643</v>
      </c>
      <c r="C275" s="5" t="s">
        <v>1596</v>
      </c>
      <c r="F275" s="5" t="s">
        <v>1987</v>
      </c>
      <c r="J275" s="5" t="s">
        <v>1988</v>
      </c>
      <c r="L275" s="17">
        <v>20</v>
      </c>
      <c r="M275" s="17">
        <v>0</v>
      </c>
      <c r="N275" s="17">
        <v>3</v>
      </c>
      <c r="P275" s="18">
        <v>0.03</v>
      </c>
      <c r="Q275" s="18">
        <f t="shared" si="8"/>
        <v>0.03</v>
      </c>
      <c r="R275" s="18">
        <f t="shared" si="9"/>
        <v>0.1462876373288769</v>
      </c>
      <c r="U275" s="5" t="s">
        <v>1647</v>
      </c>
      <c r="V275" s="5" t="s">
        <v>1989</v>
      </c>
      <c r="W275" s="5" t="s">
        <v>1990</v>
      </c>
    </row>
    <row r="276" spans="1:23">
      <c r="A276" s="5" t="s">
        <v>1642</v>
      </c>
      <c r="B276" s="5" t="s">
        <v>1643</v>
      </c>
      <c r="C276" s="5" t="s">
        <v>1672</v>
      </c>
      <c r="F276" s="5" t="s">
        <v>1991</v>
      </c>
      <c r="J276" s="5" t="s">
        <v>1992</v>
      </c>
      <c r="L276" s="17">
        <v>20</v>
      </c>
      <c r="M276" s="17">
        <v>0</v>
      </c>
      <c r="N276" s="17">
        <v>3</v>
      </c>
      <c r="P276" s="18">
        <v>0.22</v>
      </c>
      <c r="Q276" s="18">
        <f t="shared" si="8"/>
        <v>0.22</v>
      </c>
      <c r="R276" s="18">
        <f t="shared" si="9"/>
        <v>1.0902768656342858</v>
      </c>
      <c r="U276" s="5" t="s">
        <v>1647</v>
      </c>
      <c r="V276" s="5" t="s">
        <v>1989</v>
      </c>
      <c r="W276" s="5" t="s">
        <v>1990</v>
      </c>
    </row>
    <row r="277" spans="1:23">
      <c r="A277" s="5" t="s">
        <v>1642</v>
      </c>
      <c r="B277" s="5" t="s">
        <v>1643</v>
      </c>
      <c r="C277" s="5" t="s">
        <v>1596</v>
      </c>
      <c r="F277" s="5" t="s">
        <v>1991</v>
      </c>
      <c r="J277" s="5" t="s">
        <v>1992</v>
      </c>
      <c r="L277" s="17">
        <v>20</v>
      </c>
      <c r="M277" s="17">
        <v>0</v>
      </c>
      <c r="N277" s="17">
        <v>3</v>
      </c>
      <c r="P277" s="18">
        <v>0.25</v>
      </c>
      <c r="Q277" s="18">
        <f t="shared" si="8"/>
        <v>0.25</v>
      </c>
      <c r="R277" s="18">
        <f t="shared" si="9"/>
        <v>1.2450841660464032</v>
      </c>
      <c r="U277" s="5" t="s">
        <v>1647</v>
      </c>
      <c r="V277" s="5" t="s">
        <v>1989</v>
      </c>
      <c r="W277" s="5" t="s">
        <v>1990</v>
      </c>
    </row>
    <row r="278" spans="1:23">
      <c r="A278" s="5" t="s">
        <v>1642</v>
      </c>
      <c r="B278" s="5" t="s">
        <v>1643</v>
      </c>
      <c r="C278" s="5" t="s">
        <v>1672</v>
      </c>
      <c r="F278" s="5" t="s">
        <v>1987</v>
      </c>
      <c r="J278" s="5" t="s">
        <v>1988</v>
      </c>
      <c r="L278" s="17">
        <v>20</v>
      </c>
      <c r="M278" s="17">
        <v>0</v>
      </c>
      <c r="N278" s="17">
        <v>3</v>
      </c>
      <c r="P278" s="18">
        <v>0.1</v>
      </c>
      <c r="Q278" s="18">
        <f t="shared" si="8"/>
        <v>0.1</v>
      </c>
      <c r="R278" s="18">
        <f t="shared" si="9"/>
        <v>0.48911388521868965</v>
      </c>
      <c r="U278" s="5" t="s">
        <v>1647</v>
      </c>
      <c r="V278" s="5" t="s">
        <v>1989</v>
      </c>
      <c r="W278" s="5" t="s">
        <v>1990</v>
      </c>
    </row>
    <row r="279" spans="1:23">
      <c r="A279" s="5" t="s">
        <v>1642</v>
      </c>
      <c r="B279" s="5" t="s">
        <v>1643</v>
      </c>
      <c r="C279" s="5" t="s">
        <v>1672</v>
      </c>
      <c r="F279" s="5" t="s">
        <v>1993</v>
      </c>
      <c r="J279" s="5" t="s">
        <v>1994</v>
      </c>
      <c r="L279" s="17">
        <v>20</v>
      </c>
      <c r="M279" s="17">
        <v>0</v>
      </c>
      <c r="N279" s="17">
        <v>3</v>
      </c>
      <c r="P279" s="18">
        <v>0.26</v>
      </c>
      <c r="Q279" s="18">
        <f t="shared" si="8"/>
        <v>0.26</v>
      </c>
      <c r="R279" s="18">
        <f t="shared" si="9"/>
        <v>1.2972229599899696</v>
      </c>
      <c r="U279" s="5" t="s">
        <v>1647</v>
      </c>
      <c r="V279" s="5" t="s">
        <v>1989</v>
      </c>
      <c r="W279" s="5" t="s">
        <v>1990</v>
      </c>
    </row>
    <row r="280" spans="1:23">
      <c r="A280" s="5" t="s">
        <v>1642</v>
      </c>
      <c r="B280" s="5" t="s">
        <v>1643</v>
      </c>
      <c r="C280" s="5" t="s">
        <v>1672</v>
      </c>
      <c r="F280" s="5" t="s">
        <v>1995</v>
      </c>
      <c r="J280" s="5" t="s">
        <v>1994</v>
      </c>
      <c r="L280" s="17">
        <v>20</v>
      </c>
      <c r="M280" s="17">
        <v>0</v>
      </c>
      <c r="N280" s="17">
        <v>3</v>
      </c>
      <c r="P280" s="18">
        <v>0.25</v>
      </c>
      <c r="Q280" s="18">
        <f t="shared" si="8"/>
        <v>0.25</v>
      </c>
      <c r="R280" s="18">
        <f t="shared" si="9"/>
        <v>1.2450841660464032</v>
      </c>
      <c r="U280" s="5" t="s">
        <v>1647</v>
      </c>
      <c r="V280" s="5" t="s">
        <v>1989</v>
      </c>
      <c r="W280" s="5" t="s">
        <v>1990</v>
      </c>
    </row>
    <row r="281" spans="1:23">
      <c r="A281" s="5" t="s">
        <v>1642</v>
      </c>
      <c r="B281" s="5" t="s">
        <v>1643</v>
      </c>
      <c r="F281" s="5" t="s">
        <v>1996</v>
      </c>
      <c r="J281" s="5" t="s">
        <v>1997</v>
      </c>
      <c r="L281" s="17">
        <v>20</v>
      </c>
      <c r="M281" s="17">
        <v>0</v>
      </c>
      <c r="N281" s="17">
        <v>3</v>
      </c>
      <c r="P281" s="18">
        <v>0.54</v>
      </c>
      <c r="Q281" s="18">
        <f t="shared" si="8"/>
        <v>0.54</v>
      </c>
      <c r="R281" s="18">
        <f t="shared" si="9"/>
        <v>2.9451325073744945</v>
      </c>
      <c r="U281" s="5" t="s">
        <v>1647</v>
      </c>
      <c r="V281" s="5" t="s">
        <v>1989</v>
      </c>
      <c r="W281" s="5" t="s">
        <v>1990</v>
      </c>
    </row>
    <row r="282" spans="1:23">
      <c r="A282" s="5" t="s">
        <v>1642</v>
      </c>
      <c r="B282" s="5" t="s">
        <v>1643</v>
      </c>
      <c r="F282" s="5" t="s">
        <v>1996</v>
      </c>
      <c r="J282" s="5" t="s">
        <v>1997</v>
      </c>
      <c r="L282" s="17">
        <v>20</v>
      </c>
      <c r="M282" s="17">
        <v>0</v>
      </c>
      <c r="N282" s="17">
        <v>3</v>
      </c>
      <c r="P282" s="18">
        <v>7.0000000000000007E-2</v>
      </c>
      <c r="Q282" s="18">
        <f t="shared" si="8"/>
        <v>7.0000000000000007E-2</v>
      </c>
      <c r="R282" s="18">
        <f t="shared" si="9"/>
        <v>0.34179439001380313</v>
      </c>
      <c r="U282" s="5" t="s">
        <v>1647</v>
      </c>
      <c r="V282" s="5" t="s">
        <v>1989</v>
      </c>
      <c r="W282" s="5" t="s">
        <v>1990</v>
      </c>
    </row>
    <row r="283" spans="1:23">
      <c r="A283" s="5" t="s">
        <v>1642</v>
      </c>
      <c r="B283" s="5" t="s">
        <v>1643</v>
      </c>
      <c r="C283" s="5" t="s">
        <v>1596</v>
      </c>
      <c r="G283" s="5" t="s">
        <v>1673</v>
      </c>
      <c r="H283" s="5" t="s">
        <v>1714</v>
      </c>
      <c r="J283" s="5" t="s">
        <v>1998</v>
      </c>
      <c r="L283" s="17">
        <v>25</v>
      </c>
      <c r="M283" s="17">
        <v>1.0000177549342111</v>
      </c>
      <c r="N283" s="17">
        <v>24</v>
      </c>
      <c r="P283" s="18">
        <v>0.66</v>
      </c>
      <c r="Q283" s="18">
        <f t="shared" si="8"/>
        <v>0.66</v>
      </c>
      <c r="R283" s="18">
        <f t="shared" si="9"/>
        <v>3.9307195242247386</v>
      </c>
      <c r="U283" s="5" t="s">
        <v>1655</v>
      </c>
      <c r="V283" s="5" t="s">
        <v>1715</v>
      </c>
      <c r="W283" s="5" t="s">
        <v>1716</v>
      </c>
    </row>
    <row r="284" spans="1:23">
      <c r="A284" s="5" t="s">
        <v>1642</v>
      </c>
      <c r="B284" s="5" t="s">
        <v>1643</v>
      </c>
      <c r="C284" s="5" t="s">
        <v>1596</v>
      </c>
      <c r="G284" s="5" t="s">
        <v>1673</v>
      </c>
      <c r="H284" s="5" t="s">
        <v>1999</v>
      </c>
      <c r="L284" s="17">
        <v>25</v>
      </c>
      <c r="M284" s="17">
        <v>1.5199816578947369</v>
      </c>
      <c r="N284" s="17">
        <v>2.5</v>
      </c>
      <c r="P284" s="18">
        <v>0.89</v>
      </c>
      <c r="Q284" s="18">
        <f t="shared" si="8"/>
        <v>0.89</v>
      </c>
      <c r="R284" s="18">
        <f t="shared" si="9"/>
        <v>7.0498179634839957</v>
      </c>
      <c r="U284" s="5" t="s">
        <v>1655</v>
      </c>
      <c r="V284" s="5" t="s">
        <v>1811</v>
      </c>
      <c r="W284" s="5" t="s">
        <v>1812</v>
      </c>
    </row>
    <row r="285" spans="1:23">
      <c r="A285" s="5" t="s">
        <v>1642</v>
      </c>
      <c r="B285" s="5" t="s">
        <v>1643</v>
      </c>
      <c r="C285" s="5" t="s">
        <v>1596</v>
      </c>
      <c r="F285" s="5" t="s">
        <v>2000</v>
      </c>
      <c r="L285" s="17">
        <v>0</v>
      </c>
      <c r="M285" s="17">
        <v>4.0000710197368434</v>
      </c>
      <c r="N285" s="17">
        <v>24</v>
      </c>
      <c r="P285" s="18">
        <v>0.42</v>
      </c>
      <c r="Q285" s="18">
        <f t="shared" si="8"/>
        <v>0.42</v>
      </c>
      <c r="R285" s="18">
        <f t="shared" si="9"/>
        <v>2.0335117905707172</v>
      </c>
      <c r="U285" s="5" t="s">
        <v>1655</v>
      </c>
      <c r="V285" s="5" t="s">
        <v>2001</v>
      </c>
      <c r="W285" s="5" t="s">
        <v>2002</v>
      </c>
    </row>
    <row r="286" spans="1:23">
      <c r="A286" s="5" t="s">
        <v>1642</v>
      </c>
      <c r="B286" s="5" t="s">
        <v>1643</v>
      </c>
      <c r="C286" s="5" t="s">
        <v>2003</v>
      </c>
      <c r="G286" s="5" t="s">
        <v>1673</v>
      </c>
      <c r="H286" s="5" t="s">
        <v>1714</v>
      </c>
      <c r="J286" s="5" t="s">
        <v>1998</v>
      </c>
      <c r="L286" s="17">
        <v>25</v>
      </c>
      <c r="M286" s="17">
        <v>1.0000177549342111</v>
      </c>
      <c r="N286" s="17">
        <v>24</v>
      </c>
      <c r="P286" s="18">
        <v>0.71</v>
      </c>
      <c r="Q286" s="18">
        <f t="shared" si="8"/>
        <v>0.71</v>
      </c>
      <c r="R286" s="18">
        <f t="shared" si="9"/>
        <v>4.3986011247807282</v>
      </c>
      <c r="U286" s="5" t="s">
        <v>1655</v>
      </c>
      <c r="V286" s="5" t="s">
        <v>1715</v>
      </c>
      <c r="W286" s="5" t="s">
        <v>1716</v>
      </c>
    </row>
    <row r="287" spans="1:23">
      <c r="A287" s="5" t="s">
        <v>1642</v>
      </c>
      <c r="B287" s="5" t="s">
        <v>1643</v>
      </c>
      <c r="C287" s="5" t="s">
        <v>1652</v>
      </c>
      <c r="D287" s="5" t="s">
        <v>1781</v>
      </c>
      <c r="G287" s="5" t="s">
        <v>1673</v>
      </c>
      <c r="H287" s="5" t="s">
        <v>2004</v>
      </c>
      <c r="L287" s="17">
        <v>20</v>
      </c>
      <c r="M287" s="17">
        <v>50.000954407894739</v>
      </c>
      <c r="N287" s="17">
        <v>4</v>
      </c>
      <c r="P287" s="18">
        <v>0.7</v>
      </c>
      <c r="Q287" s="18">
        <f t="shared" si="8"/>
        <v>0.7</v>
      </c>
      <c r="R287" s="18">
        <f t="shared" si="9"/>
        <v>4.2279091102534068</v>
      </c>
      <c r="U287" s="5" t="s">
        <v>1655</v>
      </c>
      <c r="V287" s="5" t="s">
        <v>2005</v>
      </c>
      <c r="W287" s="5" t="s">
        <v>2006</v>
      </c>
    </row>
    <row r="288" spans="1:23">
      <c r="A288" s="5" t="s">
        <v>1642</v>
      </c>
      <c r="B288" s="5" t="s">
        <v>1643</v>
      </c>
      <c r="C288" s="5" t="s">
        <v>1596</v>
      </c>
      <c r="G288" s="5" t="s">
        <v>1673</v>
      </c>
      <c r="H288" s="5" t="s">
        <v>2007</v>
      </c>
      <c r="J288" s="5" t="s">
        <v>2008</v>
      </c>
      <c r="L288" s="17">
        <v>20</v>
      </c>
      <c r="M288" s="17">
        <v>5.0000954407894742</v>
      </c>
      <c r="N288" s="17">
        <v>2.2000000000000002</v>
      </c>
      <c r="P288" s="18">
        <v>0.77200000000000002</v>
      </c>
      <c r="Q288" s="18">
        <f t="shared" si="8"/>
        <v>0.77200000000000002</v>
      </c>
      <c r="R288" s="18">
        <f t="shared" si="9"/>
        <v>4.9979249287955589</v>
      </c>
      <c r="U288" s="5" t="s">
        <v>1655</v>
      </c>
      <c r="V288" s="5" t="s">
        <v>1822</v>
      </c>
      <c r="W288" s="5" t="s">
        <v>1823</v>
      </c>
    </row>
    <row r="289" spans="1:23">
      <c r="A289" s="5" t="s">
        <v>1642</v>
      </c>
      <c r="B289" s="5" t="s">
        <v>1643</v>
      </c>
      <c r="C289" s="5" t="s">
        <v>1596</v>
      </c>
      <c r="F289" s="5" t="s">
        <v>2009</v>
      </c>
      <c r="L289" s="17">
        <v>20</v>
      </c>
      <c r="M289" s="17">
        <v>0</v>
      </c>
      <c r="N289" s="17">
        <v>16</v>
      </c>
      <c r="P289" s="18">
        <v>0.85</v>
      </c>
      <c r="Q289" s="18">
        <f t="shared" si="8"/>
        <v>0.85</v>
      </c>
      <c r="R289" s="18">
        <f t="shared" si="9"/>
        <v>6.1234828621575588</v>
      </c>
      <c r="U289" s="5" t="s">
        <v>1647</v>
      </c>
      <c r="V289" s="5" t="s">
        <v>2010</v>
      </c>
      <c r="W289" s="5" t="s">
        <v>2011</v>
      </c>
    </row>
    <row r="290" spans="1:23">
      <c r="A290" s="5" t="s">
        <v>1642</v>
      </c>
      <c r="B290" s="5" t="s">
        <v>1643</v>
      </c>
      <c r="C290" s="5" t="s">
        <v>1596</v>
      </c>
      <c r="G290" s="5" t="s">
        <v>1644</v>
      </c>
      <c r="H290" s="5" t="s">
        <v>2012</v>
      </c>
      <c r="I290" s="5" t="s">
        <v>2013</v>
      </c>
      <c r="J290" s="5" t="s">
        <v>2014</v>
      </c>
      <c r="K290" s="5" t="s">
        <v>2015</v>
      </c>
      <c r="L290" s="17">
        <v>20</v>
      </c>
      <c r="M290" s="17">
        <v>1.0133179944078949</v>
      </c>
      <c r="N290" s="17">
        <v>16</v>
      </c>
      <c r="P290" s="18">
        <v>0.88</v>
      </c>
      <c r="Q290" s="18">
        <f t="shared" si="8"/>
        <v>0.88</v>
      </c>
      <c r="R290" s="18">
        <f t="shared" si="9"/>
        <v>6.7065802716182183</v>
      </c>
      <c r="U290" s="5" t="s">
        <v>1655</v>
      </c>
      <c r="V290" s="5" t="s">
        <v>1826</v>
      </c>
      <c r="W290" s="5" t="s">
        <v>1827</v>
      </c>
    </row>
    <row r="291" spans="1:23">
      <c r="A291" s="5" t="s">
        <v>1642</v>
      </c>
      <c r="B291" s="5" t="s">
        <v>1643</v>
      </c>
      <c r="C291" s="5" t="s">
        <v>1652</v>
      </c>
      <c r="F291" s="5" t="s">
        <v>2016</v>
      </c>
      <c r="L291" s="17">
        <v>25</v>
      </c>
      <c r="M291" s="17">
        <v>20.00035509868421</v>
      </c>
      <c r="N291" s="17">
        <v>18</v>
      </c>
      <c r="P291" s="18">
        <v>0.43</v>
      </c>
      <c r="Q291" s="18">
        <f t="shared" si="8"/>
        <v>0.43</v>
      </c>
      <c r="R291" s="18">
        <f t="shared" si="9"/>
        <v>2.2801384730287011</v>
      </c>
      <c r="U291" s="5" t="s">
        <v>1655</v>
      </c>
      <c r="V291" s="5" t="s">
        <v>2017</v>
      </c>
      <c r="W291" s="5" t="s">
        <v>2018</v>
      </c>
    </row>
    <row r="292" spans="1:23">
      <c r="A292" s="5" t="s">
        <v>1642</v>
      </c>
      <c r="B292" s="5" t="s">
        <v>1643</v>
      </c>
      <c r="C292" s="5" t="s">
        <v>1652</v>
      </c>
      <c r="F292" s="5" t="s">
        <v>2019</v>
      </c>
      <c r="L292" s="17">
        <v>25</v>
      </c>
      <c r="M292" s="17">
        <v>20.00035509868421</v>
      </c>
      <c r="N292" s="17">
        <v>18</v>
      </c>
      <c r="P292" s="18">
        <v>7.0000000000000007E-2</v>
      </c>
      <c r="Q292" s="18">
        <f t="shared" si="8"/>
        <v>7.0000000000000007E-2</v>
      </c>
      <c r="R292" s="18">
        <f t="shared" si="9"/>
        <v>0.34762407430535697</v>
      </c>
      <c r="U292" s="5" t="s">
        <v>1655</v>
      </c>
      <c r="V292" s="5" t="s">
        <v>2017</v>
      </c>
      <c r="W292" s="5" t="s">
        <v>2018</v>
      </c>
    </row>
    <row r="293" spans="1:23">
      <c r="A293" s="5" t="s">
        <v>1642</v>
      </c>
      <c r="B293" s="5" t="s">
        <v>1643</v>
      </c>
      <c r="C293" s="5" t="s">
        <v>1652</v>
      </c>
      <c r="G293" s="5" t="s">
        <v>1673</v>
      </c>
      <c r="H293" s="5" t="s">
        <v>2020</v>
      </c>
      <c r="L293" s="17">
        <v>20</v>
      </c>
      <c r="M293" s="17">
        <v>10.00017754934211</v>
      </c>
      <c r="N293" s="17">
        <v>6</v>
      </c>
      <c r="P293" s="18">
        <v>0.79</v>
      </c>
      <c r="Q293" s="18">
        <f t="shared" si="8"/>
        <v>0.79</v>
      </c>
      <c r="R293" s="18">
        <f t="shared" si="9"/>
        <v>5.2230059055651195</v>
      </c>
      <c r="U293" s="5" t="s">
        <v>1655</v>
      </c>
      <c r="V293" s="5" t="s">
        <v>1718</v>
      </c>
      <c r="W293" s="5" t="s">
        <v>1719</v>
      </c>
    </row>
    <row r="294" spans="1:23">
      <c r="A294" s="5" t="s">
        <v>1642</v>
      </c>
      <c r="B294" s="5" t="s">
        <v>1643</v>
      </c>
      <c r="C294" s="5" t="s">
        <v>1652</v>
      </c>
      <c r="G294" s="5" t="s">
        <v>1673</v>
      </c>
      <c r="H294" s="5" t="s">
        <v>2021</v>
      </c>
      <c r="L294" s="17">
        <v>20</v>
      </c>
      <c r="M294" s="17">
        <v>10.00017754934211</v>
      </c>
      <c r="N294" s="17">
        <v>6</v>
      </c>
      <c r="P294" s="18">
        <v>0.75</v>
      </c>
      <c r="Q294" s="18">
        <f t="shared" si="8"/>
        <v>0.75</v>
      </c>
      <c r="R294" s="18">
        <f t="shared" si="9"/>
        <v>4.7429529812460265</v>
      </c>
      <c r="U294" s="5" t="s">
        <v>1655</v>
      </c>
      <c r="V294" s="5" t="s">
        <v>1718</v>
      </c>
      <c r="W294" s="5" t="s">
        <v>1719</v>
      </c>
    </row>
    <row r="295" spans="1:23">
      <c r="A295" s="5" t="s">
        <v>1642</v>
      </c>
      <c r="B295" s="5" t="s">
        <v>1643</v>
      </c>
      <c r="C295" s="5" t="s">
        <v>1616</v>
      </c>
      <c r="G295" s="5" t="s">
        <v>1673</v>
      </c>
      <c r="H295" s="5" t="s">
        <v>2022</v>
      </c>
      <c r="L295" s="17">
        <v>25</v>
      </c>
      <c r="M295" s="17">
        <v>6.0001065296052634</v>
      </c>
      <c r="N295" s="17">
        <v>1</v>
      </c>
      <c r="P295" s="18">
        <v>0.17</v>
      </c>
      <c r="Q295" s="18">
        <f t="shared" si="8"/>
        <v>0.17</v>
      </c>
      <c r="R295" s="18">
        <f t="shared" si="9"/>
        <v>0.85111239105273939</v>
      </c>
      <c r="U295" s="5" t="s">
        <v>1655</v>
      </c>
      <c r="V295" s="5" t="s">
        <v>2023</v>
      </c>
      <c r="W295" s="5" t="s">
        <v>2024</v>
      </c>
    </row>
    <row r="296" spans="1:23">
      <c r="A296" s="5" t="s">
        <v>1642</v>
      </c>
      <c r="B296" s="5" t="s">
        <v>1643</v>
      </c>
      <c r="C296" s="5" t="s">
        <v>1616</v>
      </c>
      <c r="G296" s="5" t="s">
        <v>1673</v>
      </c>
      <c r="H296" s="5" t="s">
        <v>2025</v>
      </c>
      <c r="L296" s="17">
        <v>25</v>
      </c>
      <c r="M296" s="17">
        <v>6.0001065296052634</v>
      </c>
      <c r="N296" s="17">
        <v>1</v>
      </c>
      <c r="P296" s="18">
        <v>0.7</v>
      </c>
      <c r="Q296" s="18">
        <f t="shared" si="8"/>
        <v>0.7</v>
      </c>
      <c r="R296" s="18">
        <f t="shared" si="9"/>
        <v>4.300020812628528</v>
      </c>
      <c r="U296" s="5" t="s">
        <v>1655</v>
      </c>
      <c r="V296" s="5" t="s">
        <v>2023</v>
      </c>
      <c r="W296" s="5" t="s">
        <v>2024</v>
      </c>
    </row>
    <row r="297" spans="1:23">
      <c r="A297" s="5" t="s">
        <v>1642</v>
      </c>
      <c r="B297" s="5" t="s">
        <v>1643</v>
      </c>
      <c r="C297" s="5" t="s">
        <v>1652</v>
      </c>
      <c r="F297" s="5" t="s">
        <v>2026</v>
      </c>
      <c r="L297" s="17">
        <v>25</v>
      </c>
      <c r="M297" s="17">
        <v>5.0000954407894742</v>
      </c>
      <c r="N297" s="17">
        <v>24</v>
      </c>
      <c r="P297" s="18">
        <v>0.6</v>
      </c>
      <c r="Q297" s="18">
        <f t="shared" si="8"/>
        <v>0.6</v>
      </c>
      <c r="R297" s="18">
        <f t="shared" si="9"/>
        <v>3.4365796023981661</v>
      </c>
      <c r="U297" s="5" t="s">
        <v>1655</v>
      </c>
      <c r="V297" s="5" t="s">
        <v>2027</v>
      </c>
      <c r="W297" s="5" t="s">
        <v>2028</v>
      </c>
    </row>
    <row r="298" spans="1:23">
      <c r="A298" s="5" t="s">
        <v>1642</v>
      </c>
      <c r="B298" s="5" t="s">
        <v>1643</v>
      </c>
      <c r="C298" s="5" t="s">
        <v>1652</v>
      </c>
      <c r="F298" s="5" t="s">
        <v>2029</v>
      </c>
      <c r="L298" s="17">
        <v>25</v>
      </c>
      <c r="M298" s="17">
        <v>5.0000954407894742</v>
      </c>
      <c r="N298" s="17">
        <v>24</v>
      </c>
      <c r="P298" s="18">
        <v>0.24</v>
      </c>
      <c r="Q298" s="18">
        <f t="shared" si="8"/>
        <v>0.24</v>
      </c>
      <c r="R298" s="18">
        <f t="shared" si="9"/>
        <v>1.2135744706928009</v>
      </c>
      <c r="U298" s="5" t="s">
        <v>1655</v>
      </c>
      <c r="V298" s="5" t="s">
        <v>2027</v>
      </c>
      <c r="W298" s="5" t="s">
        <v>2028</v>
      </c>
    </row>
    <row r="299" spans="1:23">
      <c r="A299" s="5" t="s">
        <v>1642</v>
      </c>
      <c r="B299" s="5" t="s">
        <v>1643</v>
      </c>
      <c r="C299" s="5" t="s">
        <v>1652</v>
      </c>
      <c r="G299" s="5" t="s">
        <v>2030</v>
      </c>
      <c r="H299" s="5" t="s">
        <v>2031</v>
      </c>
      <c r="L299" s="17">
        <v>20</v>
      </c>
      <c r="M299" s="17">
        <v>10.00017754934211</v>
      </c>
      <c r="N299" s="17">
        <v>20</v>
      </c>
      <c r="P299" s="18">
        <v>0.84</v>
      </c>
      <c r="Q299" s="18">
        <f t="shared" si="8"/>
        <v>0.84</v>
      </c>
      <c r="R299" s="18">
        <f t="shared" si="9"/>
        <v>5.9529661008579717</v>
      </c>
      <c r="U299" s="5" t="s">
        <v>1655</v>
      </c>
      <c r="V299" s="5" t="s">
        <v>2032</v>
      </c>
      <c r="W299" s="5" t="s">
        <v>2033</v>
      </c>
    </row>
    <row r="300" spans="1:23">
      <c r="A300" s="5" t="s">
        <v>1642</v>
      </c>
      <c r="B300" s="5" t="s">
        <v>1643</v>
      </c>
      <c r="C300" s="5" t="s">
        <v>1652</v>
      </c>
      <c r="G300" s="5" t="s">
        <v>2030</v>
      </c>
      <c r="H300" s="5" t="s">
        <v>2034</v>
      </c>
      <c r="L300" s="17">
        <v>20</v>
      </c>
      <c r="M300" s="17">
        <v>10.00017754934211</v>
      </c>
      <c r="N300" s="17">
        <v>20</v>
      </c>
      <c r="P300" s="18">
        <v>0.73</v>
      </c>
      <c r="Q300" s="18">
        <f t="shared" si="8"/>
        <v>0.73</v>
      </c>
      <c r="R300" s="18">
        <f t="shared" si="9"/>
        <v>4.5273521217382342</v>
      </c>
      <c r="U300" s="5" t="s">
        <v>1655</v>
      </c>
      <c r="V300" s="5" t="s">
        <v>2032</v>
      </c>
      <c r="W300" s="5" t="s">
        <v>2033</v>
      </c>
    </row>
    <row r="301" spans="1:23">
      <c r="A301" s="5" t="s">
        <v>1642</v>
      </c>
      <c r="B301" s="5" t="s">
        <v>1643</v>
      </c>
      <c r="C301" s="5" t="s">
        <v>1652</v>
      </c>
      <c r="G301" s="5" t="s">
        <v>1806</v>
      </c>
      <c r="H301" s="5" t="s">
        <v>2035</v>
      </c>
      <c r="L301" s="17">
        <v>25</v>
      </c>
      <c r="M301" s="17">
        <v>5.0665966381578951</v>
      </c>
      <c r="N301" s="17">
        <v>3</v>
      </c>
      <c r="P301" s="18">
        <v>0.8640000000000001</v>
      </c>
      <c r="Q301" s="18">
        <f t="shared" si="8"/>
        <v>0.8640000000000001</v>
      </c>
      <c r="R301" s="18">
        <f t="shared" si="9"/>
        <v>6.4895051341899048</v>
      </c>
      <c r="U301" s="5" t="s">
        <v>1655</v>
      </c>
      <c r="V301" s="5" t="s">
        <v>2036</v>
      </c>
      <c r="W301" s="5" t="s">
        <v>2037</v>
      </c>
    </row>
    <row r="302" spans="1:23">
      <c r="A302" s="5" t="s">
        <v>1642</v>
      </c>
      <c r="B302" s="5" t="s">
        <v>1643</v>
      </c>
      <c r="C302" s="5" t="s">
        <v>1596</v>
      </c>
      <c r="G302" s="5" t="s">
        <v>1644</v>
      </c>
      <c r="H302" s="5" t="s">
        <v>2038</v>
      </c>
      <c r="L302" s="17">
        <v>20</v>
      </c>
      <c r="M302" s="17">
        <v>1.0000177549342111</v>
      </c>
      <c r="N302" s="17">
        <v>16</v>
      </c>
      <c r="P302" s="18">
        <v>0.8</v>
      </c>
      <c r="Q302" s="18">
        <f t="shared" si="8"/>
        <v>0.8</v>
      </c>
      <c r="R302" s="18">
        <f t="shared" si="9"/>
        <v>5.3555056818030051</v>
      </c>
      <c r="U302" s="5" t="s">
        <v>1655</v>
      </c>
      <c r="V302" s="5" t="s">
        <v>1831</v>
      </c>
      <c r="W302" s="5" t="s">
        <v>1832</v>
      </c>
    </row>
    <row r="303" spans="1:23">
      <c r="A303" s="5" t="s">
        <v>1642</v>
      </c>
      <c r="B303" s="5" t="s">
        <v>1643</v>
      </c>
      <c r="C303" s="5" t="s">
        <v>1652</v>
      </c>
      <c r="G303" s="5" t="s">
        <v>2039</v>
      </c>
      <c r="H303" s="5" t="s">
        <v>2040</v>
      </c>
      <c r="L303" s="17">
        <v>20</v>
      </c>
      <c r="M303" s="17">
        <v>1.0000177549342111</v>
      </c>
      <c r="N303" s="17">
        <v>20</v>
      </c>
      <c r="P303" s="18">
        <v>0.81</v>
      </c>
      <c r="Q303" s="18">
        <f t="shared" si="8"/>
        <v>0.81</v>
      </c>
      <c r="R303" s="18">
        <f t="shared" si="9"/>
        <v>5.4940313473859668</v>
      </c>
      <c r="U303" s="5" t="s">
        <v>1655</v>
      </c>
      <c r="V303" s="5" t="s">
        <v>2041</v>
      </c>
      <c r="W303" s="5" t="s">
        <v>2042</v>
      </c>
    </row>
    <row r="304" spans="1:23">
      <c r="A304" s="5" t="s">
        <v>1642</v>
      </c>
      <c r="B304" s="5" t="s">
        <v>1643</v>
      </c>
      <c r="C304" s="5" t="s">
        <v>1652</v>
      </c>
      <c r="G304" s="5" t="s">
        <v>2039</v>
      </c>
      <c r="H304" s="5" t="s">
        <v>2043</v>
      </c>
      <c r="L304" s="17">
        <v>20</v>
      </c>
      <c r="M304" s="17">
        <v>13.000237480263159</v>
      </c>
      <c r="N304" s="17">
        <v>2</v>
      </c>
      <c r="P304" s="18">
        <v>0.61</v>
      </c>
      <c r="Q304" s="18">
        <f t="shared" si="8"/>
        <v>0.61</v>
      </c>
      <c r="R304" s="18">
        <f t="shared" si="9"/>
        <v>3.4558437107669708</v>
      </c>
      <c r="U304" s="5" t="s">
        <v>1655</v>
      </c>
      <c r="V304" s="5" t="s">
        <v>2041</v>
      </c>
      <c r="W304" s="5" t="s">
        <v>2042</v>
      </c>
    </row>
    <row r="305" spans="1:23">
      <c r="A305" s="5" t="s">
        <v>1642</v>
      </c>
      <c r="B305" s="5" t="s">
        <v>1643</v>
      </c>
      <c r="C305" s="5" t="s">
        <v>1652</v>
      </c>
      <c r="F305" s="5" t="s">
        <v>2044</v>
      </c>
      <c r="L305" s="17">
        <v>25</v>
      </c>
      <c r="M305" s="17">
        <v>1.0000177549342111</v>
      </c>
      <c r="N305" s="17">
        <v>20</v>
      </c>
      <c r="P305" s="18">
        <v>0.77800000000000002</v>
      </c>
      <c r="Q305" s="18">
        <f t="shared" si="8"/>
        <v>0.77800000000000002</v>
      </c>
      <c r="R305" s="18">
        <f t="shared" si="9"/>
        <v>5.1576594637398294</v>
      </c>
      <c r="U305" s="5" t="s">
        <v>1655</v>
      </c>
      <c r="V305" s="5" t="s">
        <v>2045</v>
      </c>
      <c r="W305" s="5" t="s">
        <v>2046</v>
      </c>
    </row>
    <row r="306" spans="1:23">
      <c r="A306" s="5" t="s">
        <v>1642</v>
      </c>
      <c r="B306" s="5" t="s">
        <v>1643</v>
      </c>
      <c r="C306" s="5" t="s">
        <v>1596</v>
      </c>
      <c r="G306" s="5" t="s">
        <v>1673</v>
      </c>
      <c r="H306" s="5" t="s">
        <v>2047</v>
      </c>
      <c r="J306" s="5" t="s">
        <v>2048</v>
      </c>
      <c r="L306" s="17">
        <v>20</v>
      </c>
      <c r="M306" s="17">
        <v>0</v>
      </c>
      <c r="N306" s="17">
        <v>14</v>
      </c>
      <c r="P306" s="18">
        <v>0.86</v>
      </c>
      <c r="Q306" s="18">
        <f t="shared" si="8"/>
        <v>0.86</v>
      </c>
      <c r="R306" s="18">
        <f t="shared" si="9"/>
        <v>6.3047854198729123</v>
      </c>
      <c r="U306" s="5" t="s">
        <v>1655</v>
      </c>
      <c r="V306" s="5" t="s">
        <v>1834</v>
      </c>
      <c r="W306" s="5" t="s">
        <v>1835</v>
      </c>
    </row>
    <row r="307" spans="1:23">
      <c r="A307" s="5" t="s">
        <v>1642</v>
      </c>
      <c r="B307" s="5" t="s">
        <v>1643</v>
      </c>
      <c r="C307" s="5" t="s">
        <v>1596</v>
      </c>
      <c r="G307" s="5" t="s">
        <v>1673</v>
      </c>
      <c r="H307" s="5" t="s">
        <v>2049</v>
      </c>
      <c r="L307" s="17">
        <v>20</v>
      </c>
      <c r="M307" s="17">
        <v>0</v>
      </c>
      <c r="N307" s="17">
        <v>6.5</v>
      </c>
      <c r="P307" s="18">
        <v>0.87</v>
      </c>
      <c r="Q307" s="18">
        <f t="shared" si="8"/>
        <v>0.87</v>
      </c>
      <c r="R307" s="18">
        <f t="shared" si="9"/>
        <v>6.4984850477058247</v>
      </c>
      <c r="U307" s="5" t="s">
        <v>1655</v>
      </c>
      <c r="V307" s="5" t="s">
        <v>1834</v>
      </c>
      <c r="W307" s="5" t="s">
        <v>1835</v>
      </c>
    </row>
    <row r="308" spans="1:23">
      <c r="A308" s="5" t="s">
        <v>1642</v>
      </c>
      <c r="B308" s="5" t="s">
        <v>1643</v>
      </c>
      <c r="C308" s="5" t="s">
        <v>1652</v>
      </c>
      <c r="E308" s="5" t="s">
        <v>2050</v>
      </c>
      <c r="G308" s="5" t="s">
        <v>1644</v>
      </c>
      <c r="H308" s="5" t="s">
        <v>1721</v>
      </c>
      <c r="L308" s="17">
        <v>20</v>
      </c>
      <c r="M308" s="17">
        <v>0</v>
      </c>
      <c r="N308" s="17">
        <v>2.5</v>
      </c>
      <c r="P308" s="18">
        <v>0.82</v>
      </c>
      <c r="Q308" s="18">
        <f t="shared" si="8"/>
        <v>0.82</v>
      </c>
      <c r="R308" s="18">
        <f t="shared" si="9"/>
        <v>5.6392437699137998</v>
      </c>
      <c r="U308" s="5" t="s">
        <v>1655</v>
      </c>
      <c r="V308" s="5" t="s">
        <v>1722</v>
      </c>
      <c r="W308" s="5" t="s">
        <v>1723</v>
      </c>
    </row>
    <row r="309" spans="1:23">
      <c r="A309" s="5" t="s">
        <v>1642</v>
      </c>
      <c r="B309" s="5" t="s">
        <v>1643</v>
      </c>
      <c r="C309" s="5" t="s">
        <v>1596</v>
      </c>
      <c r="F309" s="5" t="s">
        <v>2051</v>
      </c>
      <c r="L309" s="17">
        <v>25</v>
      </c>
      <c r="M309" s="17">
        <v>1.0000177549342111</v>
      </c>
      <c r="N309" s="17">
        <v>0.8</v>
      </c>
      <c r="P309" s="18">
        <v>0.69</v>
      </c>
      <c r="Q309" s="18">
        <f t="shared" si="8"/>
        <v>0.69</v>
      </c>
      <c r="R309" s="18">
        <f t="shared" si="9"/>
        <v>4.2041106619918009</v>
      </c>
      <c r="U309" s="5" t="s">
        <v>1655</v>
      </c>
      <c r="V309" s="5" t="s">
        <v>2052</v>
      </c>
      <c r="W309" s="5" t="s">
        <v>2053</v>
      </c>
    </row>
    <row r="310" spans="1:23">
      <c r="A310" s="5" t="s">
        <v>1642</v>
      </c>
      <c r="B310" s="5" t="s">
        <v>1643</v>
      </c>
      <c r="C310" s="5" t="s">
        <v>1724</v>
      </c>
      <c r="F310" s="5" t="s">
        <v>1725</v>
      </c>
      <c r="L310" s="17">
        <v>-40</v>
      </c>
      <c r="M310" s="17">
        <v>10.13317994407895</v>
      </c>
      <c r="N310" s="17">
        <v>48</v>
      </c>
      <c r="P310" s="18">
        <v>0.74</v>
      </c>
      <c r="Q310" s="18">
        <f t="shared" si="8"/>
        <v>0.74</v>
      </c>
      <c r="R310" s="18">
        <f t="shared" si="9"/>
        <v>3.6850573656889152</v>
      </c>
      <c r="U310" s="5" t="s">
        <v>1655</v>
      </c>
      <c r="V310" s="5" t="s">
        <v>1726</v>
      </c>
      <c r="W310" s="5" t="s">
        <v>1727</v>
      </c>
    </row>
    <row r="311" spans="1:23">
      <c r="A311" s="5" t="s">
        <v>1642</v>
      </c>
      <c r="B311" s="5" t="s">
        <v>1643</v>
      </c>
      <c r="C311" s="5" t="s">
        <v>1652</v>
      </c>
      <c r="G311" s="5" t="s">
        <v>1673</v>
      </c>
      <c r="H311" s="5" t="s">
        <v>2054</v>
      </c>
      <c r="J311" s="5" t="s">
        <v>1841</v>
      </c>
      <c r="L311" s="17">
        <v>25</v>
      </c>
      <c r="M311" s="17">
        <v>10.13317994407895</v>
      </c>
      <c r="N311" s="17">
        <v>6</v>
      </c>
      <c r="P311" s="18">
        <v>0.22</v>
      </c>
      <c r="Q311" s="18">
        <f t="shared" si="8"/>
        <v>0.22</v>
      </c>
      <c r="R311" s="18">
        <f t="shared" si="9"/>
        <v>1.108872752818906</v>
      </c>
      <c r="U311" s="5" t="s">
        <v>1655</v>
      </c>
      <c r="V311" s="5" t="s">
        <v>1842</v>
      </c>
      <c r="W311" s="5" t="s">
        <v>1843</v>
      </c>
    </row>
    <row r="312" spans="1:23">
      <c r="A312" s="5" t="s">
        <v>1642</v>
      </c>
      <c r="B312" s="5" t="s">
        <v>1643</v>
      </c>
      <c r="C312" s="5" t="s">
        <v>1652</v>
      </c>
      <c r="F312" s="5" t="s">
        <v>2055</v>
      </c>
      <c r="M312" s="17">
        <v>2.0000355098684208</v>
      </c>
      <c r="N312" s="17">
        <v>48</v>
      </c>
      <c r="P312" s="18">
        <v>0.34</v>
      </c>
      <c r="Q312" s="18">
        <f t="shared" si="8"/>
        <v>0.34</v>
      </c>
      <c r="R312" s="18"/>
      <c r="U312" s="5" t="s">
        <v>1655</v>
      </c>
      <c r="V312" s="5" t="s">
        <v>2056</v>
      </c>
      <c r="W312" s="5" t="s">
        <v>2057</v>
      </c>
    </row>
    <row r="313" spans="1:23">
      <c r="A313" s="5" t="s">
        <v>1642</v>
      </c>
      <c r="B313" s="5" t="s">
        <v>1643</v>
      </c>
      <c r="C313" s="5" t="s">
        <v>1652</v>
      </c>
      <c r="D313" s="5" t="s">
        <v>1653</v>
      </c>
      <c r="F313" s="5" t="s">
        <v>1654</v>
      </c>
      <c r="L313" s="17">
        <v>20</v>
      </c>
      <c r="M313" s="17">
        <v>10.13317994407895</v>
      </c>
      <c r="N313" s="17">
        <v>23</v>
      </c>
      <c r="P313" s="18">
        <v>0.79</v>
      </c>
      <c r="Q313" s="18">
        <f t="shared" si="8"/>
        <v>0.79</v>
      </c>
      <c r="R313" s="18">
        <f t="shared" si="9"/>
        <v>5.2230059055651195</v>
      </c>
      <c r="U313" s="5" t="s">
        <v>1655</v>
      </c>
      <c r="V313" s="5" t="s">
        <v>1656</v>
      </c>
      <c r="W313" s="5" t="s">
        <v>1657</v>
      </c>
    </row>
    <row r="314" spans="1:23">
      <c r="A314" s="5" t="s">
        <v>1642</v>
      </c>
      <c r="B314" s="5" t="s">
        <v>1643</v>
      </c>
      <c r="C314" s="5" t="s">
        <v>1652</v>
      </c>
      <c r="F314" s="5" t="s">
        <v>2058</v>
      </c>
      <c r="J314" s="5" t="s">
        <v>2059</v>
      </c>
      <c r="L314" s="17">
        <v>25</v>
      </c>
      <c r="M314" s="17">
        <v>10.00017754934211</v>
      </c>
      <c r="N314" s="17">
        <v>20</v>
      </c>
      <c r="P314" s="18">
        <v>0.11</v>
      </c>
      <c r="Q314" s="18">
        <f t="shared" si="8"/>
        <v>0.11</v>
      </c>
      <c r="R314" s="18">
        <f t="shared" si="9"/>
        <v>0.54758877854111199</v>
      </c>
      <c r="U314" s="5" t="s">
        <v>1655</v>
      </c>
      <c r="V314" s="5" t="s">
        <v>2060</v>
      </c>
      <c r="W314" s="5" t="s">
        <v>2061</v>
      </c>
    </row>
    <row r="315" spans="1:23">
      <c r="A315" s="5" t="s">
        <v>1642</v>
      </c>
      <c r="B315" s="5" t="s">
        <v>1643</v>
      </c>
      <c r="C315" s="5" t="s">
        <v>1652</v>
      </c>
      <c r="F315" s="5" t="s">
        <v>2062</v>
      </c>
      <c r="L315" s="17">
        <v>25</v>
      </c>
      <c r="M315" s="17">
        <v>10.00017754934211</v>
      </c>
      <c r="N315" s="17">
        <v>20</v>
      </c>
      <c r="P315" s="18">
        <v>0.68</v>
      </c>
      <c r="Q315" s="18">
        <f t="shared" si="8"/>
        <v>0.68</v>
      </c>
      <c r="R315" s="18">
        <f t="shared" si="9"/>
        <v>4.1106946287916193</v>
      </c>
      <c r="U315" s="5" t="s">
        <v>1655</v>
      </c>
      <c r="V315" s="5" t="s">
        <v>2060</v>
      </c>
      <c r="W315" s="5" t="s">
        <v>2061</v>
      </c>
    </row>
    <row r="316" spans="1:23">
      <c r="A316" s="5" t="s">
        <v>1642</v>
      </c>
      <c r="B316" s="5" t="s">
        <v>1643</v>
      </c>
      <c r="C316" s="5" t="s">
        <v>1672</v>
      </c>
      <c r="F316" s="5" t="s">
        <v>1773</v>
      </c>
      <c r="L316" s="17">
        <v>20</v>
      </c>
      <c r="M316" s="17">
        <v>3.0000599309210529</v>
      </c>
      <c r="N316" s="17">
        <v>2</v>
      </c>
      <c r="P316" s="18">
        <v>0.87</v>
      </c>
      <c r="Q316" s="18">
        <f t="shared" si="8"/>
        <v>0.87</v>
      </c>
      <c r="R316" s="18">
        <f t="shared" si="9"/>
        <v>6.4984850477058247</v>
      </c>
      <c r="U316" s="5" t="s">
        <v>1655</v>
      </c>
      <c r="V316" s="5" t="s">
        <v>1775</v>
      </c>
      <c r="W316" s="5" t="s">
        <v>1776</v>
      </c>
    </row>
    <row r="317" spans="1:23">
      <c r="A317" s="5" t="s">
        <v>1642</v>
      </c>
      <c r="B317" s="5" t="s">
        <v>1643</v>
      </c>
      <c r="C317" s="5" t="s">
        <v>1596</v>
      </c>
      <c r="G317" s="5" t="s">
        <v>1644</v>
      </c>
      <c r="H317" s="5" t="s">
        <v>2063</v>
      </c>
      <c r="J317" s="5" t="s">
        <v>2064</v>
      </c>
      <c r="L317" s="17">
        <v>22</v>
      </c>
      <c r="M317" s="17">
        <v>1.0000177549342111</v>
      </c>
      <c r="N317" s="17">
        <v>8.3333299999999999E-2</v>
      </c>
      <c r="P317" s="18">
        <v>0.88</v>
      </c>
      <c r="Q317" s="18">
        <f t="shared" si="8"/>
        <v>0.88</v>
      </c>
      <c r="R317" s="18">
        <f t="shared" si="9"/>
        <v>6.752335552338792</v>
      </c>
      <c r="U317" s="5" t="s">
        <v>1655</v>
      </c>
      <c r="V317" s="5" t="s">
        <v>1734</v>
      </c>
      <c r="W317" s="5" t="s">
        <v>1735</v>
      </c>
    </row>
    <row r="318" spans="1:23">
      <c r="A318" s="5" t="s">
        <v>1642</v>
      </c>
      <c r="B318" s="5" t="s">
        <v>1643</v>
      </c>
      <c r="C318" s="5" t="s">
        <v>1652</v>
      </c>
      <c r="G318" s="5" t="s">
        <v>1673</v>
      </c>
      <c r="H318" s="5" t="s">
        <v>2065</v>
      </c>
      <c r="L318" s="17">
        <v>20</v>
      </c>
      <c r="M318" s="17">
        <v>1.5199816578947369</v>
      </c>
      <c r="N318" s="17">
        <v>24</v>
      </c>
      <c r="P318" s="18">
        <v>0.53</v>
      </c>
      <c r="Q318" s="18">
        <f t="shared" si="8"/>
        <v>0.53</v>
      </c>
      <c r="R318" s="18">
        <f t="shared" si="9"/>
        <v>2.8768345204381935</v>
      </c>
      <c r="U318" s="5" t="s">
        <v>1655</v>
      </c>
      <c r="V318" s="5" t="s">
        <v>2066</v>
      </c>
      <c r="W318" s="5" t="s">
        <v>2067</v>
      </c>
    </row>
    <row r="319" spans="1:23">
      <c r="A319" s="5" t="s">
        <v>1642</v>
      </c>
      <c r="B319" s="5" t="s">
        <v>1643</v>
      </c>
      <c r="C319" s="5" t="s">
        <v>1652</v>
      </c>
      <c r="G319" s="5" t="s">
        <v>1673</v>
      </c>
      <c r="H319" s="5" t="s">
        <v>2068</v>
      </c>
      <c r="J319" s="5" t="s">
        <v>2069</v>
      </c>
      <c r="L319" s="17">
        <v>20</v>
      </c>
      <c r="M319" s="17">
        <v>1.0133179944078949</v>
      </c>
      <c r="N319" s="17">
        <v>3</v>
      </c>
      <c r="P319" s="18">
        <v>0.88</v>
      </c>
      <c r="Q319" s="18">
        <f t="shared" si="8"/>
        <v>0.88</v>
      </c>
      <c r="R319" s="18">
        <f t="shared" si="9"/>
        <v>6.7065802716182183</v>
      </c>
      <c r="U319" s="5" t="s">
        <v>1655</v>
      </c>
      <c r="V319" s="5" t="s">
        <v>1856</v>
      </c>
      <c r="W319" s="5" t="s">
        <v>1857</v>
      </c>
    </row>
    <row r="320" spans="1:23">
      <c r="A320" s="5" t="s">
        <v>1642</v>
      </c>
      <c r="B320" s="5" t="s">
        <v>1643</v>
      </c>
      <c r="C320" s="5" t="s">
        <v>1616</v>
      </c>
      <c r="G320" s="5" t="s">
        <v>1673</v>
      </c>
      <c r="H320" s="5" t="s">
        <v>2070</v>
      </c>
      <c r="J320" s="5" t="s">
        <v>1855</v>
      </c>
      <c r="L320" s="17">
        <v>20</v>
      </c>
      <c r="M320" s="17">
        <v>1.0133179944078949</v>
      </c>
      <c r="N320" s="17">
        <v>3</v>
      </c>
      <c r="P320" s="18">
        <v>0.65</v>
      </c>
      <c r="Q320" s="18">
        <f t="shared" si="8"/>
        <v>0.65</v>
      </c>
      <c r="R320" s="18">
        <f t="shared" si="9"/>
        <v>3.7794194266771703</v>
      </c>
      <c r="U320" s="5" t="s">
        <v>1655</v>
      </c>
      <c r="V320" s="5" t="s">
        <v>1856</v>
      </c>
      <c r="W320" s="5" t="s">
        <v>1857</v>
      </c>
    </row>
    <row r="321" spans="1:23">
      <c r="A321" s="5" t="s">
        <v>1642</v>
      </c>
      <c r="B321" s="5" t="s">
        <v>1643</v>
      </c>
      <c r="C321" s="5" t="s">
        <v>1652</v>
      </c>
      <c r="G321" s="5" t="s">
        <v>1673</v>
      </c>
      <c r="H321" s="5" t="s">
        <v>2071</v>
      </c>
      <c r="L321" s="17">
        <v>20</v>
      </c>
      <c r="M321" s="17">
        <v>1.5199816578947369</v>
      </c>
      <c r="N321" s="17">
        <v>24</v>
      </c>
      <c r="P321" s="18">
        <v>0.88</v>
      </c>
      <c r="Q321" s="18">
        <f t="shared" si="8"/>
        <v>0.88</v>
      </c>
      <c r="R321" s="18">
        <f t="shared" si="9"/>
        <v>6.7065802716182183</v>
      </c>
      <c r="U321" s="5" t="s">
        <v>1655</v>
      </c>
      <c r="V321" s="5" t="s">
        <v>2072</v>
      </c>
      <c r="W321" s="5" t="s">
        <v>2073</v>
      </c>
    </row>
    <row r="322" spans="1:23">
      <c r="A322" s="5" t="s">
        <v>1642</v>
      </c>
      <c r="B322" s="5" t="s">
        <v>1643</v>
      </c>
      <c r="C322" s="5" t="s">
        <v>1652</v>
      </c>
      <c r="G322" s="5" t="s">
        <v>1673</v>
      </c>
      <c r="H322" s="5" t="s">
        <v>2074</v>
      </c>
      <c r="L322" s="17">
        <v>20</v>
      </c>
      <c r="M322" s="17">
        <v>1.5199816578947369</v>
      </c>
      <c r="N322" s="17">
        <v>24</v>
      </c>
      <c r="P322" s="18">
        <v>0.85</v>
      </c>
      <c r="Q322" s="18">
        <f t="shared" ref="Q322:Q385" si="10">ABS(P322)</f>
        <v>0.85</v>
      </c>
      <c r="R322" s="18">
        <f t="shared" si="9"/>
        <v>6.1234828621575588</v>
      </c>
      <c r="U322" s="5" t="s">
        <v>1655</v>
      </c>
      <c r="V322" s="5" t="s">
        <v>2072</v>
      </c>
      <c r="W322" s="5" t="s">
        <v>2073</v>
      </c>
    </row>
    <row r="323" spans="1:23">
      <c r="A323" s="5" t="s">
        <v>1642</v>
      </c>
      <c r="B323" s="5" t="s">
        <v>1643</v>
      </c>
      <c r="C323" s="5" t="s">
        <v>1652</v>
      </c>
      <c r="G323" s="5" t="s">
        <v>2075</v>
      </c>
      <c r="H323" s="5" t="s">
        <v>2076</v>
      </c>
      <c r="M323" s="17">
        <v>0</v>
      </c>
      <c r="P323" s="18">
        <v>0.78</v>
      </c>
      <c r="Q323" s="18">
        <f t="shared" si="10"/>
        <v>0.78</v>
      </c>
      <c r="R323" s="18"/>
      <c r="U323" s="5" t="s">
        <v>1655</v>
      </c>
      <c r="V323" s="5" t="s">
        <v>2077</v>
      </c>
      <c r="W323" s="5" t="s">
        <v>2078</v>
      </c>
    </row>
    <row r="324" spans="1:23">
      <c r="A324" s="5" t="s">
        <v>1642</v>
      </c>
      <c r="B324" s="5" t="s">
        <v>1643</v>
      </c>
      <c r="C324" s="5" t="s">
        <v>1724</v>
      </c>
      <c r="F324" s="5" t="s">
        <v>2079</v>
      </c>
      <c r="L324" s="17">
        <v>-20</v>
      </c>
      <c r="M324" s="17">
        <v>95.001653388157905</v>
      </c>
      <c r="P324" s="18">
        <v>0.14000000000000001</v>
      </c>
      <c r="Q324" s="18">
        <f t="shared" si="10"/>
        <v>0.14000000000000001</v>
      </c>
      <c r="R324" s="18">
        <f t="shared" ref="R324:R386" si="11">8.3145*(L324+273.15)*LN((Q324+1)/(1-Q324))*0.001</f>
        <v>0.59324472304316089</v>
      </c>
      <c r="U324" s="5" t="s">
        <v>1655</v>
      </c>
      <c r="V324" s="5" t="s">
        <v>2080</v>
      </c>
      <c r="W324" s="5" t="s">
        <v>2081</v>
      </c>
    </row>
    <row r="325" spans="1:23">
      <c r="A325" s="5" t="s">
        <v>1642</v>
      </c>
      <c r="B325" s="5" t="s">
        <v>1643</v>
      </c>
      <c r="C325" s="5" t="s">
        <v>1724</v>
      </c>
      <c r="F325" s="5" t="s">
        <v>2079</v>
      </c>
      <c r="L325" s="17">
        <v>-20</v>
      </c>
      <c r="M325" s="17">
        <v>95.001653388157905</v>
      </c>
      <c r="P325" s="18">
        <v>0.14000000000000001</v>
      </c>
      <c r="Q325" s="18">
        <f t="shared" si="10"/>
        <v>0.14000000000000001</v>
      </c>
      <c r="R325" s="18">
        <f t="shared" si="11"/>
        <v>0.59324472304316089</v>
      </c>
      <c r="U325" s="5" t="s">
        <v>1655</v>
      </c>
      <c r="V325" s="5" t="s">
        <v>2080</v>
      </c>
      <c r="W325" s="5" t="s">
        <v>2081</v>
      </c>
    </row>
    <row r="326" spans="1:23">
      <c r="A326" s="5" t="s">
        <v>1642</v>
      </c>
      <c r="B326" s="5" t="s">
        <v>1643</v>
      </c>
      <c r="C326" s="5" t="s">
        <v>1884</v>
      </c>
      <c r="G326" s="5" t="s">
        <v>1673</v>
      </c>
      <c r="H326" s="5" t="s">
        <v>2065</v>
      </c>
      <c r="M326" s="17">
        <v>1.5199816578947369</v>
      </c>
      <c r="N326" s="17">
        <v>24</v>
      </c>
      <c r="P326" s="18">
        <v>0.53</v>
      </c>
      <c r="Q326" s="18">
        <f t="shared" si="10"/>
        <v>0.53</v>
      </c>
      <c r="R326" s="18"/>
      <c r="U326" s="5" t="s">
        <v>1655</v>
      </c>
      <c r="V326" s="5" t="s">
        <v>2082</v>
      </c>
      <c r="W326" s="5" t="s">
        <v>2083</v>
      </c>
    </row>
    <row r="327" spans="1:23">
      <c r="A327" s="5" t="s">
        <v>1642</v>
      </c>
      <c r="B327" s="5" t="s">
        <v>1643</v>
      </c>
      <c r="C327" s="5" t="s">
        <v>1652</v>
      </c>
      <c r="G327" s="5" t="s">
        <v>1673</v>
      </c>
      <c r="H327" s="5" t="s">
        <v>2084</v>
      </c>
      <c r="L327" s="17">
        <v>20</v>
      </c>
      <c r="M327" s="17">
        <v>1.0133179944078949</v>
      </c>
      <c r="N327" s="17">
        <v>24</v>
      </c>
      <c r="P327" s="18">
        <v>0.67599999999999993</v>
      </c>
      <c r="Q327" s="18">
        <f t="shared" si="10"/>
        <v>0.67599999999999993</v>
      </c>
      <c r="R327" s="18">
        <f t="shared" si="11"/>
        <v>4.0056691028204812</v>
      </c>
      <c r="U327" s="5" t="s">
        <v>1655</v>
      </c>
      <c r="V327" s="5" t="s">
        <v>2085</v>
      </c>
      <c r="W327" s="5" t="s">
        <v>2086</v>
      </c>
    </row>
    <row r="328" spans="1:23">
      <c r="A328" s="5" t="s">
        <v>1642</v>
      </c>
      <c r="B328" s="5" t="s">
        <v>1643</v>
      </c>
      <c r="C328" s="5" t="s">
        <v>1652</v>
      </c>
      <c r="G328" s="5" t="s">
        <v>1673</v>
      </c>
      <c r="H328" s="5" t="s">
        <v>2084</v>
      </c>
      <c r="L328" s="17">
        <v>20</v>
      </c>
      <c r="M328" s="17">
        <v>1.0133179944078949</v>
      </c>
      <c r="N328" s="17">
        <v>24</v>
      </c>
      <c r="P328" s="18">
        <v>0.04</v>
      </c>
      <c r="Q328" s="18">
        <f t="shared" si="10"/>
        <v>0.04</v>
      </c>
      <c r="R328" s="18">
        <f t="shared" si="11"/>
        <v>0.19509574949876737</v>
      </c>
      <c r="U328" s="5" t="s">
        <v>1655</v>
      </c>
      <c r="V328" s="5" t="s">
        <v>2085</v>
      </c>
      <c r="W328" s="5" t="s">
        <v>2086</v>
      </c>
    </row>
    <row r="329" spans="1:23">
      <c r="A329" s="5" t="s">
        <v>1642</v>
      </c>
      <c r="B329" s="5" t="s">
        <v>1643</v>
      </c>
      <c r="C329" s="5" t="s">
        <v>1652</v>
      </c>
      <c r="F329" s="5" t="s">
        <v>2087</v>
      </c>
      <c r="L329" s="17">
        <v>25</v>
      </c>
      <c r="M329" s="17">
        <v>10.00017754934211</v>
      </c>
      <c r="N329" s="17">
        <v>24</v>
      </c>
      <c r="P329" s="18">
        <v>0.2</v>
      </c>
      <c r="Q329" s="18">
        <f t="shared" si="10"/>
        <v>0.2</v>
      </c>
      <c r="R329" s="18">
        <f t="shared" si="11"/>
        <v>1.0051350990730736</v>
      </c>
      <c r="U329" s="5" t="s">
        <v>1655</v>
      </c>
      <c r="V329" s="5" t="s">
        <v>2088</v>
      </c>
      <c r="W329" s="5" t="s">
        <v>2089</v>
      </c>
    </row>
    <row r="330" spans="1:23">
      <c r="A330" s="5" t="s">
        <v>1642</v>
      </c>
      <c r="B330" s="5" t="s">
        <v>1643</v>
      </c>
      <c r="C330" s="5" t="s">
        <v>1861</v>
      </c>
      <c r="G330" s="5" t="s">
        <v>1673</v>
      </c>
      <c r="H330" s="5" t="s">
        <v>2090</v>
      </c>
      <c r="I330" s="5" t="s">
        <v>2091</v>
      </c>
      <c r="J330" s="5" t="s">
        <v>2092</v>
      </c>
      <c r="K330" s="5" t="s">
        <v>2093</v>
      </c>
      <c r="L330" s="17">
        <v>20</v>
      </c>
      <c r="M330" s="17">
        <v>15.000232993421051</v>
      </c>
      <c r="N330" s="17">
        <v>16</v>
      </c>
      <c r="P330" s="18">
        <v>0.8</v>
      </c>
      <c r="Q330" s="18">
        <f t="shared" si="10"/>
        <v>0.8</v>
      </c>
      <c r="R330" s="18">
        <f t="shared" si="11"/>
        <v>5.3555056818030051</v>
      </c>
      <c r="U330" s="5" t="s">
        <v>1655</v>
      </c>
      <c r="V330" s="5" t="s">
        <v>1863</v>
      </c>
      <c r="W330" s="5" t="s">
        <v>1864</v>
      </c>
    </row>
    <row r="331" spans="1:23">
      <c r="A331" s="5" t="s">
        <v>1642</v>
      </c>
      <c r="B331" s="5" t="s">
        <v>1643</v>
      </c>
      <c r="C331" s="5" t="s">
        <v>1724</v>
      </c>
      <c r="G331" s="5" t="s">
        <v>1673</v>
      </c>
      <c r="H331" s="5" t="s">
        <v>2094</v>
      </c>
      <c r="L331" s="17">
        <v>20</v>
      </c>
      <c r="M331" s="17">
        <v>40.00071019736842</v>
      </c>
      <c r="N331" s="17">
        <v>24</v>
      </c>
      <c r="P331" s="18">
        <v>5.7999999999999996E-2</v>
      </c>
      <c r="Q331" s="18">
        <f t="shared" si="10"/>
        <v>5.7999999999999996E-2</v>
      </c>
      <c r="R331" s="18">
        <f t="shared" si="11"/>
        <v>0.28305558319209156</v>
      </c>
      <c r="U331" s="5" t="s">
        <v>1655</v>
      </c>
      <c r="V331" s="5" t="s">
        <v>2095</v>
      </c>
      <c r="W331" s="5" t="s">
        <v>2096</v>
      </c>
    </row>
    <row r="332" spans="1:23">
      <c r="A332" s="5" t="s">
        <v>1642</v>
      </c>
      <c r="B332" s="5" t="s">
        <v>1869</v>
      </c>
      <c r="C332" s="5" t="s">
        <v>1652</v>
      </c>
      <c r="F332" s="5" t="s">
        <v>2097</v>
      </c>
      <c r="L332" s="17">
        <v>25</v>
      </c>
      <c r="M332" s="17">
        <v>5.0665966381578951</v>
      </c>
      <c r="N332" s="17">
        <v>0.16666700000000001</v>
      </c>
      <c r="O332" s="18">
        <v>1</v>
      </c>
      <c r="P332" s="18">
        <v>0.99299999999999999</v>
      </c>
      <c r="Q332" s="18">
        <f t="shared" si="10"/>
        <v>0.99299999999999999</v>
      </c>
      <c r="R332" s="18">
        <f t="shared" si="11"/>
        <v>14.009854359751996</v>
      </c>
      <c r="S332" s="5" t="s">
        <v>1597</v>
      </c>
      <c r="U332" s="5" t="s">
        <v>1647</v>
      </c>
      <c r="V332" s="5" t="s">
        <v>2098</v>
      </c>
      <c r="W332" s="5" t="s">
        <v>2099</v>
      </c>
    </row>
    <row r="333" spans="1:23">
      <c r="A333" s="5" t="s">
        <v>1642</v>
      </c>
      <c r="B333" s="5" t="s">
        <v>1869</v>
      </c>
      <c r="C333" s="5" t="s">
        <v>1596</v>
      </c>
      <c r="G333" s="5" t="s">
        <v>1644</v>
      </c>
      <c r="H333" s="5" t="s">
        <v>2100</v>
      </c>
      <c r="L333" s="17">
        <v>25</v>
      </c>
      <c r="M333" s="17">
        <v>1.0133179944078949</v>
      </c>
      <c r="N333" s="17">
        <v>1</v>
      </c>
      <c r="P333" s="18">
        <v>0.96099999999999997</v>
      </c>
      <c r="Q333" s="18">
        <f t="shared" si="10"/>
        <v>0.96099999999999997</v>
      </c>
      <c r="R333" s="18">
        <f t="shared" si="11"/>
        <v>9.7117251592320173</v>
      </c>
      <c r="S333" s="5" t="s">
        <v>1597</v>
      </c>
      <c r="U333" s="5" t="s">
        <v>1647</v>
      </c>
      <c r="V333" s="5" t="s">
        <v>2101</v>
      </c>
      <c r="W333" s="5" t="s">
        <v>2102</v>
      </c>
    </row>
    <row r="334" spans="1:23">
      <c r="A334" s="5" t="s">
        <v>1642</v>
      </c>
      <c r="B334" s="5" t="s">
        <v>1869</v>
      </c>
      <c r="C334" s="5" t="s">
        <v>1739</v>
      </c>
      <c r="G334" s="5" t="s">
        <v>1644</v>
      </c>
      <c r="H334" s="5" t="s">
        <v>2103</v>
      </c>
      <c r="L334" s="17">
        <v>25</v>
      </c>
      <c r="M334" s="17">
        <v>1.0133179944078949</v>
      </c>
      <c r="N334" s="17">
        <v>2</v>
      </c>
      <c r="P334" s="18">
        <v>0.997</v>
      </c>
      <c r="Q334" s="18">
        <f t="shared" si="10"/>
        <v>0.997</v>
      </c>
      <c r="R334" s="18">
        <f t="shared" si="11"/>
        <v>16.11524915431821</v>
      </c>
      <c r="S334" s="5" t="s">
        <v>1597</v>
      </c>
      <c r="U334" s="5" t="s">
        <v>1647</v>
      </c>
      <c r="V334" s="5" t="s">
        <v>2101</v>
      </c>
      <c r="W334" s="5" t="s">
        <v>2102</v>
      </c>
    </row>
    <row r="335" spans="1:23">
      <c r="A335" s="5" t="s">
        <v>1642</v>
      </c>
      <c r="B335" s="5" t="s">
        <v>1869</v>
      </c>
      <c r="C335" s="5" t="s">
        <v>1596</v>
      </c>
      <c r="G335" s="5" t="s">
        <v>1644</v>
      </c>
      <c r="H335" s="5" t="s">
        <v>2104</v>
      </c>
      <c r="L335" s="17">
        <v>25</v>
      </c>
      <c r="M335" s="17">
        <v>1.0133179944078949</v>
      </c>
      <c r="N335" s="17">
        <v>1</v>
      </c>
      <c r="P335" s="18">
        <v>0.97900000000000009</v>
      </c>
      <c r="Q335" s="18">
        <f t="shared" si="10"/>
        <v>0.97900000000000009</v>
      </c>
      <c r="R335" s="18">
        <f t="shared" si="11"/>
        <v>11.268954284167442</v>
      </c>
      <c r="S335" s="5" t="s">
        <v>1597</v>
      </c>
      <c r="U335" s="5" t="s">
        <v>1647</v>
      </c>
      <c r="V335" s="5" t="s">
        <v>2101</v>
      </c>
      <c r="W335" s="5" t="s">
        <v>2102</v>
      </c>
    </row>
    <row r="336" spans="1:23">
      <c r="A336" s="5" t="s">
        <v>1642</v>
      </c>
      <c r="B336" s="5" t="s">
        <v>1869</v>
      </c>
      <c r="C336" s="5" t="s">
        <v>1596</v>
      </c>
      <c r="G336" s="5" t="s">
        <v>1644</v>
      </c>
      <c r="H336" s="5" t="s">
        <v>2105</v>
      </c>
      <c r="L336" s="17">
        <v>25</v>
      </c>
      <c r="M336" s="17">
        <v>1.0133179944078949</v>
      </c>
      <c r="N336" s="17">
        <v>1</v>
      </c>
      <c r="P336" s="18">
        <v>0.93299999999999994</v>
      </c>
      <c r="Q336" s="18">
        <f t="shared" si="10"/>
        <v>0.93299999999999994</v>
      </c>
      <c r="R336" s="18">
        <f t="shared" si="11"/>
        <v>8.3346277965135069</v>
      </c>
      <c r="S336" s="5" t="s">
        <v>1597</v>
      </c>
      <c r="U336" s="5" t="s">
        <v>1647</v>
      </c>
      <c r="V336" s="5" t="s">
        <v>2106</v>
      </c>
      <c r="W336" s="5" t="s">
        <v>2107</v>
      </c>
    </row>
    <row r="337" spans="1:23">
      <c r="A337" s="5" t="s">
        <v>1642</v>
      </c>
      <c r="B337" s="5" t="s">
        <v>1869</v>
      </c>
      <c r="C337" s="5" t="s">
        <v>1596</v>
      </c>
      <c r="G337" s="5" t="s">
        <v>1644</v>
      </c>
      <c r="H337" s="5" t="s">
        <v>2108</v>
      </c>
      <c r="L337" s="17">
        <v>25</v>
      </c>
      <c r="M337" s="17">
        <v>1.0133179944078949</v>
      </c>
      <c r="N337" s="17">
        <v>1</v>
      </c>
      <c r="P337" s="18">
        <v>0.94</v>
      </c>
      <c r="Q337" s="18">
        <f t="shared" si="10"/>
        <v>0.94</v>
      </c>
      <c r="R337" s="18">
        <f t="shared" si="11"/>
        <v>8.6171380252608341</v>
      </c>
      <c r="S337" s="5" t="s">
        <v>1597</v>
      </c>
      <c r="U337" s="5" t="s">
        <v>1647</v>
      </c>
      <c r="V337" s="5" t="s">
        <v>2106</v>
      </c>
      <c r="W337" s="5" t="s">
        <v>2107</v>
      </c>
    </row>
    <row r="338" spans="1:23">
      <c r="A338" s="5" t="s">
        <v>1642</v>
      </c>
      <c r="B338" s="5" t="s">
        <v>1869</v>
      </c>
      <c r="C338" s="5" t="s">
        <v>1596</v>
      </c>
      <c r="G338" s="5" t="s">
        <v>1644</v>
      </c>
      <c r="H338" s="5" t="s">
        <v>2109</v>
      </c>
      <c r="L338" s="17">
        <v>25</v>
      </c>
      <c r="M338" s="17">
        <v>1.0133179944078949</v>
      </c>
      <c r="N338" s="17">
        <v>1</v>
      </c>
      <c r="P338" s="18">
        <v>0.97199999999999998</v>
      </c>
      <c r="Q338" s="18">
        <f t="shared" si="10"/>
        <v>0.97199999999999998</v>
      </c>
      <c r="R338" s="18">
        <f t="shared" si="11"/>
        <v>10.547015580329733</v>
      </c>
      <c r="S338" s="5" t="s">
        <v>1597</v>
      </c>
      <c r="U338" s="5" t="s">
        <v>1647</v>
      </c>
      <c r="V338" s="5" t="s">
        <v>2106</v>
      </c>
      <c r="W338" s="5" t="s">
        <v>2107</v>
      </c>
    </row>
    <row r="339" spans="1:23">
      <c r="A339" s="5" t="s">
        <v>1642</v>
      </c>
      <c r="B339" s="5" t="s">
        <v>1869</v>
      </c>
      <c r="C339" s="5" t="s">
        <v>1739</v>
      </c>
      <c r="G339" s="5" t="s">
        <v>1644</v>
      </c>
      <c r="H339" s="5" t="s">
        <v>2110</v>
      </c>
      <c r="L339" s="17">
        <v>25</v>
      </c>
      <c r="M339" s="17">
        <v>1.0133179944078949</v>
      </c>
      <c r="N339" s="17">
        <v>2</v>
      </c>
      <c r="P339" s="18">
        <v>0.95599999999999996</v>
      </c>
      <c r="Q339" s="18">
        <f t="shared" si="10"/>
        <v>0.95599999999999996</v>
      </c>
      <c r="R339" s="18">
        <f t="shared" si="11"/>
        <v>9.4063634712218747</v>
      </c>
      <c r="S339" s="5" t="s">
        <v>1597</v>
      </c>
      <c r="U339" s="5" t="s">
        <v>1647</v>
      </c>
      <c r="V339" s="5" t="s">
        <v>2106</v>
      </c>
      <c r="W339" s="5" t="s">
        <v>2107</v>
      </c>
    </row>
    <row r="340" spans="1:23">
      <c r="A340" s="5" t="s">
        <v>1642</v>
      </c>
      <c r="B340" s="5" t="s">
        <v>1869</v>
      </c>
      <c r="C340" s="5" t="s">
        <v>1596</v>
      </c>
      <c r="G340" s="5" t="s">
        <v>1644</v>
      </c>
      <c r="H340" s="5" t="s">
        <v>2111</v>
      </c>
      <c r="L340" s="17">
        <v>25</v>
      </c>
      <c r="M340" s="17">
        <v>1.0133179944078949</v>
      </c>
      <c r="N340" s="17">
        <v>1</v>
      </c>
      <c r="P340" s="18">
        <v>0.98699999999999999</v>
      </c>
      <c r="Q340" s="18">
        <f t="shared" si="10"/>
        <v>0.98699999999999999</v>
      </c>
      <c r="R340" s="18">
        <f t="shared" si="11"/>
        <v>12.467801581469059</v>
      </c>
      <c r="S340" s="5" t="s">
        <v>1597</v>
      </c>
      <c r="U340" s="5" t="s">
        <v>1647</v>
      </c>
      <c r="V340" s="5" t="s">
        <v>2106</v>
      </c>
      <c r="W340" s="5" t="s">
        <v>2107</v>
      </c>
    </row>
    <row r="341" spans="1:23">
      <c r="A341" s="5" t="s">
        <v>1642</v>
      </c>
      <c r="B341" s="5" t="s">
        <v>1869</v>
      </c>
      <c r="C341" s="5" t="s">
        <v>1652</v>
      </c>
      <c r="G341" s="5" t="s">
        <v>2039</v>
      </c>
      <c r="H341" s="5" t="s">
        <v>2112</v>
      </c>
      <c r="L341" s="17">
        <v>-5</v>
      </c>
      <c r="M341" s="17">
        <v>1.0000177549342111</v>
      </c>
      <c r="N341" s="17">
        <v>24</v>
      </c>
      <c r="P341" s="18">
        <v>0.97</v>
      </c>
      <c r="Q341" s="18">
        <f t="shared" si="10"/>
        <v>0.97</v>
      </c>
      <c r="R341" s="18">
        <f t="shared" si="11"/>
        <v>9.3296854394568172</v>
      </c>
      <c r="S341" s="5" t="s">
        <v>1597</v>
      </c>
      <c r="U341" s="5" t="s">
        <v>1655</v>
      </c>
      <c r="V341" s="5" t="s">
        <v>2113</v>
      </c>
      <c r="W341" s="5" t="s">
        <v>2114</v>
      </c>
    </row>
    <row r="342" spans="1:23">
      <c r="A342" s="5" t="s">
        <v>1642</v>
      </c>
      <c r="B342" s="5" t="s">
        <v>1869</v>
      </c>
      <c r="C342" s="5" t="s">
        <v>1616</v>
      </c>
      <c r="D342" s="5" t="s">
        <v>2115</v>
      </c>
      <c r="E342" s="5" t="s">
        <v>2116</v>
      </c>
      <c r="G342" s="5" t="s">
        <v>2117</v>
      </c>
      <c r="H342" s="5" t="s">
        <v>1791</v>
      </c>
      <c r="I342" s="5" t="s">
        <v>1791</v>
      </c>
      <c r="J342" s="5" t="s">
        <v>582</v>
      </c>
      <c r="K342" s="5" t="s">
        <v>580</v>
      </c>
      <c r="L342" s="17">
        <v>70</v>
      </c>
      <c r="M342" s="17">
        <v>0</v>
      </c>
      <c r="O342" s="18">
        <v>0.98</v>
      </c>
      <c r="P342" s="18">
        <v>0.93</v>
      </c>
      <c r="Q342" s="18">
        <f t="shared" si="10"/>
        <v>0.93</v>
      </c>
      <c r="R342" s="18">
        <f t="shared" si="11"/>
        <v>9.4631737061221415</v>
      </c>
      <c r="S342" s="5" t="s">
        <v>1597</v>
      </c>
      <c r="U342" s="5" t="s">
        <v>1647</v>
      </c>
      <c r="V342" s="5" t="s">
        <v>2118</v>
      </c>
      <c r="W342" s="5" t="s">
        <v>2119</v>
      </c>
    </row>
    <row r="343" spans="1:23">
      <c r="A343" s="5" t="s">
        <v>1642</v>
      </c>
      <c r="B343" s="5" t="s">
        <v>1643</v>
      </c>
      <c r="C343" s="5" t="s">
        <v>1596</v>
      </c>
      <c r="F343" s="5" t="s">
        <v>2120</v>
      </c>
      <c r="I343" s="5" t="s">
        <v>2121</v>
      </c>
      <c r="J343" s="5" t="s">
        <v>487</v>
      </c>
      <c r="K343" s="5" t="s">
        <v>485</v>
      </c>
      <c r="L343" s="17">
        <v>50</v>
      </c>
      <c r="M343" s="17">
        <v>10.34238940460526</v>
      </c>
      <c r="N343" s="17">
        <v>10</v>
      </c>
      <c r="P343" s="18">
        <v>0.93</v>
      </c>
      <c r="Q343" s="18">
        <f t="shared" si="10"/>
        <v>0.93</v>
      </c>
      <c r="R343" s="18">
        <f t="shared" si="11"/>
        <v>8.9116263532955564</v>
      </c>
      <c r="S343" s="5" t="s">
        <v>1597</v>
      </c>
      <c r="U343" s="5" t="s">
        <v>1647</v>
      </c>
      <c r="V343" s="5" t="s">
        <v>2122</v>
      </c>
      <c r="W343" s="5" t="s">
        <v>2123</v>
      </c>
    </row>
    <row r="344" spans="1:23">
      <c r="A344" s="5" t="s">
        <v>1642</v>
      </c>
      <c r="B344" s="5" t="s">
        <v>1643</v>
      </c>
      <c r="C344" s="5" t="s">
        <v>1596</v>
      </c>
      <c r="F344" s="5" t="s">
        <v>2124</v>
      </c>
      <c r="L344" s="17">
        <v>20</v>
      </c>
      <c r="M344" s="17">
        <v>10.34238940460526</v>
      </c>
      <c r="N344" s="17">
        <v>10</v>
      </c>
      <c r="P344" s="18">
        <v>0.96</v>
      </c>
      <c r="Q344" s="18">
        <f t="shared" si="10"/>
        <v>0.96</v>
      </c>
      <c r="R344" s="18">
        <f t="shared" si="11"/>
        <v>9.4859059624920494</v>
      </c>
      <c r="S344" s="5" t="s">
        <v>1597</v>
      </c>
      <c r="U344" s="5" t="s">
        <v>1647</v>
      </c>
      <c r="V344" s="5" t="s">
        <v>2122</v>
      </c>
      <c r="W344" s="5" t="s">
        <v>2123</v>
      </c>
    </row>
    <row r="345" spans="1:23">
      <c r="A345" s="5" t="s">
        <v>1642</v>
      </c>
      <c r="B345" s="5" t="s">
        <v>1643</v>
      </c>
      <c r="C345" s="5" t="s">
        <v>1596</v>
      </c>
      <c r="G345" s="5" t="s">
        <v>2125</v>
      </c>
      <c r="M345" s="17">
        <v>1.0133179944078949</v>
      </c>
      <c r="N345" s="17">
        <v>1</v>
      </c>
      <c r="P345" s="18">
        <v>0.97</v>
      </c>
      <c r="Q345" s="18">
        <f t="shared" si="10"/>
        <v>0.97</v>
      </c>
      <c r="R345" s="18"/>
      <c r="S345" s="5" t="s">
        <v>1597</v>
      </c>
      <c r="U345" s="5" t="s">
        <v>1647</v>
      </c>
      <c r="V345" s="5" t="s">
        <v>2126</v>
      </c>
      <c r="W345" s="5" t="s">
        <v>2127</v>
      </c>
    </row>
    <row r="346" spans="1:23">
      <c r="A346" s="5" t="s">
        <v>1642</v>
      </c>
      <c r="B346" s="5" t="s">
        <v>1643</v>
      </c>
      <c r="C346" s="5" t="s">
        <v>1884</v>
      </c>
      <c r="F346" s="5" t="s">
        <v>2128</v>
      </c>
      <c r="L346" s="17">
        <v>20</v>
      </c>
      <c r="M346" s="17">
        <v>3.0000599309210529</v>
      </c>
      <c r="P346" s="18">
        <v>0.99</v>
      </c>
      <c r="Q346" s="18">
        <f t="shared" si="10"/>
        <v>0.99</v>
      </c>
      <c r="R346" s="18">
        <f t="shared" si="11"/>
        <v>12.901878286240109</v>
      </c>
      <c r="S346" s="5" t="s">
        <v>1597</v>
      </c>
      <c r="U346" s="5" t="s">
        <v>1655</v>
      </c>
      <c r="V346" s="5" t="s">
        <v>2129</v>
      </c>
      <c r="W346" s="5" t="s">
        <v>2130</v>
      </c>
    </row>
    <row r="347" spans="1:23">
      <c r="A347" s="5" t="s">
        <v>1642</v>
      </c>
      <c r="B347" s="5" t="s">
        <v>1643</v>
      </c>
      <c r="C347" s="5" t="s">
        <v>1652</v>
      </c>
      <c r="F347" s="5" t="s">
        <v>2097</v>
      </c>
      <c r="L347" s="17">
        <v>20</v>
      </c>
      <c r="M347" s="17">
        <v>5.0665966381578951</v>
      </c>
      <c r="N347" s="17">
        <v>0.16666700000000001</v>
      </c>
      <c r="O347" s="18">
        <v>1</v>
      </c>
      <c r="P347" s="18">
        <v>0.99299999999999999</v>
      </c>
      <c r="Q347" s="18">
        <f t="shared" si="10"/>
        <v>0.99299999999999999</v>
      </c>
      <c r="R347" s="18">
        <f t="shared" si="11"/>
        <v>13.774907950901554</v>
      </c>
      <c r="S347" s="5" t="s">
        <v>1597</v>
      </c>
      <c r="U347" s="5" t="s">
        <v>1655</v>
      </c>
      <c r="V347" s="5" t="s">
        <v>2036</v>
      </c>
      <c r="W347" s="5" t="s">
        <v>2037</v>
      </c>
    </row>
    <row r="348" spans="1:23">
      <c r="A348" s="5" t="s">
        <v>1642</v>
      </c>
      <c r="B348" s="5" t="s">
        <v>1643</v>
      </c>
      <c r="C348" s="5" t="s">
        <v>1672</v>
      </c>
      <c r="G348" s="5" t="s">
        <v>1644</v>
      </c>
      <c r="L348" s="17">
        <v>25</v>
      </c>
      <c r="M348" s="17">
        <v>1.0000177549342111</v>
      </c>
      <c r="N348" s="17">
        <v>2</v>
      </c>
      <c r="P348" s="18">
        <v>0.94</v>
      </c>
      <c r="Q348" s="18">
        <f t="shared" si="10"/>
        <v>0.94</v>
      </c>
      <c r="R348" s="18">
        <f t="shared" si="11"/>
        <v>8.6171380252608341</v>
      </c>
      <c r="S348" s="5" t="s">
        <v>1597</v>
      </c>
      <c r="U348" s="5" t="s">
        <v>1647</v>
      </c>
      <c r="V348" s="5" t="s">
        <v>2131</v>
      </c>
      <c r="W348" s="5" t="s">
        <v>2132</v>
      </c>
    </row>
    <row r="349" spans="1:23">
      <c r="A349" s="5" t="s">
        <v>1642</v>
      </c>
      <c r="B349" s="5" t="s">
        <v>1643</v>
      </c>
      <c r="C349" s="5" t="s">
        <v>1672</v>
      </c>
      <c r="G349" s="5" t="s">
        <v>1644</v>
      </c>
      <c r="L349" s="17">
        <v>25</v>
      </c>
      <c r="M349" s="17">
        <v>1.0000177549342111</v>
      </c>
      <c r="N349" s="17">
        <v>2</v>
      </c>
      <c r="P349" s="18">
        <v>0.97</v>
      </c>
      <c r="Q349" s="18">
        <f t="shared" si="10"/>
        <v>0.97</v>
      </c>
      <c r="R349" s="18">
        <f t="shared" si="11"/>
        <v>10.373469005310646</v>
      </c>
      <c r="S349" s="5" t="s">
        <v>1597</v>
      </c>
      <c r="U349" s="5" t="s">
        <v>1647</v>
      </c>
      <c r="V349" s="5" t="s">
        <v>2131</v>
      </c>
      <c r="W349" s="5" t="s">
        <v>2132</v>
      </c>
    </row>
    <row r="350" spans="1:23">
      <c r="A350" s="5" t="s">
        <v>1642</v>
      </c>
      <c r="B350" s="5" t="s">
        <v>1643</v>
      </c>
      <c r="C350" s="5" t="s">
        <v>1616</v>
      </c>
      <c r="G350" s="5" t="s">
        <v>2133</v>
      </c>
      <c r="L350" s="17">
        <v>25</v>
      </c>
      <c r="M350" s="17">
        <v>1.0000177549342111</v>
      </c>
      <c r="N350" s="17">
        <v>2</v>
      </c>
      <c r="P350" s="18">
        <v>0.97</v>
      </c>
      <c r="Q350" s="18">
        <f t="shared" si="10"/>
        <v>0.97</v>
      </c>
      <c r="R350" s="18">
        <f t="shared" si="11"/>
        <v>10.373469005310646</v>
      </c>
      <c r="S350" s="5" t="s">
        <v>1597</v>
      </c>
      <c r="U350" s="5" t="s">
        <v>1647</v>
      </c>
      <c r="V350" s="5" t="s">
        <v>2134</v>
      </c>
      <c r="W350" s="5" t="s">
        <v>2135</v>
      </c>
    </row>
    <row r="351" spans="1:23">
      <c r="A351" s="5" t="s">
        <v>1642</v>
      </c>
      <c r="B351" s="5" t="s">
        <v>1643</v>
      </c>
      <c r="C351" s="5" t="s">
        <v>1672</v>
      </c>
      <c r="G351" s="5" t="s">
        <v>1644</v>
      </c>
      <c r="L351" s="17">
        <v>25</v>
      </c>
      <c r="M351" s="17">
        <v>1.0000177549342111</v>
      </c>
      <c r="N351" s="17">
        <v>2</v>
      </c>
      <c r="P351" s="18">
        <v>0.92099999999999993</v>
      </c>
      <c r="Q351" s="18">
        <f t="shared" si="10"/>
        <v>0.92099999999999993</v>
      </c>
      <c r="R351" s="18">
        <f t="shared" si="11"/>
        <v>7.9107674977834028</v>
      </c>
      <c r="S351" s="5" t="s">
        <v>1597</v>
      </c>
      <c r="U351" s="5" t="s">
        <v>1647</v>
      </c>
      <c r="V351" s="5" t="s">
        <v>2134</v>
      </c>
      <c r="W351" s="5" t="s">
        <v>2135</v>
      </c>
    </row>
    <row r="352" spans="1:23">
      <c r="A352" s="5" t="s">
        <v>1642</v>
      </c>
      <c r="B352" s="5" t="s">
        <v>1643</v>
      </c>
      <c r="C352" s="5" t="s">
        <v>1596</v>
      </c>
      <c r="G352" s="5" t="s">
        <v>1644</v>
      </c>
      <c r="L352" s="17">
        <v>25</v>
      </c>
      <c r="M352" s="17">
        <v>1.0000177549342111</v>
      </c>
      <c r="N352" s="17">
        <v>1</v>
      </c>
      <c r="P352" s="18">
        <v>0.87</v>
      </c>
      <c r="Q352" s="18">
        <f t="shared" si="10"/>
        <v>0.87</v>
      </c>
      <c r="R352" s="18">
        <f t="shared" si="11"/>
        <v>6.6093239535169408</v>
      </c>
      <c r="S352" s="5" t="s">
        <v>1597</v>
      </c>
      <c r="U352" s="5" t="s">
        <v>1647</v>
      </c>
      <c r="V352" s="5" t="s">
        <v>2136</v>
      </c>
      <c r="W352" s="5" t="s">
        <v>2137</v>
      </c>
    </row>
    <row r="353" spans="1:23">
      <c r="A353" s="5" t="s">
        <v>1642</v>
      </c>
      <c r="B353" s="5" t="s">
        <v>1643</v>
      </c>
      <c r="C353" s="5" t="s">
        <v>1672</v>
      </c>
      <c r="G353" s="5" t="s">
        <v>1644</v>
      </c>
      <c r="L353" s="17">
        <v>25</v>
      </c>
      <c r="M353" s="17">
        <v>1.0000177549342111</v>
      </c>
      <c r="N353" s="17">
        <v>1</v>
      </c>
      <c r="P353" s="18">
        <v>0.97</v>
      </c>
      <c r="Q353" s="18">
        <f t="shared" si="10"/>
        <v>0.97</v>
      </c>
      <c r="R353" s="18">
        <f t="shared" si="11"/>
        <v>10.373469005310646</v>
      </c>
      <c r="S353" s="5" t="s">
        <v>1597</v>
      </c>
      <c r="U353" s="5" t="s">
        <v>1647</v>
      </c>
      <c r="V353" s="5" t="s">
        <v>2136</v>
      </c>
      <c r="W353" s="5" t="s">
        <v>2137</v>
      </c>
    </row>
    <row r="354" spans="1:23">
      <c r="A354" s="5" t="s">
        <v>1642</v>
      </c>
      <c r="B354" s="5" t="s">
        <v>1643</v>
      </c>
      <c r="C354" s="5" t="s">
        <v>1739</v>
      </c>
      <c r="G354" s="5" t="s">
        <v>1644</v>
      </c>
      <c r="L354" s="17">
        <v>25</v>
      </c>
      <c r="M354" s="17">
        <v>1.0000177549342111</v>
      </c>
      <c r="N354" s="17">
        <v>2</v>
      </c>
      <c r="P354" s="18">
        <v>0.9</v>
      </c>
      <c r="Q354" s="18">
        <f t="shared" si="10"/>
        <v>0.9</v>
      </c>
      <c r="R354" s="18">
        <f t="shared" si="11"/>
        <v>7.2991705225830952</v>
      </c>
      <c r="S354" s="5" t="s">
        <v>1597</v>
      </c>
      <c r="U354" s="5" t="s">
        <v>1647</v>
      </c>
      <c r="V354" s="5" t="s">
        <v>2138</v>
      </c>
      <c r="W354" s="5" t="s">
        <v>2139</v>
      </c>
    </row>
    <row r="355" spans="1:23">
      <c r="A355" s="5" t="s">
        <v>1642</v>
      </c>
      <c r="B355" s="5" t="s">
        <v>1643</v>
      </c>
      <c r="C355" s="5" t="s">
        <v>1739</v>
      </c>
      <c r="G355" s="5" t="s">
        <v>1644</v>
      </c>
      <c r="L355" s="17">
        <v>25</v>
      </c>
      <c r="M355" s="17">
        <v>1.0000177549342111</v>
      </c>
      <c r="N355" s="17">
        <v>2</v>
      </c>
      <c r="P355" s="18">
        <v>0.96</v>
      </c>
      <c r="Q355" s="18">
        <f t="shared" si="10"/>
        <v>0.96</v>
      </c>
      <c r="R355" s="18">
        <f t="shared" si="11"/>
        <v>9.6476986618352534</v>
      </c>
      <c r="S355" s="5" t="s">
        <v>1597</v>
      </c>
      <c r="U355" s="5" t="s">
        <v>1647</v>
      </c>
      <c r="V355" s="5" t="s">
        <v>2138</v>
      </c>
      <c r="W355" s="5" t="s">
        <v>2139</v>
      </c>
    </row>
    <row r="356" spans="1:23">
      <c r="A356" s="5" t="s">
        <v>1642</v>
      </c>
      <c r="B356" s="5" t="s">
        <v>1643</v>
      </c>
      <c r="C356" s="5" t="s">
        <v>1739</v>
      </c>
      <c r="G356" s="5" t="s">
        <v>1644</v>
      </c>
      <c r="L356" s="17">
        <v>25</v>
      </c>
      <c r="M356" s="17">
        <v>1.0000177549342111</v>
      </c>
      <c r="N356" s="17">
        <v>2</v>
      </c>
      <c r="P356" s="18">
        <v>0.99</v>
      </c>
      <c r="Q356" s="18">
        <f t="shared" si="10"/>
        <v>0.99</v>
      </c>
      <c r="R356" s="18">
        <f t="shared" si="11"/>
        <v>13.121934201065967</v>
      </c>
      <c r="S356" s="5" t="s">
        <v>1597</v>
      </c>
      <c r="U356" s="5" t="s">
        <v>1647</v>
      </c>
      <c r="V356" s="5" t="s">
        <v>2138</v>
      </c>
      <c r="W356" s="5" t="s">
        <v>2139</v>
      </c>
    </row>
    <row r="357" spans="1:23">
      <c r="A357" s="5" t="s">
        <v>1642</v>
      </c>
      <c r="B357" s="5" t="s">
        <v>1643</v>
      </c>
      <c r="C357" s="5" t="s">
        <v>1596</v>
      </c>
      <c r="G357" s="5" t="s">
        <v>1673</v>
      </c>
      <c r="L357" s="17">
        <v>34.840000000000003</v>
      </c>
      <c r="M357" s="17">
        <v>2.0000355098684208</v>
      </c>
      <c r="P357" s="18">
        <v>0.99</v>
      </c>
      <c r="Q357" s="18">
        <f t="shared" si="10"/>
        <v>0.99</v>
      </c>
      <c r="R357" s="18">
        <f t="shared" si="11"/>
        <v>13.55500424144326</v>
      </c>
      <c r="S357" s="5" t="s">
        <v>1597</v>
      </c>
      <c r="U357" s="5" t="s">
        <v>1655</v>
      </c>
      <c r="V357" s="5" t="s">
        <v>2140</v>
      </c>
      <c r="W357" s="5" t="s">
        <v>2141</v>
      </c>
    </row>
    <row r="358" spans="1:23">
      <c r="A358" s="5" t="s">
        <v>1642</v>
      </c>
      <c r="B358" s="5" t="s">
        <v>1869</v>
      </c>
      <c r="C358" s="5" t="s">
        <v>1884</v>
      </c>
      <c r="G358" s="5" t="s">
        <v>1673</v>
      </c>
      <c r="M358" s="17">
        <v>0</v>
      </c>
      <c r="N358" s="17">
        <v>12</v>
      </c>
      <c r="O358" s="18">
        <v>1</v>
      </c>
      <c r="P358" s="18">
        <v>0.96</v>
      </c>
      <c r="Q358" s="18">
        <f t="shared" si="10"/>
        <v>0.96</v>
      </c>
      <c r="R358" s="18"/>
      <c r="S358" s="5" t="s">
        <v>1617</v>
      </c>
      <c r="U358" s="5" t="s">
        <v>1647</v>
      </c>
      <c r="V358" s="5" t="s">
        <v>2142</v>
      </c>
      <c r="W358" s="5" t="s">
        <v>2143</v>
      </c>
    </row>
    <row r="359" spans="1:23">
      <c r="A359" s="5" t="s">
        <v>1642</v>
      </c>
      <c r="B359" s="5" t="s">
        <v>1869</v>
      </c>
      <c r="C359" s="5" t="s">
        <v>1884</v>
      </c>
      <c r="G359" s="5" t="s">
        <v>1673</v>
      </c>
      <c r="M359" s="17">
        <v>1.0133179944078949</v>
      </c>
      <c r="N359" s="17">
        <v>12</v>
      </c>
      <c r="O359" s="18">
        <v>1</v>
      </c>
      <c r="P359" s="18">
        <v>0.93</v>
      </c>
      <c r="Q359" s="18">
        <f t="shared" si="10"/>
        <v>0.93</v>
      </c>
      <c r="R359" s="18"/>
      <c r="S359" s="5" t="s">
        <v>1617</v>
      </c>
      <c r="U359" s="5" t="s">
        <v>1647</v>
      </c>
      <c r="V359" s="5" t="s">
        <v>2144</v>
      </c>
      <c r="W359" s="5" t="s">
        <v>2145</v>
      </c>
    </row>
    <row r="360" spans="1:23">
      <c r="A360" s="5" t="s">
        <v>1642</v>
      </c>
      <c r="B360" s="5" t="s">
        <v>1869</v>
      </c>
      <c r="C360" s="5" t="s">
        <v>1596</v>
      </c>
      <c r="G360" s="5" t="s">
        <v>1644</v>
      </c>
      <c r="L360" s="17">
        <v>20</v>
      </c>
      <c r="M360" s="17">
        <v>6.8949262697368416</v>
      </c>
      <c r="N360" s="17">
        <v>24</v>
      </c>
      <c r="O360" s="18">
        <v>0.98</v>
      </c>
      <c r="P360" s="18">
        <v>0.99</v>
      </c>
      <c r="Q360" s="18">
        <f t="shared" si="10"/>
        <v>0.99</v>
      </c>
      <c r="R360" s="18">
        <f t="shared" si="11"/>
        <v>12.901878286240109</v>
      </c>
      <c r="S360" s="5" t="s">
        <v>1617</v>
      </c>
      <c r="U360" s="5" t="s">
        <v>1655</v>
      </c>
      <c r="V360" s="5" t="s">
        <v>2146</v>
      </c>
      <c r="W360" s="5" t="s">
        <v>2147</v>
      </c>
    </row>
    <row r="361" spans="1:23">
      <c r="A361" s="5" t="s">
        <v>1642</v>
      </c>
      <c r="B361" s="5" t="s">
        <v>1869</v>
      </c>
      <c r="C361" s="5" t="s">
        <v>1596</v>
      </c>
      <c r="G361" s="5" t="s">
        <v>1673</v>
      </c>
      <c r="L361" s="17">
        <v>25</v>
      </c>
      <c r="M361" s="17">
        <v>2.0000355098684208</v>
      </c>
      <c r="N361" s="17">
        <v>15</v>
      </c>
      <c r="P361" s="18">
        <v>0.93799999999999994</v>
      </c>
      <c r="Q361" s="18">
        <f t="shared" si="10"/>
        <v>0.93799999999999994</v>
      </c>
      <c r="R361" s="18">
        <f t="shared" si="11"/>
        <v>8.5332961424800402</v>
      </c>
      <c r="S361" s="5" t="s">
        <v>1617</v>
      </c>
      <c r="U361" s="5" t="s">
        <v>1647</v>
      </c>
      <c r="V361" s="5" t="s">
        <v>2148</v>
      </c>
      <c r="W361" s="5" t="s">
        <v>2149</v>
      </c>
    </row>
    <row r="362" spans="1:23">
      <c r="A362" s="5" t="s">
        <v>1642</v>
      </c>
      <c r="B362" s="5" t="s">
        <v>1869</v>
      </c>
      <c r="C362" s="5" t="s">
        <v>1672</v>
      </c>
      <c r="G362" s="5" t="s">
        <v>1806</v>
      </c>
      <c r="L362" s="17">
        <v>25</v>
      </c>
      <c r="M362" s="17">
        <v>2.3922965822368418</v>
      </c>
      <c r="N362" s="17">
        <v>6</v>
      </c>
      <c r="P362" s="18">
        <v>0.92599999999999993</v>
      </c>
      <c r="Q362" s="18">
        <f t="shared" si="10"/>
        <v>0.92599999999999993</v>
      </c>
      <c r="R362" s="18">
        <f t="shared" si="11"/>
        <v>8.0792931804152577</v>
      </c>
      <c r="S362" s="5" t="s">
        <v>1617</v>
      </c>
      <c r="U362" s="5" t="s">
        <v>1647</v>
      </c>
      <c r="V362" s="5" t="s">
        <v>2150</v>
      </c>
      <c r="W362" s="5" t="s">
        <v>2151</v>
      </c>
    </row>
    <row r="363" spans="1:23">
      <c r="A363" s="5" t="s">
        <v>1642</v>
      </c>
      <c r="B363" s="5" t="s">
        <v>1869</v>
      </c>
      <c r="C363" s="5" t="s">
        <v>1672</v>
      </c>
      <c r="G363" s="5" t="s">
        <v>1806</v>
      </c>
      <c r="L363" s="17">
        <v>25</v>
      </c>
      <c r="M363" s="17">
        <v>2.3922965822368418</v>
      </c>
      <c r="N363" s="17">
        <v>6</v>
      </c>
      <c r="P363" s="18">
        <v>0.95200000000000007</v>
      </c>
      <c r="Q363" s="18">
        <f t="shared" si="10"/>
        <v>0.95200000000000007</v>
      </c>
      <c r="R363" s="18">
        <f t="shared" si="11"/>
        <v>9.1855903816518403</v>
      </c>
      <c r="S363" s="5" t="s">
        <v>1617</v>
      </c>
      <c r="U363" s="5" t="s">
        <v>1647</v>
      </c>
      <c r="V363" s="5" t="s">
        <v>2150</v>
      </c>
      <c r="W363" s="5" t="s">
        <v>2151</v>
      </c>
    </row>
    <row r="364" spans="1:23">
      <c r="A364" s="5" t="s">
        <v>1642</v>
      </c>
      <c r="B364" s="5" t="s">
        <v>1869</v>
      </c>
      <c r="C364" s="5" t="s">
        <v>1672</v>
      </c>
      <c r="G364" s="5" t="s">
        <v>1806</v>
      </c>
      <c r="L364" s="17">
        <v>25</v>
      </c>
      <c r="M364" s="17">
        <v>2.3922965822368418</v>
      </c>
      <c r="N364" s="17">
        <v>6</v>
      </c>
      <c r="P364" s="18">
        <v>0.91</v>
      </c>
      <c r="Q364" s="18">
        <f t="shared" si="10"/>
        <v>0.91</v>
      </c>
      <c r="R364" s="18">
        <f t="shared" si="11"/>
        <v>7.5733688739814342</v>
      </c>
      <c r="S364" s="5" t="s">
        <v>1617</v>
      </c>
      <c r="U364" s="5" t="s">
        <v>1647</v>
      </c>
      <c r="V364" s="5" t="s">
        <v>2150</v>
      </c>
      <c r="W364" s="5" t="s">
        <v>2151</v>
      </c>
    </row>
    <row r="365" spans="1:23">
      <c r="A365" s="5" t="s">
        <v>1642</v>
      </c>
      <c r="B365" s="5" t="s">
        <v>1869</v>
      </c>
      <c r="C365" s="5" t="s">
        <v>1672</v>
      </c>
      <c r="G365" s="5" t="s">
        <v>1806</v>
      </c>
      <c r="L365" s="17">
        <v>25</v>
      </c>
      <c r="M365" s="17">
        <v>2.3922965822368418</v>
      </c>
      <c r="N365" s="17">
        <v>6</v>
      </c>
      <c r="P365" s="18">
        <v>0.99099999999999999</v>
      </c>
      <c r="Q365" s="18">
        <f t="shared" si="10"/>
        <v>0.99099999999999999</v>
      </c>
      <c r="R365" s="18">
        <f t="shared" si="11"/>
        <v>13.384364966045748</v>
      </c>
      <c r="S365" s="5" t="s">
        <v>1617</v>
      </c>
      <c r="U365" s="5" t="s">
        <v>1647</v>
      </c>
      <c r="V365" s="5" t="s">
        <v>2150</v>
      </c>
      <c r="W365" s="5" t="s">
        <v>2151</v>
      </c>
    </row>
    <row r="366" spans="1:23">
      <c r="A366" s="5" t="s">
        <v>1642</v>
      </c>
      <c r="B366" s="5" t="s">
        <v>1869</v>
      </c>
      <c r="C366" s="5" t="s">
        <v>1596</v>
      </c>
      <c r="G366" s="5" t="s">
        <v>1673</v>
      </c>
      <c r="L366" s="17">
        <v>25</v>
      </c>
      <c r="M366" s="17">
        <v>2.0000355098684208</v>
      </c>
      <c r="N366" s="17">
        <v>15</v>
      </c>
      <c r="P366" s="18">
        <v>0.93799999999999994</v>
      </c>
      <c r="Q366" s="18">
        <f t="shared" si="10"/>
        <v>0.93799999999999994</v>
      </c>
      <c r="R366" s="18">
        <f t="shared" si="11"/>
        <v>8.5332961424800402</v>
      </c>
      <c r="S366" s="5" t="s">
        <v>1617</v>
      </c>
      <c r="U366" s="5" t="s">
        <v>1647</v>
      </c>
      <c r="V366" s="5" t="s">
        <v>2152</v>
      </c>
      <c r="W366" s="5" t="s">
        <v>2153</v>
      </c>
    </row>
    <row r="367" spans="1:23">
      <c r="A367" s="5" t="s">
        <v>1642</v>
      </c>
      <c r="B367" s="5" t="s">
        <v>1869</v>
      </c>
      <c r="C367" s="5" t="s">
        <v>1596</v>
      </c>
      <c r="G367" s="5" t="s">
        <v>1673</v>
      </c>
      <c r="L367" s="17">
        <v>25</v>
      </c>
      <c r="M367" s="17">
        <v>2.0000355098684208</v>
      </c>
      <c r="N367" s="17">
        <v>15</v>
      </c>
      <c r="P367" s="18">
        <v>0.93799999999999994</v>
      </c>
      <c r="Q367" s="18">
        <f t="shared" si="10"/>
        <v>0.93799999999999994</v>
      </c>
      <c r="R367" s="18">
        <f t="shared" si="11"/>
        <v>8.5332961424800402</v>
      </c>
      <c r="S367" s="5" t="s">
        <v>1617</v>
      </c>
      <c r="U367" s="5" t="s">
        <v>1647</v>
      </c>
      <c r="V367" s="5" t="s">
        <v>2154</v>
      </c>
      <c r="W367" s="5" t="s">
        <v>2155</v>
      </c>
    </row>
    <row r="368" spans="1:23">
      <c r="A368" s="5" t="s">
        <v>1642</v>
      </c>
      <c r="B368" s="5" t="s">
        <v>1869</v>
      </c>
      <c r="C368" s="5" t="s">
        <v>1652</v>
      </c>
      <c r="F368" s="5" t="s">
        <v>2156</v>
      </c>
      <c r="L368" s="17">
        <v>20</v>
      </c>
      <c r="M368" s="17">
        <v>4.0000710197368434</v>
      </c>
      <c r="N368" s="17">
        <v>24</v>
      </c>
      <c r="P368" s="18">
        <v>0.96</v>
      </c>
      <c r="Q368" s="18">
        <f t="shared" si="10"/>
        <v>0.96</v>
      </c>
      <c r="R368" s="18">
        <f t="shared" si="11"/>
        <v>9.4859059624920494</v>
      </c>
      <c r="S368" s="5" t="s">
        <v>1617</v>
      </c>
      <c r="U368" s="5" t="s">
        <v>1655</v>
      </c>
      <c r="V368" s="5" t="s">
        <v>2157</v>
      </c>
      <c r="W368" s="5" t="s">
        <v>2158</v>
      </c>
    </row>
    <row r="369" spans="1:23">
      <c r="A369" s="5" t="s">
        <v>1642</v>
      </c>
      <c r="B369" s="5" t="s">
        <v>1869</v>
      </c>
      <c r="C369" s="5" t="s">
        <v>1652</v>
      </c>
      <c r="F369" s="5" t="s">
        <v>2159</v>
      </c>
      <c r="L369" s="17">
        <v>20</v>
      </c>
      <c r="M369" s="17">
        <v>10.00017754934211</v>
      </c>
      <c r="N369" s="17">
        <v>1</v>
      </c>
      <c r="P369" s="18">
        <v>0.96</v>
      </c>
      <c r="Q369" s="18">
        <f t="shared" si="10"/>
        <v>0.96</v>
      </c>
      <c r="R369" s="18">
        <f t="shared" si="11"/>
        <v>9.4859059624920494</v>
      </c>
      <c r="S369" s="5" t="s">
        <v>1617</v>
      </c>
      <c r="U369" s="5" t="s">
        <v>1655</v>
      </c>
      <c r="V369" s="5" t="s">
        <v>2160</v>
      </c>
      <c r="W369" s="5" t="s">
        <v>2161</v>
      </c>
    </row>
    <row r="370" spans="1:23">
      <c r="A370" s="5" t="s">
        <v>1642</v>
      </c>
      <c r="B370" s="5" t="s">
        <v>1869</v>
      </c>
      <c r="C370" s="5" t="s">
        <v>1652</v>
      </c>
      <c r="E370" s="5" t="s">
        <v>2050</v>
      </c>
      <c r="G370" s="5" t="s">
        <v>2075</v>
      </c>
      <c r="L370" s="17">
        <v>20</v>
      </c>
      <c r="M370" s="17">
        <v>20.00035509868421</v>
      </c>
      <c r="P370" s="18">
        <v>0.92</v>
      </c>
      <c r="Q370" s="18">
        <f t="shared" si="10"/>
        <v>0.92</v>
      </c>
      <c r="R370" s="18">
        <f t="shared" si="11"/>
        <v>7.7461746610072693</v>
      </c>
      <c r="S370" s="5" t="s">
        <v>1617</v>
      </c>
      <c r="U370" s="5" t="s">
        <v>1655</v>
      </c>
      <c r="V370" s="5" t="s">
        <v>2162</v>
      </c>
      <c r="W370" s="5" t="s">
        <v>2163</v>
      </c>
    </row>
    <row r="371" spans="1:23">
      <c r="A371" s="5" t="s">
        <v>1642</v>
      </c>
      <c r="B371" s="5" t="s">
        <v>1869</v>
      </c>
      <c r="C371" s="5" t="s">
        <v>1672</v>
      </c>
      <c r="G371" s="5" t="s">
        <v>1673</v>
      </c>
      <c r="L371" s="17">
        <v>25</v>
      </c>
      <c r="M371" s="17">
        <v>1.2000213059210529</v>
      </c>
      <c r="N371" s="17">
        <v>16</v>
      </c>
      <c r="P371" s="18">
        <v>0.96</v>
      </c>
      <c r="Q371" s="18">
        <f t="shared" si="10"/>
        <v>0.96</v>
      </c>
      <c r="R371" s="18">
        <f t="shared" si="11"/>
        <v>9.6476986618352534</v>
      </c>
      <c r="S371" s="5" t="s">
        <v>1617</v>
      </c>
      <c r="U371" s="5" t="s">
        <v>1655</v>
      </c>
      <c r="V371" s="5" t="s">
        <v>1915</v>
      </c>
      <c r="W371" s="5" t="s">
        <v>1916</v>
      </c>
    </row>
    <row r="372" spans="1:23">
      <c r="A372" s="5" t="s">
        <v>1642</v>
      </c>
      <c r="B372" s="5" t="s">
        <v>1869</v>
      </c>
      <c r="C372" s="5" t="s">
        <v>1672</v>
      </c>
      <c r="G372" s="5" t="s">
        <v>1644</v>
      </c>
      <c r="L372" s="17">
        <v>20</v>
      </c>
      <c r="M372" s="17">
        <v>20.00035509868421</v>
      </c>
      <c r="N372" s="17">
        <v>18</v>
      </c>
      <c r="P372" s="18">
        <v>0.98</v>
      </c>
      <c r="Q372" s="18">
        <f t="shared" si="10"/>
        <v>0.98</v>
      </c>
      <c r="R372" s="18">
        <f t="shared" si="11"/>
        <v>11.200125248824696</v>
      </c>
      <c r="S372" s="5" t="s">
        <v>1617</v>
      </c>
      <c r="U372" s="5" t="s">
        <v>1655</v>
      </c>
      <c r="V372" s="5" t="s">
        <v>1918</v>
      </c>
      <c r="W372" s="5" t="s">
        <v>1919</v>
      </c>
    </row>
    <row r="373" spans="1:23">
      <c r="A373" s="5" t="s">
        <v>1642</v>
      </c>
      <c r="B373" s="5" t="s">
        <v>1869</v>
      </c>
      <c r="C373" s="5" t="s">
        <v>1672</v>
      </c>
      <c r="F373" s="5" t="s">
        <v>1930</v>
      </c>
      <c r="L373" s="17">
        <v>20</v>
      </c>
      <c r="M373" s="17">
        <v>20.00035509868421</v>
      </c>
      <c r="N373" s="17">
        <v>18</v>
      </c>
      <c r="P373" s="18">
        <v>0.96</v>
      </c>
      <c r="Q373" s="18">
        <f t="shared" si="10"/>
        <v>0.96</v>
      </c>
      <c r="R373" s="18">
        <f t="shared" si="11"/>
        <v>9.4859059624920494</v>
      </c>
      <c r="S373" s="5" t="s">
        <v>1617</v>
      </c>
      <c r="U373" s="5" t="s">
        <v>1655</v>
      </c>
      <c r="V373" s="5" t="s">
        <v>1931</v>
      </c>
      <c r="W373" s="5" t="s">
        <v>1932</v>
      </c>
    </row>
    <row r="374" spans="1:23">
      <c r="A374" s="5" t="s">
        <v>1642</v>
      </c>
      <c r="B374" s="5" t="s">
        <v>1869</v>
      </c>
      <c r="C374" s="5" t="s">
        <v>1652</v>
      </c>
      <c r="G374" s="5" t="s">
        <v>1673</v>
      </c>
      <c r="L374" s="17">
        <v>5</v>
      </c>
      <c r="M374" s="17">
        <v>10.00017754934211</v>
      </c>
      <c r="N374" s="17">
        <v>20</v>
      </c>
      <c r="P374" s="18">
        <v>0.99</v>
      </c>
      <c r="Q374" s="18">
        <f t="shared" si="10"/>
        <v>0.99</v>
      </c>
      <c r="R374" s="18">
        <f t="shared" si="11"/>
        <v>12.241710541762531</v>
      </c>
      <c r="S374" s="5" t="s">
        <v>1617</v>
      </c>
      <c r="U374" s="5" t="s">
        <v>1655</v>
      </c>
      <c r="V374" s="5" t="s">
        <v>1934</v>
      </c>
      <c r="W374" s="5" t="s">
        <v>1935</v>
      </c>
    </row>
    <row r="375" spans="1:23">
      <c r="A375" s="5" t="s">
        <v>1642</v>
      </c>
      <c r="B375" s="5" t="s">
        <v>1869</v>
      </c>
      <c r="C375" s="5" t="s">
        <v>1652</v>
      </c>
      <c r="E375" s="5" t="s">
        <v>2164</v>
      </c>
      <c r="G375" s="5" t="s">
        <v>1644</v>
      </c>
      <c r="L375" s="17">
        <v>25</v>
      </c>
      <c r="M375" s="17">
        <v>5.0665966381578951</v>
      </c>
      <c r="N375" s="17">
        <v>1</v>
      </c>
      <c r="P375" s="18">
        <v>0.97</v>
      </c>
      <c r="Q375" s="18">
        <f t="shared" si="10"/>
        <v>0.97</v>
      </c>
      <c r="R375" s="18">
        <f t="shared" si="11"/>
        <v>10.373469005310646</v>
      </c>
      <c r="S375" s="5" t="s">
        <v>1617</v>
      </c>
      <c r="U375" s="5" t="s">
        <v>1655</v>
      </c>
      <c r="V375" s="5" t="s">
        <v>1940</v>
      </c>
      <c r="W375" s="5" t="s">
        <v>1941</v>
      </c>
    </row>
    <row r="376" spans="1:23">
      <c r="A376" s="5" t="s">
        <v>1642</v>
      </c>
      <c r="B376" s="5" t="s">
        <v>1869</v>
      </c>
      <c r="C376" s="5" t="s">
        <v>1596</v>
      </c>
      <c r="G376" s="5" t="s">
        <v>1644</v>
      </c>
      <c r="M376" s="17">
        <v>3.0399499835526318</v>
      </c>
      <c r="N376" s="17">
        <v>2</v>
      </c>
      <c r="P376" s="18">
        <v>0.99</v>
      </c>
      <c r="Q376" s="18">
        <f t="shared" si="10"/>
        <v>0.99</v>
      </c>
      <c r="R376" s="18"/>
      <c r="S376" s="5" t="s">
        <v>1617</v>
      </c>
      <c r="U376" s="5" t="s">
        <v>1647</v>
      </c>
      <c r="V376" s="5" t="s">
        <v>1943</v>
      </c>
      <c r="W376" s="5" t="s">
        <v>1944</v>
      </c>
    </row>
    <row r="377" spans="1:23">
      <c r="A377" s="5" t="s">
        <v>1642</v>
      </c>
      <c r="B377" s="5" t="s">
        <v>1869</v>
      </c>
      <c r="C377" s="5" t="s">
        <v>1596</v>
      </c>
      <c r="G377" s="5" t="s">
        <v>1644</v>
      </c>
      <c r="M377" s="17">
        <v>3.0399499835526318</v>
      </c>
      <c r="N377" s="17">
        <v>2</v>
      </c>
      <c r="P377" s="18">
        <v>0.99900000000000011</v>
      </c>
      <c r="Q377" s="18">
        <f t="shared" si="10"/>
        <v>0.99900000000000011</v>
      </c>
      <c r="R377" s="18"/>
      <c r="S377" s="5" t="s">
        <v>1617</v>
      </c>
      <c r="U377" s="5" t="s">
        <v>1647</v>
      </c>
      <c r="V377" s="5" t="s">
        <v>1949</v>
      </c>
      <c r="W377" s="5" t="s">
        <v>1950</v>
      </c>
    </row>
    <row r="378" spans="1:23">
      <c r="A378" s="5" t="s">
        <v>1642</v>
      </c>
      <c r="B378" s="5" t="s">
        <v>1869</v>
      </c>
      <c r="C378" s="5" t="s">
        <v>1672</v>
      </c>
      <c r="G378" s="5" t="s">
        <v>1806</v>
      </c>
      <c r="L378" s="17">
        <v>20</v>
      </c>
      <c r="M378" s="17">
        <v>10.00017754934211</v>
      </c>
      <c r="N378" s="17">
        <v>12</v>
      </c>
      <c r="P378" s="18">
        <v>0.995</v>
      </c>
      <c r="Q378" s="18">
        <f t="shared" si="10"/>
        <v>0.995</v>
      </c>
      <c r="R378" s="18">
        <f t="shared" si="11"/>
        <v>14.597468655269227</v>
      </c>
      <c r="S378" s="5" t="s">
        <v>1617</v>
      </c>
      <c r="U378" s="5" t="s">
        <v>1655</v>
      </c>
      <c r="V378" s="5" t="s">
        <v>2165</v>
      </c>
      <c r="W378" s="5" t="s">
        <v>2166</v>
      </c>
    </row>
    <row r="379" spans="1:23">
      <c r="A379" s="5" t="s">
        <v>1642</v>
      </c>
      <c r="B379" s="5" t="s">
        <v>1865</v>
      </c>
      <c r="C379" s="5" t="s">
        <v>1652</v>
      </c>
      <c r="G379" s="5" t="s">
        <v>1673</v>
      </c>
      <c r="L379" s="17">
        <v>20</v>
      </c>
      <c r="M379" s="17">
        <v>1.0133179944078949</v>
      </c>
      <c r="N379" s="17">
        <v>0.16666700000000001</v>
      </c>
      <c r="P379" s="18">
        <v>0.59</v>
      </c>
      <c r="Q379" s="18">
        <f t="shared" si="10"/>
        <v>0.59</v>
      </c>
      <c r="R379" s="18">
        <f t="shared" si="11"/>
        <v>3.3034806852950265</v>
      </c>
      <c r="U379" s="5" t="s">
        <v>1647</v>
      </c>
      <c r="V379" s="5" t="s">
        <v>2167</v>
      </c>
      <c r="W379" s="5" t="s">
        <v>2168</v>
      </c>
    </row>
    <row r="380" spans="1:23">
      <c r="A380" s="5" t="s">
        <v>1642</v>
      </c>
      <c r="B380" s="5" t="s">
        <v>1865</v>
      </c>
      <c r="C380" s="5" t="s">
        <v>2169</v>
      </c>
      <c r="G380" s="5" t="s">
        <v>1673</v>
      </c>
      <c r="L380" s="17">
        <v>20</v>
      </c>
      <c r="M380" s="17">
        <v>1.0133179944078949</v>
      </c>
      <c r="N380" s="17">
        <v>0.16666700000000001</v>
      </c>
      <c r="P380" s="18">
        <v>0.73</v>
      </c>
      <c r="Q380" s="18">
        <f t="shared" si="10"/>
        <v>0.73</v>
      </c>
      <c r="R380" s="18">
        <f t="shared" si="11"/>
        <v>4.5273521217382342</v>
      </c>
      <c r="U380" s="5" t="s">
        <v>1647</v>
      </c>
      <c r="V380" s="5" t="s">
        <v>2167</v>
      </c>
      <c r="W380" s="5" t="s">
        <v>2168</v>
      </c>
    </row>
    <row r="381" spans="1:23">
      <c r="A381" s="5" t="s">
        <v>1642</v>
      </c>
      <c r="B381" s="5" t="s">
        <v>1865</v>
      </c>
      <c r="C381" s="5" t="s">
        <v>1652</v>
      </c>
      <c r="G381" s="5" t="s">
        <v>1673</v>
      </c>
      <c r="L381" s="17">
        <v>20</v>
      </c>
      <c r="M381" s="17">
        <v>1.0133179944078949</v>
      </c>
      <c r="N381" s="17">
        <v>8.3333299999999999E-2</v>
      </c>
      <c r="P381" s="18">
        <v>0.73</v>
      </c>
      <c r="Q381" s="18">
        <f t="shared" si="10"/>
        <v>0.73</v>
      </c>
      <c r="R381" s="18">
        <f t="shared" si="11"/>
        <v>4.5273521217382342</v>
      </c>
      <c r="U381" s="5" t="s">
        <v>1647</v>
      </c>
      <c r="V381" s="5" t="s">
        <v>2167</v>
      </c>
      <c r="W381" s="5" t="s">
        <v>2168</v>
      </c>
    </row>
    <row r="382" spans="1:23">
      <c r="A382" s="5" t="s">
        <v>1642</v>
      </c>
      <c r="B382" s="5" t="s">
        <v>1865</v>
      </c>
      <c r="C382" s="5" t="s">
        <v>1652</v>
      </c>
      <c r="D382" s="5" t="s">
        <v>2170</v>
      </c>
      <c r="G382" s="5" t="s">
        <v>1673</v>
      </c>
      <c r="L382" s="17">
        <v>20</v>
      </c>
      <c r="M382" s="17">
        <v>1.0133179944078949</v>
      </c>
      <c r="N382" s="17">
        <v>8.3333299999999999E-2</v>
      </c>
      <c r="P382" s="18">
        <v>0.75</v>
      </c>
      <c r="Q382" s="18">
        <f t="shared" si="10"/>
        <v>0.75</v>
      </c>
      <c r="R382" s="18">
        <f t="shared" si="11"/>
        <v>4.7429529812460265</v>
      </c>
      <c r="U382" s="5" t="s">
        <v>1647</v>
      </c>
      <c r="V382" s="5" t="s">
        <v>2167</v>
      </c>
      <c r="W382" s="5" t="s">
        <v>2168</v>
      </c>
    </row>
    <row r="383" spans="1:23">
      <c r="A383" s="5" t="s">
        <v>1642</v>
      </c>
      <c r="B383" s="5" t="s">
        <v>1865</v>
      </c>
      <c r="C383" s="5" t="s">
        <v>1652</v>
      </c>
      <c r="G383" s="5" t="s">
        <v>1673</v>
      </c>
      <c r="L383" s="17">
        <v>20</v>
      </c>
      <c r="M383" s="17">
        <v>1.0133179944078949</v>
      </c>
      <c r="N383" s="17">
        <v>8.3333299999999999E-2</v>
      </c>
      <c r="P383" s="18">
        <v>0.72</v>
      </c>
      <c r="Q383" s="18">
        <f t="shared" si="10"/>
        <v>0.72</v>
      </c>
      <c r="R383" s="18">
        <f t="shared" si="11"/>
        <v>4.4245799135549628</v>
      </c>
      <c r="U383" s="5" t="s">
        <v>1647</v>
      </c>
      <c r="V383" s="5" t="s">
        <v>2167</v>
      </c>
      <c r="W383" s="5" t="s">
        <v>2168</v>
      </c>
    </row>
    <row r="384" spans="1:23">
      <c r="A384" s="5" t="s">
        <v>1642</v>
      </c>
      <c r="B384" s="5" t="s">
        <v>1865</v>
      </c>
      <c r="C384" s="5" t="s">
        <v>1652</v>
      </c>
      <c r="D384" s="5" t="s">
        <v>2170</v>
      </c>
      <c r="G384" s="5" t="s">
        <v>1673</v>
      </c>
      <c r="L384" s="17">
        <v>20</v>
      </c>
      <c r="M384" s="17">
        <v>1.0133179944078949</v>
      </c>
      <c r="N384" s="17">
        <v>8.3333299999999999E-2</v>
      </c>
      <c r="P384" s="18">
        <v>0.8</v>
      </c>
      <c r="Q384" s="18">
        <f t="shared" si="10"/>
        <v>0.8</v>
      </c>
      <c r="R384" s="18">
        <f t="shared" si="11"/>
        <v>5.3555056818030051</v>
      </c>
      <c r="S384" s="5" t="s">
        <v>1597</v>
      </c>
      <c r="U384" s="5" t="s">
        <v>1647</v>
      </c>
      <c r="V384" s="5" t="s">
        <v>2167</v>
      </c>
      <c r="W384" s="5" t="s">
        <v>2168</v>
      </c>
    </row>
    <row r="385" spans="1:23">
      <c r="A385" s="5" t="s">
        <v>1642</v>
      </c>
      <c r="B385" s="5" t="s">
        <v>1869</v>
      </c>
      <c r="C385" s="5" t="s">
        <v>1652</v>
      </c>
      <c r="G385" s="5" t="s">
        <v>1673</v>
      </c>
      <c r="L385" s="17">
        <v>20</v>
      </c>
      <c r="M385" s="17">
        <v>1.3000237480263159</v>
      </c>
      <c r="N385" s="17">
        <v>20</v>
      </c>
      <c r="P385" s="18">
        <v>0.58799999999999997</v>
      </c>
      <c r="Q385" s="18">
        <f t="shared" si="10"/>
        <v>0.58799999999999997</v>
      </c>
      <c r="R385" s="18">
        <f t="shared" si="11"/>
        <v>3.2885520193145039</v>
      </c>
      <c r="U385" s="5" t="s">
        <v>1647</v>
      </c>
      <c r="V385" s="5" t="s">
        <v>2171</v>
      </c>
      <c r="W385" s="5" t="s">
        <v>2172</v>
      </c>
    </row>
    <row r="386" spans="1:23">
      <c r="A386" s="5" t="s">
        <v>1642</v>
      </c>
      <c r="B386" s="5" t="s">
        <v>1869</v>
      </c>
      <c r="C386" s="5" t="s">
        <v>1652</v>
      </c>
      <c r="G386" s="5" t="s">
        <v>1673</v>
      </c>
      <c r="L386" s="17">
        <v>20</v>
      </c>
      <c r="M386" s="17">
        <v>1.3000237480263159</v>
      </c>
      <c r="N386" s="17">
        <v>20</v>
      </c>
      <c r="P386" s="18">
        <v>0.63600000000000001</v>
      </c>
      <c r="Q386" s="18">
        <f t="shared" ref="Q386:Q449" si="12">ABS(P386)</f>
        <v>0.63600000000000001</v>
      </c>
      <c r="R386" s="18">
        <f t="shared" si="11"/>
        <v>3.6630538603038709</v>
      </c>
      <c r="U386" s="5" t="s">
        <v>1647</v>
      </c>
      <c r="V386" s="5" t="s">
        <v>2171</v>
      </c>
      <c r="W386" s="5" t="s">
        <v>2172</v>
      </c>
    </row>
    <row r="387" spans="1:23">
      <c r="A387" s="5" t="s">
        <v>1642</v>
      </c>
      <c r="B387" s="5" t="s">
        <v>1869</v>
      </c>
      <c r="C387" s="5" t="s">
        <v>1652</v>
      </c>
      <c r="G387" s="5" t="s">
        <v>1673</v>
      </c>
      <c r="L387" s="17">
        <v>20</v>
      </c>
      <c r="M387" s="17">
        <v>1.0133179944078949</v>
      </c>
      <c r="N387" s="17">
        <v>0.16666700000000001</v>
      </c>
      <c r="P387" s="18">
        <v>0.59</v>
      </c>
      <c r="Q387" s="18">
        <f t="shared" si="12"/>
        <v>0.59</v>
      </c>
      <c r="R387" s="18">
        <f t="shared" ref="R387:R450" si="13">8.3145*(L387+273.15)*LN((Q387+1)/(1-Q387))*0.001</f>
        <v>3.3034806852950265</v>
      </c>
      <c r="U387" s="5" t="s">
        <v>1647</v>
      </c>
      <c r="V387" s="5" t="s">
        <v>2173</v>
      </c>
      <c r="W387" s="5" t="s">
        <v>2174</v>
      </c>
    </row>
    <row r="388" spans="1:23">
      <c r="A388" s="5" t="s">
        <v>1642</v>
      </c>
      <c r="B388" s="5" t="s">
        <v>1869</v>
      </c>
      <c r="C388" s="5" t="s">
        <v>2169</v>
      </c>
      <c r="G388" s="5" t="s">
        <v>1673</v>
      </c>
      <c r="L388" s="17">
        <v>20</v>
      </c>
      <c r="M388" s="17">
        <v>1.0133179944078949</v>
      </c>
      <c r="N388" s="17">
        <v>0.16666700000000001</v>
      </c>
      <c r="P388" s="18">
        <v>0.73</v>
      </c>
      <c r="Q388" s="18">
        <f t="shared" si="12"/>
        <v>0.73</v>
      </c>
      <c r="R388" s="18">
        <f t="shared" si="13"/>
        <v>4.5273521217382342</v>
      </c>
      <c r="U388" s="5" t="s">
        <v>1647</v>
      </c>
      <c r="V388" s="5" t="s">
        <v>2173</v>
      </c>
      <c r="W388" s="5" t="s">
        <v>2174</v>
      </c>
    </row>
    <row r="389" spans="1:23">
      <c r="A389" s="5" t="s">
        <v>1642</v>
      </c>
      <c r="B389" s="5" t="s">
        <v>1869</v>
      </c>
      <c r="C389" s="5" t="s">
        <v>1652</v>
      </c>
      <c r="D389" s="5" t="s">
        <v>2170</v>
      </c>
      <c r="G389" s="5" t="s">
        <v>1673</v>
      </c>
      <c r="L389" s="17">
        <v>20</v>
      </c>
      <c r="M389" s="17">
        <v>1.0133179944078949</v>
      </c>
      <c r="N389" s="17">
        <v>8.3333299999999999E-2</v>
      </c>
      <c r="P389" s="18">
        <v>0.8</v>
      </c>
      <c r="Q389" s="18">
        <f t="shared" si="12"/>
        <v>0.8</v>
      </c>
      <c r="R389" s="18">
        <f t="shared" si="13"/>
        <v>5.3555056818030051</v>
      </c>
      <c r="U389" s="5" t="s">
        <v>1647</v>
      </c>
      <c r="V389" s="5" t="s">
        <v>2173</v>
      </c>
      <c r="W389" s="5" t="s">
        <v>2174</v>
      </c>
    </row>
    <row r="390" spans="1:23">
      <c r="A390" s="5" t="s">
        <v>1642</v>
      </c>
      <c r="B390" s="5" t="s">
        <v>1869</v>
      </c>
      <c r="C390" s="5" t="s">
        <v>1652</v>
      </c>
      <c r="G390" s="5" t="s">
        <v>1673</v>
      </c>
      <c r="L390" s="17">
        <v>20</v>
      </c>
      <c r="M390" s="17">
        <v>1.0133179944078949</v>
      </c>
      <c r="N390" s="17">
        <v>8.3333299999999999E-2</v>
      </c>
      <c r="P390" s="18">
        <v>0.73</v>
      </c>
      <c r="Q390" s="18">
        <f t="shared" si="12"/>
        <v>0.73</v>
      </c>
      <c r="R390" s="18">
        <f t="shared" si="13"/>
        <v>4.5273521217382342</v>
      </c>
      <c r="U390" s="5" t="s">
        <v>1647</v>
      </c>
      <c r="V390" s="5" t="s">
        <v>2173</v>
      </c>
      <c r="W390" s="5" t="s">
        <v>2174</v>
      </c>
    </row>
    <row r="391" spans="1:23">
      <c r="A391" s="5" t="s">
        <v>1642</v>
      </c>
      <c r="B391" s="5" t="s">
        <v>1869</v>
      </c>
      <c r="C391" s="5" t="s">
        <v>1652</v>
      </c>
      <c r="D391" s="5" t="s">
        <v>2170</v>
      </c>
      <c r="G391" s="5" t="s">
        <v>1673</v>
      </c>
      <c r="L391" s="17">
        <v>20</v>
      </c>
      <c r="M391" s="17">
        <v>1.0133179944078949</v>
      </c>
      <c r="N391" s="17">
        <v>8.3333299999999999E-2</v>
      </c>
      <c r="P391" s="18">
        <v>0.75</v>
      </c>
      <c r="Q391" s="18">
        <f t="shared" si="12"/>
        <v>0.75</v>
      </c>
      <c r="R391" s="18">
        <f t="shared" si="13"/>
        <v>4.7429529812460265</v>
      </c>
      <c r="U391" s="5" t="s">
        <v>1647</v>
      </c>
      <c r="V391" s="5" t="s">
        <v>2173</v>
      </c>
      <c r="W391" s="5" t="s">
        <v>2174</v>
      </c>
    </row>
    <row r="392" spans="1:23">
      <c r="A392" s="5" t="s">
        <v>1642</v>
      </c>
      <c r="B392" s="5" t="s">
        <v>1869</v>
      </c>
      <c r="C392" s="5" t="s">
        <v>1652</v>
      </c>
      <c r="G392" s="5" t="s">
        <v>1673</v>
      </c>
      <c r="L392" s="17">
        <v>20</v>
      </c>
      <c r="M392" s="17">
        <v>1.0133179944078949</v>
      </c>
      <c r="N392" s="17">
        <v>8.3333299999999999E-2</v>
      </c>
      <c r="P392" s="18">
        <v>0.72</v>
      </c>
      <c r="Q392" s="18">
        <f t="shared" si="12"/>
        <v>0.72</v>
      </c>
      <c r="R392" s="18">
        <f t="shared" si="13"/>
        <v>4.4245799135549628</v>
      </c>
      <c r="U392" s="5" t="s">
        <v>1647</v>
      </c>
      <c r="V392" s="5" t="s">
        <v>2173</v>
      </c>
      <c r="W392" s="5" t="s">
        <v>2174</v>
      </c>
    </row>
    <row r="393" spans="1:23">
      <c r="A393" s="5" t="s">
        <v>1642</v>
      </c>
      <c r="B393" s="5" t="s">
        <v>1869</v>
      </c>
      <c r="C393" s="5" t="s">
        <v>1596</v>
      </c>
      <c r="F393" s="5" t="s">
        <v>2175</v>
      </c>
      <c r="M393" s="17">
        <v>1.0000177549342111</v>
      </c>
      <c r="N393" s="17">
        <v>1</v>
      </c>
      <c r="P393" s="18">
        <v>0.52</v>
      </c>
      <c r="Q393" s="18">
        <f t="shared" si="12"/>
        <v>0.52</v>
      </c>
      <c r="R393" s="18"/>
      <c r="U393" s="5" t="s">
        <v>1655</v>
      </c>
      <c r="V393" s="5" t="s">
        <v>2176</v>
      </c>
      <c r="W393" s="5" t="s">
        <v>2177</v>
      </c>
    </row>
    <row r="394" spans="1:23">
      <c r="A394" s="5" t="s">
        <v>1642</v>
      </c>
      <c r="B394" s="5" t="s">
        <v>1869</v>
      </c>
      <c r="C394" s="5" t="s">
        <v>1739</v>
      </c>
      <c r="G394" s="5" t="s">
        <v>2133</v>
      </c>
      <c r="L394" s="17">
        <v>20</v>
      </c>
      <c r="M394" s="17">
        <v>1.0133179944078949</v>
      </c>
      <c r="N394" s="17">
        <v>16.7</v>
      </c>
      <c r="P394" s="18">
        <v>0.40399999999999997</v>
      </c>
      <c r="Q394" s="18">
        <f t="shared" si="12"/>
        <v>0.40399999999999997</v>
      </c>
      <c r="R394" s="18">
        <f t="shared" si="13"/>
        <v>2.0884579091315953</v>
      </c>
      <c r="U394" s="5" t="s">
        <v>1655</v>
      </c>
      <c r="V394" s="5" t="s">
        <v>2178</v>
      </c>
      <c r="W394" s="5" t="s">
        <v>2179</v>
      </c>
    </row>
    <row r="395" spans="1:23">
      <c r="A395" s="5" t="s">
        <v>1642</v>
      </c>
      <c r="B395" s="5" t="s">
        <v>1869</v>
      </c>
      <c r="C395" s="5" t="s">
        <v>1596</v>
      </c>
      <c r="G395" s="5" t="s">
        <v>2180</v>
      </c>
      <c r="M395" s="17">
        <v>0</v>
      </c>
      <c r="N395" s="17">
        <v>1</v>
      </c>
      <c r="P395" s="18">
        <v>0.09</v>
      </c>
      <c r="Q395" s="18">
        <f t="shared" si="12"/>
        <v>0.09</v>
      </c>
      <c r="R395" s="18"/>
      <c r="U395" s="5" t="s">
        <v>1655</v>
      </c>
      <c r="V395" s="5" t="s">
        <v>2181</v>
      </c>
      <c r="W395" s="5" t="s">
        <v>2182</v>
      </c>
    </row>
    <row r="396" spans="1:23">
      <c r="A396" s="5" t="s">
        <v>1642</v>
      </c>
      <c r="B396" s="5" t="s">
        <v>1869</v>
      </c>
      <c r="C396" s="5" t="s">
        <v>1596</v>
      </c>
      <c r="G396" s="5" t="s">
        <v>2180</v>
      </c>
      <c r="M396" s="17">
        <v>0</v>
      </c>
      <c r="N396" s="17">
        <v>1</v>
      </c>
      <c r="P396" s="18">
        <v>0.4</v>
      </c>
      <c r="Q396" s="18">
        <f t="shared" si="12"/>
        <v>0.4</v>
      </c>
      <c r="R396" s="18"/>
      <c r="U396" s="5" t="s">
        <v>1655</v>
      </c>
      <c r="V396" s="5" t="s">
        <v>2181</v>
      </c>
      <c r="W396" s="5" t="s">
        <v>2182</v>
      </c>
    </row>
    <row r="397" spans="1:23">
      <c r="A397" s="5" t="s">
        <v>1642</v>
      </c>
      <c r="B397" s="5" t="s">
        <v>1869</v>
      </c>
      <c r="C397" s="5" t="s">
        <v>1672</v>
      </c>
      <c r="G397" s="5" t="s">
        <v>1673</v>
      </c>
      <c r="L397" s="17">
        <v>25</v>
      </c>
      <c r="M397" s="17">
        <v>1.2000213059210529</v>
      </c>
      <c r="N397" s="17">
        <v>16</v>
      </c>
      <c r="P397" s="18">
        <v>0.68</v>
      </c>
      <c r="Q397" s="18">
        <f t="shared" si="12"/>
        <v>0.68</v>
      </c>
      <c r="R397" s="18">
        <f t="shared" si="13"/>
        <v>4.1106946287916193</v>
      </c>
      <c r="U397" s="5" t="s">
        <v>1655</v>
      </c>
      <c r="V397" s="5" t="s">
        <v>2183</v>
      </c>
      <c r="W397" s="5" t="s">
        <v>2184</v>
      </c>
    </row>
    <row r="398" spans="1:23">
      <c r="A398" s="5" t="s">
        <v>1642</v>
      </c>
      <c r="B398" s="5" t="s">
        <v>1869</v>
      </c>
      <c r="C398" s="5" t="s">
        <v>1672</v>
      </c>
      <c r="G398" s="5" t="s">
        <v>1673</v>
      </c>
      <c r="L398" s="17">
        <v>25</v>
      </c>
      <c r="M398" s="17">
        <v>1.2000213059210529</v>
      </c>
      <c r="N398" s="17">
        <v>16</v>
      </c>
      <c r="P398" s="18">
        <v>0.78</v>
      </c>
      <c r="Q398" s="18">
        <f t="shared" si="12"/>
        <v>0.78</v>
      </c>
      <c r="R398" s="18">
        <f t="shared" si="13"/>
        <v>5.182880641463405</v>
      </c>
      <c r="U398" s="5" t="s">
        <v>1655</v>
      </c>
      <c r="V398" s="5" t="s">
        <v>2183</v>
      </c>
      <c r="W398" s="5" t="s">
        <v>2184</v>
      </c>
    </row>
    <row r="399" spans="1:23">
      <c r="A399" s="5" t="s">
        <v>1642</v>
      </c>
      <c r="B399" s="5" t="s">
        <v>1869</v>
      </c>
      <c r="C399" s="5" t="s">
        <v>1672</v>
      </c>
      <c r="G399" s="5" t="s">
        <v>1673</v>
      </c>
      <c r="L399" s="17">
        <v>25</v>
      </c>
      <c r="M399" s="17">
        <v>1.2000213059210529</v>
      </c>
      <c r="N399" s="17">
        <v>16</v>
      </c>
      <c r="P399" s="18">
        <v>0.32</v>
      </c>
      <c r="Q399" s="18">
        <f t="shared" si="12"/>
        <v>0.32</v>
      </c>
      <c r="R399" s="18">
        <f t="shared" si="13"/>
        <v>1.6442852556215759</v>
      </c>
      <c r="U399" s="5" t="s">
        <v>1655</v>
      </c>
      <c r="V399" s="5" t="s">
        <v>1915</v>
      </c>
      <c r="W399" s="5" t="s">
        <v>1916</v>
      </c>
    </row>
    <row r="400" spans="1:23">
      <c r="A400" s="5" t="s">
        <v>1642</v>
      </c>
      <c r="B400" s="5" t="s">
        <v>1869</v>
      </c>
      <c r="C400" s="5" t="s">
        <v>1672</v>
      </c>
      <c r="G400" s="5" t="s">
        <v>1673</v>
      </c>
      <c r="L400" s="17">
        <v>25</v>
      </c>
      <c r="M400" s="17">
        <v>1.2000213059210529</v>
      </c>
      <c r="N400" s="17">
        <v>16</v>
      </c>
      <c r="P400" s="18">
        <v>0.4</v>
      </c>
      <c r="Q400" s="18">
        <f t="shared" si="12"/>
        <v>0.4</v>
      </c>
      <c r="R400" s="18">
        <f t="shared" si="13"/>
        <v>2.1004244306454711</v>
      </c>
      <c r="U400" s="5" t="s">
        <v>1655</v>
      </c>
      <c r="V400" s="5" t="s">
        <v>1915</v>
      </c>
      <c r="W400" s="5" t="s">
        <v>1916</v>
      </c>
    </row>
    <row r="401" spans="1:23">
      <c r="A401" s="5" t="s">
        <v>1642</v>
      </c>
      <c r="B401" s="5" t="s">
        <v>1869</v>
      </c>
      <c r="C401" s="5" t="s">
        <v>1672</v>
      </c>
      <c r="G401" s="5" t="s">
        <v>1644</v>
      </c>
      <c r="L401" s="17">
        <v>20</v>
      </c>
      <c r="M401" s="17">
        <v>20.00035509868421</v>
      </c>
      <c r="N401" s="17">
        <v>18</v>
      </c>
      <c r="P401" s="18">
        <v>0.16</v>
      </c>
      <c r="Q401" s="18">
        <f t="shared" si="12"/>
        <v>0.16</v>
      </c>
      <c r="R401" s="18">
        <f t="shared" si="13"/>
        <v>0.78672647030703913</v>
      </c>
      <c r="U401" s="5" t="s">
        <v>1655</v>
      </c>
      <c r="V401" s="5" t="s">
        <v>1918</v>
      </c>
      <c r="W401" s="5" t="s">
        <v>1919</v>
      </c>
    </row>
    <row r="402" spans="1:23">
      <c r="A402" s="5" t="s">
        <v>1642</v>
      </c>
      <c r="B402" s="5" t="s">
        <v>1869</v>
      </c>
      <c r="C402" s="5" t="s">
        <v>1596</v>
      </c>
      <c r="F402" s="5" t="s">
        <v>2185</v>
      </c>
      <c r="L402" s="17">
        <v>20</v>
      </c>
      <c r="M402" s="17">
        <v>10.13317994407895</v>
      </c>
      <c r="N402" s="17">
        <v>16</v>
      </c>
      <c r="P402" s="18">
        <v>0.19</v>
      </c>
      <c r="Q402" s="18">
        <f t="shared" si="12"/>
        <v>0.19</v>
      </c>
      <c r="R402" s="18">
        <f t="shared" si="13"/>
        <v>0.93760356879492568</v>
      </c>
      <c r="U402" s="5" t="s">
        <v>1655</v>
      </c>
      <c r="V402" s="5" t="s">
        <v>1924</v>
      </c>
      <c r="W402" s="5" t="s">
        <v>1925</v>
      </c>
    </row>
    <row r="403" spans="1:23">
      <c r="A403" s="5" t="s">
        <v>1642</v>
      </c>
      <c r="B403" s="5" t="s">
        <v>1869</v>
      </c>
      <c r="C403" s="5" t="s">
        <v>1596</v>
      </c>
      <c r="F403" s="5" t="s">
        <v>2186</v>
      </c>
      <c r="L403" s="17">
        <v>20</v>
      </c>
      <c r="M403" s="17">
        <v>10.13317994407895</v>
      </c>
      <c r="N403" s="17">
        <v>16</v>
      </c>
      <c r="P403" s="18">
        <v>0.22</v>
      </c>
      <c r="Q403" s="18">
        <f t="shared" si="12"/>
        <v>0.22</v>
      </c>
      <c r="R403" s="18">
        <f t="shared" si="13"/>
        <v>1.0902768656342858</v>
      </c>
      <c r="U403" s="5" t="s">
        <v>1655</v>
      </c>
      <c r="V403" s="5" t="s">
        <v>1924</v>
      </c>
      <c r="W403" s="5" t="s">
        <v>1925</v>
      </c>
    </row>
    <row r="404" spans="1:23">
      <c r="A404" s="5" t="s">
        <v>1642</v>
      </c>
      <c r="B404" s="5" t="s">
        <v>1869</v>
      </c>
      <c r="C404" s="5" t="s">
        <v>1652</v>
      </c>
      <c r="G404" s="5" t="s">
        <v>1806</v>
      </c>
      <c r="L404" s="17">
        <v>25</v>
      </c>
      <c r="M404" s="17">
        <v>5.0665966381578951</v>
      </c>
      <c r="N404" s="17">
        <v>3</v>
      </c>
      <c r="P404" s="18">
        <v>4.2999999999999997E-2</v>
      </c>
      <c r="Q404" s="18">
        <f t="shared" si="12"/>
        <v>4.2999999999999997E-2</v>
      </c>
      <c r="R404" s="18">
        <f t="shared" si="13"/>
        <v>0.21332280589629374</v>
      </c>
      <c r="U404" s="5" t="s">
        <v>1647</v>
      </c>
      <c r="V404" s="5" t="s">
        <v>2098</v>
      </c>
      <c r="W404" s="5" t="s">
        <v>2099</v>
      </c>
    </row>
    <row r="405" spans="1:23">
      <c r="A405" s="5" t="s">
        <v>1642</v>
      </c>
      <c r="B405" s="5" t="s">
        <v>1869</v>
      </c>
      <c r="C405" s="5" t="s">
        <v>1652</v>
      </c>
      <c r="G405" s="5" t="s">
        <v>1806</v>
      </c>
      <c r="L405" s="17">
        <v>25</v>
      </c>
      <c r="M405" s="17">
        <v>5.0665966381578951</v>
      </c>
      <c r="N405" s="17">
        <v>3</v>
      </c>
      <c r="P405" s="18">
        <v>0.8640000000000001</v>
      </c>
      <c r="Q405" s="18">
        <f t="shared" si="12"/>
        <v>0.8640000000000001</v>
      </c>
      <c r="R405" s="18">
        <f t="shared" si="13"/>
        <v>6.4895051341899048</v>
      </c>
      <c r="U405" s="5" t="s">
        <v>1647</v>
      </c>
      <c r="V405" s="5" t="s">
        <v>2098</v>
      </c>
      <c r="W405" s="5" t="s">
        <v>2099</v>
      </c>
    </row>
    <row r="406" spans="1:23">
      <c r="A406" s="5" t="s">
        <v>1642</v>
      </c>
      <c r="B406" s="5" t="s">
        <v>1869</v>
      </c>
      <c r="C406" s="5" t="s">
        <v>1884</v>
      </c>
      <c r="E406" s="5" t="s">
        <v>2187</v>
      </c>
      <c r="G406" s="5" t="s">
        <v>1673</v>
      </c>
      <c r="L406" s="17">
        <v>30</v>
      </c>
      <c r="M406" s="17">
        <v>1.3000237480263159</v>
      </c>
      <c r="N406" s="17">
        <v>12</v>
      </c>
      <c r="P406" s="18">
        <v>0.12</v>
      </c>
      <c r="Q406" s="18">
        <f t="shared" si="12"/>
        <v>0.12</v>
      </c>
      <c r="R406" s="18">
        <f t="shared" si="13"/>
        <v>0.60785877347362782</v>
      </c>
      <c r="U406" s="5" t="s">
        <v>1655</v>
      </c>
      <c r="V406" s="5" t="s">
        <v>2188</v>
      </c>
      <c r="W406" s="5" t="s">
        <v>2189</v>
      </c>
    </row>
    <row r="407" spans="1:23">
      <c r="A407" s="5" t="s">
        <v>1642</v>
      </c>
      <c r="B407" s="5" t="s">
        <v>1869</v>
      </c>
      <c r="C407" s="5" t="s">
        <v>1884</v>
      </c>
      <c r="G407" s="5" t="s">
        <v>1673</v>
      </c>
      <c r="L407" s="17">
        <v>30</v>
      </c>
      <c r="M407" s="17">
        <v>1.3000237480263159</v>
      </c>
      <c r="N407" s="17">
        <v>12</v>
      </c>
      <c r="P407" s="18">
        <v>0.05</v>
      </c>
      <c r="Q407" s="18">
        <f t="shared" si="12"/>
        <v>0.05</v>
      </c>
      <c r="R407" s="18">
        <f t="shared" si="13"/>
        <v>0.25226442818755157</v>
      </c>
      <c r="U407" s="5" t="s">
        <v>1655</v>
      </c>
      <c r="V407" s="5" t="s">
        <v>2188</v>
      </c>
      <c r="W407" s="5" t="s">
        <v>2189</v>
      </c>
    </row>
    <row r="408" spans="1:23">
      <c r="A408" s="5" t="s">
        <v>1642</v>
      </c>
      <c r="B408" s="5" t="s">
        <v>1869</v>
      </c>
      <c r="C408" s="5" t="s">
        <v>1652</v>
      </c>
      <c r="G408" s="5" t="s">
        <v>1673</v>
      </c>
      <c r="L408" s="17">
        <v>50</v>
      </c>
      <c r="M408" s="17">
        <v>55.732483026315791</v>
      </c>
      <c r="N408" s="17">
        <v>2</v>
      </c>
      <c r="P408" s="18">
        <v>0.82</v>
      </c>
      <c r="Q408" s="18">
        <f t="shared" si="12"/>
        <v>0.82</v>
      </c>
      <c r="R408" s="18">
        <f t="shared" si="13"/>
        <v>6.2163452984739695</v>
      </c>
      <c r="U408" s="5" t="s">
        <v>1655</v>
      </c>
      <c r="V408" s="5" t="s">
        <v>2190</v>
      </c>
      <c r="W408" s="5" t="s">
        <v>2191</v>
      </c>
    </row>
    <row r="409" spans="1:23">
      <c r="A409" s="5" t="s">
        <v>1642</v>
      </c>
      <c r="B409" s="5" t="s">
        <v>1869</v>
      </c>
      <c r="C409" s="5" t="s">
        <v>1652</v>
      </c>
      <c r="G409" s="5" t="s">
        <v>1673</v>
      </c>
      <c r="L409" s="17">
        <v>23</v>
      </c>
      <c r="M409" s="17">
        <v>10.00017754934211</v>
      </c>
      <c r="N409" s="17">
        <v>20</v>
      </c>
      <c r="P409" s="18">
        <v>0.89</v>
      </c>
      <c r="Q409" s="18">
        <f t="shared" si="12"/>
        <v>0.89</v>
      </c>
      <c r="R409" s="18">
        <f t="shared" si="13"/>
        <v>7.0025275528619328</v>
      </c>
      <c r="U409" s="5" t="s">
        <v>1655</v>
      </c>
      <c r="V409" s="5" t="s">
        <v>1934</v>
      </c>
      <c r="W409" s="5" t="s">
        <v>1935</v>
      </c>
    </row>
    <row r="410" spans="1:23">
      <c r="A410" s="5" t="s">
        <v>1642</v>
      </c>
      <c r="B410" s="5" t="s">
        <v>1869</v>
      </c>
      <c r="C410" s="5" t="s">
        <v>1652</v>
      </c>
      <c r="G410" s="5" t="s">
        <v>1673</v>
      </c>
      <c r="L410" s="17">
        <v>23</v>
      </c>
      <c r="M410" s="17">
        <v>10.00017754934211</v>
      </c>
      <c r="N410" s="17">
        <v>20</v>
      </c>
      <c r="P410" s="18">
        <v>0.7</v>
      </c>
      <c r="Q410" s="18">
        <f t="shared" si="12"/>
        <v>0.7</v>
      </c>
      <c r="R410" s="18">
        <f t="shared" si="13"/>
        <v>4.2711761316784793</v>
      </c>
      <c r="U410" s="5" t="s">
        <v>1655</v>
      </c>
      <c r="V410" s="5" t="s">
        <v>1934</v>
      </c>
      <c r="W410" s="5" t="s">
        <v>1935</v>
      </c>
    </row>
    <row r="411" spans="1:23">
      <c r="A411" s="5" t="s">
        <v>1642</v>
      </c>
      <c r="B411" s="5" t="s">
        <v>1869</v>
      </c>
      <c r="C411" s="5" t="s">
        <v>1724</v>
      </c>
      <c r="D411" s="5" t="s">
        <v>1781</v>
      </c>
      <c r="G411" s="5" t="s">
        <v>1673</v>
      </c>
      <c r="L411" s="17">
        <v>25</v>
      </c>
      <c r="M411" s="17">
        <v>95.001653388157905</v>
      </c>
      <c r="N411" s="17">
        <v>24</v>
      </c>
      <c r="P411" s="18">
        <v>0.89</v>
      </c>
      <c r="Q411" s="18">
        <f t="shared" si="12"/>
        <v>0.89</v>
      </c>
      <c r="R411" s="18">
        <f t="shared" si="13"/>
        <v>7.0498179634839957</v>
      </c>
      <c r="U411" s="5" t="s">
        <v>1655</v>
      </c>
      <c r="V411" s="5" t="s">
        <v>2192</v>
      </c>
      <c r="W411" s="5" t="s">
        <v>2193</v>
      </c>
    </row>
    <row r="412" spans="1:23">
      <c r="A412" s="5" t="s">
        <v>1642</v>
      </c>
      <c r="B412" s="5" t="s">
        <v>1869</v>
      </c>
      <c r="F412" s="5" t="s">
        <v>2194</v>
      </c>
      <c r="L412" s="17">
        <v>20</v>
      </c>
      <c r="M412" s="17">
        <v>0</v>
      </c>
      <c r="P412" s="18">
        <v>0.89</v>
      </c>
      <c r="Q412" s="18">
        <f t="shared" si="12"/>
        <v>0.89</v>
      </c>
      <c r="R412" s="18">
        <f t="shared" si="13"/>
        <v>6.9315919369288395</v>
      </c>
      <c r="U412" s="5" t="s">
        <v>1655</v>
      </c>
      <c r="V412" s="5" t="s">
        <v>2195</v>
      </c>
      <c r="W412" s="5" t="s">
        <v>2196</v>
      </c>
    </row>
    <row r="413" spans="1:23">
      <c r="A413" s="5" t="s">
        <v>1642</v>
      </c>
      <c r="B413" s="5" t="s">
        <v>1869</v>
      </c>
      <c r="F413" s="5" t="s">
        <v>2197</v>
      </c>
      <c r="L413" s="17">
        <v>20</v>
      </c>
      <c r="M413" s="17">
        <v>0</v>
      </c>
      <c r="P413" s="18">
        <v>0.152</v>
      </c>
      <c r="Q413" s="18">
        <f t="shared" si="12"/>
        <v>0.152</v>
      </c>
      <c r="R413" s="18">
        <f t="shared" si="13"/>
        <v>0.74675516332935277</v>
      </c>
      <c r="U413" s="5" t="s">
        <v>1655</v>
      </c>
      <c r="V413" s="5" t="s">
        <v>2195</v>
      </c>
      <c r="W413" s="5" t="s">
        <v>2196</v>
      </c>
    </row>
    <row r="414" spans="1:23">
      <c r="A414" s="5" t="s">
        <v>1642</v>
      </c>
      <c r="B414" s="5" t="s">
        <v>1869</v>
      </c>
      <c r="C414" s="5" t="s">
        <v>1596</v>
      </c>
      <c r="G414" s="5" t="s">
        <v>1673</v>
      </c>
      <c r="L414" s="17">
        <v>0</v>
      </c>
      <c r="M414" s="17">
        <v>10.13317994407895</v>
      </c>
      <c r="N414" s="17">
        <v>48</v>
      </c>
      <c r="P414" s="18">
        <v>0.87</v>
      </c>
      <c r="Q414" s="18">
        <f t="shared" si="12"/>
        <v>0.87</v>
      </c>
      <c r="R414" s="18">
        <f t="shared" si="13"/>
        <v>6.0551294244613532</v>
      </c>
      <c r="U414" s="5" t="s">
        <v>1655</v>
      </c>
      <c r="V414" s="5" t="s">
        <v>2198</v>
      </c>
      <c r="W414" s="5" t="s">
        <v>2199</v>
      </c>
    </row>
    <row r="415" spans="1:23">
      <c r="A415" s="5" t="s">
        <v>1642</v>
      </c>
      <c r="B415" s="5" t="s">
        <v>1869</v>
      </c>
      <c r="C415" s="5" t="s">
        <v>1672</v>
      </c>
      <c r="G415" s="5" t="s">
        <v>1673</v>
      </c>
      <c r="L415" s="17">
        <v>20</v>
      </c>
      <c r="M415" s="17">
        <v>25.000477203947369</v>
      </c>
      <c r="N415" s="17">
        <v>2</v>
      </c>
      <c r="P415" s="18">
        <v>0.8</v>
      </c>
      <c r="Q415" s="18">
        <f t="shared" si="12"/>
        <v>0.8</v>
      </c>
      <c r="R415" s="18">
        <f t="shared" si="13"/>
        <v>5.3555056818030051</v>
      </c>
      <c r="U415" s="5" t="s">
        <v>1655</v>
      </c>
      <c r="V415" s="5" t="s">
        <v>1900</v>
      </c>
      <c r="W415" s="5" t="s">
        <v>1901</v>
      </c>
    </row>
    <row r="416" spans="1:23">
      <c r="A416" s="5" t="s">
        <v>1642</v>
      </c>
      <c r="B416" s="5" t="s">
        <v>1869</v>
      </c>
      <c r="C416" s="5" t="s">
        <v>1672</v>
      </c>
      <c r="G416" s="5" t="s">
        <v>1673</v>
      </c>
      <c r="L416" s="17">
        <v>20</v>
      </c>
      <c r="M416" s="17">
        <v>25.000477203947369</v>
      </c>
      <c r="N416" s="17">
        <v>2</v>
      </c>
      <c r="P416" s="18">
        <v>0.52</v>
      </c>
      <c r="Q416" s="18">
        <f t="shared" si="12"/>
        <v>0.52</v>
      </c>
      <c r="R416" s="18">
        <f t="shared" si="13"/>
        <v>2.8095360521849408</v>
      </c>
      <c r="U416" s="5" t="s">
        <v>1655</v>
      </c>
      <c r="V416" s="5" t="s">
        <v>1900</v>
      </c>
      <c r="W416" s="5" t="s">
        <v>1901</v>
      </c>
    </row>
    <row r="417" spans="1:23">
      <c r="A417" s="5" t="s">
        <v>1642</v>
      </c>
      <c r="B417" s="5" t="s">
        <v>1869</v>
      </c>
      <c r="C417" s="5" t="s">
        <v>1596</v>
      </c>
      <c r="G417" s="5" t="s">
        <v>1673</v>
      </c>
      <c r="L417" s="17">
        <v>20</v>
      </c>
      <c r="M417" s="17">
        <v>10.00017754934211</v>
      </c>
      <c r="P417" s="18">
        <v>0.18</v>
      </c>
      <c r="Q417" s="18">
        <f t="shared" si="12"/>
        <v>0.18</v>
      </c>
      <c r="R417" s="18">
        <f t="shared" si="13"/>
        <v>0.88712763624046398</v>
      </c>
      <c r="U417" s="5" t="s">
        <v>1655</v>
      </c>
      <c r="V417" s="5" t="s">
        <v>2200</v>
      </c>
      <c r="W417" s="5" t="s">
        <v>2201</v>
      </c>
    </row>
    <row r="418" spans="1:23">
      <c r="A418" s="5" t="s">
        <v>1642</v>
      </c>
      <c r="B418" s="5" t="s">
        <v>1869</v>
      </c>
      <c r="C418" s="5" t="s">
        <v>2202</v>
      </c>
      <c r="E418" s="5" t="s">
        <v>2203</v>
      </c>
      <c r="G418" s="5" t="s">
        <v>1903</v>
      </c>
      <c r="L418" s="17">
        <v>80</v>
      </c>
      <c r="M418" s="17">
        <v>0</v>
      </c>
      <c r="N418" s="17">
        <v>48</v>
      </c>
      <c r="P418" s="18">
        <v>0.67</v>
      </c>
      <c r="Q418" s="18">
        <f t="shared" si="12"/>
        <v>0.67</v>
      </c>
      <c r="R418" s="18">
        <f t="shared" si="13"/>
        <v>4.7611144211497285</v>
      </c>
      <c r="U418" s="5" t="s">
        <v>1655</v>
      </c>
      <c r="V418" s="5" t="s">
        <v>1904</v>
      </c>
      <c r="W418" s="5" t="s">
        <v>1905</v>
      </c>
    </row>
    <row r="419" spans="1:23">
      <c r="A419" s="5" t="s">
        <v>1642</v>
      </c>
      <c r="B419" s="5" t="s">
        <v>1869</v>
      </c>
      <c r="G419" s="5" t="s">
        <v>1673</v>
      </c>
      <c r="L419" s="17">
        <v>35</v>
      </c>
      <c r="M419" s="17">
        <v>2.0000355098684208</v>
      </c>
      <c r="N419" s="17">
        <v>8.3333299999999999E-2</v>
      </c>
      <c r="P419" s="18">
        <v>0.87</v>
      </c>
      <c r="Q419" s="18">
        <f t="shared" si="12"/>
        <v>0.87</v>
      </c>
      <c r="R419" s="18">
        <f t="shared" si="13"/>
        <v>6.8310017651391766</v>
      </c>
      <c r="U419" s="5" t="s">
        <v>1655</v>
      </c>
      <c r="V419" s="5" t="s">
        <v>1952</v>
      </c>
      <c r="W419" s="5" t="s">
        <v>1953</v>
      </c>
    </row>
    <row r="420" spans="1:23">
      <c r="A420" s="5" t="s">
        <v>1642</v>
      </c>
      <c r="B420" s="5" t="s">
        <v>2204</v>
      </c>
      <c r="C420" s="5" t="s">
        <v>2115</v>
      </c>
      <c r="D420" s="5" t="s">
        <v>1616</v>
      </c>
      <c r="E420" s="5" t="s">
        <v>2205</v>
      </c>
      <c r="G420" s="5" t="s">
        <v>1903</v>
      </c>
      <c r="L420" s="17">
        <v>70</v>
      </c>
      <c r="M420" s="17">
        <v>0</v>
      </c>
      <c r="N420" s="17">
        <v>72</v>
      </c>
      <c r="O420" s="18">
        <v>0.93</v>
      </c>
      <c r="P420" s="18">
        <v>0.91</v>
      </c>
      <c r="Q420" s="18">
        <f t="shared" si="12"/>
        <v>0.91</v>
      </c>
      <c r="R420" s="18">
        <f t="shared" si="13"/>
        <v>8.7164230390968633</v>
      </c>
      <c r="S420" s="5" t="s">
        <v>1597</v>
      </c>
      <c r="U420" s="5" t="s">
        <v>1655</v>
      </c>
      <c r="V420" s="5" t="s">
        <v>1904</v>
      </c>
      <c r="W420" s="5" t="s">
        <v>1905</v>
      </c>
    </row>
    <row r="421" spans="1:23">
      <c r="A421" s="5" t="s">
        <v>1642</v>
      </c>
      <c r="B421" s="5" t="s">
        <v>1643</v>
      </c>
      <c r="C421" s="5" t="s">
        <v>1652</v>
      </c>
      <c r="G421" s="5" t="s">
        <v>1673</v>
      </c>
      <c r="L421" s="17">
        <v>20</v>
      </c>
      <c r="M421" s="17">
        <v>10.00017754934211</v>
      </c>
      <c r="N421" s="17">
        <v>1</v>
      </c>
      <c r="P421" s="18">
        <v>0.99</v>
      </c>
      <c r="Q421" s="18">
        <f t="shared" si="12"/>
        <v>0.99</v>
      </c>
      <c r="R421" s="18">
        <f t="shared" si="13"/>
        <v>12.901878286240109</v>
      </c>
      <c r="S421" s="5" t="s">
        <v>1617</v>
      </c>
      <c r="U421" s="5" t="s">
        <v>1655</v>
      </c>
      <c r="V421" s="5" t="s">
        <v>2206</v>
      </c>
      <c r="W421" s="5" t="s">
        <v>2207</v>
      </c>
    </row>
    <row r="422" spans="1:23">
      <c r="A422" s="5" t="s">
        <v>1642</v>
      </c>
      <c r="B422" s="5" t="s">
        <v>1643</v>
      </c>
      <c r="C422" s="5" t="s">
        <v>1884</v>
      </c>
      <c r="G422" s="5" t="s">
        <v>1673</v>
      </c>
      <c r="L422" s="17">
        <v>20</v>
      </c>
      <c r="M422" s="17">
        <v>10.00017754934211</v>
      </c>
      <c r="N422" s="17">
        <v>1</v>
      </c>
      <c r="P422" s="18">
        <v>0.89</v>
      </c>
      <c r="Q422" s="18">
        <f t="shared" si="12"/>
        <v>0.89</v>
      </c>
      <c r="R422" s="18">
        <f t="shared" si="13"/>
        <v>6.9315919369288395</v>
      </c>
      <c r="U422" s="5" t="s">
        <v>1655</v>
      </c>
      <c r="V422" s="5" t="s">
        <v>2206</v>
      </c>
      <c r="W422" s="5" t="s">
        <v>2207</v>
      </c>
    </row>
    <row r="423" spans="1:23">
      <c r="A423" s="5" t="s">
        <v>1642</v>
      </c>
      <c r="B423" s="5" t="s">
        <v>2208</v>
      </c>
      <c r="C423" s="5" t="s">
        <v>1672</v>
      </c>
      <c r="E423" s="5" t="s">
        <v>1959</v>
      </c>
      <c r="G423" s="5" t="s">
        <v>1673</v>
      </c>
      <c r="L423" s="17">
        <v>20</v>
      </c>
      <c r="M423" s="17">
        <v>1.0000177549342111</v>
      </c>
      <c r="N423" s="17">
        <v>24</v>
      </c>
      <c r="O423" s="18">
        <v>1</v>
      </c>
      <c r="P423" s="18">
        <v>0.97499999999999998</v>
      </c>
      <c r="Q423" s="18">
        <f t="shared" si="12"/>
        <v>0.97499999999999998</v>
      </c>
      <c r="R423" s="18">
        <f t="shared" si="13"/>
        <v>10.650073297741155</v>
      </c>
      <c r="S423" s="5" t="s">
        <v>1617</v>
      </c>
      <c r="U423" s="5" t="s">
        <v>1647</v>
      </c>
      <c r="V423" s="5" t="s">
        <v>1957</v>
      </c>
      <c r="W423" s="5" t="s">
        <v>1958</v>
      </c>
    </row>
    <row r="424" spans="1:23">
      <c r="A424" s="5" t="s">
        <v>1642</v>
      </c>
      <c r="B424" s="5" t="s">
        <v>2208</v>
      </c>
      <c r="C424" s="5" t="s">
        <v>1596</v>
      </c>
      <c r="F424" s="5" t="s">
        <v>1704</v>
      </c>
      <c r="I424" s="5" t="s">
        <v>554</v>
      </c>
      <c r="J424" s="5" t="s">
        <v>555</v>
      </c>
      <c r="K424" s="5" t="s">
        <v>553</v>
      </c>
      <c r="L424" s="17">
        <v>30</v>
      </c>
      <c r="M424" s="17">
        <v>6.0001065296052634</v>
      </c>
      <c r="P424" s="18">
        <v>0.99</v>
      </c>
      <c r="Q424" s="18">
        <f t="shared" si="12"/>
        <v>0.99</v>
      </c>
      <c r="R424" s="18">
        <f t="shared" si="13"/>
        <v>13.341990115891827</v>
      </c>
      <c r="S424" s="5" t="s">
        <v>1617</v>
      </c>
      <c r="U424" s="5" t="s">
        <v>1647</v>
      </c>
      <c r="V424" s="5" t="s">
        <v>1705</v>
      </c>
      <c r="W424" s="5" t="s">
        <v>1706</v>
      </c>
    </row>
    <row r="425" spans="1:23">
      <c r="A425" s="5" t="s">
        <v>1642</v>
      </c>
      <c r="B425" s="5" t="s">
        <v>2208</v>
      </c>
      <c r="F425" s="5" t="s">
        <v>2209</v>
      </c>
      <c r="I425" s="5" t="s">
        <v>2210</v>
      </c>
      <c r="M425" s="17">
        <v>0</v>
      </c>
      <c r="P425" s="18">
        <v>0.98</v>
      </c>
      <c r="Q425" s="18">
        <f t="shared" si="12"/>
        <v>0.98</v>
      </c>
      <c r="R425" s="18"/>
      <c r="S425" s="5" t="s">
        <v>1617</v>
      </c>
      <c r="U425" s="5" t="s">
        <v>1647</v>
      </c>
      <c r="V425" s="5" t="s">
        <v>1957</v>
      </c>
      <c r="W425" s="5" t="s">
        <v>1958</v>
      </c>
    </row>
    <row r="426" spans="1:23">
      <c r="A426" s="5" t="s">
        <v>1642</v>
      </c>
      <c r="B426" s="5" t="s">
        <v>2208</v>
      </c>
      <c r="F426" s="5" t="s">
        <v>2211</v>
      </c>
      <c r="I426" s="5" t="s">
        <v>2212</v>
      </c>
      <c r="K426" s="5" t="s">
        <v>1187</v>
      </c>
      <c r="M426" s="17">
        <v>0</v>
      </c>
      <c r="P426" s="18">
        <v>0.98</v>
      </c>
      <c r="Q426" s="18">
        <f t="shared" si="12"/>
        <v>0.98</v>
      </c>
      <c r="R426" s="18"/>
      <c r="S426" s="5" t="s">
        <v>1617</v>
      </c>
      <c r="U426" s="5" t="s">
        <v>1647</v>
      </c>
      <c r="V426" s="5" t="s">
        <v>1957</v>
      </c>
      <c r="W426" s="5" t="s">
        <v>1958</v>
      </c>
    </row>
    <row r="427" spans="1:23">
      <c r="A427" s="5" t="s">
        <v>1642</v>
      </c>
      <c r="B427" s="5" t="s">
        <v>2208</v>
      </c>
      <c r="F427" s="5" t="s">
        <v>2213</v>
      </c>
      <c r="I427" s="5" t="s">
        <v>2214</v>
      </c>
      <c r="K427" s="5" t="s">
        <v>562</v>
      </c>
      <c r="M427" s="17">
        <v>0</v>
      </c>
      <c r="P427" s="18">
        <v>0.91</v>
      </c>
      <c r="Q427" s="18">
        <f t="shared" si="12"/>
        <v>0.91</v>
      </c>
      <c r="R427" s="18"/>
      <c r="S427" s="5" t="s">
        <v>1617</v>
      </c>
      <c r="U427" s="5" t="s">
        <v>1647</v>
      </c>
      <c r="V427" s="5" t="s">
        <v>1957</v>
      </c>
      <c r="W427" s="5" t="s">
        <v>1958</v>
      </c>
    </row>
    <row r="428" spans="1:23">
      <c r="A428" s="5" t="s">
        <v>1642</v>
      </c>
      <c r="B428" s="5" t="s">
        <v>2208</v>
      </c>
      <c r="F428" s="5" t="s">
        <v>2215</v>
      </c>
      <c r="I428" s="5" t="s">
        <v>2216</v>
      </c>
      <c r="K428" s="5" t="s">
        <v>485</v>
      </c>
      <c r="M428" s="17">
        <v>0</v>
      </c>
      <c r="P428" s="18">
        <v>0.94</v>
      </c>
      <c r="Q428" s="18">
        <f t="shared" si="12"/>
        <v>0.94</v>
      </c>
      <c r="R428" s="18"/>
      <c r="S428" s="5" t="s">
        <v>1617</v>
      </c>
      <c r="U428" s="5" t="s">
        <v>1647</v>
      </c>
      <c r="V428" s="5" t="s">
        <v>1957</v>
      </c>
      <c r="W428" s="5" t="s">
        <v>1958</v>
      </c>
    </row>
    <row r="429" spans="1:23">
      <c r="A429" s="5" t="s">
        <v>1642</v>
      </c>
      <c r="B429" s="5" t="s">
        <v>2208</v>
      </c>
      <c r="C429" s="5" t="s">
        <v>1596</v>
      </c>
      <c r="G429" s="5" t="s">
        <v>2217</v>
      </c>
      <c r="L429" s="17">
        <v>20</v>
      </c>
      <c r="M429" s="17">
        <v>3.0399499835526318</v>
      </c>
      <c r="N429" s="17">
        <v>12</v>
      </c>
      <c r="P429" s="18">
        <v>0.99</v>
      </c>
      <c r="Q429" s="18">
        <f t="shared" si="12"/>
        <v>0.99</v>
      </c>
      <c r="R429" s="18">
        <f t="shared" si="13"/>
        <v>12.901878286240109</v>
      </c>
      <c r="S429" s="5" t="s">
        <v>1617</v>
      </c>
      <c r="U429" s="5" t="s">
        <v>1647</v>
      </c>
      <c r="V429" s="5" t="s">
        <v>2218</v>
      </c>
      <c r="W429" s="5" t="s">
        <v>2219</v>
      </c>
    </row>
    <row r="430" spans="1:23">
      <c r="A430" s="5" t="s">
        <v>1642</v>
      </c>
      <c r="B430" s="5" t="s">
        <v>2208</v>
      </c>
      <c r="C430" s="5" t="s">
        <v>1596</v>
      </c>
      <c r="G430" s="5" t="s">
        <v>2217</v>
      </c>
      <c r="L430" s="17">
        <v>20</v>
      </c>
      <c r="M430" s="17">
        <v>3.0399499835526318</v>
      </c>
      <c r="N430" s="17">
        <v>12</v>
      </c>
      <c r="P430" s="18">
        <v>0.99</v>
      </c>
      <c r="Q430" s="18">
        <f t="shared" si="12"/>
        <v>0.99</v>
      </c>
      <c r="R430" s="18">
        <f t="shared" si="13"/>
        <v>12.901878286240109</v>
      </c>
      <c r="S430" s="5" t="s">
        <v>1617</v>
      </c>
      <c r="U430" s="5" t="s">
        <v>1647</v>
      </c>
      <c r="V430" s="5" t="s">
        <v>2218</v>
      </c>
      <c r="W430" s="5" t="s">
        <v>2219</v>
      </c>
    </row>
    <row r="431" spans="1:23">
      <c r="A431" s="5" t="s">
        <v>1642</v>
      </c>
      <c r="B431" s="5" t="s">
        <v>2208</v>
      </c>
      <c r="C431" s="5" t="s">
        <v>1596</v>
      </c>
      <c r="G431" s="5" t="s">
        <v>2217</v>
      </c>
      <c r="L431" s="17">
        <v>20</v>
      </c>
      <c r="M431" s="17">
        <v>3.1027181546052631</v>
      </c>
      <c r="N431" s="17">
        <v>0.5</v>
      </c>
      <c r="P431" s="18">
        <v>0.99</v>
      </c>
      <c r="Q431" s="18">
        <f t="shared" si="12"/>
        <v>0.99</v>
      </c>
      <c r="R431" s="18">
        <f t="shared" si="13"/>
        <v>12.901878286240109</v>
      </c>
      <c r="S431" s="5" t="s">
        <v>1617</v>
      </c>
      <c r="U431" s="5" t="s">
        <v>1647</v>
      </c>
      <c r="V431" s="5" t="s">
        <v>2218</v>
      </c>
      <c r="W431" s="5" t="s">
        <v>2219</v>
      </c>
    </row>
    <row r="432" spans="1:23">
      <c r="A432" s="5" t="s">
        <v>1642</v>
      </c>
      <c r="B432" s="5" t="s">
        <v>2208</v>
      </c>
      <c r="C432" s="5" t="s">
        <v>1672</v>
      </c>
      <c r="G432" s="5" t="s">
        <v>1806</v>
      </c>
      <c r="L432" s="17">
        <v>25</v>
      </c>
      <c r="M432" s="17">
        <v>2.3922965822368418</v>
      </c>
      <c r="N432" s="17">
        <v>6</v>
      </c>
      <c r="P432" s="18">
        <v>0.9</v>
      </c>
      <c r="Q432" s="18">
        <f t="shared" si="12"/>
        <v>0.9</v>
      </c>
      <c r="R432" s="18">
        <f t="shared" si="13"/>
        <v>7.2991705225830952</v>
      </c>
      <c r="S432" s="5" t="s">
        <v>1617</v>
      </c>
      <c r="U432" s="5" t="s">
        <v>1647</v>
      </c>
      <c r="V432" s="5" t="s">
        <v>2150</v>
      </c>
      <c r="W432" s="5" t="s">
        <v>2151</v>
      </c>
    </row>
    <row r="433" spans="1:23">
      <c r="A433" s="5" t="s">
        <v>1642</v>
      </c>
      <c r="B433" s="5" t="s">
        <v>2208</v>
      </c>
      <c r="C433" s="5" t="s">
        <v>1672</v>
      </c>
      <c r="G433" s="5" t="s">
        <v>1806</v>
      </c>
      <c r="L433" s="17">
        <v>25</v>
      </c>
      <c r="M433" s="17">
        <v>2.3922965822368418</v>
      </c>
      <c r="N433" s="17">
        <v>6</v>
      </c>
      <c r="P433" s="18">
        <v>0.93599999999999994</v>
      </c>
      <c r="Q433" s="18">
        <f t="shared" si="12"/>
        <v>0.93599999999999994</v>
      </c>
      <c r="R433" s="18">
        <f t="shared" si="13"/>
        <v>8.4520325341020399</v>
      </c>
      <c r="S433" s="5" t="s">
        <v>1617</v>
      </c>
      <c r="U433" s="5" t="s">
        <v>1647</v>
      </c>
      <c r="V433" s="5" t="s">
        <v>2220</v>
      </c>
      <c r="W433" s="5" t="s">
        <v>2221</v>
      </c>
    </row>
    <row r="434" spans="1:23">
      <c r="A434" s="5" t="s">
        <v>1642</v>
      </c>
      <c r="B434" s="5" t="s">
        <v>2208</v>
      </c>
      <c r="C434" s="5" t="s">
        <v>1672</v>
      </c>
      <c r="G434" s="5" t="s">
        <v>1806</v>
      </c>
      <c r="L434" s="17">
        <v>25</v>
      </c>
      <c r="M434" s="17">
        <v>2.3922965822368418</v>
      </c>
      <c r="N434" s="17">
        <v>6</v>
      </c>
      <c r="P434" s="18">
        <v>0.93400000000000005</v>
      </c>
      <c r="Q434" s="18">
        <f t="shared" si="12"/>
        <v>0.93400000000000005</v>
      </c>
      <c r="R434" s="18">
        <f t="shared" si="13"/>
        <v>8.3731883303393406</v>
      </c>
      <c r="S434" s="5" t="s">
        <v>1617</v>
      </c>
      <c r="U434" s="5" t="s">
        <v>1647</v>
      </c>
      <c r="V434" s="5" t="s">
        <v>2220</v>
      </c>
      <c r="W434" s="5" t="s">
        <v>2221</v>
      </c>
    </row>
    <row r="435" spans="1:23">
      <c r="A435" s="5" t="s">
        <v>1642</v>
      </c>
      <c r="B435" s="5" t="s">
        <v>2208</v>
      </c>
      <c r="C435" s="5" t="s">
        <v>1652</v>
      </c>
      <c r="F435" s="5" t="s">
        <v>2159</v>
      </c>
      <c r="L435" s="17">
        <v>20</v>
      </c>
      <c r="M435" s="17">
        <v>10.00017754934211</v>
      </c>
      <c r="N435" s="17">
        <v>1</v>
      </c>
      <c r="P435" s="18">
        <v>0.94</v>
      </c>
      <c r="Q435" s="18">
        <f t="shared" si="12"/>
        <v>0.94</v>
      </c>
      <c r="R435" s="18">
        <f t="shared" si="13"/>
        <v>8.4726279124776589</v>
      </c>
      <c r="S435" s="5" t="s">
        <v>1617</v>
      </c>
      <c r="U435" s="5" t="s">
        <v>1655</v>
      </c>
      <c r="V435" s="5" t="s">
        <v>2160</v>
      </c>
      <c r="W435" s="5" t="s">
        <v>2161</v>
      </c>
    </row>
    <row r="436" spans="1:23">
      <c r="A436" s="5" t="s">
        <v>1642</v>
      </c>
      <c r="B436" s="5" t="s">
        <v>2208</v>
      </c>
      <c r="C436" s="5" t="s">
        <v>1596</v>
      </c>
      <c r="F436" s="5" t="s">
        <v>2222</v>
      </c>
      <c r="I436" s="5" t="s">
        <v>2223</v>
      </c>
      <c r="J436" s="5" t="s">
        <v>2224</v>
      </c>
      <c r="M436" s="17">
        <v>3.4474631348684208</v>
      </c>
      <c r="P436" s="18">
        <v>0.99</v>
      </c>
      <c r="Q436" s="18">
        <f t="shared" si="12"/>
        <v>0.99</v>
      </c>
      <c r="R436" s="18"/>
      <c r="S436" s="5" t="s">
        <v>1597</v>
      </c>
      <c r="U436" s="5" t="s">
        <v>1647</v>
      </c>
      <c r="V436" s="5" t="s">
        <v>2225</v>
      </c>
      <c r="W436" s="5" t="s">
        <v>2226</v>
      </c>
    </row>
    <row r="437" spans="1:23">
      <c r="A437" s="5" t="s">
        <v>1642</v>
      </c>
      <c r="B437" s="5" t="s">
        <v>2208</v>
      </c>
      <c r="C437" s="5" t="s">
        <v>1596</v>
      </c>
      <c r="F437" s="5" t="s">
        <v>1796</v>
      </c>
      <c r="I437" s="5" t="s">
        <v>1891</v>
      </c>
      <c r="J437" s="5" t="s">
        <v>1892</v>
      </c>
      <c r="K437" s="5" t="s">
        <v>1893</v>
      </c>
      <c r="L437" s="17">
        <v>25</v>
      </c>
      <c r="M437" s="17">
        <v>10.00017754934211</v>
      </c>
      <c r="N437" s="17">
        <v>0.16666700000000001</v>
      </c>
      <c r="P437" s="18">
        <v>0.98699999999999999</v>
      </c>
      <c r="Q437" s="18">
        <f t="shared" si="12"/>
        <v>0.98699999999999999</v>
      </c>
      <c r="R437" s="18">
        <f t="shared" si="13"/>
        <v>12.467801581469059</v>
      </c>
      <c r="S437" s="5" t="s">
        <v>1597</v>
      </c>
      <c r="U437" s="5" t="s">
        <v>1647</v>
      </c>
      <c r="V437" s="5" t="s">
        <v>1705</v>
      </c>
      <c r="W437" s="5" t="s">
        <v>1706</v>
      </c>
    </row>
    <row r="438" spans="1:23">
      <c r="A438" s="5" t="s">
        <v>1642</v>
      </c>
      <c r="B438" s="5" t="s">
        <v>2208</v>
      </c>
      <c r="C438" s="5" t="s">
        <v>1672</v>
      </c>
      <c r="G438" s="5" t="s">
        <v>1644</v>
      </c>
      <c r="L438" s="17">
        <v>-40</v>
      </c>
      <c r="M438" s="17">
        <v>20.00035509868421</v>
      </c>
      <c r="P438" s="18">
        <v>0.89</v>
      </c>
      <c r="Q438" s="18">
        <f t="shared" si="12"/>
        <v>0.89</v>
      </c>
      <c r="R438" s="18">
        <f t="shared" si="13"/>
        <v>5.5128796182669575</v>
      </c>
      <c r="S438" s="5" t="s">
        <v>1597</v>
      </c>
      <c r="U438" s="5" t="s">
        <v>1647</v>
      </c>
      <c r="V438" s="5" t="s">
        <v>1708</v>
      </c>
      <c r="W438" s="5" t="s">
        <v>1709</v>
      </c>
    </row>
    <row r="439" spans="1:23">
      <c r="A439" s="5" t="s">
        <v>1642</v>
      </c>
      <c r="B439" s="5" t="s">
        <v>2208</v>
      </c>
      <c r="C439" s="5" t="s">
        <v>1672</v>
      </c>
      <c r="G439" s="5" t="s">
        <v>1644</v>
      </c>
      <c r="L439" s="17">
        <v>20</v>
      </c>
      <c r="M439" s="17">
        <v>20.00035509868421</v>
      </c>
      <c r="P439" s="18">
        <v>0.99</v>
      </c>
      <c r="Q439" s="18">
        <f t="shared" si="12"/>
        <v>0.99</v>
      </c>
      <c r="R439" s="18">
        <f t="shared" si="13"/>
        <v>12.901878286240109</v>
      </c>
      <c r="S439" s="5" t="s">
        <v>1597</v>
      </c>
      <c r="U439" s="5" t="s">
        <v>1647</v>
      </c>
      <c r="V439" s="5" t="s">
        <v>1708</v>
      </c>
      <c r="W439" s="5" t="s">
        <v>1709</v>
      </c>
    </row>
    <row r="440" spans="1:23">
      <c r="A440" s="5" t="s">
        <v>1642</v>
      </c>
      <c r="B440" s="5" t="s">
        <v>2208</v>
      </c>
      <c r="C440" s="5" t="s">
        <v>1596</v>
      </c>
      <c r="F440" s="5" t="s">
        <v>1847</v>
      </c>
      <c r="L440" s="17">
        <v>20</v>
      </c>
      <c r="M440" s="17">
        <v>15.000232993421051</v>
      </c>
      <c r="N440" s="17">
        <v>3</v>
      </c>
      <c r="P440" s="18">
        <v>0.92</v>
      </c>
      <c r="Q440" s="18">
        <f t="shared" si="12"/>
        <v>0.92</v>
      </c>
      <c r="R440" s="18">
        <f t="shared" si="13"/>
        <v>7.7461746610072693</v>
      </c>
      <c r="S440" s="5" t="s">
        <v>1597</v>
      </c>
      <c r="U440" s="5" t="s">
        <v>1655</v>
      </c>
      <c r="V440" s="5" t="s">
        <v>1848</v>
      </c>
      <c r="W440" s="5" t="s">
        <v>1849</v>
      </c>
    </row>
    <row r="441" spans="1:23">
      <c r="A441" s="5" t="s">
        <v>1642</v>
      </c>
      <c r="B441" s="5" t="s">
        <v>2208</v>
      </c>
      <c r="C441" s="5" t="s">
        <v>1596</v>
      </c>
      <c r="F441" s="5" t="s">
        <v>2227</v>
      </c>
      <c r="L441" s="17">
        <v>25</v>
      </c>
      <c r="M441" s="17">
        <v>10.00017754934211</v>
      </c>
      <c r="N441" s="17">
        <v>1.3333299999999999</v>
      </c>
      <c r="P441" s="18">
        <v>0.49</v>
      </c>
      <c r="Q441" s="18">
        <f t="shared" si="12"/>
        <v>0.49</v>
      </c>
      <c r="R441" s="18">
        <f t="shared" si="13"/>
        <v>2.6577530286747644</v>
      </c>
      <c r="U441" s="5" t="s">
        <v>1647</v>
      </c>
      <c r="V441" s="5" t="s">
        <v>1705</v>
      </c>
      <c r="W441" s="5" t="s">
        <v>1706</v>
      </c>
    </row>
    <row r="442" spans="1:23">
      <c r="A442" s="5" t="s">
        <v>1642</v>
      </c>
      <c r="B442" s="5" t="s">
        <v>2208</v>
      </c>
      <c r="F442" s="5" t="s">
        <v>2228</v>
      </c>
      <c r="I442" s="5" t="s">
        <v>2229</v>
      </c>
      <c r="K442" s="5" t="s">
        <v>290</v>
      </c>
      <c r="M442" s="17">
        <v>0</v>
      </c>
      <c r="P442" s="18">
        <v>0.67</v>
      </c>
      <c r="Q442" s="18">
        <f t="shared" si="12"/>
        <v>0.67</v>
      </c>
      <c r="R442" s="18"/>
      <c r="U442" s="5" t="s">
        <v>1647</v>
      </c>
      <c r="V442" s="5" t="s">
        <v>1957</v>
      </c>
      <c r="W442" s="5" t="s">
        <v>1958</v>
      </c>
    </row>
    <row r="443" spans="1:23">
      <c r="A443" s="5" t="s">
        <v>1642</v>
      </c>
      <c r="B443" s="5" t="s">
        <v>2208</v>
      </c>
      <c r="F443" s="5" t="s">
        <v>2230</v>
      </c>
      <c r="I443" s="5" t="s">
        <v>2231</v>
      </c>
      <c r="K443" s="5" t="s">
        <v>694</v>
      </c>
      <c r="M443" s="17">
        <v>0</v>
      </c>
      <c r="P443" s="18">
        <v>0.73</v>
      </c>
      <c r="Q443" s="18">
        <f t="shared" si="12"/>
        <v>0.73</v>
      </c>
      <c r="R443" s="18"/>
      <c r="U443" s="5" t="s">
        <v>1647</v>
      </c>
      <c r="V443" s="5" t="s">
        <v>1957</v>
      </c>
      <c r="W443" s="5" t="s">
        <v>1958</v>
      </c>
    </row>
    <row r="444" spans="1:23">
      <c r="A444" s="5" t="s">
        <v>1642</v>
      </c>
      <c r="B444" s="5" t="s">
        <v>2208</v>
      </c>
      <c r="C444" s="5" t="s">
        <v>1596</v>
      </c>
      <c r="F444" s="5" t="s">
        <v>1987</v>
      </c>
      <c r="J444" s="5" t="s">
        <v>1988</v>
      </c>
      <c r="L444" s="17">
        <v>20</v>
      </c>
      <c r="M444" s="17">
        <v>0</v>
      </c>
      <c r="N444" s="17">
        <v>3</v>
      </c>
      <c r="P444" s="18">
        <v>0.3</v>
      </c>
      <c r="Q444" s="18">
        <f t="shared" si="12"/>
        <v>0.3</v>
      </c>
      <c r="R444" s="18">
        <f t="shared" si="13"/>
        <v>1.5088434892247533</v>
      </c>
      <c r="U444" s="5" t="s">
        <v>1647</v>
      </c>
      <c r="V444" s="5" t="s">
        <v>1989</v>
      </c>
      <c r="W444" s="5" t="s">
        <v>1990</v>
      </c>
    </row>
    <row r="445" spans="1:23">
      <c r="A445" s="5" t="s">
        <v>1642</v>
      </c>
      <c r="B445" s="5" t="s">
        <v>2208</v>
      </c>
      <c r="C445" s="5" t="s">
        <v>1596</v>
      </c>
      <c r="F445" s="5" t="s">
        <v>1991</v>
      </c>
      <c r="J445" s="5" t="s">
        <v>1992</v>
      </c>
      <c r="L445" s="17">
        <v>20</v>
      </c>
      <c r="M445" s="17">
        <v>0</v>
      </c>
      <c r="N445" s="17">
        <v>3</v>
      </c>
      <c r="P445" s="18">
        <v>0.01</v>
      </c>
      <c r="Q445" s="18">
        <f t="shared" si="12"/>
        <v>0.01</v>
      </c>
      <c r="R445" s="18">
        <f t="shared" si="13"/>
        <v>4.8749538527952579E-2</v>
      </c>
      <c r="U445" s="5" t="s">
        <v>1647</v>
      </c>
      <c r="V445" s="5" t="s">
        <v>1989</v>
      </c>
      <c r="W445" s="5" t="s">
        <v>1990</v>
      </c>
    </row>
    <row r="446" spans="1:23">
      <c r="A446" s="5" t="s">
        <v>1642</v>
      </c>
      <c r="B446" s="5" t="s">
        <v>2208</v>
      </c>
      <c r="C446" s="5" t="s">
        <v>1672</v>
      </c>
      <c r="F446" s="5" t="s">
        <v>1993</v>
      </c>
      <c r="J446" s="5" t="s">
        <v>1994</v>
      </c>
      <c r="L446" s="17">
        <v>20</v>
      </c>
      <c r="M446" s="17">
        <v>0</v>
      </c>
      <c r="N446" s="17">
        <v>3</v>
      </c>
      <c r="P446" s="18">
        <v>0.31</v>
      </c>
      <c r="Q446" s="18">
        <f t="shared" si="12"/>
        <v>0.31</v>
      </c>
      <c r="R446" s="18">
        <f t="shared" si="13"/>
        <v>1.5625919885473367</v>
      </c>
      <c r="U446" s="5" t="s">
        <v>1647</v>
      </c>
      <c r="V446" s="5" t="s">
        <v>1989</v>
      </c>
      <c r="W446" s="5" t="s">
        <v>1990</v>
      </c>
    </row>
    <row r="447" spans="1:23">
      <c r="A447" s="5" t="s">
        <v>1642</v>
      </c>
      <c r="B447" s="5" t="s">
        <v>2208</v>
      </c>
      <c r="C447" s="5" t="s">
        <v>1672</v>
      </c>
      <c r="F447" s="5" t="s">
        <v>1995</v>
      </c>
      <c r="J447" s="5" t="s">
        <v>1994</v>
      </c>
      <c r="L447" s="17">
        <v>20</v>
      </c>
      <c r="M447" s="17">
        <v>0</v>
      </c>
      <c r="N447" s="17">
        <v>3</v>
      </c>
      <c r="P447" s="18">
        <v>0.77</v>
      </c>
      <c r="Q447" s="18">
        <f t="shared" si="12"/>
        <v>0.77</v>
      </c>
      <c r="R447" s="18">
        <f t="shared" si="13"/>
        <v>4.9738849304346333</v>
      </c>
      <c r="U447" s="5" t="s">
        <v>1647</v>
      </c>
      <c r="V447" s="5" t="s">
        <v>1989</v>
      </c>
      <c r="W447" s="5" t="s">
        <v>1990</v>
      </c>
    </row>
    <row r="448" spans="1:23">
      <c r="A448" s="5" t="s">
        <v>1642</v>
      </c>
      <c r="B448" s="5" t="s">
        <v>2208</v>
      </c>
      <c r="F448" s="5" t="s">
        <v>2232</v>
      </c>
      <c r="J448" s="5" t="s">
        <v>1992</v>
      </c>
      <c r="L448" s="17">
        <v>20</v>
      </c>
      <c r="M448" s="17">
        <v>0</v>
      </c>
      <c r="N448" s="17">
        <v>3</v>
      </c>
      <c r="P448" s="18">
        <v>0.01</v>
      </c>
      <c r="Q448" s="18">
        <f t="shared" si="12"/>
        <v>0.01</v>
      </c>
      <c r="R448" s="18">
        <f t="shared" si="13"/>
        <v>4.8749538527952579E-2</v>
      </c>
      <c r="U448" s="5" t="s">
        <v>1647</v>
      </c>
      <c r="V448" s="5" t="s">
        <v>1989</v>
      </c>
      <c r="W448" s="5" t="s">
        <v>1990</v>
      </c>
    </row>
    <row r="449" spans="1:23">
      <c r="A449" s="5" t="s">
        <v>1642</v>
      </c>
      <c r="B449" s="5" t="s">
        <v>2208</v>
      </c>
      <c r="F449" s="5" t="s">
        <v>1996</v>
      </c>
      <c r="J449" s="5" t="s">
        <v>1988</v>
      </c>
      <c r="L449" s="17">
        <v>20</v>
      </c>
      <c r="M449" s="17">
        <v>0</v>
      </c>
      <c r="N449" s="17">
        <v>3</v>
      </c>
      <c r="P449" s="18">
        <v>0.22</v>
      </c>
      <c r="Q449" s="18">
        <f t="shared" si="12"/>
        <v>0.22</v>
      </c>
      <c r="R449" s="18">
        <f t="shared" si="13"/>
        <v>1.0902768656342858</v>
      </c>
      <c r="U449" s="5" t="s">
        <v>1647</v>
      </c>
      <c r="V449" s="5" t="s">
        <v>1989</v>
      </c>
      <c r="W449" s="5" t="s">
        <v>1990</v>
      </c>
    </row>
    <row r="450" spans="1:23">
      <c r="A450" s="5" t="s">
        <v>1642</v>
      </c>
      <c r="B450" s="5" t="s">
        <v>2208</v>
      </c>
      <c r="C450" s="5" t="s">
        <v>1652</v>
      </c>
      <c r="G450" s="5" t="s">
        <v>2039</v>
      </c>
      <c r="L450" s="17">
        <v>-5</v>
      </c>
      <c r="M450" s="17">
        <v>1.0000177549342111</v>
      </c>
      <c r="P450" s="18">
        <v>0.8</v>
      </c>
      <c r="Q450" s="18">
        <f t="shared" ref="Q450:Q513" si="14">ABS(P450)</f>
        <v>0.8</v>
      </c>
      <c r="R450" s="18">
        <f t="shared" si="13"/>
        <v>4.8987850880964547</v>
      </c>
      <c r="U450" s="5" t="s">
        <v>1655</v>
      </c>
      <c r="V450" s="5" t="s">
        <v>2233</v>
      </c>
      <c r="W450" s="5" t="s">
        <v>2234</v>
      </c>
    </row>
    <row r="451" spans="1:23">
      <c r="A451" s="5" t="s">
        <v>1642</v>
      </c>
      <c r="B451" s="5" t="s">
        <v>2208</v>
      </c>
      <c r="C451" s="5" t="s">
        <v>1652</v>
      </c>
      <c r="G451" s="5" t="s">
        <v>2039</v>
      </c>
      <c r="L451" s="17">
        <v>20</v>
      </c>
      <c r="M451" s="17">
        <v>1.0000177549342111</v>
      </c>
      <c r="N451" s="17">
        <v>2</v>
      </c>
      <c r="P451" s="18">
        <v>0.43</v>
      </c>
      <c r="Q451" s="18">
        <f t="shared" si="14"/>
        <v>0.43</v>
      </c>
      <c r="R451" s="18">
        <f t="shared" ref="R451:R514" si="15">8.3145*(L451+273.15)*LN((Q451+1)/(1-Q451))*0.001</f>
        <v>2.2419003634692731</v>
      </c>
      <c r="U451" s="5" t="s">
        <v>1655</v>
      </c>
      <c r="V451" s="5" t="s">
        <v>2233</v>
      </c>
      <c r="W451" s="5" t="s">
        <v>2234</v>
      </c>
    </row>
    <row r="452" spans="1:23">
      <c r="A452" s="5" t="s">
        <v>1642</v>
      </c>
      <c r="B452" s="5" t="s">
        <v>2208</v>
      </c>
      <c r="C452" s="5" t="s">
        <v>1596</v>
      </c>
      <c r="F452" s="5" t="s">
        <v>1728</v>
      </c>
      <c r="L452" s="17">
        <v>20</v>
      </c>
      <c r="M452" s="17">
        <v>20.00035509868421</v>
      </c>
      <c r="N452" s="17">
        <v>14</v>
      </c>
      <c r="P452" s="18">
        <v>0.88</v>
      </c>
      <c r="Q452" s="18">
        <f t="shared" si="14"/>
        <v>0.88</v>
      </c>
      <c r="R452" s="18">
        <f t="shared" si="15"/>
        <v>6.7065802716182183</v>
      </c>
      <c r="U452" s="5" t="s">
        <v>1655</v>
      </c>
      <c r="V452" s="5" t="s">
        <v>1729</v>
      </c>
      <c r="W452" s="5" t="s">
        <v>1730</v>
      </c>
    </row>
    <row r="453" spans="1:23">
      <c r="A453" s="5" t="s">
        <v>1642</v>
      </c>
      <c r="B453" s="5" t="s">
        <v>2208</v>
      </c>
      <c r="C453" s="5" t="s">
        <v>1596</v>
      </c>
      <c r="F453" s="5" t="s">
        <v>2235</v>
      </c>
      <c r="L453" s="17">
        <v>20</v>
      </c>
      <c r="M453" s="17">
        <v>1.0133179944078949</v>
      </c>
      <c r="N453" s="17">
        <v>8.3333299999999999E-2</v>
      </c>
      <c r="P453" s="18">
        <v>0.99</v>
      </c>
      <c r="Q453" s="18">
        <f t="shared" si="14"/>
        <v>0.99</v>
      </c>
      <c r="R453" s="18">
        <f t="shared" si="15"/>
        <v>12.901878286240109</v>
      </c>
      <c r="U453" s="5" t="s">
        <v>1647</v>
      </c>
      <c r="V453" s="5" t="s">
        <v>2236</v>
      </c>
      <c r="W453" s="5" t="s">
        <v>2237</v>
      </c>
    </row>
    <row r="454" spans="1:23">
      <c r="A454" s="5" t="s">
        <v>1642</v>
      </c>
      <c r="B454" s="5" t="s">
        <v>2238</v>
      </c>
      <c r="C454" s="5" t="s">
        <v>1596</v>
      </c>
      <c r="D454" s="5" t="s">
        <v>1781</v>
      </c>
      <c r="G454" s="5" t="s">
        <v>1673</v>
      </c>
      <c r="L454" s="17">
        <v>20</v>
      </c>
      <c r="M454" s="17">
        <v>8.0001420394736851</v>
      </c>
      <c r="N454" s="17">
        <v>16</v>
      </c>
      <c r="P454" s="18">
        <v>0.99</v>
      </c>
      <c r="Q454" s="18">
        <f t="shared" si="14"/>
        <v>0.99</v>
      </c>
      <c r="R454" s="18">
        <f t="shared" si="15"/>
        <v>12.901878286240109</v>
      </c>
      <c r="S454" s="5" t="s">
        <v>1597</v>
      </c>
      <c r="U454" s="5" t="s">
        <v>1647</v>
      </c>
      <c r="V454" s="5" t="s">
        <v>1785</v>
      </c>
      <c r="W454" s="5" t="s">
        <v>1786</v>
      </c>
    </row>
    <row r="455" spans="1:23">
      <c r="A455" s="5" t="s">
        <v>1642</v>
      </c>
      <c r="B455" s="5" t="s">
        <v>2238</v>
      </c>
      <c r="C455" s="5" t="s">
        <v>1652</v>
      </c>
      <c r="G455" s="5" t="s">
        <v>1673</v>
      </c>
      <c r="L455" s="17">
        <v>20</v>
      </c>
      <c r="M455" s="17">
        <v>8.0001420394736851</v>
      </c>
      <c r="N455" s="17">
        <v>16</v>
      </c>
      <c r="P455" s="18">
        <v>0.98</v>
      </c>
      <c r="Q455" s="18">
        <f t="shared" si="14"/>
        <v>0.98</v>
      </c>
      <c r="R455" s="18">
        <f t="shared" si="15"/>
        <v>11.200125248824696</v>
      </c>
      <c r="S455" s="5" t="s">
        <v>1597</v>
      </c>
      <c r="U455" s="5" t="s">
        <v>1647</v>
      </c>
      <c r="V455" s="5" t="s">
        <v>1785</v>
      </c>
      <c r="W455" s="5" t="s">
        <v>1786</v>
      </c>
    </row>
    <row r="456" spans="1:23">
      <c r="A456" s="5" t="s">
        <v>1642</v>
      </c>
      <c r="B456" s="5" t="s">
        <v>2238</v>
      </c>
      <c r="C456" s="5" t="s">
        <v>1596</v>
      </c>
      <c r="D456" s="5" t="s">
        <v>1781</v>
      </c>
      <c r="G456" s="5" t="s">
        <v>1673</v>
      </c>
      <c r="L456" s="17">
        <v>20</v>
      </c>
      <c r="M456" s="17">
        <v>8.0001420394736851</v>
      </c>
      <c r="N456" s="17">
        <v>16</v>
      </c>
      <c r="P456" s="18">
        <v>0.96</v>
      </c>
      <c r="Q456" s="18">
        <f t="shared" si="14"/>
        <v>0.96</v>
      </c>
      <c r="R456" s="18">
        <f t="shared" si="15"/>
        <v>9.4859059624920494</v>
      </c>
      <c r="S456" s="5" t="s">
        <v>1597</v>
      </c>
      <c r="U456" s="5" t="s">
        <v>1647</v>
      </c>
      <c r="V456" s="5" t="s">
        <v>1785</v>
      </c>
      <c r="W456" s="5" t="s">
        <v>1786</v>
      </c>
    </row>
    <row r="457" spans="1:23">
      <c r="A457" s="5" t="s">
        <v>1642</v>
      </c>
      <c r="B457" s="5" t="s">
        <v>2238</v>
      </c>
      <c r="C457" s="5" t="s">
        <v>1652</v>
      </c>
      <c r="G457" s="5" t="s">
        <v>1673</v>
      </c>
      <c r="L457" s="17">
        <v>20</v>
      </c>
      <c r="M457" s="17">
        <v>8.0001420394736851</v>
      </c>
      <c r="N457" s="17">
        <v>16</v>
      </c>
      <c r="P457" s="18">
        <v>0.96</v>
      </c>
      <c r="Q457" s="18">
        <f t="shared" si="14"/>
        <v>0.96</v>
      </c>
      <c r="R457" s="18">
        <f t="shared" si="15"/>
        <v>9.4859059624920494</v>
      </c>
      <c r="S457" s="5" t="s">
        <v>1597</v>
      </c>
      <c r="U457" s="5" t="s">
        <v>1647</v>
      </c>
      <c r="V457" s="5" t="s">
        <v>1785</v>
      </c>
      <c r="W457" s="5" t="s">
        <v>1786</v>
      </c>
    </row>
    <row r="458" spans="1:23">
      <c r="A458" s="5" t="s">
        <v>1642</v>
      </c>
      <c r="B458" s="5" t="s">
        <v>2238</v>
      </c>
      <c r="C458" s="5" t="s">
        <v>1596</v>
      </c>
      <c r="D458" s="5" t="s">
        <v>1781</v>
      </c>
      <c r="G458" s="5" t="s">
        <v>1673</v>
      </c>
      <c r="L458" s="17">
        <v>20</v>
      </c>
      <c r="M458" s="17">
        <v>8.0001420394736851</v>
      </c>
      <c r="N458" s="17">
        <v>16</v>
      </c>
      <c r="P458" s="18">
        <v>0.94</v>
      </c>
      <c r="Q458" s="18">
        <f t="shared" si="14"/>
        <v>0.94</v>
      </c>
      <c r="R458" s="18">
        <f t="shared" si="15"/>
        <v>8.4726279124776589</v>
      </c>
      <c r="S458" s="5" t="s">
        <v>1597</v>
      </c>
      <c r="U458" s="5" t="s">
        <v>1647</v>
      </c>
      <c r="V458" s="5" t="s">
        <v>1785</v>
      </c>
      <c r="W458" s="5" t="s">
        <v>1786</v>
      </c>
    </row>
    <row r="459" spans="1:23">
      <c r="A459" s="5" t="s">
        <v>1642</v>
      </c>
      <c r="B459" s="5" t="s">
        <v>2238</v>
      </c>
      <c r="C459" s="5" t="s">
        <v>1652</v>
      </c>
      <c r="G459" s="5" t="s">
        <v>1673</v>
      </c>
      <c r="L459" s="17">
        <v>20</v>
      </c>
      <c r="M459" s="17">
        <v>8.0001420394736851</v>
      </c>
      <c r="N459" s="17">
        <v>16</v>
      </c>
      <c r="P459" s="18">
        <v>0.99</v>
      </c>
      <c r="Q459" s="18">
        <f t="shared" si="14"/>
        <v>0.99</v>
      </c>
      <c r="R459" s="18">
        <f t="shared" si="15"/>
        <v>12.901878286240109</v>
      </c>
      <c r="S459" s="5" t="s">
        <v>1597</v>
      </c>
      <c r="U459" s="5" t="s">
        <v>1647</v>
      </c>
      <c r="V459" s="5" t="s">
        <v>1785</v>
      </c>
      <c r="W459" s="5" t="s">
        <v>1786</v>
      </c>
    </row>
    <row r="460" spans="1:23">
      <c r="A460" s="5" t="s">
        <v>1642</v>
      </c>
      <c r="B460" s="5" t="s">
        <v>2238</v>
      </c>
      <c r="C460" s="5" t="s">
        <v>1596</v>
      </c>
      <c r="F460" s="5" t="s">
        <v>1796</v>
      </c>
      <c r="L460" s="17">
        <v>30</v>
      </c>
      <c r="M460" s="17">
        <v>10.00017754934211</v>
      </c>
      <c r="N460" s="17">
        <v>0.41666700000000001</v>
      </c>
      <c r="P460" s="18">
        <v>0.995</v>
      </c>
      <c r="Q460" s="18">
        <f t="shared" si="14"/>
        <v>0.995</v>
      </c>
      <c r="R460" s="18">
        <f t="shared" si="15"/>
        <v>15.095420852276533</v>
      </c>
      <c r="S460" s="5" t="s">
        <v>1597</v>
      </c>
      <c r="U460" s="5" t="s">
        <v>1647</v>
      </c>
      <c r="V460" s="5" t="s">
        <v>1705</v>
      </c>
      <c r="W460" s="5" t="s">
        <v>1706</v>
      </c>
    </row>
    <row r="461" spans="1:23">
      <c r="A461" s="5" t="s">
        <v>1642</v>
      </c>
      <c r="B461" s="5" t="s">
        <v>2238</v>
      </c>
      <c r="C461" s="5" t="s">
        <v>1596</v>
      </c>
      <c r="G461" s="5" t="s">
        <v>2133</v>
      </c>
      <c r="L461" s="17">
        <v>40</v>
      </c>
      <c r="M461" s="17">
        <v>8.0001420394736851</v>
      </c>
      <c r="N461" s="17">
        <v>22</v>
      </c>
      <c r="P461" s="18">
        <v>0.87</v>
      </c>
      <c r="Q461" s="18">
        <f t="shared" si="14"/>
        <v>0.87</v>
      </c>
      <c r="R461" s="18">
        <f t="shared" si="15"/>
        <v>6.9418406709502944</v>
      </c>
      <c r="S461" s="5" t="s">
        <v>1597</v>
      </c>
      <c r="U461" s="5" t="s">
        <v>1647</v>
      </c>
      <c r="V461" s="5" t="s">
        <v>2239</v>
      </c>
      <c r="W461" s="5" t="s">
        <v>2240</v>
      </c>
    </row>
    <row r="462" spans="1:23">
      <c r="A462" s="5" t="s">
        <v>1642</v>
      </c>
      <c r="B462" s="5" t="s">
        <v>2238</v>
      </c>
      <c r="C462" s="5" t="s">
        <v>1672</v>
      </c>
      <c r="G462" s="5" t="s">
        <v>1644</v>
      </c>
      <c r="L462" s="17">
        <v>-40</v>
      </c>
      <c r="M462" s="17">
        <v>20.00035509868421</v>
      </c>
      <c r="P462" s="18">
        <v>0.94</v>
      </c>
      <c r="Q462" s="18">
        <f t="shared" si="14"/>
        <v>0.94</v>
      </c>
      <c r="R462" s="18">
        <f t="shared" si="15"/>
        <v>6.7385065590795357</v>
      </c>
      <c r="S462" s="5" t="s">
        <v>1597</v>
      </c>
      <c r="U462" s="5" t="s">
        <v>1647</v>
      </c>
      <c r="V462" s="5" t="s">
        <v>1708</v>
      </c>
      <c r="W462" s="5" t="s">
        <v>1709</v>
      </c>
    </row>
    <row r="463" spans="1:23">
      <c r="A463" s="5" t="s">
        <v>1642</v>
      </c>
      <c r="B463" s="5" t="s">
        <v>2238</v>
      </c>
      <c r="C463" s="5" t="s">
        <v>1672</v>
      </c>
      <c r="G463" s="5" t="s">
        <v>1644</v>
      </c>
      <c r="L463" s="17">
        <v>20</v>
      </c>
      <c r="M463" s="17">
        <v>20.00035509868421</v>
      </c>
      <c r="P463" s="18">
        <v>0.99</v>
      </c>
      <c r="Q463" s="18">
        <f t="shared" si="14"/>
        <v>0.99</v>
      </c>
      <c r="R463" s="18">
        <f t="shared" si="15"/>
        <v>12.901878286240109</v>
      </c>
      <c r="S463" s="5" t="s">
        <v>1597</v>
      </c>
      <c r="U463" s="5" t="s">
        <v>1647</v>
      </c>
      <c r="V463" s="5" t="s">
        <v>1708</v>
      </c>
      <c r="W463" s="5" t="s">
        <v>1709</v>
      </c>
    </row>
    <row r="464" spans="1:23">
      <c r="A464" s="5" t="s">
        <v>1642</v>
      </c>
      <c r="B464" s="5" t="s">
        <v>2238</v>
      </c>
      <c r="C464" s="5" t="s">
        <v>1596</v>
      </c>
      <c r="F464" s="5" t="s">
        <v>1847</v>
      </c>
      <c r="L464" s="17">
        <v>20</v>
      </c>
      <c r="M464" s="17">
        <v>15.000232993421051</v>
      </c>
      <c r="N464" s="17">
        <v>3</v>
      </c>
      <c r="P464" s="18">
        <v>0.93</v>
      </c>
      <c r="Q464" s="18">
        <f t="shared" si="14"/>
        <v>0.93</v>
      </c>
      <c r="R464" s="18">
        <f t="shared" si="15"/>
        <v>8.084305324055677</v>
      </c>
      <c r="S464" s="5" t="s">
        <v>1597</v>
      </c>
      <c r="U464" s="5" t="s">
        <v>1655</v>
      </c>
      <c r="V464" s="5" t="s">
        <v>1848</v>
      </c>
      <c r="W464" s="5" t="s">
        <v>1849</v>
      </c>
    </row>
    <row r="465" spans="1:23">
      <c r="A465" s="5" t="s">
        <v>1642</v>
      </c>
      <c r="B465" s="5" t="s">
        <v>2238</v>
      </c>
      <c r="C465" s="5" t="s">
        <v>1672</v>
      </c>
      <c r="E465" s="5" t="s">
        <v>1959</v>
      </c>
      <c r="G465" s="5" t="s">
        <v>1673</v>
      </c>
      <c r="L465" s="17">
        <v>20</v>
      </c>
      <c r="M465" s="17">
        <v>1.0000177549342111</v>
      </c>
      <c r="N465" s="17">
        <v>24</v>
      </c>
      <c r="O465" s="18">
        <v>1</v>
      </c>
      <c r="P465" s="18">
        <v>0.96799999999999997</v>
      </c>
      <c r="Q465" s="18">
        <f t="shared" si="14"/>
        <v>0.96799999999999997</v>
      </c>
      <c r="R465" s="18">
        <f t="shared" si="15"/>
        <v>10.039723395052139</v>
      </c>
      <c r="S465" s="5" t="s">
        <v>1617</v>
      </c>
      <c r="U465" s="5" t="s">
        <v>1647</v>
      </c>
      <c r="V465" s="5" t="s">
        <v>1957</v>
      </c>
      <c r="W465" s="5" t="s">
        <v>1958</v>
      </c>
    </row>
    <row r="466" spans="1:23">
      <c r="A466" s="5" t="s">
        <v>1642</v>
      </c>
      <c r="B466" s="5" t="s">
        <v>2238</v>
      </c>
      <c r="C466" s="5" t="s">
        <v>1652</v>
      </c>
      <c r="G466" s="5" t="s">
        <v>1644</v>
      </c>
      <c r="L466" s="17">
        <v>50</v>
      </c>
      <c r="M466" s="17">
        <v>51.711880361842113</v>
      </c>
      <c r="N466" s="17">
        <v>12</v>
      </c>
      <c r="O466" s="18">
        <v>0.99</v>
      </c>
      <c r="P466" s="18">
        <v>0.98</v>
      </c>
      <c r="Q466" s="18">
        <f t="shared" si="14"/>
        <v>0.98</v>
      </c>
      <c r="R466" s="18">
        <f t="shared" si="15"/>
        <v>12.346308968643017</v>
      </c>
      <c r="S466" s="5" t="s">
        <v>1617</v>
      </c>
      <c r="U466" s="5" t="s">
        <v>1647</v>
      </c>
      <c r="V466" s="5" t="s">
        <v>1670</v>
      </c>
      <c r="W466" s="5" t="s">
        <v>1671</v>
      </c>
    </row>
    <row r="467" spans="1:23">
      <c r="A467" s="5" t="s">
        <v>1642</v>
      </c>
      <c r="B467" s="5" t="s">
        <v>2238</v>
      </c>
      <c r="C467" s="5" t="s">
        <v>1596</v>
      </c>
      <c r="G467" s="5" t="s">
        <v>2133</v>
      </c>
      <c r="L467" s="17">
        <v>40</v>
      </c>
      <c r="M467" s="17">
        <v>8.0001420394736851</v>
      </c>
      <c r="N467" s="17">
        <v>22</v>
      </c>
      <c r="P467" s="18">
        <v>0.98</v>
      </c>
      <c r="Q467" s="18">
        <f t="shared" si="14"/>
        <v>0.98</v>
      </c>
      <c r="R467" s="18">
        <f t="shared" si="15"/>
        <v>11.964247728703576</v>
      </c>
      <c r="S467" s="5" t="s">
        <v>1617</v>
      </c>
      <c r="U467" s="5" t="s">
        <v>1647</v>
      </c>
      <c r="V467" s="5" t="s">
        <v>2239</v>
      </c>
      <c r="W467" s="5" t="s">
        <v>2240</v>
      </c>
    </row>
    <row r="468" spans="1:23">
      <c r="A468" s="5" t="s">
        <v>1642</v>
      </c>
      <c r="B468" s="5" t="s">
        <v>2238</v>
      </c>
      <c r="C468" s="5" t="s">
        <v>1739</v>
      </c>
      <c r="G468" s="5" t="s">
        <v>1673</v>
      </c>
      <c r="M468" s="17">
        <v>0</v>
      </c>
      <c r="P468" s="18">
        <v>0.89200000000000002</v>
      </c>
      <c r="Q468" s="18">
        <f t="shared" si="14"/>
        <v>0.89200000000000002</v>
      </c>
      <c r="R468" s="18"/>
      <c r="S468" s="5" t="s">
        <v>1617</v>
      </c>
      <c r="U468" s="5" t="s">
        <v>1647</v>
      </c>
      <c r="V468" s="5" t="s">
        <v>1957</v>
      </c>
      <c r="W468" s="5" t="s">
        <v>1958</v>
      </c>
    </row>
    <row r="469" spans="1:23">
      <c r="A469" s="5" t="s">
        <v>1642</v>
      </c>
      <c r="B469" s="5" t="s">
        <v>2238</v>
      </c>
      <c r="F469" s="5" t="s">
        <v>2209</v>
      </c>
      <c r="I469" s="5" t="s">
        <v>2210</v>
      </c>
      <c r="M469" s="17">
        <v>0</v>
      </c>
      <c r="P469" s="18">
        <v>0.97</v>
      </c>
      <c r="Q469" s="18">
        <f t="shared" si="14"/>
        <v>0.97</v>
      </c>
      <c r="R469" s="18"/>
      <c r="S469" s="5" t="s">
        <v>1617</v>
      </c>
      <c r="U469" s="5" t="s">
        <v>1647</v>
      </c>
      <c r="V469" s="5" t="s">
        <v>1957</v>
      </c>
      <c r="W469" s="5" t="s">
        <v>1958</v>
      </c>
    </row>
    <row r="470" spans="1:23">
      <c r="A470" s="5" t="s">
        <v>1642</v>
      </c>
      <c r="B470" s="5" t="s">
        <v>2238</v>
      </c>
      <c r="F470" s="5" t="s">
        <v>2228</v>
      </c>
      <c r="I470" s="5" t="s">
        <v>2229</v>
      </c>
      <c r="K470" s="5" t="s">
        <v>290</v>
      </c>
      <c r="M470" s="17">
        <v>0</v>
      </c>
      <c r="P470" s="18">
        <v>0.84</v>
      </c>
      <c r="Q470" s="18">
        <f t="shared" si="14"/>
        <v>0.84</v>
      </c>
      <c r="R470" s="18"/>
      <c r="S470" s="5" t="s">
        <v>1617</v>
      </c>
      <c r="U470" s="5" t="s">
        <v>1647</v>
      </c>
      <c r="V470" s="5" t="s">
        <v>1957</v>
      </c>
      <c r="W470" s="5" t="s">
        <v>1958</v>
      </c>
    </row>
    <row r="471" spans="1:23">
      <c r="A471" s="5" t="s">
        <v>1642</v>
      </c>
      <c r="B471" s="5" t="s">
        <v>2238</v>
      </c>
      <c r="F471" s="5" t="s">
        <v>2211</v>
      </c>
      <c r="I471" s="5" t="s">
        <v>2212</v>
      </c>
      <c r="K471" s="5" t="s">
        <v>1187</v>
      </c>
      <c r="M471" s="17">
        <v>0</v>
      </c>
      <c r="P471" s="18">
        <v>0.91</v>
      </c>
      <c r="Q471" s="18">
        <f t="shared" si="14"/>
        <v>0.91</v>
      </c>
      <c r="R471" s="18"/>
      <c r="S471" s="5" t="s">
        <v>1617</v>
      </c>
      <c r="U471" s="5" t="s">
        <v>1647</v>
      </c>
      <c r="V471" s="5" t="s">
        <v>1957</v>
      </c>
      <c r="W471" s="5" t="s">
        <v>1958</v>
      </c>
    </row>
    <row r="472" spans="1:23">
      <c r="A472" s="5" t="s">
        <v>1642</v>
      </c>
      <c r="B472" s="5" t="s">
        <v>2238</v>
      </c>
      <c r="F472" s="5" t="s">
        <v>2213</v>
      </c>
      <c r="I472" s="5" t="s">
        <v>2214</v>
      </c>
      <c r="K472" s="5" t="s">
        <v>562</v>
      </c>
      <c r="M472" s="17">
        <v>0</v>
      </c>
      <c r="P472" s="18">
        <v>0.89</v>
      </c>
      <c r="Q472" s="18">
        <f t="shared" si="14"/>
        <v>0.89</v>
      </c>
      <c r="R472" s="18"/>
      <c r="S472" s="5" t="s">
        <v>1617</v>
      </c>
      <c r="U472" s="5" t="s">
        <v>1647</v>
      </c>
      <c r="V472" s="5" t="s">
        <v>1957</v>
      </c>
      <c r="W472" s="5" t="s">
        <v>1958</v>
      </c>
    </row>
    <row r="473" spans="1:23">
      <c r="A473" s="5" t="s">
        <v>1642</v>
      </c>
      <c r="B473" s="5" t="s">
        <v>2238</v>
      </c>
      <c r="F473" s="5" t="s">
        <v>2230</v>
      </c>
      <c r="I473" s="5" t="s">
        <v>2231</v>
      </c>
      <c r="K473" s="5" t="s">
        <v>694</v>
      </c>
      <c r="M473" s="17">
        <v>0</v>
      </c>
      <c r="P473" s="18">
        <v>0.81</v>
      </c>
      <c r="Q473" s="18">
        <f t="shared" si="14"/>
        <v>0.81</v>
      </c>
      <c r="R473" s="18"/>
      <c r="S473" s="5" t="s">
        <v>1617</v>
      </c>
      <c r="U473" s="5" t="s">
        <v>1647</v>
      </c>
      <c r="V473" s="5" t="s">
        <v>1957</v>
      </c>
      <c r="W473" s="5" t="s">
        <v>1958</v>
      </c>
    </row>
    <row r="474" spans="1:23">
      <c r="A474" s="5" t="s">
        <v>1642</v>
      </c>
      <c r="B474" s="5" t="s">
        <v>2238</v>
      </c>
      <c r="F474" s="5" t="s">
        <v>2215</v>
      </c>
      <c r="I474" s="5" t="s">
        <v>2216</v>
      </c>
      <c r="K474" s="5" t="s">
        <v>485</v>
      </c>
      <c r="M474" s="17">
        <v>0</v>
      </c>
      <c r="P474" s="18">
        <v>0.95</v>
      </c>
      <c r="Q474" s="18">
        <f t="shared" si="14"/>
        <v>0.95</v>
      </c>
      <c r="R474" s="18"/>
      <c r="S474" s="5" t="s">
        <v>1617</v>
      </c>
      <c r="U474" s="5" t="s">
        <v>1647</v>
      </c>
      <c r="V474" s="5" t="s">
        <v>1957</v>
      </c>
      <c r="W474" s="5" t="s">
        <v>1958</v>
      </c>
    </row>
    <row r="475" spans="1:23">
      <c r="A475" s="5" t="s">
        <v>1642</v>
      </c>
      <c r="B475" s="5" t="s">
        <v>2238</v>
      </c>
      <c r="C475" s="5" t="s">
        <v>1739</v>
      </c>
      <c r="E475" s="5" t="s">
        <v>1959</v>
      </c>
      <c r="G475" s="5" t="s">
        <v>1673</v>
      </c>
      <c r="M475" s="17">
        <v>0</v>
      </c>
      <c r="P475" s="18">
        <v>0.88450000000000006</v>
      </c>
      <c r="Q475" s="18">
        <f t="shared" si="14"/>
        <v>0.88450000000000006</v>
      </c>
      <c r="R475" s="18"/>
      <c r="S475" s="5" t="s">
        <v>1617</v>
      </c>
      <c r="U475" s="5" t="s">
        <v>1647</v>
      </c>
      <c r="V475" s="5" t="s">
        <v>1957</v>
      </c>
      <c r="W475" s="5" t="s">
        <v>1958</v>
      </c>
    </row>
    <row r="476" spans="1:23">
      <c r="A476" s="5" t="s">
        <v>1642</v>
      </c>
      <c r="B476" s="5" t="s">
        <v>2238</v>
      </c>
      <c r="C476" s="5" t="s">
        <v>1616</v>
      </c>
      <c r="E476" s="5" t="s">
        <v>1959</v>
      </c>
      <c r="G476" s="5" t="s">
        <v>1673</v>
      </c>
      <c r="M476" s="17">
        <v>0</v>
      </c>
      <c r="P476" s="18">
        <v>0.93400000000000005</v>
      </c>
      <c r="Q476" s="18">
        <f t="shared" si="14"/>
        <v>0.93400000000000005</v>
      </c>
      <c r="R476" s="18"/>
      <c r="S476" s="5" t="s">
        <v>1617</v>
      </c>
      <c r="U476" s="5" t="s">
        <v>1647</v>
      </c>
      <c r="V476" s="5" t="s">
        <v>1957</v>
      </c>
      <c r="W476" s="5" t="s">
        <v>1958</v>
      </c>
    </row>
    <row r="477" spans="1:23">
      <c r="A477" s="5" t="s">
        <v>1642</v>
      </c>
      <c r="B477" s="5" t="s">
        <v>2238</v>
      </c>
      <c r="C477" s="5" t="s">
        <v>1672</v>
      </c>
      <c r="E477" s="5" t="s">
        <v>1959</v>
      </c>
      <c r="G477" s="5" t="s">
        <v>1673</v>
      </c>
      <c r="M477" s="17">
        <v>0</v>
      </c>
      <c r="P477" s="18">
        <v>0.95950000000000002</v>
      </c>
      <c r="Q477" s="18">
        <f t="shared" si="14"/>
        <v>0.95950000000000002</v>
      </c>
      <c r="R477" s="18"/>
      <c r="S477" s="5" t="s">
        <v>1617</v>
      </c>
      <c r="U477" s="5" t="s">
        <v>1647</v>
      </c>
      <c r="V477" s="5" t="s">
        <v>1957</v>
      </c>
      <c r="W477" s="5" t="s">
        <v>1958</v>
      </c>
    </row>
    <row r="478" spans="1:23">
      <c r="A478" s="5" t="s">
        <v>1642</v>
      </c>
      <c r="B478" s="5" t="s">
        <v>2238</v>
      </c>
      <c r="C478" s="5" t="s">
        <v>1596</v>
      </c>
      <c r="F478" s="5" t="s">
        <v>2159</v>
      </c>
      <c r="L478" s="17">
        <v>20</v>
      </c>
      <c r="M478" s="17">
        <v>10.00017754934211</v>
      </c>
      <c r="N478" s="17">
        <v>1</v>
      </c>
      <c r="P478" s="18">
        <v>0.97</v>
      </c>
      <c r="Q478" s="18">
        <f t="shared" si="14"/>
        <v>0.97</v>
      </c>
      <c r="R478" s="18">
        <f t="shared" si="15"/>
        <v>10.199505077668341</v>
      </c>
      <c r="S478" s="5" t="s">
        <v>1617</v>
      </c>
      <c r="U478" s="5" t="s">
        <v>1655</v>
      </c>
      <c r="V478" s="5" t="s">
        <v>2160</v>
      </c>
      <c r="W478" s="5" t="s">
        <v>2161</v>
      </c>
    </row>
    <row r="479" spans="1:23">
      <c r="A479" s="5" t="s">
        <v>1642</v>
      </c>
      <c r="B479" s="5" t="s">
        <v>2238</v>
      </c>
      <c r="C479" s="5" t="s">
        <v>1652</v>
      </c>
      <c r="F479" s="5" t="s">
        <v>2097</v>
      </c>
      <c r="L479" s="17">
        <v>25</v>
      </c>
      <c r="M479" s="17">
        <v>5.0665966381578951</v>
      </c>
      <c r="N479" s="17">
        <v>12</v>
      </c>
      <c r="O479" s="18">
        <v>1</v>
      </c>
      <c r="P479" s="18">
        <v>0.98499999999999999</v>
      </c>
      <c r="Q479" s="18">
        <f t="shared" si="14"/>
        <v>0.98499999999999999</v>
      </c>
      <c r="R479" s="18">
        <f t="shared" si="15"/>
        <v>12.110562700779253</v>
      </c>
      <c r="S479" s="5" t="s">
        <v>1617</v>
      </c>
      <c r="U479" s="5" t="s">
        <v>1647</v>
      </c>
      <c r="V479" s="5" t="s">
        <v>2098</v>
      </c>
      <c r="W479" s="5" t="s">
        <v>2099</v>
      </c>
    </row>
    <row r="480" spans="1:23">
      <c r="A480" s="5" t="s">
        <v>1642</v>
      </c>
      <c r="B480" s="5" t="s">
        <v>2238</v>
      </c>
      <c r="C480" s="5" t="s">
        <v>1739</v>
      </c>
      <c r="E480" s="5" t="s">
        <v>2241</v>
      </c>
      <c r="G480" s="5" t="s">
        <v>1644</v>
      </c>
      <c r="L480" s="17">
        <v>25</v>
      </c>
      <c r="M480" s="17">
        <v>1.0133179944078949</v>
      </c>
      <c r="N480" s="17">
        <v>2</v>
      </c>
      <c r="P480" s="18">
        <v>0.99900000000000011</v>
      </c>
      <c r="Q480" s="18">
        <f t="shared" si="14"/>
        <v>0.99900000000000011</v>
      </c>
      <c r="R480" s="18">
        <f t="shared" si="15"/>
        <v>18.841155504422471</v>
      </c>
      <c r="S480" s="5" t="s">
        <v>1617</v>
      </c>
      <c r="U480" s="5" t="s">
        <v>1647</v>
      </c>
      <c r="V480" s="5" t="s">
        <v>2101</v>
      </c>
      <c r="W480" s="5" t="s">
        <v>2102</v>
      </c>
    </row>
    <row r="481" spans="1:23">
      <c r="A481" s="5" t="s">
        <v>1642</v>
      </c>
      <c r="B481" s="5" t="s">
        <v>2238</v>
      </c>
      <c r="C481" s="5" t="s">
        <v>1596</v>
      </c>
      <c r="G481" s="5" t="s">
        <v>1644</v>
      </c>
      <c r="L481" s="17">
        <v>25</v>
      </c>
      <c r="M481" s="17">
        <v>1.0133179944078949</v>
      </c>
      <c r="N481" s="17">
        <v>1</v>
      </c>
      <c r="P481" s="18">
        <v>0.97</v>
      </c>
      <c r="Q481" s="18">
        <f t="shared" si="14"/>
        <v>0.97</v>
      </c>
      <c r="R481" s="18">
        <f t="shared" si="15"/>
        <v>10.373469005310646</v>
      </c>
      <c r="S481" s="5" t="s">
        <v>1617</v>
      </c>
      <c r="U481" s="5" t="s">
        <v>1647</v>
      </c>
      <c r="V481" s="5" t="s">
        <v>2106</v>
      </c>
      <c r="W481" s="5" t="s">
        <v>2107</v>
      </c>
    </row>
    <row r="482" spans="1:23">
      <c r="A482" s="5" t="s">
        <v>1642</v>
      </c>
      <c r="B482" s="5" t="s">
        <v>2238</v>
      </c>
      <c r="C482" s="5" t="s">
        <v>1739</v>
      </c>
      <c r="E482" s="5" t="s">
        <v>2241</v>
      </c>
      <c r="G482" s="5" t="s">
        <v>1644</v>
      </c>
      <c r="L482" s="17">
        <v>25</v>
      </c>
      <c r="M482" s="17">
        <v>1.0133179944078949</v>
      </c>
      <c r="N482" s="17">
        <v>2</v>
      </c>
      <c r="P482" s="18">
        <v>0.995</v>
      </c>
      <c r="Q482" s="18">
        <f t="shared" si="14"/>
        <v>0.995</v>
      </c>
      <c r="R482" s="18">
        <f t="shared" si="15"/>
        <v>14.846444753772877</v>
      </c>
      <c r="S482" s="5" t="s">
        <v>1617</v>
      </c>
      <c r="U482" s="5" t="s">
        <v>1647</v>
      </c>
      <c r="V482" s="5" t="s">
        <v>2106</v>
      </c>
      <c r="W482" s="5" t="s">
        <v>2107</v>
      </c>
    </row>
    <row r="483" spans="1:23">
      <c r="A483" s="5" t="s">
        <v>1642</v>
      </c>
      <c r="B483" s="5" t="s">
        <v>2238</v>
      </c>
      <c r="C483" s="5" t="s">
        <v>1596</v>
      </c>
      <c r="F483" s="5" t="s">
        <v>2242</v>
      </c>
      <c r="L483" s="17">
        <v>20</v>
      </c>
      <c r="M483" s="17">
        <v>1.0133179944078949</v>
      </c>
      <c r="N483" s="17">
        <v>8.3333299999999999E-2</v>
      </c>
      <c r="P483" s="18">
        <v>0.996</v>
      </c>
      <c r="Q483" s="18">
        <f t="shared" si="14"/>
        <v>0.996</v>
      </c>
      <c r="R483" s="18">
        <f t="shared" si="15"/>
        <v>15.142579228263386</v>
      </c>
      <c r="S483" s="5" t="s">
        <v>1617</v>
      </c>
      <c r="U483" s="5" t="s">
        <v>1647</v>
      </c>
      <c r="V483" s="5" t="s">
        <v>2236</v>
      </c>
      <c r="W483" s="5" t="s">
        <v>2237</v>
      </c>
    </row>
    <row r="484" spans="1:23">
      <c r="A484" s="5" t="s">
        <v>1642</v>
      </c>
      <c r="B484" s="5" t="s">
        <v>2238</v>
      </c>
      <c r="C484" s="5" t="s">
        <v>1596</v>
      </c>
      <c r="D484" s="5" t="s">
        <v>1770</v>
      </c>
      <c r="G484" s="5" t="s">
        <v>1673</v>
      </c>
      <c r="L484" s="17">
        <v>20</v>
      </c>
      <c r="M484" s="17">
        <v>60.799132993421047</v>
      </c>
      <c r="N484" s="17">
        <v>2</v>
      </c>
      <c r="P484" s="18">
        <v>0.96</v>
      </c>
      <c r="Q484" s="18">
        <f t="shared" si="14"/>
        <v>0.96</v>
      </c>
      <c r="R484" s="18">
        <f t="shared" si="15"/>
        <v>9.4859059624920494</v>
      </c>
      <c r="S484" s="5" t="s">
        <v>1617</v>
      </c>
      <c r="U484" s="5" t="s">
        <v>1655</v>
      </c>
      <c r="V484" s="5" t="s">
        <v>2243</v>
      </c>
      <c r="W484" s="5" t="s">
        <v>2244</v>
      </c>
    </row>
    <row r="485" spans="1:23">
      <c r="A485" s="5" t="s">
        <v>1642</v>
      </c>
      <c r="B485" s="5" t="s">
        <v>2238</v>
      </c>
      <c r="C485" s="5" t="s">
        <v>1596</v>
      </c>
      <c r="G485" s="5" t="s">
        <v>1644</v>
      </c>
      <c r="L485" s="17">
        <v>20</v>
      </c>
      <c r="M485" s="17">
        <v>6.8949262697368416</v>
      </c>
      <c r="N485" s="17">
        <v>24</v>
      </c>
      <c r="O485" s="18">
        <v>0.9</v>
      </c>
      <c r="P485" s="18">
        <v>0.98</v>
      </c>
      <c r="Q485" s="18">
        <f t="shared" si="14"/>
        <v>0.98</v>
      </c>
      <c r="R485" s="18">
        <f t="shared" si="15"/>
        <v>11.200125248824696</v>
      </c>
      <c r="S485" s="5" t="s">
        <v>1617</v>
      </c>
      <c r="U485" s="5" t="s">
        <v>1655</v>
      </c>
      <c r="V485" s="5" t="s">
        <v>2146</v>
      </c>
      <c r="W485" s="5" t="s">
        <v>2147</v>
      </c>
    </row>
    <row r="486" spans="1:23">
      <c r="A486" s="5" t="s">
        <v>1642</v>
      </c>
      <c r="B486" s="5" t="s">
        <v>2238</v>
      </c>
      <c r="C486" s="5" t="s">
        <v>1672</v>
      </c>
      <c r="G486" s="5" t="s">
        <v>1806</v>
      </c>
      <c r="L486" s="17">
        <v>25</v>
      </c>
      <c r="M486" s="17">
        <v>2.3922965822368418</v>
      </c>
      <c r="N486" s="17">
        <v>6</v>
      </c>
      <c r="P486" s="18">
        <v>0.97</v>
      </c>
      <c r="Q486" s="18">
        <f t="shared" si="14"/>
        <v>0.97</v>
      </c>
      <c r="R486" s="18">
        <f t="shared" si="15"/>
        <v>10.373469005310646</v>
      </c>
      <c r="S486" s="5" t="s">
        <v>1617</v>
      </c>
      <c r="U486" s="5" t="s">
        <v>1647</v>
      </c>
      <c r="V486" s="5" t="s">
        <v>2150</v>
      </c>
      <c r="W486" s="5" t="s">
        <v>2151</v>
      </c>
    </row>
    <row r="487" spans="1:23">
      <c r="A487" s="5" t="s">
        <v>1642</v>
      </c>
      <c r="B487" s="5" t="s">
        <v>2238</v>
      </c>
      <c r="C487" s="5" t="s">
        <v>1672</v>
      </c>
      <c r="G487" s="5" t="s">
        <v>1806</v>
      </c>
      <c r="L487" s="17">
        <v>25</v>
      </c>
      <c r="M487" s="17">
        <v>2.3922965822368418</v>
      </c>
      <c r="N487" s="17">
        <v>6</v>
      </c>
      <c r="P487" s="18">
        <v>0.98</v>
      </c>
      <c r="Q487" s="18">
        <f t="shared" si="14"/>
        <v>0.98</v>
      </c>
      <c r="R487" s="18">
        <f t="shared" si="15"/>
        <v>11.391155868794415</v>
      </c>
      <c r="S487" s="5" t="s">
        <v>1617</v>
      </c>
      <c r="U487" s="5" t="s">
        <v>1647</v>
      </c>
      <c r="V487" s="5" t="s">
        <v>2150</v>
      </c>
      <c r="W487" s="5" t="s">
        <v>2151</v>
      </c>
    </row>
    <row r="488" spans="1:23">
      <c r="A488" s="5" t="s">
        <v>1642</v>
      </c>
      <c r="B488" s="5" t="s">
        <v>2238</v>
      </c>
      <c r="C488" s="5" t="s">
        <v>1672</v>
      </c>
      <c r="G488" s="5" t="s">
        <v>1806</v>
      </c>
      <c r="L488" s="17">
        <v>25</v>
      </c>
      <c r="M488" s="17">
        <v>2.3922965822368418</v>
      </c>
      <c r="N488" s="17">
        <v>6</v>
      </c>
      <c r="P488" s="18">
        <v>0.97199999999999998</v>
      </c>
      <c r="Q488" s="18">
        <f t="shared" si="14"/>
        <v>0.97199999999999998</v>
      </c>
      <c r="R488" s="18">
        <f t="shared" si="15"/>
        <v>10.547015580329733</v>
      </c>
      <c r="S488" s="5" t="s">
        <v>1617</v>
      </c>
      <c r="U488" s="5" t="s">
        <v>1647</v>
      </c>
      <c r="V488" s="5" t="s">
        <v>2150</v>
      </c>
      <c r="W488" s="5" t="s">
        <v>2151</v>
      </c>
    </row>
    <row r="489" spans="1:23">
      <c r="A489" s="5" t="s">
        <v>1642</v>
      </c>
      <c r="B489" s="5" t="s">
        <v>2238</v>
      </c>
      <c r="C489" s="5" t="s">
        <v>1672</v>
      </c>
      <c r="G489" s="5" t="s">
        <v>1806</v>
      </c>
      <c r="L489" s="17">
        <v>25</v>
      </c>
      <c r="M489" s="17">
        <v>2.3922965822368418</v>
      </c>
      <c r="N489" s="17">
        <v>6</v>
      </c>
      <c r="P489" s="18">
        <v>0.99450000000000005</v>
      </c>
      <c r="Q489" s="18">
        <f t="shared" si="14"/>
        <v>0.99450000000000005</v>
      </c>
      <c r="R489" s="18">
        <f t="shared" si="15"/>
        <v>14.609552478132935</v>
      </c>
      <c r="S489" s="5" t="s">
        <v>1617</v>
      </c>
      <c r="U489" s="5" t="s">
        <v>1647</v>
      </c>
      <c r="V489" s="5" t="s">
        <v>2150</v>
      </c>
      <c r="W489" s="5" t="s">
        <v>2151</v>
      </c>
    </row>
    <row r="490" spans="1:23">
      <c r="A490" s="5" t="s">
        <v>1642</v>
      </c>
      <c r="B490" s="5" t="s">
        <v>2238</v>
      </c>
      <c r="C490" s="5" t="s">
        <v>1672</v>
      </c>
      <c r="G490" s="5" t="s">
        <v>1673</v>
      </c>
      <c r="L490" s="17">
        <v>25</v>
      </c>
      <c r="M490" s="17">
        <v>1.2000213059210529</v>
      </c>
      <c r="N490" s="17">
        <v>16</v>
      </c>
      <c r="P490" s="18">
        <v>0.93</v>
      </c>
      <c r="Q490" s="18">
        <f t="shared" si="14"/>
        <v>0.93</v>
      </c>
      <c r="R490" s="18">
        <f t="shared" si="15"/>
        <v>8.2221921622623224</v>
      </c>
      <c r="S490" s="5" t="s">
        <v>1617</v>
      </c>
      <c r="U490" s="5" t="s">
        <v>1655</v>
      </c>
      <c r="V490" s="5" t="s">
        <v>1915</v>
      </c>
      <c r="W490" s="5" t="s">
        <v>1916</v>
      </c>
    </row>
    <row r="491" spans="1:23">
      <c r="A491" s="5" t="s">
        <v>1642</v>
      </c>
      <c r="B491" s="5" t="s">
        <v>2238</v>
      </c>
      <c r="C491" s="5" t="s">
        <v>1596</v>
      </c>
      <c r="F491" s="5" t="s">
        <v>2120</v>
      </c>
      <c r="I491" s="5" t="s">
        <v>2121</v>
      </c>
      <c r="J491" s="5" t="s">
        <v>487</v>
      </c>
      <c r="K491" s="5" t="s">
        <v>485</v>
      </c>
      <c r="L491" s="17">
        <v>50</v>
      </c>
      <c r="M491" s="17">
        <v>10.34238940460526</v>
      </c>
      <c r="N491" s="17">
        <v>10</v>
      </c>
      <c r="P491" s="18">
        <v>0.91</v>
      </c>
      <c r="Q491" s="18">
        <f t="shared" si="14"/>
        <v>0.91</v>
      </c>
      <c r="R491" s="18">
        <f t="shared" si="15"/>
        <v>8.2083989657122274</v>
      </c>
      <c r="U491" s="5" t="s">
        <v>1647</v>
      </c>
      <c r="V491" s="5" t="s">
        <v>2122</v>
      </c>
      <c r="W491" s="5" t="s">
        <v>2123</v>
      </c>
    </row>
    <row r="492" spans="1:23">
      <c r="A492" s="5" t="s">
        <v>1642</v>
      </c>
      <c r="B492" s="5" t="s">
        <v>2238</v>
      </c>
      <c r="C492" s="5" t="s">
        <v>1596</v>
      </c>
      <c r="G492" s="5" t="s">
        <v>1644</v>
      </c>
      <c r="M492" s="17">
        <v>1.0133179944078949</v>
      </c>
      <c r="N492" s="17">
        <v>1</v>
      </c>
      <c r="P492" s="18">
        <v>0.97</v>
      </c>
      <c r="Q492" s="18">
        <f t="shared" si="14"/>
        <v>0.97</v>
      </c>
      <c r="R492" s="18"/>
      <c r="U492" s="5" t="s">
        <v>1647</v>
      </c>
      <c r="V492" s="5" t="s">
        <v>2126</v>
      </c>
      <c r="W492" s="5" t="s">
        <v>2127</v>
      </c>
    </row>
    <row r="493" spans="1:23">
      <c r="A493" s="5" t="s">
        <v>1642</v>
      </c>
      <c r="B493" s="5" t="s">
        <v>2238</v>
      </c>
      <c r="C493" s="5" t="s">
        <v>1652</v>
      </c>
      <c r="F493" s="5" t="s">
        <v>2097</v>
      </c>
      <c r="L493" s="17">
        <v>20</v>
      </c>
      <c r="M493" s="17">
        <v>5.0665966381578951</v>
      </c>
      <c r="N493" s="17">
        <v>12</v>
      </c>
      <c r="O493" s="18">
        <v>1</v>
      </c>
      <c r="P493" s="18">
        <v>0.98499999999999999</v>
      </c>
      <c r="Q493" s="18">
        <f t="shared" si="14"/>
        <v>0.98499999999999999</v>
      </c>
      <c r="R493" s="18">
        <f t="shared" si="15"/>
        <v>11.907467569121042</v>
      </c>
      <c r="S493" s="5" t="s">
        <v>1617</v>
      </c>
      <c r="U493" s="5" t="s">
        <v>1655</v>
      </c>
      <c r="V493" s="5" t="s">
        <v>2036</v>
      </c>
      <c r="W493" s="5" t="s">
        <v>2037</v>
      </c>
    </row>
    <row r="494" spans="1:23">
      <c r="A494" s="5" t="s">
        <v>1642</v>
      </c>
      <c r="B494" s="5" t="s">
        <v>2238</v>
      </c>
      <c r="C494" s="5" t="s">
        <v>1616</v>
      </c>
      <c r="G494" s="5" t="s">
        <v>2133</v>
      </c>
      <c r="L494" s="17">
        <v>25</v>
      </c>
      <c r="M494" s="17">
        <v>1.0000177549342111</v>
      </c>
      <c r="N494" s="17">
        <v>1</v>
      </c>
      <c r="P494" s="18">
        <v>0.98599999999999999</v>
      </c>
      <c r="Q494" s="18">
        <f t="shared" si="14"/>
        <v>0.98599999999999999</v>
      </c>
      <c r="R494" s="18">
        <f t="shared" si="15"/>
        <v>12.28284236949697</v>
      </c>
      <c r="S494" s="5" t="s">
        <v>1617</v>
      </c>
      <c r="U494" s="5" t="s">
        <v>1647</v>
      </c>
      <c r="V494" s="5" t="s">
        <v>2134</v>
      </c>
      <c r="W494" s="5" t="s">
        <v>2135</v>
      </c>
    </row>
    <row r="495" spans="1:23">
      <c r="A495" s="5" t="s">
        <v>1642</v>
      </c>
      <c r="B495" s="5" t="s">
        <v>2238</v>
      </c>
      <c r="C495" s="5" t="s">
        <v>1672</v>
      </c>
      <c r="G495" s="5" t="s">
        <v>1644</v>
      </c>
      <c r="L495" s="17">
        <v>25</v>
      </c>
      <c r="M495" s="17">
        <v>3.0000599309210529</v>
      </c>
      <c r="N495" s="17">
        <v>1</v>
      </c>
      <c r="P495" s="18">
        <v>0.99</v>
      </c>
      <c r="Q495" s="18">
        <f t="shared" si="14"/>
        <v>0.99</v>
      </c>
      <c r="R495" s="18">
        <f t="shared" si="15"/>
        <v>13.121934201065967</v>
      </c>
      <c r="S495" s="5" t="s">
        <v>1617</v>
      </c>
      <c r="U495" s="5" t="s">
        <v>1647</v>
      </c>
      <c r="V495" s="5" t="s">
        <v>2136</v>
      </c>
      <c r="W495" s="5" t="s">
        <v>2137</v>
      </c>
    </row>
    <row r="496" spans="1:23">
      <c r="A496" s="5" t="s">
        <v>1642</v>
      </c>
      <c r="B496" s="5" t="s">
        <v>2238</v>
      </c>
      <c r="C496" s="5" t="s">
        <v>1672</v>
      </c>
      <c r="G496" s="5" t="s">
        <v>1644</v>
      </c>
      <c r="L496" s="17">
        <v>25</v>
      </c>
      <c r="M496" s="17">
        <v>1.0000177549342111</v>
      </c>
      <c r="N496" s="17">
        <v>2</v>
      </c>
      <c r="P496" s="18">
        <v>0.96</v>
      </c>
      <c r="Q496" s="18">
        <f t="shared" si="14"/>
        <v>0.96</v>
      </c>
      <c r="R496" s="18">
        <f t="shared" si="15"/>
        <v>9.6476986618352534</v>
      </c>
      <c r="S496" s="5" t="s">
        <v>1617</v>
      </c>
      <c r="U496" s="5" t="s">
        <v>1647</v>
      </c>
      <c r="V496" s="5" t="s">
        <v>2138</v>
      </c>
      <c r="W496" s="5" t="s">
        <v>2139</v>
      </c>
    </row>
    <row r="497" spans="1:23">
      <c r="A497" s="5" t="s">
        <v>1642</v>
      </c>
      <c r="B497" s="5" t="s">
        <v>2238</v>
      </c>
      <c r="C497" s="5" t="s">
        <v>1596</v>
      </c>
      <c r="F497" s="5" t="s">
        <v>2245</v>
      </c>
      <c r="L497" s="17">
        <v>20</v>
      </c>
      <c r="M497" s="17">
        <v>1.0133179944078949</v>
      </c>
      <c r="N497" s="17">
        <v>0.5</v>
      </c>
      <c r="P497" s="18">
        <v>0.97</v>
      </c>
      <c r="Q497" s="18">
        <f t="shared" si="14"/>
        <v>0.97</v>
      </c>
      <c r="R497" s="18">
        <f t="shared" si="15"/>
        <v>10.199505077668341</v>
      </c>
      <c r="S497" s="5" t="s">
        <v>1597</v>
      </c>
      <c r="U497" s="5" t="s">
        <v>1647</v>
      </c>
      <c r="V497" s="5" t="s">
        <v>2246</v>
      </c>
      <c r="W497" s="5" t="s">
        <v>2247</v>
      </c>
    </row>
    <row r="498" spans="1:23">
      <c r="A498" s="5" t="s">
        <v>1642</v>
      </c>
      <c r="B498" s="5" t="s">
        <v>2238</v>
      </c>
      <c r="C498" s="5" t="s">
        <v>1672</v>
      </c>
      <c r="G498" s="5" t="s">
        <v>1644</v>
      </c>
      <c r="L498" s="17">
        <v>25</v>
      </c>
      <c r="M498" s="17">
        <v>1.0000177549342111</v>
      </c>
      <c r="N498" s="17">
        <v>2</v>
      </c>
      <c r="P498" s="18">
        <v>0.97</v>
      </c>
      <c r="Q498" s="18">
        <f t="shared" si="14"/>
        <v>0.97</v>
      </c>
      <c r="R498" s="18">
        <f t="shared" si="15"/>
        <v>10.373469005310646</v>
      </c>
      <c r="S498" s="5" t="s">
        <v>1597</v>
      </c>
      <c r="U498" s="5" t="s">
        <v>1655</v>
      </c>
      <c r="V498" s="5" t="s">
        <v>2248</v>
      </c>
      <c r="W498" s="5" t="s">
        <v>2249</v>
      </c>
    </row>
    <row r="499" spans="1:23">
      <c r="A499" s="5" t="s">
        <v>1642</v>
      </c>
      <c r="B499" s="5" t="s">
        <v>2238</v>
      </c>
      <c r="C499" s="5" t="s">
        <v>1596</v>
      </c>
      <c r="D499" s="5" t="s">
        <v>2250</v>
      </c>
      <c r="G499" s="5" t="s">
        <v>1673</v>
      </c>
      <c r="L499" s="17">
        <v>0</v>
      </c>
      <c r="M499" s="17">
        <v>10.00017754934211</v>
      </c>
      <c r="N499" s="17">
        <v>5</v>
      </c>
      <c r="P499" s="18">
        <v>0.99</v>
      </c>
      <c r="Q499" s="18">
        <f t="shared" si="14"/>
        <v>0.99</v>
      </c>
      <c r="R499" s="18">
        <f t="shared" si="15"/>
        <v>12.021654626936671</v>
      </c>
      <c r="S499" s="5" t="s">
        <v>1597</v>
      </c>
      <c r="U499" s="5" t="s">
        <v>1655</v>
      </c>
      <c r="V499" s="5" t="s">
        <v>2251</v>
      </c>
      <c r="W499" s="5" t="s">
        <v>2252</v>
      </c>
    </row>
    <row r="500" spans="1:23">
      <c r="A500" s="5" t="s">
        <v>1642</v>
      </c>
      <c r="B500" s="5" t="s">
        <v>2238</v>
      </c>
      <c r="C500" s="5" t="s">
        <v>1672</v>
      </c>
      <c r="G500" s="5" t="s">
        <v>1909</v>
      </c>
      <c r="L500" s="17">
        <v>25</v>
      </c>
      <c r="M500" s="17">
        <v>1.2000213059210529</v>
      </c>
      <c r="N500" s="17">
        <v>16</v>
      </c>
      <c r="P500" s="18">
        <v>0.95</v>
      </c>
      <c r="Q500" s="18">
        <f t="shared" si="14"/>
        <v>0.95</v>
      </c>
      <c r="R500" s="18">
        <f t="shared" si="15"/>
        <v>9.0818527279060035</v>
      </c>
      <c r="S500" s="5" t="s">
        <v>1597</v>
      </c>
      <c r="U500" s="5" t="s">
        <v>1655</v>
      </c>
      <c r="V500" s="5" t="s">
        <v>1915</v>
      </c>
      <c r="W500" s="5" t="s">
        <v>1916</v>
      </c>
    </row>
    <row r="501" spans="1:23">
      <c r="A501" s="5" t="s">
        <v>1642</v>
      </c>
      <c r="B501" s="5" t="s">
        <v>2238</v>
      </c>
      <c r="C501" s="5" t="s">
        <v>1672</v>
      </c>
      <c r="G501" s="5" t="s">
        <v>1673</v>
      </c>
      <c r="L501" s="17">
        <v>25</v>
      </c>
      <c r="M501" s="17">
        <v>1.2000213059210529</v>
      </c>
      <c r="N501" s="17">
        <v>16</v>
      </c>
      <c r="P501" s="18">
        <v>0.82</v>
      </c>
      <c r="Q501" s="18">
        <f t="shared" si="14"/>
        <v>0.82</v>
      </c>
      <c r="R501" s="18">
        <f t="shared" si="15"/>
        <v>5.7354273580071613</v>
      </c>
      <c r="U501" s="5" t="s">
        <v>1655</v>
      </c>
      <c r="V501" s="5" t="s">
        <v>2183</v>
      </c>
      <c r="W501" s="5" t="s">
        <v>2184</v>
      </c>
    </row>
    <row r="502" spans="1:23">
      <c r="A502" s="5" t="s">
        <v>1642</v>
      </c>
      <c r="B502" s="5" t="s">
        <v>2238</v>
      </c>
      <c r="C502" s="5" t="s">
        <v>1672</v>
      </c>
      <c r="G502" s="5" t="s">
        <v>1673</v>
      </c>
      <c r="L502" s="17">
        <v>25</v>
      </c>
      <c r="M502" s="17">
        <v>1.2000213059210529</v>
      </c>
      <c r="N502" s="17">
        <v>16</v>
      </c>
      <c r="P502" s="18">
        <v>0.93</v>
      </c>
      <c r="Q502" s="18">
        <f t="shared" si="14"/>
        <v>0.93</v>
      </c>
      <c r="R502" s="18">
        <f t="shared" si="15"/>
        <v>8.2221921622623224</v>
      </c>
      <c r="U502" s="5" t="s">
        <v>1655</v>
      </c>
      <c r="V502" s="5" t="s">
        <v>2183</v>
      </c>
      <c r="W502" s="5" t="s">
        <v>2184</v>
      </c>
    </row>
    <row r="503" spans="1:23">
      <c r="A503" s="5" t="s">
        <v>1642</v>
      </c>
      <c r="B503" s="5" t="s">
        <v>2238</v>
      </c>
      <c r="C503" s="5" t="s">
        <v>1596</v>
      </c>
      <c r="D503" s="5" t="s">
        <v>2250</v>
      </c>
      <c r="G503" s="5" t="s">
        <v>1673</v>
      </c>
      <c r="L503" s="17">
        <v>20</v>
      </c>
      <c r="M503" s="17">
        <v>10.00017754934211</v>
      </c>
      <c r="N503" s="17">
        <v>5</v>
      </c>
      <c r="P503" s="18">
        <v>0.67</v>
      </c>
      <c r="Q503" s="18">
        <f t="shared" si="14"/>
        <v>0.67</v>
      </c>
      <c r="R503" s="18">
        <f t="shared" si="15"/>
        <v>3.9522035751381654</v>
      </c>
      <c r="U503" s="5" t="s">
        <v>1655</v>
      </c>
      <c r="V503" s="5" t="s">
        <v>2251</v>
      </c>
      <c r="W503" s="5" t="s">
        <v>2252</v>
      </c>
    </row>
    <row r="504" spans="1:23">
      <c r="A504" s="5" t="s">
        <v>1642</v>
      </c>
      <c r="B504" s="5" t="s">
        <v>2238</v>
      </c>
      <c r="C504" s="5" t="s">
        <v>1672</v>
      </c>
      <c r="G504" s="5" t="s">
        <v>1673</v>
      </c>
      <c r="L504" s="17">
        <v>25</v>
      </c>
      <c r="M504" s="17">
        <v>1.2000213059210529</v>
      </c>
      <c r="N504" s="17">
        <v>16</v>
      </c>
      <c r="P504" s="18">
        <v>0.86</v>
      </c>
      <c r="Q504" s="18">
        <f t="shared" si="14"/>
        <v>0.86</v>
      </c>
      <c r="R504" s="18">
        <f t="shared" si="15"/>
        <v>6.4123205626304234</v>
      </c>
      <c r="U504" s="5" t="s">
        <v>1655</v>
      </c>
      <c r="V504" s="5" t="s">
        <v>1915</v>
      </c>
      <c r="W504" s="5" t="s">
        <v>1916</v>
      </c>
    </row>
    <row r="505" spans="1:23">
      <c r="A505" s="5" t="s">
        <v>1642</v>
      </c>
      <c r="B505" s="5" t="s">
        <v>2238</v>
      </c>
      <c r="C505" s="5" t="s">
        <v>1672</v>
      </c>
      <c r="G505" s="5" t="s">
        <v>1673</v>
      </c>
      <c r="L505" s="17">
        <v>25</v>
      </c>
      <c r="M505" s="17">
        <v>1.2000213059210529</v>
      </c>
      <c r="N505" s="17">
        <v>16</v>
      </c>
      <c r="P505" s="18">
        <v>0.87</v>
      </c>
      <c r="Q505" s="18">
        <f t="shared" si="14"/>
        <v>0.87</v>
      </c>
      <c r="R505" s="18">
        <f t="shared" si="15"/>
        <v>6.6093239535169408</v>
      </c>
      <c r="U505" s="5" t="s">
        <v>1655</v>
      </c>
      <c r="V505" s="5" t="s">
        <v>1915</v>
      </c>
      <c r="W505" s="5" t="s">
        <v>1916</v>
      </c>
    </row>
    <row r="506" spans="1:23">
      <c r="A506" s="5" t="s">
        <v>1642</v>
      </c>
      <c r="B506" s="5" t="s">
        <v>2238</v>
      </c>
      <c r="C506" s="5" t="s">
        <v>1596</v>
      </c>
      <c r="F506" s="5" t="s">
        <v>2227</v>
      </c>
      <c r="L506" s="17">
        <v>30</v>
      </c>
      <c r="M506" s="17">
        <v>10.00017754934211</v>
      </c>
      <c r="N506" s="17">
        <v>0.25</v>
      </c>
      <c r="P506" s="18">
        <v>0.56000000000000005</v>
      </c>
      <c r="Q506" s="18">
        <f t="shared" si="14"/>
        <v>0.56000000000000005</v>
      </c>
      <c r="R506" s="18">
        <f t="shared" si="15"/>
        <v>3.1901635749612169</v>
      </c>
      <c r="U506" s="5" t="s">
        <v>1647</v>
      </c>
      <c r="V506" s="5" t="s">
        <v>1705</v>
      </c>
      <c r="W506" s="5" t="s">
        <v>1706</v>
      </c>
    </row>
    <row r="507" spans="1:23">
      <c r="A507" s="5" t="s">
        <v>1642</v>
      </c>
      <c r="B507" s="5" t="s">
        <v>2238</v>
      </c>
      <c r="C507" s="5" t="s">
        <v>1596</v>
      </c>
      <c r="F507" s="5" t="s">
        <v>1987</v>
      </c>
      <c r="J507" s="5" t="s">
        <v>1988</v>
      </c>
      <c r="L507" s="17">
        <v>20</v>
      </c>
      <c r="M507" s="17">
        <v>0</v>
      </c>
      <c r="N507" s="17">
        <v>3</v>
      </c>
      <c r="P507" s="18">
        <v>0.24</v>
      </c>
      <c r="Q507" s="18">
        <f t="shared" si="14"/>
        <v>0.24</v>
      </c>
      <c r="R507" s="18">
        <f t="shared" si="15"/>
        <v>1.1932227270957392</v>
      </c>
      <c r="U507" s="5" t="s">
        <v>1647</v>
      </c>
      <c r="V507" s="5" t="s">
        <v>1989</v>
      </c>
      <c r="W507" s="5" t="s">
        <v>1990</v>
      </c>
    </row>
    <row r="508" spans="1:23">
      <c r="A508" s="5" t="s">
        <v>1642</v>
      </c>
      <c r="B508" s="5" t="s">
        <v>2238</v>
      </c>
      <c r="C508" s="5" t="s">
        <v>1596</v>
      </c>
      <c r="F508" s="5" t="s">
        <v>1991</v>
      </c>
      <c r="J508" s="5" t="s">
        <v>1992</v>
      </c>
      <c r="L508" s="17">
        <v>20</v>
      </c>
      <c r="M508" s="17">
        <v>0</v>
      </c>
      <c r="N508" s="17">
        <v>3</v>
      </c>
      <c r="P508" s="18">
        <v>0.34</v>
      </c>
      <c r="Q508" s="18">
        <f t="shared" si="14"/>
        <v>0.34</v>
      </c>
      <c r="R508" s="18">
        <f t="shared" si="15"/>
        <v>1.7261271972847669</v>
      </c>
      <c r="U508" s="5" t="s">
        <v>1647</v>
      </c>
      <c r="V508" s="5" t="s">
        <v>1989</v>
      </c>
      <c r="W508" s="5" t="s">
        <v>1990</v>
      </c>
    </row>
    <row r="509" spans="1:23">
      <c r="A509" s="5" t="s">
        <v>1642</v>
      </c>
      <c r="B509" s="5" t="s">
        <v>2238</v>
      </c>
      <c r="C509" s="5" t="s">
        <v>1672</v>
      </c>
      <c r="F509" s="5" t="s">
        <v>1993</v>
      </c>
      <c r="J509" s="5" t="s">
        <v>1994</v>
      </c>
      <c r="L509" s="17">
        <v>20</v>
      </c>
      <c r="M509" s="17">
        <v>0</v>
      </c>
      <c r="N509" s="17">
        <v>3</v>
      </c>
      <c r="P509" s="18">
        <v>0.53</v>
      </c>
      <c r="Q509" s="18">
        <f t="shared" si="14"/>
        <v>0.53</v>
      </c>
      <c r="R509" s="18">
        <f t="shared" si="15"/>
        <v>2.8768345204381935</v>
      </c>
      <c r="U509" s="5" t="s">
        <v>1647</v>
      </c>
      <c r="V509" s="5" t="s">
        <v>1989</v>
      </c>
      <c r="W509" s="5" t="s">
        <v>1990</v>
      </c>
    </row>
    <row r="510" spans="1:23">
      <c r="A510" s="5" t="s">
        <v>1642</v>
      </c>
      <c r="B510" s="5" t="s">
        <v>2238</v>
      </c>
      <c r="C510" s="5" t="s">
        <v>1672</v>
      </c>
      <c r="F510" s="5" t="s">
        <v>1995</v>
      </c>
      <c r="J510" s="5" t="s">
        <v>1994</v>
      </c>
      <c r="L510" s="17">
        <v>20</v>
      </c>
      <c r="M510" s="17">
        <v>0</v>
      </c>
      <c r="N510" s="17">
        <v>3</v>
      </c>
      <c r="P510" s="18">
        <v>0.39</v>
      </c>
      <c r="Q510" s="18">
        <f t="shared" si="14"/>
        <v>0.39</v>
      </c>
      <c r="R510" s="18">
        <f t="shared" si="15"/>
        <v>2.0074392460064217</v>
      </c>
      <c r="U510" s="5" t="s">
        <v>1647</v>
      </c>
      <c r="V510" s="5" t="s">
        <v>1989</v>
      </c>
      <c r="W510" s="5" t="s">
        <v>1990</v>
      </c>
    </row>
    <row r="511" spans="1:23">
      <c r="A511" s="5" t="s">
        <v>1642</v>
      </c>
      <c r="B511" s="5" t="s">
        <v>2238</v>
      </c>
      <c r="F511" s="5" t="s">
        <v>2232</v>
      </c>
      <c r="J511" s="5" t="s">
        <v>1992</v>
      </c>
      <c r="L511" s="17">
        <v>20</v>
      </c>
      <c r="M511" s="17">
        <v>0</v>
      </c>
      <c r="N511" s="17">
        <v>3</v>
      </c>
      <c r="P511" s="18">
        <v>0.25</v>
      </c>
      <c r="Q511" s="18">
        <f t="shared" si="14"/>
        <v>0.25</v>
      </c>
      <c r="R511" s="18">
        <f t="shared" si="15"/>
        <v>1.2450841660464032</v>
      </c>
      <c r="U511" s="5" t="s">
        <v>1647</v>
      </c>
      <c r="V511" s="5" t="s">
        <v>1989</v>
      </c>
      <c r="W511" s="5" t="s">
        <v>1990</v>
      </c>
    </row>
    <row r="512" spans="1:23">
      <c r="A512" s="5" t="s">
        <v>1642</v>
      </c>
      <c r="B512" s="5" t="s">
        <v>2238</v>
      </c>
      <c r="F512" s="5" t="s">
        <v>1996</v>
      </c>
      <c r="J512" s="5" t="s">
        <v>1988</v>
      </c>
      <c r="L512" s="17">
        <v>20</v>
      </c>
      <c r="M512" s="17">
        <v>0</v>
      </c>
      <c r="N512" s="17">
        <v>3</v>
      </c>
      <c r="P512" s="18">
        <v>0.13</v>
      </c>
      <c r="Q512" s="18">
        <f t="shared" si="14"/>
        <v>0.13</v>
      </c>
      <c r="R512" s="18">
        <f t="shared" si="15"/>
        <v>0.63732949002107353</v>
      </c>
      <c r="U512" s="5" t="s">
        <v>1647</v>
      </c>
      <c r="V512" s="5" t="s">
        <v>1989</v>
      </c>
      <c r="W512" s="5" t="s">
        <v>1990</v>
      </c>
    </row>
    <row r="513" spans="1:23">
      <c r="A513" s="5" t="s">
        <v>1642</v>
      </c>
      <c r="B513" s="5" t="s">
        <v>2238</v>
      </c>
      <c r="C513" s="5" t="s">
        <v>1652</v>
      </c>
      <c r="G513" s="5" t="s">
        <v>2039</v>
      </c>
      <c r="L513" s="17">
        <v>20</v>
      </c>
      <c r="M513" s="17">
        <v>13.000237480263159</v>
      </c>
      <c r="N513" s="17">
        <v>2</v>
      </c>
      <c r="P513" s="18">
        <v>0.75</v>
      </c>
      <c r="Q513" s="18">
        <f t="shared" si="14"/>
        <v>0.75</v>
      </c>
      <c r="R513" s="18">
        <f t="shared" si="15"/>
        <v>4.7429529812460265</v>
      </c>
      <c r="U513" s="5" t="s">
        <v>1655</v>
      </c>
      <c r="V513" s="5" t="s">
        <v>2233</v>
      </c>
      <c r="W513" s="5" t="s">
        <v>2234</v>
      </c>
    </row>
    <row r="514" spans="1:23">
      <c r="A514" s="5" t="s">
        <v>1642</v>
      </c>
      <c r="B514" s="5" t="s">
        <v>2238</v>
      </c>
      <c r="C514" s="5" t="s">
        <v>1652</v>
      </c>
      <c r="G514" s="5" t="s">
        <v>2039</v>
      </c>
      <c r="L514" s="17">
        <v>20</v>
      </c>
      <c r="M514" s="17">
        <v>1.0000177549342111</v>
      </c>
      <c r="N514" s="17">
        <v>2</v>
      </c>
      <c r="P514" s="18">
        <v>0.04</v>
      </c>
      <c r="Q514" s="18">
        <f t="shared" ref="Q514:Q577" si="16">ABS(P514)</f>
        <v>0.04</v>
      </c>
      <c r="R514" s="18">
        <f t="shared" si="15"/>
        <v>0.19509574949876737</v>
      </c>
      <c r="U514" s="5" t="s">
        <v>1655</v>
      </c>
      <c r="V514" s="5" t="s">
        <v>2233</v>
      </c>
      <c r="W514" s="5" t="s">
        <v>2234</v>
      </c>
    </row>
    <row r="515" spans="1:23">
      <c r="A515" s="5" t="s">
        <v>1642</v>
      </c>
      <c r="B515" s="5" t="s">
        <v>2238</v>
      </c>
      <c r="C515" s="5" t="s">
        <v>1596</v>
      </c>
      <c r="F515" s="5" t="s">
        <v>2253</v>
      </c>
      <c r="L515" s="17">
        <v>50</v>
      </c>
      <c r="M515" s="17">
        <v>10.13317994407895</v>
      </c>
      <c r="N515" s="17">
        <v>24</v>
      </c>
      <c r="P515" s="18">
        <v>0.26</v>
      </c>
      <c r="Q515" s="18">
        <f t="shared" si="16"/>
        <v>0.26</v>
      </c>
      <c r="R515" s="18">
        <f t="shared" ref="R515:R578" si="17">8.3145*(L515+273.15)*LN((Q515+1)/(1-Q515))*0.001</f>
        <v>1.4299764609270296</v>
      </c>
      <c r="U515" s="5" t="s">
        <v>1655</v>
      </c>
      <c r="V515" s="5" t="s">
        <v>2254</v>
      </c>
      <c r="W515" s="5" t="s">
        <v>2255</v>
      </c>
    </row>
    <row r="516" spans="1:23">
      <c r="A516" s="5" t="s">
        <v>1642</v>
      </c>
      <c r="B516" s="5" t="s">
        <v>2238</v>
      </c>
      <c r="C516" s="5" t="s">
        <v>1652</v>
      </c>
      <c r="G516" s="5" t="s">
        <v>1644</v>
      </c>
      <c r="L516" s="17">
        <v>50</v>
      </c>
      <c r="M516" s="17">
        <v>51.711880361842113</v>
      </c>
      <c r="N516" s="17">
        <v>12</v>
      </c>
      <c r="P516" s="18">
        <v>0.57999999999999996</v>
      </c>
      <c r="Q516" s="18">
        <f t="shared" si="16"/>
        <v>0.57999999999999996</v>
      </c>
      <c r="R516" s="18">
        <f t="shared" si="17"/>
        <v>3.559850246420198</v>
      </c>
      <c r="U516" s="5" t="s">
        <v>1647</v>
      </c>
      <c r="V516" s="5" t="s">
        <v>1670</v>
      </c>
      <c r="W516" s="5" t="s">
        <v>1671</v>
      </c>
    </row>
    <row r="517" spans="1:23">
      <c r="A517" s="5" t="s">
        <v>1642</v>
      </c>
      <c r="B517" s="5" t="s">
        <v>1643</v>
      </c>
      <c r="C517" s="5" t="s">
        <v>1596</v>
      </c>
      <c r="G517" s="5" t="s">
        <v>1673</v>
      </c>
      <c r="H517" s="5" t="s">
        <v>291</v>
      </c>
      <c r="I517" s="5" t="s">
        <v>291</v>
      </c>
      <c r="K517" s="5" t="s">
        <v>290</v>
      </c>
      <c r="L517" s="17">
        <v>35</v>
      </c>
      <c r="M517" s="17">
        <v>5</v>
      </c>
      <c r="O517" s="18">
        <v>0.96</v>
      </c>
      <c r="P517" s="18">
        <v>0.14000000000000001</v>
      </c>
      <c r="Q517" s="18">
        <f t="shared" si="16"/>
        <v>0.14000000000000001</v>
      </c>
      <c r="R517" s="18">
        <f t="shared" si="17"/>
        <v>0.72213455028935436</v>
      </c>
      <c r="S517" s="5" t="s">
        <v>1617</v>
      </c>
      <c r="U517" s="5" t="s">
        <v>1655</v>
      </c>
      <c r="V517" s="5" t="s">
        <v>2256</v>
      </c>
      <c r="W517" s="5" t="s">
        <v>2257</v>
      </c>
    </row>
    <row r="518" spans="1:23">
      <c r="A518" s="5" t="s">
        <v>1642</v>
      </c>
      <c r="B518" s="5" t="s">
        <v>1643</v>
      </c>
      <c r="C518" s="5" t="s">
        <v>1596</v>
      </c>
      <c r="G518" s="5" t="s">
        <v>1673</v>
      </c>
      <c r="H518" s="5" t="s">
        <v>2258</v>
      </c>
      <c r="I518" s="5" t="s">
        <v>2258</v>
      </c>
      <c r="L518" s="17">
        <v>35</v>
      </c>
      <c r="M518" s="17">
        <v>5</v>
      </c>
      <c r="O518" s="18">
        <v>0.96</v>
      </c>
      <c r="P518" s="18">
        <v>0.31</v>
      </c>
      <c r="Q518" s="18">
        <f t="shared" si="16"/>
        <v>0.31</v>
      </c>
      <c r="R518" s="18">
        <f t="shared" si="17"/>
        <v>1.6425472327165676</v>
      </c>
      <c r="S518" s="5" t="s">
        <v>1617</v>
      </c>
      <c r="U518" s="5" t="s">
        <v>1655</v>
      </c>
      <c r="V518" s="5" t="s">
        <v>2256</v>
      </c>
      <c r="W518" s="5" t="s">
        <v>2257</v>
      </c>
    </row>
    <row r="519" spans="1:23">
      <c r="A519" s="5" t="s">
        <v>1642</v>
      </c>
      <c r="B519" s="5" t="s">
        <v>1643</v>
      </c>
      <c r="C519" s="5" t="s">
        <v>1596</v>
      </c>
      <c r="G519" s="5" t="s">
        <v>1673</v>
      </c>
      <c r="H519" s="5" t="s">
        <v>2259</v>
      </c>
      <c r="I519" s="5" t="s">
        <v>2259</v>
      </c>
      <c r="L519" s="17">
        <v>35</v>
      </c>
      <c r="M519" s="17">
        <v>5</v>
      </c>
      <c r="O519" s="18">
        <v>0.96</v>
      </c>
      <c r="P519" s="18">
        <v>0.14000000000000001</v>
      </c>
      <c r="Q519" s="18">
        <f t="shared" si="16"/>
        <v>0.14000000000000001</v>
      </c>
      <c r="R519" s="18">
        <f t="shared" si="17"/>
        <v>0.72213455028935436</v>
      </c>
      <c r="S519" s="5" t="s">
        <v>1597</v>
      </c>
      <c r="U519" s="5" t="s">
        <v>1655</v>
      </c>
      <c r="V519" s="5" t="s">
        <v>2256</v>
      </c>
      <c r="W519" s="5" t="s">
        <v>2257</v>
      </c>
    </row>
    <row r="520" spans="1:23">
      <c r="A520" s="5" t="s">
        <v>1642</v>
      </c>
      <c r="B520" s="5" t="s">
        <v>1643</v>
      </c>
      <c r="C520" s="5" t="s">
        <v>1596</v>
      </c>
      <c r="G520" s="5" t="s">
        <v>1673</v>
      </c>
      <c r="H520" s="5" t="s">
        <v>2260</v>
      </c>
      <c r="I520" s="5" t="s">
        <v>2260</v>
      </c>
      <c r="L520" s="17">
        <v>35</v>
      </c>
      <c r="M520" s="17">
        <v>5</v>
      </c>
      <c r="O520" s="18">
        <v>0.96</v>
      </c>
      <c r="P520" s="18">
        <v>0.04</v>
      </c>
      <c r="Q520" s="18">
        <f t="shared" si="16"/>
        <v>0.04</v>
      </c>
      <c r="R520" s="18">
        <f t="shared" si="17"/>
        <v>0.20507847589304162</v>
      </c>
      <c r="S520" s="5" t="s">
        <v>1617</v>
      </c>
      <c r="U520" s="5" t="s">
        <v>1655</v>
      </c>
      <c r="V520" s="5" t="s">
        <v>2256</v>
      </c>
      <c r="W520" s="5" t="s">
        <v>2257</v>
      </c>
    </row>
    <row r="521" spans="1:23">
      <c r="A521" s="5" t="s">
        <v>1642</v>
      </c>
      <c r="B521" s="5" t="s">
        <v>1643</v>
      </c>
      <c r="C521" s="5" t="s">
        <v>1596</v>
      </c>
      <c r="G521" s="5" t="s">
        <v>1673</v>
      </c>
      <c r="H521" s="5" t="s">
        <v>2261</v>
      </c>
      <c r="I521" s="5" t="s">
        <v>2261</v>
      </c>
      <c r="L521" s="17">
        <v>35</v>
      </c>
      <c r="M521" s="17">
        <v>5</v>
      </c>
      <c r="O521" s="18">
        <v>0.96</v>
      </c>
      <c r="P521" s="18">
        <v>0.26</v>
      </c>
      <c r="Q521" s="18">
        <f t="shared" si="16"/>
        <v>0.26</v>
      </c>
      <c r="R521" s="18">
        <f t="shared" si="17"/>
        <v>1.3635997104584994</v>
      </c>
      <c r="S521" s="5" t="s">
        <v>1617</v>
      </c>
      <c r="U521" s="5" t="s">
        <v>1655</v>
      </c>
      <c r="V521" s="5" t="s">
        <v>2256</v>
      </c>
      <c r="W521" s="5" t="s">
        <v>2257</v>
      </c>
    </row>
    <row r="522" spans="1:23">
      <c r="A522" s="5" t="s">
        <v>1642</v>
      </c>
      <c r="B522" s="5" t="s">
        <v>1643</v>
      </c>
      <c r="C522" s="5" t="s">
        <v>1596</v>
      </c>
      <c r="G522" s="5" t="s">
        <v>1673</v>
      </c>
      <c r="H522" s="5" t="s">
        <v>2262</v>
      </c>
      <c r="I522" s="5" t="s">
        <v>2262</v>
      </c>
      <c r="L522" s="17">
        <v>35</v>
      </c>
      <c r="M522" s="17">
        <v>5</v>
      </c>
      <c r="O522" s="18">
        <v>0.96</v>
      </c>
      <c r="P522" s="18">
        <v>0.21</v>
      </c>
      <c r="Q522" s="18">
        <f t="shared" si="16"/>
        <v>0.21</v>
      </c>
      <c r="R522" s="18">
        <f t="shared" si="17"/>
        <v>1.0923382311326366</v>
      </c>
      <c r="S522" s="5" t="s">
        <v>1617</v>
      </c>
      <c r="U522" s="5" t="s">
        <v>1655</v>
      </c>
      <c r="V522" s="5" t="s">
        <v>2256</v>
      </c>
      <c r="W522" s="5" t="s">
        <v>2257</v>
      </c>
    </row>
    <row r="523" spans="1:23">
      <c r="A523" s="5" t="s">
        <v>1642</v>
      </c>
      <c r="B523" s="5" t="s">
        <v>1643</v>
      </c>
      <c r="C523" s="5" t="s">
        <v>1596</v>
      </c>
      <c r="G523" s="5" t="s">
        <v>1673</v>
      </c>
      <c r="H523" s="5" t="s">
        <v>2263</v>
      </c>
      <c r="I523" s="5" t="s">
        <v>2263</v>
      </c>
      <c r="L523" s="17">
        <v>35</v>
      </c>
      <c r="M523" s="17">
        <v>5</v>
      </c>
      <c r="O523" s="18">
        <v>0.96</v>
      </c>
      <c r="P523" s="18">
        <v>0.34</v>
      </c>
      <c r="Q523" s="18">
        <f t="shared" si="16"/>
        <v>0.34</v>
      </c>
      <c r="R523" s="18">
        <f t="shared" si="17"/>
        <v>1.814450267246464</v>
      </c>
      <c r="S523" s="5" t="s">
        <v>1617</v>
      </c>
      <c r="U523" s="5" t="s">
        <v>1655</v>
      </c>
      <c r="V523" s="5" t="s">
        <v>2256</v>
      </c>
      <c r="W523" s="5" t="s">
        <v>2257</v>
      </c>
    </row>
    <row r="524" spans="1:23">
      <c r="A524" s="5" t="s">
        <v>1642</v>
      </c>
      <c r="B524" s="5" t="s">
        <v>1643</v>
      </c>
      <c r="C524" s="5" t="s">
        <v>1596</v>
      </c>
      <c r="G524" s="5" t="s">
        <v>1673</v>
      </c>
      <c r="H524" s="5" t="s">
        <v>2264</v>
      </c>
      <c r="I524" s="5" t="s">
        <v>2264</v>
      </c>
      <c r="L524" s="17">
        <v>35</v>
      </c>
      <c r="M524" s="17">
        <v>5</v>
      </c>
      <c r="O524" s="18">
        <v>0.96</v>
      </c>
      <c r="P524" s="18">
        <v>0.27</v>
      </c>
      <c r="Q524" s="18">
        <f t="shared" si="16"/>
        <v>0.27</v>
      </c>
      <c r="R524" s="18">
        <f t="shared" si="17"/>
        <v>1.4187128954109909</v>
      </c>
      <c r="S524" s="5" t="s">
        <v>1617</v>
      </c>
      <c r="U524" s="5" t="s">
        <v>1655</v>
      </c>
      <c r="V524" s="5" t="s">
        <v>2256</v>
      </c>
      <c r="W524" s="5" t="s">
        <v>2257</v>
      </c>
    </row>
    <row r="525" spans="1:23">
      <c r="A525" s="5" t="s">
        <v>1642</v>
      </c>
      <c r="B525" s="5" t="s">
        <v>1643</v>
      </c>
      <c r="C525" s="5" t="s">
        <v>1596</v>
      </c>
      <c r="G525" s="5" t="s">
        <v>1673</v>
      </c>
      <c r="H525" s="5" t="s">
        <v>2265</v>
      </c>
      <c r="I525" s="5" t="s">
        <v>2265</v>
      </c>
      <c r="L525" s="17">
        <v>35</v>
      </c>
      <c r="M525" s="17">
        <v>5</v>
      </c>
      <c r="O525" s="18">
        <v>0.96</v>
      </c>
      <c r="P525" s="18">
        <v>0.1</v>
      </c>
      <c r="Q525" s="18">
        <f t="shared" si="16"/>
        <v>0.1</v>
      </c>
      <c r="R525" s="18">
        <f t="shared" si="17"/>
        <v>0.51414103267999045</v>
      </c>
      <c r="S525" s="5" t="s">
        <v>1617</v>
      </c>
      <c r="U525" s="5" t="s">
        <v>1655</v>
      </c>
      <c r="V525" s="5" t="s">
        <v>2256</v>
      </c>
      <c r="W525" s="5" t="s">
        <v>2257</v>
      </c>
    </row>
    <row r="526" spans="1:23">
      <c r="A526" s="5" t="s">
        <v>1642</v>
      </c>
      <c r="B526" s="5" t="s">
        <v>1643</v>
      </c>
      <c r="C526" s="5" t="s">
        <v>1596</v>
      </c>
      <c r="G526" s="5" t="s">
        <v>1673</v>
      </c>
      <c r="H526" s="5" t="s">
        <v>2266</v>
      </c>
      <c r="I526" s="5" t="s">
        <v>2266</v>
      </c>
      <c r="L526" s="17">
        <v>35</v>
      </c>
      <c r="M526" s="17">
        <v>5</v>
      </c>
      <c r="O526" s="18">
        <v>0.96</v>
      </c>
      <c r="P526" s="18">
        <v>0.3</v>
      </c>
      <c r="Q526" s="18">
        <f t="shared" si="16"/>
        <v>0.3</v>
      </c>
      <c r="R526" s="18">
        <f t="shared" si="17"/>
        <v>1.5860485116991563</v>
      </c>
      <c r="S526" s="5" t="s">
        <v>1597</v>
      </c>
      <c r="U526" s="5" t="s">
        <v>1655</v>
      </c>
      <c r="V526" s="5" t="s">
        <v>2256</v>
      </c>
      <c r="W526" s="5" t="s">
        <v>2257</v>
      </c>
    </row>
    <row r="527" spans="1:23">
      <c r="A527" s="5" t="s">
        <v>1642</v>
      </c>
      <c r="B527" s="5" t="s">
        <v>1643</v>
      </c>
      <c r="C527" s="5" t="s">
        <v>1596</v>
      </c>
      <c r="G527" s="5" t="s">
        <v>1673</v>
      </c>
      <c r="H527" s="5" t="s">
        <v>2267</v>
      </c>
      <c r="I527" s="5" t="s">
        <v>2267</v>
      </c>
      <c r="L527" s="17">
        <v>35</v>
      </c>
      <c r="M527" s="17">
        <v>5</v>
      </c>
      <c r="O527" s="18">
        <v>0.96</v>
      </c>
      <c r="P527" s="18">
        <v>0.23</v>
      </c>
      <c r="Q527" s="18">
        <f t="shared" si="16"/>
        <v>0.23</v>
      </c>
      <c r="R527" s="18">
        <f t="shared" si="17"/>
        <v>1.2000398364607965</v>
      </c>
      <c r="S527" s="5" t="s">
        <v>1617</v>
      </c>
      <c r="U527" s="5" t="s">
        <v>1655</v>
      </c>
      <c r="V527" s="5" t="s">
        <v>2256</v>
      </c>
      <c r="W527" s="5" t="s">
        <v>2257</v>
      </c>
    </row>
    <row r="528" spans="1:23">
      <c r="A528" s="5" t="s">
        <v>1642</v>
      </c>
      <c r="B528" s="5" t="s">
        <v>1643</v>
      </c>
      <c r="C528" s="5" t="s">
        <v>1596</v>
      </c>
      <c r="G528" s="5" t="s">
        <v>1673</v>
      </c>
      <c r="H528" s="5" t="s">
        <v>2268</v>
      </c>
      <c r="I528" s="5" t="s">
        <v>2268</v>
      </c>
      <c r="L528" s="17">
        <v>35</v>
      </c>
      <c r="M528" s="17">
        <v>5</v>
      </c>
      <c r="O528" s="18">
        <v>0.96</v>
      </c>
      <c r="P528" s="18">
        <v>0.05</v>
      </c>
      <c r="Q528" s="18">
        <f t="shared" si="16"/>
        <v>0.05</v>
      </c>
      <c r="R528" s="18">
        <f t="shared" si="17"/>
        <v>0.25642514776841163</v>
      </c>
      <c r="S528" s="5" t="s">
        <v>1597</v>
      </c>
      <c r="U528" s="5" t="s">
        <v>1655</v>
      </c>
      <c r="V528" s="5" t="s">
        <v>2256</v>
      </c>
      <c r="W528" s="5" t="s">
        <v>2257</v>
      </c>
    </row>
    <row r="529" spans="1:23">
      <c r="A529" s="5" t="s">
        <v>1642</v>
      </c>
      <c r="B529" s="5" t="s">
        <v>1643</v>
      </c>
      <c r="C529" s="5" t="s">
        <v>1596</v>
      </c>
      <c r="G529" s="5" t="s">
        <v>1673</v>
      </c>
      <c r="H529" s="5" t="s">
        <v>2269</v>
      </c>
      <c r="I529" s="5" t="s">
        <v>2269</v>
      </c>
      <c r="L529" s="17">
        <v>35</v>
      </c>
      <c r="M529" s="17">
        <v>5</v>
      </c>
      <c r="O529" s="18">
        <v>0.96</v>
      </c>
      <c r="P529" s="18">
        <v>0.27</v>
      </c>
      <c r="Q529" s="18">
        <f t="shared" si="16"/>
        <v>0.27</v>
      </c>
      <c r="R529" s="18">
        <f t="shared" si="17"/>
        <v>1.4187128954109909</v>
      </c>
      <c r="S529" s="5" t="s">
        <v>1617</v>
      </c>
      <c r="U529" s="5" t="s">
        <v>1655</v>
      </c>
      <c r="V529" s="5" t="s">
        <v>2256</v>
      </c>
      <c r="W529" s="5" t="s">
        <v>2257</v>
      </c>
    </row>
    <row r="530" spans="1:23">
      <c r="A530" s="5" t="s">
        <v>1642</v>
      </c>
      <c r="B530" s="5" t="s">
        <v>1643</v>
      </c>
      <c r="C530" s="5" t="s">
        <v>1596</v>
      </c>
      <c r="G530" s="5" t="s">
        <v>1673</v>
      </c>
      <c r="H530" s="5" t="s">
        <v>2270</v>
      </c>
      <c r="I530" s="5" t="s">
        <v>2270</v>
      </c>
      <c r="L530" s="17">
        <v>35</v>
      </c>
      <c r="M530" s="17">
        <v>5</v>
      </c>
      <c r="O530" s="18">
        <v>0.96</v>
      </c>
      <c r="P530" s="18">
        <v>0.45</v>
      </c>
      <c r="Q530" s="18">
        <f t="shared" si="16"/>
        <v>0.45</v>
      </c>
      <c r="R530" s="18">
        <f t="shared" si="17"/>
        <v>2.4837139394239807</v>
      </c>
      <c r="S530" s="5" t="s">
        <v>1617</v>
      </c>
      <c r="U530" s="5" t="s">
        <v>1655</v>
      </c>
      <c r="V530" s="5" t="s">
        <v>2256</v>
      </c>
      <c r="W530" s="5" t="s">
        <v>2257</v>
      </c>
    </row>
    <row r="531" spans="1:23">
      <c r="A531" s="5" t="s">
        <v>1642</v>
      </c>
      <c r="B531" s="5" t="s">
        <v>1643</v>
      </c>
      <c r="C531" s="5" t="s">
        <v>1596</v>
      </c>
      <c r="G531" s="5" t="s">
        <v>1673</v>
      </c>
      <c r="H531" s="5" t="s">
        <v>307</v>
      </c>
      <c r="I531" s="5" t="s">
        <v>307</v>
      </c>
      <c r="K531" s="5" t="s">
        <v>306</v>
      </c>
      <c r="L531" s="17">
        <v>35</v>
      </c>
      <c r="M531" s="17">
        <v>5</v>
      </c>
      <c r="O531" s="18">
        <v>0.96</v>
      </c>
      <c r="P531" s="18">
        <v>0.05</v>
      </c>
      <c r="Q531" s="18">
        <f t="shared" si="16"/>
        <v>0.05</v>
      </c>
      <c r="R531" s="18">
        <f t="shared" si="17"/>
        <v>0.25642514776841163</v>
      </c>
      <c r="S531" s="5" t="s">
        <v>1617</v>
      </c>
      <c r="U531" s="5" t="s">
        <v>1655</v>
      </c>
      <c r="V531" s="5" t="s">
        <v>2256</v>
      </c>
      <c r="W531" s="5" t="s">
        <v>2257</v>
      </c>
    </row>
    <row r="532" spans="1:23">
      <c r="A532" s="5" t="s">
        <v>1642</v>
      </c>
      <c r="B532" s="5" t="s">
        <v>1643</v>
      </c>
      <c r="C532" s="5" t="s">
        <v>1596</v>
      </c>
      <c r="G532" s="5" t="s">
        <v>1673</v>
      </c>
      <c r="H532" s="5" t="s">
        <v>2271</v>
      </c>
      <c r="I532" s="5" t="s">
        <v>2271</v>
      </c>
      <c r="L532" s="17">
        <v>35</v>
      </c>
      <c r="M532" s="17">
        <v>5</v>
      </c>
      <c r="O532" s="18">
        <v>0.96</v>
      </c>
      <c r="P532" s="18">
        <v>0.15</v>
      </c>
      <c r="Q532" s="18">
        <f t="shared" si="16"/>
        <v>0.15</v>
      </c>
      <c r="R532" s="18">
        <f t="shared" si="17"/>
        <v>0.77447780437612979</v>
      </c>
      <c r="S532" s="5" t="s">
        <v>1597</v>
      </c>
      <c r="U532" s="5" t="s">
        <v>1655</v>
      </c>
      <c r="V532" s="5" t="s">
        <v>2256</v>
      </c>
      <c r="W532" s="5" t="s">
        <v>2257</v>
      </c>
    </row>
    <row r="533" spans="1:23">
      <c r="A533" s="5" t="s">
        <v>1642</v>
      </c>
      <c r="B533" s="5" t="s">
        <v>1643</v>
      </c>
      <c r="C533" s="5" t="s">
        <v>1596</v>
      </c>
      <c r="G533" s="5" t="s">
        <v>1673</v>
      </c>
      <c r="H533" s="5" t="s">
        <v>2272</v>
      </c>
      <c r="I533" s="5" t="s">
        <v>2272</v>
      </c>
      <c r="L533" s="17">
        <v>35</v>
      </c>
      <c r="M533" s="17">
        <v>5</v>
      </c>
      <c r="O533" s="18">
        <v>0.96</v>
      </c>
      <c r="P533" s="18">
        <v>0.37</v>
      </c>
      <c r="Q533" s="18">
        <f t="shared" si="16"/>
        <v>0.37</v>
      </c>
      <c r="R533" s="18">
        <f t="shared" si="17"/>
        <v>1.9903678825251709</v>
      </c>
      <c r="S533" s="5" t="s">
        <v>1597</v>
      </c>
      <c r="U533" s="5" t="s">
        <v>1655</v>
      </c>
      <c r="V533" s="5" t="s">
        <v>2256</v>
      </c>
      <c r="W533" s="5" t="s">
        <v>2257</v>
      </c>
    </row>
    <row r="534" spans="1:23">
      <c r="A534" s="5" t="s">
        <v>1642</v>
      </c>
      <c r="B534" s="5" t="s">
        <v>1643</v>
      </c>
      <c r="C534" s="5" t="s">
        <v>1596</v>
      </c>
      <c r="G534" s="5" t="s">
        <v>1673</v>
      </c>
      <c r="H534" s="5" t="s">
        <v>2273</v>
      </c>
      <c r="I534" s="5" t="s">
        <v>2273</v>
      </c>
      <c r="L534" s="17">
        <v>35</v>
      </c>
      <c r="M534" s="17">
        <v>5</v>
      </c>
      <c r="O534" s="18">
        <v>0.96</v>
      </c>
      <c r="P534" s="18">
        <v>0.56999999999999995</v>
      </c>
      <c r="Q534" s="18">
        <f t="shared" si="16"/>
        <v>0.56999999999999995</v>
      </c>
      <c r="R534" s="18">
        <f t="shared" si="17"/>
        <v>3.3180536236913847</v>
      </c>
      <c r="S534" s="5" t="s">
        <v>1597</v>
      </c>
      <c r="U534" s="5" t="s">
        <v>1655</v>
      </c>
      <c r="V534" s="5" t="s">
        <v>2256</v>
      </c>
      <c r="W534" s="5" t="s">
        <v>2257</v>
      </c>
    </row>
    <row r="535" spans="1:23">
      <c r="A535" s="5" t="s">
        <v>1642</v>
      </c>
      <c r="B535" s="5" t="s">
        <v>1643</v>
      </c>
      <c r="C535" s="5" t="s">
        <v>1596</v>
      </c>
      <c r="G535" s="5" t="s">
        <v>1673</v>
      </c>
      <c r="H535" s="5" t="s">
        <v>2274</v>
      </c>
      <c r="I535" s="5" t="s">
        <v>2274</v>
      </c>
      <c r="L535" s="17">
        <v>35</v>
      </c>
      <c r="M535" s="17">
        <v>5</v>
      </c>
      <c r="O535" s="18">
        <v>0.96</v>
      </c>
      <c r="P535" s="18">
        <v>0.38</v>
      </c>
      <c r="Q535" s="18">
        <f t="shared" si="16"/>
        <v>0.38</v>
      </c>
      <c r="R535" s="18">
        <f t="shared" si="17"/>
        <v>2.0499962003890237</v>
      </c>
      <c r="S535" s="5" t="s">
        <v>1597</v>
      </c>
      <c r="U535" s="5" t="s">
        <v>1655</v>
      </c>
      <c r="V535" s="5" t="s">
        <v>2256</v>
      </c>
      <c r="W535" s="5" t="s">
        <v>2257</v>
      </c>
    </row>
    <row r="536" spans="1:23">
      <c r="A536" s="5" t="s">
        <v>1642</v>
      </c>
      <c r="B536" s="5" t="s">
        <v>1643</v>
      </c>
      <c r="C536" s="5" t="s">
        <v>1596</v>
      </c>
      <c r="G536" s="5" t="s">
        <v>1673</v>
      </c>
      <c r="H536" s="5" t="s">
        <v>2275</v>
      </c>
      <c r="I536" s="5" t="s">
        <v>2275</v>
      </c>
      <c r="L536" s="17">
        <v>35</v>
      </c>
      <c r="M536" s="17">
        <v>5</v>
      </c>
      <c r="O536" s="18">
        <v>0.96</v>
      </c>
      <c r="P536" s="18">
        <v>0.35</v>
      </c>
      <c r="Q536" s="18">
        <f t="shared" si="16"/>
        <v>0.35</v>
      </c>
      <c r="R536" s="18">
        <f t="shared" si="17"/>
        <v>1.8726165150804135</v>
      </c>
      <c r="S536" s="5" t="s">
        <v>1617</v>
      </c>
      <c r="U536" s="5" t="s">
        <v>1655</v>
      </c>
      <c r="V536" s="5" t="s">
        <v>2256</v>
      </c>
      <c r="W536" s="5" t="s">
        <v>2257</v>
      </c>
    </row>
    <row r="537" spans="1:23">
      <c r="A537" s="5" t="s">
        <v>1642</v>
      </c>
      <c r="B537" s="5" t="s">
        <v>1643</v>
      </c>
      <c r="C537" s="5" t="s">
        <v>1596</v>
      </c>
      <c r="G537" s="5" t="s">
        <v>1673</v>
      </c>
      <c r="H537" s="5" t="s">
        <v>2276</v>
      </c>
      <c r="I537" s="5" t="s">
        <v>2276</v>
      </c>
      <c r="L537" s="17">
        <v>35</v>
      </c>
      <c r="M537" s="17">
        <v>5</v>
      </c>
      <c r="O537" s="18">
        <v>0.96</v>
      </c>
      <c r="P537" s="18">
        <v>0.28999999999999998</v>
      </c>
      <c r="Q537" s="18">
        <f t="shared" si="16"/>
        <v>0.28999999999999998</v>
      </c>
      <c r="R537" s="18">
        <f t="shared" si="17"/>
        <v>1.5299211154685337</v>
      </c>
      <c r="S537" s="5" t="s">
        <v>1597</v>
      </c>
      <c r="U537" s="5" t="s">
        <v>1655</v>
      </c>
      <c r="V537" s="5" t="s">
        <v>2256</v>
      </c>
      <c r="W537" s="5" t="s">
        <v>2257</v>
      </c>
    </row>
    <row r="538" spans="1:23">
      <c r="A538" s="5" t="s">
        <v>1642</v>
      </c>
      <c r="B538" s="5" t="s">
        <v>1643</v>
      </c>
      <c r="C538" s="5" t="s">
        <v>1596</v>
      </c>
      <c r="G538" s="5" t="s">
        <v>1673</v>
      </c>
      <c r="H538" s="5" t="s">
        <v>2277</v>
      </c>
      <c r="I538" s="5" t="s">
        <v>2277</v>
      </c>
      <c r="L538" s="17">
        <v>35</v>
      </c>
      <c r="M538" s="17">
        <v>5</v>
      </c>
      <c r="O538" s="18">
        <v>0.96</v>
      </c>
      <c r="P538" s="18">
        <v>0.42</v>
      </c>
      <c r="Q538" s="18">
        <f t="shared" si="16"/>
        <v>0.42</v>
      </c>
      <c r="R538" s="18">
        <f t="shared" si="17"/>
        <v>2.2940752636440287</v>
      </c>
      <c r="S538" s="5" t="s">
        <v>1597</v>
      </c>
      <c r="U538" s="5" t="s">
        <v>1655</v>
      </c>
      <c r="V538" s="5" t="s">
        <v>2256</v>
      </c>
      <c r="W538" s="5" t="s">
        <v>2257</v>
      </c>
    </row>
    <row r="539" spans="1:23">
      <c r="A539" s="5" t="s">
        <v>1642</v>
      </c>
      <c r="B539" s="5" t="s">
        <v>1643</v>
      </c>
      <c r="C539" s="5" t="s">
        <v>1596</v>
      </c>
      <c r="G539" s="5" t="s">
        <v>1673</v>
      </c>
      <c r="H539" s="5" t="s">
        <v>2278</v>
      </c>
      <c r="I539" s="5" t="s">
        <v>2278</v>
      </c>
      <c r="K539" s="5" t="s">
        <v>314</v>
      </c>
      <c r="L539" s="17">
        <v>35</v>
      </c>
      <c r="M539" s="17">
        <v>5</v>
      </c>
      <c r="O539" s="18">
        <v>0.96</v>
      </c>
      <c r="P539" s="18">
        <v>0.63</v>
      </c>
      <c r="Q539" s="18">
        <f t="shared" si="16"/>
        <v>0.63</v>
      </c>
      <c r="R539" s="18">
        <f t="shared" si="17"/>
        <v>3.7991841418166348</v>
      </c>
      <c r="S539" s="5" t="s">
        <v>1597</v>
      </c>
      <c r="U539" s="5" t="s">
        <v>1655</v>
      </c>
      <c r="V539" s="5" t="s">
        <v>2256</v>
      </c>
      <c r="W539" s="5" t="s">
        <v>2257</v>
      </c>
    </row>
    <row r="540" spans="1:23">
      <c r="A540" s="5" t="s">
        <v>1642</v>
      </c>
      <c r="B540" s="5" t="s">
        <v>1643</v>
      </c>
      <c r="C540" s="5" t="s">
        <v>1596</v>
      </c>
      <c r="G540" s="5" t="s">
        <v>1673</v>
      </c>
      <c r="H540" s="5" t="s">
        <v>2279</v>
      </c>
      <c r="I540" s="5" t="s">
        <v>2279</v>
      </c>
      <c r="L540" s="17">
        <v>35</v>
      </c>
      <c r="M540" s="17">
        <v>5</v>
      </c>
      <c r="O540" s="18">
        <v>0.96</v>
      </c>
      <c r="P540" s="18">
        <v>0.46</v>
      </c>
      <c r="Q540" s="18">
        <f t="shared" si="16"/>
        <v>0.46</v>
      </c>
      <c r="R540" s="18">
        <f t="shared" si="17"/>
        <v>2.5483356039290284</v>
      </c>
      <c r="S540" s="5" t="s">
        <v>1597</v>
      </c>
      <c r="U540" s="5" t="s">
        <v>1655</v>
      </c>
      <c r="V540" s="5" t="s">
        <v>2256</v>
      </c>
      <c r="W540" s="5" t="s">
        <v>2257</v>
      </c>
    </row>
    <row r="541" spans="1:23">
      <c r="A541" s="5" t="s">
        <v>1642</v>
      </c>
      <c r="B541" s="5" t="s">
        <v>1643</v>
      </c>
      <c r="C541" s="5" t="s">
        <v>1596</v>
      </c>
      <c r="G541" s="5" t="s">
        <v>1673</v>
      </c>
      <c r="H541" s="5" t="s">
        <v>451</v>
      </c>
      <c r="I541" s="5" t="s">
        <v>451</v>
      </c>
      <c r="K541" s="5" t="s">
        <v>450</v>
      </c>
      <c r="L541" s="17">
        <v>35</v>
      </c>
      <c r="M541" s="17">
        <v>5</v>
      </c>
      <c r="O541" s="18">
        <v>0.96</v>
      </c>
      <c r="P541" s="18">
        <v>0.5</v>
      </c>
      <c r="Q541" s="18">
        <f t="shared" si="16"/>
        <v>0.5</v>
      </c>
      <c r="R541" s="18">
        <f t="shared" si="17"/>
        <v>2.8147690190134673</v>
      </c>
      <c r="S541" s="5" t="s">
        <v>1597</v>
      </c>
      <c r="U541" s="5" t="s">
        <v>1655</v>
      </c>
      <c r="V541" s="5" t="s">
        <v>2256</v>
      </c>
      <c r="W541" s="5" t="s">
        <v>2257</v>
      </c>
    </row>
    <row r="542" spans="1:23">
      <c r="A542" s="5" t="s">
        <v>1642</v>
      </c>
      <c r="B542" s="5" t="s">
        <v>1643</v>
      </c>
      <c r="C542" s="5" t="s">
        <v>1596</v>
      </c>
      <c r="G542" s="5" t="s">
        <v>1673</v>
      </c>
      <c r="H542" s="5" t="s">
        <v>2280</v>
      </c>
      <c r="I542" s="5" t="s">
        <v>2280</v>
      </c>
      <c r="K542" s="5" t="s">
        <v>1014</v>
      </c>
      <c r="L542" s="17">
        <v>35</v>
      </c>
      <c r="M542" s="17">
        <v>5</v>
      </c>
      <c r="O542" s="18">
        <v>0.96</v>
      </c>
      <c r="P542" s="18">
        <v>0.54</v>
      </c>
      <c r="Q542" s="18">
        <f t="shared" si="16"/>
        <v>0.54</v>
      </c>
      <c r="R542" s="18">
        <f t="shared" si="17"/>
        <v>3.0958300601993871</v>
      </c>
      <c r="S542" s="5" t="s">
        <v>1597</v>
      </c>
      <c r="U542" s="5" t="s">
        <v>1655</v>
      </c>
      <c r="V542" s="5" t="s">
        <v>2256</v>
      </c>
      <c r="W542" s="5" t="s">
        <v>2257</v>
      </c>
    </row>
    <row r="543" spans="1:23">
      <c r="A543" s="5" t="s">
        <v>1642</v>
      </c>
      <c r="B543" s="5" t="s">
        <v>1643</v>
      </c>
      <c r="C543" s="5" t="s">
        <v>1596</v>
      </c>
      <c r="G543" s="5" t="s">
        <v>1673</v>
      </c>
      <c r="H543" s="5" t="s">
        <v>1030</v>
      </c>
      <c r="I543" s="5" t="s">
        <v>1030</v>
      </c>
      <c r="K543" s="5" t="s">
        <v>1029</v>
      </c>
      <c r="L543" s="17">
        <v>35</v>
      </c>
      <c r="M543" s="17">
        <v>5</v>
      </c>
      <c r="O543" s="18">
        <v>0.96</v>
      </c>
      <c r="P543" s="18">
        <v>0.45</v>
      </c>
      <c r="Q543" s="18">
        <f t="shared" si="16"/>
        <v>0.45</v>
      </c>
      <c r="R543" s="18">
        <f t="shared" si="17"/>
        <v>2.4837139394239807</v>
      </c>
      <c r="S543" s="5" t="s">
        <v>1597</v>
      </c>
      <c r="U543" s="5" t="s">
        <v>1655</v>
      </c>
      <c r="V543" s="5" t="s">
        <v>2256</v>
      </c>
      <c r="W543" s="5" t="s">
        <v>2257</v>
      </c>
    </row>
    <row r="544" spans="1:23">
      <c r="A544" s="5" t="s">
        <v>1642</v>
      </c>
      <c r="B544" s="5" t="s">
        <v>1643</v>
      </c>
      <c r="C544" s="5" t="s">
        <v>1596</v>
      </c>
      <c r="G544" s="5" t="s">
        <v>1673</v>
      </c>
      <c r="H544" s="5" t="s">
        <v>2281</v>
      </c>
      <c r="I544" s="5" t="s">
        <v>2281</v>
      </c>
      <c r="K544" s="5" t="s">
        <v>354</v>
      </c>
      <c r="L544" s="17">
        <v>35</v>
      </c>
      <c r="M544" s="17">
        <v>5</v>
      </c>
      <c r="O544" s="18">
        <v>0.96</v>
      </c>
      <c r="P544" s="18">
        <v>0.3</v>
      </c>
      <c r="Q544" s="18">
        <f t="shared" si="16"/>
        <v>0.3</v>
      </c>
      <c r="R544" s="18">
        <f t="shared" si="17"/>
        <v>1.5860485116991563</v>
      </c>
      <c r="S544" s="5" t="s">
        <v>1597</v>
      </c>
      <c r="U544" s="5" t="s">
        <v>1655</v>
      </c>
      <c r="V544" s="5" t="s">
        <v>2256</v>
      </c>
      <c r="W544" s="5" t="s">
        <v>2257</v>
      </c>
    </row>
    <row r="545" spans="1:23">
      <c r="A545" s="5" t="s">
        <v>1642</v>
      </c>
      <c r="B545" s="5" t="s">
        <v>1643</v>
      </c>
      <c r="C545" s="5" t="s">
        <v>1596</v>
      </c>
      <c r="G545" s="5" t="s">
        <v>1673</v>
      </c>
      <c r="H545" s="5" t="s">
        <v>2282</v>
      </c>
      <c r="I545" s="5" t="s">
        <v>2282</v>
      </c>
      <c r="K545" s="5" t="s">
        <v>49</v>
      </c>
      <c r="L545" s="17">
        <v>35</v>
      </c>
      <c r="M545" s="17">
        <v>5</v>
      </c>
      <c r="O545" s="18">
        <v>0.96</v>
      </c>
      <c r="P545" s="18">
        <v>7.0000000000000007E-2</v>
      </c>
      <c r="Q545" s="18">
        <f t="shared" si="16"/>
        <v>7.0000000000000007E-2</v>
      </c>
      <c r="R545" s="18">
        <f t="shared" si="17"/>
        <v>0.35928344288846464</v>
      </c>
      <c r="S545" s="5" t="s">
        <v>1597</v>
      </c>
      <c r="U545" s="5" t="s">
        <v>1655</v>
      </c>
      <c r="V545" s="5" t="s">
        <v>2256</v>
      </c>
      <c r="W545" s="5" t="s">
        <v>2257</v>
      </c>
    </row>
    <row r="546" spans="1:23">
      <c r="A546" s="5" t="s">
        <v>1642</v>
      </c>
      <c r="B546" s="5" t="s">
        <v>1643</v>
      </c>
      <c r="C546" s="5" t="s">
        <v>1596</v>
      </c>
      <c r="G546" s="5" t="s">
        <v>1673</v>
      </c>
      <c r="H546" s="5" t="s">
        <v>2283</v>
      </c>
      <c r="I546" s="5" t="s">
        <v>2283</v>
      </c>
      <c r="K546" s="5" t="s">
        <v>23</v>
      </c>
      <c r="L546" s="17">
        <v>35</v>
      </c>
      <c r="M546" s="17">
        <v>5</v>
      </c>
      <c r="O546" s="18">
        <v>0.96</v>
      </c>
      <c r="P546" s="18">
        <v>0.01</v>
      </c>
      <c r="Q546" s="18">
        <f t="shared" si="16"/>
        <v>0.01</v>
      </c>
      <c r="R546" s="18">
        <f t="shared" si="17"/>
        <v>5.1243971677941619E-2</v>
      </c>
      <c r="S546" s="5" t="s">
        <v>1597</v>
      </c>
      <c r="U546" s="5" t="s">
        <v>1655</v>
      </c>
      <c r="V546" s="5" t="s">
        <v>2256</v>
      </c>
      <c r="W546" s="5" t="s">
        <v>2257</v>
      </c>
    </row>
    <row r="547" spans="1:23">
      <c r="A547" s="5" t="s">
        <v>1642</v>
      </c>
      <c r="B547" s="5" t="s">
        <v>1643</v>
      </c>
      <c r="C547" s="5" t="s">
        <v>1596</v>
      </c>
      <c r="G547" s="5" t="s">
        <v>1673</v>
      </c>
      <c r="H547" s="5" t="s">
        <v>2284</v>
      </c>
      <c r="I547" s="5" t="s">
        <v>2284</v>
      </c>
      <c r="K547" s="5" t="s">
        <v>13</v>
      </c>
      <c r="L547" s="17">
        <v>35</v>
      </c>
      <c r="M547" s="17">
        <v>5</v>
      </c>
      <c r="O547" s="18">
        <v>0.96</v>
      </c>
      <c r="P547" s="18">
        <v>0.62</v>
      </c>
      <c r="Q547" s="18">
        <f t="shared" si="16"/>
        <v>0.62</v>
      </c>
      <c r="R547" s="18">
        <f t="shared" si="17"/>
        <v>3.715090174547981</v>
      </c>
      <c r="S547" s="5" t="s">
        <v>1597</v>
      </c>
      <c r="U547" s="5" t="s">
        <v>1655</v>
      </c>
      <c r="V547" s="5" t="s">
        <v>2256</v>
      </c>
      <c r="W547" s="5" t="s">
        <v>2257</v>
      </c>
    </row>
    <row r="548" spans="1:23">
      <c r="A548" s="5" t="s">
        <v>1642</v>
      </c>
      <c r="B548" s="5" t="s">
        <v>1643</v>
      </c>
      <c r="C548" s="5" t="s">
        <v>1596</v>
      </c>
      <c r="G548" s="5" t="s">
        <v>1673</v>
      </c>
      <c r="H548" s="5" t="s">
        <v>2285</v>
      </c>
      <c r="I548" s="5" t="s">
        <v>2285</v>
      </c>
      <c r="K548" s="5" t="s">
        <v>67</v>
      </c>
      <c r="L548" s="17">
        <v>35</v>
      </c>
      <c r="M548" s="17">
        <v>5</v>
      </c>
      <c r="O548" s="18">
        <v>0.96</v>
      </c>
      <c r="P548" s="18">
        <v>0.18</v>
      </c>
      <c r="Q548" s="18">
        <f t="shared" si="16"/>
        <v>0.18</v>
      </c>
      <c r="R548" s="18">
        <f t="shared" si="17"/>
        <v>0.93252048817158095</v>
      </c>
      <c r="S548" s="5" t="s">
        <v>1597</v>
      </c>
      <c r="U548" s="5" t="s">
        <v>1655</v>
      </c>
      <c r="V548" s="5" t="s">
        <v>2256</v>
      </c>
      <c r="W548" s="5" t="s">
        <v>2257</v>
      </c>
    </row>
    <row r="549" spans="1:23">
      <c r="A549" s="5" t="s">
        <v>1642</v>
      </c>
      <c r="B549" s="5" t="s">
        <v>1643</v>
      </c>
      <c r="C549" s="5" t="s">
        <v>1596</v>
      </c>
      <c r="G549" s="5" t="s">
        <v>1673</v>
      </c>
      <c r="H549" s="5" t="s">
        <v>2286</v>
      </c>
      <c r="I549" s="5" t="s">
        <v>2286</v>
      </c>
      <c r="K549" s="5" t="s">
        <v>41</v>
      </c>
      <c r="L549" s="17">
        <v>35</v>
      </c>
      <c r="M549" s="17">
        <v>5</v>
      </c>
      <c r="O549" s="18">
        <v>0.96</v>
      </c>
      <c r="P549" s="18">
        <v>7.0000000000000007E-2</v>
      </c>
      <c r="Q549" s="18">
        <f t="shared" si="16"/>
        <v>7.0000000000000007E-2</v>
      </c>
      <c r="R549" s="18">
        <f t="shared" si="17"/>
        <v>0.35928344288846464</v>
      </c>
      <c r="S549" s="5" t="s">
        <v>1597</v>
      </c>
      <c r="U549" s="5" t="s">
        <v>1655</v>
      </c>
      <c r="V549" s="5" t="s">
        <v>2256</v>
      </c>
      <c r="W549" s="5" t="s">
        <v>2257</v>
      </c>
    </row>
    <row r="550" spans="1:23">
      <c r="A550" s="5" t="s">
        <v>1642</v>
      </c>
      <c r="B550" s="5" t="s">
        <v>1643</v>
      </c>
      <c r="C550" s="5" t="s">
        <v>1596</v>
      </c>
      <c r="G550" s="5" t="s">
        <v>1673</v>
      </c>
      <c r="H550" s="5" t="s">
        <v>2287</v>
      </c>
      <c r="I550" s="5" t="s">
        <v>2287</v>
      </c>
      <c r="K550" s="5" t="s">
        <v>32</v>
      </c>
      <c r="L550" s="17">
        <v>35</v>
      </c>
      <c r="M550" s="17">
        <v>5</v>
      </c>
      <c r="O550" s="18">
        <v>0.96</v>
      </c>
      <c r="P550" s="18">
        <v>0.66</v>
      </c>
      <c r="Q550" s="18">
        <f t="shared" si="16"/>
        <v>0.66</v>
      </c>
      <c r="R550" s="18">
        <f t="shared" si="17"/>
        <v>4.062556503068433</v>
      </c>
      <c r="S550" s="5" t="s">
        <v>1597</v>
      </c>
      <c r="U550" s="5" t="s">
        <v>1655</v>
      </c>
      <c r="V550" s="5" t="s">
        <v>2256</v>
      </c>
      <c r="W550" s="5" t="s">
        <v>2257</v>
      </c>
    </row>
    <row r="551" spans="1:23">
      <c r="A551" s="5" t="s">
        <v>1642</v>
      </c>
      <c r="B551" s="5" t="s">
        <v>1643</v>
      </c>
      <c r="C551" s="5" t="s">
        <v>1596</v>
      </c>
      <c r="G551" s="5" t="s">
        <v>1673</v>
      </c>
      <c r="H551" s="5" t="s">
        <v>2288</v>
      </c>
      <c r="I551" s="5" t="s">
        <v>2288</v>
      </c>
      <c r="K551" s="5" t="s">
        <v>85</v>
      </c>
      <c r="L551" s="17">
        <v>35</v>
      </c>
      <c r="M551" s="17">
        <v>5</v>
      </c>
      <c r="O551" s="18">
        <v>0.96</v>
      </c>
      <c r="P551" s="18">
        <v>0.02</v>
      </c>
      <c r="Q551" s="18">
        <f t="shared" si="16"/>
        <v>0.02</v>
      </c>
      <c r="R551" s="18">
        <f t="shared" si="17"/>
        <v>0.10249819488404227</v>
      </c>
      <c r="S551" s="5" t="s">
        <v>1617</v>
      </c>
      <c r="U551" s="5" t="s">
        <v>1655</v>
      </c>
      <c r="V551" s="5" t="s">
        <v>2256</v>
      </c>
      <c r="W551" s="5" t="s">
        <v>2257</v>
      </c>
    </row>
    <row r="552" spans="1:23">
      <c r="A552" s="5" t="s">
        <v>1642</v>
      </c>
      <c r="B552" s="5" t="s">
        <v>1643</v>
      </c>
      <c r="C552" s="5" t="s">
        <v>1596</v>
      </c>
      <c r="G552" s="5" t="s">
        <v>1673</v>
      </c>
      <c r="H552" s="5" t="s">
        <v>2289</v>
      </c>
      <c r="I552" s="5" t="s">
        <v>2289</v>
      </c>
      <c r="K552" s="5" t="s">
        <v>1220</v>
      </c>
      <c r="L552" s="17">
        <v>35</v>
      </c>
      <c r="M552" s="17">
        <v>5</v>
      </c>
      <c r="O552" s="18">
        <v>0.96</v>
      </c>
      <c r="P552" s="18">
        <v>0.37</v>
      </c>
      <c r="Q552" s="18">
        <f t="shared" si="16"/>
        <v>0.37</v>
      </c>
      <c r="R552" s="18">
        <f t="shared" si="17"/>
        <v>1.9903678825251709</v>
      </c>
      <c r="S552" s="5" t="s">
        <v>1597</v>
      </c>
      <c r="U552" s="5" t="s">
        <v>1655</v>
      </c>
      <c r="V552" s="5" t="s">
        <v>2256</v>
      </c>
      <c r="W552" s="5" t="s">
        <v>2257</v>
      </c>
    </row>
    <row r="553" spans="1:23">
      <c r="A553" s="5" t="s">
        <v>1642</v>
      </c>
      <c r="B553" s="5" t="s">
        <v>1643</v>
      </c>
      <c r="C553" s="5" t="s">
        <v>1596</v>
      </c>
      <c r="G553" s="5" t="s">
        <v>1673</v>
      </c>
      <c r="H553" s="5" t="s">
        <v>2290</v>
      </c>
      <c r="I553" s="5" t="s">
        <v>2290</v>
      </c>
      <c r="K553" s="5" t="s">
        <v>906</v>
      </c>
      <c r="L553" s="17">
        <v>35</v>
      </c>
      <c r="M553" s="17">
        <v>5</v>
      </c>
      <c r="O553" s="18">
        <v>0.96</v>
      </c>
      <c r="P553" s="18">
        <v>0.88</v>
      </c>
      <c r="Q553" s="18">
        <f t="shared" si="16"/>
        <v>0.88</v>
      </c>
      <c r="R553" s="18">
        <f t="shared" si="17"/>
        <v>7.0497448770225262</v>
      </c>
      <c r="S553" s="5" t="s">
        <v>1597</v>
      </c>
      <c r="U553" s="5" t="s">
        <v>1655</v>
      </c>
      <c r="V553" s="5" t="s">
        <v>2256</v>
      </c>
      <c r="W553" s="5" t="s">
        <v>2257</v>
      </c>
    </row>
    <row r="554" spans="1:23">
      <c r="A554" s="5" t="s">
        <v>1642</v>
      </c>
      <c r="B554" s="5" t="s">
        <v>1643</v>
      </c>
      <c r="C554" s="5" t="s">
        <v>1596</v>
      </c>
      <c r="G554" s="5" t="s">
        <v>1673</v>
      </c>
      <c r="H554" s="5" t="s">
        <v>2291</v>
      </c>
      <c r="I554" s="5" t="s">
        <v>2291</v>
      </c>
      <c r="K554" s="5" t="s">
        <v>2292</v>
      </c>
      <c r="L554" s="17">
        <v>35</v>
      </c>
      <c r="M554" s="17">
        <v>5</v>
      </c>
      <c r="O554" s="18">
        <v>0.96</v>
      </c>
      <c r="P554" s="18">
        <v>0.73</v>
      </c>
      <c r="Q554" s="18">
        <f t="shared" si="16"/>
        <v>0.73</v>
      </c>
      <c r="R554" s="18">
        <f t="shared" si="17"/>
        <v>4.7590092318391157</v>
      </c>
      <c r="S554" s="5" t="s">
        <v>1597</v>
      </c>
      <c r="U554" s="5" t="s">
        <v>1655</v>
      </c>
      <c r="V554" s="5" t="s">
        <v>2256</v>
      </c>
      <c r="W554" s="5" t="s">
        <v>2257</v>
      </c>
    </row>
    <row r="555" spans="1:23">
      <c r="A555" s="5" t="s">
        <v>1642</v>
      </c>
      <c r="B555" s="5" t="s">
        <v>1643</v>
      </c>
      <c r="C555" s="5" t="s">
        <v>1596</v>
      </c>
      <c r="G555" s="5" t="s">
        <v>1673</v>
      </c>
      <c r="H555" s="5" t="s">
        <v>2293</v>
      </c>
      <c r="I555" s="5" t="s">
        <v>2293</v>
      </c>
      <c r="K555" s="5" t="s">
        <v>2294</v>
      </c>
      <c r="L555" s="17">
        <v>35</v>
      </c>
      <c r="M555" s="17">
        <v>5</v>
      </c>
      <c r="O555" s="18">
        <v>0.96</v>
      </c>
      <c r="P555" s="18">
        <v>0.87</v>
      </c>
      <c r="Q555" s="18">
        <f t="shared" si="16"/>
        <v>0.87</v>
      </c>
      <c r="R555" s="18">
        <f t="shared" si="17"/>
        <v>6.8310017651391766</v>
      </c>
      <c r="S555" s="5" t="s">
        <v>1617</v>
      </c>
      <c r="U555" s="5" t="s">
        <v>1655</v>
      </c>
      <c r="V555" s="5" t="s">
        <v>2256</v>
      </c>
      <c r="W555" s="5" t="s">
        <v>2257</v>
      </c>
    </row>
    <row r="556" spans="1:23">
      <c r="A556" s="5" t="s">
        <v>1642</v>
      </c>
      <c r="B556" s="5" t="s">
        <v>1643</v>
      </c>
      <c r="C556" s="5" t="s">
        <v>1596</v>
      </c>
      <c r="G556" s="5" t="s">
        <v>1673</v>
      </c>
      <c r="H556" s="5" t="s">
        <v>599</v>
      </c>
      <c r="I556" s="5" t="s">
        <v>599</v>
      </c>
      <c r="K556" s="5" t="s">
        <v>598</v>
      </c>
      <c r="L556" s="17">
        <v>35</v>
      </c>
      <c r="M556" s="17">
        <v>5</v>
      </c>
      <c r="O556" s="18">
        <v>0.96</v>
      </c>
      <c r="P556" s="18">
        <v>0.96</v>
      </c>
      <c r="Q556" s="18">
        <f t="shared" si="16"/>
        <v>0.96</v>
      </c>
      <c r="R556" s="18">
        <f t="shared" si="17"/>
        <v>9.9712840605216613</v>
      </c>
      <c r="S556" s="5" t="s">
        <v>1597</v>
      </c>
      <c r="U556" s="5" t="s">
        <v>1655</v>
      </c>
      <c r="V556" s="5" t="s">
        <v>2256</v>
      </c>
      <c r="W556" s="5" t="s">
        <v>2257</v>
      </c>
    </row>
    <row r="557" spans="1:23">
      <c r="A557" s="5" t="s">
        <v>1642</v>
      </c>
      <c r="B557" s="5" t="s">
        <v>1643</v>
      </c>
      <c r="C557" s="5" t="s">
        <v>1596</v>
      </c>
      <c r="G557" s="5" t="s">
        <v>1673</v>
      </c>
      <c r="H557" s="5" t="s">
        <v>590</v>
      </c>
      <c r="I557" s="5" t="s">
        <v>590</v>
      </c>
      <c r="K557" s="5" t="s">
        <v>589</v>
      </c>
      <c r="L557" s="17">
        <v>35</v>
      </c>
      <c r="M557" s="17">
        <v>5</v>
      </c>
      <c r="O557" s="18">
        <v>0.96</v>
      </c>
      <c r="P557" s="18">
        <v>0.99</v>
      </c>
      <c r="Q557" s="18">
        <f t="shared" si="16"/>
        <v>0.99</v>
      </c>
      <c r="R557" s="18">
        <f t="shared" si="17"/>
        <v>13.562046030717685</v>
      </c>
      <c r="S557" s="5" t="s">
        <v>1597</v>
      </c>
      <c r="U557" s="5" t="s">
        <v>1655</v>
      </c>
      <c r="V557" s="5" t="s">
        <v>2256</v>
      </c>
      <c r="W557" s="5" t="s">
        <v>2257</v>
      </c>
    </row>
    <row r="558" spans="1:23">
      <c r="A558" s="5" t="s">
        <v>1642</v>
      </c>
      <c r="B558" s="5" t="s">
        <v>1643</v>
      </c>
      <c r="C558" s="5" t="s">
        <v>1596</v>
      </c>
      <c r="G558" s="5" t="s">
        <v>1673</v>
      </c>
      <c r="H558" s="5" t="s">
        <v>1373</v>
      </c>
      <c r="I558" s="5" t="s">
        <v>1373</v>
      </c>
      <c r="K558" s="5" t="s">
        <v>1372</v>
      </c>
      <c r="L558" s="17">
        <v>35</v>
      </c>
      <c r="M558" s="17">
        <v>5</v>
      </c>
      <c r="O558" s="18">
        <v>0.96</v>
      </c>
      <c r="P558" s="18">
        <v>0.96</v>
      </c>
      <c r="Q558" s="18">
        <f t="shared" si="16"/>
        <v>0.96</v>
      </c>
      <c r="R558" s="18">
        <f t="shared" si="17"/>
        <v>9.9712840605216613</v>
      </c>
      <c r="S558" s="5" t="s">
        <v>1597</v>
      </c>
      <c r="U558" s="5" t="s">
        <v>1655</v>
      </c>
      <c r="V558" s="5" t="s">
        <v>2256</v>
      </c>
      <c r="W558" s="5" t="s">
        <v>2257</v>
      </c>
    </row>
    <row r="559" spans="1:23">
      <c r="A559" s="5" t="s">
        <v>1642</v>
      </c>
      <c r="B559" s="5" t="s">
        <v>1643</v>
      </c>
      <c r="C559" s="5" t="s">
        <v>1596</v>
      </c>
      <c r="G559" s="5" t="s">
        <v>1673</v>
      </c>
      <c r="H559" s="5" t="s">
        <v>1022</v>
      </c>
      <c r="I559" s="5" t="s">
        <v>1022</v>
      </c>
      <c r="K559" s="5" t="s">
        <v>1021</v>
      </c>
      <c r="L559" s="17">
        <v>35</v>
      </c>
      <c r="M559" s="17">
        <v>5</v>
      </c>
      <c r="O559" s="18">
        <v>0.96</v>
      </c>
      <c r="P559" s="18">
        <v>0.8</v>
      </c>
      <c r="Q559" s="18">
        <f t="shared" si="16"/>
        <v>0.8</v>
      </c>
      <c r="R559" s="18">
        <f t="shared" si="17"/>
        <v>5.6295380380269346</v>
      </c>
      <c r="S559" s="5" t="s">
        <v>1597</v>
      </c>
      <c r="U559" s="5" t="s">
        <v>1655</v>
      </c>
      <c r="V559" s="5" t="s">
        <v>2256</v>
      </c>
      <c r="W559" s="5" t="s">
        <v>2257</v>
      </c>
    </row>
    <row r="560" spans="1:23">
      <c r="A560" s="5" t="s">
        <v>1642</v>
      </c>
      <c r="B560" s="5" t="s">
        <v>1643</v>
      </c>
      <c r="C560" s="5" t="s">
        <v>1596</v>
      </c>
      <c r="G560" s="5" t="s">
        <v>1673</v>
      </c>
      <c r="H560" s="5" t="s">
        <v>572</v>
      </c>
      <c r="I560" s="5" t="s">
        <v>572</v>
      </c>
      <c r="K560" s="5" t="s">
        <v>571</v>
      </c>
      <c r="L560" s="17">
        <v>35</v>
      </c>
      <c r="M560" s="17">
        <v>5</v>
      </c>
      <c r="O560" s="18">
        <v>0.96</v>
      </c>
      <c r="P560" s="18">
        <v>0.79</v>
      </c>
      <c r="Q560" s="18">
        <f t="shared" si="16"/>
        <v>0.79</v>
      </c>
      <c r="R560" s="18">
        <f t="shared" si="17"/>
        <v>5.4902584676782915</v>
      </c>
      <c r="S560" s="5" t="s">
        <v>1597</v>
      </c>
      <c r="U560" s="5" t="s">
        <v>1655</v>
      </c>
      <c r="V560" s="5" t="s">
        <v>2256</v>
      </c>
      <c r="W560" s="5" t="s">
        <v>2257</v>
      </c>
    </row>
    <row r="561" spans="1:23">
      <c r="A561" s="5" t="s">
        <v>1642</v>
      </c>
      <c r="B561" s="5" t="s">
        <v>1643</v>
      </c>
      <c r="C561" s="5" t="s">
        <v>1596</v>
      </c>
      <c r="G561" s="5" t="s">
        <v>1673</v>
      </c>
      <c r="H561" s="5" t="s">
        <v>2295</v>
      </c>
      <c r="I561" s="5" t="s">
        <v>2295</v>
      </c>
      <c r="K561" s="5" t="s">
        <v>2296</v>
      </c>
      <c r="L561" s="17">
        <v>35</v>
      </c>
      <c r="M561" s="17">
        <v>5</v>
      </c>
      <c r="O561" s="18">
        <v>0.96</v>
      </c>
      <c r="P561" s="18">
        <v>0.72</v>
      </c>
      <c r="Q561" s="18">
        <f t="shared" si="16"/>
        <v>0.72</v>
      </c>
      <c r="R561" s="18">
        <f t="shared" si="17"/>
        <v>4.6509783399691678</v>
      </c>
      <c r="S561" s="5" t="s">
        <v>1597</v>
      </c>
      <c r="U561" s="5" t="s">
        <v>1655</v>
      </c>
      <c r="V561" s="5" t="s">
        <v>2256</v>
      </c>
      <c r="W561" s="5" t="s">
        <v>2257</v>
      </c>
    </row>
    <row r="562" spans="1:23">
      <c r="A562" s="5" t="s">
        <v>1642</v>
      </c>
      <c r="B562" s="5" t="s">
        <v>1643</v>
      </c>
      <c r="C562" s="5" t="s">
        <v>1596</v>
      </c>
      <c r="G562" s="5" t="s">
        <v>1673</v>
      </c>
      <c r="H562" s="5" t="s">
        <v>563</v>
      </c>
      <c r="I562" s="5" t="s">
        <v>563</v>
      </c>
      <c r="K562" s="5" t="s">
        <v>562</v>
      </c>
      <c r="L562" s="17">
        <v>35</v>
      </c>
      <c r="M562" s="17">
        <v>5</v>
      </c>
      <c r="O562" s="18">
        <v>0.96</v>
      </c>
      <c r="P562" s="18">
        <v>0.77</v>
      </c>
      <c r="Q562" s="18">
        <f t="shared" si="16"/>
        <v>0.77</v>
      </c>
      <c r="R562" s="18">
        <f t="shared" si="17"/>
        <v>5.2283903848317648</v>
      </c>
      <c r="S562" s="5" t="s">
        <v>1597</v>
      </c>
      <c r="U562" s="5" t="s">
        <v>1655</v>
      </c>
      <c r="V562" s="5" t="s">
        <v>2256</v>
      </c>
      <c r="W562" s="5" t="s">
        <v>2257</v>
      </c>
    </row>
    <row r="563" spans="1:23">
      <c r="A563" s="5" t="s">
        <v>1642</v>
      </c>
      <c r="B563" s="5" t="s">
        <v>1643</v>
      </c>
      <c r="C563" s="5" t="s">
        <v>1596</v>
      </c>
      <c r="G563" s="5" t="s">
        <v>1673</v>
      </c>
      <c r="H563" s="5" t="s">
        <v>922</v>
      </c>
      <c r="I563" s="5" t="s">
        <v>922</v>
      </c>
      <c r="K563" s="5" t="s">
        <v>921</v>
      </c>
      <c r="L563" s="17">
        <v>35</v>
      </c>
      <c r="M563" s="17">
        <v>5</v>
      </c>
      <c r="O563" s="18">
        <v>0.96</v>
      </c>
      <c r="P563" s="18">
        <v>0.83</v>
      </c>
      <c r="Q563" s="18">
        <f t="shared" si="16"/>
        <v>0.83</v>
      </c>
      <c r="R563" s="18">
        <f t="shared" si="17"/>
        <v>6.088279870782829</v>
      </c>
      <c r="S563" s="5" t="s">
        <v>1617</v>
      </c>
      <c r="U563" s="5" t="s">
        <v>1655</v>
      </c>
      <c r="V563" s="5" t="s">
        <v>2256</v>
      </c>
      <c r="W563" s="5" t="s">
        <v>2257</v>
      </c>
    </row>
    <row r="564" spans="1:23">
      <c r="A564" s="5" t="s">
        <v>1642</v>
      </c>
      <c r="B564" s="5" t="s">
        <v>1643</v>
      </c>
      <c r="C564" s="5" t="s">
        <v>1596</v>
      </c>
      <c r="G564" s="5" t="s">
        <v>1673</v>
      </c>
      <c r="H564" s="5" t="s">
        <v>695</v>
      </c>
      <c r="I564" s="5" t="s">
        <v>695</v>
      </c>
      <c r="K564" s="5" t="s">
        <v>694</v>
      </c>
      <c r="L564" s="17">
        <v>35</v>
      </c>
      <c r="M564" s="17">
        <v>5</v>
      </c>
      <c r="O564" s="18">
        <v>0.96</v>
      </c>
      <c r="P564" s="18">
        <v>0.57999999999999996</v>
      </c>
      <c r="Q564" s="18">
        <f t="shared" si="16"/>
        <v>0.57999999999999996</v>
      </c>
      <c r="R564" s="18">
        <f t="shared" si="17"/>
        <v>3.3946088610069127</v>
      </c>
      <c r="S564" s="5" t="s">
        <v>1597</v>
      </c>
      <c r="U564" s="5" t="s">
        <v>1655</v>
      </c>
      <c r="V564" s="5" t="s">
        <v>2256</v>
      </c>
      <c r="W564" s="5" t="s">
        <v>2257</v>
      </c>
    </row>
    <row r="565" spans="1:23">
      <c r="A565" s="5" t="s">
        <v>1642</v>
      </c>
      <c r="B565" s="5" t="s">
        <v>1643</v>
      </c>
      <c r="C565" s="5" t="s">
        <v>1596</v>
      </c>
      <c r="G565" s="5" t="s">
        <v>1673</v>
      </c>
      <c r="H565" s="5" t="s">
        <v>2297</v>
      </c>
      <c r="I565" s="5" t="s">
        <v>2297</v>
      </c>
      <c r="K565" s="5" t="s">
        <v>2298</v>
      </c>
      <c r="L565" s="17">
        <v>35</v>
      </c>
      <c r="M565" s="17">
        <v>5</v>
      </c>
      <c r="O565" s="18">
        <v>0.96</v>
      </c>
      <c r="P565" s="18">
        <v>0.88</v>
      </c>
      <c r="Q565" s="18">
        <f t="shared" si="16"/>
        <v>0.88</v>
      </c>
      <c r="R565" s="18">
        <f t="shared" si="17"/>
        <v>7.0497448770225262</v>
      </c>
      <c r="S565" s="5" t="s">
        <v>1597</v>
      </c>
      <c r="U565" s="5" t="s">
        <v>1655</v>
      </c>
      <c r="V565" s="5" t="s">
        <v>2256</v>
      </c>
      <c r="W565" s="5" t="s">
        <v>2257</v>
      </c>
    </row>
    <row r="566" spans="1:23">
      <c r="A566" s="5" t="s">
        <v>1642</v>
      </c>
      <c r="B566" s="5" t="s">
        <v>1643</v>
      </c>
      <c r="C566" s="5" t="s">
        <v>1596</v>
      </c>
      <c r="G566" s="5" t="s">
        <v>1673</v>
      </c>
      <c r="H566" s="5" t="s">
        <v>1756</v>
      </c>
      <c r="I566" s="5" t="s">
        <v>1756</v>
      </c>
      <c r="L566" s="17">
        <v>35</v>
      </c>
      <c r="M566" s="17">
        <v>5</v>
      </c>
      <c r="O566" s="18">
        <v>0.96</v>
      </c>
      <c r="P566" s="18">
        <v>0.98</v>
      </c>
      <c r="Q566" s="18">
        <f t="shared" si="16"/>
        <v>0.98</v>
      </c>
      <c r="R566" s="18">
        <f t="shared" si="17"/>
        <v>11.773217108733856</v>
      </c>
      <c r="S566" s="5" t="s">
        <v>1597</v>
      </c>
      <c r="U566" s="5" t="s">
        <v>1655</v>
      </c>
      <c r="V566" s="5" t="s">
        <v>2256</v>
      </c>
      <c r="W566" s="5" t="s">
        <v>2257</v>
      </c>
    </row>
    <row r="567" spans="1:23">
      <c r="A567" s="5" t="s">
        <v>1642</v>
      </c>
      <c r="B567" s="5" t="s">
        <v>1643</v>
      </c>
      <c r="C567" s="5" t="s">
        <v>1596</v>
      </c>
      <c r="G567" s="5" t="s">
        <v>1673</v>
      </c>
      <c r="H567" s="5" t="s">
        <v>2299</v>
      </c>
      <c r="I567" s="5" t="s">
        <v>2299</v>
      </c>
      <c r="L567" s="17">
        <v>35</v>
      </c>
      <c r="M567" s="17">
        <v>5</v>
      </c>
      <c r="O567" s="18">
        <v>0.96</v>
      </c>
      <c r="P567" s="18">
        <v>0.95</v>
      </c>
      <c r="Q567" s="18">
        <f t="shared" si="16"/>
        <v>0.95</v>
      </c>
      <c r="R567" s="18">
        <f t="shared" si="17"/>
        <v>9.3864595609734511</v>
      </c>
      <c r="S567" s="5" t="s">
        <v>1597</v>
      </c>
      <c r="U567" s="5" t="s">
        <v>1655</v>
      </c>
      <c r="V567" s="5" t="s">
        <v>2256</v>
      </c>
      <c r="W567" s="5" t="s">
        <v>2257</v>
      </c>
    </row>
    <row r="568" spans="1:23">
      <c r="A568" s="5" t="s">
        <v>1642</v>
      </c>
      <c r="B568" s="5" t="s">
        <v>1643</v>
      </c>
      <c r="C568" s="5" t="s">
        <v>1596</v>
      </c>
      <c r="G568" s="5" t="s">
        <v>1673</v>
      </c>
      <c r="H568" s="5" t="s">
        <v>677</v>
      </c>
      <c r="I568" s="5" t="s">
        <v>677</v>
      </c>
      <c r="K568" s="5" t="s">
        <v>676</v>
      </c>
      <c r="L568" s="17">
        <v>35</v>
      </c>
      <c r="M568" s="17">
        <v>5</v>
      </c>
      <c r="O568" s="18">
        <v>0.96</v>
      </c>
      <c r="P568" s="18">
        <v>0.74</v>
      </c>
      <c r="Q568" s="18">
        <f t="shared" si="16"/>
        <v>0.74</v>
      </c>
      <c r="R568" s="18">
        <f t="shared" si="17"/>
        <v>4.8704714871843846</v>
      </c>
      <c r="S568" s="5" t="s">
        <v>1617</v>
      </c>
      <c r="U568" s="5" t="s">
        <v>1655</v>
      </c>
      <c r="V568" s="5" t="s">
        <v>2256</v>
      </c>
      <c r="W568" s="5" t="s">
        <v>2257</v>
      </c>
    </row>
    <row r="569" spans="1:23">
      <c r="A569" s="5" t="s">
        <v>1642</v>
      </c>
      <c r="B569" s="5" t="s">
        <v>1643</v>
      </c>
      <c r="C569" s="5" t="s">
        <v>1596</v>
      </c>
      <c r="G569" s="5" t="s">
        <v>1673</v>
      </c>
      <c r="H569" s="5" t="s">
        <v>2300</v>
      </c>
      <c r="I569" s="5" t="s">
        <v>2300</v>
      </c>
      <c r="K569" s="5" t="s">
        <v>1357</v>
      </c>
      <c r="L569" s="17">
        <v>35</v>
      </c>
      <c r="M569" s="17">
        <v>5</v>
      </c>
      <c r="O569" s="18">
        <v>0.96</v>
      </c>
      <c r="P569" s="18">
        <v>0.1</v>
      </c>
      <c r="Q569" s="18">
        <f t="shared" si="16"/>
        <v>0.1</v>
      </c>
      <c r="R569" s="18">
        <f t="shared" si="17"/>
        <v>0.51414103267999045</v>
      </c>
      <c r="S569" s="5" t="s">
        <v>1617</v>
      </c>
      <c r="U569" s="5" t="s">
        <v>1655</v>
      </c>
      <c r="V569" s="5" t="s">
        <v>2256</v>
      </c>
      <c r="W569" s="5" t="s">
        <v>2257</v>
      </c>
    </row>
    <row r="570" spans="1:23">
      <c r="A570" s="5" t="s">
        <v>1642</v>
      </c>
      <c r="B570" s="5" t="s">
        <v>1643</v>
      </c>
      <c r="C570" s="5" t="s">
        <v>1596</v>
      </c>
      <c r="G570" s="5" t="s">
        <v>1673</v>
      </c>
      <c r="H570" s="5" t="s">
        <v>2301</v>
      </c>
      <c r="I570" s="5" t="s">
        <v>2301</v>
      </c>
      <c r="K570" s="5" t="s">
        <v>2302</v>
      </c>
      <c r="L570" s="17">
        <v>35</v>
      </c>
      <c r="M570" s="17">
        <v>5</v>
      </c>
      <c r="O570" s="18">
        <v>0.96</v>
      </c>
      <c r="P570" s="18">
        <v>0.72</v>
      </c>
      <c r="Q570" s="18">
        <f t="shared" si="16"/>
        <v>0.72</v>
      </c>
      <c r="R570" s="18">
        <f t="shared" si="17"/>
        <v>4.6509783399691678</v>
      </c>
      <c r="S570" s="5" t="s">
        <v>1597</v>
      </c>
      <c r="U570" s="5" t="s">
        <v>1655</v>
      </c>
      <c r="V570" s="5" t="s">
        <v>2256</v>
      </c>
      <c r="W570" s="5" t="s">
        <v>2257</v>
      </c>
    </row>
    <row r="571" spans="1:23">
      <c r="A571" s="5" t="s">
        <v>1642</v>
      </c>
      <c r="B571" s="5" t="s">
        <v>1643</v>
      </c>
      <c r="C571" s="5" t="s">
        <v>1596</v>
      </c>
      <c r="G571" s="5" t="s">
        <v>1673</v>
      </c>
      <c r="H571" s="5" t="s">
        <v>2303</v>
      </c>
      <c r="I571" s="5" t="s">
        <v>2303</v>
      </c>
      <c r="K571" s="5" t="s">
        <v>875</v>
      </c>
      <c r="L571" s="17">
        <v>35</v>
      </c>
      <c r="M571" s="17">
        <v>5</v>
      </c>
      <c r="O571" s="18">
        <v>0.96</v>
      </c>
      <c r="P571" s="18">
        <v>0.87</v>
      </c>
      <c r="Q571" s="18">
        <f t="shared" si="16"/>
        <v>0.87</v>
      </c>
      <c r="R571" s="18">
        <f t="shared" si="17"/>
        <v>6.8310017651391766</v>
      </c>
      <c r="S571" s="5" t="s">
        <v>1617</v>
      </c>
      <c r="U571" s="5" t="s">
        <v>1655</v>
      </c>
      <c r="V571" s="5" t="s">
        <v>2256</v>
      </c>
      <c r="W571" s="5" t="s">
        <v>2257</v>
      </c>
    </row>
    <row r="572" spans="1:23">
      <c r="A572" s="5" t="s">
        <v>1642</v>
      </c>
      <c r="B572" s="5" t="s">
        <v>1643</v>
      </c>
      <c r="C572" s="5" t="s">
        <v>1596</v>
      </c>
      <c r="G572" s="5" t="s">
        <v>1673</v>
      </c>
      <c r="H572" s="5" t="s">
        <v>2304</v>
      </c>
      <c r="I572" s="5" t="s">
        <v>2304</v>
      </c>
      <c r="L572" s="17">
        <v>35</v>
      </c>
      <c r="M572" s="17">
        <v>5</v>
      </c>
      <c r="O572" s="18">
        <v>0.96</v>
      </c>
      <c r="P572" s="18">
        <v>0.45</v>
      </c>
      <c r="Q572" s="18">
        <f t="shared" si="16"/>
        <v>0.45</v>
      </c>
      <c r="R572" s="18">
        <f t="shared" si="17"/>
        <v>2.4837139394239807</v>
      </c>
      <c r="S572" s="5" t="s">
        <v>1617</v>
      </c>
      <c r="U572" s="5" t="s">
        <v>1655</v>
      </c>
      <c r="V572" s="5" t="s">
        <v>2256</v>
      </c>
      <c r="W572" s="5" t="s">
        <v>2257</v>
      </c>
    </row>
    <row r="573" spans="1:23">
      <c r="A573" s="5" t="s">
        <v>1642</v>
      </c>
      <c r="B573" s="5" t="s">
        <v>1643</v>
      </c>
      <c r="C573" s="5" t="s">
        <v>1596</v>
      </c>
      <c r="G573" s="5" t="s">
        <v>1673</v>
      </c>
      <c r="H573" s="5" t="s">
        <v>291</v>
      </c>
      <c r="I573" s="5" t="s">
        <v>291</v>
      </c>
      <c r="K573" s="5" t="s">
        <v>290</v>
      </c>
      <c r="L573" s="17">
        <v>35</v>
      </c>
      <c r="M573" s="17">
        <v>30</v>
      </c>
      <c r="O573" s="18">
        <v>0.96</v>
      </c>
      <c r="P573" s="18">
        <v>0.14000000000000001</v>
      </c>
      <c r="Q573" s="18">
        <f t="shared" si="16"/>
        <v>0.14000000000000001</v>
      </c>
      <c r="R573" s="18">
        <f t="shared" si="17"/>
        <v>0.72213455028935436</v>
      </c>
      <c r="S573" s="5" t="s">
        <v>1617</v>
      </c>
      <c r="U573" s="5" t="s">
        <v>1655</v>
      </c>
      <c r="V573" s="5" t="s">
        <v>2256</v>
      </c>
      <c r="W573" s="5" t="s">
        <v>2257</v>
      </c>
    </row>
    <row r="574" spans="1:23">
      <c r="A574" s="5" t="s">
        <v>1642</v>
      </c>
      <c r="B574" s="5" t="s">
        <v>1643</v>
      </c>
      <c r="C574" s="5" t="s">
        <v>1596</v>
      </c>
      <c r="G574" s="5" t="s">
        <v>1673</v>
      </c>
      <c r="H574" s="5" t="s">
        <v>2258</v>
      </c>
      <c r="I574" s="5" t="s">
        <v>2258</v>
      </c>
      <c r="L574" s="17">
        <v>35</v>
      </c>
      <c r="M574" s="17">
        <v>30</v>
      </c>
      <c r="O574" s="18">
        <v>0.96</v>
      </c>
      <c r="P574" s="18">
        <v>0.31</v>
      </c>
      <c r="Q574" s="18">
        <f t="shared" si="16"/>
        <v>0.31</v>
      </c>
      <c r="R574" s="18">
        <f t="shared" si="17"/>
        <v>1.6425472327165676</v>
      </c>
      <c r="S574" s="5" t="s">
        <v>1617</v>
      </c>
      <c r="U574" s="5" t="s">
        <v>1655</v>
      </c>
      <c r="V574" s="5" t="s">
        <v>2256</v>
      </c>
      <c r="W574" s="5" t="s">
        <v>2257</v>
      </c>
    </row>
    <row r="575" spans="1:23">
      <c r="A575" s="5" t="s">
        <v>1642</v>
      </c>
      <c r="B575" s="5" t="s">
        <v>1643</v>
      </c>
      <c r="C575" s="5" t="s">
        <v>1596</v>
      </c>
      <c r="G575" s="5" t="s">
        <v>1673</v>
      </c>
      <c r="H575" s="5" t="s">
        <v>2259</v>
      </c>
      <c r="I575" s="5" t="s">
        <v>2259</v>
      </c>
      <c r="L575" s="17">
        <v>35</v>
      </c>
      <c r="M575" s="17">
        <v>30</v>
      </c>
      <c r="O575" s="18">
        <v>0.96</v>
      </c>
      <c r="P575" s="18">
        <v>0.18</v>
      </c>
      <c r="Q575" s="18">
        <f t="shared" si="16"/>
        <v>0.18</v>
      </c>
      <c r="R575" s="18">
        <f t="shared" si="17"/>
        <v>0.93252048817158095</v>
      </c>
      <c r="S575" s="5" t="s">
        <v>1597</v>
      </c>
      <c r="U575" s="5" t="s">
        <v>1655</v>
      </c>
      <c r="V575" s="5" t="s">
        <v>2256</v>
      </c>
      <c r="W575" s="5" t="s">
        <v>2257</v>
      </c>
    </row>
    <row r="576" spans="1:23">
      <c r="A576" s="5" t="s">
        <v>1642</v>
      </c>
      <c r="B576" s="5" t="s">
        <v>1643</v>
      </c>
      <c r="C576" s="5" t="s">
        <v>1596</v>
      </c>
      <c r="G576" s="5" t="s">
        <v>1673</v>
      </c>
      <c r="H576" s="5" t="s">
        <v>2260</v>
      </c>
      <c r="I576" s="5" t="s">
        <v>2260</v>
      </c>
      <c r="L576" s="17">
        <v>35</v>
      </c>
      <c r="M576" s="17">
        <v>30</v>
      </c>
      <c r="O576" s="18">
        <v>0.96</v>
      </c>
      <c r="P576" s="18">
        <v>0.03</v>
      </c>
      <c r="Q576" s="18">
        <f t="shared" si="16"/>
        <v>0.03</v>
      </c>
      <c r="R576" s="18">
        <f t="shared" si="17"/>
        <v>0.15377293345691084</v>
      </c>
      <c r="S576" s="5" t="s">
        <v>1597</v>
      </c>
      <c r="U576" s="5" t="s">
        <v>1655</v>
      </c>
      <c r="V576" s="5" t="s">
        <v>2256</v>
      </c>
      <c r="W576" s="5" t="s">
        <v>2257</v>
      </c>
    </row>
    <row r="577" spans="1:23">
      <c r="A577" s="5" t="s">
        <v>1642</v>
      </c>
      <c r="B577" s="5" t="s">
        <v>1643</v>
      </c>
      <c r="C577" s="5" t="s">
        <v>1596</v>
      </c>
      <c r="G577" s="5" t="s">
        <v>1673</v>
      </c>
      <c r="H577" s="5" t="s">
        <v>2261</v>
      </c>
      <c r="I577" s="5" t="s">
        <v>2261</v>
      </c>
      <c r="L577" s="17">
        <v>35</v>
      </c>
      <c r="M577" s="17">
        <v>30</v>
      </c>
      <c r="O577" s="18">
        <v>0.96</v>
      </c>
      <c r="P577" s="18">
        <v>0.31</v>
      </c>
      <c r="Q577" s="18">
        <f t="shared" si="16"/>
        <v>0.31</v>
      </c>
      <c r="R577" s="18">
        <f t="shared" si="17"/>
        <v>1.6425472327165676</v>
      </c>
      <c r="S577" s="5" t="s">
        <v>1617</v>
      </c>
      <c r="U577" s="5" t="s">
        <v>1655</v>
      </c>
      <c r="V577" s="5" t="s">
        <v>2256</v>
      </c>
      <c r="W577" s="5" t="s">
        <v>2257</v>
      </c>
    </row>
    <row r="578" spans="1:23">
      <c r="A578" s="5" t="s">
        <v>1642</v>
      </c>
      <c r="B578" s="5" t="s">
        <v>1643</v>
      </c>
      <c r="C578" s="5" t="s">
        <v>1596</v>
      </c>
      <c r="G578" s="5" t="s">
        <v>1673</v>
      </c>
      <c r="H578" s="5" t="s">
        <v>2262</v>
      </c>
      <c r="I578" s="5" t="s">
        <v>2262</v>
      </c>
      <c r="L578" s="17">
        <v>35</v>
      </c>
      <c r="M578" s="17">
        <v>30</v>
      </c>
      <c r="O578" s="18">
        <v>0.96</v>
      </c>
      <c r="P578" s="18">
        <v>0.21</v>
      </c>
      <c r="Q578" s="18">
        <f t="shared" ref="Q578:Q641" si="18">ABS(P578)</f>
        <v>0.21</v>
      </c>
      <c r="R578" s="18">
        <f t="shared" si="17"/>
        <v>1.0923382311326366</v>
      </c>
      <c r="S578" s="5" t="s">
        <v>1617</v>
      </c>
      <c r="U578" s="5" t="s">
        <v>1655</v>
      </c>
      <c r="V578" s="5" t="s">
        <v>2256</v>
      </c>
      <c r="W578" s="5" t="s">
        <v>2257</v>
      </c>
    </row>
    <row r="579" spans="1:23">
      <c r="A579" s="5" t="s">
        <v>1642</v>
      </c>
      <c r="B579" s="5" t="s">
        <v>1643</v>
      </c>
      <c r="C579" s="5" t="s">
        <v>1596</v>
      </c>
      <c r="G579" s="5" t="s">
        <v>1673</v>
      </c>
      <c r="H579" s="5" t="s">
        <v>2263</v>
      </c>
      <c r="I579" s="5" t="s">
        <v>2263</v>
      </c>
      <c r="L579" s="17">
        <v>35</v>
      </c>
      <c r="M579" s="17">
        <v>30</v>
      </c>
      <c r="O579" s="18">
        <v>0.96</v>
      </c>
      <c r="P579" s="18">
        <v>0.34</v>
      </c>
      <c r="Q579" s="18">
        <f t="shared" si="18"/>
        <v>0.34</v>
      </c>
      <c r="R579" s="18">
        <f t="shared" ref="R579:R642" si="19">8.3145*(L579+273.15)*LN((Q579+1)/(1-Q579))*0.001</f>
        <v>1.814450267246464</v>
      </c>
      <c r="S579" s="5" t="s">
        <v>1617</v>
      </c>
      <c r="U579" s="5" t="s">
        <v>1655</v>
      </c>
      <c r="V579" s="5" t="s">
        <v>2256</v>
      </c>
      <c r="W579" s="5" t="s">
        <v>2257</v>
      </c>
    </row>
    <row r="580" spans="1:23">
      <c r="A580" s="5" t="s">
        <v>1642</v>
      </c>
      <c r="B580" s="5" t="s">
        <v>1643</v>
      </c>
      <c r="C580" s="5" t="s">
        <v>1596</v>
      </c>
      <c r="G580" s="5" t="s">
        <v>1673</v>
      </c>
      <c r="H580" s="5" t="s">
        <v>2264</v>
      </c>
      <c r="I580" s="5" t="s">
        <v>2264</v>
      </c>
      <c r="L580" s="17">
        <v>35</v>
      </c>
      <c r="M580" s="17">
        <v>30</v>
      </c>
      <c r="O580" s="18">
        <v>0.96</v>
      </c>
      <c r="P580" s="18">
        <v>0.27</v>
      </c>
      <c r="Q580" s="18">
        <f t="shared" si="18"/>
        <v>0.27</v>
      </c>
      <c r="R580" s="18">
        <f t="shared" si="19"/>
        <v>1.4187128954109909</v>
      </c>
      <c r="S580" s="5" t="s">
        <v>1617</v>
      </c>
      <c r="U580" s="5" t="s">
        <v>1655</v>
      </c>
      <c r="V580" s="5" t="s">
        <v>2256</v>
      </c>
      <c r="W580" s="5" t="s">
        <v>2257</v>
      </c>
    </row>
    <row r="581" spans="1:23">
      <c r="A581" s="5" t="s">
        <v>1642</v>
      </c>
      <c r="B581" s="5" t="s">
        <v>1643</v>
      </c>
      <c r="C581" s="5" t="s">
        <v>1596</v>
      </c>
      <c r="G581" s="5" t="s">
        <v>1673</v>
      </c>
      <c r="H581" s="5" t="s">
        <v>2265</v>
      </c>
      <c r="I581" s="5" t="s">
        <v>2265</v>
      </c>
      <c r="L581" s="17">
        <v>35</v>
      </c>
      <c r="M581" s="17">
        <v>30</v>
      </c>
      <c r="O581" s="18">
        <v>0.96</v>
      </c>
      <c r="P581" s="18">
        <v>0.11</v>
      </c>
      <c r="Q581" s="18">
        <f t="shared" si="18"/>
        <v>0.11</v>
      </c>
      <c r="R581" s="18">
        <f t="shared" si="19"/>
        <v>0.56595499616784717</v>
      </c>
      <c r="S581" s="5" t="s">
        <v>1617</v>
      </c>
      <c r="U581" s="5" t="s">
        <v>1655</v>
      </c>
      <c r="V581" s="5" t="s">
        <v>2256</v>
      </c>
      <c r="W581" s="5" t="s">
        <v>2257</v>
      </c>
    </row>
    <row r="582" spans="1:23">
      <c r="A582" s="5" t="s">
        <v>1642</v>
      </c>
      <c r="B582" s="5" t="s">
        <v>1643</v>
      </c>
      <c r="C582" s="5" t="s">
        <v>1596</v>
      </c>
      <c r="G582" s="5" t="s">
        <v>1673</v>
      </c>
      <c r="H582" s="5" t="s">
        <v>2266</v>
      </c>
      <c r="I582" s="5" t="s">
        <v>2266</v>
      </c>
      <c r="L582" s="17">
        <v>35</v>
      </c>
      <c r="M582" s="17">
        <v>30</v>
      </c>
      <c r="O582" s="18">
        <v>0.96</v>
      </c>
      <c r="P582" s="18">
        <v>0.37</v>
      </c>
      <c r="Q582" s="18">
        <f t="shared" si="18"/>
        <v>0.37</v>
      </c>
      <c r="R582" s="18">
        <f t="shared" si="19"/>
        <v>1.9903678825251709</v>
      </c>
      <c r="S582" s="5" t="s">
        <v>1597</v>
      </c>
      <c r="U582" s="5" t="s">
        <v>1655</v>
      </c>
      <c r="V582" s="5" t="s">
        <v>2256</v>
      </c>
      <c r="W582" s="5" t="s">
        <v>2257</v>
      </c>
    </row>
    <row r="583" spans="1:23">
      <c r="A583" s="5" t="s">
        <v>1642</v>
      </c>
      <c r="B583" s="5" t="s">
        <v>1643</v>
      </c>
      <c r="C583" s="5" t="s">
        <v>1596</v>
      </c>
      <c r="G583" s="5" t="s">
        <v>1673</v>
      </c>
      <c r="H583" s="5" t="s">
        <v>2267</v>
      </c>
      <c r="I583" s="5" t="s">
        <v>2267</v>
      </c>
      <c r="L583" s="17">
        <v>35</v>
      </c>
      <c r="M583" s="17">
        <v>30</v>
      </c>
      <c r="O583" s="18">
        <v>0.96</v>
      </c>
      <c r="P583" s="18">
        <v>0.28000000000000003</v>
      </c>
      <c r="Q583" s="18">
        <f t="shared" si="18"/>
        <v>0.28000000000000003</v>
      </c>
      <c r="R583" s="18">
        <f t="shared" si="19"/>
        <v>1.4741480560800251</v>
      </c>
      <c r="S583" s="5" t="s">
        <v>1617</v>
      </c>
      <c r="U583" s="5" t="s">
        <v>1655</v>
      </c>
      <c r="V583" s="5" t="s">
        <v>2256</v>
      </c>
      <c r="W583" s="5" t="s">
        <v>2257</v>
      </c>
    </row>
    <row r="584" spans="1:23">
      <c r="A584" s="5" t="s">
        <v>1642</v>
      </c>
      <c r="B584" s="5" t="s">
        <v>1643</v>
      </c>
      <c r="C584" s="5" t="s">
        <v>1596</v>
      </c>
      <c r="G584" s="5" t="s">
        <v>1673</v>
      </c>
      <c r="H584" s="5" t="s">
        <v>2268</v>
      </c>
      <c r="I584" s="5" t="s">
        <v>2268</v>
      </c>
      <c r="L584" s="17">
        <v>35</v>
      </c>
      <c r="M584" s="17">
        <v>30</v>
      </c>
      <c r="O584" s="18">
        <v>0.96</v>
      </c>
      <c r="P584" s="18">
        <v>7.0000000000000007E-2</v>
      </c>
      <c r="Q584" s="18">
        <f t="shared" si="18"/>
        <v>7.0000000000000007E-2</v>
      </c>
      <c r="R584" s="18">
        <f t="shared" si="19"/>
        <v>0.35928344288846464</v>
      </c>
      <c r="S584" s="5" t="s">
        <v>1597</v>
      </c>
      <c r="U584" s="5" t="s">
        <v>1655</v>
      </c>
      <c r="V584" s="5" t="s">
        <v>2256</v>
      </c>
      <c r="W584" s="5" t="s">
        <v>2257</v>
      </c>
    </row>
    <row r="585" spans="1:23">
      <c r="A585" s="5" t="s">
        <v>1642</v>
      </c>
      <c r="B585" s="5" t="s">
        <v>1643</v>
      </c>
      <c r="C585" s="5" t="s">
        <v>1596</v>
      </c>
      <c r="G585" s="5" t="s">
        <v>1673</v>
      </c>
      <c r="H585" s="5" t="s">
        <v>2269</v>
      </c>
      <c r="I585" s="5" t="s">
        <v>2269</v>
      </c>
      <c r="L585" s="17">
        <v>35</v>
      </c>
      <c r="M585" s="17">
        <v>30</v>
      </c>
      <c r="O585" s="18">
        <v>0.96</v>
      </c>
      <c r="P585" s="18">
        <v>0.3</v>
      </c>
      <c r="Q585" s="18">
        <f t="shared" si="18"/>
        <v>0.3</v>
      </c>
      <c r="R585" s="18">
        <f t="shared" si="19"/>
        <v>1.5860485116991563</v>
      </c>
      <c r="S585" s="5" t="s">
        <v>1617</v>
      </c>
      <c r="U585" s="5" t="s">
        <v>1655</v>
      </c>
      <c r="V585" s="5" t="s">
        <v>2256</v>
      </c>
      <c r="W585" s="5" t="s">
        <v>2257</v>
      </c>
    </row>
    <row r="586" spans="1:23">
      <c r="A586" s="5" t="s">
        <v>1642</v>
      </c>
      <c r="B586" s="5" t="s">
        <v>1643</v>
      </c>
      <c r="C586" s="5" t="s">
        <v>1596</v>
      </c>
      <c r="G586" s="5" t="s">
        <v>1673</v>
      </c>
      <c r="H586" s="5" t="s">
        <v>2270</v>
      </c>
      <c r="I586" s="5" t="s">
        <v>2270</v>
      </c>
      <c r="L586" s="17">
        <v>35</v>
      </c>
      <c r="M586" s="17">
        <v>30</v>
      </c>
      <c r="O586" s="18">
        <v>0.96</v>
      </c>
      <c r="P586" s="18">
        <v>0.44</v>
      </c>
      <c r="Q586" s="18">
        <f t="shared" si="18"/>
        <v>0.44</v>
      </c>
      <c r="R586" s="18">
        <f t="shared" si="19"/>
        <v>2.4198175312928414</v>
      </c>
      <c r="S586" s="5" t="s">
        <v>1617</v>
      </c>
      <c r="U586" s="5" t="s">
        <v>1655</v>
      </c>
      <c r="V586" s="5" t="s">
        <v>2256</v>
      </c>
      <c r="W586" s="5" t="s">
        <v>2257</v>
      </c>
    </row>
    <row r="587" spans="1:23">
      <c r="A587" s="5" t="s">
        <v>1642</v>
      </c>
      <c r="B587" s="5" t="s">
        <v>1643</v>
      </c>
      <c r="C587" s="5" t="s">
        <v>1596</v>
      </c>
      <c r="G587" s="5" t="s">
        <v>1673</v>
      </c>
      <c r="H587" s="5" t="s">
        <v>307</v>
      </c>
      <c r="I587" s="5" t="s">
        <v>307</v>
      </c>
      <c r="K587" s="5" t="s">
        <v>306</v>
      </c>
      <c r="L587" s="17">
        <v>35</v>
      </c>
      <c r="M587" s="17">
        <v>30</v>
      </c>
      <c r="O587" s="18">
        <v>0.96</v>
      </c>
      <c r="P587" s="18">
        <v>0.05</v>
      </c>
      <c r="Q587" s="18">
        <f t="shared" si="18"/>
        <v>0.05</v>
      </c>
      <c r="R587" s="18">
        <f t="shared" si="19"/>
        <v>0.25642514776841163</v>
      </c>
      <c r="S587" s="5" t="s">
        <v>1617</v>
      </c>
      <c r="U587" s="5" t="s">
        <v>1655</v>
      </c>
      <c r="V587" s="5" t="s">
        <v>2256</v>
      </c>
      <c r="W587" s="5" t="s">
        <v>2257</v>
      </c>
    </row>
    <row r="588" spans="1:23">
      <c r="A588" s="5" t="s">
        <v>1642</v>
      </c>
      <c r="B588" s="5" t="s">
        <v>1643</v>
      </c>
      <c r="C588" s="5" t="s">
        <v>1596</v>
      </c>
      <c r="G588" s="5" t="s">
        <v>1673</v>
      </c>
      <c r="H588" s="5" t="s">
        <v>2271</v>
      </c>
      <c r="I588" s="5" t="s">
        <v>2271</v>
      </c>
      <c r="L588" s="17">
        <v>35</v>
      </c>
      <c r="M588" s="17">
        <v>30</v>
      </c>
      <c r="O588" s="18">
        <v>0.96</v>
      </c>
      <c r="P588" s="18">
        <v>0.14000000000000001</v>
      </c>
      <c r="Q588" s="18">
        <f t="shared" si="18"/>
        <v>0.14000000000000001</v>
      </c>
      <c r="R588" s="18">
        <f t="shared" si="19"/>
        <v>0.72213455028935436</v>
      </c>
      <c r="S588" s="5" t="s">
        <v>1597</v>
      </c>
      <c r="U588" s="5" t="s">
        <v>1655</v>
      </c>
      <c r="V588" s="5" t="s">
        <v>2256</v>
      </c>
      <c r="W588" s="5" t="s">
        <v>2257</v>
      </c>
    </row>
    <row r="589" spans="1:23">
      <c r="A589" s="5" t="s">
        <v>1642</v>
      </c>
      <c r="B589" s="5" t="s">
        <v>1643</v>
      </c>
      <c r="C589" s="5" t="s">
        <v>1596</v>
      </c>
      <c r="G589" s="5" t="s">
        <v>1673</v>
      </c>
      <c r="H589" s="5" t="s">
        <v>2272</v>
      </c>
      <c r="I589" s="5" t="s">
        <v>2272</v>
      </c>
      <c r="L589" s="17">
        <v>35</v>
      </c>
      <c r="M589" s="17">
        <v>30</v>
      </c>
      <c r="O589" s="18">
        <v>0.96</v>
      </c>
      <c r="P589" s="18">
        <v>0.36</v>
      </c>
      <c r="Q589" s="18">
        <f t="shared" si="18"/>
        <v>0.36</v>
      </c>
      <c r="R589" s="18">
        <f t="shared" si="19"/>
        <v>1.9312486658120196</v>
      </c>
      <c r="S589" s="5" t="s">
        <v>1597</v>
      </c>
      <c r="U589" s="5" t="s">
        <v>1655</v>
      </c>
      <c r="V589" s="5" t="s">
        <v>2256</v>
      </c>
      <c r="W589" s="5" t="s">
        <v>2257</v>
      </c>
    </row>
    <row r="590" spans="1:23">
      <c r="A590" s="5" t="s">
        <v>1642</v>
      </c>
      <c r="B590" s="5" t="s">
        <v>1643</v>
      </c>
      <c r="C590" s="5" t="s">
        <v>1596</v>
      </c>
      <c r="G590" s="5" t="s">
        <v>1673</v>
      </c>
      <c r="H590" s="5" t="s">
        <v>2273</v>
      </c>
      <c r="I590" s="5" t="s">
        <v>2273</v>
      </c>
      <c r="L590" s="17">
        <v>35</v>
      </c>
      <c r="M590" s="17">
        <v>30</v>
      </c>
      <c r="O590" s="18">
        <v>0.96</v>
      </c>
      <c r="P590" s="18">
        <v>0.54</v>
      </c>
      <c r="Q590" s="18">
        <f t="shared" si="18"/>
        <v>0.54</v>
      </c>
      <c r="R590" s="18">
        <f t="shared" si="19"/>
        <v>3.0958300601993871</v>
      </c>
      <c r="S590" s="5" t="s">
        <v>1597</v>
      </c>
      <c r="U590" s="5" t="s">
        <v>1655</v>
      </c>
      <c r="V590" s="5" t="s">
        <v>2256</v>
      </c>
      <c r="W590" s="5" t="s">
        <v>2257</v>
      </c>
    </row>
    <row r="591" spans="1:23">
      <c r="A591" s="5" t="s">
        <v>1642</v>
      </c>
      <c r="B591" s="5" t="s">
        <v>1643</v>
      </c>
      <c r="C591" s="5" t="s">
        <v>1596</v>
      </c>
      <c r="G591" s="5" t="s">
        <v>1673</v>
      </c>
      <c r="H591" s="5" t="s">
        <v>2274</v>
      </c>
      <c r="I591" s="5" t="s">
        <v>2274</v>
      </c>
      <c r="L591" s="17">
        <v>35</v>
      </c>
      <c r="M591" s="17">
        <v>30</v>
      </c>
      <c r="O591" s="18">
        <v>0.96</v>
      </c>
      <c r="P591" s="18">
        <v>0.35</v>
      </c>
      <c r="Q591" s="18">
        <f t="shared" si="18"/>
        <v>0.35</v>
      </c>
      <c r="R591" s="18">
        <f t="shared" si="19"/>
        <v>1.8726165150804135</v>
      </c>
      <c r="S591" s="5" t="s">
        <v>1597</v>
      </c>
      <c r="U591" s="5" t="s">
        <v>1655</v>
      </c>
      <c r="V591" s="5" t="s">
        <v>2256</v>
      </c>
      <c r="W591" s="5" t="s">
        <v>2257</v>
      </c>
    </row>
    <row r="592" spans="1:23">
      <c r="A592" s="5" t="s">
        <v>1642</v>
      </c>
      <c r="B592" s="5" t="s">
        <v>1643</v>
      </c>
      <c r="C592" s="5" t="s">
        <v>1596</v>
      </c>
      <c r="G592" s="5" t="s">
        <v>1673</v>
      </c>
      <c r="H592" s="5" t="s">
        <v>2275</v>
      </c>
      <c r="I592" s="5" t="s">
        <v>2275</v>
      </c>
      <c r="L592" s="17">
        <v>35</v>
      </c>
      <c r="M592" s="17">
        <v>30</v>
      </c>
      <c r="O592" s="18">
        <v>0.96</v>
      </c>
      <c r="P592" s="18">
        <v>0.34</v>
      </c>
      <c r="Q592" s="18">
        <f t="shared" si="18"/>
        <v>0.34</v>
      </c>
      <c r="R592" s="18">
        <f t="shared" si="19"/>
        <v>1.814450267246464</v>
      </c>
      <c r="S592" s="5" t="s">
        <v>1617</v>
      </c>
      <c r="U592" s="5" t="s">
        <v>1655</v>
      </c>
      <c r="V592" s="5" t="s">
        <v>2256</v>
      </c>
      <c r="W592" s="5" t="s">
        <v>2257</v>
      </c>
    </row>
    <row r="593" spans="1:23">
      <c r="A593" s="5" t="s">
        <v>1642</v>
      </c>
      <c r="B593" s="5" t="s">
        <v>1643</v>
      </c>
      <c r="C593" s="5" t="s">
        <v>1596</v>
      </c>
      <c r="G593" s="5" t="s">
        <v>1673</v>
      </c>
      <c r="H593" s="5" t="s">
        <v>2276</v>
      </c>
      <c r="I593" s="5" t="s">
        <v>2276</v>
      </c>
      <c r="L593" s="17">
        <v>35</v>
      </c>
      <c r="M593" s="17">
        <v>30</v>
      </c>
      <c r="O593" s="18">
        <v>0.96</v>
      </c>
      <c r="P593" s="18">
        <v>0.35</v>
      </c>
      <c r="Q593" s="18">
        <f t="shared" si="18"/>
        <v>0.35</v>
      </c>
      <c r="R593" s="18">
        <f t="shared" si="19"/>
        <v>1.8726165150804135</v>
      </c>
      <c r="S593" s="5" t="s">
        <v>1597</v>
      </c>
      <c r="U593" s="5" t="s">
        <v>1655</v>
      </c>
      <c r="V593" s="5" t="s">
        <v>2256</v>
      </c>
      <c r="W593" s="5" t="s">
        <v>2257</v>
      </c>
    </row>
    <row r="594" spans="1:23">
      <c r="A594" s="5" t="s">
        <v>1642</v>
      </c>
      <c r="B594" s="5" t="s">
        <v>1643</v>
      </c>
      <c r="C594" s="5" t="s">
        <v>1596</v>
      </c>
      <c r="G594" s="5" t="s">
        <v>1673</v>
      </c>
      <c r="H594" s="5" t="s">
        <v>2277</v>
      </c>
      <c r="I594" s="5" t="s">
        <v>2277</v>
      </c>
      <c r="L594" s="17">
        <v>35</v>
      </c>
      <c r="M594" s="17">
        <v>30</v>
      </c>
      <c r="O594" s="18">
        <v>0.96</v>
      </c>
      <c r="P594" s="18">
        <v>0.37</v>
      </c>
      <c r="Q594" s="18">
        <f t="shared" si="18"/>
        <v>0.37</v>
      </c>
      <c r="R594" s="18">
        <f t="shared" si="19"/>
        <v>1.9903678825251709</v>
      </c>
      <c r="S594" s="5" t="s">
        <v>1597</v>
      </c>
      <c r="U594" s="5" t="s">
        <v>1655</v>
      </c>
      <c r="V594" s="5" t="s">
        <v>2256</v>
      </c>
      <c r="W594" s="5" t="s">
        <v>2257</v>
      </c>
    </row>
    <row r="595" spans="1:23">
      <c r="A595" s="5" t="s">
        <v>1642</v>
      </c>
      <c r="B595" s="5" t="s">
        <v>1643</v>
      </c>
      <c r="C595" s="5" t="s">
        <v>1596</v>
      </c>
      <c r="G595" s="5" t="s">
        <v>1673</v>
      </c>
      <c r="H595" s="5" t="s">
        <v>2278</v>
      </c>
      <c r="I595" s="5" t="s">
        <v>2278</v>
      </c>
      <c r="K595" s="5" t="s">
        <v>314</v>
      </c>
      <c r="L595" s="17">
        <v>35</v>
      </c>
      <c r="M595" s="17">
        <v>30</v>
      </c>
      <c r="O595" s="18">
        <v>0.96</v>
      </c>
      <c r="P595" s="18">
        <v>0.67</v>
      </c>
      <c r="Q595" s="18">
        <f t="shared" si="18"/>
        <v>0.67</v>
      </c>
      <c r="R595" s="18">
        <f t="shared" si="19"/>
        <v>4.1544312866410555</v>
      </c>
      <c r="S595" s="5" t="s">
        <v>1597</v>
      </c>
      <c r="U595" s="5" t="s">
        <v>1655</v>
      </c>
      <c r="V595" s="5" t="s">
        <v>2256</v>
      </c>
      <c r="W595" s="5" t="s">
        <v>2257</v>
      </c>
    </row>
    <row r="596" spans="1:23">
      <c r="A596" s="5" t="s">
        <v>1642</v>
      </c>
      <c r="B596" s="5" t="s">
        <v>1643</v>
      </c>
      <c r="C596" s="5" t="s">
        <v>1596</v>
      </c>
      <c r="G596" s="5" t="s">
        <v>1673</v>
      </c>
      <c r="H596" s="5" t="s">
        <v>2279</v>
      </c>
      <c r="I596" s="5" t="s">
        <v>2279</v>
      </c>
      <c r="L596" s="17">
        <v>35</v>
      </c>
      <c r="M596" s="17">
        <v>30</v>
      </c>
      <c r="O596" s="18">
        <v>0.96</v>
      </c>
      <c r="P596" s="18">
        <v>0.46</v>
      </c>
      <c r="Q596" s="18">
        <f t="shared" si="18"/>
        <v>0.46</v>
      </c>
      <c r="R596" s="18">
        <f t="shared" si="19"/>
        <v>2.5483356039290284</v>
      </c>
      <c r="S596" s="5" t="s">
        <v>1597</v>
      </c>
      <c r="U596" s="5" t="s">
        <v>1655</v>
      </c>
      <c r="V596" s="5" t="s">
        <v>2256</v>
      </c>
      <c r="W596" s="5" t="s">
        <v>2257</v>
      </c>
    </row>
    <row r="597" spans="1:23">
      <c r="A597" s="5" t="s">
        <v>1642</v>
      </c>
      <c r="B597" s="5" t="s">
        <v>1643</v>
      </c>
      <c r="C597" s="5" t="s">
        <v>1596</v>
      </c>
      <c r="G597" s="5" t="s">
        <v>1673</v>
      </c>
      <c r="H597" s="5" t="s">
        <v>451</v>
      </c>
      <c r="I597" s="5" t="s">
        <v>451</v>
      </c>
      <c r="K597" s="5" t="s">
        <v>450</v>
      </c>
      <c r="L597" s="17">
        <v>35</v>
      </c>
      <c r="M597" s="17">
        <v>30</v>
      </c>
      <c r="O597" s="18">
        <v>0.96</v>
      </c>
      <c r="P597" s="18">
        <v>0.49</v>
      </c>
      <c r="Q597" s="18">
        <f t="shared" si="18"/>
        <v>0.49</v>
      </c>
      <c r="R597" s="18">
        <f t="shared" si="19"/>
        <v>2.7468945020497348</v>
      </c>
      <c r="S597" s="5" t="s">
        <v>1597</v>
      </c>
      <c r="U597" s="5" t="s">
        <v>1655</v>
      </c>
      <c r="V597" s="5" t="s">
        <v>2256</v>
      </c>
      <c r="W597" s="5" t="s">
        <v>2257</v>
      </c>
    </row>
    <row r="598" spans="1:23">
      <c r="A598" s="5" t="s">
        <v>1642</v>
      </c>
      <c r="B598" s="5" t="s">
        <v>1643</v>
      </c>
      <c r="C598" s="5" t="s">
        <v>1596</v>
      </c>
      <c r="G598" s="5" t="s">
        <v>1673</v>
      </c>
      <c r="H598" s="5" t="s">
        <v>2280</v>
      </c>
      <c r="I598" s="5" t="s">
        <v>2280</v>
      </c>
      <c r="K598" s="5" t="s">
        <v>1014</v>
      </c>
      <c r="L598" s="17">
        <v>35</v>
      </c>
      <c r="M598" s="17">
        <v>30</v>
      </c>
      <c r="O598" s="18">
        <v>0.96</v>
      </c>
      <c r="P598" s="18">
        <v>0.56000000000000005</v>
      </c>
      <c r="Q598" s="18">
        <f t="shared" si="18"/>
        <v>0.56000000000000005</v>
      </c>
      <c r="R598" s="18">
        <f t="shared" si="19"/>
        <v>3.2427804902665311</v>
      </c>
      <c r="S598" s="5" t="s">
        <v>1597</v>
      </c>
      <c r="U598" s="5" t="s">
        <v>1655</v>
      </c>
      <c r="V598" s="5" t="s">
        <v>2256</v>
      </c>
      <c r="W598" s="5" t="s">
        <v>2257</v>
      </c>
    </row>
    <row r="599" spans="1:23">
      <c r="A599" s="5" t="s">
        <v>1642</v>
      </c>
      <c r="B599" s="5" t="s">
        <v>1643</v>
      </c>
      <c r="C599" s="5" t="s">
        <v>1596</v>
      </c>
      <c r="G599" s="5" t="s">
        <v>1673</v>
      </c>
      <c r="H599" s="5" t="s">
        <v>1030</v>
      </c>
      <c r="I599" s="5" t="s">
        <v>1030</v>
      </c>
      <c r="K599" s="5" t="s">
        <v>1029</v>
      </c>
      <c r="L599" s="17">
        <v>35</v>
      </c>
      <c r="M599" s="17">
        <v>30</v>
      </c>
      <c r="O599" s="18">
        <v>0.96</v>
      </c>
      <c r="P599" s="18">
        <v>0.44</v>
      </c>
      <c r="Q599" s="18">
        <f t="shared" si="18"/>
        <v>0.44</v>
      </c>
      <c r="R599" s="18">
        <f t="shared" si="19"/>
        <v>2.4198175312928414</v>
      </c>
      <c r="S599" s="5" t="s">
        <v>1597</v>
      </c>
      <c r="U599" s="5" t="s">
        <v>1655</v>
      </c>
      <c r="V599" s="5" t="s">
        <v>2256</v>
      </c>
      <c r="W599" s="5" t="s">
        <v>2257</v>
      </c>
    </row>
    <row r="600" spans="1:23">
      <c r="A600" s="5" t="s">
        <v>1642</v>
      </c>
      <c r="B600" s="5" t="s">
        <v>1643</v>
      </c>
      <c r="C600" s="5" t="s">
        <v>1596</v>
      </c>
      <c r="G600" s="5" t="s">
        <v>1673</v>
      </c>
      <c r="H600" s="5" t="s">
        <v>2281</v>
      </c>
      <c r="I600" s="5" t="s">
        <v>2281</v>
      </c>
      <c r="K600" s="5" t="s">
        <v>354</v>
      </c>
      <c r="L600" s="17">
        <v>35</v>
      </c>
      <c r="M600" s="17">
        <v>30</v>
      </c>
      <c r="O600" s="18">
        <v>0.96</v>
      </c>
      <c r="P600" s="18">
        <v>0.28999999999999998</v>
      </c>
      <c r="Q600" s="18">
        <f t="shared" si="18"/>
        <v>0.28999999999999998</v>
      </c>
      <c r="R600" s="18">
        <f t="shared" si="19"/>
        <v>1.5299211154685337</v>
      </c>
      <c r="S600" s="5" t="s">
        <v>1597</v>
      </c>
      <c r="U600" s="5" t="s">
        <v>1655</v>
      </c>
      <c r="V600" s="5" t="s">
        <v>2256</v>
      </c>
      <c r="W600" s="5" t="s">
        <v>2257</v>
      </c>
    </row>
    <row r="601" spans="1:23">
      <c r="A601" s="5" t="s">
        <v>1642</v>
      </c>
      <c r="B601" s="5" t="s">
        <v>1643</v>
      </c>
      <c r="C601" s="5" t="s">
        <v>1596</v>
      </c>
      <c r="G601" s="5" t="s">
        <v>1673</v>
      </c>
      <c r="H601" s="5" t="s">
        <v>2282</v>
      </c>
      <c r="I601" s="5" t="s">
        <v>2282</v>
      </c>
      <c r="K601" s="5" t="s">
        <v>49</v>
      </c>
      <c r="L601" s="17">
        <v>35</v>
      </c>
      <c r="M601" s="17">
        <v>30</v>
      </c>
      <c r="O601" s="18">
        <v>0.96</v>
      </c>
      <c r="P601" s="18">
        <v>0.05</v>
      </c>
      <c r="Q601" s="18">
        <f t="shared" si="18"/>
        <v>0.05</v>
      </c>
      <c r="R601" s="18">
        <f t="shared" si="19"/>
        <v>0.25642514776841163</v>
      </c>
      <c r="S601" s="5" t="s">
        <v>1597</v>
      </c>
      <c r="U601" s="5" t="s">
        <v>1655</v>
      </c>
      <c r="V601" s="5" t="s">
        <v>2256</v>
      </c>
      <c r="W601" s="5" t="s">
        <v>2257</v>
      </c>
    </row>
    <row r="602" spans="1:23">
      <c r="A602" s="5" t="s">
        <v>1642</v>
      </c>
      <c r="B602" s="5" t="s">
        <v>1643</v>
      </c>
      <c r="C602" s="5" t="s">
        <v>1596</v>
      </c>
      <c r="G602" s="5" t="s">
        <v>1673</v>
      </c>
      <c r="H602" s="5" t="s">
        <v>2283</v>
      </c>
      <c r="I602" s="5" t="s">
        <v>2283</v>
      </c>
      <c r="K602" s="5" t="s">
        <v>23</v>
      </c>
      <c r="L602" s="17">
        <v>35</v>
      </c>
      <c r="M602" s="17">
        <v>30</v>
      </c>
      <c r="O602" s="18">
        <v>0.96</v>
      </c>
      <c r="P602" s="18">
        <v>0.01</v>
      </c>
      <c r="Q602" s="18">
        <f t="shared" si="18"/>
        <v>0.01</v>
      </c>
      <c r="R602" s="18">
        <f t="shared" si="19"/>
        <v>5.1243971677941619E-2</v>
      </c>
      <c r="S602" s="5" t="s">
        <v>1597</v>
      </c>
      <c r="U602" s="5" t="s">
        <v>1655</v>
      </c>
      <c r="V602" s="5" t="s">
        <v>2256</v>
      </c>
      <c r="W602" s="5" t="s">
        <v>2257</v>
      </c>
    </row>
    <row r="603" spans="1:23">
      <c r="A603" s="5" t="s">
        <v>1642</v>
      </c>
      <c r="B603" s="5" t="s">
        <v>1643</v>
      </c>
      <c r="C603" s="5" t="s">
        <v>1596</v>
      </c>
      <c r="G603" s="5" t="s">
        <v>1673</v>
      </c>
      <c r="H603" s="5" t="s">
        <v>2284</v>
      </c>
      <c r="I603" s="5" t="s">
        <v>2284</v>
      </c>
      <c r="K603" s="5" t="s">
        <v>13</v>
      </c>
      <c r="L603" s="17">
        <v>35</v>
      </c>
      <c r="M603" s="17">
        <v>30</v>
      </c>
      <c r="O603" s="18">
        <v>0.96</v>
      </c>
      <c r="P603" s="18">
        <v>0.28999999999999998</v>
      </c>
      <c r="Q603" s="18">
        <f t="shared" si="18"/>
        <v>0.28999999999999998</v>
      </c>
      <c r="R603" s="18">
        <f t="shared" si="19"/>
        <v>1.5299211154685337</v>
      </c>
      <c r="S603" s="5" t="s">
        <v>1597</v>
      </c>
      <c r="U603" s="5" t="s">
        <v>1655</v>
      </c>
      <c r="V603" s="5" t="s">
        <v>2256</v>
      </c>
      <c r="W603" s="5" t="s">
        <v>2257</v>
      </c>
    </row>
    <row r="604" spans="1:23">
      <c r="A604" s="5" t="s">
        <v>1642</v>
      </c>
      <c r="B604" s="5" t="s">
        <v>1643</v>
      </c>
      <c r="C604" s="5" t="s">
        <v>1596</v>
      </c>
      <c r="G604" s="5" t="s">
        <v>1673</v>
      </c>
      <c r="H604" s="5" t="s">
        <v>2285</v>
      </c>
      <c r="I604" s="5" t="s">
        <v>2285</v>
      </c>
      <c r="K604" s="5" t="s">
        <v>67</v>
      </c>
      <c r="L604" s="17">
        <v>35</v>
      </c>
      <c r="M604" s="17">
        <v>30</v>
      </c>
      <c r="O604" s="18">
        <v>0.96</v>
      </c>
      <c r="P604" s="18">
        <v>0.02</v>
      </c>
      <c r="Q604" s="18">
        <f t="shared" si="18"/>
        <v>0.02</v>
      </c>
      <c r="R604" s="18">
        <f t="shared" si="19"/>
        <v>0.10249819488404227</v>
      </c>
      <c r="S604" s="5" t="s">
        <v>1597</v>
      </c>
      <c r="U604" s="5" t="s">
        <v>1655</v>
      </c>
      <c r="V604" s="5" t="s">
        <v>2256</v>
      </c>
      <c r="W604" s="5" t="s">
        <v>2257</v>
      </c>
    </row>
    <row r="605" spans="1:23">
      <c r="A605" s="5" t="s">
        <v>1642</v>
      </c>
      <c r="B605" s="5" t="s">
        <v>1643</v>
      </c>
      <c r="C605" s="5" t="s">
        <v>1596</v>
      </c>
      <c r="G605" s="5" t="s">
        <v>1673</v>
      </c>
      <c r="H605" s="5" t="s">
        <v>2286</v>
      </c>
      <c r="I605" s="5" t="s">
        <v>2286</v>
      </c>
      <c r="K605" s="5" t="s">
        <v>41</v>
      </c>
      <c r="L605" s="17">
        <v>35</v>
      </c>
      <c r="M605" s="17">
        <v>30</v>
      </c>
      <c r="O605" s="18">
        <v>0.96</v>
      </c>
      <c r="P605" s="18">
        <v>0.2</v>
      </c>
      <c r="Q605" s="18">
        <f t="shared" si="18"/>
        <v>0.2</v>
      </c>
      <c r="R605" s="18">
        <f t="shared" si="19"/>
        <v>1.0388474954867268</v>
      </c>
      <c r="S605" s="5" t="s">
        <v>1597</v>
      </c>
      <c r="U605" s="5" t="s">
        <v>1655</v>
      </c>
      <c r="V605" s="5" t="s">
        <v>2256</v>
      </c>
      <c r="W605" s="5" t="s">
        <v>2257</v>
      </c>
    </row>
    <row r="606" spans="1:23">
      <c r="A606" s="5" t="s">
        <v>1642</v>
      </c>
      <c r="B606" s="5" t="s">
        <v>1643</v>
      </c>
      <c r="C606" s="5" t="s">
        <v>1596</v>
      </c>
      <c r="G606" s="5" t="s">
        <v>1673</v>
      </c>
      <c r="H606" s="5" t="s">
        <v>2287</v>
      </c>
      <c r="I606" s="5" t="s">
        <v>2287</v>
      </c>
      <c r="K606" s="5" t="s">
        <v>32</v>
      </c>
      <c r="L606" s="17">
        <v>35</v>
      </c>
      <c r="M606" s="17">
        <v>30</v>
      </c>
      <c r="O606" s="18">
        <v>0.96</v>
      </c>
      <c r="P606" s="18">
        <v>0.63</v>
      </c>
      <c r="Q606" s="18">
        <f t="shared" si="18"/>
        <v>0.63</v>
      </c>
      <c r="R606" s="18">
        <f t="shared" si="19"/>
        <v>3.7991841418166348</v>
      </c>
      <c r="S606" s="5" t="s">
        <v>1597</v>
      </c>
      <c r="U606" s="5" t="s">
        <v>1655</v>
      </c>
      <c r="V606" s="5" t="s">
        <v>2256</v>
      </c>
      <c r="W606" s="5" t="s">
        <v>2257</v>
      </c>
    </row>
    <row r="607" spans="1:23">
      <c r="A607" s="5" t="s">
        <v>1642</v>
      </c>
      <c r="B607" s="5" t="s">
        <v>1643</v>
      </c>
      <c r="C607" s="5" t="s">
        <v>1596</v>
      </c>
      <c r="G607" s="5" t="s">
        <v>1673</v>
      </c>
      <c r="H607" s="5" t="s">
        <v>2288</v>
      </c>
      <c r="I607" s="5" t="s">
        <v>2288</v>
      </c>
      <c r="K607" s="5" t="s">
        <v>85</v>
      </c>
      <c r="L607" s="17">
        <v>35</v>
      </c>
      <c r="M607" s="17">
        <v>30</v>
      </c>
      <c r="O607" s="18">
        <v>0.96</v>
      </c>
      <c r="P607" s="18">
        <v>0.18</v>
      </c>
      <c r="Q607" s="18">
        <f t="shared" si="18"/>
        <v>0.18</v>
      </c>
      <c r="R607" s="18">
        <f t="shared" si="19"/>
        <v>0.93252048817158095</v>
      </c>
      <c r="S607" s="5" t="s">
        <v>1597</v>
      </c>
      <c r="U607" s="5" t="s">
        <v>1655</v>
      </c>
      <c r="V607" s="5" t="s">
        <v>2256</v>
      </c>
      <c r="W607" s="5" t="s">
        <v>2257</v>
      </c>
    </row>
    <row r="608" spans="1:23">
      <c r="A608" s="5" t="s">
        <v>1642</v>
      </c>
      <c r="B608" s="5" t="s">
        <v>1643</v>
      </c>
      <c r="C608" s="5" t="s">
        <v>1596</v>
      </c>
      <c r="G608" s="5" t="s">
        <v>1673</v>
      </c>
      <c r="H608" s="5" t="s">
        <v>2289</v>
      </c>
      <c r="I608" s="5" t="s">
        <v>2289</v>
      </c>
      <c r="K608" s="5" t="s">
        <v>1220</v>
      </c>
      <c r="L608" s="17">
        <v>35</v>
      </c>
      <c r="M608" s="17">
        <v>30</v>
      </c>
      <c r="O608" s="18">
        <v>0.96</v>
      </c>
      <c r="P608" s="18">
        <v>0.37</v>
      </c>
      <c r="Q608" s="18">
        <f t="shared" si="18"/>
        <v>0.37</v>
      </c>
      <c r="R608" s="18">
        <f t="shared" si="19"/>
        <v>1.9903678825251709</v>
      </c>
      <c r="S608" s="5" t="s">
        <v>1597</v>
      </c>
      <c r="U608" s="5" t="s">
        <v>1655</v>
      </c>
      <c r="V608" s="5" t="s">
        <v>2256</v>
      </c>
      <c r="W608" s="5" t="s">
        <v>2257</v>
      </c>
    </row>
    <row r="609" spans="1:23">
      <c r="A609" s="5" t="s">
        <v>1642</v>
      </c>
      <c r="B609" s="5" t="s">
        <v>1643</v>
      </c>
      <c r="C609" s="5" t="s">
        <v>1596</v>
      </c>
      <c r="G609" s="5" t="s">
        <v>1673</v>
      </c>
      <c r="H609" s="5" t="s">
        <v>2290</v>
      </c>
      <c r="I609" s="5" t="s">
        <v>2290</v>
      </c>
      <c r="K609" s="5" t="s">
        <v>906</v>
      </c>
      <c r="L609" s="17">
        <v>35</v>
      </c>
      <c r="M609" s="17">
        <v>30</v>
      </c>
      <c r="O609" s="18">
        <v>0.96</v>
      </c>
      <c r="P609" s="18">
        <v>0.86</v>
      </c>
      <c r="Q609" s="18">
        <f t="shared" si="18"/>
        <v>0.86</v>
      </c>
      <c r="R609" s="18">
        <f t="shared" si="19"/>
        <v>6.6273908481454464</v>
      </c>
      <c r="S609" s="5" t="s">
        <v>1597</v>
      </c>
      <c r="U609" s="5" t="s">
        <v>1655</v>
      </c>
      <c r="V609" s="5" t="s">
        <v>2256</v>
      </c>
      <c r="W609" s="5" t="s">
        <v>2257</v>
      </c>
    </row>
    <row r="610" spans="1:23">
      <c r="A610" s="5" t="s">
        <v>1642</v>
      </c>
      <c r="B610" s="5" t="s">
        <v>1643</v>
      </c>
      <c r="C610" s="5" t="s">
        <v>1596</v>
      </c>
      <c r="G610" s="5" t="s">
        <v>1673</v>
      </c>
      <c r="H610" s="5" t="s">
        <v>2291</v>
      </c>
      <c r="I610" s="5" t="s">
        <v>2291</v>
      </c>
      <c r="K610" s="5" t="s">
        <v>2292</v>
      </c>
      <c r="L610" s="17">
        <v>35</v>
      </c>
      <c r="M610" s="17">
        <v>30</v>
      </c>
      <c r="O610" s="18">
        <v>0.96</v>
      </c>
      <c r="P610" s="18">
        <v>0.63</v>
      </c>
      <c r="Q610" s="18">
        <f t="shared" si="18"/>
        <v>0.63</v>
      </c>
      <c r="R610" s="18">
        <f t="shared" si="19"/>
        <v>3.7991841418166348</v>
      </c>
      <c r="S610" s="5" t="s">
        <v>1597</v>
      </c>
      <c r="U610" s="5" t="s">
        <v>1655</v>
      </c>
      <c r="V610" s="5" t="s">
        <v>2256</v>
      </c>
      <c r="W610" s="5" t="s">
        <v>2257</v>
      </c>
    </row>
    <row r="611" spans="1:23">
      <c r="A611" s="5" t="s">
        <v>1642</v>
      </c>
      <c r="B611" s="5" t="s">
        <v>1643</v>
      </c>
      <c r="C611" s="5" t="s">
        <v>1596</v>
      </c>
      <c r="G611" s="5" t="s">
        <v>1673</v>
      </c>
      <c r="H611" s="5" t="s">
        <v>2293</v>
      </c>
      <c r="I611" s="5" t="s">
        <v>2293</v>
      </c>
      <c r="K611" s="5" t="s">
        <v>2294</v>
      </c>
      <c r="L611" s="17">
        <v>35</v>
      </c>
      <c r="M611" s="17">
        <v>30</v>
      </c>
      <c r="O611" s="18">
        <v>0.96</v>
      </c>
      <c r="P611" s="18">
        <v>0.79</v>
      </c>
      <c r="Q611" s="18">
        <f t="shared" si="18"/>
        <v>0.79</v>
      </c>
      <c r="R611" s="18">
        <f t="shared" si="19"/>
        <v>5.4902584676782915</v>
      </c>
      <c r="S611" s="5" t="s">
        <v>1617</v>
      </c>
      <c r="U611" s="5" t="s">
        <v>1655</v>
      </c>
      <c r="V611" s="5" t="s">
        <v>2256</v>
      </c>
      <c r="W611" s="5" t="s">
        <v>2257</v>
      </c>
    </row>
    <row r="612" spans="1:23">
      <c r="A612" s="5" t="s">
        <v>1642</v>
      </c>
      <c r="B612" s="5" t="s">
        <v>1643</v>
      </c>
      <c r="C612" s="5" t="s">
        <v>1596</v>
      </c>
      <c r="G612" s="5" t="s">
        <v>1673</v>
      </c>
      <c r="H612" s="5" t="s">
        <v>599</v>
      </c>
      <c r="I612" s="5" t="s">
        <v>599</v>
      </c>
      <c r="K612" s="5" t="s">
        <v>598</v>
      </c>
      <c r="L612" s="17">
        <v>35</v>
      </c>
      <c r="M612" s="17">
        <v>30</v>
      </c>
      <c r="O612" s="18">
        <v>0.96</v>
      </c>
      <c r="P612" s="18">
        <v>0.95</v>
      </c>
      <c r="Q612" s="18">
        <f t="shared" si="18"/>
        <v>0.95</v>
      </c>
      <c r="R612" s="18">
        <f t="shared" si="19"/>
        <v>9.3864595609734511</v>
      </c>
      <c r="S612" s="5" t="s">
        <v>1597</v>
      </c>
      <c r="U612" s="5" t="s">
        <v>1655</v>
      </c>
      <c r="V612" s="5" t="s">
        <v>2256</v>
      </c>
      <c r="W612" s="5" t="s">
        <v>2257</v>
      </c>
    </row>
    <row r="613" spans="1:23">
      <c r="A613" s="5" t="s">
        <v>1642</v>
      </c>
      <c r="B613" s="5" t="s">
        <v>1643</v>
      </c>
      <c r="C613" s="5" t="s">
        <v>1596</v>
      </c>
      <c r="G613" s="5" t="s">
        <v>1673</v>
      </c>
      <c r="H613" s="5" t="s">
        <v>590</v>
      </c>
      <c r="I613" s="5" t="s">
        <v>590</v>
      </c>
      <c r="K613" s="5" t="s">
        <v>589</v>
      </c>
      <c r="L613" s="17">
        <v>35</v>
      </c>
      <c r="M613" s="17">
        <v>30</v>
      </c>
      <c r="O613" s="18">
        <v>0.96</v>
      </c>
      <c r="P613" s="18">
        <v>0.98</v>
      </c>
      <c r="Q613" s="18">
        <f t="shared" si="18"/>
        <v>0.98</v>
      </c>
      <c r="R613" s="18">
        <f t="shared" si="19"/>
        <v>11.773217108733856</v>
      </c>
      <c r="S613" s="5" t="s">
        <v>1597</v>
      </c>
      <c r="U613" s="5" t="s">
        <v>1655</v>
      </c>
      <c r="V613" s="5" t="s">
        <v>2256</v>
      </c>
      <c r="W613" s="5" t="s">
        <v>2257</v>
      </c>
    </row>
    <row r="614" spans="1:23">
      <c r="A614" s="5" t="s">
        <v>1642</v>
      </c>
      <c r="B614" s="5" t="s">
        <v>1643</v>
      </c>
      <c r="C614" s="5" t="s">
        <v>1596</v>
      </c>
      <c r="G614" s="5" t="s">
        <v>1673</v>
      </c>
      <c r="H614" s="5" t="s">
        <v>1373</v>
      </c>
      <c r="I614" s="5" t="s">
        <v>1373</v>
      </c>
      <c r="K614" s="5" t="s">
        <v>1372</v>
      </c>
      <c r="L614" s="17">
        <v>35</v>
      </c>
      <c r="M614" s="17">
        <v>30</v>
      </c>
      <c r="O614" s="18">
        <v>0.96</v>
      </c>
      <c r="P614" s="18">
        <v>0.95</v>
      </c>
      <c r="Q614" s="18">
        <f t="shared" si="18"/>
        <v>0.95</v>
      </c>
      <c r="R614" s="18">
        <f t="shared" si="19"/>
        <v>9.3864595609734511</v>
      </c>
      <c r="S614" s="5" t="s">
        <v>1597</v>
      </c>
      <c r="U614" s="5" t="s">
        <v>1655</v>
      </c>
      <c r="V614" s="5" t="s">
        <v>2256</v>
      </c>
      <c r="W614" s="5" t="s">
        <v>2257</v>
      </c>
    </row>
    <row r="615" spans="1:23">
      <c r="A615" s="5" t="s">
        <v>1642</v>
      </c>
      <c r="B615" s="5" t="s">
        <v>1643</v>
      </c>
      <c r="C615" s="5" t="s">
        <v>1596</v>
      </c>
      <c r="G615" s="5" t="s">
        <v>1673</v>
      </c>
      <c r="H615" s="5" t="s">
        <v>1022</v>
      </c>
      <c r="I615" s="5" t="s">
        <v>1022</v>
      </c>
      <c r="K615" s="5" t="s">
        <v>1021</v>
      </c>
      <c r="L615" s="17">
        <v>35</v>
      </c>
      <c r="M615" s="17">
        <v>30</v>
      </c>
      <c r="O615" s="18">
        <v>0.96</v>
      </c>
      <c r="P615" s="18">
        <v>0.76</v>
      </c>
      <c r="Q615" s="18">
        <f t="shared" si="18"/>
        <v>0.76</v>
      </c>
      <c r="R615" s="18">
        <f t="shared" si="19"/>
        <v>5.1048315752201967</v>
      </c>
      <c r="S615" s="5" t="s">
        <v>1597</v>
      </c>
      <c r="U615" s="5" t="s">
        <v>1655</v>
      </c>
      <c r="V615" s="5" t="s">
        <v>2256</v>
      </c>
      <c r="W615" s="5" t="s">
        <v>2257</v>
      </c>
    </row>
    <row r="616" spans="1:23">
      <c r="A616" s="5" t="s">
        <v>1642</v>
      </c>
      <c r="B616" s="5" t="s">
        <v>1643</v>
      </c>
      <c r="C616" s="5" t="s">
        <v>1596</v>
      </c>
      <c r="G616" s="5" t="s">
        <v>1673</v>
      </c>
      <c r="H616" s="5" t="s">
        <v>572</v>
      </c>
      <c r="I616" s="5" t="s">
        <v>572</v>
      </c>
      <c r="K616" s="5" t="s">
        <v>571</v>
      </c>
      <c r="L616" s="17">
        <v>35</v>
      </c>
      <c r="M616" s="17">
        <v>30</v>
      </c>
      <c r="O616" s="18">
        <v>0.96</v>
      </c>
      <c r="P616" s="18">
        <v>0.74</v>
      </c>
      <c r="Q616" s="18">
        <f t="shared" si="18"/>
        <v>0.74</v>
      </c>
      <c r="R616" s="18">
        <f t="shared" si="19"/>
        <v>4.8704714871843846</v>
      </c>
      <c r="S616" s="5" t="s">
        <v>1597</v>
      </c>
      <c r="U616" s="5" t="s">
        <v>1655</v>
      </c>
      <c r="V616" s="5" t="s">
        <v>2256</v>
      </c>
      <c r="W616" s="5" t="s">
        <v>2257</v>
      </c>
    </row>
    <row r="617" spans="1:23">
      <c r="A617" s="5" t="s">
        <v>1642</v>
      </c>
      <c r="B617" s="5" t="s">
        <v>1643</v>
      </c>
      <c r="C617" s="5" t="s">
        <v>1596</v>
      </c>
      <c r="G617" s="5" t="s">
        <v>1673</v>
      </c>
      <c r="H617" s="5" t="s">
        <v>2295</v>
      </c>
      <c r="I617" s="5" t="s">
        <v>2295</v>
      </c>
      <c r="K617" s="5" t="s">
        <v>2296</v>
      </c>
      <c r="L617" s="17">
        <v>35</v>
      </c>
      <c r="M617" s="17">
        <v>30</v>
      </c>
      <c r="O617" s="18">
        <v>0.96</v>
      </c>
      <c r="P617" s="18">
        <v>0.65</v>
      </c>
      <c r="Q617" s="18">
        <f t="shared" si="18"/>
        <v>0.65</v>
      </c>
      <c r="R617" s="18">
        <f t="shared" si="19"/>
        <v>3.9728060594595598</v>
      </c>
      <c r="S617" s="5" t="s">
        <v>1597</v>
      </c>
      <c r="U617" s="5" t="s">
        <v>1655</v>
      </c>
      <c r="V617" s="5" t="s">
        <v>2256</v>
      </c>
      <c r="W617" s="5" t="s">
        <v>2257</v>
      </c>
    </row>
    <row r="618" spans="1:23">
      <c r="A618" s="5" t="s">
        <v>1642</v>
      </c>
      <c r="B618" s="5" t="s">
        <v>1643</v>
      </c>
      <c r="C618" s="5" t="s">
        <v>1596</v>
      </c>
      <c r="G618" s="5" t="s">
        <v>1673</v>
      </c>
      <c r="H618" s="5" t="s">
        <v>563</v>
      </c>
      <c r="I618" s="5" t="s">
        <v>563</v>
      </c>
      <c r="K618" s="5" t="s">
        <v>562</v>
      </c>
      <c r="L618" s="17">
        <v>35</v>
      </c>
      <c r="M618" s="17">
        <v>30</v>
      </c>
      <c r="O618" s="18">
        <v>0.96</v>
      </c>
      <c r="P618" s="18">
        <v>0.6</v>
      </c>
      <c r="Q618" s="18">
        <f t="shared" si="18"/>
        <v>0.6</v>
      </c>
      <c r="R618" s="18">
        <f t="shared" si="19"/>
        <v>3.5518430470534796</v>
      </c>
      <c r="S618" s="5" t="s">
        <v>1597</v>
      </c>
      <c r="U618" s="5" t="s">
        <v>1655</v>
      </c>
      <c r="V618" s="5" t="s">
        <v>2256</v>
      </c>
      <c r="W618" s="5" t="s">
        <v>2257</v>
      </c>
    </row>
    <row r="619" spans="1:23">
      <c r="A619" s="5" t="s">
        <v>1642</v>
      </c>
      <c r="B619" s="5" t="s">
        <v>1643</v>
      </c>
      <c r="C619" s="5" t="s">
        <v>1596</v>
      </c>
      <c r="G619" s="5" t="s">
        <v>1673</v>
      </c>
      <c r="H619" s="5" t="s">
        <v>922</v>
      </c>
      <c r="I619" s="5" t="s">
        <v>922</v>
      </c>
      <c r="K619" s="5" t="s">
        <v>921</v>
      </c>
      <c r="L619" s="17">
        <v>35</v>
      </c>
      <c r="M619" s="17">
        <v>30</v>
      </c>
      <c r="O619" s="18">
        <v>0.96</v>
      </c>
      <c r="P619" s="18">
        <v>0.76</v>
      </c>
      <c r="Q619" s="18">
        <f t="shared" si="18"/>
        <v>0.76</v>
      </c>
      <c r="R619" s="18">
        <f t="shared" si="19"/>
        <v>5.1048315752201967</v>
      </c>
      <c r="S619" s="5" t="s">
        <v>1617</v>
      </c>
      <c r="U619" s="5" t="s">
        <v>1655</v>
      </c>
      <c r="V619" s="5" t="s">
        <v>2256</v>
      </c>
      <c r="W619" s="5" t="s">
        <v>2257</v>
      </c>
    </row>
    <row r="620" spans="1:23">
      <c r="A620" s="5" t="s">
        <v>1642</v>
      </c>
      <c r="B620" s="5" t="s">
        <v>1643</v>
      </c>
      <c r="C620" s="5" t="s">
        <v>1596</v>
      </c>
      <c r="G620" s="5" t="s">
        <v>1673</v>
      </c>
      <c r="H620" s="5" t="s">
        <v>695</v>
      </c>
      <c r="I620" s="5" t="s">
        <v>695</v>
      </c>
      <c r="K620" s="5" t="s">
        <v>694</v>
      </c>
      <c r="L620" s="17">
        <v>35</v>
      </c>
      <c r="M620" s="17">
        <v>30</v>
      </c>
      <c r="O620" s="18">
        <v>0.96</v>
      </c>
      <c r="P620" s="18">
        <v>0.55000000000000004</v>
      </c>
      <c r="Q620" s="18">
        <f t="shared" si="18"/>
        <v>0.55000000000000004</v>
      </c>
      <c r="R620" s="18">
        <f t="shared" si="19"/>
        <v>3.1687258213658787</v>
      </c>
      <c r="S620" s="5" t="s">
        <v>1597</v>
      </c>
      <c r="U620" s="5" t="s">
        <v>1655</v>
      </c>
      <c r="V620" s="5" t="s">
        <v>2256</v>
      </c>
      <c r="W620" s="5" t="s">
        <v>2257</v>
      </c>
    </row>
    <row r="621" spans="1:23">
      <c r="A621" s="5" t="s">
        <v>1642</v>
      </c>
      <c r="B621" s="5" t="s">
        <v>1643</v>
      </c>
      <c r="C621" s="5" t="s">
        <v>1596</v>
      </c>
      <c r="G621" s="5" t="s">
        <v>1673</v>
      </c>
      <c r="H621" s="5" t="s">
        <v>2297</v>
      </c>
      <c r="I621" s="5" t="s">
        <v>2297</v>
      </c>
      <c r="K621" s="5" t="s">
        <v>2298</v>
      </c>
      <c r="L621" s="17">
        <v>35</v>
      </c>
      <c r="M621" s="17">
        <v>30</v>
      </c>
      <c r="O621" s="18">
        <v>0.96</v>
      </c>
      <c r="P621" s="18">
        <v>0.83</v>
      </c>
      <c r="Q621" s="18">
        <f t="shared" si="18"/>
        <v>0.83</v>
      </c>
      <c r="R621" s="18">
        <f t="shared" si="19"/>
        <v>6.088279870782829</v>
      </c>
      <c r="S621" s="5" t="s">
        <v>1597</v>
      </c>
      <c r="U621" s="5" t="s">
        <v>1655</v>
      </c>
      <c r="V621" s="5" t="s">
        <v>2256</v>
      </c>
      <c r="W621" s="5" t="s">
        <v>2257</v>
      </c>
    </row>
    <row r="622" spans="1:23">
      <c r="A622" s="5" t="s">
        <v>1642</v>
      </c>
      <c r="B622" s="5" t="s">
        <v>1643</v>
      </c>
      <c r="C622" s="5" t="s">
        <v>1596</v>
      </c>
      <c r="G622" s="5" t="s">
        <v>1673</v>
      </c>
      <c r="H622" s="5" t="s">
        <v>1756</v>
      </c>
      <c r="I622" s="5" t="s">
        <v>1756</v>
      </c>
      <c r="L622" s="17">
        <v>35</v>
      </c>
      <c r="M622" s="17">
        <v>30</v>
      </c>
      <c r="O622" s="18">
        <v>0.96</v>
      </c>
      <c r="P622" s="18">
        <v>0.97</v>
      </c>
      <c r="Q622" s="18">
        <f t="shared" si="18"/>
        <v>0.97</v>
      </c>
      <c r="R622" s="18">
        <f t="shared" si="19"/>
        <v>10.721396860595256</v>
      </c>
      <c r="S622" s="5" t="s">
        <v>1597</v>
      </c>
      <c r="U622" s="5" t="s">
        <v>1655</v>
      </c>
      <c r="V622" s="5" t="s">
        <v>2256</v>
      </c>
      <c r="W622" s="5" t="s">
        <v>2257</v>
      </c>
    </row>
    <row r="623" spans="1:23">
      <c r="A623" s="5" t="s">
        <v>1642</v>
      </c>
      <c r="B623" s="5" t="s">
        <v>1643</v>
      </c>
      <c r="C623" s="5" t="s">
        <v>1596</v>
      </c>
      <c r="G623" s="5" t="s">
        <v>1673</v>
      </c>
      <c r="H623" s="5" t="s">
        <v>2299</v>
      </c>
      <c r="I623" s="5" t="s">
        <v>2299</v>
      </c>
      <c r="L623" s="17">
        <v>35</v>
      </c>
      <c r="M623" s="17">
        <v>30</v>
      </c>
      <c r="O623" s="18">
        <v>0.96</v>
      </c>
      <c r="P623" s="18">
        <v>0.94</v>
      </c>
      <c r="Q623" s="18">
        <f t="shared" si="18"/>
        <v>0.94</v>
      </c>
      <c r="R623" s="18">
        <f t="shared" si="19"/>
        <v>8.9061582508271897</v>
      </c>
      <c r="S623" s="5" t="s">
        <v>1597</v>
      </c>
      <c r="U623" s="5" t="s">
        <v>1655</v>
      </c>
      <c r="V623" s="5" t="s">
        <v>2256</v>
      </c>
      <c r="W623" s="5" t="s">
        <v>2257</v>
      </c>
    </row>
    <row r="624" spans="1:23">
      <c r="A624" s="5" t="s">
        <v>1642</v>
      </c>
      <c r="B624" s="5" t="s">
        <v>1643</v>
      </c>
      <c r="C624" s="5" t="s">
        <v>1596</v>
      </c>
      <c r="G624" s="5" t="s">
        <v>1673</v>
      </c>
      <c r="H624" s="5" t="s">
        <v>677</v>
      </c>
      <c r="I624" s="5" t="s">
        <v>677</v>
      </c>
      <c r="K624" s="5" t="s">
        <v>676</v>
      </c>
      <c r="L624" s="17">
        <v>35</v>
      </c>
      <c r="M624" s="17">
        <v>30</v>
      </c>
      <c r="O624" s="18">
        <v>0.96</v>
      </c>
      <c r="P624" s="18">
        <v>0.62</v>
      </c>
      <c r="Q624" s="18">
        <f t="shared" si="18"/>
        <v>0.62</v>
      </c>
      <c r="R624" s="18">
        <f t="shared" si="19"/>
        <v>3.715090174547981</v>
      </c>
      <c r="S624" s="5" t="s">
        <v>1617</v>
      </c>
      <c r="U624" s="5" t="s">
        <v>1655</v>
      </c>
      <c r="V624" s="5" t="s">
        <v>2256</v>
      </c>
      <c r="W624" s="5" t="s">
        <v>2257</v>
      </c>
    </row>
    <row r="625" spans="1:23">
      <c r="A625" s="5" t="s">
        <v>1642</v>
      </c>
      <c r="B625" s="5" t="s">
        <v>1643</v>
      </c>
      <c r="C625" s="5" t="s">
        <v>1596</v>
      </c>
      <c r="G625" s="5" t="s">
        <v>1673</v>
      </c>
      <c r="H625" s="5" t="s">
        <v>2300</v>
      </c>
      <c r="I625" s="5" t="s">
        <v>2300</v>
      </c>
      <c r="K625" s="5" t="s">
        <v>1357</v>
      </c>
      <c r="L625" s="17">
        <v>35</v>
      </c>
      <c r="M625" s="17">
        <v>30</v>
      </c>
      <c r="O625" s="18">
        <v>0.96</v>
      </c>
      <c r="P625" s="18">
        <v>0.11</v>
      </c>
      <c r="Q625" s="18">
        <f t="shared" si="18"/>
        <v>0.11</v>
      </c>
      <c r="R625" s="18">
        <f t="shared" si="19"/>
        <v>0.56595499616784717</v>
      </c>
      <c r="S625" s="5" t="s">
        <v>1617</v>
      </c>
      <c r="U625" s="5" t="s">
        <v>1655</v>
      </c>
      <c r="V625" s="5" t="s">
        <v>2256</v>
      </c>
      <c r="W625" s="5" t="s">
        <v>2257</v>
      </c>
    </row>
    <row r="626" spans="1:23">
      <c r="A626" s="5" t="s">
        <v>1642</v>
      </c>
      <c r="B626" s="5" t="s">
        <v>1643</v>
      </c>
      <c r="C626" s="5" t="s">
        <v>1596</v>
      </c>
      <c r="G626" s="5" t="s">
        <v>1673</v>
      </c>
      <c r="H626" s="5" t="s">
        <v>2301</v>
      </c>
      <c r="I626" s="5" t="s">
        <v>2301</v>
      </c>
      <c r="K626" s="5" t="s">
        <v>2302</v>
      </c>
      <c r="L626" s="17">
        <v>35</v>
      </c>
      <c r="M626" s="17">
        <v>30</v>
      </c>
      <c r="O626" s="18">
        <v>0.96</v>
      </c>
      <c r="P626" s="18">
        <v>0.72</v>
      </c>
      <c r="Q626" s="18">
        <f t="shared" si="18"/>
        <v>0.72</v>
      </c>
      <c r="R626" s="18">
        <f t="shared" si="19"/>
        <v>4.6509783399691678</v>
      </c>
      <c r="S626" s="5" t="s">
        <v>1597</v>
      </c>
      <c r="U626" s="5" t="s">
        <v>1655</v>
      </c>
      <c r="V626" s="5" t="s">
        <v>2256</v>
      </c>
      <c r="W626" s="5" t="s">
        <v>2257</v>
      </c>
    </row>
    <row r="627" spans="1:23">
      <c r="A627" s="5" t="s">
        <v>1642</v>
      </c>
      <c r="B627" s="5" t="s">
        <v>1643</v>
      </c>
      <c r="C627" s="5" t="s">
        <v>1596</v>
      </c>
      <c r="G627" s="5" t="s">
        <v>1673</v>
      </c>
      <c r="H627" s="5" t="s">
        <v>2303</v>
      </c>
      <c r="I627" s="5" t="s">
        <v>2303</v>
      </c>
      <c r="K627" s="5" t="s">
        <v>875</v>
      </c>
      <c r="L627" s="17">
        <v>35</v>
      </c>
      <c r="M627" s="17">
        <v>30</v>
      </c>
      <c r="O627" s="18">
        <v>0.96</v>
      </c>
      <c r="P627" s="18">
        <v>0.71</v>
      </c>
      <c r="Q627" s="18">
        <f t="shared" si="18"/>
        <v>0.71</v>
      </c>
      <c r="R627" s="18">
        <f t="shared" si="19"/>
        <v>4.546130929401917</v>
      </c>
      <c r="S627" s="5" t="s">
        <v>1617</v>
      </c>
      <c r="U627" s="5" t="s">
        <v>1655</v>
      </c>
      <c r="V627" s="5" t="s">
        <v>2256</v>
      </c>
      <c r="W627" s="5" t="s">
        <v>2257</v>
      </c>
    </row>
    <row r="628" spans="1:23">
      <c r="A628" s="5" t="s">
        <v>1642</v>
      </c>
      <c r="B628" s="5" t="s">
        <v>1643</v>
      </c>
      <c r="C628" s="5" t="s">
        <v>1596</v>
      </c>
      <c r="G628" s="5" t="s">
        <v>1673</v>
      </c>
      <c r="H628" s="5" t="s">
        <v>2304</v>
      </c>
      <c r="I628" s="5" t="s">
        <v>2304</v>
      </c>
      <c r="L628" s="17">
        <v>35</v>
      </c>
      <c r="M628" s="17">
        <v>30</v>
      </c>
      <c r="O628" s="18">
        <v>0.96</v>
      </c>
      <c r="P628" s="18">
        <v>0.44</v>
      </c>
      <c r="Q628" s="18">
        <f t="shared" si="18"/>
        <v>0.44</v>
      </c>
      <c r="R628" s="18">
        <f t="shared" si="19"/>
        <v>2.4198175312928414</v>
      </c>
      <c r="S628" s="5" t="s">
        <v>1617</v>
      </c>
      <c r="U628" s="5" t="s">
        <v>1655</v>
      </c>
      <c r="V628" s="5" t="s">
        <v>2256</v>
      </c>
      <c r="W628" s="5" t="s">
        <v>2257</v>
      </c>
    </row>
    <row r="629" spans="1:23">
      <c r="A629" s="5" t="s">
        <v>1642</v>
      </c>
      <c r="B629" s="5" t="s">
        <v>2208</v>
      </c>
      <c r="C629" s="5" t="s">
        <v>1596</v>
      </c>
      <c r="G629" s="5" t="s">
        <v>1673</v>
      </c>
      <c r="H629" s="5" t="s">
        <v>291</v>
      </c>
      <c r="I629" s="5" t="s">
        <v>291</v>
      </c>
      <c r="K629" s="5" t="s">
        <v>290</v>
      </c>
      <c r="L629" s="17">
        <v>35</v>
      </c>
      <c r="M629" s="17">
        <v>5</v>
      </c>
      <c r="O629" s="18">
        <v>0.96</v>
      </c>
      <c r="P629" s="18">
        <v>0.09</v>
      </c>
      <c r="Q629" s="18">
        <f t="shared" si="18"/>
        <v>0.09</v>
      </c>
      <c r="R629" s="18">
        <f t="shared" si="19"/>
        <v>0.46243164534681752</v>
      </c>
      <c r="S629" s="5" t="s">
        <v>1617</v>
      </c>
      <c r="U629" s="5" t="s">
        <v>1655</v>
      </c>
      <c r="V629" s="5" t="s">
        <v>2256</v>
      </c>
      <c r="W629" s="5" t="s">
        <v>2257</v>
      </c>
    </row>
    <row r="630" spans="1:23">
      <c r="A630" s="5" t="s">
        <v>1642</v>
      </c>
      <c r="B630" s="5" t="s">
        <v>2208</v>
      </c>
      <c r="C630" s="5" t="s">
        <v>1596</v>
      </c>
      <c r="G630" s="5" t="s">
        <v>1673</v>
      </c>
      <c r="H630" s="5" t="s">
        <v>2258</v>
      </c>
      <c r="I630" s="5" t="s">
        <v>2258</v>
      </c>
      <c r="L630" s="17">
        <v>35</v>
      </c>
      <c r="M630" s="17">
        <v>5</v>
      </c>
      <c r="O630" s="18">
        <v>0.96</v>
      </c>
      <c r="P630" s="18">
        <v>0.03</v>
      </c>
      <c r="Q630" s="18">
        <f t="shared" si="18"/>
        <v>0.03</v>
      </c>
      <c r="R630" s="18">
        <f t="shared" si="19"/>
        <v>0.15377293345691084</v>
      </c>
      <c r="S630" s="5" t="s">
        <v>1617</v>
      </c>
      <c r="U630" s="5" t="s">
        <v>1655</v>
      </c>
      <c r="V630" s="5" t="s">
        <v>2256</v>
      </c>
      <c r="W630" s="5" t="s">
        <v>2257</v>
      </c>
    </row>
    <row r="631" spans="1:23">
      <c r="A631" s="5" t="s">
        <v>1642</v>
      </c>
      <c r="B631" s="5" t="s">
        <v>2208</v>
      </c>
      <c r="C631" s="5" t="s">
        <v>1596</v>
      </c>
      <c r="G631" s="5" t="s">
        <v>1673</v>
      </c>
      <c r="H631" s="5" t="s">
        <v>2259</v>
      </c>
      <c r="I631" s="5" t="s">
        <v>2259</v>
      </c>
      <c r="L631" s="17">
        <v>35</v>
      </c>
      <c r="M631" s="17">
        <v>5</v>
      </c>
      <c r="O631" s="18">
        <v>0.96</v>
      </c>
      <c r="P631" s="18">
        <v>0.09</v>
      </c>
      <c r="Q631" s="18">
        <f t="shared" si="18"/>
        <v>0.09</v>
      </c>
      <c r="R631" s="18">
        <f t="shared" si="19"/>
        <v>0.46243164534681752</v>
      </c>
      <c r="S631" s="5" t="s">
        <v>1597</v>
      </c>
      <c r="U631" s="5" t="s">
        <v>1655</v>
      </c>
      <c r="V631" s="5" t="s">
        <v>2256</v>
      </c>
      <c r="W631" s="5" t="s">
        <v>2257</v>
      </c>
    </row>
    <row r="632" spans="1:23">
      <c r="A632" s="5" t="s">
        <v>1642</v>
      </c>
      <c r="B632" s="5" t="s">
        <v>2208</v>
      </c>
      <c r="C632" s="5" t="s">
        <v>1596</v>
      </c>
      <c r="G632" s="5" t="s">
        <v>1673</v>
      </c>
      <c r="H632" s="5" t="s">
        <v>2260</v>
      </c>
      <c r="I632" s="5" t="s">
        <v>2260</v>
      </c>
      <c r="L632" s="17">
        <v>35</v>
      </c>
      <c r="M632" s="17">
        <v>5</v>
      </c>
      <c r="O632" s="18">
        <v>0.96</v>
      </c>
      <c r="P632" s="18">
        <v>0.02</v>
      </c>
      <c r="Q632" s="18">
        <f t="shared" si="18"/>
        <v>0.02</v>
      </c>
      <c r="R632" s="18">
        <f t="shared" si="19"/>
        <v>0.10249819488404227</v>
      </c>
      <c r="S632" s="5" t="s">
        <v>1597</v>
      </c>
      <c r="U632" s="5" t="s">
        <v>1655</v>
      </c>
      <c r="V632" s="5" t="s">
        <v>2256</v>
      </c>
      <c r="W632" s="5" t="s">
        <v>2257</v>
      </c>
    </row>
    <row r="633" spans="1:23">
      <c r="A633" s="5" t="s">
        <v>1642</v>
      </c>
      <c r="B633" s="5" t="s">
        <v>2208</v>
      </c>
      <c r="C633" s="5" t="s">
        <v>1596</v>
      </c>
      <c r="G633" s="5" t="s">
        <v>1673</v>
      </c>
      <c r="H633" s="5" t="s">
        <v>2261</v>
      </c>
      <c r="I633" s="5" t="s">
        <v>2261</v>
      </c>
      <c r="L633" s="17">
        <v>35</v>
      </c>
      <c r="M633" s="17">
        <v>5</v>
      </c>
      <c r="O633" s="18">
        <v>0.96</v>
      </c>
      <c r="P633" s="18">
        <v>0.24</v>
      </c>
      <c r="Q633" s="18">
        <f t="shared" si="18"/>
        <v>0.24</v>
      </c>
      <c r="R633" s="18">
        <f t="shared" si="19"/>
        <v>1.2542779578869248</v>
      </c>
      <c r="S633" s="5" t="s">
        <v>1617</v>
      </c>
      <c r="U633" s="5" t="s">
        <v>1655</v>
      </c>
      <c r="V633" s="5" t="s">
        <v>2256</v>
      </c>
      <c r="W633" s="5" t="s">
        <v>2257</v>
      </c>
    </row>
    <row r="634" spans="1:23">
      <c r="A634" s="5" t="s">
        <v>1642</v>
      </c>
      <c r="B634" s="5" t="s">
        <v>2208</v>
      </c>
      <c r="C634" s="5" t="s">
        <v>1596</v>
      </c>
      <c r="G634" s="5" t="s">
        <v>1673</v>
      </c>
      <c r="H634" s="5" t="s">
        <v>2262</v>
      </c>
      <c r="I634" s="5" t="s">
        <v>2262</v>
      </c>
      <c r="L634" s="17">
        <v>35</v>
      </c>
      <c r="M634" s="17">
        <v>5</v>
      </c>
      <c r="O634" s="18">
        <v>0.96</v>
      </c>
      <c r="P634" s="18">
        <v>0.14000000000000001</v>
      </c>
      <c r="Q634" s="18">
        <f t="shared" si="18"/>
        <v>0.14000000000000001</v>
      </c>
      <c r="R634" s="18">
        <f t="shared" si="19"/>
        <v>0.72213455028935436</v>
      </c>
      <c r="S634" s="5" t="s">
        <v>1617</v>
      </c>
      <c r="U634" s="5" t="s">
        <v>1655</v>
      </c>
      <c r="V634" s="5" t="s">
        <v>2256</v>
      </c>
      <c r="W634" s="5" t="s">
        <v>2257</v>
      </c>
    </row>
    <row r="635" spans="1:23">
      <c r="A635" s="5" t="s">
        <v>1642</v>
      </c>
      <c r="B635" s="5" t="s">
        <v>2208</v>
      </c>
      <c r="C635" s="5" t="s">
        <v>1596</v>
      </c>
      <c r="G635" s="5" t="s">
        <v>1673</v>
      </c>
      <c r="H635" s="5" t="s">
        <v>2263</v>
      </c>
      <c r="I635" s="5" t="s">
        <v>2263</v>
      </c>
      <c r="L635" s="17">
        <v>35</v>
      </c>
      <c r="M635" s="17">
        <v>5</v>
      </c>
      <c r="O635" s="18">
        <v>0.96</v>
      </c>
      <c r="P635" s="18">
        <v>0.28999999999999998</v>
      </c>
      <c r="Q635" s="18">
        <f t="shared" si="18"/>
        <v>0.28999999999999998</v>
      </c>
      <c r="R635" s="18">
        <f t="shared" si="19"/>
        <v>1.5299211154685337</v>
      </c>
      <c r="S635" s="5" t="s">
        <v>1617</v>
      </c>
      <c r="U635" s="5" t="s">
        <v>1655</v>
      </c>
      <c r="V635" s="5" t="s">
        <v>2256</v>
      </c>
      <c r="W635" s="5" t="s">
        <v>2257</v>
      </c>
    </row>
    <row r="636" spans="1:23">
      <c r="A636" s="5" t="s">
        <v>1642</v>
      </c>
      <c r="B636" s="5" t="s">
        <v>2208</v>
      </c>
      <c r="C636" s="5" t="s">
        <v>1596</v>
      </c>
      <c r="G636" s="5" t="s">
        <v>1673</v>
      </c>
      <c r="H636" s="5" t="s">
        <v>2264</v>
      </c>
      <c r="I636" s="5" t="s">
        <v>2264</v>
      </c>
      <c r="L636" s="17">
        <v>35</v>
      </c>
      <c r="M636" s="17">
        <v>5</v>
      </c>
      <c r="O636" s="18">
        <v>0.96</v>
      </c>
      <c r="P636" s="18">
        <v>0.24</v>
      </c>
      <c r="Q636" s="18">
        <f t="shared" si="18"/>
        <v>0.24</v>
      </c>
      <c r="R636" s="18">
        <f t="shared" si="19"/>
        <v>1.2542779578869248</v>
      </c>
      <c r="S636" s="5" t="s">
        <v>1617</v>
      </c>
      <c r="U636" s="5" t="s">
        <v>1655</v>
      </c>
      <c r="V636" s="5" t="s">
        <v>2256</v>
      </c>
      <c r="W636" s="5" t="s">
        <v>2257</v>
      </c>
    </row>
    <row r="637" spans="1:23">
      <c r="A637" s="5" t="s">
        <v>1642</v>
      </c>
      <c r="B637" s="5" t="s">
        <v>2208</v>
      </c>
      <c r="C637" s="5" t="s">
        <v>1596</v>
      </c>
      <c r="G637" s="5" t="s">
        <v>1673</v>
      </c>
      <c r="H637" s="5" t="s">
        <v>2265</v>
      </c>
      <c r="I637" s="5" t="s">
        <v>2265</v>
      </c>
      <c r="L637" s="17">
        <v>35</v>
      </c>
      <c r="M637" s="17">
        <v>5</v>
      </c>
      <c r="O637" s="18">
        <v>0.96</v>
      </c>
      <c r="P637" s="18">
        <v>0.03</v>
      </c>
      <c r="Q637" s="18">
        <f t="shared" si="18"/>
        <v>0.03</v>
      </c>
      <c r="R637" s="18">
        <f t="shared" si="19"/>
        <v>0.15377293345691084</v>
      </c>
      <c r="S637" s="5" t="s">
        <v>1617</v>
      </c>
      <c r="U637" s="5" t="s">
        <v>1655</v>
      </c>
      <c r="V637" s="5" t="s">
        <v>2256</v>
      </c>
      <c r="W637" s="5" t="s">
        <v>2257</v>
      </c>
    </row>
    <row r="638" spans="1:23">
      <c r="A638" s="5" t="s">
        <v>1642</v>
      </c>
      <c r="B638" s="5" t="s">
        <v>2208</v>
      </c>
      <c r="C638" s="5" t="s">
        <v>1596</v>
      </c>
      <c r="G638" s="5" t="s">
        <v>1673</v>
      </c>
      <c r="H638" s="5" t="s">
        <v>2266</v>
      </c>
      <c r="I638" s="5" t="s">
        <v>2266</v>
      </c>
      <c r="L638" s="17">
        <v>35</v>
      </c>
      <c r="M638" s="17">
        <v>5</v>
      </c>
      <c r="O638" s="18">
        <v>0.96</v>
      </c>
      <c r="P638" s="18">
        <v>0.06</v>
      </c>
      <c r="Q638" s="18">
        <f t="shared" si="18"/>
        <v>0.06</v>
      </c>
      <c r="R638" s="18">
        <f t="shared" si="19"/>
        <v>0.30782332427185921</v>
      </c>
      <c r="S638" s="5" t="s">
        <v>1597</v>
      </c>
      <c r="U638" s="5" t="s">
        <v>1655</v>
      </c>
      <c r="V638" s="5" t="s">
        <v>2256</v>
      </c>
      <c r="W638" s="5" t="s">
        <v>2257</v>
      </c>
    </row>
    <row r="639" spans="1:23">
      <c r="A639" s="5" t="s">
        <v>1642</v>
      </c>
      <c r="B639" s="5" t="s">
        <v>2208</v>
      </c>
      <c r="C639" s="5" t="s">
        <v>1596</v>
      </c>
      <c r="G639" s="5" t="s">
        <v>1673</v>
      </c>
      <c r="H639" s="5" t="s">
        <v>2267</v>
      </c>
      <c r="I639" s="5" t="s">
        <v>2267</v>
      </c>
      <c r="L639" s="17">
        <v>35</v>
      </c>
      <c r="M639" s="17">
        <v>5</v>
      </c>
      <c r="O639" s="18">
        <v>0.96</v>
      </c>
      <c r="P639" s="18">
        <v>0.22</v>
      </c>
      <c r="Q639" s="18">
        <f t="shared" si="18"/>
        <v>0.22</v>
      </c>
      <c r="R639" s="18">
        <f t="shared" si="19"/>
        <v>1.1460645271881464</v>
      </c>
      <c r="S639" s="5" t="s">
        <v>1617</v>
      </c>
      <c r="U639" s="5" t="s">
        <v>1655</v>
      </c>
      <c r="V639" s="5" t="s">
        <v>2256</v>
      </c>
      <c r="W639" s="5" t="s">
        <v>2257</v>
      </c>
    </row>
    <row r="640" spans="1:23">
      <c r="A640" s="5" t="s">
        <v>1642</v>
      </c>
      <c r="B640" s="5" t="s">
        <v>2208</v>
      </c>
      <c r="C640" s="5" t="s">
        <v>1596</v>
      </c>
      <c r="G640" s="5" t="s">
        <v>1673</v>
      </c>
      <c r="H640" s="5" t="s">
        <v>2268</v>
      </c>
      <c r="I640" s="5" t="s">
        <v>2268</v>
      </c>
      <c r="L640" s="17">
        <v>35</v>
      </c>
      <c r="M640" s="17">
        <v>5</v>
      </c>
      <c r="O640" s="18">
        <v>0.96</v>
      </c>
      <c r="P640" s="18">
        <v>0</v>
      </c>
      <c r="Q640" s="18">
        <f t="shared" si="18"/>
        <v>0</v>
      </c>
      <c r="R640" s="18">
        <f t="shared" si="19"/>
        <v>0</v>
      </c>
      <c r="U640" s="5" t="s">
        <v>1655</v>
      </c>
      <c r="V640" s="5" t="s">
        <v>2256</v>
      </c>
      <c r="W640" s="5" t="s">
        <v>2257</v>
      </c>
    </row>
    <row r="641" spans="1:23">
      <c r="A641" s="5" t="s">
        <v>1642</v>
      </c>
      <c r="B641" s="5" t="s">
        <v>2208</v>
      </c>
      <c r="C641" s="5" t="s">
        <v>1596</v>
      </c>
      <c r="G641" s="5" t="s">
        <v>1673</v>
      </c>
      <c r="H641" s="5" t="s">
        <v>2269</v>
      </c>
      <c r="I641" s="5" t="s">
        <v>2269</v>
      </c>
      <c r="L641" s="17">
        <v>35</v>
      </c>
      <c r="M641" s="17">
        <v>5</v>
      </c>
      <c r="O641" s="18">
        <v>0.96</v>
      </c>
      <c r="P641" s="18">
        <v>0.26</v>
      </c>
      <c r="Q641" s="18">
        <f t="shared" si="18"/>
        <v>0.26</v>
      </c>
      <c r="R641" s="18">
        <f t="shared" si="19"/>
        <v>1.3635997104584994</v>
      </c>
      <c r="S641" s="5" t="s">
        <v>1617</v>
      </c>
      <c r="U641" s="5" t="s">
        <v>1655</v>
      </c>
      <c r="V641" s="5" t="s">
        <v>2256</v>
      </c>
      <c r="W641" s="5" t="s">
        <v>2257</v>
      </c>
    </row>
    <row r="642" spans="1:23">
      <c r="A642" s="5" t="s">
        <v>1642</v>
      </c>
      <c r="B642" s="5" t="s">
        <v>2208</v>
      </c>
      <c r="C642" s="5" t="s">
        <v>1596</v>
      </c>
      <c r="G642" s="5" t="s">
        <v>1673</v>
      </c>
      <c r="H642" s="5" t="s">
        <v>2270</v>
      </c>
      <c r="I642" s="5" t="s">
        <v>2270</v>
      </c>
      <c r="L642" s="17">
        <v>35</v>
      </c>
      <c r="M642" s="17">
        <v>5</v>
      </c>
      <c r="O642" s="18">
        <v>0.96</v>
      </c>
      <c r="P642" s="18">
        <v>0.4</v>
      </c>
      <c r="Q642" s="18">
        <f t="shared" ref="Q642:Q705" si="20">ABS(P642)</f>
        <v>0.4</v>
      </c>
      <c r="R642" s="18">
        <f t="shared" si="19"/>
        <v>2.1708730112473651</v>
      </c>
      <c r="S642" s="5" t="s">
        <v>1617</v>
      </c>
      <c r="U642" s="5" t="s">
        <v>1655</v>
      </c>
      <c r="V642" s="5" t="s">
        <v>2256</v>
      </c>
      <c r="W642" s="5" t="s">
        <v>2257</v>
      </c>
    </row>
    <row r="643" spans="1:23">
      <c r="A643" s="5" t="s">
        <v>1642</v>
      </c>
      <c r="B643" s="5" t="s">
        <v>2208</v>
      </c>
      <c r="C643" s="5" t="s">
        <v>1596</v>
      </c>
      <c r="G643" s="5" t="s">
        <v>1673</v>
      </c>
      <c r="H643" s="5" t="s">
        <v>307</v>
      </c>
      <c r="I643" s="5" t="s">
        <v>307</v>
      </c>
      <c r="K643" s="5" t="s">
        <v>306</v>
      </c>
      <c r="L643" s="17">
        <v>35</v>
      </c>
      <c r="M643" s="17">
        <v>5</v>
      </c>
      <c r="O643" s="18">
        <v>0.96</v>
      </c>
      <c r="P643" s="18">
        <v>0.03</v>
      </c>
      <c r="Q643" s="18">
        <f t="shared" si="20"/>
        <v>0.03</v>
      </c>
      <c r="R643" s="18">
        <f t="shared" ref="R643:R706" si="21">8.3145*(L643+273.15)*LN((Q643+1)/(1-Q643))*0.001</f>
        <v>0.15377293345691084</v>
      </c>
      <c r="S643" s="5" t="s">
        <v>1617</v>
      </c>
      <c r="U643" s="5" t="s">
        <v>1655</v>
      </c>
      <c r="V643" s="5" t="s">
        <v>2256</v>
      </c>
      <c r="W643" s="5" t="s">
        <v>2257</v>
      </c>
    </row>
    <row r="644" spans="1:23">
      <c r="A644" s="5" t="s">
        <v>1642</v>
      </c>
      <c r="B644" s="5" t="s">
        <v>2208</v>
      </c>
      <c r="C644" s="5" t="s">
        <v>1596</v>
      </c>
      <c r="G644" s="5" t="s">
        <v>1673</v>
      </c>
      <c r="H644" s="5" t="s">
        <v>2271</v>
      </c>
      <c r="I644" s="5" t="s">
        <v>2271</v>
      </c>
      <c r="L644" s="17">
        <v>35</v>
      </c>
      <c r="M644" s="17">
        <v>5</v>
      </c>
      <c r="O644" s="18">
        <v>0.96</v>
      </c>
      <c r="P644" s="18">
        <v>0.13</v>
      </c>
      <c r="Q644" s="18">
        <f t="shared" si="20"/>
        <v>0.13</v>
      </c>
      <c r="R644" s="18">
        <f t="shared" si="21"/>
        <v>0.66994058451302685</v>
      </c>
      <c r="S644" s="5" t="s">
        <v>1597</v>
      </c>
      <c r="U644" s="5" t="s">
        <v>1655</v>
      </c>
      <c r="V644" s="5" t="s">
        <v>2256</v>
      </c>
      <c r="W644" s="5" t="s">
        <v>2257</v>
      </c>
    </row>
    <row r="645" spans="1:23">
      <c r="A645" s="5" t="s">
        <v>1642</v>
      </c>
      <c r="B645" s="5" t="s">
        <v>2208</v>
      </c>
      <c r="C645" s="5" t="s">
        <v>1596</v>
      </c>
      <c r="G645" s="5" t="s">
        <v>1673</v>
      </c>
      <c r="H645" s="5" t="s">
        <v>2272</v>
      </c>
      <c r="I645" s="5" t="s">
        <v>2272</v>
      </c>
      <c r="L645" s="17">
        <v>35</v>
      </c>
      <c r="M645" s="17">
        <v>5</v>
      </c>
      <c r="O645" s="18">
        <v>0.96</v>
      </c>
      <c r="P645" s="18">
        <v>0.3</v>
      </c>
      <c r="Q645" s="18">
        <f t="shared" si="20"/>
        <v>0.3</v>
      </c>
      <c r="R645" s="18">
        <f t="shared" si="21"/>
        <v>1.5860485116991563</v>
      </c>
      <c r="S645" s="5" t="s">
        <v>1597</v>
      </c>
      <c r="U645" s="5" t="s">
        <v>1655</v>
      </c>
      <c r="V645" s="5" t="s">
        <v>2256</v>
      </c>
      <c r="W645" s="5" t="s">
        <v>2257</v>
      </c>
    </row>
    <row r="646" spans="1:23">
      <c r="A646" s="5" t="s">
        <v>1642</v>
      </c>
      <c r="B646" s="5" t="s">
        <v>2208</v>
      </c>
      <c r="C646" s="5" t="s">
        <v>1596</v>
      </c>
      <c r="G646" s="5" t="s">
        <v>1673</v>
      </c>
      <c r="H646" s="5" t="s">
        <v>2273</v>
      </c>
      <c r="I646" s="5" t="s">
        <v>2273</v>
      </c>
      <c r="L646" s="17">
        <v>35</v>
      </c>
      <c r="M646" s="17">
        <v>5</v>
      </c>
      <c r="O646" s="18">
        <v>0.96</v>
      </c>
      <c r="P646" s="18">
        <v>0.48</v>
      </c>
      <c r="Q646" s="18">
        <f t="shared" si="20"/>
        <v>0.48</v>
      </c>
      <c r="R646" s="18">
        <f t="shared" si="21"/>
        <v>2.6798898158692781</v>
      </c>
      <c r="S646" s="5" t="s">
        <v>1597</v>
      </c>
      <c r="U646" s="5" t="s">
        <v>1655</v>
      </c>
      <c r="V646" s="5" t="s">
        <v>2256</v>
      </c>
      <c r="W646" s="5" t="s">
        <v>2257</v>
      </c>
    </row>
    <row r="647" spans="1:23">
      <c r="A647" s="5" t="s">
        <v>1642</v>
      </c>
      <c r="B647" s="5" t="s">
        <v>2208</v>
      </c>
      <c r="C647" s="5" t="s">
        <v>1596</v>
      </c>
      <c r="G647" s="5" t="s">
        <v>1673</v>
      </c>
      <c r="H647" s="5" t="s">
        <v>2274</v>
      </c>
      <c r="I647" s="5" t="s">
        <v>2274</v>
      </c>
      <c r="L647" s="17">
        <v>35</v>
      </c>
      <c r="M647" s="17">
        <v>5</v>
      </c>
      <c r="O647" s="18">
        <v>0.96</v>
      </c>
      <c r="P647" s="18">
        <v>0.31</v>
      </c>
      <c r="Q647" s="18">
        <f t="shared" si="20"/>
        <v>0.31</v>
      </c>
      <c r="R647" s="18">
        <f t="shared" si="21"/>
        <v>1.6425472327165676</v>
      </c>
      <c r="S647" s="5" t="s">
        <v>1597</v>
      </c>
      <c r="U647" s="5" t="s">
        <v>1655</v>
      </c>
      <c r="V647" s="5" t="s">
        <v>2256</v>
      </c>
      <c r="W647" s="5" t="s">
        <v>2257</v>
      </c>
    </row>
    <row r="648" spans="1:23">
      <c r="A648" s="5" t="s">
        <v>1642</v>
      </c>
      <c r="B648" s="5" t="s">
        <v>2208</v>
      </c>
      <c r="C648" s="5" t="s">
        <v>1596</v>
      </c>
      <c r="G648" s="5" t="s">
        <v>1673</v>
      </c>
      <c r="H648" s="5" t="s">
        <v>2275</v>
      </c>
      <c r="I648" s="5" t="s">
        <v>2275</v>
      </c>
      <c r="L648" s="17">
        <v>35</v>
      </c>
      <c r="M648" s="17">
        <v>5</v>
      </c>
      <c r="O648" s="18">
        <v>0.96</v>
      </c>
      <c r="P648" s="18">
        <v>0.38</v>
      </c>
      <c r="Q648" s="18">
        <f t="shared" si="20"/>
        <v>0.38</v>
      </c>
      <c r="R648" s="18">
        <f t="shared" si="21"/>
        <v>2.0499962003890237</v>
      </c>
      <c r="S648" s="5" t="s">
        <v>1617</v>
      </c>
      <c r="U648" s="5" t="s">
        <v>1655</v>
      </c>
      <c r="V648" s="5" t="s">
        <v>2256</v>
      </c>
      <c r="W648" s="5" t="s">
        <v>2257</v>
      </c>
    </row>
    <row r="649" spans="1:23">
      <c r="A649" s="5" t="s">
        <v>1642</v>
      </c>
      <c r="B649" s="5" t="s">
        <v>2208</v>
      </c>
      <c r="C649" s="5" t="s">
        <v>1596</v>
      </c>
      <c r="G649" s="5" t="s">
        <v>1673</v>
      </c>
      <c r="H649" s="5" t="s">
        <v>2276</v>
      </c>
      <c r="I649" s="5" t="s">
        <v>2276</v>
      </c>
      <c r="L649" s="17">
        <v>35</v>
      </c>
      <c r="M649" s="17">
        <v>5</v>
      </c>
      <c r="O649" s="18">
        <v>0.96</v>
      </c>
      <c r="P649" s="18">
        <v>0.22</v>
      </c>
      <c r="Q649" s="18">
        <f t="shared" si="20"/>
        <v>0.22</v>
      </c>
      <c r="R649" s="18">
        <f t="shared" si="21"/>
        <v>1.1460645271881464</v>
      </c>
      <c r="S649" s="5" t="s">
        <v>1597</v>
      </c>
      <c r="U649" s="5" t="s">
        <v>1655</v>
      </c>
      <c r="V649" s="5" t="s">
        <v>2256</v>
      </c>
      <c r="W649" s="5" t="s">
        <v>2257</v>
      </c>
    </row>
    <row r="650" spans="1:23">
      <c r="A650" s="5" t="s">
        <v>1642</v>
      </c>
      <c r="B650" s="5" t="s">
        <v>2208</v>
      </c>
      <c r="C650" s="5" t="s">
        <v>1596</v>
      </c>
      <c r="G650" s="5" t="s">
        <v>1673</v>
      </c>
      <c r="H650" s="5" t="s">
        <v>2277</v>
      </c>
      <c r="I650" s="5" t="s">
        <v>2277</v>
      </c>
      <c r="L650" s="17">
        <v>35</v>
      </c>
      <c r="M650" s="17">
        <v>5</v>
      </c>
      <c r="O650" s="18">
        <v>0.96</v>
      </c>
      <c r="P650" s="18">
        <v>0.25</v>
      </c>
      <c r="Q650" s="18">
        <f t="shared" si="20"/>
        <v>0.25</v>
      </c>
      <c r="R650" s="18">
        <f t="shared" si="21"/>
        <v>1.3087930607784379</v>
      </c>
      <c r="S650" s="5" t="s">
        <v>1597</v>
      </c>
      <c r="U650" s="5" t="s">
        <v>1655</v>
      </c>
      <c r="V650" s="5" t="s">
        <v>2256</v>
      </c>
      <c r="W650" s="5" t="s">
        <v>2257</v>
      </c>
    </row>
    <row r="651" spans="1:23">
      <c r="A651" s="5" t="s">
        <v>1642</v>
      </c>
      <c r="B651" s="5" t="s">
        <v>2208</v>
      </c>
      <c r="C651" s="5" t="s">
        <v>1596</v>
      </c>
      <c r="G651" s="5" t="s">
        <v>1673</v>
      </c>
      <c r="H651" s="5" t="s">
        <v>2278</v>
      </c>
      <c r="I651" s="5" t="s">
        <v>2278</v>
      </c>
      <c r="K651" s="5" t="s">
        <v>314</v>
      </c>
      <c r="L651" s="17">
        <v>35</v>
      </c>
      <c r="M651" s="17">
        <v>5</v>
      </c>
      <c r="O651" s="18">
        <v>0.96</v>
      </c>
      <c r="P651" s="18">
        <v>0.42</v>
      </c>
      <c r="Q651" s="18">
        <f t="shared" si="20"/>
        <v>0.42</v>
      </c>
      <c r="R651" s="18">
        <f t="shared" si="21"/>
        <v>2.2940752636440287</v>
      </c>
      <c r="S651" s="5" t="s">
        <v>1597</v>
      </c>
      <c r="U651" s="5" t="s">
        <v>1655</v>
      </c>
      <c r="V651" s="5" t="s">
        <v>2256</v>
      </c>
      <c r="W651" s="5" t="s">
        <v>2257</v>
      </c>
    </row>
    <row r="652" spans="1:23">
      <c r="A652" s="5" t="s">
        <v>1642</v>
      </c>
      <c r="B652" s="5" t="s">
        <v>2208</v>
      </c>
      <c r="C652" s="5" t="s">
        <v>1596</v>
      </c>
      <c r="G652" s="5" t="s">
        <v>1673</v>
      </c>
      <c r="H652" s="5" t="s">
        <v>2279</v>
      </c>
      <c r="I652" s="5" t="s">
        <v>2279</v>
      </c>
      <c r="L652" s="17">
        <v>35</v>
      </c>
      <c r="M652" s="17">
        <v>5</v>
      </c>
      <c r="O652" s="18">
        <v>0.96</v>
      </c>
      <c r="P652" s="18">
        <v>0.23</v>
      </c>
      <c r="Q652" s="18">
        <f t="shared" si="20"/>
        <v>0.23</v>
      </c>
      <c r="R652" s="18">
        <f t="shared" si="21"/>
        <v>1.2000398364607965</v>
      </c>
      <c r="S652" s="5" t="s">
        <v>1597</v>
      </c>
      <c r="U652" s="5" t="s">
        <v>1655</v>
      </c>
      <c r="V652" s="5" t="s">
        <v>2256</v>
      </c>
      <c r="W652" s="5" t="s">
        <v>2257</v>
      </c>
    </row>
    <row r="653" spans="1:23">
      <c r="A653" s="5" t="s">
        <v>1642</v>
      </c>
      <c r="B653" s="5" t="s">
        <v>2208</v>
      </c>
      <c r="C653" s="5" t="s">
        <v>1596</v>
      </c>
      <c r="G653" s="5" t="s">
        <v>1673</v>
      </c>
      <c r="H653" s="5" t="s">
        <v>451</v>
      </c>
      <c r="I653" s="5" t="s">
        <v>451</v>
      </c>
      <c r="K653" s="5" t="s">
        <v>450</v>
      </c>
      <c r="L653" s="17">
        <v>35</v>
      </c>
      <c r="M653" s="17">
        <v>5</v>
      </c>
      <c r="O653" s="18">
        <v>0.96</v>
      </c>
      <c r="P653" s="18">
        <v>0.34</v>
      </c>
      <c r="Q653" s="18">
        <f t="shared" si="20"/>
        <v>0.34</v>
      </c>
      <c r="R653" s="18">
        <f t="shared" si="21"/>
        <v>1.814450267246464</v>
      </c>
      <c r="S653" s="5" t="s">
        <v>1597</v>
      </c>
      <c r="U653" s="5" t="s">
        <v>1655</v>
      </c>
      <c r="V653" s="5" t="s">
        <v>2256</v>
      </c>
      <c r="W653" s="5" t="s">
        <v>2257</v>
      </c>
    </row>
    <row r="654" spans="1:23">
      <c r="A654" s="5" t="s">
        <v>1642</v>
      </c>
      <c r="B654" s="5" t="s">
        <v>2208</v>
      </c>
      <c r="C654" s="5" t="s">
        <v>1596</v>
      </c>
      <c r="G654" s="5" t="s">
        <v>1673</v>
      </c>
      <c r="H654" s="5" t="s">
        <v>2280</v>
      </c>
      <c r="I654" s="5" t="s">
        <v>2280</v>
      </c>
      <c r="K654" s="5" t="s">
        <v>1014</v>
      </c>
      <c r="L654" s="17">
        <v>35</v>
      </c>
      <c r="M654" s="17">
        <v>5</v>
      </c>
      <c r="O654" s="18">
        <v>0.96</v>
      </c>
      <c r="P654" s="18">
        <v>0.1</v>
      </c>
      <c r="Q654" s="18">
        <f t="shared" si="20"/>
        <v>0.1</v>
      </c>
      <c r="R654" s="18">
        <f t="shared" si="21"/>
        <v>0.51414103267999045</v>
      </c>
      <c r="S654" s="5" t="s">
        <v>1597</v>
      </c>
      <c r="U654" s="5" t="s">
        <v>1655</v>
      </c>
      <c r="V654" s="5" t="s">
        <v>2256</v>
      </c>
      <c r="W654" s="5" t="s">
        <v>2257</v>
      </c>
    </row>
    <row r="655" spans="1:23">
      <c r="A655" s="5" t="s">
        <v>1642</v>
      </c>
      <c r="B655" s="5" t="s">
        <v>2208</v>
      </c>
      <c r="C655" s="5" t="s">
        <v>1596</v>
      </c>
      <c r="G655" s="5" t="s">
        <v>1673</v>
      </c>
      <c r="H655" s="5" t="s">
        <v>1030</v>
      </c>
      <c r="I655" s="5" t="s">
        <v>1030</v>
      </c>
      <c r="K655" s="5" t="s">
        <v>1029</v>
      </c>
      <c r="L655" s="17">
        <v>35</v>
      </c>
      <c r="M655" s="17">
        <v>5</v>
      </c>
      <c r="O655" s="18">
        <v>0.96</v>
      </c>
      <c r="P655" s="18">
        <v>0.39</v>
      </c>
      <c r="Q655" s="18">
        <f t="shared" si="20"/>
        <v>0.39</v>
      </c>
      <c r="R655" s="18">
        <f t="shared" si="21"/>
        <v>2.1101565876066135</v>
      </c>
      <c r="S655" s="5" t="s">
        <v>1597</v>
      </c>
      <c r="U655" s="5" t="s">
        <v>1655</v>
      </c>
      <c r="V655" s="5" t="s">
        <v>2256</v>
      </c>
      <c r="W655" s="5" t="s">
        <v>2257</v>
      </c>
    </row>
    <row r="656" spans="1:23">
      <c r="A656" s="5" t="s">
        <v>1642</v>
      </c>
      <c r="B656" s="5" t="s">
        <v>2208</v>
      </c>
      <c r="C656" s="5" t="s">
        <v>1596</v>
      </c>
      <c r="G656" s="5" t="s">
        <v>1673</v>
      </c>
      <c r="H656" s="5" t="s">
        <v>2281</v>
      </c>
      <c r="I656" s="5" t="s">
        <v>2281</v>
      </c>
      <c r="K656" s="5" t="s">
        <v>354</v>
      </c>
      <c r="L656" s="17">
        <v>35</v>
      </c>
      <c r="M656" s="17">
        <v>5</v>
      </c>
      <c r="O656" s="18">
        <v>0.96</v>
      </c>
      <c r="P656" s="18">
        <v>0.17</v>
      </c>
      <c r="Q656" s="18">
        <f t="shared" si="20"/>
        <v>0.17</v>
      </c>
      <c r="R656" s="18">
        <f t="shared" si="21"/>
        <v>0.87965884052625065</v>
      </c>
      <c r="S656" s="5" t="s">
        <v>1597</v>
      </c>
      <c r="U656" s="5" t="s">
        <v>1655</v>
      </c>
      <c r="V656" s="5" t="s">
        <v>2256</v>
      </c>
      <c r="W656" s="5" t="s">
        <v>2257</v>
      </c>
    </row>
    <row r="657" spans="1:23">
      <c r="A657" s="5" t="s">
        <v>1642</v>
      </c>
      <c r="B657" s="5" t="s">
        <v>2208</v>
      </c>
      <c r="C657" s="5" t="s">
        <v>1596</v>
      </c>
      <c r="G657" s="5" t="s">
        <v>1673</v>
      </c>
      <c r="H657" s="5" t="s">
        <v>2282</v>
      </c>
      <c r="I657" s="5" t="s">
        <v>2282</v>
      </c>
      <c r="K657" s="5" t="s">
        <v>49</v>
      </c>
      <c r="L657" s="17">
        <v>35</v>
      </c>
      <c r="M657" s="17">
        <v>5</v>
      </c>
      <c r="O657" s="18">
        <v>0.96</v>
      </c>
      <c r="P657" s="18">
        <v>0.15</v>
      </c>
      <c r="Q657" s="18">
        <f t="shared" si="20"/>
        <v>0.15</v>
      </c>
      <c r="R657" s="18">
        <f t="shared" si="21"/>
        <v>0.77447780437612979</v>
      </c>
      <c r="S657" s="5" t="s">
        <v>1597</v>
      </c>
      <c r="U657" s="5" t="s">
        <v>1655</v>
      </c>
      <c r="V657" s="5" t="s">
        <v>2256</v>
      </c>
      <c r="W657" s="5" t="s">
        <v>2257</v>
      </c>
    </row>
    <row r="658" spans="1:23">
      <c r="A658" s="5" t="s">
        <v>1642</v>
      </c>
      <c r="B658" s="5" t="s">
        <v>2208</v>
      </c>
      <c r="C658" s="5" t="s">
        <v>1596</v>
      </c>
      <c r="G658" s="5" t="s">
        <v>1673</v>
      </c>
      <c r="H658" s="5" t="s">
        <v>2283</v>
      </c>
      <c r="I658" s="5" t="s">
        <v>2283</v>
      </c>
      <c r="K658" s="5" t="s">
        <v>23</v>
      </c>
      <c r="L658" s="17">
        <v>35</v>
      </c>
      <c r="M658" s="17">
        <v>5</v>
      </c>
      <c r="O658" s="18">
        <v>0.96</v>
      </c>
      <c r="P658" s="18">
        <v>0.01</v>
      </c>
      <c r="Q658" s="18">
        <f t="shared" si="20"/>
        <v>0.01</v>
      </c>
      <c r="R658" s="18">
        <f t="shared" si="21"/>
        <v>5.1243971677941619E-2</v>
      </c>
      <c r="S658" s="5" t="s">
        <v>1597</v>
      </c>
      <c r="U658" s="5" t="s">
        <v>1655</v>
      </c>
      <c r="V658" s="5" t="s">
        <v>2256</v>
      </c>
      <c r="W658" s="5" t="s">
        <v>2257</v>
      </c>
    </row>
    <row r="659" spans="1:23">
      <c r="A659" s="5" t="s">
        <v>1642</v>
      </c>
      <c r="B659" s="5" t="s">
        <v>2208</v>
      </c>
      <c r="C659" s="5" t="s">
        <v>1596</v>
      </c>
      <c r="G659" s="5" t="s">
        <v>1673</v>
      </c>
      <c r="H659" s="5" t="s">
        <v>2284</v>
      </c>
      <c r="I659" s="5" t="s">
        <v>2284</v>
      </c>
      <c r="K659" s="5" t="s">
        <v>13</v>
      </c>
      <c r="L659" s="17">
        <v>35</v>
      </c>
      <c r="M659" s="17">
        <v>5</v>
      </c>
      <c r="O659" s="18">
        <v>0.96</v>
      </c>
      <c r="P659" s="18">
        <v>0.01</v>
      </c>
      <c r="Q659" s="18">
        <f t="shared" si="20"/>
        <v>0.01</v>
      </c>
      <c r="R659" s="18">
        <f t="shared" si="21"/>
        <v>5.1243971677941619E-2</v>
      </c>
      <c r="S659" s="5" t="s">
        <v>1597</v>
      </c>
      <c r="U659" s="5" t="s">
        <v>1655</v>
      </c>
      <c r="V659" s="5" t="s">
        <v>2256</v>
      </c>
      <c r="W659" s="5" t="s">
        <v>2257</v>
      </c>
    </row>
    <row r="660" spans="1:23">
      <c r="A660" s="5" t="s">
        <v>1642</v>
      </c>
      <c r="B660" s="5" t="s">
        <v>2208</v>
      </c>
      <c r="C660" s="5" t="s">
        <v>1596</v>
      </c>
      <c r="G660" s="5" t="s">
        <v>1673</v>
      </c>
      <c r="H660" s="5" t="s">
        <v>2285</v>
      </c>
      <c r="I660" s="5" t="s">
        <v>2285</v>
      </c>
      <c r="K660" s="5" t="s">
        <v>67</v>
      </c>
      <c r="L660" s="17">
        <v>35</v>
      </c>
      <c r="M660" s="17">
        <v>5</v>
      </c>
      <c r="O660" s="18">
        <v>0.96</v>
      </c>
      <c r="P660" s="18">
        <v>0.02</v>
      </c>
      <c r="Q660" s="18">
        <f t="shared" si="20"/>
        <v>0.02</v>
      </c>
      <c r="R660" s="18">
        <f t="shared" si="21"/>
        <v>0.10249819488404227</v>
      </c>
      <c r="S660" s="5" t="s">
        <v>1617</v>
      </c>
      <c r="U660" s="5" t="s">
        <v>1655</v>
      </c>
      <c r="V660" s="5" t="s">
        <v>2256</v>
      </c>
      <c r="W660" s="5" t="s">
        <v>2257</v>
      </c>
    </row>
    <row r="661" spans="1:23">
      <c r="A661" s="5" t="s">
        <v>1642</v>
      </c>
      <c r="B661" s="5" t="s">
        <v>2208</v>
      </c>
      <c r="C661" s="5" t="s">
        <v>1596</v>
      </c>
      <c r="G661" s="5" t="s">
        <v>1673</v>
      </c>
      <c r="H661" s="5" t="s">
        <v>2286</v>
      </c>
      <c r="I661" s="5" t="s">
        <v>2286</v>
      </c>
      <c r="K661" s="5" t="s">
        <v>41</v>
      </c>
      <c r="L661" s="17">
        <v>35</v>
      </c>
      <c r="M661" s="17">
        <v>5</v>
      </c>
      <c r="O661" s="18">
        <v>0.96</v>
      </c>
      <c r="P661" s="18">
        <v>0.04</v>
      </c>
      <c r="Q661" s="18">
        <f t="shared" si="20"/>
        <v>0.04</v>
      </c>
      <c r="R661" s="18">
        <f t="shared" si="21"/>
        <v>0.20507847589304162</v>
      </c>
      <c r="S661" s="5" t="s">
        <v>1597</v>
      </c>
      <c r="U661" s="5" t="s">
        <v>1655</v>
      </c>
      <c r="V661" s="5" t="s">
        <v>2256</v>
      </c>
      <c r="W661" s="5" t="s">
        <v>2257</v>
      </c>
    </row>
    <row r="662" spans="1:23">
      <c r="A662" s="5" t="s">
        <v>1642</v>
      </c>
      <c r="B662" s="5" t="s">
        <v>2208</v>
      </c>
      <c r="C662" s="5" t="s">
        <v>1596</v>
      </c>
      <c r="G662" s="5" t="s">
        <v>1673</v>
      </c>
      <c r="H662" s="5" t="s">
        <v>2287</v>
      </c>
      <c r="I662" s="5" t="s">
        <v>2287</v>
      </c>
      <c r="K662" s="5" t="s">
        <v>32</v>
      </c>
      <c r="L662" s="17">
        <v>35</v>
      </c>
      <c r="M662" s="17">
        <v>5</v>
      </c>
      <c r="O662" s="18">
        <v>0.96</v>
      </c>
      <c r="P662" s="18">
        <v>0.04</v>
      </c>
      <c r="Q662" s="18">
        <f t="shared" si="20"/>
        <v>0.04</v>
      </c>
      <c r="R662" s="18">
        <f t="shared" si="21"/>
        <v>0.20507847589304162</v>
      </c>
      <c r="S662" s="5" t="s">
        <v>1597</v>
      </c>
      <c r="U662" s="5" t="s">
        <v>1655</v>
      </c>
      <c r="V662" s="5" t="s">
        <v>2256</v>
      </c>
      <c r="W662" s="5" t="s">
        <v>2257</v>
      </c>
    </row>
    <row r="663" spans="1:23">
      <c r="A663" s="5" t="s">
        <v>1642</v>
      </c>
      <c r="B663" s="5" t="s">
        <v>2208</v>
      </c>
      <c r="C663" s="5" t="s">
        <v>1596</v>
      </c>
      <c r="G663" s="5" t="s">
        <v>1673</v>
      </c>
      <c r="H663" s="5" t="s">
        <v>2288</v>
      </c>
      <c r="I663" s="5" t="s">
        <v>2288</v>
      </c>
      <c r="K663" s="5" t="s">
        <v>85</v>
      </c>
      <c r="L663" s="17">
        <v>35</v>
      </c>
      <c r="M663" s="17">
        <v>5</v>
      </c>
      <c r="O663" s="18">
        <v>0.96</v>
      </c>
      <c r="P663" s="18">
        <v>0.01</v>
      </c>
      <c r="Q663" s="18">
        <f t="shared" si="20"/>
        <v>0.01</v>
      </c>
      <c r="R663" s="18">
        <f t="shared" si="21"/>
        <v>5.1243971677941619E-2</v>
      </c>
      <c r="S663" s="5" t="s">
        <v>1617</v>
      </c>
      <c r="U663" s="5" t="s">
        <v>1655</v>
      </c>
      <c r="V663" s="5" t="s">
        <v>2256</v>
      </c>
      <c r="W663" s="5" t="s">
        <v>2257</v>
      </c>
    </row>
    <row r="664" spans="1:23">
      <c r="A664" s="5" t="s">
        <v>1642</v>
      </c>
      <c r="B664" s="5" t="s">
        <v>2208</v>
      </c>
      <c r="C664" s="5" t="s">
        <v>1596</v>
      </c>
      <c r="G664" s="5" t="s">
        <v>1673</v>
      </c>
      <c r="H664" s="5" t="s">
        <v>2289</v>
      </c>
      <c r="I664" s="5" t="s">
        <v>2289</v>
      </c>
      <c r="K664" s="5" t="s">
        <v>1220</v>
      </c>
      <c r="L664" s="17">
        <v>35</v>
      </c>
      <c r="M664" s="17">
        <v>5</v>
      </c>
      <c r="O664" s="18">
        <v>0.96</v>
      </c>
      <c r="P664" s="18">
        <v>0.15</v>
      </c>
      <c r="Q664" s="18">
        <f t="shared" si="20"/>
        <v>0.15</v>
      </c>
      <c r="R664" s="18">
        <f t="shared" si="21"/>
        <v>0.77447780437612979</v>
      </c>
      <c r="S664" s="5" t="s">
        <v>1597</v>
      </c>
      <c r="U664" s="5" t="s">
        <v>1655</v>
      </c>
      <c r="V664" s="5" t="s">
        <v>2256</v>
      </c>
      <c r="W664" s="5" t="s">
        <v>2257</v>
      </c>
    </row>
    <row r="665" spans="1:23">
      <c r="A665" s="5" t="s">
        <v>1642</v>
      </c>
      <c r="B665" s="5" t="s">
        <v>2208</v>
      </c>
      <c r="C665" s="5" t="s">
        <v>1596</v>
      </c>
      <c r="G665" s="5" t="s">
        <v>1673</v>
      </c>
      <c r="H665" s="5" t="s">
        <v>2290</v>
      </c>
      <c r="I665" s="5" t="s">
        <v>2290</v>
      </c>
      <c r="K665" s="5" t="s">
        <v>906</v>
      </c>
      <c r="L665" s="17">
        <v>35</v>
      </c>
      <c r="M665" s="17">
        <v>5</v>
      </c>
      <c r="O665" s="18">
        <v>0.96</v>
      </c>
      <c r="P665" s="18">
        <v>0.83</v>
      </c>
      <c r="Q665" s="18">
        <f t="shared" si="20"/>
        <v>0.83</v>
      </c>
      <c r="R665" s="18">
        <f t="shared" si="21"/>
        <v>6.088279870782829</v>
      </c>
      <c r="S665" s="5" t="s">
        <v>1617</v>
      </c>
      <c r="U665" s="5" t="s">
        <v>1655</v>
      </c>
      <c r="V665" s="5" t="s">
        <v>2256</v>
      </c>
      <c r="W665" s="5" t="s">
        <v>2257</v>
      </c>
    </row>
    <row r="666" spans="1:23">
      <c r="A666" s="5" t="s">
        <v>1642</v>
      </c>
      <c r="B666" s="5" t="s">
        <v>2208</v>
      </c>
      <c r="C666" s="5" t="s">
        <v>1596</v>
      </c>
      <c r="G666" s="5" t="s">
        <v>1673</v>
      </c>
      <c r="H666" s="5" t="s">
        <v>2291</v>
      </c>
      <c r="I666" s="5" t="s">
        <v>2291</v>
      </c>
      <c r="K666" s="5" t="s">
        <v>2292</v>
      </c>
      <c r="L666" s="17">
        <v>35</v>
      </c>
      <c r="M666" s="17">
        <v>5</v>
      </c>
      <c r="O666" s="18">
        <v>0.96</v>
      </c>
      <c r="P666" s="18">
        <v>0.86</v>
      </c>
      <c r="Q666" s="18">
        <f t="shared" si="20"/>
        <v>0.86</v>
      </c>
      <c r="R666" s="18">
        <f t="shared" si="21"/>
        <v>6.6273908481454464</v>
      </c>
      <c r="S666" s="5" t="s">
        <v>1597</v>
      </c>
      <c r="U666" s="5" t="s">
        <v>1655</v>
      </c>
      <c r="V666" s="5" t="s">
        <v>2256</v>
      </c>
      <c r="W666" s="5" t="s">
        <v>2257</v>
      </c>
    </row>
    <row r="667" spans="1:23">
      <c r="A667" s="5" t="s">
        <v>1642</v>
      </c>
      <c r="B667" s="5" t="s">
        <v>2208</v>
      </c>
      <c r="C667" s="5" t="s">
        <v>1596</v>
      </c>
      <c r="G667" s="5" t="s">
        <v>1673</v>
      </c>
      <c r="H667" s="5" t="s">
        <v>2293</v>
      </c>
      <c r="I667" s="5" t="s">
        <v>2293</v>
      </c>
      <c r="K667" s="5" t="s">
        <v>2294</v>
      </c>
      <c r="L667" s="17">
        <v>35</v>
      </c>
      <c r="M667" s="17">
        <v>5</v>
      </c>
      <c r="O667" s="18">
        <v>0.96</v>
      </c>
      <c r="P667" s="18">
        <v>0.65</v>
      </c>
      <c r="Q667" s="18">
        <f t="shared" si="20"/>
        <v>0.65</v>
      </c>
      <c r="R667" s="18">
        <f t="shared" si="21"/>
        <v>3.9728060594595598</v>
      </c>
      <c r="S667" s="5" t="s">
        <v>1597</v>
      </c>
      <c r="U667" s="5" t="s">
        <v>1655</v>
      </c>
      <c r="V667" s="5" t="s">
        <v>2256</v>
      </c>
      <c r="W667" s="5" t="s">
        <v>2257</v>
      </c>
    </row>
    <row r="668" spans="1:23">
      <c r="A668" s="5" t="s">
        <v>1642</v>
      </c>
      <c r="B668" s="5" t="s">
        <v>2208</v>
      </c>
      <c r="C668" s="5" t="s">
        <v>1596</v>
      </c>
      <c r="G668" s="5" t="s">
        <v>1673</v>
      </c>
      <c r="H668" s="5" t="s">
        <v>599</v>
      </c>
      <c r="I668" s="5" t="s">
        <v>599</v>
      </c>
      <c r="K668" s="5" t="s">
        <v>598</v>
      </c>
      <c r="L668" s="17">
        <v>35</v>
      </c>
      <c r="M668" s="17">
        <v>5</v>
      </c>
      <c r="O668" s="18">
        <v>0.96</v>
      </c>
      <c r="P668" s="18">
        <v>0.77</v>
      </c>
      <c r="Q668" s="18">
        <f t="shared" si="20"/>
        <v>0.77</v>
      </c>
      <c r="R668" s="18">
        <f t="shared" si="21"/>
        <v>5.2283903848317648</v>
      </c>
      <c r="S668" s="5" t="s">
        <v>1597</v>
      </c>
      <c r="U668" s="5" t="s">
        <v>1655</v>
      </c>
      <c r="V668" s="5" t="s">
        <v>2256</v>
      </c>
      <c r="W668" s="5" t="s">
        <v>2257</v>
      </c>
    </row>
    <row r="669" spans="1:23">
      <c r="A669" s="5" t="s">
        <v>1642</v>
      </c>
      <c r="B669" s="5" t="s">
        <v>2208</v>
      </c>
      <c r="C669" s="5" t="s">
        <v>1596</v>
      </c>
      <c r="G669" s="5" t="s">
        <v>1673</v>
      </c>
      <c r="H669" s="5" t="s">
        <v>590</v>
      </c>
      <c r="I669" s="5" t="s">
        <v>590</v>
      </c>
      <c r="K669" s="5" t="s">
        <v>589</v>
      </c>
      <c r="L669" s="17">
        <v>35</v>
      </c>
      <c r="M669" s="17">
        <v>5</v>
      </c>
      <c r="O669" s="18">
        <v>0.96</v>
      </c>
      <c r="P669" s="18">
        <v>0.55000000000000004</v>
      </c>
      <c r="Q669" s="18">
        <f t="shared" si="20"/>
        <v>0.55000000000000004</v>
      </c>
      <c r="R669" s="18">
        <f t="shared" si="21"/>
        <v>3.1687258213658787</v>
      </c>
      <c r="S669" s="5" t="s">
        <v>1597</v>
      </c>
      <c r="U669" s="5" t="s">
        <v>1655</v>
      </c>
      <c r="V669" s="5" t="s">
        <v>2256</v>
      </c>
      <c r="W669" s="5" t="s">
        <v>2257</v>
      </c>
    </row>
    <row r="670" spans="1:23">
      <c r="A670" s="5" t="s">
        <v>1642</v>
      </c>
      <c r="B670" s="5" t="s">
        <v>2208</v>
      </c>
      <c r="C670" s="5" t="s">
        <v>1596</v>
      </c>
      <c r="G670" s="5" t="s">
        <v>1673</v>
      </c>
      <c r="H670" s="5" t="s">
        <v>1373</v>
      </c>
      <c r="I670" s="5" t="s">
        <v>1373</v>
      </c>
      <c r="K670" s="5" t="s">
        <v>1372</v>
      </c>
      <c r="L670" s="17">
        <v>35</v>
      </c>
      <c r="M670" s="17">
        <v>5</v>
      </c>
      <c r="O670" s="18">
        <v>0.96</v>
      </c>
      <c r="P670" s="18">
        <v>0.06</v>
      </c>
      <c r="Q670" s="18">
        <f t="shared" si="20"/>
        <v>0.06</v>
      </c>
      <c r="R670" s="18">
        <f t="shared" si="21"/>
        <v>0.30782332427185921</v>
      </c>
      <c r="S670" s="5" t="s">
        <v>1597</v>
      </c>
      <c r="U670" s="5" t="s">
        <v>1655</v>
      </c>
      <c r="V670" s="5" t="s">
        <v>2256</v>
      </c>
      <c r="W670" s="5" t="s">
        <v>2257</v>
      </c>
    </row>
    <row r="671" spans="1:23">
      <c r="A671" s="5" t="s">
        <v>1642</v>
      </c>
      <c r="B671" s="5" t="s">
        <v>2208</v>
      </c>
      <c r="C671" s="5" t="s">
        <v>1596</v>
      </c>
      <c r="G671" s="5" t="s">
        <v>1673</v>
      </c>
      <c r="H671" s="5" t="s">
        <v>1022</v>
      </c>
      <c r="I671" s="5" t="s">
        <v>1022</v>
      </c>
      <c r="K671" s="5" t="s">
        <v>1021</v>
      </c>
      <c r="L671" s="17">
        <v>35</v>
      </c>
      <c r="M671" s="17">
        <v>5</v>
      </c>
      <c r="O671" s="18">
        <v>0.96</v>
      </c>
      <c r="P671" s="18">
        <v>0.36</v>
      </c>
      <c r="Q671" s="18">
        <f t="shared" si="20"/>
        <v>0.36</v>
      </c>
      <c r="R671" s="18">
        <f t="shared" si="21"/>
        <v>1.9312486658120196</v>
      </c>
      <c r="S671" s="5" t="s">
        <v>1597</v>
      </c>
      <c r="U671" s="5" t="s">
        <v>1655</v>
      </c>
      <c r="V671" s="5" t="s">
        <v>2256</v>
      </c>
      <c r="W671" s="5" t="s">
        <v>2257</v>
      </c>
    </row>
    <row r="672" spans="1:23">
      <c r="A672" s="5" t="s">
        <v>1642</v>
      </c>
      <c r="B672" s="5" t="s">
        <v>2208</v>
      </c>
      <c r="C672" s="5" t="s">
        <v>1596</v>
      </c>
      <c r="G672" s="5" t="s">
        <v>1673</v>
      </c>
      <c r="H672" s="5" t="s">
        <v>572</v>
      </c>
      <c r="I672" s="5" t="s">
        <v>572</v>
      </c>
      <c r="K672" s="5" t="s">
        <v>571</v>
      </c>
      <c r="L672" s="17">
        <v>35</v>
      </c>
      <c r="M672" s="17">
        <v>5</v>
      </c>
      <c r="O672" s="18">
        <v>0.96</v>
      </c>
      <c r="P672" s="18">
        <v>0.02</v>
      </c>
      <c r="Q672" s="18">
        <f t="shared" si="20"/>
        <v>0.02</v>
      </c>
      <c r="R672" s="18">
        <f t="shared" si="21"/>
        <v>0.10249819488404227</v>
      </c>
      <c r="S672" s="5" t="s">
        <v>1597</v>
      </c>
      <c r="U672" s="5" t="s">
        <v>1655</v>
      </c>
      <c r="V672" s="5" t="s">
        <v>2256</v>
      </c>
      <c r="W672" s="5" t="s">
        <v>2257</v>
      </c>
    </row>
    <row r="673" spans="1:23">
      <c r="A673" s="5" t="s">
        <v>1642</v>
      </c>
      <c r="B673" s="5" t="s">
        <v>2208</v>
      </c>
      <c r="C673" s="5" t="s">
        <v>1596</v>
      </c>
      <c r="G673" s="5" t="s">
        <v>1673</v>
      </c>
      <c r="H673" s="5" t="s">
        <v>2295</v>
      </c>
      <c r="I673" s="5" t="s">
        <v>2295</v>
      </c>
      <c r="K673" s="5" t="s">
        <v>2296</v>
      </c>
      <c r="L673" s="17">
        <v>35</v>
      </c>
      <c r="M673" s="17">
        <v>5</v>
      </c>
      <c r="O673" s="18">
        <v>0.96</v>
      </c>
      <c r="P673" s="18">
        <v>0.4</v>
      </c>
      <c r="Q673" s="18">
        <f t="shared" si="20"/>
        <v>0.4</v>
      </c>
      <c r="R673" s="18">
        <f t="shared" si="21"/>
        <v>2.1708730112473651</v>
      </c>
      <c r="S673" s="5" t="s">
        <v>1597</v>
      </c>
      <c r="U673" s="5" t="s">
        <v>1655</v>
      </c>
      <c r="V673" s="5" t="s">
        <v>2256</v>
      </c>
      <c r="W673" s="5" t="s">
        <v>2257</v>
      </c>
    </row>
    <row r="674" spans="1:23">
      <c r="A674" s="5" t="s">
        <v>1642</v>
      </c>
      <c r="B674" s="5" t="s">
        <v>2208</v>
      </c>
      <c r="C674" s="5" t="s">
        <v>1596</v>
      </c>
      <c r="G674" s="5" t="s">
        <v>1673</v>
      </c>
      <c r="H674" s="5" t="s">
        <v>563</v>
      </c>
      <c r="I674" s="5" t="s">
        <v>563</v>
      </c>
      <c r="K674" s="5" t="s">
        <v>562</v>
      </c>
      <c r="L674" s="17">
        <v>35</v>
      </c>
      <c r="M674" s="17">
        <v>5</v>
      </c>
      <c r="O674" s="18">
        <v>0.96</v>
      </c>
      <c r="P674" s="18">
        <v>7.0000000000000007E-2</v>
      </c>
      <c r="Q674" s="18">
        <f t="shared" si="20"/>
        <v>7.0000000000000007E-2</v>
      </c>
      <c r="R674" s="18">
        <f t="shared" si="21"/>
        <v>0.35928344288846464</v>
      </c>
      <c r="S674" s="5" t="s">
        <v>1597</v>
      </c>
      <c r="U674" s="5" t="s">
        <v>1655</v>
      </c>
      <c r="V674" s="5" t="s">
        <v>2256</v>
      </c>
      <c r="W674" s="5" t="s">
        <v>2257</v>
      </c>
    </row>
    <row r="675" spans="1:23">
      <c r="A675" s="5" t="s">
        <v>1642</v>
      </c>
      <c r="B675" s="5" t="s">
        <v>2208</v>
      </c>
      <c r="C675" s="5" t="s">
        <v>1596</v>
      </c>
      <c r="G675" s="5" t="s">
        <v>1673</v>
      </c>
      <c r="H675" s="5" t="s">
        <v>922</v>
      </c>
      <c r="I675" s="5" t="s">
        <v>922</v>
      </c>
      <c r="K675" s="5" t="s">
        <v>921</v>
      </c>
      <c r="L675" s="17">
        <v>35</v>
      </c>
      <c r="M675" s="17">
        <v>5</v>
      </c>
      <c r="O675" s="18">
        <v>0.96</v>
      </c>
      <c r="P675" s="18">
        <v>0.4</v>
      </c>
      <c r="Q675" s="18">
        <f t="shared" si="20"/>
        <v>0.4</v>
      </c>
      <c r="R675" s="18">
        <f t="shared" si="21"/>
        <v>2.1708730112473651</v>
      </c>
      <c r="S675" s="5" t="s">
        <v>1617</v>
      </c>
      <c r="U675" s="5" t="s">
        <v>1655</v>
      </c>
      <c r="V675" s="5" t="s">
        <v>2256</v>
      </c>
      <c r="W675" s="5" t="s">
        <v>2257</v>
      </c>
    </row>
    <row r="676" spans="1:23">
      <c r="A676" s="5" t="s">
        <v>1642</v>
      </c>
      <c r="B676" s="5" t="s">
        <v>2208</v>
      </c>
      <c r="C676" s="5" t="s">
        <v>1596</v>
      </c>
      <c r="G676" s="5" t="s">
        <v>1673</v>
      </c>
      <c r="H676" s="5" t="s">
        <v>695</v>
      </c>
      <c r="I676" s="5" t="s">
        <v>695</v>
      </c>
      <c r="K676" s="5" t="s">
        <v>694</v>
      </c>
      <c r="L676" s="17">
        <v>35</v>
      </c>
      <c r="M676" s="17">
        <v>5</v>
      </c>
      <c r="O676" s="18">
        <v>0.96</v>
      </c>
      <c r="P676" s="18">
        <v>0.35</v>
      </c>
      <c r="Q676" s="18">
        <f t="shared" si="20"/>
        <v>0.35</v>
      </c>
      <c r="R676" s="18">
        <f t="shared" si="21"/>
        <v>1.8726165150804135</v>
      </c>
      <c r="S676" s="5" t="s">
        <v>1597</v>
      </c>
      <c r="U676" s="5" t="s">
        <v>1655</v>
      </c>
      <c r="V676" s="5" t="s">
        <v>2256</v>
      </c>
      <c r="W676" s="5" t="s">
        <v>2257</v>
      </c>
    </row>
    <row r="677" spans="1:23">
      <c r="A677" s="5" t="s">
        <v>1642</v>
      </c>
      <c r="B677" s="5" t="s">
        <v>2208</v>
      </c>
      <c r="C677" s="5" t="s">
        <v>1596</v>
      </c>
      <c r="G677" s="5" t="s">
        <v>1673</v>
      </c>
      <c r="H677" s="5" t="s">
        <v>2297</v>
      </c>
      <c r="I677" s="5" t="s">
        <v>2297</v>
      </c>
      <c r="K677" s="5" t="s">
        <v>2298</v>
      </c>
      <c r="L677" s="17">
        <v>35</v>
      </c>
      <c r="M677" s="17">
        <v>5</v>
      </c>
      <c r="O677" s="18">
        <v>0.96</v>
      </c>
      <c r="P677" s="18">
        <v>0.13</v>
      </c>
      <c r="Q677" s="18">
        <f t="shared" si="20"/>
        <v>0.13</v>
      </c>
      <c r="R677" s="18">
        <f t="shared" si="21"/>
        <v>0.66994058451302685</v>
      </c>
      <c r="S677" s="5" t="s">
        <v>1597</v>
      </c>
      <c r="U677" s="5" t="s">
        <v>1655</v>
      </c>
      <c r="V677" s="5" t="s">
        <v>2256</v>
      </c>
      <c r="W677" s="5" t="s">
        <v>2257</v>
      </c>
    </row>
    <row r="678" spans="1:23">
      <c r="A678" s="5" t="s">
        <v>1642</v>
      </c>
      <c r="B678" s="5" t="s">
        <v>2208</v>
      </c>
      <c r="C678" s="5" t="s">
        <v>1596</v>
      </c>
      <c r="G678" s="5" t="s">
        <v>1673</v>
      </c>
      <c r="H678" s="5" t="s">
        <v>1756</v>
      </c>
      <c r="I678" s="5" t="s">
        <v>1756</v>
      </c>
      <c r="L678" s="17">
        <v>35</v>
      </c>
      <c r="M678" s="17">
        <v>5</v>
      </c>
      <c r="O678" s="18">
        <v>0.96</v>
      </c>
      <c r="P678" s="18">
        <v>0.7</v>
      </c>
      <c r="Q678" s="18">
        <f t="shared" si="20"/>
        <v>0.7</v>
      </c>
      <c r="R678" s="18">
        <f t="shared" si="21"/>
        <v>4.4442442173787722</v>
      </c>
      <c r="S678" s="5" t="s">
        <v>1597</v>
      </c>
      <c r="U678" s="5" t="s">
        <v>1655</v>
      </c>
      <c r="V678" s="5" t="s">
        <v>2256</v>
      </c>
      <c r="W678" s="5" t="s">
        <v>2257</v>
      </c>
    </row>
    <row r="679" spans="1:23">
      <c r="A679" s="5" t="s">
        <v>1642</v>
      </c>
      <c r="B679" s="5" t="s">
        <v>2208</v>
      </c>
      <c r="C679" s="5" t="s">
        <v>1596</v>
      </c>
      <c r="G679" s="5" t="s">
        <v>1673</v>
      </c>
      <c r="H679" s="5" t="s">
        <v>2299</v>
      </c>
      <c r="I679" s="5" t="s">
        <v>2299</v>
      </c>
      <c r="L679" s="17">
        <v>35</v>
      </c>
      <c r="M679" s="17">
        <v>5</v>
      </c>
      <c r="O679" s="18">
        <v>0.96</v>
      </c>
      <c r="P679" s="18">
        <v>0.64</v>
      </c>
      <c r="Q679" s="18">
        <f t="shared" si="20"/>
        <v>0.64</v>
      </c>
      <c r="R679" s="18">
        <f t="shared" si="21"/>
        <v>3.8850538803881522</v>
      </c>
      <c r="S679" s="5" t="s">
        <v>1597</v>
      </c>
      <c r="U679" s="5" t="s">
        <v>1655</v>
      </c>
      <c r="V679" s="5" t="s">
        <v>2256</v>
      </c>
      <c r="W679" s="5" t="s">
        <v>2257</v>
      </c>
    </row>
    <row r="680" spans="1:23">
      <c r="A680" s="5" t="s">
        <v>1642</v>
      </c>
      <c r="B680" s="5" t="s">
        <v>2208</v>
      </c>
      <c r="C680" s="5" t="s">
        <v>1596</v>
      </c>
      <c r="G680" s="5" t="s">
        <v>1673</v>
      </c>
      <c r="H680" s="5" t="s">
        <v>677</v>
      </c>
      <c r="I680" s="5" t="s">
        <v>677</v>
      </c>
      <c r="K680" s="5" t="s">
        <v>676</v>
      </c>
      <c r="L680" s="17">
        <v>35</v>
      </c>
      <c r="M680" s="17">
        <v>5</v>
      </c>
      <c r="O680" s="18">
        <v>0.96</v>
      </c>
      <c r="P680" s="18">
        <v>0.2</v>
      </c>
      <c r="Q680" s="18">
        <f t="shared" si="20"/>
        <v>0.2</v>
      </c>
      <c r="R680" s="18">
        <f t="shared" si="21"/>
        <v>1.0388474954867268</v>
      </c>
      <c r="S680" s="5" t="s">
        <v>1597</v>
      </c>
      <c r="U680" s="5" t="s">
        <v>1655</v>
      </c>
      <c r="V680" s="5" t="s">
        <v>2256</v>
      </c>
      <c r="W680" s="5" t="s">
        <v>2257</v>
      </c>
    </row>
    <row r="681" spans="1:23">
      <c r="A681" s="5" t="s">
        <v>1642</v>
      </c>
      <c r="B681" s="5" t="s">
        <v>2208</v>
      </c>
      <c r="C681" s="5" t="s">
        <v>1596</v>
      </c>
      <c r="G681" s="5" t="s">
        <v>1673</v>
      </c>
      <c r="H681" s="5" t="s">
        <v>2300</v>
      </c>
      <c r="I681" s="5" t="s">
        <v>2300</v>
      </c>
      <c r="K681" s="5" t="s">
        <v>1357</v>
      </c>
      <c r="L681" s="17">
        <v>35</v>
      </c>
      <c r="M681" s="17">
        <v>5</v>
      </c>
      <c r="O681" s="18">
        <v>0.96</v>
      </c>
      <c r="P681" s="18">
        <v>0</v>
      </c>
      <c r="Q681" s="18">
        <f t="shared" si="20"/>
        <v>0</v>
      </c>
      <c r="R681" s="18">
        <f t="shared" si="21"/>
        <v>0</v>
      </c>
      <c r="U681" s="5" t="s">
        <v>1655</v>
      </c>
      <c r="V681" s="5" t="s">
        <v>2256</v>
      </c>
      <c r="W681" s="5" t="s">
        <v>2257</v>
      </c>
    </row>
    <row r="682" spans="1:23">
      <c r="A682" s="5" t="s">
        <v>1642</v>
      </c>
      <c r="B682" s="5" t="s">
        <v>2208</v>
      </c>
      <c r="C682" s="5" t="s">
        <v>1596</v>
      </c>
      <c r="G682" s="5" t="s">
        <v>1673</v>
      </c>
      <c r="H682" s="5" t="s">
        <v>2301</v>
      </c>
      <c r="I682" s="5" t="s">
        <v>2301</v>
      </c>
      <c r="K682" s="5" t="s">
        <v>2302</v>
      </c>
      <c r="L682" s="17">
        <v>35</v>
      </c>
      <c r="M682" s="17">
        <v>5</v>
      </c>
      <c r="O682" s="18">
        <v>0.96</v>
      </c>
      <c r="P682" s="18">
        <v>0.33</v>
      </c>
      <c r="Q682" s="18">
        <f t="shared" si="20"/>
        <v>0.33</v>
      </c>
      <c r="R682" s="18">
        <f t="shared" si="21"/>
        <v>1.7567295747998655</v>
      </c>
      <c r="S682" s="5" t="s">
        <v>1597</v>
      </c>
      <c r="U682" s="5" t="s">
        <v>1655</v>
      </c>
      <c r="V682" s="5" t="s">
        <v>2256</v>
      </c>
      <c r="W682" s="5" t="s">
        <v>2257</v>
      </c>
    </row>
    <row r="683" spans="1:23">
      <c r="A683" s="5" t="s">
        <v>1642</v>
      </c>
      <c r="B683" s="5" t="s">
        <v>2208</v>
      </c>
      <c r="C683" s="5" t="s">
        <v>1596</v>
      </c>
      <c r="G683" s="5" t="s">
        <v>1673</v>
      </c>
      <c r="H683" s="5" t="s">
        <v>2303</v>
      </c>
      <c r="I683" s="5" t="s">
        <v>2303</v>
      </c>
      <c r="K683" s="5" t="s">
        <v>875</v>
      </c>
      <c r="L683" s="17">
        <v>35</v>
      </c>
      <c r="M683" s="17">
        <v>5</v>
      </c>
      <c r="O683" s="18">
        <v>0.96</v>
      </c>
      <c r="P683" s="18">
        <v>0.33</v>
      </c>
      <c r="Q683" s="18">
        <f t="shared" si="20"/>
        <v>0.33</v>
      </c>
      <c r="R683" s="18">
        <f t="shared" si="21"/>
        <v>1.7567295747998655</v>
      </c>
      <c r="S683" s="5" t="s">
        <v>1617</v>
      </c>
      <c r="U683" s="5" t="s">
        <v>1655</v>
      </c>
      <c r="V683" s="5" t="s">
        <v>2256</v>
      </c>
      <c r="W683" s="5" t="s">
        <v>2257</v>
      </c>
    </row>
    <row r="684" spans="1:23">
      <c r="A684" s="5" t="s">
        <v>1642</v>
      </c>
      <c r="B684" s="5" t="s">
        <v>2208</v>
      </c>
      <c r="C684" s="5" t="s">
        <v>1596</v>
      </c>
      <c r="G684" s="5" t="s">
        <v>1673</v>
      </c>
      <c r="H684" s="5" t="s">
        <v>2304</v>
      </c>
      <c r="I684" s="5" t="s">
        <v>2304</v>
      </c>
      <c r="L684" s="17">
        <v>35</v>
      </c>
      <c r="M684" s="17">
        <v>5</v>
      </c>
      <c r="O684" s="18">
        <v>0.96</v>
      </c>
      <c r="P684" s="18">
        <v>0.06</v>
      </c>
      <c r="Q684" s="18">
        <f t="shared" si="20"/>
        <v>0.06</v>
      </c>
      <c r="R684" s="18">
        <f t="shared" si="21"/>
        <v>0.30782332427185921</v>
      </c>
      <c r="S684" s="5" t="s">
        <v>1617</v>
      </c>
      <c r="U684" s="5" t="s">
        <v>1655</v>
      </c>
      <c r="V684" s="5" t="s">
        <v>2256</v>
      </c>
      <c r="W684" s="5" t="s">
        <v>2257</v>
      </c>
    </row>
    <row r="685" spans="1:23">
      <c r="A685" s="5" t="s">
        <v>1642</v>
      </c>
      <c r="B685" s="5" t="s">
        <v>2208</v>
      </c>
      <c r="C685" s="5" t="s">
        <v>1596</v>
      </c>
      <c r="G685" s="5" t="s">
        <v>1673</v>
      </c>
      <c r="H685" s="5" t="s">
        <v>291</v>
      </c>
      <c r="I685" s="5" t="s">
        <v>291</v>
      </c>
      <c r="K685" s="5" t="s">
        <v>290</v>
      </c>
      <c r="L685" s="17">
        <v>35</v>
      </c>
      <c r="M685" s="17">
        <v>30</v>
      </c>
      <c r="O685" s="18">
        <v>0.96</v>
      </c>
      <c r="P685" s="18">
        <v>0.09</v>
      </c>
      <c r="Q685" s="18">
        <f t="shared" si="20"/>
        <v>0.09</v>
      </c>
      <c r="R685" s="18">
        <f t="shared" si="21"/>
        <v>0.46243164534681752</v>
      </c>
      <c r="S685" s="5" t="s">
        <v>1617</v>
      </c>
      <c r="U685" s="5" t="s">
        <v>1655</v>
      </c>
      <c r="V685" s="5" t="s">
        <v>2256</v>
      </c>
      <c r="W685" s="5" t="s">
        <v>2257</v>
      </c>
    </row>
    <row r="686" spans="1:23">
      <c r="A686" s="5" t="s">
        <v>1642</v>
      </c>
      <c r="B686" s="5" t="s">
        <v>2208</v>
      </c>
      <c r="C686" s="5" t="s">
        <v>1596</v>
      </c>
      <c r="G686" s="5" t="s">
        <v>1673</v>
      </c>
      <c r="H686" s="5" t="s">
        <v>2258</v>
      </c>
      <c r="I686" s="5" t="s">
        <v>2258</v>
      </c>
      <c r="L686" s="17">
        <v>35</v>
      </c>
      <c r="M686" s="17">
        <v>30</v>
      </c>
      <c r="O686" s="18">
        <v>0.96</v>
      </c>
      <c r="P686" s="18">
        <v>0.03</v>
      </c>
      <c r="Q686" s="18">
        <f t="shared" si="20"/>
        <v>0.03</v>
      </c>
      <c r="R686" s="18">
        <f t="shared" si="21"/>
        <v>0.15377293345691084</v>
      </c>
      <c r="S686" s="5" t="s">
        <v>1617</v>
      </c>
      <c r="U686" s="5" t="s">
        <v>1655</v>
      </c>
      <c r="V686" s="5" t="s">
        <v>2256</v>
      </c>
      <c r="W686" s="5" t="s">
        <v>2257</v>
      </c>
    </row>
    <row r="687" spans="1:23">
      <c r="A687" s="5" t="s">
        <v>1642</v>
      </c>
      <c r="B687" s="5" t="s">
        <v>2208</v>
      </c>
      <c r="C687" s="5" t="s">
        <v>1596</v>
      </c>
      <c r="G687" s="5" t="s">
        <v>1673</v>
      </c>
      <c r="H687" s="5" t="s">
        <v>2259</v>
      </c>
      <c r="I687" s="5" t="s">
        <v>2259</v>
      </c>
      <c r="L687" s="17">
        <v>35</v>
      </c>
      <c r="M687" s="17">
        <v>30</v>
      </c>
      <c r="O687" s="18">
        <v>0.96</v>
      </c>
      <c r="P687" s="18">
        <v>0.2</v>
      </c>
      <c r="Q687" s="18">
        <f t="shared" si="20"/>
        <v>0.2</v>
      </c>
      <c r="R687" s="18">
        <f t="shared" si="21"/>
        <v>1.0388474954867268</v>
      </c>
      <c r="S687" s="5" t="s">
        <v>1597</v>
      </c>
      <c r="U687" s="5" t="s">
        <v>1655</v>
      </c>
      <c r="V687" s="5" t="s">
        <v>2256</v>
      </c>
      <c r="W687" s="5" t="s">
        <v>2257</v>
      </c>
    </row>
    <row r="688" spans="1:23">
      <c r="A688" s="5" t="s">
        <v>1642</v>
      </c>
      <c r="B688" s="5" t="s">
        <v>2208</v>
      </c>
      <c r="C688" s="5" t="s">
        <v>1596</v>
      </c>
      <c r="G688" s="5" t="s">
        <v>1673</v>
      </c>
      <c r="H688" s="5" t="s">
        <v>2260</v>
      </c>
      <c r="I688" s="5" t="s">
        <v>2260</v>
      </c>
      <c r="L688" s="17">
        <v>35</v>
      </c>
      <c r="M688" s="17">
        <v>30</v>
      </c>
      <c r="O688" s="18">
        <v>0.96</v>
      </c>
      <c r="P688" s="18">
        <v>0</v>
      </c>
      <c r="Q688" s="18">
        <f t="shared" si="20"/>
        <v>0</v>
      </c>
      <c r="R688" s="18">
        <f t="shared" si="21"/>
        <v>0</v>
      </c>
      <c r="U688" s="5" t="s">
        <v>1655</v>
      </c>
      <c r="V688" s="5" t="s">
        <v>2256</v>
      </c>
      <c r="W688" s="5" t="s">
        <v>2257</v>
      </c>
    </row>
    <row r="689" spans="1:23">
      <c r="A689" s="5" t="s">
        <v>1642</v>
      </c>
      <c r="B689" s="5" t="s">
        <v>2208</v>
      </c>
      <c r="C689" s="5" t="s">
        <v>1596</v>
      </c>
      <c r="G689" s="5" t="s">
        <v>1673</v>
      </c>
      <c r="H689" s="5" t="s">
        <v>2261</v>
      </c>
      <c r="I689" s="5" t="s">
        <v>2261</v>
      </c>
      <c r="L689" s="17">
        <v>35</v>
      </c>
      <c r="M689" s="17">
        <v>30</v>
      </c>
      <c r="O689" s="18">
        <v>0.96</v>
      </c>
      <c r="P689" s="18">
        <v>0.24</v>
      </c>
      <c r="Q689" s="18">
        <f t="shared" si="20"/>
        <v>0.24</v>
      </c>
      <c r="R689" s="18">
        <f t="shared" si="21"/>
        <v>1.2542779578869248</v>
      </c>
      <c r="S689" s="5" t="s">
        <v>1617</v>
      </c>
      <c r="U689" s="5" t="s">
        <v>1655</v>
      </c>
      <c r="V689" s="5" t="s">
        <v>2256</v>
      </c>
      <c r="W689" s="5" t="s">
        <v>2257</v>
      </c>
    </row>
    <row r="690" spans="1:23">
      <c r="A690" s="5" t="s">
        <v>1642</v>
      </c>
      <c r="B690" s="5" t="s">
        <v>2208</v>
      </c>
      <c r="C690" s="5" t="s">
        <v>1596</v>
      </c>
      <c r="G690" s="5" t="s">
        <v>1673</v>
      </c>
      <c r="H690" s="5" t="s">
        <v>2262</v>
      </c>
      <c r="I690" s="5" t="s">
        <v>2262</v>
      </c>
      <c r="L690" s="17">
        <v>35</v>
      </c>
      <c r="M690" s="17">
        <v>30</v>
      </c>
      <c r="O690" s="18">
        <v>0.96</v>
      </c>
      <c r="P690" s="18">
        <v>0.2</v>
      </c>
      <c r="Q690" s="18">
        <f t="shared" si="20"/>
        <v>0.2</v>
      </c>
      <c r="R690" s="18">
        <f t="shared" si="21"/>
        <v>1.0388474954867268</v>
      </c>
      <c r="S690" s="5" t="s">
        <v>1617</v>
      </c>
      <c r="U690" s="5" t="s">
        <v>1655</v>
      </c>
      <c r="V690" s="5" t="s">
        <v>2256</v>
      </c>
      <c r="W690" s="5" t="s">
        <v>2257</v>
      </c>
    </row>
    <row r="691" spans="1:23">
      <c r="A691" s="5" t="s">
        <v>1642</v>
      </c>
      <c r="B691" s="5" t="s">
        <v>2208</v>
      </c>
      <c r="C691" s="5" t="s">
        <v>1596</v>
      </c>
      <c r="G691" s="5" t="s">
        <v>1673</v>
      </c>
      <c r="H691" s="5" t="s">
        <v>2263</v>
      </c>
      <c r="I691" s="5" t="s">
        <v>2263</v>
      </c>
      <c r="L691" s="17">
        <v>35</v>
      </c>
      <c r="M691" s="17">
        <v>30</v>
      </c>
      <c r="O691" s="18">
        <v>0.96</v>
      </c>
      <c r="P691" s="18">
        <v>0.24</v>
      </c>
      <c r="Q691" s="18">
        <f t="shared" si="20"/>
        <v>0.24</v>
      </c>
      <c r="R691" s="18">
        <f t="shared" si="21"/>
        <v>1.2542779578869248</v>
      </c>
      <c r="S691" s="5" t="s">
        <v>1617</v>
      </c>
      <c r="U691" s="5" t="s">
        <v>1655</v>
      </c>
      <c r="V691" s="5" t="s">
        <v>2256</v>
      </c>
      <c r="W691" s="5" t="s">
        <v>2257</v>
      </c>
    </row>
    <row r="692" spans="1:23">
      <c r="A692" s="5" t="s">
        <v>1642</v>
      </c>
      <c r="B692" s="5" t="s">
        <v>2208</v>
      </c>
      <c r="C692" s="5" t="s">
        <v>1596</v>
      </c>
      <c r="G692" s="5" t="s">
        <v>1673</v>
      </c>
      <c r="H692" s="5" t="s">
        <v>2264</v>
      </c>
      <c r="I692" s="5" t="s">
        <v>2264</v>
      </c>
      <c r="L692" s="17">
        <v>35</v>
      </c>
      <c r="M692" s="17">
        <v>30</v>
      </c>
      <c r="O692" s="18">
        <v>0.96</v>
      </c>
      <c r="P692" s="18">
        <v>0.24</v>
      </c>
      <c r="Q692" s="18">
        <f t="shared" si="20"/>
        <v>0.24</v>
      </c>
      <c r="R692" s="18">
        <f t="shared" si="21"/>
        <v>1.2542779578869248</v>
      </c>
      <c r="S692" s="5" t="s">
        <v>1617</v>
      </c>
      <c r="U692" s="5" t="s">
        <v>1655</v>
      </c>
      <c r="V692" s="5" t="s">
        <v>2256</v>
      </c>
      <c r="W692" s="5" t="s">
        <v>2257</v>
      </c>
    </row>
    <row r="693" spans="1:23">
      <c r="A693" s="5" t="s">
        <v>1642</v>
      </c>
      <c r="B693" s="5" t="s">
        <v>2208</v>
      </c>
      <c r="C693" s="5" t="s">
        <v>1596</v>
      </c>
      <c r="G693" s="5" t="s">
        <v>1673</v>
      </c>
      <c r="H693" s="5" t="s">
        <v>2265</v>
      </c>
      <c r="I693" s="5" t="s">
        <v>2265</v>
      </c>
      <c r="L693" s="17">
        <v>35</v>
      </c>
      <c r="M693" s="17">
        <v>30</v>
      </c>
      <c r="O693" s="18">
        <v>0.96</v>
      </c>
      <c r="P693" s="18">
        <v>0.03</v>
      </c>
      <c r="Q693" s="18">
        <f t="shared" si="20"/>
        <v>0.03</v>
      </c>
      <c r="R693" s="18">
        <f t="shared" si="21"/>
        <v>0.15377293345691084</v>
      </c>
      <c r="S693" s="5" t="s">
        <v>1617</v>
      </c>
      <c r="U693" s="5" t="s">
        <v>1655</v>
      </c>
      <c r="V693" s="5" t="s">
        <v>2256</v>
      </c>
      <c r="W693" s="5" t="s">
        <v>2257</v>
      </c>
    </row>
    <row r="694" spans="1:23">
      <c r="A694" s="5" t="s">
        <v>1642</v>
      </c>
      <c r="B694" s="5" t="s">
        <v>2208</v>
      </c>
      <c r="C694" s="5" t="s">
        <v>1596</v>
      </c>
      <c r="G694" s="5" t="s">
        <v>1673</v>
      </c>
      <c r="H694" s="5" t="s">
        <v>2266</v>
      </c>
      <c r="I694" s="5" t="s">
        <v>2266</v>
      </c>
      <c r="L694" s="17">
        <v>35</v>
      </c>
      <c r="M694" s="17">
        <v>30</v>
      </c>
      <c r="O694" s="18">
        <v>0.96</v>
      </c>
      <c r="P694" s="18">
        <v>0.2</v>
      </c>
      <c r="Q694" s="18">
        <f t="shared" si="20"/>
        <v>0.2</v>
      </c>
      <c r="R694" s="18">
        <f t="shared" si="21"/>
        <v>1.0388474954867268</v>
      </c>
      <c r="S694" s="5" t="s">
        <v>1597</v>
      </c>
      <c r="U694" s="5" t="s">
        <v>1655</v>
      </c>
      <c r="V694" s="5" t="s">
        <v>2256</v>
      </c>
      <c r="W694" s="5" t="s">
        <v>2257</v>
      </c>
    </row>
    <row r="695" spans="1:23">
      <c r="A695" s="5" t="s">
        <v>1642</v>
      </c>
      <c r="B695" s="5" t="s">
        <v>2208</v>
      </c>
      <c r="C695" s="5" t="s">
        <v>1596</v>
      </c>
      <c r="G695" s="5" t="s">
        <v>1673</v>
      </c>
      <c r="H695" s="5" t="s">
        <v>2267</v>
      </c>
      <c r="I695" s="5" t="s">
        <v>2267</v>
      </c>
      <c r="L695" s="17">
        <v>35</v>
      </c>
      <c r="M695" s="17">
        <v>30</v>
      </c>
      <c r="O695" s="18">
        <v>0.96</v>
      </c>
      <c r="P695" s="18">
        <v>0.25</v>
      </c>
      <c r="Q695" s="18">
        <f t="shared" si="20"/>
        <v>0.25</v>
      </c>
      <c r="R695" s="18">
        <f t="shared" si="21"/>
        <v>1.3087930607784379</v>
      </c>
      <c r="S695" s="5" t="s">
        <v>1617</v>
      </c>
      <c r="U695" s="5" t="s">
        <v>1655</v>
      </c>
      <c r="V695" s="5" t="s">
        <v>2256</v>
      </c>
      <c r="W695" s="5" t="s">
        <v>2257</v>
      </c>
    </row>
    <row r="696" spans="1:23">
      <c r="A696" s="5" t="s">
        <v>1642</v>
      </c>
      <c r="B696" s="5" t="s">
        <v>2208</v>
      </c>
      <c r="C696" s="5" t="s">
        <v>1596</v>
      </c>
      <c r="G696" s="5" t="s">
        <v>1673</v>
      </c>
      <c r="H696" s="5" t="s">
        <v>2268</v>
      </c>
      <c r="I696" s="5" t="s">
        <v>2268</v>
      </c>
      <c r="L696" s="17">
        <v>35</v>
      </c>
      <c r="M696" s="17">
        <v>30</v>
      </c>
      <c r="O696" s="18">
        <v>0.96</v>
      </c>
      <c r="P696" s="18">
        <v>0.03</v>
      </c>
      <c r="Q696" s="18">
        <f t="shared" si="20"/>
        <v>0.03</v>
      </c>
      <c r="R696" s="18">
        <f t="shared" si="21"/>
        <v>0.15377293345691084</v>
      </c>
      <c r="S696" s="5" t="s">
        <v>1617</v>
      </c>
      <c r="U696" s="5" t="s">
        <v>1655</v>
      </c>
      <c r="V696" s="5" t="s">
        <v>2256</v>
      </c>
      <c r="W696" s="5" t="s">
        <v>2257</v>
      </c>
    </row>
    <row r="697" spans="1:23">
      <c r="A697" s="5" t="s">
        <v>1642</v>
      </c>
      <c r="B697" s="5" t="s">
        <v>2208</v>
      </c>
      <c r="C697" s="5" t="s">
        <v>1596</v>
      </c>
      <c r="G697" s="5" t="s">
        <v>1673</v>
      </c>
      <c r="H697" s="5" t="s">
        <v>2269</v>
      </c>
      <c r="I697" s="5" t="s">
        <v>2269</v>
      </c>
      <c r="L697" s="17">
        <v>35</v>
      </c>
      <c r="M697" s="17">
        <v>30</v>
      </c>
      <c r="O697" s="18">
        <v>0.96</v>
      </c>
      <c r="P697" s="18">
        <v>0.33</v>
      </c>
      <c r="Q697" s="18">
        <f t="shared" si="20"/>
        <v>0.33</v>
      </c>
      <c r="R697" s="18">
        <f t="shared" si="21"/>
        <v>1.7567295747998655</v>
      </c>
      <c r="S697" s="5" t="s">
        <v>1617</v>
      </c>
      <c r="U697" s="5" t="s">
        <v>1655</v>
      </c>
      <c r="V697" s="5" t="s">
        <v>2256</v>
      </c>
      <c r="W697" s="5" t="s">
        <v>2257</v>
      </c>
    </row>
    <row r="698" spans="1:23">
      <c r="A698" s="5" t="s">
        <v>1642</v>
      </c>
      <c r="B698" s="5" t="s">
        <v>2208</v>
      </c>
      <c r="C698" s="5" t="s">
        <v>1596</v>
      </c>
      <c r="G698" s="5" t="s">
        <v>1673</v>
      </c>
      <c r="H698" s="5" t="s">
        <v>2270</v>
      </c>
      <c r="I698" s="5" t="s">
        <v>2270</v>
      </c>
      <c r="L698" s="17">
        <v>35</v>
      </c>
      <c r="M698" s="17">
        <v>30</v>
      </c>
      <c r="O698" s="18">
        <v>0.96</v>
      </c>
      <c r="P698" s="18">
        <v>0.39</v>
      </c>
      <c r="Q698" s="18">
        <f t="shared" si="20"/>
        <v>0.39</v>
      </c>
      <c r="R698" s="18">
        <f t="shared" si="21"/>
        <v>2.1101565876066135</v>
      </c>
      <c r="S698" s="5" t="s">
        <v>1617</v>
      </c>
      <c r="U698" s="5" t="s">
        <v>1655</v>
      </c>
      <c r="V698" s="5" t="s">
        <v>2256</v>
      </c>
      <c r="W698" s="5" t="s">
        <v>2257</v>
      </c>
    </row>
    <row r="699" spans="1:23">
      <c r="A699" s="5" t="s">
        <v>1642</v>
      </c>
      <c r="B699" s="5" t="s">
        <v>2208</v>
      </c>
      <c r="C699" s="5" t="s">
        <v>1596</v>
      </c>
      <c r="G699" s="5" t="s">
        <v>1673</v>
      </c>
      <c r="H699" s="5" t="s">
        <v>307</v>
      </c>
      <c r="I699" s="5" t="s">
        <v>307</v>
      </c>
      <c r="K699" s="5" t="s">
        <v>306</v>
      </c>
      <c r="L699" s="17">
        <v>35</v>
      </c>
      <c r="M699" s="17">
        <v>30</v>
      </c>
      <c r="O699" s="18">
        <v>0.96</v>
      </c>
      <c r="P699" s="18">
        <v>0.02</v>
      </c>
      <c r="Q699" s="18">
        <f t="shared" si="20"/>
        <v>0.02</v>
      </c>
      <c r="R699" s="18">
        <f t="shared" si="21"/>
        <v>0.10249819488404227</v>
      </c>
      <c r="S699" s="5" t="s">
        <v>1617</v>
      </c>
      <c r="U699" s="5" t="s">
        <v>1655</v>
      </c>
      <c r="V699" s="5" t="s">
        <v>2256</v>
      </c>
      <c r="W699" s="5" t="s">
        <v>2257</v>
      </c>
    </row>
    <row r="700" spans="1:23">
      <c r="A700" s="5" t="s">
        <v>1642</v>
      </c>
      <c r="B700" s="5" t="s">
        <v>2208</v>
      </c>
      <c r="C700" s="5" t="s">
        <v>1596</v>
      </c>
      <c r="G700" s="5" t="s">
        <v>1673</v>
      </c>
      <c r="H700" s="5" t="s">
        <v>2271</v>
      </c>
      <c r="I700" s="5" t="s">
        <v>2271</v>
      </c>
      <c r="L700" s="17">
        <v>35</v>
      </c>
      <c r="M700" s="17">
        <v>30</v>
      </c>
      <c r="O700" s="18">
        <v>0.96</v>
      </c>
      <c r="P700" s="18">
        <v>0.18</v>
      </c>
      <c r="Q700" s="18">
        <f t="shared" si="20"/>
        <v>0.18</v>
      </c>
      <c r="R700" s="18">
        <f t="shared" si="21"/>
        <v>0.93252048817158095</v>
      </c>
      <c r="S700" s="5" t="s">
        <v>1597</v>
      </c>
      <c r="U700" s="5" t="s">
        <v>1655</v>
      </c>
      <c r="V700" s="5" t="s">
        <v>2256</v>
      </c>
      <c r="W700" s="5" t="s">
        <v>2257</v>
      </c>
    </row>
    <row r="701" spans="1:23">
      <c r="A701" s="5" t="s">
        <v>1642</v>
      </c>
      <c r="B701" s="5" t="s">
        <v>2208</v>
      </c>
      <c r="C701" s="5" t="s">
        <v>1596</v>
      </c>
      <c r="G701" s="5" t="s">
        <v>1673</v>
      </c>
      <c r="H701" s="5" t="s">
        <v>2272</v>
      </c>
      <c r="I701" s="5" t="s">
        <v>2272</v>
      </c>
      <c r="L701" s="17">
        <v>35</v>
      </c>
      <c r="M701" s="17">
        <v>30</v>
      </c>
      <c r="O701" s="18">
        <v>0.96</v>
      </c>
      <c r="P701" s="18">
        <v>0.39</v>
      </c>
      <c r="Q701" s="18">
        <f t="shared" si="20"/>
        <v>0.39</v>
      </c>
      <c r="R701" s="18">
        <f t="shared" si="21"/>
        <v>2.1101565876066135</v>
      </c>
      <c r="S701" s="5" t="s">
        <v>1597</v>
      </c>
      <c r="U701" s="5" t="s">
        <v>1655</v>
      </c>
      <c r="V701" s="5" t="s">
        <v>2256</v>
      </c>
      <c r="W701" s="5" t="s">
        <v>2257</v>
      </c>
    </row>
    <row r="702" spans="1:23">
      <c r="A702" s="5" t="s">
        <v>1642</v>
      </c>
      <c r="B702" s="5" t="s">
        <v>2208</v>
      </c>
      <c r="C702" s="5" t="s">
        <v>1596</v>
      </c>
      <c r="G702" s="5" t="s">
        <v>1673</v>
      </c>
      <c r="H702" s="5" t="s">
        <v>2273</v>
      </c>
      <c r="I702" s="5" t="s">
        <v>2273</v>
      </c>
      <c r="L702" s="17">
        <v>35</v>
      </c>
      <c r="M702" s="17">
        <v>30</v>
      </c>
      <c r="O702" s="18">
        <v>0.96</v>
      </c>
      <c r="P702" s="18">
        <v>0.48</v>
      </c>
      <c r="Q702" s="18">
        <f t="shared" si="20"/>
        <v>0.48</v>
      </c>
      <c r="R702" s="18">
        <f t="shared" si="21"/>
        <v>2.6798898158692781</v>
      </c>
      <c r="S702" s="5" t="s">
        <v>1597</v>
      </c>
      <c r="U702" s="5" t="s">
        <v>1655</v>
      </c>
      <c r="V702" s="5" t="s">
        <v>2256</v>
      </c>
      <c r="W702" s="5" t="s">
        <v>2257</v>
      </c>
    </row>
    <row r="703" spans="1:23">
      <c r="A703" s="5" t="s">
        <v>1642</v>
      </c>
      <c r="B703" s="5" t="s">
        <v>2208</v>
      </c>
      <c r="C703" s="5" t="s">
        <v>1596</v>
      </c>
      <c r="G703" s="5" t="s">
        <v>1673</v>
      </c>
      <c r="H703" s="5" t="s">
        <v>2274</v>
      </c>
      <c r="I703" s="5" t="s">
        <v>2274</v>
      </c>
      <c r="L703" s="17">
        <v>35</v>
      </c>
      <c r="M703" s="17">
        <v>30</v>
      </c>
      <c r="O703" s="18">
        <v>0.96</v>
      </c>
      <c r="P703" s="18">
        <v>0.37</v>
      </c>
      <c r="Q703" s="18">
        <f t="shared" si="20"/>
        <v>0.37</v>
      </c>
      <c r="R703" s="18">
        <f t="shared" si="21"/>
        <v>1.9903678825251709</v>
      </c>
      <c r="S703" s="5" t="s">
        <v>1597</v>
      </c>
      <c r="U703" s="5" t="s">
        <v>1655</v>
      </c>
      <c r="V703" s="5" t="s">
        <v>2256</v>
      </c>
      <c r="W703" s="5" t="s">
        <v>2257</v>
      </c>
    </row>
    <row r="704" spans="1:23">
      <c r="A704" s="5" t="s">
        <v>1642</v>
      </c>
      <c r="B704" s="5" t="s">
        <v>2208</v>
      </c>
      <c r="C704" s="5" t="s">
        <v>1596</v>
      </c>
      <c r="G704" s="5" t="s">
        <v>1673</v>
      </c>
      <c r="H704" s="5" t="s">
        <v>2275</v>
      </c>
      <c r="I704" s="5" t="s">
        <v>2275</v>
      </c>
      <c r="L704" s="17">
        <v>35</v>
      </c>
      <c r="M704" s="17">
        <v>30</v>
      </c>
      <c r="O704" s="18">
        <v>0.96</v>
      </c>
      <c r="P704" s="18">
        <v>0.36</v>
      </c>
      <c r="Q704" s="18">
        <f t="shared" si="20"/>
        <v>0.36</v>
      </c>
      <c r="R704" s="18">
        <f t="shared" si="21"/>
        <v>1.9312486658120196</v>
      </c>
      <c r="S704" s="5" t="s">
        <v>1617</v>
      </c>
      <c r="U704" s="5" t="s">
        <v>1655</v>
      </c>
      <c r="V704" s="5" t="s">
        <v>2256</v>
      </c>
      <c r="W704" s="5" t="s">
        <v>2257</v>
      </c>
    </row>
    <row r="705" spans="1:23">
      <c r="A705" s="5" t="s">
        <v>1642</v>
      </c>
      <c r="B705" s="5" t="s">
        <v>2208</v>
      </c>
      <c r="C705" s="5" t="s">
        <v>1596</v>
      </c>
      <c r="G705" s="5" t="s">
        <v>1673</v>
      </c>
      <c r="H705" s="5" t="s">
        <v>2276</v>
      </c>
      <c r="I705" s="5" t="s">
        <v>2276</v>
      </c>
      <c r="L705" s="17">
        <v>35</v>
      </c>
      <c r="M705" s="17">
        <v>30</v>
      </c>
      <c r="O705" s="18">
        <v>0.96</v>
      </c>
      <c r="P705" s="18">
        <v>0.25</v>
      </c>
      <c r="Q705" s="18">
        <f t="shared" si="20"/>
        <v>0.25</v>
      </c>
      <c r="R705" s="18">
        <f t="shared" si="21"/>
        <v>1.3087930607784379</v>
      </c>
      <c r="S705" s="5" t="s">
        <v>1597</v>
      </c>
      <c r="U705" s="5" t="s">
        <v>1655</v>
      </c>
      <c r="V705" s="5" t="s">
        <v>2256</v>
      </c>
      <c r="W705" s="5" t="s">
        <v>2257</v>
      </c>
    </row>
    <row r="706" spans="1:23">
      <c r="A706" s="5" t="s">
        <v>1642</v>
      </c>
      <c r="B706" s="5" t="s">
        <v>2208</v>
      </c>
      <c r="C706" s="5" t="s">
        <v>1596</v>
      </c>
      <c r="G706" s="5" t="s">
        <v>1673</v>
      </c>
      <c r="H706" s="5" t="s">
        <v>2277</v>
      </c>
      <c r="I706" s="5" t="s">
        <v>2277</v>
      </c>
      <c r="L706" s="17">
        <v>35</v>
      </c>
      <c r="M706" s="17">
        <v>30</v>
      </c>
      <c r="O706" s="18">
        <v>0.96</v>
      </c>
      <c r="P706" s="18">
        <v>0.27</v>
      </c>
      <c r="Q706" s="18">
        <f t="shared" ref="Q706:Q740" si="22">ABS(P706)</f>
        <v>0.27</v>
      </c>
      <c r="R706" s="18">
        <f t="shared" si="21"/>
        <v>1.4187128954109909</v>
      </c>
      <c r="S706" s="5" t="s">
        <v>1597</v>
      </c>
      <c r="U706" s="5" t="s">
        <v>1655</v>
      </c>
      <c r="V706" s="5" t="s">
        <v>2256</v>
      </c>
      <c r="W706" s="5" t="s">
        <v>2257</v>
      </c>
    </row>
    <row r="707" spans="1:23">
      <c r="A707" s="5" t="s">
        <v>1642</v>
      </c>
      <c r="B707" s="5" t="s">
        <v>2208</v>
      </c>
      <c r="C707" s="5" t="s">
        <v>1596</v>
      </c>
      <c r="G707" s="5" t="s">
        <v>1673</v>
      </c>
      <c r="H707" s="5" t="s">
        <v>2278</v>
      </c>
      <c r="I707" s="5" t="s">
        <v>2278</v>
      </c>
      <c r="K707" s="5" t="s">
        <v>314</v>
      </c>
      <c r="L707" s="17">
        <v>35</v>
      </c>
      <c r="M707" s="17">
        <v>30</v>
      </c>
      <c r="O707" s="18">
        <v>0.96</v>
      </c>
      <c r="P707" s="18">
        <v>0.31</v>
      </c>
      <c r="Q707" s="18">
        <f t="shared" si="22"/>
        <v>0.31</v>
      </c>
      <c r="R707" s="18">
        <f t="shared" ref="R707:R740" si="23">8.3145*(L707+273.15)*LN((Q707+1)/(1-Q707))*0.001</f>
        <v>1.6425472327165676</v>
      </c>
      <c r="S707" s="5" t="s">
        <v>1597</v>
      </c>
      <c r="U707" s="5" t="s">
        <v>1655</v>
      </c>
      <c r="V707" s="5" t="s">
        <v>2256</v>
      </c>
      <c r="W707" s="5" t="s">
        <v>2257</v>
      </c>
    </row>
    <row r="708" spans="1:23">
      <c r="A708" s="5" t="s">
        <v>1642</v>
      </c>
      <c r="B708" s="5" t="s">
        <v>2208</v>
      </c>
      <c r="C708" s="5" t="s">
        <v>1596</v>
      </c>
      <c r="G708" s="5" t="s">
        <v>1673</v>
      </c>
      <c r="H708" s="5" t="s">
        <v>2279</v>
      </c>
      <c r="I708" s="5" t="s">
        <v>2279</v>
      </c>
      <c r="L708" s="17">
        <v>35</v>
      </c>
      <c r="M708" s="17">
        <v>30</v>
      </c>
      <c r="O708" s="18">
        <v>0.96</v>
      </c>
      <c r="P708" s="18">
        <v>0.24</v>
      </c>
      <c r="Q708" s="18">
        <f t="shared" si="22"/>
        <v>0.24</v>
      </c>
      <c r="R708" s="18">
        <f t="shared" si="23"/>
        <v>1.2542779578869248</v>
      </c>
      <c r="S708" s="5" t="s">
        <v>1597</v>
      </c>
      <c r="U708" s="5" t="s">
        <v>1655</v>
      </c>
      <c r="V708" s="5" t="s">
        <v>2256</v>
      </c>
      <c r="W708" s="5" t="s">
        <v>2257</v>
      </c>
    </row>
    <row r="709" spans="1:23">
      <c r="A709" s="5" t="s">
        <v>1642</v>
      </c>
      <c r="B709" s="5" t="s">
        <v>2208</v>
      </c>
      <c r="C709" s="5" t="s">
        <v>1596</v>
      </c>
      <c r="G709" s="5" t="s">
        <v>1673</v>
      </c>
      <c r="H709" s="5" t="s">
        <v>451</v>
      </c>
      <c r="I709" s="5" t="s">
        <v>451</v>
      </c>
      <c r="K709" s="5" t="s">
        <v>450</v>
      </c>
      <c r="L709" s="17">
        <v>35</v>
      </c>
      <c r="M709" s="17">
        <v>30</v>
      </c>
      <c r="O709" s="18">
        <v>0.96</v>
      </c>
      <c r="P709" s="18">
        <v>0.28999999999999998</v>
      </c>
      <c r="Q709" s="18">
        <f t="shared" si="22"/>
        <v>0.28999999999999998</v>
      </c>
      <c r="R709" s="18">
        <f t="shared" si="23"/>
        <v>1.5299211154685337</v>
      </c>
      <c r="S709" s="5" t="s">
        <v>1597</v>
      </c>
      <c r="U709" s="5" t="s">
        <v>1655</v>
      </c>
      <c r="V709" s="5" t="s">
        <v>2256</v>
      </c>
      <c r="W709" s="5" t="s">
        <v>2257</v>
      </c>
    </row>
    <row r="710" spans="1:23">
      <c r="A710" s="5" t="s">
        <v>1642</v>
      </c>
      <c r="B710" s="5" t="s">
        <v>2208</v>
      </c>
      <c r="C710" s="5" t="s">
        <v>1596</v>
      </c>
      <c r="G710" s="5" t="s">
        <v>1673</v>
      </c>
      <c r="H710" s="5" t="s">
        <v>2280</v>
      </c>
      <c r="I710" s="5" t="s">
        <v>2280</v>
      </c>
      <c r="K710" s="5" t="s">
        <v>1014</v>
      </c>
      <c r="L710" s="17">
        <v>35</v>
      </c>
      <c r="M710" s="17">
        <v>30</v>
      </c>
      <c r="O710" s="18">
        <v>0.96</v>
      </c>
      <c r="P710" s="18">
        <v>7.0000000000000007E-2</v>
      </c>
      <c r="Q710" s="18">
        <f t="shared" si="22"/>
        <v>7.0000000000000007E-2</v>
      </c>
      <c r="R710" s="18">
        <f t="shared" si="23"/>
        <v>0.35928344288846464</v>
      </c>
      <c r="S710" s="5" t="s">
        <v>1597</v>
      </c>
      <c r="U710" s="5" t="s">
        <v>1655</v>
      </c>
      <c r="V710" s="5" t="s">
        <v>2256</v>
      </c>
      <c r="W710" s="5" t="s">
        <v>2257</v>
      </c>
    </row>
    <row r="711" spans="1:23">
      <c r="A711" s="5" t="s">
        <v>1642</v>
      </c>
      <c r="B711" s="5" t="s">
        <v>2208</v>
      </c>
      <c r="C711" s="5" t="s">
        <v>1596</v>
      </c>
      <c r="G711" s="5" t="s">
        <v>1673</v>
      </c>
      <c r="H711" s="5" t="s">
        <v>1030</v>
      </c>
      <c r="I711" s="5" t="s">
        <v>1030</v>
      </c>
      <c r="K711" s="5" t="s">
        <v>1029</v>
      </c>
      <c r="L711" s="17">
        <v>35</v>
      </c>
      <c r="M711" s="17">
        <v>30</v>
      </c>
      <c r="O711" s="18">
        <v>0.96</v>
      </c>
      <c r="P711" s="18">
        <v>0.46</v>
      </c>
      <c r="Q711" s="18">
        <f t="shared" si="22"/>
        <v>0.46</v>
      </c>
      <c r="R711" s="18">
        <f t="shared" si="23"/>
        <v>2.5483356039290284</v>
      </c>
      <c r="S711" s="5" t="s">
        <v>1597</v>
      </c>
      <c r="U711" s="5" t="s">
        <v>1655</v>
      </c>
      <c r="V711" s="5" t="s">
        <v>2256</v>
      </c>
      <c r="W711" s="5" t="s">
        <v>2257</v>
      </c>
    </row>
    <row r="712" spans="1:23">
      <c r="A712" s="5" t="s">
        <v>1642</v>
      </c>
      <c r="B712" s="5" t="s">
        <v>2208</v>
      </c>
      <c r="C712" s="5" t="s">
        <v>1596</v>
      </c>
      <c r="G712" s="5" t="s">
        <v>1673</v>
      </c>
      <c r="H712" s="5" t="s">
        <v>2281</v>
      </c>
      <c r="I712" s="5" t="s">
        <v>2281</v>
      </c>
      <c r="K712" s="5" t="s">
        <v>354</v>
      </c>
      <c r="L712" s="17">
        <v>35</v>
      </c>
      <c r="M712" s="17">
        <v>30</v>
      </c>
      <c r="O712" s="18">
        <v>0.96</v>
      </c>
      <c r="P712" s="18">
        <v>0.17</v>
      </c>
      <c r="Q712" s="18">
        <f t="shared" si="22"/>
        <v>0.17</v>
      </c>
      <c r="R712" s="18">
        <f t="shared" si="23"/>
        <v>0.87965884052625065</v>
      </c>
      <c r="S712" s="5" t="s">
        <v>1597</v>
      </c>
      <c r="U712" s="5" t="s">
        <v>1655</v>
      </c>
      <c r="V712" s="5" t="s">
        <v>2256</v>
      </c>
      <c r="W712" s="5" t="s">
        <v>2257</v>
      </c>
    </row>
    <row r="713" spans="1:23">
      <c r="A713" s="5" t="s">
        <v>1642</v>
      </c>
      <c r="B713" s="5" t="s">
        <v>2208</v>
      </c>
      <c r="C713" s="5" t="s">
        <v>1596</v>
      </c>
      <c r="G713" s="5" t="s">
        <v>1673</v>
      </c>
      <c r="H713" s="5" t="s">
        <v>2282</v>
      </c>
      <c r="I713" s="5" t="s">
        <v>2282</v>
      </c>
      <c r="K713" s="5" t="s">
        <v>49</v>
      </c>
      <c r="L713" s="17">
        <v>35</v>
      </c>
      <c r="M713" s="17">
        <v>30</v>
      </c>
      <c r="O713" s="18">
        <v>0.96</v>
      </c>
      <c r="P713" s="18">
        <v>0.06</v>
      </c>
      <c r="Q713" s="18">
        <f t="shared" si="22"/>
        <v>0.06</v>
      </c>
      <c r="R713" s="18">
        <f t="shared" si="23"/>
        <v>0.30782332427185921</v>
      </c>
      <c r="S713" s="5" t="s">
        <v>1597</v>
      </c>
      <c r="U713" s="5" t="s">
        <v>1655</v>
      </c>
      <c r="V713" s="5" t="s">
        <v>2256</v>
      </c>
      <c r="W713" s="5" t="s">
        <v>2257</v>
      </c>
    </row>
    <row r="714" spans="1:23">
      <c r="A714" s="5" t="s">
        <v>1642</v>
      </c>
      <c r="B714" s="5" t="s">
        <v>2208</v>
      </c>
      <c r="C714" s="5" t="s">
        <v>1596</v>
      </c>
      <c r="G714" s="5" t="s">
        <v>1673</v>
      </c>
      <c r="H714" s="5" t="s">
        <v>2283</v>
      </c>
      <c r="I714" s="5" t="s">
        <v>2283</v>
      </c>
      <c r="K714" s="5" t="s">
        <v>23</v>
      </c>
      <c r="L714" s="17">
        <v>35</v>
      </c>
      <c r="M714" s="17">
        <v>30</v>
      </c>
      <c r="O714" s="18">
        <v>0.96</v>
      </c>
      <c r="P714" s="18">
        <v>0.02</v>
      </c>
      <c r="Q714" s="18">
        <f t="shared" si="22"/>
        <v>0.02</v>
      </c>
      <c r="R714" s="18">
        <f t="shared" si="23"/>
        <v>0.10249819488404227</v>
      </c>
      <c r="S714" s="5" t="s">
        <v>1597</v>
      </c>
      <c r="U714" s="5" t="s">
        <v>1655</v>
      </c>
      <c r="V714" s="5" t="s">
        <v>2256</v>
      </c>
      <c r="W714" s="5" t="s">
        <v>2257</v>
      </c>
    </row>
    <row r="715" spans="1:23">
      <c r="A715" s="5" t="s">
        <v>1642</v>
      </c>
      <c r="B715" s="5" t="s">
        <v>2208</v>
      </c>
      <c r="C715" s="5" t="s">
        <v>1596</v>
      </c>
      <c r="G715" s="5" t="s">
        <v>1673</v>
      </c>
      <c r="H715" s="5" t="s">
        <v>2284</v>
      </c>
      <c r="I715" s="5" t="s">
        <v>2284</v>
      </c>
      <c r="K715" s="5" t="s">
        <v>13</v>
      </c>
      <c r="L715" s="17">
        <v>35</v>
      </c>
      <c r="M715" s="17">
        <v>30</v>
      </c>
      <c r="O715" s="18">
        <v>0.96</v>
      </c>
      <c r="P715" s="18">
        <v>0.03</v>
      </c>
      <c r="Q715" s="18">
        <f t="shared" si="22"/>
        <v>0.03</v>
      </c>
      <c r="R715" s="18">
        <f t="shared" si="23"/>
        <v>0.15377293345691084</v>
      </c>
      <c r="S715" s="5" t="s">
        <v>1617</v>
      </c>
      <c r="U715" s="5" t="s">
        <v>1655</v>
      </c>
      <c r="V715" s="5" t="s">
        <v>2256</v>
      </c>
      <c r="W715" s="5" t="s">
        <v>2257</v>
      </c>
    </row>
    <row r="716" spans="1:23">
      <c r="A716" s="5" t="s">
        <v>1642</v>
      </c>
      <c r="B716" s="5" t="s">
        <v>2208</v>
      </c>
      <c r="C716" s="5" t="s">
        <v>1596</v>
      </c>
      <c r="G716" s="5" t="s">
        <v>1673</v>
      </c>
      <c r="H716" s="5" t="s">
        <v>2285</v>
      </c>
      <c r="I716" s="5" t="s">
        <v>2285</v>
      </c>
      <c r="K716" s="5" t="s">
        <v>67</v>
      </c>
      <c r="L716" s="17">
        <v>35</v>
      </c>
      <c r="M716" s="17">
        <v>30</v>
      </c>
      <c r="O716" s="18">
        <v>0.96</v>
      </c>
      <c r="P716" s="18">
        <v>0.03</v>
      </c>
      <c r="Q716" s="18">
        <f t="shared" si="22"/>
        <v>0.03</v>
      </c>
      <c r="R716" s="18">
        <f t="shared" si="23"/>
        <v>0.15377293345691084</v>
      </c>
      <c r="S716" s="5" t="s">
        <v>1617</v>
      </c>
      <c r="U716" s="5" t="s">
        <v>1655</v>
      </c>
      <c r="V716" s="5" t="s">
        <v>2256</v>
      </c>
      <c r="W716" s="5" t="s">
        <v>2257</v>
      </c>
    </row>
    <row r="717" spans="1:23">
      <c r="A717" s="5" t="s">
        <v>1642</v>
      </c>
      <c r="B717" s="5" t="s">
        <v>2208</v>
      </c>
      <c r="C717" s="5" t="s">
        <v>1596</v>
      </c>
      <c r="G717" s="5" t="s">
        <v>1673</v>
      </c>
      <c r="H717" s="5" t="s">
        <v>2286</v>
      </c>
      <c r="I717" s="5" t="s">
        <v>2286</v>
      </c>
      <c r="K717" s="5" t="s">
        <v>41</v>
      </c>
      <c r="L717" s="17">
        <v>35</v>
      </c>
      <c r="M717" s="17">
        <v>30</v>
      </c>
      <c r="O717" s="18">
        <v>0.96</v>
      </c>
      <c r="P717" s="18">
        <v>0.02</v>
      </c>
      <c r="Q717" s="18">
        <f t="shared" si="22"/>
        <v>0.02</v>
      </c>
      <c r="R717" s="18">
        <f t="shared" si="23"/>
        <v>0.10249819488404227</v>
      </c>
      <c r="S717" s="5" t="s">
        <v>1617</v>
      </c>
      <c r="U717" s="5" t="s">
        <v>1655</v>
      </c>
      <c r="V717" s="5" t="s">
        <v>2256</v>
      </c>
      <c r="W717" s="5" t="s">
        <v>2257</v>
      </c>
    </row>
    <row r="718" spans="1:23">
      <c r="A718" s="5" t="s">
        <v>1642</v>
      </c>
      <c r="B718" s="5" t="s">
        <v>2208</v>
      </c>
      <c r="C718" s="5" t="s">
        <v>1596</v>
      </c>
      <c r="G718" s="5" t="s">
        <v>1673</v>
      </c>
      <c r="H718" s="5" t="s">
        <v>2287</v>
      </c>
      <c r="I718" s="5" t="s">
        <v>2287</v>
      </c>
      <c r="K718" s="5" t="s">
        <v>32</v>
      </c>
      <c r="L718" s="17">
        <v>35</v>
      </c>
      <c r="M718" s="17">
        <v>30</v>
      </c>
      <c r="O718" s="18">
        <v>0.96</v>
      </c>
      <c r="P718" s="18">
        <v>0.01</v>
      </c>
      <c r="Q718" s="18">
        <f t="shared" si="22"/>
        <v>0.01</v>
      </c>
      <c r="R718" s="18">
        <f t="shared" si="23"/>
        <v>5.1243971677941619E-2</v>
      </c>
      <c r="S718" s="5" t="s">
        <v>1597</v>
      </c>
      <c r="U718" s="5" t="s">
        <v>1655</v>
      </c>
      <c r="V718" s="5" t="s">
        <v>2256</v>
      </c>
      <c r="W718" s="5" t="s">
        <v>2257</v>
      </c>
    </row>
    <row r="719" spans="1:23">
      <c r="A719" s="5" t="s">
        <v>1642</v>
      </c>
      <c r="B719" s="5" t="s">
        <v>2208</v>
      </c>
      <c r="C719" s="5" t="s">
        <v>1596</v>
      </c>
      <c r="G719" s="5" t="s">
        <v>1673</v>
      </c>
      <c r="H719" s="5" t="s">
        <v>2288</v>
      </c>
      <c r="I719" s="5" t="s">
        <v>2288</v>
      </c>
      <c r="K719" s="5" t="s">
        <v>85</v>
      </c>
      <c r="L719" s="17">
        <v>35</v>
      </c>
      <c r="M719" s="17">
        <v>30</v>
      </c>
      <c r="O719" s="18">
        <v>0.96</v>
      </c>
      <c r="P719" s="18">
        <v>0.01</v>
      </c>
      <c r="Q719" s="18">
        <f t="shared" si="22"/>
        <v>0.01</v>
      </c>
      <c r="R719" s="18">
        <f t="shared" si="23"/>
        <v>5.1243971677941619E-2</v>
      </c>
      <c r="S719" s="5" t="s">
        <v>1617</v>
      </c>
      <c r="U719" s="5" t="s">
        <v>1655</v>
      </c>
      <c r="V719" s="5" t="s">
        <v>2256</v>
      </c>
      <c r="W719" s="5" t="s">
        <v>2257</v>
      </c>
    </row>
    <row r="720" spans="1:23">
      <c r="A720" s="5" t="s">
        <v>1642</v>
      </c>
      <c r="B720" s="5" t="s">
        <v>2208</v>
      </c>
      <c r="C720" s="5" t="s">
        <v>1596</v>
      </c>
      <c r="G720" s="5" t="s">
        <v>1673</v>
      </c>
      <c r="H720" s="5" t="s">
        <v>2289</v>
      </c>
      <c r="I720" s="5" t="s">
        <v>2289</v>
      </c>
      <c r="K720" s="5" t="s">
        <v>1220</v>
      </c>
      <c r="L720" s="17">
        <v>35</v>
      </c>
      <c r="M720" s="17">
        <v>30</v>
      </c>
      <c r="O720" s="18">
        <v>0.96</v>
      </c>
      <c r="P720" s="18">
        <v>0.2</v>
      </c>
      <c r="Q720" s="18">
        <f t="shared" si="22"/>
        <v>0.2</v>
      </c>
      <c r="R720" s="18">
        <f t="shared" si="23"/>
        <v>1.0388474954867268</v>
      </c>
      <c r="S720" s="5" t="s">
        <v>1597</v>
      </c>
      <c r="U720" s="5" t="s">
        <v>1655</v>
      </c>
      <c r="V720" s="5" t="s">
        <v>2256</v>
      </c>
      <c r="W720" s="5" t="s">
        <v>2257</v>
      </c>
    </row>
    <row r="721" spans="1:23">
      <c r="A721" s="5" t="s">
        <v>1642</v>
      </c>
      <c r="B721" s="5" t="s">
        <v>2208</v>
      </c>
      <c r="C721" s="5" t="s">
        <v>1596</v>
      </c>
      <c r="G721" s="5" t="s">
        <v>1673</v>
      </c>
      <c r="H721" s="5" t="s">
        <v>2290</v>
      </c>
      <c r="I721" s="5" t="s">
        <v>2290</v>
      </c>
      <c r="K721" s="5" t="s">
        <v>906</v>
      </c>
      <c r="L721" s="17">
        <v>35</v>
      </c>
      <c r="M721" s="17">
        <v>30</v>
      </c>
      <c r="O721" s="18">
        <v>0.96</v>
      </c>
      <c r="P721" s="18">
        <v>0.9</v>
      </c>
      <c r="Q721" s="18">
        <f t="shared" si="22"/>
        <v>0.9</v>
      </c>
      <c r="R721" s="18">
        <f t="shared" si="23"/>
        <v>7.5439859015058888</v>
      </c>
      <c r="S721" s="5" t="s">
        <v>1617</v>
      </c>
      <c r="U721" s="5" t="s">
        <v>1655</v>
      </c>
      <c r="V721" s="5" t="s">
        <v>2256</v>
      </c>
      <c r="W721" s="5" t="s">
        <v>2257</v>
      </c>
    </row>
    <row r="722" spans="1:23">
      <c r="A722" s="5" t="s">
        <v>1642</v>
      </c>
      <c r="B722" s="5" t="s">
        <v>2208</v>
      </c>
      <c r="C722" s="5" t="s">
        <v>1596</v>
      </c>
      <c r="G722" s="5" t="s">
        <v>1673</v>
      </c>
      <c r="H722" s="5" t="s">
        <v>2291</v>
      </c>
      <c r="I722" s="5" t="s">
        <v>2291</v>
      </c>
      <c r="K722" s="5" t="s">
        <v>2292</v>
      </c>
      <c r="L722" s="17">
        <v>35</v>
      </c>
      <c r="M722" s="17">
        <v>30</v>
      </c>
      <c r="O722" s="18">
        <v>0.96</v>
      </c>
      <c r="P722" s="18">
        <v>0.75</v>
      </c>
      <c r="Q722" s="18">
        <f t="shared" si="22"/>
        <v>0.75</v>
      </c>
      <c r="R722" s="18">
        <f t="shared" si="23"/>
        <v>4.9856420302608324</v>
      </c>
      <c r="S722" s="5" t="s">
        <v>1597</v>
      </c>
      <c r="U722" s="5" t="s">
        <v>1655</v>
      </c>
      <c r="V722" s="5" t="s">
        <v>2256</v>
      </c>
      <c r="W722" s="5" t="s">
        <v>2257</v>
      </c>
    </row>
    <row r="723" spans="1:23">
      <c r="A723" s="5" t="s">
        <v>1642</v>
      </c>
      <c r="B723" s="5" t="s">
        <v>2208</v>
      </c>
      <c r="C723" s="5" t="s">
        <v>1596</v>
      </c>
      <c r="G723" s="5" t="s">
        <v>1673</v>
      </c>
      <c r="H723" s="5" t="s">
        <v>2293</v>
      </c>
      <c r="I723" s="5" t="s">
        <v>2293</v>
      </c>
      <c r="K723" s="5" t="s">
        <v>2294</v>
      </c>
      <c r="L723" s="17">
        <v>35</v>
      </c>
      <c r="M723" s="17">
        <v>30</v>
      </c>
      <c r="O723" s="18">
        <v>0.96</v>
      </c>
      <c r="P723" s="18">
        <v>0.57999999999999996</v>
      </c>
      <c r="Q723" s="18">
        <f t="shared" si="22"/>
        <v>0.57999999999999996</v>
      </c>
      <c r="R723" s="18">
        <f t="shared" si="23"/>
        <v>3.3946088610069127</v>
      </c>
      <c r="S723" s="5" t="s">
        <v>1597</v>
      </c>
      <c r="U723" s="5" t="s">
        <v>1655</v>
      </c>
      <c r="V723" s="5" t="s">
        <v>2256</v>
      </c>
      <c r="W723" s="5" t="s">
        <v>2257</v>
      </c>
    </row>
    <row r="724" spans="1:23">
      <c r="A724" s="5" t="s">
        <v>1642</v>
      </c>
      <c r="B724" s="5" t="s">
        <v>2208</v>
      </c>
      <c r="C724" s="5" t="s">
        <v>1596</v>
      </c>
      <c r="G724" s="5" t="s">
        <v>1673</v>
      </c>
      <c r="H724" s="5" t="s">
        <v>599</v>
      </c>
      <c r="I724" s="5" t="s">
        <v>599</v>
      </c>
      <c r="K724" s="5" t="s">
        <v>598</v>
      </c>
      <c r="L724" s="17">
        <v>35</v>
      </c>
      <c r="M724" s="17">
        <v>30</v>
      </c>
      <c r="O724" s="18">
        <v>0.96</v>
      </c>
      <c r="P724" s="18">
        <v>0.62</v>
      </c>
      <c r="Q724" s="18">
        <f t="shared" si="22"/>
        <v>0.62</v>
      </c>
      <c r="R724" s="18">
        <f t="shared" si="23"/>
        <v>3.715090174547981</v>
      </c>
      <c r="S724" s="5" t="s">
        <v>1597</v>
      </c>
      <c r="U724" s="5" t="s">
        <v>1655</v>
      </c>
      <c r="V724" s="5" t="s">
        <v>2256</v>
      </c>
      <c r="W724" s="5" t="s">
        <v>2257</v>
      </c>
    </row>
    <row r="725" spans="1:23">
      <c r="A725" s="5" t="s">
        <v>1642</v>
      </c>
      <c r="B725" s="5" t="s">
        <v>2208</v>
      </c>
      <c r="C725" s="5" t="s">
        <v>1596</v>
      </c>
      <c r="G725" s="5" t="s">
        <v>1673</v>
      </c>
      <c r="H725" s="5" t="s">
        <v>590</v>
      </c>
      <c r="I725" s="5" t="s">
        <v>590</v>
      </c>
      <c r="K725" s="5" t="s">
        <v>589</v>
      </c>
      <c r="L725" s="17">
        <v>35</v>
      </c>
      <c r="M725" s="17">
        <v>30</v>
      </c>
      <c r="O725" s="18">
        <v>0.96</v>
      </c>
      <c r="P725" s="18">
        <v>0.7</v>
      </c>
      <c r="Q725" s="18">
        <f t="shared" si="22"/>
        <v>0.7</v>
      </c>
      <c r="R725" s="18">
        <f t="shared" si="23"/>
        <v>4.4442442173787722</v>
      </c>
      <c r="S725" s="5" t="s">
        <v>1597</v>
      </c>
      <c r="U725" s="5" t="s">
        <v>1655</v>
      </c>
      <c r="V725" s="5" t="s">
        <v>2256</v>
      </c>
      <c r="W725" s="5" t="s">
        <v>2257</v>
      </c>
    </row>
    <row r="726" spans="1:23">
      <c r="A726" s="5" t="s">
        <v>1642</v>
      </c>
      <c r="B726" s="5" t="s">
        <v>2208</v>
      </c>
      <c r="C726" s="5" t="s">
        <v>1596</v>
      </c>
      <c r="G726" s="5" t="s">
        <v>1673</v>
      </c>
      <c r="H726" s="5" t="s">
        <v>1373</v>
      </c>
      <c r="I726" s="5" t="s">
        <v>1373</v>
      </c>
      <c r="K726" s="5" t="s">
        <v>1372</v>
      </c>
      <c r="L726" s="17">
        <v>35</v>
      </c>
      <c r="M726" s="17">
        <v>30</v>
      </c>
      <c r="O726" s="18">
        <v>0.96</v>
      </c>
      <c r="P726" s="18">
        <v>0.27</v>
      </c>
      <c r="Q726" s="18">
        <f t="shared" si="22"/>
        <v>0.27</v>
      </c>
      <c r="R726" s="18">
        <f t="shared" si="23"/>
        <v>1.4187128954109909</v>
      </c>
      <c r="S726" s="5" t="s">
        <v>1597</v>
      </c>
      <c r="U726" s="5" t="s">
        <v>1655</v>
      </c>
      <c r="V726" s="5" t="s">
        <v>2256</v>
      </c>
      <c r="W726" s="5" t="s">
        <v>2257</v>
      </c>
    </row>
    <row r="727" spans="1:23">
      <c r="A727" s="5" t="s">
        <v>1642</v>
      </c>
      <c r="B727" s="5" t="s">
        <v>2208</v>
      </c>
      <c r="C727" s="5" t="s">
        <v>1596</v>
      </c>
      <c r="G727" s="5" t="s">
        <v>1673</v>
      </c>
      <c r="H727" s="5" t="s">
        <v>1022</v>
      </c>
      <c r="I727" s="5" t="s">
        <v>1022</v>
      </c>
      <c r="K727" s="5" t="s">
        <v>1021</v>
      </c>
      <c r="L727" s="17">
        <v>35</v>
      </c>
      <c r="M727" s="17">
        <v>30</v>
      </c>
      <c r="O727" s="18">
        <v>0.96</v>
      </c>
      <c r="P727" s="18">
        <v>0.41</v>
      </c>
      <c r="Q727" s="18">
        <f t="shared" si="22"/>
        <v>0.41</v>
      </c>
      <c r="R727" s="18">
        <f t="shared" si="23"/>
        <v>2.2321705084627927</v>
      </c>
      <c r="S727" s="5" t="s">
        <v>1597</v>
      </c>
      <c r="U727" s="5" t="s">
        <v>1655</v>
      </c>
      <c r="V727" s="5" t="s">
        <v>2256</v>
      </c>
      <c r="W727" s="5" t="s">
        <v>2257</v>
      </c>
    </row>
    <row r="728" spans="1:23">
      <c r="A728" s="5" t="s">
        <v>1642</v>
      </c>
      <c r="B728" s="5" t="s">
        <v>2208</v>
      </c>
      <c r="C728" s="5" t="s">
        <v>1596</v>
      </c>
      <c r="G728" s="5" t="s">
        <v>1673</v>
      </c>
      <c r="H728" s="5" t="s">
        <v>572</v>
      </c>
      <c r="I728" s="5" t="s">
        <v>572</v>
      </c>
      <c r="K728" s="5" t="s">
        <v>571</v>
      </c>
      <c r="L728" s="17">
        <v>35</v>
      </c>
      <c r="M728" s="17">
        <v>30</v>
      </c>
      <c r="O728" s="18">
        <v>0.96</v>
      </c>
      <c r="P728" s="18">
        <v>0.1</v>
      </c>
      <c r="Q728" s="18">
        <f t="shared" si="22"/>
        <v>0.1</v>
      </c>
      <c r="R728" s="18">
        <f t="shared" si="23"/>
        <v>0.51414103267999045</v>
      </c>
      <c r="S728" s="5" t="s">
        <v>1597</v>
      </c>
      <c r="U728" s="5" t="s">
        <v>1655</v>
      </c>
      <c r="V728" s="5" t="s">
        <v>2256</v>
      </c>
      <c r="W728" s="5" t="s">
        <v>2257</v>
      </c>
    </row>
    <row r="729" spans="1:23">
      <c r="A729" s="5" t="s">
        <v>1642</v>
      </c>
      <c r="B729" s="5" t="s">
        <v>2208</v>
      </c>
      <c r="C729" s="5" t="s">
        <v>1596</v>
      </c>
      <c r="G729" s="5" t="s">
        <v>1673</v>
      </c>
      <c r="H729" s="5" t="s">
        <v>2295</v>
      </c>
      <c r="I729" s="5" t="s">
        <v>2295</v>
      </c>
      <c r="K729" s="5" t="s">
        <v>2296</v>
      </c>
      <c r="L729" s="17">
        <v>35</v>
      </c>
      <c r="M729" s="17">
        <v>30</v>
      </c>
      <c r="O729" s="18">
        <v>0.96</v>
      </c>
      <c r="P729" s="18">
        <v>0.37</v>
      </c>
      <c r="Q729" s="18">
        <f t="shared" si="22"/>
        <v>0.37</v>
      </c>
      <c r="R729" s="18">
        <f t="shared" si="23"/>
        <v>1.9903678825251709</v>
      </c>
      <c r="S729" s="5" t="s">
        <v>1597</v>
      </c>
      <c r="U729" s="5" t="s">
        <v>1655</v>
      </c>
      <c r="V729" s="5" t="s">
        <v>2256</v>
      </c>
      <c r="W729" s="5" t="s">
        <v>2257</v>
      </c>
    </row>
    <row r="730" spans="1:23">
      <c r="A730" s="5" t="s">
        <v>1642</v>
      </c>
      <c r="B730" s="5" t="s">
        <v>2208</v>
      </c>
      <c r="C730" s="5" t="s">
        <v>1596</v>
      </c>
      <c r="G730" s="5" t="s">
        <v>1673</v>
      </c>
      <c r="H730" s="5" t="s">
        <v>563</v>
      </c>
      <c r="I730" s="5" t="s">
        <v>563</v>
      </c>
      <c r="K730" s="5" t="s">
        <v>562</v>
      </c>
      <c r="L730" s="17">
        <v>35</v>
      </c>
      <c r="M730" s="17">
        <v>30</v>
      </c>
      <c r="O730" s="18">
        <v>0.96</v>
      </c>
      <c r="P730" s="18">
        <v>0.23</v>
      </c>
      <c r="Q730" s="18">
        <f t="shared" si="22"/>
        <v>0.23</v>
      </c>
      <c r="R730" s="18">
        <f t="shared" si="23"/>
        <v>1.2000398364607965</v>
      </c>
      <c r="S730" s="5" t="s">
        <v>1597</v>
      </c>
      <c r="U730" s="5" t="s">
        <v>1655</v>
      </c>
      <c r="V730" s="5" t="s">
        <v>2256</v>
      </c>
      <c r="W730" s="5" t="s">
        <v>2257</v>
      </c>
    </row>
    <row r="731" spans="1:23">
      <c r="A731" s="5" t="s">
        <v>1642</v>
      </c>
      <c r="B731" s="5" t="s">
        <v>2208</v>
      </c>
      <c r="C731" s="5" t="s">
        <v>1596</v>
      </c>
      <c r="G731" s="5" t="s">
        <v>1673</v>
      </c>
      <c r="H731" s="5" t="s">
        <v>922</v>
      </c>
      <c r="I731" s="5" t="s">
        <v>922</v>
      </c>
      <c r="K731" s="5" t="s">
        <v>921</v>
      </c>
      <c r="L731" s="17">
        <v>35</v>
      </c>
      <c r="M731" s="17">
        <v>30</v>
      </c>
      <c r="O731" s="18">
        <v>0.96</v>
      </c>
      <c r="P731" s="18">
        <v>0.39</v>
      </c>
      <c r="Q731" s="18">
        <f t="shared" si="22"/>
        <v>0.39</v>
      </c>
      <c r="R731" s="18">
        <f t="shared" si="23"/>
        <v>2.1101565876066135</v>
      </c>
      <c r="S731" s="5" t="s">
        <v>1617</v>
      </c>
      <c r="U731" s="5" t="s">
        <v>1655</v>
      </c>
      <c r="V731" s="5" t="s">
        <v>2256</v>
      </c>
      <c r="W731" s="5" t="s">
        <v>2257</v>
      </c>
    </row>
    <row r="732" spans="1:23">
      <c r="A732" s="5" t="s">
        <v>1642</v>
      </c>
      <c r="B732" s="5" t="s">
        <v>2208</v>
      </c>
      <c r="C732" s="5" t="s">
        <v>1596</v>
      </c>
      <c r="G732" s="5" t="s">
        <v>1673</v>
      </c>
      <c r="H732" s="5" t="s">
        <v>695</v>
      </c>
      <c r="I732" s="5" t="s">
        <v>695</v>
      </c>
      <c r="K732" s="5" t="s">
        <v>694</v>
      </c>
      <c r="L732" s="17">
        <v>35</v>
      </c>
      <c r="M732" s="17">
        <v>30</v>
      </c>
      <c r="O732" s="18">
        <v>0.96</v>
      </c>
      <c r="P732" s="18">
        <v>0.22</v>
      </c>
      <c r="Q732" s="18">
        <f t="shared" si="22"/>
        <v>0.22</v>
      </c>
      <c r="R732" s="18">
        <f t="shared" si="23"/>
        <v>1.1460645271881464</v>
      </c>
      <c r="S732" s="5" t="s">
        <v>1597</v>
      </c>
      <c r="U732" s="5" t="s">
        <v>1655</v>
      </c>
      <c r="V732" s="5" t="s">
        <v>2256</v>
      </c>
      <c r="W732" s="5" t="s">
        <v>2257</v>
      </c>
    </row>
    <row r="733" spans="1:23">
      <c r="A733" s="5" t="s">
        <v>1642</v>
      </c>
      <c r="B733" s="5" t="s">
        <v>2208</v>
      </c>
      <c r="C733" s="5" t="s">
        <v>1596</v>
      </c>
      <c r="G733" s="5" t="s">
        <v>1673</v>
      </c>
      <c r="H733" s="5" t="s">
        <v>2297</v>
      </c>
      <c r="I733" s="5" t="s">
        <v>2297</v>
      </c>
      <c r="K733" s="5" t="s">
        <v>2298</v>
      </c>
      <c r="L733" s="17">
        <v>35</v>
      </c>
      <c r="M733" s="17">
        <v>30</v>
      </c>
      <c r="O733" s="18">
        <v>0.96</v>
      </c>
      <c r="P733" s="18">
        <v>0.12</v>
      </c>
      <c r="Q733" s="18">
        <f t="shared" si="22"/>
        <v>0.12</v>
      </c>
      <c r="R733" s="18">
        <f t="shared" si="23"/>
        <v>0.61788448308064792</v>
      </c>
      <c r="S733" s="5" t="s">
        <v>1617</v>
      </c>
      <c r="U733" s="5" t="s">
        <v>1655</v>
      </c>
      <c r="V733" s="5" t="s">
        <v>2256</v>
      </c>
      <c r="W733" s="5" t="s">
        <v>2257</v>
      </c>
    </row>
    <row r="734" spans="1:23">
      <c r="A734" s="5" t="s">
        <v>1642</v>
      </c>
      <c r="B734" s="5" t="s">
        <v>2208</v>
      </c>
      <c r="C734" s="5" t="s">
        <v>1596</v>
      </c>
      <c r="G734" s="5" t="s">
        <v>1673</v>
      </c>
      <c r="H734" s="5" t="s">
        <v>1756</v>
      </c>
      <c r="I734" s="5" t="s">
        <v>1756</v>
      </c>
      <c r="L734" s="17">
        <v>35</v>
      </c>
      <c r="M734" s="17">
        <v>30</v>
      </c>
      <c r="O734" s="18">
        <v>0.96</v>
      </c>
      <c r="P734" s="18">
        <v>0.65</v>
      </c>
      <c r="Q734" s="18">
        <f t="shared" si="22"/>
        <v>0.65</v>
      </c>
      <c r="R734" s="18">
        <f t="shared" si="23"/>
        <v>3.9728060594595598</v>
      </c>
      <c r="S734" s="5" t="s">
        <v>1597</v>
      </c>
      <c r="U734" s="5" t="s">
        <v>1655</v>
      </c>
      <c r="V734" s="5" t="s">
        <v>2256</v>
      </c>
      <c r="W734" s="5" t="s">
        <v>2257</v>
      </c>
    </row>
    <row r="735" spans="1:23">
      <c r="A735" s="5" t="s">
        <v>1642</v>
      </c>
      <c r="B735" s="5" t="s">
        <v>2208</v>
      </c>
      <c r="C735" s="5" t="s">
        <v>1596</v>
      </c>
      <c r="G735" s="5" t="s">
        <v>1673</v>
      </c>
      <c r="H735" s="5" t="s">
        <v>2299</v>
      </c>
      <c r="I735" s="5" t="s">
        <v>2299</v>
      </c>
      <c r="L735" s="17">
        <v>35</v>
      </c>
      <c r="M735" s="17">
        <v>30</v>
      </c>
      <c r="O735" s="18">
        <v>0.96</v>
      </c>
      <c r="P735" s="18">
        <v>0.74</v>
      </c>
      <c r="Q735" s="18">
        <f t="shared" si="22"/>
        <v>0.74</v>
      </c>
      <c r="R735" s="18">
        <f t="shared" si="23"/>
        <v>4.8704714871843846</v>
      </c>
      <c r="S735" s="5" t="s">
        <v>1597</v>
      </c>
      <c r="U735" s="5" t="s">
        <v>1655</v>
      </c>
      <c r="V735" s="5" t="s">
        <v>2256</v>
      </c>
      <c r="W735" s="5" t="s">
        <v>2257</v>
      </c>
    </row>
    <row r="736" spans="1:23">
      <c r="A736" s="5" t="s">
        <v>1642</v>
      </c>
      <c r="B736" s="5" t="s">
        <v>2208</v>
      </c>
      <c r="C736" s="5" t="s">
        <v>1596</v>
      </c>
      <c r="G736" s="5" t="s">
        <v>1673</v>
      </c>
      <c r="H736" s="5" t="s">
        <v>677</v>
      </c>
      <c r="I736" s="5" t="s">
        <v>677</v>
      </c>
      <c r="K736" s="5" t="s">
        <v>676</v>
      </c>
      <c r="L736" s="17">
        <v>35</v>
      </c>
      <c r="M736" s="17">
        <v>30</v>
      </c>
      <c r="O736" s="18">
        <v>0.96</v>
      </c>
      <c r="P736" s="18">
        <v>0.26</v>
      </c>
      <c r="Q736" s="18">
        <f t="shared" si="22"/>
        <v>0.26</v>
      </c>
      <c r="R736" s="18">
        <f t="shared" si="23"/>
        <v>1.3635997104584994</v>
      </c>
      <c r="S736" s="5" t="s">
        <v>1597</v>
      </c>
      <c r="U736" s="5" t="s">
        <v>1655</v>
      </c>
      <c r="V736" s="5" t="s">
        <v>2256</v>
      </c>
      <c r="W736" s="5" t="s">
        <v>2257</v>
      </c>
    </row>
    <row r="737" spans="1:23">
      <c r="A737" s="5" t="s">
        <v>1642</v>
      </c>
      <c r="B737" s="5" t="s">
        <v>2208</v>
      </c>
      <c r="C737" s="5" t="s">
        <v>1596</v>
      </c>
      <c r="G737" s="5" t="s">
        <v>1673</v>
      </c>
      <c r="H737" s="5" t="s">
        <v>2300</v>
      </c>
      <c r="I737" s="5" t="s">
        <v>2300</v>
      </c>
      <c r="K737" s="5" t="s">
        <v>1357</v>
      </c>
      <c r="L737" s="17">
        <v>35</v>
      </c>
      <c r="M737" s="17">
        <v>30</v>
      </c>
      <c r="O737" s="18">
        <v>0.96</v>
      </c>
      <c r="P737" s="18">
        <v>0.1</v>
      </c>
      <c r="Q737" s="18">
        <f t="shared" si="22"/>
        <v>0.1</v>
      </c>
      <c r="R737" s="18">
        <f t="shared" si="23"/>
        <v>0.51414103267999045</v>
      </c>
      <c r="S737" s="5" t="s">
        <v>1597</v>
      </c>
      <c r="U737" s="5" t="s">
        <v>1655</v>
      </c>
      <c r="V737" s="5" t="s">
        <v>2256</v>
      </c>
      <c r="W737" s="5" t="s">
        <v>2257</v>
      </c>
    </row>
    <row r="738" spans="1:23">
      <c r="A738" s="5" t="s">
        <v>1642</v>
      </c>
      <c r="B738" s="5" t="s">
        <v>2208</v>
      </c>
      <c r="C738" s="5" t="s">
        <v>1596</v>
      </c>
      <c r="G738" s="5" t="s">
        <v>1673</v>
      </c>
      <c r="H738" s="5" t="s">
        <v>2301</v>
      </c>
      <c r="I738" s="5" t="s">
        <v>2301</v>
      </c>
      <c r="K738" s="5" t="s">
        <v>2302</v>
      </c>
      <c r="L738" s="17">
        <v>35</v>
      </c>
      <c r="M738" s="17">
        <v>30</v>
      </c>
      <c r="O738" s="18">
        <v>0.96</v>
      </c>
      <c r="P738" s="18">
        <v>0.43</v>
      </c>
      <c r="Q738" s="18">
        <f t="shared" si="22"/>
        <v>0.43</v>
      </c>
      <c r="R738" s="18">
        <f t="shared" si="23"/>
        <v>2.356614692147557</v>
      </c>
      <c r="S738" s="5" t="s">
        <v>1597</v>
      </c>
      <c r="U738" s="5" t="s">
        <v>1655</v>
      </c>
      <c r="V738" s="5" t="s">
        <v>2256</v>
      </c>
      <c r="W738" s="5" t="s">
        <v>2257</v>
      </c>
    </row>
    <row r="739" spans="1:23">
      <c r="A739" s="5" t="s">
        <v>1642</v>
      </c>
      <c r="B739" s="5" t="s">
        <v>2208</v>
      </c>
      <c r="C739" s="5" t="s">
        <v>1596</v>
      </c>
      <c r="G739" s="5" t="s">
        <v>1673</v>
      </c>
      <c r="H739" s="5" t="s">
        <v>2303</v>
      </c>
      <c r="I739" s="5" t="s">
        <v>2303</v>
      </c>
      <c r="K739" s="5" t="s">
        <v>875</v>
      </c>
      <c r="L739" s="17">
        <v>35</v>
      </c>
      <c r="M739" s="17">
        <v>30</v>
      </c>
      <c r="O739" s="18">
        <v>0.96</v>
      </c>
      <c r="P739" s="18">
        <v>0.13</v>
      </c>
      <c r="Q739" s="18">
        <f t="shared" si="22"/>
        <v>0.13</v>
      </c>
      <c r="R739" s="18">
        <f t="shared" si="23"/>
        <v>0.66994058451302685</v>
      </c>
      <c r="S739" s="5" t="s">
        <v>1617</v>
      </c>
      <c r="U739" s="5" t="s">
        <v>1655</v>
      </c>
      <c r="V739" s="5" t="s">
        <v>2256</v>
      </c>
      <c r="W739" s="5" t="s">
        <v>2257</v>
      </c>
    </row>
    <row r="740" spans="1:23">
      <c r="A740" s="5" t="s">
        <v>1642</v>
      </c>
      <c r="B740" s="5" t="s">
        <v>2208</v>
      </c>
      <c r="C740" s="5" t="s">
        <v>1596</v>
      </c>
      <c r="G740" s="5" t="s">
        <v>1673</v>
      </c>
      <c r="H740" s="5" t="s">
        <v>2304</v>
      </c>
      <c r="I740" s="5" t="s">
        <v>2304</v>
      </c>
      <c r="L740" s="17">
        <v>35</v>
      </c>
      <c r="M740" s="17">
        <v>30</v>
      </c>
      <c r="O740" s="18">
        <v>0.96</v>
      </c>
      <c r="P740" s="18">
        <v>0.06</v>
      </c>
      <c r="Q740" s="18">
        <f t="shared" si="22"/>
        <v>0.06</v>
      </c>
      <c r="R740" s="18">
        <f t="shared" si="23"/>
        <v>0.30782332427185921</v>
      </c>
      <c r="S740" s="5" t="s">
        <v>1617</v>
      </c>
      <c r="U740" s="5" t="s">
        <v>1655</v>
      </c>
      <c r="V740" s="5" t="s">
        <v>2256</v>
      </c>
      <c r="W740" s="5" t="s">
        <v>2257</v>
      </c>
    </row>
    <row r="741" spans="1:23" s="3" customFormat="1">
      <c r="A741" s="5" t="s">
        <v>1642</v>
      </c>
      <c r="B741" s="19" t="s">
        <v>2305</v>
      </c>
      <c r="C741" s="19" t="s">
        <v>1596</v>
      </c>
      <c r="D741" s="19"/>
      <c r="F741" s="19" t="s">
        <v>2306</v>
      </c>
      <c r="G741" s="20"/>
      <c r="J741" s="19"/>
      <c r="K741" s="19"/>
      <c r="L741" s="19"/>
      <c r="M741" s="21">
        <v>10.1331519422</v>
      </c>
      <c r="N741" s="21">
        <v>12</v>
      </c>
      <c r="O741" s="20">
        <v>0.99</v>
      </c>
      <c r="P741" s="20">
        <v>0.99</v>
      </c>
      <c r="Q741" s="20">
        <v>0.99</v>
      </c>
      <c r="R741" s="20"/>
      <c r="S741" s="19"/>
      <c r="T741" s="19"/>
      <c r="U741" s="19" t="s">
        <v>1647</v>
      </c>
      <c r="V741" s="3" t="s">
        <v>2307</v>
      </c>
      <c r="W741" s="19" t="s">
        <v>2308</v>
      </c>
    </row>
    <row r="742" spans="1:23" s="3" customFormat="1">
      <c r="A742" s="5" t="s">
        <v>1642</v>
      </c>
      <c r="B742" s="19" t="s">
        <v>2305</v>
      </c>
      <c r="C742" s="19" t="s">
        <v>2115</v>
      </c>
      <c r="D742" s="19" t="s">
        <v>2309</v>
      </c>
      <c r="E742" s="3" t="s">
        <v>2310</v>
      </c>
      <c r="F742" s="19" t="s">
        <v>2311</v>
      </c>
      <c r="G742" s="20"/>
      <c r="J742" s="19"/>
      <c r="K742" s="19"/>
      <c r="L742" s="19"/>
      <c r="M742" s="21"/>
      <c r="N742" s="21">
        <v>8.3333299999999999E-2</v>
      </c>
      <c r="O742" s="20"/>
      <c r="P742" s="20"/>
      <c r="Q742" s="20"/>
      <c r="R742" s="20"/>
      <c r="S742" s="19"/>
      <c r="T742" s="19"/>
      <c r="U742" s="19" t="s">
        <v>1655</v>
      </c>
      <c r="V742" s="3" t="s">
        <v>2312</v>
      </c>
      <c r="W742" s="19" t="s">
        <v>2313</v>
      </c>
    </row>
    <row r="743" spans="1:23" s="3" customFormat="1">
      <c r="A743" s="5" t="s">
        <v>1642</v>
      </c>
      <c r="B743" s="19" t="s">
        <v>2305</v>
      </c>
      <c r="C743" s="19" t="s">
        <v>1596</v>
      </c>
      <c r="D743" s="19"/>
      <c r="F743" s="19" t="s">
        <v>2314</v>
      </c>
      <c r="G743" s="20"/>
      <c r="J743" s="19"/>
      <c r="K743" s="19"/>
      <c r="L743" s="19">
        <v>25</v>
      </c>
      <c r="M743" s="21">
        <v>40.529888</v>
      </c>
      <c r="N743" s="21">
        <v>86</v>
      </c>
      <c r="O743" s="20"/>
      <c r="P743" s="20"/>
      <c r="Q743" s="20"/>
      <c r="R743" s="20"/>
      <c r="S743" s="19"/>
      <c r="T743" s="19"/>
      <c r="U743" s="19" t="s">
        <v>1655</v>
      </c>
      <c r="V743" s="3" t="s">
        <v>2315</v>
      </c>
      <c r="W743" s="19" t="s">
        <v>2316</v>
      </c>
    </row>
    <row r="744" spans="1:23" s="3" customFormat="1">
      <c r="A744" s="5" t="s">
        <v>1642</v>
      </c>
      <c r="B744" s="19" t="s">
        <v>2305</v>
      </c>
      <c r="C744" s="19" t="s">
        <v>1596</v>
      </c>
      <c r="D744" s="19"/>
      <c r="F744" s="20"/>
      <c r="G744" s="19" t="s">
        <v>1644</v>
      </c>
      <c r="H744" s="19" t="s">
        <v>2317</v>
      </c>
      <c r="I744" s="19" t="s">
        <v>2318</v>
      </c>
      <c r="J744" s="19" t="s">
        <v>229</v>
      </c>
      <c r="K744" s="19" t="s">
        <v>2015</v>
      </c>
      <c r="L744" s="19">
        <v>20</v>
      </c>
      <c r="M744" s="21">
        <v>20.266277219999999</v>
      </c>
      <c r="N744" s="21">
        <v>20</v>
      </c>
      <c r="O744" s="20"/>
      <c r="P744" s="20">
        <v>0.83</v>
      </c>
      <c r="Q744" s="20">
        <v>0.83</v>
      </c>
      <c r="R744" s="20">
        <f>IF(ISBLANK(L744),"",IF(ISBLANK(Q744),"",8.3145*(L744+273.15)*LN((Q744+1)/(1-Q744))*0.001))</f>
        <v>5.791917066753161</v>
      </c>
      <c r="S744" s="19"/>
      <c r="T744" s="19"/>
      <c r="U744" s="19" t="s">
        <v>1655</v>
      </c>
      <c r="V744" s="3" t="s">
        <v>2319</v>
      </c>
      <c r="W744" s="19" t="s">
        <v>1827</v>
      </c>
    </row>
    <row r="745" spans="1:23" s="3" customFormat="1">
      <c r="A745" s="5" t="s">
        <v>1642</v>
      </c>
      <c r="B745" s="19" t="s">
        <v>2305</v>
      </c>
      <c r="C745" s="19" t="s">
        <v>1672</v>
      </c>
      <c r="D745" s="19"/>
      <c r="F745" s="20"/>
      <c r="G745" s="19" t="s">
        <v>1644</v>
      </c>
      <c r="H745" s="19" t="s">
        <v>2320</v>
      </c>
      <c r="I745" s="19"/>
      <c r="J745" s="19"/>
      <c r="K745" s="19"/>
      <c r="L745" s="19">
        <v>20</v>
      </c>
      <c r="M745" s="21">
        <v>20.266277219999999</v>
      </c>
      <c r="N745" s="21">
        <v>20</v>
      </c>
      <c r="O745" s="20"/>
      <c r="P745" s="20">
        <v>0.8</v>
      </c>
      <c r="Q745" s="20">
        <v>0.8</v>
      </c>
      <c r="R745" s="20">
        <f>IF(ISBLANK(L745),"",IF(ISBLANK(Q745),"",8.3145*(L745+273.15)*LN((Q745+1)/(1-Q745))*0.001))</f>
        <v>5.3555056818030051</v>
      </c>
      <c r="S745" s="19"/>
      <c r="T745" s="19"/>
      <c r="U745" s="19" t="s">
        <v>1655</v>
      </c>
      <c r="V745" s="3" t="s">
        <v>2319</v>
      </c>
      <c r="W745" s="19" t="s">
        <v>1827</v>
      </c>
    </row>
    <row r="746" spans="1:23" s="3" customFormat="1">
      <c r="A746" s="5" t="s">
        <v>1642</v>
      </c>
      <c r="B746" s="19" t="s">
        <v>2305</v>
      </c>
      <c r="C746" s="19" t="s">
        <v>1652</v>
      </c>
      <c r="D746" s="19"/>
      <c r="E746" s="19"/>
      <c r="F746" s="20"/>
      <c r="G746" s="19" t="s">
        <v>1644</v>
      </c>
      <c r="H746" s="19" t="s">
        <v>2321</v>
      </c>
      <c r="I746" s="19"/>
      <c r="J746" s="19"/>
      <c r="K746" s="19"/>
      <c r="L746" s="19">
        <v>20</v>
      </c>
      <c r="M746" s="21">
        <v>10.000149915</v>
      </c>
      <c r="N746" s="21">
        <v>20</v>
      </c>
      <c r="O746" s="20"/>
      <c r="P746" s="20"/>
      <c r="Q746" s="20"/>
      <c r="R746" s="20"/>
      <c r="S746" s="19"/>
      <c r="T746" s="19"/>
      <c r="U746" s="19" t="s">
        <v>1655</v>
      </c>
      <c r="V746" s="3" t="s">
        <v>2322</v>
      </c>
      <c r="W746" s="19" t="s">
        <v>2323</v>
      </c>
    </row>
    <row r="747" spans="1:23" s="3" customFormat="1">
      <c r="A747" s="5" t="s">
        <v>1642</v>
      </c>
      <c r="B747" s="19" t="s">
        <v>2305</v>
      </c>
      <c r="C747" s="19" t="s">
        <v>1596</v>
      </c>
      <c r="D747" s="19"/>
      <c r="F747" s="20"/>
      <c r="G747" s="19" t="s">
        <v>1644</v>
      </c>
      <c r="H747" s="19" t="s">
        <v>2324</v>
      </c>
      <c r="I747" s="19"/>
      <c r="J747" s="19"/>
      <c r="K747" s="19"/>
      <c r="L747" s="19">
        <v>25</v>
      </c>
      <c r="M747" s="21">
        <v>5.0000816235999999</v>
      </c>
      <c r="N747" s="21">
        <v>15</v>
      </c>
      <c r="O747" s="20"/>
      <c r="P747" s="20"/>
      <c r="Q747" s="20"/>
      <c r="R747" s="20"/>
      <c r="S747" s="19"/>
      <c r="T747" s="19"/>
      <c r="U747" s="19" t="s">
        <v>1655</v>
      </c>
      <c r="V747" s="3" t="s">
        <v>2325</v>
      </c>
      <c r="W747" s="19" t="s">
        <v>2326</v>
      </c>
    </row>
    <row r="748" spans="1:23" s="3" customFormat="1">
      <c r="A748" s="5" t="s">
        <v>1642</v>
      </c>
      <c r="B748" s="19" t="s">
        <v>2305</v>
      </c>
      <c r="C748" s="19" t="s">
        <v>1652</v>
      </c>
      <c r="D748" s="19"/>
      <c r="E748" s="19"/>
      <c r="F748" s="20"/>
      <c r="G748" s="19" t="s">
        <v>1644</v>
      </c>
      <c r="H748" s="19" t="s">
        <v>2327</v>
      </c>
      <c r="I748" s="19"/>
      <c r="J748" s="19"/>
      <c r="K748" s="19"/>
      <c r="L748" s="19">
        <v>25</v>
      </c>
      <c r="M748" s="21">
        <v>10.000149915</v>
      </c>
      <c r="N748" s="21">
        <v>16</v>
      </c>
      <c r="O748" s="20"/>
      <c r="P748" s="20"/>
      <c r="Q748" s="20"/>
      <c r="R748" s="20"/>
      <c r="S748" s="19"/>
      <c r="T748" s="19"/>
      <c r="U748" s="19" t="s">
        <v>1655</v>
      </c>
      <c r="V748" s="3" t="s">
        <v>2328</v>
      </c>
      <c r="W748" s="19" t="s">
        <v>2329</v>
      </c>
    </row>
    <row r="749" spans="1:23" s="3" customFormat="1">
      <c r="A749" s="5" t="s">
        <v>1642</v>
      </c>
      <c r="B749" s="19" t="s">
        <v>2305</v>
      </c>
      <c r="C749" s="19" t="s">
        <v>1652</v>
      </c>
      <c r="D749" s="19"/>
      <c r="F749" s="20"/>
      <c r="G749" s="19" t="s">
        <v>1644</v>
      </c>
      <c r="H749" s="19" t="s">
        <v>2330</v>
      </c>
      <c r="I749" s="19"/>
      <c r="J749" s="19"/>
      <c r="K749" s="19"/>
      <c r="L749" s="19">
        <v>20</v>
      </c>
      <c r="M749" s="21">
        <v>40.000599659999999</v>
      </c>
      <c r="N749" s="21">
        <v>12</v>
      </c>
      <c r="O749" s="20"/>
      <c r="P749" s="20"/>
      <c r="Q749" s="20"/>
      <c r="R749" s="20"/>
      <c r="S749" s="19"/>
      <c r="T749" s="19"/>
      <c r="U749" s="19" t="s">
        <v>1655</v>
      </c>
      <c r="V749" s="3" t="s">
        <v>2331</v>
      </c>
      <c r="W749" s="19" t="s">
        <v>2332</v>
      </c>
    </row>
    <row r="750" spans="1:23" s="3" customFormat="1">
      <c r="A750" s="5" t="s">
        <v>1642</v>
      </c>
      <c r="B750" s="19" t="s">
        <v>2305</v>
      </c>
      <c r="C750" s="19" t="s">
        <v>1652</v>
      </c>
      <c r="D750" s="19"/>
      <c r="F750" s="20"/>
      <c r="G750" s="19" t="s">
        <v>1644</v>
      </c>
      <c r="H750" s="19" t="s">
        <v>2333</v>
      </c>
      <c r="I750" s="19"/>
      <c r="J750" s="19"/>
      <c r="K750" s="19"/>
      <c r="L750" s="19">
        <v>20</v>
      </c>
      <c r="M750" s="21">
        <v>40.000599659999999</v>
      </c>
      <c r="N750" s="21">
        <v>12</v>
      </c>
      <c r="O750" s="20"/>
      <c r="P750" s="20"/>
      <c r="Q750" s="20"/>
      <c r="R750" s="20"/>
      <c r="S750" s="19"/>
      <c r="T750" s="19"/>
      <c r="U750" s="19" t="s">
        <v>1655</v>
      </c>
      <c r="V750" s="3" t="s">
        <v>2331</v>
      </c>
      <c r="W750" s="19" t="s">
        <v>2332</v>
      </c>
    </row>
    <row r="751" spans="1:23" s="3" customFormat="1">
      <c r="A751" s="5" t="s">
        <v>1642</v>
      </c>
      <c r="B751" s="19" t="s">
        <v>2305</v>
      </c>
      <c r="C751" s="19" t="s">
        <v>1596</v>
      </c>
      <c r="D751" s="19"/>
      <c r="F751" s="20"/>
      <c r="G751" s="19" t="s">
        <v>1644</v>
      </c>
      <c r="H751" s="19" t="s">
        <v>2334</v>
      </c>
      <c r="I751" s="19"/>
      <c r="J751" s="19"/>
      <c r="K751" s="19"/>
      <c r="L751" s="19">
        <v>20</v>
      </c>
      <c r="M751" s="21">
        <v>50.000816236000006</v>
      </c>
      <c r="N751" s="21">
        <v>20</v>
      </c>
      <c r="O751" s="20"/>
      <c r="P751" s="20">
        <v>0.89</v>
      </c>
      <c r="Q751" s="20">
        <v>0.89</v>
      </c>
      <c r="R751" s="20">
        <f>IF(ISBLANK(L751),"",IF(ISBLANK(Q751),"",8.3145*(L751+273.15)*LN((Q751+1)/(1-Q751))*0.001))</f>
        <v>6.9315919369288395</v>
      </c>
      <c r="S751" s="19"/>
      <c r="T751" s="19"/>
      <c r="U751" s="19" t="s">
        <v>1655</v>
      </c>
      <c r="V751" s="3" t="s">
        <v>2335</v>
      </c>
      <c r="W751" s="19" t="s">
        <v>1832</v>
      </c>
    </row>
    <row r="752" spans="1:23" s="3" customFormat="1">
      <c r="A752" s="5" t="s">
        <v>1642</v>
      </c>
      <c r="B752" s="19" t="s">
        <v>2305</v>
      </c>
      <c r="C752" s="19" t="s">
        <v>1596</v>
      </c>
      <c r="D752" s="19"/>
      <c r="F752" s="20"/>
      <c r="G752" s="19" t="s">
        <v>1644</v>
      </c>
      <c r="H752" s="19" t="s">
        <v>2336</v>
      </c>
      <c r="I752" s="19"/>
      <c r="J752" s="19"/>
      <c r="K752" s="19"/>
      <c r="L752" s="19">
        <v>20</v>
      </c>
      <c r="M752" s="21"/>
      <c r="N752" s="21"/>
      <c r="O752" s="20"/>
      <c r="P752" s="20">
        <v>0.83</v>
      </c>
      <c r="Q752" s="20">
        <v>0.83</v>
      </c>
      <c r="R752" s="20">
        <f>IF(ISBLANK(L752),"",IF(ISBLANK(Q752),"",8.3145*(L752+273.15)*LN((Q752+1)/(1-Q752))*0.001))</f>
        <v>5.791917066753161</v>
      </c>
      <c r="S752" s="19"/>
      <c r="T752" s="19"/>
      <c r="U752" s="19" t="s">
        <v>1655</v>
      </c>
      <c r="V752" s="3" t="s">
        <v>2335</v>
      </c>
      <c r="W752" s="19" t="s">
        <v>1832</v>
      </c>
    </row>
    <row r="753" spans="1:23" s="3" customFormat="1">
      <c r="A753" s="5" t="s">
        <v>1642</v>
      </c>
      <c r="B753" s="19" t="s">
        <v>2305</v>
      </c>
      <c r="C753" s="19" t="s">
        <v>1672</v>
      </c>
      <c r="D753" s="19"/>
      <c r="F753" s="20"/>
      <c r="G753" s="19" t="s">
        <v>1644</v>
      </c>
      <c r="J753" s="19"/>
      <c r="K753" s="19"/>
      <c r="L753" s="19">
        <v>20</v>
      </c>
      <c r="M753" s="21">
        <v>10.000149915</v>
      </c>
      <c r="N753" s="21">
        <v>24</v>
      </c>
      <c r="O753" s="20"/>
      <c r="P753" s="20"/>
      <c r="Q753" s="20"/>
      <c r="R753" s="20"/>
      <c r="S753" s="19"/>
      <c r="T753" s="19"/>
      <c r="U753" s="19" t="s">
        <v>1655</v>
      </c>
      <c r="V753" s="3" t="s">
        <v>2337</v>
      </c>
      <c r="W753" s="19" t="s">
        <v>2338</v>
      </c>
    </row>
    <row r="754" spans="1:23" s="3" customFormat="1">
      <c r="A754" s="5" t="s">
        <v>1642</v>
      </c>
      <c r="B754" s="19" t="s">
        <v>2305</v>
      </c>
      <c r="C754" s="19" t="s">
        <v>1596</v>
      </c>
      <c r="D754" s="19"/>
      <c r="F754" s="20"/>
      <c r="G754" s="19" t="s">
        <v>1644</v>
      </c>
      <c r="H754" s="19" t="s">
        <v>2339</v>
      </c>
      <c r="I754" s="19"/>
      <c r="J754" s="19"/>
      <c r="K754" s="19"/>
      <c r="L754" s="19">
        <v>20</v>
      </c>
      <c r="M754" s="21">
        <v>50.000816236000006</v>
      </c>
      <c r="N754" s="21">
        <v>20</v>
      </c>
      <c r="O754" s="20"/>
      <c r="P754" s="20">
        <v>0.92</v>
      </c>
      <c r="Q754" s="20">
        <v>0.92</v>
      </c>
      <c r="R754" s="20">
        <f>IF(ISBLANK(L754),"",IF(ISBLANK(Q754),"",8.3145*(L754+273.15)*LN((Q754+1)/(1-Q754))*0.001))</f>
        <v>7.7461746610072693</v>
      </c>
      <c r="S754" s="19"/>
      <c r="T754" s="19"/>
      <c r="U754" s="19" t="s">
        <v>1655</v>
      </c>
      <c r="V754" s="3" t="s">
        <v>2335</v>
      </c>
      <c r="W754" s="19" t="s">
        <v>1832</v>
      </c>
    </row>
    <row r="755" spans="1:23" s="3" customFormat="1">
      <c r="A755" s="5" t="s">
        <v>1642</v>
      </c>
      <c r="B755" s="19" t="s">
        <v>2305</v>
      </c>
      <c r="C755" s="19" t="s">
        <v>1596</v>
      </c>
      <c r="D755" s="19"/>
      <c r="F755" s="20"/>
      <c r="G755" s="19" t="s">
        <v>1644</v>
      </c>
      <c r="H755" s="19" t="s">
        <v>2340</v>
      </c>
      <c r="I755" s="19"/>
      <c r="J755" s="19"/>
      <c r="K755" s="19"/>
      <c r="L755" s="19">
        <v>25</v>
      </c>
      <c r="M755" s="21">
        <v>5.0000816235999999</v>
      </c>
      <c r="N755" s="21">
        <v>15</v>
      </c>
      <c r="O755" s="20"/>
      <c r="P755" s="20"/>
      <c r="Q755" s="20"/>
      <c r="R755" s="20"/>
      <c r="S755" s="19" t="s">
        <v>1617</v>
      </c>
      <c r="T755" s="19"/>
      <c r="U755" s="19" t="s">
        <v>1655</v>
      </c>
      <c r="V755" s="3" t="s">
        <v>2325</v>
      </c>
      <c r="W755" s="19" t="s">
        <v>2326</v>
      </c>
    </row>
    <row r="756" spans="1:23" s="3" customFormat="1">
      <c r="A756" s="5" t="s">
        <v>1642</v>
      </c>
      <c r="B756" s="19" t="s">
        <v>2341</v>
      </c>
      <c r="C756" s="19" t="s">
        <v>2003</v>
      </c>
      <c r="D756" s="19" t="s">
        <v>1861</v>
      </c>
      <c r="E756" s="3" t="s">
        <v>2342</v>
      </c>
      <c r="F756" s="20"/>
      <c r="G756" s="19" t="s">
        <v>1673</v>
      </c>
      <c r="H756" s="19" t="s">
        <v>2343</v>
      </c>
      <c r="I756" s="19"/>
      <c r="J756" s="19"/>
      <c r="K756" s="19"/>
      <c r="L756" s="19">
        <v>35</v>
      </c>
      <c r="M756" s="21">
        <v>50.665826371999998</v>
      </c>
      <c r="N756" s="21">
        <v>24</v>
      </c>
      <c r="O756" s="20">
        <v>0.95</v>
      </c>
      <c r="P756" s="20">
        <v>0.99</v>
      </c>
      <c r="Q756" s="20">
        <v>0.99</v>
      </c>
      <c r="R756" s="20">
        <f>IF(ISBLANK(L756),"",IF(ISBLANK(Q756),"",8.3145*(L756+273.15)*LN((Q756+1)/(1-Q756))*0.001))</f>
        <v>13.562046030717685</v>
      </c>
      <c r="S756" s="19" t="s">
        <v>1617</v>
      </c>
      <c r="T756" s="19"/>
      <c r="U756" s="19" t="s">
        <v>1655</v>
      </c>
      <c r="V756" s="3" t="s">
        <v>2344</v>
      </c>
      <c r="W756" s="19" t="s">
        <v>2345</v>
      </c>
    </row>
    <row r="757" spans="1:23" s="3" customFormat="1">
      <c r="A757" s="5" t="s">
        <v>1642</v>
      </c>
      <c r="B757" s="19" t="s">
        <v>2341</v>
      </c>
      <c r="C757" s="19" t="s">
        <v>1596</v>
      </c>
      <c r="D757" s="19"/>
      <c r="F757" s="19" t="s">
        <v>2346</v>
      </c>
      <c r="G757" s="4"/>
      <c r="J757" s="19"/>
      <c r="K757" s="19"/>
      <c r="L757" s="19">
        <v>20</v>
      </c>
      <c r="M757" s="21">
        <v>10.000149915</v>
      </c>
      <c r="N757" s="21">
        <v>2</v>
      </c>
      <c r="O757" s="20"/>
      <c r="P757" s="20"/>
      <c r="Q757" s="20"/>
      <c r="R757" s="20"/>
      <c r="S757" s="19" t="s">
        <v>1617</v>
      </c>
      <c r="T757" s="19"/>
      <c r="U757" s="19" t="s">
        <v>1655</v>
      </c>
      <c r="V757" s="3" t="s">
        <v>2347</v>
      </c>
      <c r="W757" s="19" t="s">
        <v>2348</v>
      </c>
    </row>
    <row r="758" spans="1:23" s="3" customFormat="1">
      <c r="A758" s="5" t="s">
        <v>1642</v>
      </c>
      <c r="B758" s="19" t="s">
        <v>2341</v>
      </c>
      <c r="C758" s="19" t="s">
        <v>1596</v>
      </c>
      <c r="D758" s="19"/>
      <c r="E758" s="19" t="s">
        <v>2349</v>
      </c>
      <c r="F758" s="19" t="s">
        <v>2350</v>
      </c>
      <c r="G758" s="4"/>
      <c r="I758" s="3" t="s">
        <v>2351</v>
      </c>
      <c r="J758" s="19"/>
      <c r="K758" s="19"/>
      <c r="L758" s="19">
        <v>20</v>
      </c>
      <c r="M758" s="21">
        <v>10.000149915</v>
      </c>
      <c r="N758" s="21">
        <v>2</v>
      </c>
      <c r="O758" s="20"/>
      <c r="P758" s="20"/>
      <c r="Q758" s="20"/>
      <c r="R758" s="20"/>
      <c r="S758" s="19" t="s">
        <v>1617</v>
      </c>
      <c r="T758" s="19"/>
      <c r="U758" s="19" t="s">
        <v>1655</v>
      </c>
      <c r="V758" s="3" t="s">
        <v>2352</v>
      </c>
      <c r="W758" s="19" t="s">
        <v>2353</v>
      </c>
    </row>
    <row r="759" spans="1:23" s="3" customFormat="1">
      <c r="A759" s="5" t="s">
        <v>1642</v>
      </c>
      <c r="B759" s="19" t="s">
        <v>2341</v>
      </c>
      <c r="C759" s="19" t="s">
        <v>1596</v>
      </c>
      <c r="D759" s="19"/>
      <c r="E759" s="19" t="s">
        <v>2349</v>
      </c>
      <c r="F759" s="19" t="s">
        <v>2354</v>
      </c>
      <c r="G759" s="4"/>
      <c r="I759" s="3" t="s">
        <v>2351</v>
      </c>
      <c r="J759" s="19"/>
      <c r="K759" s="19"/>
      <c r="L759" s="19">
        <v>20</v>
      </c>
      <c r="M759" s="21">
        <v>10.000149915</v>
      </c>
      <c r="N759" s="21">
        <v>3.3333300000000003E-2</v>
      </c>
      <c r="O759" s="20"/>
      <c r="P759" s="20"/>
      <c r="Q759" s="20"/>
      <c r="R759" s="20"/>
      <c r="S759" s="19" t="s">
        <v>1617</v>
      </c>
      <c r="T759" s="19"/>
      <c r="U759" s="19" t="s">
        <v>1655</v>
      </c>
      <c r="V759" s="3" t="s">
        <v>2355</v>
      </c>
      <c r="W759" s="19" t="s">
        <v>2356</v>
      </c>
    </row>
    <row r="760" spans="1:23" s="3" customFormat="1">
      <c r="A760" s="5" t="s">
        <v>1642</v>
      </c>
      <c r="B760" s="19" t="s">
        <v>2341</v>
      </c>
      <c r="C760" s="19" t="s">
        <v>1739</v>
      </c>
      <c r="D760" s="19"/>
      <c r="F760" s="20"/>
      <c r="G760" s="19" t="s">
        <v>2125</v>
      </c>
      <c r="H760" s="19" t="s">
        <v>2357</v>
      </c>
      <c r="I760" s="19"/>
      <c r="J760" s="19"/>
      <c r="K760" s="19"/>
      <c r="L760" s="19">
        <v>20</v>
      </c>
      <c r="M760" s="21">
        <v>1.01331519422</v>
      </c>
      <c r="N760" s="21">
        <v>5</v>
      </c>
      <c r="O760" s="20"/>
      <c r="P760" s="20"/>
      <c r="Q760" s="20"/>
      <c r="R760" s="20"/>
      <c r="S760" s="19" t="s">
        <v>1617</v>
      </c>
      <c r="T760" s="19"/>
      <c r="U760" s="19" t="s">
        <v>1647</v>
      </c>
      <c r="V760" s="3" t="s">
        <v>2358</v>
      </c>
      <c r="W760" s="19" t="s">
        <v>2359</v>
      </c>
    </row>
    <row r="761" spans="1:23" s="3" customFormat="1">
      <c r="A761" s="5" t="s">
        <v>1642</v>
      </c>
      <c r="B761" s="19" t="s">
        <v>2341</v>
      </c>
      <c r="C761" s="19" t="s">
        <v>1739</v>
      </c>
      <c r="D761" s="19"/>
      <c r="F761" s="20"/>
      <c r="G761" s="19" t="s">
        <v>1644</v>
      </c>
      <c r="H761" s="19" t="s">
        <v>2360</v>
      </c>
      <c r="I761" s="19"/>
      <c r="J761" s="19"/>
      <c r="K761" s="19"/>
      <c r="L761" s="19">
        <v>20</v>
      </c>
      <c r="M761" s="21">
        <v>1.0000149915000001</v>
      </c>
      <c r="N761" s="21">
        <v>6</v>
      </c>
      <c r="O761" s="20"/>
      <c r="P761" s="20">
        <v>0.98</v>
      </c>
      <c r="Q761" s="20">
        <v>0.98</v>
      </c>
      <c r="R761" s="20">
        <f>IF(ISBLANK(L761),"",IF(ISBLANK(Q761),"",8.3145*(L761+273.15)*LN((Q761+1)/(1-Q761))*0.001))</f>
        <v>11.200125248824696</v>
      </c>
      <c r="S761" s="19" t="s">
        <v>1617</v>
      </c>
      <c r="T761" s="19"/>
      <c r="U761" s="19" t="s">
        <v>1655</v>
      </c>
      <c r="V761" s="3" t="s">
        <v>2361</v>
      </c>
      <c r="W761" s="19" t="s">
        <v>2362</v>
      </c>
    </row>
    <row r="762" spans="1:23" s="3" customFormat="1">
      <c r="A762" s="5" t="s">
        <v>1642</v>
      </c>
      <c r="B762" s="19" t="s">
        <v>2341</v>
      </c>
      <c r="C762" s="19" t="s">
        <v>2363</v>
      </c>
      <c r="D762" s="19"/>
      <c r="E762" s="19" t="s">
        <v>2349</v>
      </c>
      <c r="F762" s="19" t="s">
        <v>2364</v>
      </c>
      <c r="G762" s="20"/>
      <c r="J762" s="19"/>
      <c r="K762" s="19"/>
      <c r="L762" s="19">
        <v>20</v>
      </c>
      <c r="M762" s="21">
        <v>1.0132471999999999</v>
      </c>
      <c r="N762" s="21"/>
      <c r="O762" s="20"/>
      <c r="P762" s="20"/>
      <c r="Q762" s="20"/>
      <c r="R762" s="20"/>
      <c r="S762" s="19"/>
      <c r="T762" s="19"/>
      <c r="U762" s="19" t="s">
        <v>1655</v>
      </c>
      <c r="V762" s="3" t="s">
        <v>2365</v>
      </c>
      <c r="W762" s="19" t="s">
        <v>2366</v>
      </c>
    </row>
    <row r="763" spans="1:23" s="3" customFormat="1">
      <c r="A763" s="5" t="s">
        <v>1642</v>
      </c>
      <c r="B763" s="19" t="s">
        <v>2341</v>
      </c>
      <c r="C763" s="19" t="s">
        <v>2363</v>
      </c>
      <c r="D763" s="19"/>
      <c r="E763" s="19" t="s">
        <v>2349</v>
      </c>
      <c r="F763" s="19" t="s">
        <v>2364</v>
      </c>
      <c r="G763" s="20"/>
      <c r="J763" s="19"/>
      <c r="K763" s="19"/>
      <c r="L763" s="19">
        <v>20</v>
      </c>
      <c r="M763" s="21">
        <v>1.0132471999999999</v>
      </c>
      <c r="N763" s="21"/>
      <c r="O763" s="20"/>
      <c r="P763" s="20"/>
      <c r="Q763" s="20"/>
      <c r="R763" s="20"/>
      <c r="S763" s="19"/>
      <c r="T763" s="19"/>
      <c r="U763" s="19" t="s">
        <v>1655</v>
      </c>
      <c r="V763" s="3" t="s">
        <v>2365</v>
      </c>
      <c r="W763" s="19" t="s">
        <v>2366</v>
      </c>
    </row>
    <row r="764" spans="1:23" s="3" customFormat="1">
      <c r="A764" s="5" t="s">
        <v>1642</v>
      </c>
      <c r="B764" s="19" t="s">
        <v>2341</v>
      </c>
      <c r="C764" s="19" t="s">
        <v>1596</v>
      </c>
      <c r="D764" s="19"/>
      <c r="F764" s="19" t="s">
        <v>2367</v>
      </c>
      <c r="G764" s="20"/>
      <c r="J764" s="19"/>
      <c r="K764" s="19"/>
      <c r="L764" s="19">
        <v>20</v>
      </c>
      <c r="M764" s="21">
        <v>10.000149915</v>
      </c>
      <c r="N764" s="21">
        <v>3</v>
      </c>
      <c r="O764" s="20"/>
      <c r="P764" s="20"/>
      <c r="Q764" s="20"/>
      <c r="R764" s="20"/>
      <c r="S764" s="19"/>
      <c r="T764" s="19"/>
      <c r="U764" s="19" t="s">
        <v>1655</v>
      </c>
      <c r="V764" s="3" t="s">
        <v>2368</v>
      </c>
      <c r="W764" s="19" t="s">
        <v>2369</v>
      </c>
    </row>
    <row r="765" spans="1:23" s="3" customFormat="1">
      <c r="A765" s="5" t="s">
        <v>1642</v>
      </c>
      <c r="B765" s="19" t="s">
        <v>2341</v>
      </c>
      <c r="C765" s="19" t="s">
        <v>1596</v>
      </c>
      <c r="D765" s="19"/>
      <c r="E765" s="19" t="s">
        <v>2370</v>
      </c>
      <c r="F765" s="20"/>
      <c r="G765" s="19" t="s">
        <v>1644</v>
      </c>
      <c r="H765" s="19" t="s">
        <v>2371</v>
      </c>
      <c r="I765" s="19" t="s">
        <v>2372</v>
      </c>
      <c r="J765" s="19"/>
      <c r="K765" s="19"/>
      <c r="L765" s="19">
        <v>20</v>
      </c>
      <c r="M765" s="21">
        <v>10.000149915</v>
      </c>
      <c r="N765" s="21">
        <v>3</v>
      </c>
      <c r="O765" s="20"/>
      <c r="P765" s="20"/>
      <c r="Q765" s="20"/>
      <c r="R765" s="20"/>
      <c r="S765" s="19"/>
      <c r="T765" s="19"/>
      <c r="U765" s="19" t="s">
        <v>1655</v>
      </c>
      <c r="V765" s="3" t="s">
        <v>2373</v>
      </c>
      <c r="W765" s="19" t="s">
        <v>2374</v>
      </c>
    </row>
    <row r="766" spans="1:23" s="3" customFormat="1">
      <c r="A766" s="5" t="s">
        <v>1642</v>
      </c>
      <c r="B766" s="19" t="s">
        <v>2341</v>
      </c>
      <c r="C766" s="19" t="s">
        <v>1596</v>
      </c>
      <c r="D766" s="19"/>
      <c r="E766" s="19" t="s">
        <v>2349</v>
      </c>
      <c r="F766" s="19" t="s">
        <v>2375</v>
      </c>
      <c r="G766" s="20"/>
      <c r="J766" s="19"/>
      <c r="K766" s="19"/>
      <c r="L766" s="19">
        <v>20</v>
      </c>
      <c r="M766" s="21">
        <v>10.000149915</v>
      </c>
      <c r="N766" s="21">
        <v>0.05</v>
      </c>
      <c r="O766" s="20"/>
      <c r="P766" s="20"/>
      <c r="Q766" s="20"/>
      <c r="R766" s="20"/>
      <c r="S766" s="19"/>
      <c r="T766" s="19"/>
      <c r="U766" s="19" t="s">
        <v>1655</v>
      </c>
      <c r="V766" s="3" t="s">
        <v>2355</v>
      </c>
      <c r="W766" s="19" t="s">
        <v>2356</v>
      </c>
    </row>
    <row r="767" spans="1:23" s="3" customFormat="1">
      <c r="A767" s="5" t="s">
        <v>1642</v>
      </c>
      <c r="B767" s="19" t="s">
        <v>2341</v>
      </c>
      <c r="C767" s="19" t="s">
        <v>1596</v>
      </c>
      <c r="D767" s="19"/>
      <c r="E767" s="19" t="s">
        <v>2349</v>
      </c>
      <c r="F767" s="19" t="s">
        <v>2051</v>
      </c>
      <c r="G767" s="20"/>
      <c r="J767" s="19"/>
      <c r="K767" s="19"/>
      <c r="L767" s="19">
        <v>25</v>
      </c>
      <c r="M767" s="21">
        <v>10.000149915</v>
      </c>
      <c r="N767" s="21">
        <v>16</v>
      </c>
      <c r="O767" s="20"/>
      <c r="P767" s="20">
        <v>0.06</v>
      </c>
      <c r="Q767" s="20">
        <v>0.06</v>
      </c>
      <c r="R767" s="20">
        <f>IF(ISBLANK(L767),"",IF(ISBLANK(Q767),"",8.3145*(L767+273.15)*LN((Q767+1)/(1-Q767))*0.001))</f>
        <v>0.29783392546375081</v>
      </c>
      <c r="S767" s="19"/>
      <c r="T767" s="19"/>
      <c r="U767" s="19" t="s">
        <v>1655</v>
      </c>
      <c r="V767" s="3" t="s">
        <v>2376</v>
      </c>
      <c r="W767" s="19" t="s">
        <v>2053</v>
      </c>
    </row>
    <row r="768" spans="1:23" s="3" customFormat="1">
      <c r="A768" s="5" t="s">
        <v>1642</v>
      </c>
      <c r="B768" s="19" t="s">
        <v>2341</v>
      </c>
      <c r="C768" s="19" t="s">
        <v>1596</v>
      </c>
      <c r="D768" s="19"/>
      <c r="F768" s="19" t="s">
        <v>2377</v>
      </c>
      <c r="G768" s="20"/>
      <c r="J768" s="19"/>
      <c r="K768" s="19"/>
      <c r="L768" s="19">
        <v>25</v>
      </c>
      <c r="M768" s="21">
        <v>10.000149915</v>
      </c>
      <c r="N768" s="21">
        <v>16</v>
      </c>
      <c r="O768" s="20"/>
      <c r="P768" s="20">
        <v>0.67</v>
      </c>
      <c r="Q768" s="20">
        <v>0.67</v>
      </c>
      <c r="R768" s="20">
        <f>IF(ISBLANK(L768),"",IF(ISBLANK(Q768),"",8.3145*(L768+273.15)*LN((Q768+1)/(1-Q768))*0.001))</f>
        <v>4.0196128123057955</v>
      </c>
      <c r="S768" s="19"/>
      <c r="T768" s="19"/>
      <c r="U768" s="19" t="s">
        <v>1655</v>
      </c>
      <c r="V768" s="3" t="s">
        <v>2376</v>
      </c>
      <c r="W768" s="19" t="s">
        <v>2053</v>
      </c>
    </row>
    <row r="769" spans="1:23" s="3" customFormat="1">
      <c r="A769" s="5" t="s">
        <v>1642</v>
      </c>
      <c r="B769" s="19" t="s">
        <v>2341</v>
      </c>
      <c r="C769" s="19" t="s">
        <v>1739</v>
      </c>
      <c r="D769" s="19"/>
      <c r="F769" s="20"/>
      <c r="G769" s="19" t="s">
        <v>1644</v>
      </c>
      <c r="H769" s="19" t="s">
        <v>2378</v>
      </c>
      <c r="I769" s="19"/>
      <c r="J769" s="19"/>
      <c r="K769" s="19"/>
      <c r="L769" s="19">
        <v>20</v>
      </c>
      <c r="M769" s="21">
        <v>1.0000149915000001</v>
      </c>
      <c r="N769" s="21">
        <v>6</v>
      </c>
      <c r="O769" s="20"/>
      <c r="P769" s="20">
        <v>0.84</v>
      </c>
      <c r="Q769" s="20">
        <v>0.84</v>
      </c>
      <c r="R769" s="20">
        <f>IF(ISBLANK(L769),"",IF(ISBLANK(Q769),"",8.3145*(L769+273.15)*LN((Q769+1)/(1-Q769))*0.001))</f>
        <v>5.9529661008579717</v>
      </c>
      <c r="S769" s="19"/>
      <c r="T769" s="19"/>
      <c r="U769" s="19" t="s">
        <v>1655</v>
      </c>
      <c r="V769" s="3" t="s">
        <v>2361</v>
      </c>
      <c r="W769" s="19" t="s">
        <v>2362</v>
      </c>
    </row>
    <row r="770" spans="1:23" s="3" customFormat="1">
      <c r="A770" s="5" t="s">
        <v>1642</v>
      </c>
      <c r="B770" s="19" t="s">
        <v>2341</v>
      </c>
      <c r="C770" s="19" t="s">
        <v>1596</v>
      </c>
      <c r="D770" s="19"/>
      <c r="F770" s="20"/>
      <c r="G770" s="19" t="s">
        <v>1673</v>
      </c>
      <c r="H770" s="19" t="s">
        <v>2343</v>
      </c>
      <c r="I770" s="19"/>
      <c r="J770" s="19"/>
      <c r="K770" s="19"/>
      <c r="L770" s="19">
        <v>35</v>
      </c>
      <c r="M770" s="21">
        <v>50.665826371999998</v>
      </c>
      <c r="N770" s="21">
        <v>24</v>
      </c>
      <c r="O770" s="20"/>
      <c r="P770" s="20">
        <v>0.85</v>
      </c>
      <c r="Q770" s="20">
        <v>0.85</v>
      </c>
      <c r="R770" s="20">
        <f>IF(ISBLANK(L770),"",IF(ISBLANK(Q770),"",8.3145*(L770+273.15)*LN((Q770+1)/(1-Q770))*0.001))</f>
        <v>6.4368113388157999</v>
      </c>
      <c r="S770" s="19"/>
      <c r="T770" s="19"/>
      <c r="U770" s="19" t="s">
        <v>1655</v>
      </c>
      <c r="V770" s="3" t="s">
        <v>2344</v>
      </c>
      <c r="W770" s="19" t="s">
        <v>2345</v>
      </c>
    </row>
    <row r="771" spans="1:23" s="3" customFormat="1">
      <c r="A771" s="5" t="s">
        <v>1642</v>
      </c>
      <c r="B771" s="19" t="s">
        <v>2379</v>
      </c>
      <c r="C771" s="19" t="s">
        <v>2003</v>
      </c>
      <c r="D771" s="19" t="s">
        <v>1861</v>
      </c>
      <c r="F771" s="20"/>
      <c r="G771" s="19" t="s">
        <v>1673</v>
      </c>
      <c r="H771" s="19" t="s">
        <v>2343</v>
      </c>
      <c r="I771" s="19"/>
      <c r="L771" s="19">
        <v>35</v>
      </c>
      <c r="M771" s="21">
        <v>50.665826371999998</v>
      </c>
      <c r="N771" s="21">
        <v>24</v>
      </c>
      <c r="O771" s="20"/>
      <c r="P771" s="20">
        <v>0.39</v>
      </c>
      <c r="Q771" s="20">
        <v>0.39</v>
      </c>
      <c r="R771" s="20">
        <f>IF(ISBLANK(L771),"",IF(ISBLANK(Q771),"",8.3145*(L771+273.15)*LN((Q771+1)/(1-Q771))*0.001))</f>
        <v>2.1101565876066135</v>
      </c>
      <c r="S771" s="19"/>
      <c r="T771" s="19"/>
      <c r="U771" s="19" t="s">
        <v>1655</v>
      </c>
      <c r="V771" s="3" t="s">
        <v>2344</v>
      </c>
      <c r="W771" s="19" t="s">
        <v>2345</v>
      </c>
    </row>
    <row r="772" spans="1:23" s="3" customFormat="1">
      <c r="A772" s="5" t="s">
        <v>1642</v>
      </c>
      <c r="B772" s="19" t="s">
        <v>2380</v>
      </c>
      <c r="C772" s="19" t="s">
        <v>1596</v>
      </c>
      <c r="D772" s="19"/>
      <c r="F772" s="19" t="s">
        <v>2381</v>
      </c>
      <c r="G772" s="20"/>
      <c r="I772" s="3" t="s">
        <v>2231</v>
      </c>
      <c r="J772" s="19"/>
      <c r="K772" s="19" t="s">
        <v>694</v>
      </c>
      <c r="L772" s="19">
        <v>26.9</v>
      </c>
      <c r="M772" s="21"/>
      <c r="N772" s="21"/>
      <c r="O772" s="20"/>
      <c r="P772" s="20"/>
      <c r="Q772" s="20"/>
      <c r="R772" s="20"/>
      <c r="S772" s="19"/>
      <c r="T772" s="19"/>
      <c r="U772" s="19" t="s">
        <v>1655</v>
      </c>
      <c r="V772" s="3" t="s">
        <v>2382</v>
      </c>
      <c r="W772" s="19" t="s">
        <v>2383</v>
      </c>
    </row>
    <row r="773" spans="1:23" s="3" customFormat="1">
      <c r="A773" s="5" t="s">
        <v>1642</v>
      </c>
      <c r="B773" s="19" t="s">
        <v>2380</v>
      </c>
      <c r="C773" s="19" t="s">
        <v>2363</v>
      </c>
      <c r="D773" s="19"/>
      <c r="E773" s="3" t="s">
        <v>2349</v>
      </c>
      <c r="F773" s="19" t="s">
        <v>2364</v>
      </c>
      <c r="G773" s="20"/>
      <c r="J773" s="19"/>
      <c r="K773" s="19"/>
      <c r="L773" s="19">
        <v>20</v>
      </c>
      <c r="M773" s="21">
        <v>1.0132471999999999</v>
      </c>
      <c r="N773" s="21"/>
      <c r="O773" s="20"/>
      <c r="P773" s="20"/>
      <c r="Q773" s="20"/>
      <c r="R773" s="20"/>
      <c r="S773" s="19"/>
      <c r="T773" s="19"/>
      <c r="U773" s="19" t="s">
        <v>1655</v>
      </c>
      <c r="V773" s="3" t="s">
        <v>2365</v>
      </c>
      <c r="W773" s="19" t="s">
        <v>2366</v>
      </c>
    </row>
    <row r="774" spans="1:23" s="3" customFormat="1">
      <c r="A774" s="5" t="s">
        <v>1642</v>
      </c>
      <c r="B774" s="19" t="s">
        <v>2384</v>
      </c>
      <c r="C774" s="19" t="s">
        <v>1652</v>
      </c>
      <c r="D774" s="19" t="s">
        <v>1884</v>
      </c>
      <c r="E774" s="19" t="s">
        <v>2385</v>
      </c>
      <c r="F774" s="20"/>
      <c r="G774" s="19" t="s">
        <v>1673</v>
      </c>
      <c r="J774" s="19"/>
      <c r="K774" s="19"/>
      <c r="L774" s="19">
        <v>5</v>
      </c>
      <c r="M774" s="21">
        <v>10.000149915</v>
      </c>
      <c r="N774" s="21"/>
      <c r="O774" s="20"/>
      <c r="P774" s="20"/>
      <c r="Q774" s="20"/>
      <c r="R774" s="20"/>
      <c r="S774" s="19"/>
      <c r="T774" s="19"/>
      <c r="U774" s="19" t="s">
        <v>1655</v>
      </c>
      <c r="V774" s="3" t="s">
        <v>2386</v>
      </c>
      <c r="W774" s="19" t="s">
        <v>2387</v>
      </c>
    </row>
    <row r="775" spans="1:23" s="3" customFormat="1">
      <c r="A775" s="5" t="s">
        <v>1642</v>
      </c>
      <c r="B775" s="19" t="s">
        <v>2384</v>
      </c>
      <c r="C775" s="19" t="s">
        <v>1596</v>
      </c>
      <c r="D775" s="19"/>
      <c r="F775" s="19" t="s">
        <v>2388</v>
      </c>
      <c r="G775" s="20"/>
      <c r="J775" s="19"/>
      <c r="K775" s="19"/>
      <c r="L775" s="19">
        <v>20</v>
      </c>
      <c r="M775" s="21">
        <v>1.3789761103999998</v>
      </c>
      <c r="N775" s="21">
        <v>12</v>
      </c>
      <c r="O775" s="20"/>
      <c r="P775" s="20"/>
      <c r="Q775" s="20"/>
      <c r="R775" s="20"/>
      <c r="S775" s="19"/>
      <c r="T775" s="19"/>
      <c r="U775" s="19" t="s">
        <v>1655</v>
      </c>
      <c r="V775" s="3" t="s">
        <v>2389</v>
      </c>
      <c r="W775" s="19" t="s">
        <v>2390</v>
      </c>
    </row>
    <row r="776" spans="1:23" s="3" customFormat="1">
      <c r="A776" s="5" t="s">
        <v>1642</v>
      </c>
      <c r="B776" s="19" t="s">
        <v>2384</v>
      </c>
      <c r="C776" s="19" t="s">
        <v>1652</v>
      </c>
      <c r="D776" s="19"/>
      <c r="E776" s="19" t="s">
        <v>2391</v>
      </c>
      <c r="F776" s="19" t="s">
        <v>2392</v>
      </c>
      <c r="G776" s="20"/>
      <c r="J776" s="19"/>
      <c r="K776" s="19"/>
      <c r="L776" s="19">
        <v>50</v>
      </c>
      <c r="M776" s="21">
        <v>150.00191541999999</v>
      </c>
      <c r="N776" s="21">
        <v>18</v>
      </c>
      <c r="O776" s="20"/>
      <c r="P776" s="20">
        <v>0.98</v>
      </c>
      <c r="Q776" s="20">
        <v>0.98</v>
      </c>
      <c r="R776" s="20">
        <f>IF(ISBLANK(L776),"",IF(ISBLANK(Q776),"",8.3145*(L776+273.15)*LN((Q776+1)/(1-Q776))*0.001))</f>
        <v>12.346308968643017</v>
      </c>
      <c r="S776" s="19"/>
      <c r="T776" s="19"/>
      <c r="U776" s="19" t="s">
        <v>1655</v>
      </c>
      <c r="V776" s="3" t="s">
        <v>2393</v>
      </c>
      <c r="W776" s="19" t="s">
        <v>2394</v>
      </c>
    </row>
    <row r="777" spans="1:23" s="3" customFormat="1">
      <c r="A777" s="5" t="s">
        <v>1642</v>
      </c>
      <c r="B777" s="19" t="s">
        <v>2384</v>
      </c>
      <c r="C777" s="19" t="s">
        <v>1652</v>
      </c>
      <c r="D777" s="19"/>
      <c r="E777" s="19" t="s">
        <v>2395</v>
      </c>
      <c r="F777" s="20"/>
      <c r="G777" s="19" t="s">
        <v>1644</v>
      </c>
      <c r="H777" s="19" t="s">
        <v>2396</v>
      </c>
      <c r="I777" s="19"/>
      <c r="J777" s="19"/>
      <c r="K777" s="19"/>
      <c r="L777" s="19">
        <v>25</v>
      </c>
      <c r="M777" s="21">
        <v>10.000149915</v>
      </c>
      <c r="N777" s="21">
        <v>16</v>
      </c>
      <c r="O777" s="20"/>
      <c r="P777" s="20"/>
      <c r="Q777" s="20"/>
      <c r="R777" s="20"/>
      <c r="S777" s="19"/>
      <c r="T777" s="19"/>
      <c r="U777" s="19" t="s">
        <v>1655</v>
      </c>
      <c r="V777" s="3" t="s">
        <v>2397</v>
      </c>
      <c r="W777" s="19" t="s">
        <v>2398</v>
      </c>
    </row>
    <row r="778" spans="1:23" s="3" customFormat="1">
      <c r="A778" s="5" t="s">
        <v>1642</v>
      </c>
      <c r="B778" s="19" t="s">
        <v>2384</v>
      </c>
      <c r="C778" s="19" t="s">
        <v>1596</v>
      </c>
      <c r="D778" s="19"/>
      <c r="F778" s="19" t="s">
        <v>2399</v>
      </c>
      <c r="G778" s="20"/>
      <c r="J778" s="19"/>
      <c r="K778" s="19"/>
      <c r="L778" s="19">
        <v>25</v>
      </c>
      <c r="M778" s="21">
        <v>1.0000149915000001</v>
      </c>
      <c r="N778" s="21">
        <v>0.2</v>
      </c>
      <c r="O778" s="20">
        <v>1</v>
      </c>
      <c r="P778" s="20"/>
      <c r="Q778" s="20"/>
      <c r="R778" s="20"/>
      <c r="S778" s="19" t="s">
        <v>1617</v>
      </c>
      <c r="T778" s="19"/>
      <c r="U778" s="19" t="s">
        <v>1655</v>
      </c>
      <c r="V778" s="3" t="s">
        <v>2400</v>
      </c>
      <c r="W778" s="19" t="s">
        <v>2401</v>
      </c>
    </row>
    <row r="779" spans="1:23" s="3" customFormat="1">
      <c r="A779" s="5" t="s">
        <v>1642</v>
      </c>
      <c r="B779" s="19" t="s">
        <v>2384</v>
      </c>
      <c r="C779" s="19" t="s">
        <v>1596</v>
      </c>
      <c r="D779" s="19"/>
      <c r="F779" s="19" t="s">
        <v>2402</v>
      </c>
      <c r="G779" s="20"/>
      <c r="J779" s="19"/>
      <c r="K779" s="19"/>
      <c r="L779" s="19">
        <v>22</v>
      </c>
      <c r="M779" s="21">
        <v>1.0000149915000001</v>
      </c>
      <c r="N779" s="21">
        <v>4</v>
      </c>
      <c r="O779" s="20">
        <v>1</v>
      </c>
      <c r="P779" s="20">
        <v>0.99299999999999999</v>
      </c>
      <c r="Q779" s="20">
        <v>0.99299999999999999</v>
      </c>
      <c r="R779" s="20">
        <f>IF(ISBLANK(L779),"",IF(ISBLANK(Q779),"",8.3145*(L779+273.15)*LN((Q779+1)/(1-Q779))*0.001))</f>
        <v>13.86888651444173</v>
      </c>
      <c r="S779" s="19" t="s">
        <v>1617</v>
      </c>
      <c r="T779" s="19"/>
      <c r="U779" s="19" t="s">
        <v>1655</v>
      </c>
      <c r="V779" s="3" t="s">
        <v>2403</v>
      </c>
      <c r="W779" s="19" t="s">
        <v>2404</v>
      </c>
    </row>
    <row r="780" spans="1:23" s="3" customFormat="1">
      <c r="A780" s="5" t="s">
        <v>1642</v>
      </c>
      <c r="B780" s="19" t="s">
        <v>2384</v>
      </c>
      <c r="C780" s="19" t="s">
        <v>1884</v>
      </c>
      <c r="D780" s="19"/>
      <c r="F780" s="20"/>
      <c r="G780" s="19" t="s">
        <v>1673</v>
      </c>
      <c r="H780" s="19" t="s">
        <v>2405</v>
      </c>
      <c r="I780" s="19"/>
      <c r="J780" s="19"/>
      <c r="K780" s="19"/>
      <c r="L780" s="19"/>
      <c r="M780" s="21"/>
      <c r="N780" s="21">
        <v>12</v>
      </c>
      <c r="O780" s="20">
        <v>1</v>
      </c>
      <c r="P780" s="20">
        <v>0.98</v>
      </c>
      <c r="Q780" s="20">
        <v>0.98</v>
      </c>
      <c r="R780" s="20"/>
      <c r="S780" s="19" t="s">
        <v>1617</v>
      </c>
      <c r="T780" s="19"/>
      <c r="U780" s="19" t="s">
        <v>1647</v>
      </c>
      <c r="V780" s="3" t="s">
        <v>2406</v>
      </c>
      <c r="W780" s="19" t="s">
        <v>2143</v>
      </c>
    </row>
    <row r="781" spans="1:23" s="3" customFormat="1">
      <c r="A781" s="5" t="s">
        <v>1642</v>
      </c>
      <c r="B781" s="19" t="s">
        <v>2384</v>
      </c>
      <c r="C781" s="19" t="s">
        <v>1884</v>
      </c>
      <c r="D781" s="19"/>
      <c r="F781" s="20"/>
      <c r="G781" s="19" t="s">
        <v>1673</v>
      </c>
      <c r="H781" s="19" t="s">
        <v>2407</v>
      </c>
      <c r="I781" s="19"/>
      <c r="J781" s="19"/>
      <c r="K781" s="19"/>
      <c r="L781" s="19"/>
      <c r="M781" s="21">
        <v>1.01331519422</v>
      </c>
      <c r="N781" s="21">
        <v>12</v>
      </c>
      <c r="O781" s="20">
        <v>1</v>
      </c>
      <c r="P781" s="20">
        <v>0.96</v>
      </c>
      <c r="Q781" s="20">
        <v>0.96</v>
      </c>
      <c r="R781" s="20"/>
      <c r="S781" s="19" t="s">
        <v>1617</v>
      </c>
      <c r="T781" s="19"/>
      <c r="U781" s="19" t="s">
        <v>1647</v>
      </c>
      <c r="V781" s="3" t="s">
        <v>2408</v>
      </c>
      <c r="W781" s="19" t="s">
        <v>2145</v>
      </c>
    </row>
    <row r="782" spans="1:23" s="3" customFormat="1">
      <c r="A782" s="5" t="s">
        <v>1642</v>
      </c>
      <c r="B782" s="19" t="s">
        <v>2384</v>
      </c>
      <c r="C782" s="19" t="s">
        <v>1652</v>
      </c>
      <c r="D782" s="19"/>
      <c r="F782" s="20"/>
      <c r="G782" s="19" t="s">
        <v>1644</v>
      </c>
      <c r="J782" s="19"/>
      <c r="K782" s="19"/>
      <c r="L782" s="19">
        <v>50</v>
      </c>
      <c r="M782" s="21">
        <v>51.711737461999995</v>
      </c>
      <c r="N782" s="21">
        <v>12</v>
      </c>
      <c r="O782" s="20">
        <v>0.99</v>
      </c>
      <c r="P782" s="20">
        <v>0.99</v>
      </c>
      <c r="Q782" s="20">
        <v>0.99</v>
      </c>
      <c r="R782" s="20">
        <f>IF(ISBLANK(L782),"",IF(ISBLANK(Q782),"",8.3145*(L782+273.15)*LN((Q782+1)/(1-Q782))*0.001))</f>
        <v>14.222213775195263</v>
      </c>
      <c r="S782" s="19" t="s">
        <v>1617</v>
      </c>
      <c r="T782" s="19"/>
      <c r="U782" s="19" t="s">
        <v>1647</v>
      </c>
      <c r="V782" s="3" t="s">
        <v>2409</v>
      </c>
      <c r="W782" s="19" t="s">
        <v>1671</v>
      </c>
    </row>
    <row r="783" spans="1:23" s="3" customFormat="1">
      <c r="A783" s="5" t="s">
        <v>1642</v>
      </c>
      <c r="B783" s="19" t="s">
        <v>2384</v>
      </c>
      <c r="C783" s="19" t="s">
        <v>1596</v>
      </c>
      <c r="D783" s="19"/>
      <c r="F783" s="20"/>
      <c r="G783" s="19" t="s">
        <v>1644</v>
      </c>
      <c r="H783" s="19" t="s">
        <v>2410</v>
      </c>
      <c r="I783" s="19"/>
      <c r="J783" s="19"/>
      <c r="K783" s="19"/>
      <c r="L783" s="19">
        <v>20</v>
      </c>
      <c r="M783" s="21">
        <v>6.8949072164</v>
      </c>
      <c r="N783" s="21">
        <v>24</v>
      </c>
      <c r="O783" s="20">
        <v>0.96</v>
      </c>
      <c r="P783" s="20">
        <v>0.96</v>
      </c>
      <c r="Q783" s="20">
        <v>0.96</v>
      </c>
      <c r="R783" s="20">
        <f>IF(ISBLANK(L783),"",IF(ISBLANK(Q783),"",8.3145*(L783+273.15)*LN((Q783+1)/(1-Q783))*0.001))</f>
        <v>9.4859059624920494</v>
      </c>
      <c r="S783" s="19" t="s">
        <v>1617</v>
      </c>
      <c r="T783" s="19"/>
      <c r="U783" s="19" t="s">
        <v>1655</v>
      </c>
      <c r="V783" s="3" t="s">
        <v>2411</v>
      </c>
      <c r="W783" s="19" t="s">
        <v>2147</v>
      </c>
    </row>
    <row r="784" spans="1:23" s="3" customFormat="1">
      <c r="A784" s="5" t="s">
        <v>1642</v>
      </c>
      <c r="B784" s="19" t="s">
        <v>2384</v>
      </c>
      <c r="C784" s="19" t="s">
        <v>1616</v>
      </c>
      <c r="D784" s="19"/>
      <c r="F784" s="20"/>
      <c r="G784" s="19" t="s">
        <v>1673</v>
      </c>
      <c r="H784" s="19" t="s">
        <v>2412</v>
      </c>
      <c r="I784" s="19"/>
      <c r="J784" s="19"/>
      <c r="K784" s="19"/>
      <c r="L784" s="19">
        <v>20</v>
      </c>
      <c r="M784" s="21">
        <v>10.000149915</v>
      </c>
      <c r="N784" s="21">
        <v>12</v>
      </c>
      <c r="O784" s="20">
        <v>0.9</v>
      </c>
      <c r="P784" s="20">
        <v>0.98</v>
      </c>
      <c r="Q784" s="20">
        <v>0.98</v>
      </c>
      <c r="R784" s="20">
        <f>IF(ISBLANK(L784),"",IF(ISBLANK(Q784),"",8.3145*(L784+273.15)*LN((Q784+1)/(1-Q784))*0.001))</f>
        <v>11.200125248824696</v>
      </c>
      <c r="S784" s="19" t="s">
        <v>1617</v>
      </c>
      <c r="T784" s="19"/>
      <c r="U784" s="19" t="s">
        <v>1655</v>
      </c>
      <c r="V784" s="3" t="s">
        <v>2413</v>
      </c>
      <c r="W784" s="19" t="s">
        <v>2414</v>
      </c>
    </row>
    <row r="785" spans="1:23" s="3" customFormat="1">
      <c r="A785" s="5" t="s">
        <v>1642</v>
      </c>
      <c r="B785" s="19" t="s">
        <v>2384</v>
      </c>
      <c r="C785" s="19" t="s">
        <v>1652</v>
      </c>
      <c r="D785" s="19"/>
      <c r="F785" s="20"/>
      <c r="G785" s="19" t="s">
        <v>1673</v>
      </c>
      <c r="H785" s="19" t="s">
        <v>2415</v>
      </c>
      <c r="I785" s="19"/>
      <c r="J785" s="19"/>
      <c r="K785" s="19"/>
      <c r="L785" s="19">
        <v>20</v>
      </c>
      <c r="M785" s="21">
        <v>9.9999499319999998</v>
      </c>
      <c r="N785" s="21">
        <v>1</v>
      </c>
      <c r="O785" s="20"/>
      <c r="P785" s="20"/>
      <c r="Q785" s="20"/>
      <c r="R785" s="20"/>
      <c r="S785" s="19" t="s">
        <v>1617</v>
      </c>
      <c r="T785" s="19"/>
      <c r="U785" s="19" t="s">
        <v>1655</v>
      </c>
      <c r="V785" s="3" t="s">
        <v>2416</v>
      </c>
      <c r="W785" s="19" t="s">
        <v>2417</v>
      </c>
    </row>
    <row r="786" spans="1:23" s="3" customFormat="1">
      <c r="A786" s="5" t="s">
        <v>1642</v>
      </c>
      <c r="B786" s="19" t="s">
        <v>2384</v>
      </c>
      <c r="C786" s="19" t="s">
        <v>1652</v>
      </c>
      <c r="D786" s="19"/>
      <c r="F786" s="20"/>
      <c r="G786" s="19" t="s">
        <v>1673</v>
      </c>
      <c r="J786" s="19"/>
      <c r="K786" s="19"/>
      <c r="L786" s="19">
        <v>20</v>
      </c>
      <c r="M786" s="21">
        <v>9.9999499319999998</v>
      </c>
      <c r="N786" s="21">
        <v>24</v>
      </c>
      <c r="O786" s="20"/>
      <c r="P786" s="20"/>
      <c r="Q786" s="20"/>
      <c r="R786" s="20"/>
      <c r="S786" s="19" t="s">
        <v>1617</v>
      </c>
      <c r="T786" s="19"/>
      <c r="U786" s="19" t="s">
        <v>1655</v>
      </c>
      <c r="V786" s="3" t="s">
        <v>2418</v>
      </c>
      <c r="W786" s="19" t="s">
        <v>2419</v>
      </c>
    </row>
    <row r="787" spans="1:23" s="3" customFormat="1">
      <c r="A787" s="5" t="s">
        <v>1642</v>
      </c>
      <c r="B787" s="19" t="s">
        <v>2384</v>
      </c>
      <c r="C787" s="19" t="s">
        <v>1652</v>
      </c>
      <c r="D787" s="19"/>
      <c r="F787" s="20"/>
      <c r="G787" s="19" t="s">
        <v>1673</v>
      </c>
      <c r="H787" s="19" t="s">
        <v>2420</v>
      </c>
      <c r="I787" s="19"/>
      <c r="J787" s="19"/>
      <c r="K787" s="19"/>
      <c r="L787" s="19">
        <v>20</v>
      </c>
      <c r="M787" s="21">
        <v>40.529888</v>
      </c>
      <c r="N787" s="21">
        <v>2</v>
      </c>
      <c r="O787" s="20"/>
      <c r="P787" s="20"/>
      <c r="Q787" s="20"/>
      <c r="R787" s="20"/>
      <c r="S787" s="19" t="s">
        <v>1617</v>
      </c>
      <c r="T787" s="19"/>
      <c r="U787" s="19" t="s">
        <v>1655</v>
      </c>
      <c r="V787" s="3" t="s">
        <v>2421</v>
      </c>
      <c r="W787" s="19" t="s">
        <v>2422</v>
      </c>
    </row>
    <row r="788" spans="1:23" s="3" customFormat="1">
      <c r="A788" s="5" t="s">
        <v>1642</v>
      </c>
      <c r="B788" s="19" t="s">
        <v>2384</v>
      </c>
      <c r="C788" s="19" t="s">
        <v>1652</v>
      </c>
      <c r="D788" s="19"/>
      <c r="F788" s="20"/>
      <c r="G788" s="19" t="s">
        <v>1673</v>
      </c>
      <c r="H788" s="19" t="s">
        <v>2423</v>
      </c>
      <c r="I788" s="19"/>
      <c r="J788" s="19"/>
      <c r="K788" s="19"/>
      <c r="L788" s="19">
        <v>20</v>
      </c>
      <c r="M788" s="21">
        <v>10.1331519422</v>
      </c>
      <c r="N788" s="21">
        <v>24</v>
      </c>
      <c r="O788" s="20"/>
      <c r="P788" s="20"/>
      <c r="Q788" s="20"/>
      <c r="R788" s="20"/>
      <c r="S788" s="19" t="s">
        <v>1617</v>
      </c>
      <c r="T788" s="19"/>
      <c r="U788" s="19" t="s">
        <v>1655</v>
      </c>
      <c r="V788" s="3" t="s">
        <v>2424</v>
      </c>
      <c r="W788" s="19" t="s">
        <v>2425</v>
      </c>
    </row>
    <row r="789" spans="1:23" s="3" customFormat="1">
      <c r="A789" s="5" t="s">
        <v>1642</v>
      </c>
      <c r="B789" s="19" t="s">
        <v>2384</v>
      </c>
      <c r="C789" s="19" t="s">
        <v>1884</v>
      </c>
      <c r="D789" s="19"/>
      <c r="F789" s="19" t="s">
        <v>2426</v>
      </c>
      <c r="G789" s="20"/>
      <c r="J789" s="19"/>
      <c r="K789" s="19"/>
      <c r="L789" s="19">
        <v>25</v>
      </c>
      <c r="M789" s="21">
        <v>6.0000899489999995</v>
      </c>
      <c r="N789" s="21">
        <v>20</v>
      </c>
      <c r="O789" s="20"/>
      <c r="P789" s="20"/>
      <c r="Q789" s="20"/>
      <c r="R789" s="20"/>
      <c r="S789" s="19" t="s">
        <v>1617</v>
      </c>
      <c r="T789" s="19"/>
      <c r="U789" s="19" t="s">
        <v>1655</v>
      </c>
      <c r="V789" s="3" t="s">
        <v>2427</v>
      </c>
      <c r="W789" s="19" t="s">
        <v>2428</v>
      </c>
    </row>
    <row r="790" spans="1:23" s="3" customFormat="1">
      <c r="A790" s="5" t="s">
        <v>1642</v>
      </c>
      <c r="B790" s="19" t="s">
        <v>2384</v>
      </c>
      <c r="C790" s="19" t="s">
        <v>2363</v>
      </c>
      <c r="D790" s="19"/>
      <c r="E790" s="19"/>
      <c r="F790" s="20"/>
      <c r="G790" s="19" t="s">
        <v>1644</v>
      </c>
      <c r="H790" s="19" t="s">
        <v>2429</v>
      </c>
      <c r="I790" s="19"/>
      <c r="J790" s="19"/>
      <c r="K790" s="19"/>
      <c r="L790" s="19">
        <v>25</v>
      </c>
      <c r="M790" s="21">
        <v>10.000149915</v>
      </c>
      <c r="N790" s="21">
        <v>16</v>
      </c>
      <c r="O790" s="20"/>
      <c r="P790" s="20"/>
      <c r="Q790" s="20"/>
      <c r="R790" s="20"/>
      <c r="S790" s="19" t="s">
        <v>1617</v>
      </c>
      <c r="T790" s="19"/>
      <c r="U790" s="19" t="s">
        <v>1655</v>
      </c>
      <c r="V790" s="3" t="s">
        <v>2430</v>
      </c>
      <c r="W790" s="19" t="s">
        <v>2431</v>
      </c>
    </row>
    <row r="791" spans="1:23" s="3" customFormat="1">
      <c r="A791" s="5" t="s">
        <v>1642</v>
      </c>
      <c r="B791" s="19" t="s">
        <v>2384</v>
      </c>
      <c r="C791" s="19" t="s">
        <v>1652</v>
      </c>
      <c r="D791" s="19"/>
      <c r="F791" s="20"/>
      <c r="G791" s="19" t="s">
        <v>1673</v>
      </c>
      <c r="H791" s="19" t="s">
        <v>2432</v>
      </c>
      <c r="I791" s="19"/>
      <c r="J791" s="19"/>
      <c r="K791" s="19"/>
      <c r="L791" s="19">
        <v>20</v>
      </c>
      <c r="M791" s="21">
        <v>5.0000816235999999</v>
      </c>
      <c r="N791" s="21">
        <v>16</v>
      </c>
      <c r="O791" s="20"/>
      <c r="P791" s="20"/>
      <c r="Q791" s="20"/>
      <c r="R791" s="20"/>
      <c r="S791" s="19" t="s">
        <v>1617</v>
      </c>
      <c r="T791" s="19"/>
      <c r="U791" s="19" t="s">
        <v>1655</v>
      </c>
      <c r="V791" s="3" t="s">
        <v>2433</v>
      </c>
      <c r="W791" s="19" t="s">
        <v>2434</v>
      </c>
    </row>
    <row r="792" spans="1:23" s="3" customFormat="1">
      <c r="A792" s="5" t="s">
        <v>1642</v>
      </c>
      <c r="B792" s="19" t="s">
        <v>2384</v>
      </c>
      <c r="C792" s="19" t="s">
        <v>1596</v>
      </c>
      <c r="D792" s="19"/>
      <c r="F792" s="20"/>
      <c r="G792" s="19" t="s">
        <v>1644</v>
      </c>
      <c r="H792" s="19" t="s">
        <v>2371</v>
      </c>
      <c r="I792" s="19" t="s">
        <v>2372</v>
      </c>
      <c r="J792" s="19"/>
      <c r="K792" s="19"/>
      <c r="L792" s="19">
        <v>20</v>
      </c>
      <c r="M792" s="21">
        <v>1.0000149915000001</v>
      </c>
      <c r="N792" s="21">
        <v>0.05</v>
      </c>
      <c r="O792" s="20"/>
      <c r="P792" s="20"/>
      <c r="Q792" s="20"/>
      <c r="R792" s="20"/>
      <c r="S792" s="19" t="s">
        <v>1617</v>
      </c>
      <c r="T792" s="19"/>
      <c r="U792" s="19" t="s">
        <v>1655</v>
      </c>
      <c r="V792" s="3" t="s">
        <v>2373</v>
      </c>
      <c r="W792" s="19" t="s">
        <v>2374</v>
      </c>
    </row>
    <row r="793" spans="1:23" s="3" customFormat="1">
      <c r="A793" s="5" t="s">
        <v>1642</v>
      </c>
      <c r="B793" s="19" t="s">
        <v>2384</v>
      </c>
      <c r="C793" s="19" t="s">
        <v>1596</v>
      </c>
      <c r="D793" s="19"/>
      <c r="F793" s="19" t="s">
        <v>2435</v>
      </c>
      <c r="G793" s="20"/>
      <c r="J793" s="19"/>
      <c r="K793" s="19"/>
      <c r="L793" s="19">
        <v>20</v>
      </c>
      <c r="M793" s="21">
        <v>1.0000149915000001</v>
      </c>
      <c r="N793" s="21">
        <v>0.05</v>
      </c>
      <c r="O793" s="20"/>
      <c r="P793" s="20"/>
      <c r="Q793" s="20"/>
      <c r="R793" s="20"/>
      <c r="S793" s="19" t="s">
        <v>1617</v>
      </c>
      <c r="T793" s="19"/>
      <c r="U793" s="19" t="s">
        <v>1655</v>
      </c>
      <c r="V793" s="3" t="s">
        <v>2352</v>
      </c>
      <c r="W793" s="19" t="s">
        <v>2353</v>
      </c>
    </row>
    <row r="794" spans="1:23" s="3" customFormat="1">
      <c r="A794" s="5" t="s">
        <v>1642</v>
      </c>
      <c r="B794" s="19" t="s">
        <v>2384</v>
      </c>
      <c r="C794" s="19" t="s">
        <v>1652</v>
      </c>
      <c r="D794" s="19"/>
      <c r="F794" s="19" t="s">
        <v>2436</v>
      </c>
      <c r="G794" s="20"/>
      <c r="J794" s="19"/>
      <c r="K794" s="19"/>
      <c r="L794" s="19">
        <v>20</v>
      </c>
      <c r="M794" s="21">
        <v>30.000516405999999</v>
      </c>
      <c r="N794" s="21">
        <v>0.5</v>
      </c>
      <c r="O794" s="20"/>
      <c r="P794" s="20"/>
      <c r="Q794" s="20"/>
      <c r="R794" s="20"/>
      <c r="S794" s="19" t="s">
        <v>1617</v>
      </c>
      <c r="T794" s="19"/>
      <c r="U794" s="19" t="s">
        <v>1655</v>
      </c>
      <c r="V794" s="3" t="s">
        <v>2437</v>
      </c>
      <c r="W794" s="19" t="s">
        <v>2438</v>
      </c>
    </row>
    <row r="795" spans="1:23" s="3" customFormat="1">
      <c r="A795" s="5" t="s">
        <v>1642</v>
      </c>
      <c r="B795" s="19" t="s">
        <v>2384</v>
      </c>
      <c r="C795" s="19" t="s">
        <v>1652</v>
      </c>
      <c r="D795" s="19"/>
      <c r="F795" s="19" t="s">
        <v>2439</v>
      </c>
      <c r="G795" s="20"/>
      <c r="J795" s="19"/>
      <c r="K795" s="19"/>
      <c r="L795" s="19">
        <v>20</v>
      </c>
      <c r="M795" s="21">
        <v>10.1331519422</v>
      </c>
      <c r="N795" s="21">
        <v>1</v>
      </c>
      <c r="O795" s="20"/>
      <c r="P795" s="20"/>
      <c r="Q795" s="20"/>
      <c r="R795" s="20"/>
      <c r="S795" s="19" t="s">
        <v>1617</v>
      </c>
      <c r="T795" s="19"/>
      <c r="U795" s="19" t="s">
        <v>1655</v>
      </c>
      <c r="V795" s="3" t="s">
        <v>2440</v>
      </c>
      <c r="W795" s="19" t="s">
        <v>2441</v>
      </c>
    </row>
    <row r="796" spans="1:23" s="3" customFormat="1">
      <c r="A796" s="5" t="s">
        <v>1642</v>
      </c>
      <c r="B796" s="19" t="s">
        <v>2384</v>
      </c>
      <c r="C796" s="19" t="s">
        <v>1596</v>
      </c>
      <c r="D796" s="19"/>
      <c r="F796" s="19" t="s">
        <v>2442</v>
      </c>
      <c r="G796" s="20"/>
      <c r="J796" s="19"/>
      <c r="K796" s="19"/>
      <c r="L796" s="19">
        <v>20</v>
      </c>
      <c r="M796" s="21">
        <v>1.0000149915000001</v>
      </c>
      <c r="N796" s="21">
        <v>0.05</v>
      </c>
      <c r="O796" s="20"/>
      <c r="P796" s="20"/>
      <c r="Q796" s="20"/>
      <c r="R796" s="20"/>
      <c r="S796" s="19" t="s">
        <v>1617</v>
      </c>
      <c r="T796" s="19"/>
      <c r="U796" s="19" t="s">
        <v>1655</v>
      </c>
      <c r="V796" s="3" t="s">
        <v>2355</v>
      </c>
      <c r="W796" s="19" t="s">
        <v>2356</v>
      </c>
    </row>
    <row r="797" spans="1:23" s="3" customFormat="1">
      <c r="A797" s="5" t="s">
        <v>1642</v>
      </c>
      <c r="B797" s="19" t="s">
        <v>2384</v>
      </c>
      <c r="C797" s="19" t="s">
        <v>1596</v>
      </c>
      <c r="D797" s="19"/>
      <c r="F797" s="19" t="s">
        <v>1658</v>
      </c>
      <c r="G797" s="20"/>
      <c r="I797" s="3" t="s">
        <v>2223</v>
      </c>
      <c r="J797" s="19" t="s">
        <v>2224</v>
      </c>
      <c r="K797" s="19"/>
      <c r="L797" s="19">
        <v>20</v>
      </c>
      <c r="M797" s="21">
        <v>3.0000516406000002</v>
      </c>
      <c r="N797" s="21"/>
      <c r="O797" s="20"/>
      <c r="P797" s="20">
        <v>0.97</v>
      </c>
      <c r="Q797" s="20">
        <v>0.97</v>
      </c>
      <c r="R797" s="20">
        <f>IF(ISBLANK(L797),"",IF(ISBLANK(Q797),"",8.3145*(L797+273.15)*LN((Q797+1)/(1-Q797))*0.001))</f>
        <v>10.199505077668341</v>
      </c>
      <c r="S797" s="19" t="s">
        <v>1617</v>
      </c>
      <c r="T797" s="19"/>
      <c r="U797" s="19" t="s">
        <v>1655</v>
      </c>
      <c r="V797" s="3" t="s">
        <v>2443</v>
      </c>
      <c r="W797" s="19" t="s">
        <v>2444</v>
      </c>
    </row>
    <row r="798" spans="1:23" s="3" customFormat="1">
      <c r="A798" s="5" t="s">
        <v>1642</v>
      </c>
      <c r="B798" s="19" t="s">
        <v>2384</v>
      </c>
      <c r="C798" s="19" t="s">
        <v>1596</v>
      </c>
      <c r="D798" s="19"/>
      <c r="F798" s="19" t="s">
        <v>2377</v>
      </c>
      <c r="G798" s="20"/>
      <c r="J798" s="19"/>
      <c r="K798" s="19"/>
      <c r="L798" s="19">
        <v>25</v>
      </c>
      <c r="M798" s="21">
        <v>10.000149915</v>
      </c>
      <c r="N798" s="21">
        <v>1</v>
      </c>
      <c r="O798" s="20"/>
      <c r="P798" s="20">
        <v>0.9</v>
      </c>
      <c r="Q798" s="20">
        <v>0.9</v>
      </c>
      <c r="R798" s="20">
        <f>IF(ISBLANK(L798),"",IF(ISBLANK(Q798),"",8.3145*(L798+273.15)*LN((Q798+1)/(1-Q798))*0.001))</f>
        <v>7.2991705225830952</v>
      </c>
      <c r="S798" s="19" t="s">
        <v>1617</v>
      </c>
      <c r="T798" s="19"/>
      <c r="U798" s="19" t="s">
        <v>1655</v>
      </c>
      <c r="V798" s="3" t="s">
        <v>2376</v>
      </c>
      <c r="W798" s="19" t="s">
        <v>2053</v>
      </c>
    </row>
    <row r="799" spans="1:23" s="3" customFormat="1">
      <c r="A799" s="5" t="s">
        <v>1642</v>
      </c>
      <c r="B799" s="19" t="s">
        <v>2384</v>
      </c>
      <c r="C799" s="19" t="s">
        <v>1652</v>
      </c>
      <c r="D799" s="19"/>
      <c r="F799" s="19" t="s">
        <v>2159</v>
      </c>
      <c r="G799" s="20"/>
      <c r="J799" s="19"/>
      <c r="K799" s="19"/>
      <c r="L799" s="19">
        <v>20</v>
      </c>
      <c r="M799" s="21">
        <v>10.000149915</v>
      </c>
      <c r="N799" s="21">
        <v>1</v>
      </c>
      <c r="O799" s="20"/>
      <c r="P799" s="20">
        <v>0.99</v>
      </c>
      <c r="Q799" s="20">
        <v>0.99</v>
      </c>
      <c r="R799" s="20">
        <f>IF(ISBLANK(L799),"",IF(ISBLANK(Q799),"",8.3145*(L799+273.15)*LN((Q799+1)/(1-Q799))*0.001))</f>
        <v>12.901878286240109</v>
      </c>
      <c r="S799" s="19" t="s">
        <v>1617</v>
      </c>
      <c r="T799" s="19"/>
      <c r="U799" s="19" t="s">
        <v>1655</v>
      </c>
      <c r="V799" s="3" t="s">
        <v>2445</v>
      </c>
      <c r="W799" s="19" t="s">
        <v>2161</v>
      </c>
    </row>
    <row r="800" spans="1:23" s="3" customFormat="1">
      <c r="A800" s="5" t="s">
        <v>1642</v>
      </c>
      <c r="B800" s="19" t="s">
        <v>2384</v>
      </c>
      <c r="C800" s="19" t="s">
        <v>2446</v>
      </c>
      <c r="D800" s="19" t="s">
        <v>1884</v>
      </c>
      <c r="E800" s="19" t="s">
        <v>2447</v>
      </c>
      <c r="F800" s="20"/>
      <c r="G800" s="19" t="s">
        <v>1644</v>
      </c>
      <c r="H800" s="19" t="s">
        <v>2448</v>
      </c>
      <c r="I800" s="19"/>
      <c r="J800" s="19"/>
      <c r="K800" s="19"/>
      <c r="L800" s="19"/>
      <c r="M800" s="21"/>
      <c r="N800" s="21"/>
      <c r="O800" s="20"/>
      <c r="P800" s="20"/>
      <c r="Q800" s="20"/>
      <c r="R800" s="20"/>
      <c r="S800" s="19" t="s">
        <v>1617</v>
      </c>
      <c r="T800" s="19"/>
      <c r="U800" s="19" t="s">
        <v>1655</v>
      </c>
      <c r="V800" s="3" t="s">
        <v>2449</v>
      </c>
      <c r="W800" s="19" t="s">
        <v>2450</v>
      </c>
    </row>
    <row r="801" spans="1:23" s="3" customFormat="1">
      <c r="A801" s="5" t="s">
        <v>1642</v>
      </c>
      <c r="B801" s="19" t="s">
        <v>2384</v>
      </c>
      <c r="C801" s="19" t="s">
        <v>2446</v>
      </c>
      <c r="D801" s="19" t="s">
        <v>1884</v>
      </c>
      <c r="E801" s="19" t="s">
        <v>2447</v>
      </c>
      <c r="F801" s="20"/>
      <c r="G801" s="19" t="s">
        <v>1644</v>
      </c>
      <c r="H801" s="19" t="s">
        <v>2451</v>
      </c>
      <c r="I801" s="19"/>
      <c r="J801" s="19"/>
      <c r="K801" s="19"/>
      <c r="L801" s="19"/>
      <c r="M801" s="21"/>
      <c r="N801" s="21"/>
      <c r="O801" s="20"/>
      <c r="P801" s="20"/>
      <c r="Q801" s="20"/>
      <c r="R801" s="20"/>
      <c r="S801" s="19" t="s">
        <v>1617</v>
      </c>
      <c r="T801" s="19"/>
      <c r="U801" s="19" t="s">
        <v>1655</v>
      </c>
      <c r="V801" s="3" t="s">
        <v>2449</v>
      </c>
      <c r="W801" s="19" t="s">
        <v>2450</v>
      </c>
    </row>
    <row r="802" spans="1:23" s="3" customFormat="1">
      <c r="A802" s="5" t="s">
        <v>1642</v>
      </c>
      <c r="B802" s="19" t="s">
        <v>2384</v>
      </c>
      <c r="C802" s="19" t="s">
        <v>2446</v>
      </c>
      <c r="D802" s="19" t="s">
        <v>1884</v>
      </c>
      <c r="E802" s="19" t="s">
        <v>2452</v>
      </c>
      <c r="F802" s="20"/>
      <c r="G802" s="19" t="s">
        <v>1644</v>
      </c>
      <c r="H802" s="19" t="s">
        <v>2451</v>
      </c>
      <c r="I802" s="19"/>
      <c r="J802" s="19"/>
      <c r="K802" s="19"/>
      <c r="L802" s="19"/>
      <c r="M802" s="21"/>
      <c r="N802" s="21"/>
      <c r="O802" s="20"/>
      <c r="P802" s="20"/>
      <c r="Q802" s="20"/>
      <c r="R802" s="20"/>
      <c r="S802" s="19" t="s">
        <v>1617</v>
      </c>
      <c r="T802" s="19"/>
      <c r="U802" s="19" t="s">
        <v>1655</v>
      </c>
      <c r="V802" s="3" t="s">
        <v>2449</v>
      </c>
      <c r="W802" s="19" t="s">
        <v>2450</v>
      </c>
    </row>
    <row r="803" spans="1:23" s="3" customFormat="1">
      <c r="A803" s="5" t="s">
        <v>1642</v>
      </c>
      <c r="B803" s="19" t="s">
        <v>2384</v>
      </c>
      <c r="C803" s="19" t="s">
        <v>1672</v>
      </c>
      <c r="D803" s="19" t="s">
        <v>1884</v>
      </c>
      <c r="E803" s="19" t="s">
        <v>2452</v>
      </c>
      <c r="F803" s="20"/>
      <c r="G803" s="19" t="s">
        <v>1644</v>
      </c>
      <c r="H803" s="19" t="s">
        <v>2451</v>
      </c>
      <c r="I803" s="19"/>
      <c r="J803" s="19"/>
      <c r="K803" s="19"/>
      <c r="L803" s="19"/>
      <c r="M803" s="21"/>
      <c r="N803" s="21"/>
      <c r="O803" s="20"/>
      <c r="P803" s="20"/>
      <c r="Q803" s="20"/>
      <c r="R803" s="20"/>
      <c r="S803" s="19" t="s">
        <v>1617</v>
      </c>
      <c r="T803" s="19"/>
      <c r="U803" s="19" t="s">
        <v>1655</v>
      </c>
      <c r="V803" s="3" t="s">
        <v>2449</v>
      </c>
      <c r="W803" s="19" t="s">
        <v>2450</v>
      </c>
    </row>
    <row r="804" spans="1:23" s="3" customFormat="1">
      <c r="A804" s="5" t="s">
        <v>1642</v>
      </c>
      <c r="B804" s="19" t="s">
        <v>2384</v>
      </c>
      <c r="C804" s="19" t="s">
        <v>1652</v>
      </c>
      <c r="D804" s="19"/>
      <c r="E804" s="19" t="s">
        <v>2453</v>
      </c>
      <c r="F804" s="4"/>
      <c r="G804" s="19" t="s">
        <v>2075</v>
      </c>
      <c r="H804" s="19" t="s">
        <v>2454</v>
      </c>
      <c r="I804" s="19"/>
      <c r="J804" s="19"/>
      <c r="K804" s="19"/>
      <c r="L804" s="19">
        <v>20</v>
      </c>
      <c r="M804" s="21">
        <v>20.000299829999999</v>
      </c>
      <c r="N804" s="21"/>
      <c r="O804" s="20"/>
      <c r="P804" s="20">
        <v>0.95</v>
      </c>
      <c r="Q804" s="20">
        <v>0.95</v>
      </c>
      <c r="R804" s="20">
        <f>IF(ISBLANK(L804),"",IF(ISBLANK(Q804),"",8.3145*(L804+273.15)*LN((Q804+1)/(1-Q804))*0.001))</f>
        <v>8.9295493113722788</v>
      </c>
      <c r="S804" s="19" t="s">
        <v>1617</v>
      </c>
      <c r="T804" s="19"/>
      <c r="U804" s="19" t="s">
        <v>1655</v>
      </c>
      <c r="V804" s="3" t="s">
        <v>2455</v>
      </c>
      <c r="W804" s="19" t="s">
        <v>2163</v>
      </c>
    </row>
    <row r="805" spans="1:23" s="3" customFormat="1">
      <c r="A805" s="5" t="s">
        <v>1642</v>
      </c>
      <c r="B805" s="19" t="s">
        <v>2384</v>
      </c>
      <c r="C805" s="19" t="s">
        <v>1884</v>
      </c>
      <c r="D805" s="19"/>
      <c r="F805" s="19" t="s">
        <v>2456</v>
      </c>
      <c r="G805" s="20"/>
      <c r="J805" s="19"/>
      <c r="K805" s="19"/>
      <c r="L805" s="19">
        <v>20</v>
      </c>
      <c r="M805" s="21">
        <v>20.266277219999999</v>
      </c>
      <c r="N805" s="21">
        <v>12</v>
      </c>
      <c r="O805" s="20"/>
      <c r="P805" s="20">
        <v>0.93</v>
      </c>
      <c r="Q805" s="20">
        <v>0.93</v>
      </c>
      <c r="R805" s="20">
        <f>IF(ISBLANK(L805),"",IF(ISBLANK(Q805),"",8.3145*(L805+273.15)*LN((Q805+1)/(1-Q805))*0.001))</f>
        <v>8.084305324055677</v>
      </c>
      <c r="S805" s="19" t="s">
        <v>1617</v>
      </c>
      <c r="T805" s="19"/>
      <c r="U805" s="19" t="s">
        <v>1655</v>
      </c>
      <c r="V805" s="3" t="s">
        <v>2457</v>
      </c>
      <c r="W805" s="19" t="s">
        <v>2458</v>
      </c>
    </row>
    <row r="806" spans="1:23" s="3" customFormat="1">
      <c r="A806" s="5" t="s">
        <v>1642</v>
      </c>
      <c r="B806" s="19" t="s">
        <v>2384</v>
      </c>
      <c r="C806" s="19" t="s">
        <v>1672</v>
      </c>
      <c r="D806" s="19"/>
      <c r="F806" s="20"/>
      <c r="G806" s="19" t="s">
        <v>1644</v>
      </c>
      <c r="H806" s="19" t="s">
        <v>2459</v>
      </c>
      <c r="I806" s="19"/>
      <c r="J806" s="19"/>
      <c r="K806" s="19"/>
      <c r="L806" s="19">
        <v>20</v>
      </c>
      <c r="M806" s="21">
        <v>20.000299829999999</v>
      </c>
      <c r="N806" s="21">
        <v>18</v>
      </c>
      <c r="O806" s="20"/>
      <c r="P806" s="20">
        <v>0.94</v>
      </c>
      <c r="Q806" s="20">
        <v>0.94</v>
      </c>
      <c r="R806" s="20">
        <f>IF(ISBLANK(L806),"",IF(ISBLANK(Q806),"",8.3145*(L806+273.15)*LN((Q806+1)/(1-Q806))*0.001))</f>
        <v>8.4726279124776589</v>
      </c>
      <c r="S806" s="19" t="s">
        <v>1617</v>
      </c>
      <c r="T806" s="19"/>
      <c r="U806" s="19" t="s">
        <v>1655</v>
      </c>
      <c r="V806" s="3" t="s">
        <v>2460</v>
      </c>
      <c r="W806" s="19" t="s">
        <v>1919</v>
      </c>
    </row>
    <row r="807" spans="1:23" s="3" customFormat="1">
      <c r="A807" s="5" t="s">
        <v>1642</v>
      </c>
      <c r="B807" s="19" t="s">
        <v>2384</v>
      </c>
      <c r="C807" s="19" t="s">
        <v>1652</v>
      </c>
      <c r="D807" s="19"/>
      <c r="F807" s="20"/>
      <c r="G807" s="19" t="s">
        <v>1673</v>
      </c>
      <c r="H807" s="19" t="s">
        <v>2461</v>
      </c>
      <c r="I807" s="19"/>
      <c r="J807" s="19"/>
      <c r="K807" s="19"/>
      <c r="L807" s="19">
        <v>25</v>
      </c>
      <c r="M807" s="21">
        <v>10.1331519422</v>
      </c>
      <c r="N807" s="21"/>
      <c r="O807" s="20"/>
      <c r="P807" s="20">
        <v>0.91</v>
      </c>
      <c r="Q807" s="20">
        <v>0.91</v>
      </c>
      <c r="R807" s="20">
        <f>IF(ISBLANK(L807),"",IF(ISBLANK(Q807),"",8.3145*(L807+273.15)*LN((Q807+1)/(1-Q807))*0.001))</f>
        <v>7.5733688739814342</v>
      </c>
      <c r="S807" s="19" t="s">
        <v>1617</v>
      </c>
      <c r="T807" s="19"/>
      <c r="U807" s="19" t="s">
        <v>1655</v>
      </c>
      <c r="V807" s="3" t="s">
        <v>2462</v>
      </c>
      <c r="W807" s="19" t="s">
        <v>2463</v>
      </c>
    </row>
    <row r="808" spans="1:23" s="3" customFormat="1">
      <c r="A808" s="5" t="s">
        <v>1642</v>
      </c>
      <c r="B808" s="19" t="s">
        <v>2384</v>
      </c>
      <c r="C808" s="19" t="s">
        <v>1884</v>
      </c>
      <c r="D808" s="19"/>
      <c r="E808" s="19" t="s">
        <v>2447</v>
      </c>
      <c r="F808" s="20"/>
      <c r="G808" s="19" t="s">
        <v>1644</v>
      </c>
      <c r="J808" s="19"/>
      <c r="K808" s="19"/>
      <c r="L808" s="19"/>
      <c r="M808" s="21"/>
      <c r="N808" s="21"/>
      <c r="O808" s="20"/>
      <c r="P808" s="20"/>
      <c r="Q808" s="20"/>
      <c r="R808" s="20"/>
      <c r="S808" s="19" t="s">
        <v>1617</v>
      </c>
      <c r="T808" s="19"/>
      <c r="U808" s="19" t="s">
        <v>1647</v>
      </c>
      <c r="V808" s="3" t="s">
        <v>2464</v>
      </c>
      <c r="W808" s="19" t="s">
        <v>2465</v>
      </c>
    </row>
    <row r="809" spans="1:23" s="3" customFormat="1">
      <c r="A809" s="5" t="s">
        <v>1642</v>
      </c>
      <c r="B809" s="19" t="s">
        <v>2384</v>
      </c>
      <c r="C809" s="19" t="s">
        <v>1884</v>
      </c>
      <c r="D809" s="19"/>
      <c r="E809" s="19" t="s">
        <v>2466</v>
      </c>
      <c r="F809" s="20"/>
      <c r="G809" s="19" t="s">
        <v>1644</v>
      </c>
      <c r="H809" s="19" t="s">
        <v>2451</v>
      </c>
      <c r="I809" s="19"/>
      <c r="J809" s="19"/>
      <c r="K809" s="19"/>
      <c r="L809" s="19"/>
      <c r="M809" s="21"/>
      <c r="N809" s="21"/>
      <c r="O809" s="20"/>
      <c r="P809" s="20"/>
      <c r="Q809" s="20"/>
      <c r="R809" s="20"/>
      <c r="S809" s="19" t="s">
        <v>1617</v>
      </c>
      <c r="T809" s="19"/>
      <c r="U809" s="19" t="s">
        <v>1647</v>
      </c>
      <c r="V809" s="3" t="s">
        <v>2464</v>
      </c>
      <c r="W809" s="19" t="s">
        <v>2465</v>
      </c>
    </row>
    <row r="810" spans="1:23" s="3" customFormat="1">
      <c r="A810" s="5" t="s">
        <v>1642</v>
      </c>
      <c r="B810" s="19" t="s">
        <v>2384</v>
      </c>
      <c r="C810" s="19" t="s">
        <v>1672</v>
      </c>
      <c r="D810" s="19"/>
      <c r="F810" s="19" t="s">
        <v>1930</v>
      </c>
      <c r="G810" s="20"/>
      <c r="J810" s="19"/>
      <c r="K810" s="19"/>
      <c r="L810" s="19">
        <v>20</v>
      </c>
      <c r="M810" s="21">
        <v>20.000299829999999</v>
      </c>
      <c r="N810" s="21">
        <v>18</v>
      </c>
      <c r="O810" s="20"/>
      <c r="P810" s="20">
        <v>0.98</v>
      </c>
      <c r="Q810" s="20">
        <v>0.98</v>
      </c>
      <c r="R810" s="20">
        <f>IF(ISBLANK(L810),"",IF(ISBLANK(Q810),"",8.3145*(L810+273.15)*LN((Q810+1)/(1-Q810))*0.001))</f>
        <v>11.200125248824696</v>
      </c>
      <c r="S810" s="19" t="s">
        <v>1617</v>
      </c>
      <c r="T810" s="19"/>
      <c r="U810" s="19" t="s">
        <v>1655</v>
      </c>
      <c r="V810" s="3" t="s">
        <v>2467</v>
      </c>
      <c r="W810" s="19" t="s">
        <v>1932</v>
      </c>
    </row>
    <row r="811" spans="1:23" s="3" customFormat="1">
      <c r="A811" s="5" t="s">
        <v>1642</v>
      </c>
      <c r="B811" s="19" t="s">
        <v>2384</v>
      </c>
      <c r="C811" s="19" t="s">
        <v>1596</v>
      </c>
      <c r="D811" s="19"/>
      <c r="F811" s="19" t="s">
        <v>1731</v>
      </c>
      <c r="G811" s="20"/>
      <c r="J811" s="19"/>
      <c r="K811" s="19"/>
      <c r="L811" s="19">
        <v>22</v>
      </c>
      <c r="M811" s="21">
        <v>1.0000149915000001</v>
      </c>
      <c r="N811" s="21">
        <v>0.33333299999999999</v>
      </c>
      <c r="O811" s="20"/>
      <c r="P811" s="20">
        <v>0.97</v>
      </c>
      <c r="Q811" s="20">
        <v>0.97</v>
      </c>
      <c r="R811" s="20">
        <f>IF(ISBLANK(L811),"",IF(ISBLANK(Q811),"",8.3145*(L811+273.15)*LN((Q811+1)/(1-Q811))*0.001))</f>
        <v>10.269090648725264</v>
      </c>
      <c r="S811" s="19" t="s">
        <v>1617</v>
      </c>
      <c r="T811" s="19"/>
      <c r="U811" s="19" t="s">
        <v>1655</v>
      </c>
      <c r="V811" s="3" t="s">
        <v>2468</v>
      </c>
      <c r="W811" s="19" t="s">
        <v>1735</v>
      </c>
    </row>
    <row r="812" spans="1:23" s="3" customFormat="1">
      <c r="A812" s="5" t="s">
        <v>1642</v>
      </c>
      <c r="B812" s="19" t="s">
        <v>2384</v>
      </c>
      <c r="C812" s="19" t="s">
        <v>1652</v>
      </c>
      <c r="D812" s="19"/>
      <c r="F812" s="20"/>
      <c r="G812" s="19" t="s">
        <v>1673</v>
      </c>
      <c r="H812" s="19" t="s">
        <v>2469</v>
      </c>
      <c r="I812" s="19"/>
      <c r="J812" s="19"/>
      <c r="K812" s="19"/>
      <c r="L812" s="19">
        <v>0</v>
      </c>
      <c r="M812" s="21">
        <v>30.000516405999999</v>
      </c>
      <c r="N812" s="21">
        <v>36</v>
      </c>
      <c r="O812" s="20"/>
      <c r="P812" s="20">
        <v>0.98</v>
      </c>
      <c r="Q812" s="20">
        <v>0.98</v>
      </c>
      <c r="R812" s="20">
        <f>IF(ISBLANK(L812),"",IF(ISBLANK(Q812),"",8.3145*(L812+273.15)*LN((Q812+1)/(1-Q812))*0.001))</f>
        <v>10.436002768945814</v>
      </c>
      <c r="S812" s="19" t="s">
        <v>1617</v>
      </c>
      <c r="T812" s="19"/>
      <c r="U812" s="19" t="s">
        <v>1655</v>
      </c>
      <c r="V812" s="3" t="s">
        <v>2470</v>
      </c>
      <c r="W812" s="19" t="s">
        <v>1935</v>
      </c>
    </row>
    <row r="813" spans="1:23" s="3" customFormat="1">
      <c r="A813" s="5" t="s">
        <v>1642</v>
      </c>
      <c r="B813" s="19" t="s">
        <v>2384</v>
      </c>
      <c r="C813" s="19" t="s">
        <v>2471</v>
      </c>
      <c r="D813" s="19"/>
      <c r="E813" s="19" t="s">
        <v>2472</v>
      </c>
      <c r="F813" s="20"/>
      <c r="G813" s="19" t="s">
        <v>1644</v>
      </c>
      <c r="H813" s="19" t="s">
        <v>2473</v>
      </c>
      <c r="I813" s="19"/>
      <c r="J813" s="19"/>
      <c r="K813" s="19"/>
      <c r="L813" s="19">
        <v>25</v>
      </c>
      <c r="M813" s="21">
        <v>20.266277219999999</v>
      </c>
      <c r="N813" s="21">
        <v>12</v>
      </c>
      <c r="O813" s="20"/>
      <c r="P813" s="20">
        <v>0.91</v>
      </c>
      <c r="Q813" s="20">
        <v>0.91</v>
      </c>
      <c r="R813" s="20">
        <f>IF(ISBLANK(L813),"",IF(ISBLANK(Q813),"",8.3145*(L813+273.15)*LN((Q813+1)/(1-Q813))*0.001))</f>
        <v>7.5733688739814342</v>
      </c>
      <c r="S813" s="19" t="s">
        <v>1617</v>
      </c>
      <c r="T813" s="19"/>
      <c r="U813" s="19" t="s">
        <v>1655</v>
      </c>
      <c r="V813" s="3" t="s">
        <v>2474</v>
      </c>
      <c r="W813" s="19" t="s">
        <v>1941</v>
      </c>
    </row>
    <row r="814" spans="1:23" s="3" customFormat="1">
      <c r="A814" s="5" t="s">
        <v>1642</v>
      </c>
      <c r="B814" s="19" t="s">
        <v>2384</v>
      </c>
      <c r="C814" s="19" t="s">
        <v>1596</v>
      </c>
      <c r="D814" s="19"/>
      <c r="F814" s="19" t="s">
        <v>2475</v>
      </c>
      <c r="G814" s="20"/>
      <c r="J814" s="19"/>
      <c r="K814" s="19"/>
      <c r="L814" s="19"/>
      <c r="M814" s="21">
        <v>3.0399415830000001</v>
      </c>
      <c r="N814" s="21">
        <v>0.7</v>
      </c>
      <c r="O814" s="20"/>
      <c r="P814" s="20">
        <v>0.98</v>
      </c>
      <c r="Q814" s="20">
        <v>0.98</v>
      </c>
      <c r="R814" s="20"/>
      <c r="S814" s="19" t="s">
        <v>1617</v>
      </c>
      <c r="T814" s="19"/>
      <c r="U814" s="19" t="s">
        <v>1647</v>
      </c>
      <c r="V814" s="3" t="s">
        <v>2476</v>
      </c>
      <c r="W814" s="19" t="s">
        <v>1947</v>
      </c>
    </row>
    <row r="815" spans="1:23" s="3" customFormat="1">
      <c r="A815" s="5" t="s">
        <v>1642</v>
      </c>
      <c r="B815" s="19" t="s">
        <v>2384</v>
      </c>
      <c r="C815" s="19" t="s">
        <v>1672</v>
      </c>
      <c r="D815" s="19"/>
      <c r="F815" s="20"/>
      <c r="G815" s="19" t="s">
        <v>1806</v>
      </c>
      <c r="H815" s="19" t="s">
        <v>2477</v>
      </c>
      <c r="I815" s="19" t="s">
        <v>2229</v>
      </c>
      <c r="J815" s="19"/>
      <c r="K815" s="19" t="s">
        <v>290</v>
      </c>
      <c r="L815" s="19">
        <v>20</v>
      </c>
      <c r="M815" s="21">
        <v>10.000149915</v>
      </c>
      <c r="N815" s="21">
        <v>1</v>
      </c>
      <c r="O815" s="20"/>
      <c r="P815" s="20">
        <v>0.96400000000000008</v>
      </c>
      <c r="Q815" s="20">
        <v>0.96400000000000008</v>
      </c>
      <c r="R815" s="20">
        <f>IF(ISBLANK(L815),"",IF(ISBLANK(Q815),"",8.3145*(L815+273.15)*LN((Q815+1)/(1-Q815))*0.001))</f>
        <v>9.7476804356625149</v>
      </c>
      <c r="S815" s="19" t="s">
        <v>1617</v>
      </c>
      <c r="T815" s="19"/>
      <c r="U815" s="19" t="s">
        <v>1655</v>
      </c>
      <c r="V815" s="3" t="s">
        <v>2478</v>
      </c>
      <c r="W815" s="19" t="s">
        <v>2166</v>
      </c>
    </row>
    <row r="816" spans="1:23" s="3" customFormat="1">
      <c r="A816" s="5" t="s">
        <v>1642</v>
      </c>
      <c r="B816" s="19" t="s">
        <v>2384</v>
      </c>
      <c r="C816" s="19" t="s">
        <v>1596</v>
      </c>
      <c r="D816" s="19"/>
      <c r="F816" s="19" t="s">
        <v>2479</v>
      </c>
      <c r="G816" s="20"/>
      <c r="J816" s="19"/>
      <c r="K816" s="19"/>
      <c r="L816" s="19">
        <v>20</v>
      </c>
      <c r="M816" s="21">
        <v>1.378949446</v>
      </c>
      <c r="N816" s="21">
        <v>12</v>
      </c>
      <c r="O816" s="20">
        <v>1</v>
      </c>
      <c r="P816" s="20"/>
      <c r="Q816" s="20"/>
      <c r="R816" s="20"/>
      <c r="S816" s="19" t="s">
        <v>1597</v>
      </c>
      <c r="T816" s="19"/>
      <c r="U816" s="19" t="s">
        <v>1655</v>
      </c>
      <c r="V816" s="3" t="s">
        <v>2480</v>
      </c>
      <c r="W816" s="19" t="s">
        <v>2481</v>
      </c>
    </row>
    <row r="817" spans="1:23" s="3" customFormat="1">
      <c r="A817" s="5" t="s">
        <v>1642</v>
      </c>
      <c r="B817" s="19" t="s">
        <v>2384</v>
      </c>
      <c r="C817" s="19" t="s">
        <v>1652</v>
      </c>
      <c r="D817" s="19"/>
      <c r="F817" s="20"/>
      <c r="G817" s="19" t="s">
        <v>1644</v>
      </c>
      <c r="H817" s="19" t="s">
        <v>2482</v>
      </c>
      <c r="I817" s="19"/>
      <c r="J817" s="19"/>
      <c r="K817" s="19"/>
      <c r="L817" s="19">
        <v>50</v>
      </c>
      <c r="M817" s="21">
        <v>51.711737461999995</v>
      </c>
      <c r="N817" s="21">
        <v>12</v>
      </c>
      <c r="O817" s="20">
        <v>0.99</v>
      </c>
      <c r="P817" s="20">
        <v>0.99</v>
      </c>
      <c r="Q817" s="20">
        <v>0.99</v>
      </c>
      <c r="R817" s="20">
        <f>IF(ISBLANK(L817),"",IF(ISBLANK(Q817),"",8.3145*(L817+273.15)*LN((Q817+1)/(1-Q817))*0.001))</f>
        <v>14.222213775195263</v>
      </c>
      <c r="S817" s="19" t="s">
        <v>1597</v>
      </c>
      <c r="T817" s="19"/>
      <c r="U817" s="19" t="s">
        <v>1647</v>
      </c>
      <c r="V817" s="3" t="s">
        <v>2409</v>
      </c>
      <c r="W817" s="19" t="s">
        <v>1671</v>
      </c>
    </row>
    <row r="818" spans="1:23" s="3" customFormat="1">
      <c r="A818" s="5" t="s">
        <v>1642</v>
      </c>
      <c r="B818" s="19" t="s">
        <v>2384</v>
      </c>
      <c r="C818" s="19" t="s">
        <v>1652</v>
      </c>
      <c r="D818" s="19"/>
      <c r="F818" s="20"/>
      <c r="G818" s="19" t="s">
        <v>1673</v>
      </c>
      <c r="H818" s="19" t="s">
        <v>2483</v>
      </c>
      <c r="I818" s="19"/>
      <c r="J818" s="19"/>
      <c r="K818" s="19"/>
      <c r="L818" s="19">
        <v>25</v>
      </c>
      <c r="M818" s="21">
        <v>10.000149915</v>
      </c>
      <c r="N818" s="21">
        <v>12</v>
      </c>
      <c r="O818" s="20">
        <v>0.99</v>
      </c>
      <c r="P818" s="20">
        <v>0.99900000000000011</v>
      </c>
      <c r="Q818" s="20">
        <v>0.99900000000000011</v>
      </c>
      <c r="R818" s="20">
        <f>IF(ISBLANK(L818),"",IF(ISBLANK(Q818),"",8.3145*(L818+273.15)*LN((Q818+1)/(1-Q818))*0.001))</f>
        <v>18.841155504422471</v>
      </c>
      <c r="S818" s="19" t="s">
        <v>1597</v>
      </c>
      <c r="T818" s="19"/>
      <c r="U818" s="19" t="s">
        <v>1647</v>
      </c>
      <c r="V818" s="3" t="s">
        <v>2484</v>
      </c>
      <c r="W818" s="19" t="s">
        <v>2485</v>
      </c>
    </row>
    <row r="819" spans="1:23" s="3" customFormat="1">
      <c r="A819" s="5" t="s">
        <v>1642</v>
      </c>
      <c r="B819" s="19" t="s">
        <v>2384</v>
      </c>
      <c r="C819" s="19" t="s">
        <v>1652</v>
      </c>
      <c r="D819" s="19"/>
      <c r="F819" s="20"/>
      <c r="G819" s="19" t="s">
        <v>1673</v>
      </c>
      <c r="H819" s="19" t="s">
        <v>2486</v>
      </c>
      <c r="I819" s="19"/>
      <c r="J819" s="19"/>
      <c r="K819" s="19"/>
      <c r="L819" s="19">
        <v>20</v>
      </c>
      <c r="M819" s="21">
        <v>10.000149915</v>
      </c>
      <c r="N819" s="21">
        <v>12</v>
      </c>
      <c r="O819" s="20">
        <v>0.99</v>
      </c>
      <c r="P819" s="20">
        <v>0.99900000000000011</v>
      </c>
      <c r="Q819" s="20">
        <v>0.99900000000000011</v>
      </c>
      <c r="R819" s="20">
        <f>IF(ISBLANK(L819),"",IF(ISBLANK(Q819),"",8.3145*(L819+273.15)*LN((Q819+1)/(1-Q819))*0.001))</f>
        <v>18.52518777837145</v>
      </c>
      <c r="S819" s="19" t="s">
        <v>1597</v>
      </c>
      <c r="T819" s="19"/>
      <c r="U819" s="19" t="s">
        <v>1655</v>
      </c>
      <c r="V819" s="3" t="s">
        <v>2487</v>
      </c>
      <c r="W819" s="19" t="s">
        <v>1889</v>
      </c>
    </row>
    <row r="820" spans="1:23" s="3" customFormat="1">
      <c r="A820" s="5" t="s">
        <v>1642</v>
      </c>
      <c r="B820" s="19" t="s">
        <v>2384</v>
      </c>
      <c r="C820" s="19" t="s">
        <v>1652</v>
      </c>
      <c r="D820" s="19"/>
      <c r="F820" s="20"/>
      <c r="G820" s="19" t="s">
        <v>1644</v>
      </c>
      <c r="H820" s="19" t="s">
        <v>2483</v>
      </c>
      <c r="I820" s="19"/>
      <c r="J820" s="19"/>
      <c r="K820" s="19"/>
      <c r="L820" s="19">
        <v>25</v>
      </c>
      <c r="M820" s="21">
        <v>10.000149915</v>
      </c>
      <c r="N820" s="21">
        <v>12</v>
      </c>
      <c r="O820" s="20">
        <v>0.99</v>
      </c>
      <c r="P820" s="20">
        <v>0.99900000000000011</v>
      </c>
      <c r="Q820" s="20">
        <v>0.99900000000000011</v>
      </c>
      <c r="R820" s="20">
        <f>IF(ISBLANK(L820),"",IF(ISBLANK(Q820),"",8.3145*(L820+273.15)*LN((Q820+1)/(1-Q820))*0.001))</f>
        <v>18.841155504422471</v>
      </c>
      <c r="S820" s="19" t="s">
        <v>1597</v>
      </c>
      <c r="T820" s="19"/>
      <c r="U820" s="19" t="s">
        <v>1647</v>
      </c>
      <c r="V820" s="3" t="s">
        <v>2484</v>
      </c>
      <c r="W820" s="19" t="s">
        <v>2485</v>
      </c>
    </row>
    <row r="821" spans="1:23" s="3" customFormat="1">
      <c r="A821" s="5" t="s">
        <v>1642</v>
      </c>
      <c r="B821" s="19" t="s">
        <v>2384</v>
      </c>
      <c r="C821" s="19" t="s">
        <v>1596</v>
      </c>
      <c r="D821" s="19"/>
      <c r="F821" s="19" t="s">
        <v>1761</v>
      </c>
      <c r="G821" s="20"/>
      <c r="J821" s="19"/>
      <c r="K821" s="19"/>
      <c r="L821" s="19"/>
      <c r="M821" s="21">
        <v>3.0399415830000001</v>
      </c>
      <c r="N821" s="21">
        <v>0.8</v>
      </c>
      <c r="O821" s="20">
        <v>0.95</v>
      </c>
      <c r="P821" s="20">
        <v>0.96900000000000008</v>
      </c>
      <c r="Q821" s="20">
        <v>0.96900000000000008</v>
      </c>
      <c r="R821" s="20"/>
      <c r="S821" s="19" t="s">
        <v>1597</v>
      </c>
      <c r="T821" s="19"/>
      <c r="U821" s="19" t="s">
        <v>1655</v>
      </c>
      <c r="V821" s="3" t="s">
        <v>2488</v>
      </c>
      <c r="W821" s="19" t="s">
        <v>1669</v>
      </c>
    </row>
    <row r="822" spans="1:23" s="3" customFormat="1">
      <c r="A822" s="5" t="s">
        <v>1642</v>
      </c>
      <c r="B822" s="19" t="s">
        <v>2384</v>
      </c>
      <c r="C822" s="19" t="s">
        <v>1672</v>
      </c>
      <c r="D822" s="19"/>
      <c r="F822" s="19" t="s">
        <v>2489</v>
      </c>
      <c r="G822" s="20"/>
      <c r="I822" s="3" t="s">
        <v>2490</v>
      </c>
      <c r="J822" s="19"/>
      <c r="K822" s="19" t="s">
        <v>322</v>
      </c>
      <c r="L822" s="19">
        <v>5</v>
      </c>
      <c r="M822" s="21">
        <v>1.0132471999999999</v>
      </c>
      <c r="N822" s="21">
        <v>0.5</v>
      </c>
      <c r="O822" s="20"/>
      <c r="P822" s="20"/>
      <c r="Q822" s="20"/>
      <c r="R822" s="20"/>
      <c r="S822" s="19" t="s">
        <v>1597</v>
      </c>
      <c r="T822" s="19"/>
      <c r="U822" s="19" t="s">
        <v>2491</v>
      </c>
      <c r="V822" s="3" t="s">
        <v>2492</v>
      </c>
      <c r="W822" s="19" t="s">
        <v>2493</v>
      </c>
    </row>
    <row r="823" spans="1:23" s="3" customFormat="1">
      <c r="A823" s="5" t="s">
        <v>1642</v>
      </c>
      <c r="B823" s="19" t="s">
        <v>2384</v>
      </c>
      <c r="C823" s="19" t="s">
        <v>1672</v>
      </c>
      <c r="D823" s="19"/>
      <c r="F823" s="19" t="s">
        <v>2489</v>
      </c>
      <c r="G823" s="20"/>
      <c r="I823" s="3" t="s">
        <v>2490</v>
      </c>
      <c r="J823" s="19"/>
      <c r="K823" s="19" t="s">
        <v>322</v>
      </c>
      <c r="L823" s="19">
        <v>5</v>
      </c>
      <c r="M823" s="21">
        <v>1.0132471999999999</v>
      </c>
      <c r="N823" s="21">
        <v>0.5</v>
      </c>
      <c r="O823" s="20"/>
      <c r="P823" s="20"/>
      <c r="Q823" s="20"/>
      <c r="R823" s="20"/>
      <c r="S823" s="19" t="s">
        <v>1597</v>
      </c>
      <c r="T823" s="19"/>
      <c r="U823" s="19" t="s">
        <v>2491</v>
      </c>
      <c r="V823" s="3" t="s">
        <v>2492</v>
      </c>
      <c r="W823" s="19" t="s">
        <v>2493</v>
      </c>
    </row>
    <row r="824" spans="1:23" s="3" customFormat="1">
      <c r="A824" s="5" t="s">
        <v>1642</v>
      </c>
      <c r="B824" s="19" t="s">
        <v>2384</v>
      </c>
      <c r="C824" s="19" t="s">
        <v>2363</v>
      </c>
      <c r="D824" s="19"/>
      <c r="F824" s="19" t="s">
        <v>2494</v>
      </c>
      <c r="G824" s="20"/>
      <c r="L824" s="19">
        <v>20</v>
      </c>
      <c r="M824" s="21"/>
      <c r="N824" s="21">
        <v>3</v>
      </c>
      <c r="O824" s="20"/>
      <c r="P824" s="20"/>
      <c r="Q824" s="20"/>
      <c r="R824" s="20"/>
      <c r="S824" s="19" t="s">
        <v>1597</v>
      </c>
      <c r="T824" s="19"/>
      <c r="U824" s="19" t="s">
        <v>2491</v>
      </c>
      <c r="V824" s="3" t="s">
        <v>2495</v>
      </c>
      <c r="W824" s="19" t="s">
        <v>2496</v>
      </c>
    </row>
    <row r="825" spans="1:23" s="3" customFormat="1">
      <c r="A825" s="5" t="s">
        <v>1642</v>
      </c>
      <c r="B825" s="19" t="s">
        <v>2384</v>
      </c>
      <c r="C825" s="19" t="s">
        <v>1672</v>
      </c>
      <c r="D825" s="19"/>
      <c r="F825" s="20"/>
      <c r="G825" s="19" t="s">
        <v>1673</v>
      </c>
      <c r="H825" s="19" t="s">
        <v>2497</v>
      </c>
      <c r="I825" s="19"/>
      <c r="J825" s="19"/>
      <c r="K825" s="19"/>
      <c r="L825" s="19">
        <v>-10</v>
      </c>
      <c r="M825" s="21">
        <v>20.684108368</v>
      </c>
      <c r="N825" s="21">
        <v>6</v>
      </c>
      <c r="O825" s="20"/>
      <c r="P825" s="20"/>
      <c r="Q825" s="20"/>
      <c r="R825" s="20"/>
      <c r="S825" s="19" t="s">
        <v>1597</v>
      </c>
      <c r="T825" s="19"/>
      <c r="U825" s="19" t="s">
        <v>1655</v>
      </c>
      <c r="V825" s="3" t="s">
        <v>2498</v>
      </c>
      <c r="W825" s="19" t="s">
        <v>2499</v>
      </c>
    </row>
    <row r="826" spans="1:23" s="3" customFormat="1">
      <c r="A826" s="5" t="s">
        <v>1642</v>
      </c>
      <c r="B826" s="19" t="s">
        <v>2384</v>
      </c>
      <c r="C826" s="19" t="s">
        <v>1652</v>
      </c>
      <c r="D826" s="19"/>
      <c r="F826" s="20"/>
      <c r="G826" s="19" t="s">
        <v>1673</v>
      </c>
      <c r="H826" s="19" t="s">
        <v>2415</v>
      </c>
      <c r="I826" s="19"/>
      <c r="J826" s="19"/>
      <c r="K826" s="19"/>
      <c r="L826" s="19">
        <v>20</v>
      </c>
      <c r="M826" s="21">
        <v>9.9999499319999998</v>
      </c>
      <c r="N826" s="21">
        <v>1</v>
      </c>
      <c r="O826" s="20"/>
      <c r="P826" s="20"/>
      <c r="Q826" s="20"/>
      <c r="R826" s="20"/>
      <c r="S826" s="19" t="s">
        <v>1597</v>
      </c>
      <c r="T826" s="19"/>
      <c r="U826" s="19" t="s">
        <v>1655</v>
      </c>
      <c r="V826" s="3" t="s">
        <v>2416</v>
      </c>
      <c r="W826" s="19" t="s">
        <v>2417</v>
      </c>
    </row>
    <row r="827" spans="1:23" s="3" customFormat="1">
      <c r="A827" s="5" t="s">
        <v>1642</v>
      </c>
      <c r="B827" s="19" t="s">
        <v>2384</v>
      </c>
      <c r="C827" s="19" t="s">
        <v>1596</v>
      </c>
      <c r="D827" s="19"/>
      <c r="F827" s="20"/>
      <c r="G827" s="19" t="s">
        <v>1644</v>
      </c>
      <c r="H827" s="19" t="s">
        <v>2500</v>
      </c>
      <c r="I827" s="5" t="s">
        <v>1791</v>
      </c>
      <c r="J827" s="5" t="s">
        <v>582</v>
      </c>
      <c r="K827" s="5" t="s">
        <v>580</v>
      </c>
      <c r="L827" s="19">
        <v>20</v>
      </c>
      <c r="M827" s="21">
        <v>3.0397416000000002</v>
      </c>
      <c r="N827" s="21">
        <v>6</v>
      </c>
      <c r="O827" s="20"/>
      <c r="P827" s="20"/>
      <c r="Q827" s="20"/>
      <c r="R827" s="20"/>
      <c r="S827" s="19" t="s">
        <v>1597</v>
      </c>
      <c r="T827" s="19"/>
      <c r="U827" s="19" t="s">
        <v>1655</v>
      </c>
      <c r="V827" s="3" t="s">
        <v>2501</v>
      </c>
      <c r="W827" s="19" t="s">
        <v>2502</v>
      </c>
    </row>
    <row r="828" spans="1:23" s="3" customFormat="1">
      <c r="A828" s="5" t="s">
        <v>1642</v>
      </c>
      <c r="B828" s="19" t="s">
        <v>2384</v>
      </c>
      <c r="C828" s="19" t="s">
        <v>1672</v>
      </c>
      <c r="D828" s="19"/>
      <c r="F828" s="20"/>
      <c r="G828" s="19" t="s">
        <v>1644</v>
      </c>
      <c r="H828" s="19" t="s">
        <v>2503</v>
      </c>
      <c r="I828" s="19"/>
      <c r="J828" s="19"/>
      <c r="K828" s="19"/>
      <c r="L828" s="19">
        <v>20</v>
      </c>
      <c r="M828" s="21">
        <v>20.000299829999999</v>
      </c>
      <c r="N828" s="21">
        <v>12</v>
      </c>
      <c r="O828" s="20"/>
      <c r="P828" s="20"/>
      <c r="Q828" s="20"/>
      <c r="R828" s="20"/>
      <c r="S828" s="19" t="s">
        <v>1597</v>
      </c>
      <c r="T828" s="19"/>
      <c r="U828" s="19" t="s">
        <v>1655</v>
      </c>
      <c r="V828" s="3" t="s">
        <v>2504</v>
      </c>
      <c r="W828" s="19" t="s">
        <v>2505</v>
      </c>
    </row>
    <row r="829" spans="1:23" s="3" customFormat="1">
      <c r="A829" s="5" t="s">
        <v>1642</v>
      </c>
      <c r="B829" s="19" t="s">
        <v>2384</v>
      </c>
      <c r="C829" s="19" t="s">
        <v>1652</v>
      </c>
      <c r="D829" s="19"/>
      <c r="F829" s="20"/>
      <c r="G829" s="19" t="s">
        <v>1673</v>
      </c>
      <c r="H829" s="19" t="s">
        <v>2506</v>
      </c>
      <c r="I829" s="19"/>
      <c r="J829" s="19"/>
      <c r="K829" s="19"/>
      <c r="L829" s="19">
        <v>25</v>
      </c>
      <c r="M829" s="21">
        <v>20.266277219999999</v>
      </c>
      <c r="N829" s="21"/>
      <c r="O829" s="20"/>
      <c r="P829" s="20"/>
      <c r="Q829" s="20"/>
      <c r="R829" s="20"/>
      <c r="S829" s="19" t="s">
        <v>1597</v>
      </c>
      <c r="T829" s="19"/>
      <c r="U829" s="19" t="s">
        <v>1655</v>
      </c>
      <c r="V829" s="3" t="s">
        <v>2507</v>
      </c>
      <c r="W829" s="19" t="s">
        <v>2508</v>
      </c>
    </row>
    <row r="830" spans="1:23" s="3" customFormat="1">
      <c r="A830" s="5" t="s">
        <v>1642</v>
      </c>
      <c r="B830" s="19" t="s">
        <v>2384</v>
      </c>
      <c r="C830" s="19" t="s">
        <v>1652</v>
      </c>
      <c r="D830" s="19"/>
      <c r="F830" s="20"/>
      <c r="G830" s="19" t="s">
        <v>1673</v>
      </c>
      <c r="H830" s="19" t="s">
        <v>2509</v>
      </c>
      <c r="I830" s="19"/>
      <c r="J830" s="19"/>
      <c r="K830" s="19"/>
      <c r="L830" s="19">
        <v>20</v>
      </c>
      <c r="M830" s="21">
        <v>60.798964981999994</v>
      </c>
      <c r="N830" s="21">
        <v>20</v>
      </c>
      <c r="O830" s="20"/>
      <c r="P830" s="20"/>
      <c r="Q830" s="20"/>
      <c r="R830" s="20"/>
      <c r="S830" s="19" t="s">
        <v>1597</v>
      </c>
      <c r="T830" s="19"/>
      <c r="U830" s="19" t="s">
        <v>1655</v>
      </c>
      <c r="V830" s="3" t="s">
        <v>2510</v>
      </c>
      <c r="W830" s="19" t="s">
        <v>2511</v>
      </c>
    </row>
    <row r="831" spans="1:23" s="3" customFormat="1">
      <c r="A831" s="5" t="s">
        <v>1642</v>
      </c>
      <c r="B831" s="19" t="s">
        <v>2384</v>
      </c>
      <c r="C831" s="19" t="s">
        <v>1652</v>
      </c>
      <c r="D831" s="19"/>
      <c r="F831" s="19" t="s">
        <v>2512</v>
      </c>
      <c r="G831" s="20"/>
      <c r="J831" s="19"/>
      <c r="K831" s="19"/>
      <c r="L831" s="19">
        <v>20</v>
      </c>
      <c r="M831" s="21">
        <v>10.000149915</v>
      </c>
      <c r="N831" s="21">
        <v>1</v>
      </c>
      <c r="O831" s="20"/>
      <c r="P831" s="20"/>
      <c r="Q831" s="20"/>
      <c r="R831" s="20"/>
      <c r="S831" s="19" t="s">
        <v>1597</v>
      </c>
      <c r="T831" s="19"/>
      <c r="U831" s="19" t="s">
        <v>1655</v>
      </c>
      <c r="V831" s="3" t="s">
        <v>2513</v>
      </c>
      <c r="W831" s="19" t="s">
        <v>2514</v>
      </c>
    </row>
    <row r="832" spans="1:23" s="3" customFormat="1">
      <c r="A832" s="5" t="s">
        <v>1642</v>
      </c>
      <c r="B832" s="19" t="s">
        <v>2384</v>
      </c>
      <c r="C832" s="19" t="s">
        <v>1652</v>
      </c>
      <c r="D832" s="19"/>
      <c r="F832" s="19" t="s">
        <v>2515</v>
      </c>
      <c r="G832" s="20"/>
      <c r="J832" s="19"/>
      <c r="K832" s="19"/>
      <c r="L832" s="19">
        <v>0</v>
      </c>
      <c r="M832" s="21">
        <v>6.8949072164</v>
      </c>
      <c r="N832" s="21">
        <v>12</v>
      </c>
      <c r="O832" s="20"/>
      <c r="P832" s="20"/>
      <c r="Q832" s="20"/>
      <c r="R832" s="20"/>
      <c r="S832" s="19" t="s">
        <v>1597</v>
      </c>
      <c r="T832" s="19"/>
      <c r="U832" s="19" t="s">
        <v>1655</v>
      </c>
      <c r="V832" s="3" t="s">
        <v>2516</v>
      </c>
      <c r="W832" s="19" t="s">
        <v>2517</v>
      </c>
    </row>
    <row r="833" spans="1:23" s="3" customFormat="1">
      <c r="A833" s="5" t="s">
        <v>1642</v>
      </c>
      <c r="B833" s="19" t="s">
        <v>2384</v>
      </c>
      <c r="C833" s="19" t="s">
        <v>1596</v>
      </c>
      <c r="D833" s="19"/>
      <c r="F833" s="19" t="s">
        <v>2346</v>
      </c>
      <c r="G833" s="20"/>
      <c r="J833" s="19"/>
      <c r="K833" s="19"/>
      <c r="L833" s="19">
        <v>20</v>
      </c>
      <c r="M833" s="21">
        <v>1.0000149915000001</v>
      </c>
      <c r="N833" s="21">
        <v>0.33333299999999999</v>
      </c>
      <c r="O833" s="20"/>
      <c r="P833" s="20"/>
      <c r="Q833" s="20"/>
      <c r="R833" s="20"/>
      <c r="S833" s="19" t="s">
        <v>1597</v>
      </c>
      <c r="T833" s="19"/>
      <c r="U833" s="19" t="s">
        <v>1655</v>
      </c>
      <c r="V833" s="3" t="s">
        <v>2347</v>
      </c>
      <c r="W833" s="19" t="s">
        <v>2348</v>
      </c>
    </row>
    <row r="834" spans="1:23" s="3" customFormat="1">
      <c r="A834" s="5" t="s">
        <v>1642</v>
      </c>
      <c r="B834" s="19" t="s">
        <v>2384</v>
      </c>
      <c r="C834" s="19" t="s">
        <v>1596</v>
      </c>
      <c r="D834" s="19"/>
      <c r="F834" s="20"/>
      <c r="G834" s="19" t="s">
        <v>1673</v>
      </c>
      <c r="H834" s="19" t="s">
        <v>2518</v>
      </c>
      <c r="I834" s="19"/>
      <c r="J834" s="19"/>
      <c r="K834" s="19"/>
      <c r="L834" s="19">
        <v>20</v>
      </c>
      <c r="M834" s="21">
        <v>10.1331519422</v>
      </c>
      <c r="N834" s="21"/>
      <c r="O834" s="20"/>
      <c r="P834" s="20"/>
      <c r="Q834" s="20"/>
      <c r="R834" s="20"/>
      <c r="S834" s="19" t="s">
        <v>1597</v>
      </c>
      <c r="T834" s="19"/>
      <c r="U834" s="19" t="s">
        <v>1655</v>
      </c>
      <c r="V834" s="3" t="s">
        <v>2519</v>
      </c>
      <c r="W834" s="19" t="s">
        <v>2520</v>
      </c>
    </row>
    <row r="835" spans="1:23" s="3" customFormat="1">
      <c r="A835" s="5" t="s">
        <v>1642</v>
      </c>
      <c r="B835" s="19" t="s">
        <v>2384</v>
      </c>
      <c r="C835" s="19" t="s">
        <v>1672</v>
      </c>
      <c r="D835" s="19"/>
      <c r="F835" s="20"/>
      <c r="G835" s="19" t="s">
        <v>1644</v>
      </c>
      <c r="H835" s="19" t="s">
        <v>2503</v>
      </c>
      <c r="I835" s="19"/>
      <c r="J835" s="19"/>
      <c r="K835" s="19"/>
      <c r="L835" s="19">
        <v>20</v>
      </c>
      <c r="M835" s="21">
        <v>20.000299829999999</v>
      </c>
      <c r="N835" s="21">
        <v>12</v>
      </c>
      <c r="O835" s="20"/>
      <c r="P835" s="20"/>
      <c r="Q835" s="20"/>
      <c r="R835" s="20"/>
      <c r="S835" s="19" t="s">
        <v>1597</v>
      </c>
      <c r="T835" s="19"/>
      <c r="U835" s="19" t="s">
        <v>1655</v>
      </c>
      <c r="V835" s="3" t="s">
        <v>2521</v>
      </c>
      <c r="W835" s="19" t="s">
        <v>2522</v>
      </c>
    </row>
    <row r="836" spans="1:23" s="3" customFormat="1">
      <c r="A836" s="5" t="s">
        <v>1642</v>
      </c>
      <c r="B836" s="19" t="s">
        <v>2384</v>
      </c>
      <c r="C836" s="19" t="s">
        <v>1652</v>
      </c>
      <c r="D836" s="19"/>
      <c r="F836" s="20"/>
      <c r="G836" s="19" t="s">
        <v>2523</v>
      </c>
      <c r="H836" s="19" t="s">
        <v>2524</v>
      </c>
      <c r="I836" s="19"/>
      <c r="J836" s="19"/>
      <c r="K836" s="19"/>
      <c r="L836" s="19">
        <v>20</v>
      </c>
      <c r="M836" s="21">
        <v>5.0000816235999999</v>
      </c>
      <c r="N836" s="21">
        <v>20</v>
      </c>
      <c r="O836" s="20"/>
      <c r="P836" s="20"/>
      <c r="Q836" s="20"/>
      <c r="R836" s="20"/>
      <c r="S836" s="19" t="s">
        <v>1597</v>
      </c>
      <c r="T836" s="19"/>
      <c r="U836" s="19" t="s">
        <v>1655</v>
      </c>
      <c r="V836" s="3" t="s">
        <v>2525</v>
      </c>
      <c r="W836" s="19" t="s">
        <v>2526</v>
      </c>
    </row>
    <row r="837" spans="1:23" s="3" customFormat="1">
      <c r="A837" s="5" t="s">
        <v>1642</v>
      </c>
      <c r="B837" s="19" t="s">
        <v>2384</v>
      </c>
      <c r="C837" s="19" t="s">
        <v>1616</v>
      </c>
      <c r="D837" s="19"/>
      <c r="F837" s="20"/>
      <c r="G837" s="19" t="s">
        <v>1644</v>
      </c>
      <c r="H837" s="19" t="s">
        <v>2527</v>
      </c>
      <c r="I837" s="19"/>
      <c r="J837" s="19"/>
      <c r="K837" s="19"/>
      <c r="L837" s="19">
        <v>20</v>
      </c>
      <c r="M837" s="21">
        <v>6.0000899489999995</v>
      </c>
      <c r="N837" s="21">
        <v>12</v>
      </c>
      <c r="O837" s="20"/>
      <c r="P837" s="20"/>
      <c r="Q837" s="20"/>
      <c r="R837" s="20"/>
      <c r="S837" s="19" t="s">
        <v>1597</v>
      </c>
      <c r="T837" s="19"/>
      <c r="U837" s="19" t="s">
        <v>1655</v>
      </c>
      <c r="V837" s="3" t="s">
        <v>2528</v>
      </c>
      <c r="W837" s="19" t="s">
        <v>2529</v>
      </c>
    </row>
    <row r="838" spans="1:23" s="3" customFormat="1">
      <c r="A838" s="5" t="s">
        <v>1642</v>
      </c>
      <c r="B838" s="19" t="s">
        <v>2384</v>
      </c>
      <c r="C838" s="19" t="s">
        <v>1596</v>
      </c>
      <c r="D838" s="19"/>
      <c r="F838" s="19" t="s">
        <v>2530</v>
      </c>
      <c r="G838" s="20"/>
      <c r="I838" s="5" t="s">
        <v>1791</v>
      </c>
      <c r="J838" s="5" t="s">
        <v>582</v>
      </c>
      <c r="K838" s="5" t="s">
        <v>580</v>
      </c>
      <c r="L838" s="19">
        <v>20</v>
      </c>
      <c r="M838" s="21">
        <v>3.0399415830000001</v>
      </c>
      <c r="N838" s="21">
        <v>1.5</v>
      </c>
      <c r="O838" s="20"/>
      <c r="P838" s="20"/>
      <c r="Q838" s="20"/>
      <c r="R838" s="20"/>
      <c r="S838" s="19" t="s">
        <v>1597</v>
      </c>
      <c r="T838" s="19"/>
      <c r="U838" s="19" t="s">
        <v>1655</v>
      </c>
      <c r="V838" s="3" t="s">
        <v>2531</v>
      </c>
      <c r="W838" s="19" t="s">
        <v>2532</v>
      </c>
    </row>
    <row r="839" spans="1:23" s="3" customFormat="1">
      <c r="A839" s="5" t="s">
        <v>1642</v>
      </c>
      <c r="B839" s="19" t="s">
        <v>2384</v>
      </c>
      <c r="C839" s="19" t="s">
        <v>1652</v>
      </c>
      <c r="D839" s="19"/>
      <c r="F839" s="20"/>
      <c r="G839" s="19" t="s">
        <v>1673</v>
      </c>
      <c r="H839" s="19" t="s">
        <v>2524</v>
      </c>
      <c r="I839" s="19"/>
      <c r="J839" s="19"/>
      <c r="K839" s="19"/>
      <c r="L839" s="19">
        <v>20</v>
      </c>
      <c r="M839" s="21">
        <v>5.0000816235999999</v>
      </c>
      <c r="N839" s="21">
        <v>20</v>
      </c>
      <c r="O839" s="20"/>
      <c r="P839" s="20"/>
      <c r="Q839" s="20"/>
      <c r="R839" s="20"/>
      <c r="S839" s="19" t="s">
        <v>1597</v>
      </c>
      <c r="T839" s="19"/>
      <c r="U839" s="19" t="s">
        <v>1655</v>
      </c>
      <c r="V839" s="3" t="s">
        <v>2533</v>
      </c>
      <c r="W839" s="19" t="s">
        <v>2534</v>
      </c>
    </row>
    <row r="840" spans="1:23" s="3" customFormat="1">
      <c r="A840" s="5" t="s">
        <v>1642</v>
      </c>
      <c r="B840" s="19" t="s">
        <v>2384</v>
      </c>
      <c r="C840" s="19" t="s">
        <v>1652</v>
      </c>
      <c r="D840" s="19"/>
      <c r="F840" s="20"/>
      <c r="G840" s="19" t="s">
        <v>1673</v>
      </c>
      <c r="H840" s="19" t="s">
        <v>2535</v>
      </c>
      <c r="I840" s="19"/>
      <c r="J840" s="19"/>
      <c r="K840" s="19"/>
      <c r="L840" s="19">
        <v>20</v>
      </c>
      <c r="M840" s="21">
        <v>5.0000816235999999</v>
      </c>
      <c r="N840" s="21">
        <v>20</v>
      </c>
      <c r="O840" s="20"/>
      <c r="P840" s="20"/>
      <c r="Q840" s="20"/>
      <c r="R840" s="20"/>
      <c r="S840" s="19" t="s">
        <v>1597</v>
      </c>
      <c r="T840" s="19"/>
      <c r="U840" s="19" t="s">
        <v>1655</v>
      </c>
      <c r="V840" s="3" t="s">
        <v>2536</v>
      </c>
      <c r="W840" s="19" t="s">
        <v>2537</v>
      </c>
    </row>
    <row r="841" spans="1:23" s="3" customFormat="1">
      <c r="A841" s="5" t="s">
        <v>1642</v>
      </c>
      <c r="B841" s="19" t="s">
        <v>2384</v>
      </c>
      <c r="C841" s="19" t="s">
        <v>1672</v>
      </c>
      <c r="D841" s="19"/>
      <c r="F841" s="20"/>
      <c r="G841" s="19" t="s">
        <v>1644</v>
      </c>
      <c r="H841" s="19" t="s">
        <v>2538</v>
      </c>
      <c r="I841" s="19"/>
      <c r="J841" s="19"/>
      <c r="K841" s="19"/>
      <c r="L841" s="19">
        <v>20</v>
      </c>
      <c r="M841" s="21">
        <v>20.000299829999999</v>
      </c>
      <c r="N841" s="21">
        <v>18</v>
      </c>
      <c r="O841" s="20"/>
      <c r="P841" s="20">
        <v>0.98</v>
      </c>
      <c r="Q841" s="20">
        <v>0.98</v>
      </c>
      <c r="R841" s="20">
        <f t="shared" ref="R841:R851" si="24">IF(ISBLANK(L841),"",IF(ISBLANK(Q841),"",8.3145*(L841+273.15)*LN((Q841+1)/(1-Q841))*0.001))</f>
        <v>11.200125248824696</v>
      </c>
      <c r="S841" s="19" t="s">
        <v>1597</v>
      </c>
      <c r="T841" s="19"/>
      <c r="U841" s="19" t="s">
        <v>1655</v>
      </c>
      <c r="V841" s="3" t="s">
        <v>2539</v>
      </c>
      <c r="W841" s="19" t="s">
        <v>1815</v>
      </c>
    </row>
    <row r="842" spans="1:23" s="3" customFormat="1">
      <c r="A842" s="5" t="s">
        <v>1642</v>
      </c>
      <c r="B842" s="19" t="s">
        <v>2384</v>
      </c>
      <c r="C842" s="19" t="s">
        <v>1672</v>
      </c>
      <c r="D842" s="19"/>
      <c r="F842" s="20"/>
      <c r="G842" s="19" t="s">
        <v>1644</v>
      </c>
      <c r="H842" s="19" t="s">
        <v>2540</v>
      </c>
      <c r="I842" s="19"/>
      <c r="J842" s="19"/>
      <c r="K842" s="19"/>
      <c r="L842" s="19">
        <v>20</v>
      </c>
      <c r="M842" s="21">
        <v>20.000299829999999</v>
      </c>
      <c r="N842" s="21">
        <v>18</v>
      </c>
      <c r="O842" s="20"/>
      <c r="P842" s="20">
        <v>0.94</v>
      </c>
      <c r="Q842" s="20">
        <v>0.94</v>
      </c>
      <c r="R842" s="20">
        <f t="shared" si="24"/>
        <v>8.4726279124776589</v>
      </c>
      <c r="S842" s="19" t="s">
        <v>1597</v>
      </c>
      <c r="T842" s="19"/>
      <c r="U842" s="19" t="s">
        <v>1655</v>
      </c>
      <c r="V842" s="3" t="s">
        <v>2541</v>
      </c>
      <c r="W842" s="19" t="s">
        <v>1908</v>
      </c>
    </row>
    <row r="843" spans="1:23" s="3" customFormat="1">
      <c r="A843" s="5" t="s">
        <v>1642</v>
      </c>
      <c r="B843" s="19" t="s">
        <v>2384</v>
      </c>
      <c r="C843" s="19" t="s">
        <v>1672</v>
      </c>
      <c r="D843" s="19"/>
      <c r="F843" s="20"/>
      <c r="G843" s="19" t="s">
        <v>1644</v>
      </c>
      <c r="H843" s="19" t="s">
        <v>2542</v>
      </c>
      <c r="I843" s="19"/>
      <c r="J843" s="19"/>
      <c r="K843" s="19"/>
      <c r="L843" s="19">
        <v>20</v>
      </c>
      <c r="M843" s="21">
        <v>20.000299829999999</v>
      </c>
      <c r="N843" s="21">
        <v>24</v>
      </c>
      <c r="O843" s="20"/>
      <c r="P843" s="20">
        <v>0.93</v>
      </c>
      <c r="Q843" s="20">
        <v>0.93</v>
      </c>
      <c r="R843" s="20">
        <f t="shared" si="24"/>
        <v>8.084305324055677</v>
      </c>
      <c r="S843" s="19" t="s">
        <v>1597</v>
      </c>
      <c r="T843" s="19"/>
      <c r="U843" s="19" t="s">
        <v>1655</v>
      </c>
      <c r="V843" s="3" t="s">
        <v>2543</v>
      </c>
      <c r="W843" s="19" t="s">
        <v>2544</v>
      </c>
    </row>
    <row r="844" spans="1:23" s="3" customFormat="1">
      <c r="A844" s="5" t="s">
        <v>1642</v>
      </c>
      <c r="B844" s="19" t="s">
        <v>2384</v>
      </c>
      <c r="C844" s="19" t="s">
        <v>1596</v>
      </c>
      <c r="D844" s="19"/>
      <c r="F844" s="19" t="s">
        <v>2545</v>
      </c>
      <c r="G844" s="20"/>
      <c r="I844" s="5" t="s">
        <v>1791</v>
      </c>
      <c r="J844" s="5" t="s">
        <v>582</v>
      </c>
      <c r="K844" s="5" t="s">
        <v>580</v>
      </c>
      <c r="L844" s="19">
        <v>-78.16</v>
      </c>
      <c r="M844" s="21">
        <v>2.0266277219999997</v>
      </c>
      <c r="N844" s="21">
        <v>0.3</v>
      </c>
      <c r="O844" s="20"/>
      <c r="P844" s="20">
        <v>0.9890000000000001</v>
      </c>
      <c r="Q844" s="20">
        <v>0.9890000000000001</v>
      </c>
      <c r="R844" s="20">
        <f t="shared" si="24"/>
        <v>8.4264045749752849</v>
      </c>
      <c r="S844" s="19" t="s">
        <v>1597</v>
      </c>
      <c r="T844" s="19"/>
      <c r="U844" s="19" t="s">
        <v>1655</v>
      </c>
      <c r="V844" s="3" t="s">
        <v>2546</v>
      </c>
      <c r="W844" s="19" t="s">
        <v>2547</v>
      </c>
    </row>
    <row r="845" spans="1:23" s="3" customFormat="1">
      <c r="A845" s="5" t="s">
        <v>1642</v>
      </c>
      <c r="B845" s="19" t="s">
        <v>2384</v>
      </c>
      <c r="C845" s="19" t="s">
        <v>1652</v>
      </c>
      <c r="D845" s="19"/>
      <c r="F845" s="20"/>
      <c r="G845" s="19" t="s">
        <v>1673</v>
      </c>
      <c r="H845" s="19" t="s">
        <v>2548</v>
      </c>
      <c r="I845" s="19"/>
      <c r="J845" s="19"/>
      <c r="K845" s="19"/>
      <c r="L845" s="19">
        <v>25</v>
      </c>
      <c r="M845" s="21">
        <v>10.1331519422</v>
      </c>
      <c r="N845" s="21">
        <v>6</v>
      </c>
      <c r="O845" s="20"/>
      <c r="P845" s="20">
        <v>0.91</v>
      </c>
      <c r="Q845" s="20">
        <v>0.91</v>
      </c>
      <c r="R845" s="20">
        <f t="shared" si="24"/>
        <v>7.5733688739814342</v>
      </c>
      <c r="S845" s="19" t="s">
        <v>1597</v>
      </c>
      <c r="T845" s="19"/>
      <c r="U845" s="19" t="s">
        <v>1655</v>
      </c>
      <c r="V845" s="3" t="s">
        <v>2549</v>
      </c>
      <c r="W845" s="19" t="s">
        <v>1843</v>
      </c>
    </row>
    <row r="846" spans="1:23" s="3" customFormat="1">
      <c r="A846" s="5" t="s">
        <v>1642</v>
      </c>
      <c r="B846" s="19" t="s">
        <v>2384</v>
      </c>
      <c r="C846" s="19" t="s">
        <v>1672</v>
      </c>
      <c r="D846" s="19"/>
      <c r="F846" s="20"/>
      <c r="G846" s="19" t="s">
        <v>1644</v>
      </c>
      <c r="H846" s="19" t="s">
        <v>2459</v>
      </c>
      <c r="I846" s="19"/>
      <c r="J846" s="19"/>
      <c r="K846" s="19"/>
      <c r="L846" s="19">
        <v>20</v>
      </c>
      <c r="M846" s="21">
        <v>20.000299829999999</v>
      </c>
      <c r="N846" s="21">
        <v>18</v>
      </c>
      <c r="O846" s="20"/>
      <c r="P846" s="20">
        <v>0.98</v>
      </c>
      <c r="Q846" s="20">
        <v>0.98</v>
      </c>
      <c r="R846" s="20">
        <f t="shared" si="24"/>
        <v>11.200125248824696</v>
      </c>
      <c r="S846" s="19" t="s">
        <v>1597</v>
      </c>
      <c r="T846" s="19"/>
      <c r="U846" s="19" t="s">
        <v>1655</v>
      </c>
      <c r="V846" s="3" t="s">
        <v>2460</v>
      </c>
      <c r="W846" s="19" t="s">
        <v>1919</v>
      </c>
    </row>
    <row r="847" spans="1:23" s="3" customFormat="1">
      <c r="A847" s="5" t="s">
        <v>1642</v>
      </c>
      <c r="B847" s="19" t="s">
        <v>2384</v>
      </c>
      <c r="C847" s="19" t="s">
        <v>1652</v>
      </c>
      <c r="D847" s="19"/>
      <c r="F847" s="20"/>
      <c r="G847" s="19" t="s">
        <v>1673</v>
      </c>
      <c r="H847" s="19" t="s">
        <v>2461</v>
      </c>
      <c r="I847" s="19"/>
      <c r="J847" s="19"/>
      <c r="K847" s="19"/>
      <c r="L847" s="19">
        <v>25</v>
      </c>
      <c r="M847" s="21"/>
      <c r="N847" s="21"/>
      <c r="O847" s="20"/>
      <c r="P847" s="20">
        <v>0.91</v>
      </c>
      <c r="Q847" s="20">
        <v>0.91</v>
      </c>
      <c r="R847" s="20">
        <f t="shared" si="24"/>
        <v>7.5733688739814342</v>
      </c>
      <c r="S847" s="19" t="s">
        <v>1597</v>
      </c>
      <c r="T847" s="19"/>
      <c r="U847" s="19" t="s">
        <v>1655</v>
      </c>
      <c r="V847" s="3" t="s">
        <v>2462</v>
      </c>
      <c r="W847" s="19" t="s">
        <v>2463</v>
      </c>
    </row>
    <row r="848" spans="1:23" s="3" customFormat="1">
      <c r="A848" s="5" t="s">
        <v>1642</v>
      </c>
      <c r="B848" s="19" t="s">
        <v>2384</v>
      </c>
      <c r="C848" s="19" t="s">
        <v>1596</v>
      </c>
      <c r="D848" s="19"/>
      <c r="F848" s="19" t="s">
        <v>1844</v>
      </c>
      <c r="G848" s="20"/>
      <c r="J848" s="19"/>
      <c r="K848" s="19"/>
      <c r="L848" s="19">
        <v>20</v>
      </c>
      <c r="M848" s="21">
        <v>3.0000516406000002</v>
      </c>
      <c r="N848" s="21">
        <v>12</v>
      </c>
      <c r="O848" s="20"/>
      <c r="P848" s="20">
        <v>0.97</v>
      </c>
      <c r="Q848" s="20">
        <v>0.97</v>
      </c>
      <c r="R848" s="20">
        <f t="shared" si="24"/>
        <v>10.199505077668341</v>
      </c>
      <c r="S848" s="19" t="s">
        <v>1597</v>
      </c>
      <c r="T848" s="19"/>
      <c r="U848" s="19" t="s">
        <v>1655</v>
      </c>
      <c r="V848" s="3" t="s">
        <v>2550</v>
      </c>
      <c r="W848" s="19" t="s">
        <v>1846</v>
      </c>
    </row>
    <row r="849" spans="1:23" s="3" customFormat="1">
      <c r="A849" s="5" t="s">
        <v>1642</v>
      </c>
      <c r="B849" s="19" t="s">
        <v>2384</v>
      </c>
      <c r="C849" s="19" t="s">
        <v>1652</v>
      </c>
      <c r="D849" s="19"/>
      <c r="F849" s="19" t="s">
        <v>1847</v>
      </c>
      <c r="G849" s="20"/>
      <c r="J849" s="19"/>
      <c r="K849" s="19"/>
      <c r="L849" s="19">
        <v>20</v>
      </c>
      <c r="M849" s="21">
        <v>15.000191542</v>
      </c>
      <c r="N849" s="21">
        <v>3</v>
      </c>
      <c r="O849" s="20"/>
      <c r="P849" s="20">
        <v>0.96</v>
      </c>
      <c r="Q849" s="20">
        <v>0.96</v>
      </c>
      <c r="R849" s="20">
        <f t="shared" si="24"/>
        <v>9.4859059624920494</v>
      </c>
      <c r="S849" s="19" t="s">
        <v>1597</v>
      </c>
      <c r="T849" s="19"/>
      <c r="U849" s="19" t="s">
        <v>1655</v>
      </c>
      <c r="V849" s="3" t="s">
        <v>2551</v>
      </c>
      <c r="W849" s="19" t="s">
        <v>1849</v>
      </c>
    </row>
    <row r="850" spans="1:23" s="3" customFormat="1">
      <c r="A850" s="5" t="s">
        <v>1642</v>
      </c>
      <c r="B850" s="19" t="s">
        <v>2384</v>
      </c>
      <c r="C850" s="19" t="s">
        <v>1672</v>
      </c>
      <c r="D850" s="19"/>
      <c r="F850" s="19" t="s">
        <v>1930</v>
      </c>
      <c r="G850" s="20"/>
      <c r="J850" s="19"/>
      <c r="K850" s="19"/>
      <c r="L850" s="19">
        <v>20</v>
      </c>
      <c r="M850" s="21">
        <v>20.000299829999999</v>
      </c>
      <c r="N850" s="21">
        <v>18</v>
      </c>
      <c r="O850" s="20"/>
      <c r="P850" s="20">
        <v>0.99</v>
      </c>
      <c r="Q850" s="20">
        <v>0.99</v>
      </c>
      <c r="R850" s="20">
        <f t="shared" si="24"/>
        <v>12.901878286240109</v>
      </c>
      <c r="S850" s="19" t="s">
        <v>1597</v>
      </c>
      <c r="T850" s="19"/>
      <c r="U850" s="19" t="s">
        <v>1655</v>
      </c>
      <c r="V850" s="3" t="s">
        <v>2467</v>
      </c>
      <c r="W850" s="19" t="s">
        <v>1932</v>
      </c>
    </row>
    <row r="851" spans="1:23" s="3" customFormat="1">
      <c r="A851" s="5" t="s">
        <v>1642</v>
      </c>
      <c r="B851" s="19" t="s">
        <v>2384</v>
      </c>
      <c r="C851" s="19" t="s">
        <v>2552</v>
      </c>
      <c r="D851" s="19" t="s">
        <v>1652</v>
      </c>
      <c r="F851" s="20"/>
      <c r="G851" s="19" t="s">
        <v>1644</v>
      </c>
      <c r="H851" s="19" t="s">
        <v>2553</v>
      </c>
      <c r="I851" s="19"/>
      <c r="J851" s="19"/>
      <c r="K851" s="19"/>
      <c r="L851" s="19">
        <v>25</v>
      </c>
      <c r="M851" s="21">
        <v>20.266277219999999</v>
      </c>
      <c r="N851" s="21">
        <v>12</v>
      </c>
      <c r="O851" s="20"/>
      <c r="P851" s="20">
        <v>0.97</v>
      </c>
      <c r="Q851" s="20">
        <v>0.97</v>
      </c>
      <c r="R851" s="20">
        <f t="shared" si="24"/>
        <v>10.373469005310646</v>
      </c>
      <c r="S851" s="19" t="s">
        <v>1597</v>
      </c>
      <c r="T851" s="19"/>
      <c r="U851" s="19" t="s">
        <v>1655</v>
      </c>
      <c r="V851" s="3" t="s">
        <v>2474</v>
      </c>
      <c r="W851" s="19" t="s">
        <v>1941</v>
      </c>
    </row>
    <row r="852" spans="1:23" s="3" customFormat="1">
      <c r="A852" s="5" t="s">
        <v>1642</v>
      </c>
      <c r="B852" s="19" t="s">
        <v>2384</v>
      </c>
      <c r="C852" s="19" t="s">
        <v>1596</v>
      </c>
      <c r="D852" s="19" t="s">
        <v>1884</v>
      </c>
      <c r="F852" s="20"/>
      <c r="G852" s="19" t="s">
        <v>1644</v>
      </c>
      <c r="H852" s="19" t="s">
        <v>2554</v>
      </c>
      <c r="I852" s="19"/>
      <c r="J852" s="19"/>
      <c r="K852" s="19"/>
      <c r="L852" s="19">
        <v>20</v>
      </c>
      <c r="M852" s="21">
        <v>1.01331519422</v>
      </c>
      <c r="N852" s="21">
        <v>2</v>
      </c>
      <c r="O852" s="20"/>
      <c r="P852" s="20"/>
      <c r="Q852" s="20"/>
      <c r="R852" s="20"/>
      <c r="S852" s="19"/>
      <c r="T852" s="19"/>
      <c r="U852" s="19" t="s">
        <v>1655</v>
      </c>
      <c r="V852" s="3" t="s">
        <v>2555</v>
      </c>
      <c r="W852" s="19" t="s">
        <v>2556</v>
      </c>
    </row>
    <row r="853" spans="1:23" s="3" customFormat="1">
      <c r="A853" s="5" t="s">
        <v>1642</v>
      </c>
      <c r="B853" s="19" t="s">
        <v>2384</v>
      </c>
      <c r="C853" s="19" t="s">
        <v>1596</v>
      </c>
      <c r="D853" s="19"/>
      <c r="F853" s="19" t="s">
        <v>2557</v>
      </c>
      <c r="G853" s="20"/>
      <c r="I853" s="3" t="s">
        <v>1022</v>
      </c>
      <c r="J853" s="3" t="s">
        <v>1023</v>
      </c>
      <c r="K853" s="19" t="s">
        <v>1021</v>
      </c>
      <c r="L853" s="19">
        <v>25</v>
      </c>
      <c r="M853" s="21">
        <v>3.0000516406000002</v>
      </c>
      <c r="N853" s="21">
        <v>16</v>
      </c>
      <c r="O853" s="20"/>
      <c r="P853" s="20"/>
      <c r="Q853" s="20"/>
      <c r="R853" s="20"/>
      <c r="S853" s="19"/>
      <c r="T853" s="19"/>
      <c r="U853" s="19" t="s">
        <v>1655</v>
      </c>
      <c r="V853" s="3" t="s">
        <v>2558</v>
      </c>
      <c r="W853" s="19" t="s">
        <v>2559</v>
      </c>
    </row>
    <row r="854" spans="1:23" s="3" customFormat="1">
      <c r="A854" s="5" t="s">
        <v>1642</v>
      </c>
      <c r="B854" s="19" t="s">
        <v>2384</v>
      </c>
      <c r="C854" s="19" t="s">
        <v>1596</v>
      </c>
      <c r="D854" s="19"/>
      <c r="F854" s="19" t="s">
        <v>2560</v>
      </c>
      <c r="G854" s="20"/>
      <c r="J854" s="19"/>
      <c r="K854" s="19"/>
      <c r="L854" s="19">
        <v>22</v>
      </c>
      <c r="M854" s="21">
        <v>4.1368483380000001</v>
      </c>
      <c r="N854" s="21">
        <v>15</v>
      </c>
      <c r="O854" s="20"/>
      <c r="P854" s="20"/>
      <c r="Q854" s="20"/>
      <c r="R854" s="20"/>
      <c r="S854" s="19"/>
      <c r="T854" s="19"/>
      <c r="U854" s="19" t="s">
        <v>1655</v>
      </c>
      <c r="V854" s="3" t="s">
        <v>2561</v>
      </c>
      <c r="W854" s="19" t="s">
        <v>2562</v>
      </c>
    </row>
    <row r="855" spans="1:23" s="3" customFormat="1">
      <c r="A855" s="5" t="s">
        <v>1642</v>
      </c>
      <c r="B855" s="19" t="s">
        <v>2384</v>
      </c>
      <c r="C855" s="19" t="s">
        <v>1596</v>
      </c>
      <c r="D855" s="19"/>
      <c r="F855" s="19" t="s">
        <v>2560</v>
      </c>
      <c r="G855" s="20"/>
      <c r="J855" s="19"/>
      <c r="K855" s="19"/>
      <c r="L855" s="19">
        <v>22</v>
      </c>
      <c r="M855" s="21">
        <v>4.1368483380000001</v>
      </c>
      <c r="N855" s="21">
        <v>15</v>
      </c>
      <c r="O855" s="20"/>
      <c r="P855" s="20"/>
      <c r="Q855" s="20"/>
      <c r="R855" s="20"/>
      <c r="S855" s="19"/>
      <c r="T855" s="19"/>
      <c r="U855" s="19" t="s">
        <v>1655</v>
      </c>
      <c r="V855" s="3" t="s">
        <v>2561</v>
      </c>
      <c r="W855" s="19" t="s">
        <v>2562</v>
      </c>
    </row>
    <row r="856" spans="1:23" s="3" customFormat="1">
      <c r="A856" s="5" t="s">
        <v>1642</v>
      </c>
      <c r="B856" s="19" t="s">
        <v>2384</v>
      </c>
      <c r="C856" s="19" t="s">
        <v>1884</v>
      </c>
      <c r="D856" s="19"/>
      <c r="F856" s="20"/>
      <c r="G856" s="19" t="s">
        <v>1673</v>
      </c>
      <c r="H856" s="19" t="s">
        <v>2563</v>
      </c>
      <c r="I856" s="19" t="s">
        <v>1955</v>
      </c>
      <c r="J856" s="5" t="s">
        <v>1956</v>
      </c>
      <c r="K856" s="5"/>
      <c r="L856" s="19"/>
      <c r="M856" s="21">
        <v>2.7578855598000001</v>
      </c>
      <c r="N856" s="21">
        <v>24</v>
      </c>
      <c r="O856" s="20"/>
      <c r="P856" s="20"/>
      <c r="Q856" s="20"/>
      <c r="R856" s="20"/>
      <c r="S856" s="19"/>
      <c r="T856" s="19"/>
      <c r="U856" s="19" t="s">
        <v>1655</v>
      </c>
      <c r="V856" s="3" t="s">
        <v>2564</v>
      </c>
      <c r="W856" s="19" t="s">
        <v>2565</v>
      </c>
    </row>
    <row r="857" spans="1:23" s="3" customFormat="1">
      <c r="A857" s="5" t="s">
        <v>1642</v>
      </c>
      <c r="B857" s="19" t="s">
        <v>2384</v>
      </c>
      <c r="C857" s="19" t="s">
        <v>1596</v>
      </c>
      <c r="D857" s="19"/>
      <c r="F857" s="20"/>
      <c r="G857" s="19" t="s">
        <v>2523</v>
      </c>
      <c r="H857" s="19" t="s">
        <v>2566</v>
      </c>
      <c r="I857" s="19"/>
      <c r="J857" s="19"/>
      <c r="K857" s="19"/>
      <c r="L857" s="19"/>
      <c r="M857" s="21">
        <v>2.7578855598000001</v>
      </c>
      <c r="N857" s="21">
        <v>20</v>
      </c>
      <c r="O857" s="20"/>
      <c r="P857" s="20"/>
      <c r="Q857" s="20"/>
      <c r="R857" s="20"/>
      <c r="S857" s="19"/>
      <c r="T857" s="19"/>
      <c r="U857" s="19" t="s">
        <v>1655</v>
      </c>
      <c r="V857" s="3" t="s">
        <v>2567</v>
      </c>
      <c r="W857" s="19" t="s">
        <v>2568</v>
      </c>
    </row>
    <row r="858" spans="1:23" s="3" customFormat="1">
      <c r="A858" s="5" t="s">
        <v>1642</v>
      </c>
      <c r="B858" s="19" t="s">
        <v>2384</v>
      </c>
      <c r="E858" s="3" t="s">
        <v>2187</v>
      </c>
      <c r="F858" s="19" t="s">
        <v>2569</v>
      </c>
      <c r="G858" s="20"/>
      <c r="J858" s="19"/>
      <c r="K858" s="19"/>
      <c r="L858" s="19">
        <v>20</v>
      </c>
      <c r="M858" s="21">
        <v>5.066236</v>
      </c>
      <c r="N858" s="21">
        <v>1</v>
      </c>
      <c r="O858" s="20"/>
      <c r="P858" s="20"/>
      <c r="Q858" s="20"/>
      <c r="R858" s="20"/>
      <c r="S858" s="19"/>
      <c r="T858" s="19"/>
      <c r="U858" s="19" t="s">
        <v>1655</v>
      </c>
      <c r="V858" s="3" t="s">
        <v>2570</v>
      </c>
      <c r="W858" s="19" t="s">
        <v>2571</v>
      </c>
    </row>
    <row r="859" spans="1:23" s="3" customFormat="1">
      <c r="A859" s="5" t="s">
        <v>1642</v>
      </c>
      <c r="B859" s="19" t="s">
        <v>2384</v>
      </c>
      <c r="C859" s="19" t="s">
        <v>1596</v>
      </c>
      <c r="D859" s="19"/>
      <c r="F859" s="20"/>
      <c r="G859" s="19" t="s">
        <v>2030</v>
      </c>
      <c r="H859" s="19" t="s">
        <v>2572</v>
      </c>
      <c r="I859" s="19"/>
      <c r="J859" s="19"/>
      <c r="K859" s="19"/>
      <c r="L859" s="19">
        <v>20</v>
      </c>
      <c r="M859" s="21">
        <v>3.1026295874000001</v>
      </c>
      <c r="N859" s="21">
        <v>24</v>
      </c>
      <c r="O859" s="20"/>
      <c r="P859" s="20"/>
      <c r="Q859" s="20"/>
      <c r="R859" s="20"/>
      <c r="S859" s="19"/>
      <c r="T859" s="19"/>
      <c r="U859" s="19" t="s">
        <v>1655</v>
      </c>
      <c r="V859" s="3" t="s">
        <v>2573</v>
      </c>
      <c r="W859" s="19" t="s">
        <v>2574</v>
      </c>
    </row>
    <row r="860" spans="1:23" s="3" customFormat="1">
      <c r="A860" s="5" t="s">
        <v>1642</v>
      </c>
      <c r="B860" s="19" t="s">
        <v>2384</v>
      </c>
      <c r="C860" s="19" t="s">
        <v>1596</v>
      </c>
      <c r="D860" s="19"/>
      <c r="F860" s="20"/>
      <c r="G860" s="19" t="s">
        <v>2030</v>
      </c>
      <c r="H860" s="19" t="s">
        <v>2575</v>
      </c>
      <c r="I860" s="19"/>
      <c r="J860" s="19"/>
      <c r="K860" s="19"/>
      <c r="L860" s="19">
        <v>20</v>
      </c>
      <c r="M860" s="21">
        <v>3.1026295874000001</v>
      </c>
      <c r="N860" s="21">
        <v>24</v>
      </c>
      <c r="O860" s="20"/>
      <c r="P860" s="20"/>
      <c r="Q860" s="20"/>
      <c r="R860" s="20"/>
      <c r="S860" s="19"/>
      <c r="T860" s="19"/>
      <c r="U860" s="19" t="s">
        <v>1655</v>
      </c>
      <c r="V860" s="3" t="s">
        <v>2573</v>
      </c>
      <c r="W860" s="19" t="s">
        <v>2574</v>
      </c>
    </row>
    <row r="861" spans="1:23" s="3" customFormat="1">
      <c r="A861" s="5" t="s">
        <v>1642</v>
      </c>
      <c r="B861" s="19" t="s">
        <v>2384</v>
      </c>
      <c r="C861" s="19" t="s">
        <v>1672</v>
      </c>
      <c r="D861" s="19"/>
      <c r="F861" s="19" t="s">
        <v>2576</v>
      </c>
      <c r="G861" s="20"/>
      <c r="J861" s="19"/>
      <c r="K861" s="19"/>
      <c r="L861" s="19">
        <v>20</v>
      </c>
      <c r="M861" s="21">
        <v>7.90332816</v>
      </c>
      <c r="N861" s="21">
        <v>18</v>
      </c>
      <c r="O861" s="20"/>
      <c r="P861" s="20"/>
      <c r="Q861" s="20"/>
      <c r="R861" s="20"/>
      <c r="S861" s="19"/>
      <c r="T861" s="19"/>
      <c r="U861" s="19" t="s">
        <v>1655</v>
      </c>
      <c r="V861" s="3" t="s">
        <v>2577</v>
      </c>
      <c r="W861" s="19" t="s">
        <v>2578</v>
      </c>
    </row>
    <row r="862" spans="1:23" s="3" customFormat="1">
      <c r="A862" s="5" t="s">
        <v>1642</v>
      </c>
      <c r="B862" s="19" t="s">
        <v>2384</v>
      </c>
      <c r="C862" s="19" t="s">
        <v>1652</v>
      </c>
      <c r="D862" s="19"/>
      <c r="F862" s="20"/>
      <c r="G862" s="19" t="s">
        <v>1673</v>
      </c>
      <c r="H862" s="19" t="s">
        <v>2579</v>
      </c>
      <c r="I862" s="19"/>
      <c r="J862" s="19"/>
      <c r="K862" s="19"/>
      <c r="L862" s="19">
        <v>20</v>
      </c>
      <c r="M862" s="21">
        <v>10.132472</v>
      </c>
      <c r="N862" s="21">
        <v>12</v>
      </c>
      <c r="O862" s="20"/>
      <c r="P862" s="20"/>
      <c r="Q862" s="20"/>
      <c r="R862" s="20"/>
      <c r="S862" s="19"/>
      <c r="T862" s="19"/>
      <c r="U862" s="19" t="s">
        <v>1655</v>
      </c>
      <c r="V862" s="3" t="s">
        <v>2580</v>
      </c>
      <c r="W862" s="19" t="s">
        <v>2581</v>
      </c>
    </row>
    <row r="863" spans="1:23" s="3" customFormat="1">
      <c r="A863" s="5" t="s">
        <v>1642</v>
      </c>
      <c r="B863" s="19" t="s">
        <v>2384</v>
      </c>
      <c r="C863" s="19" t="s">
        <v>1652</v>
      </c>
      <c r="D863" s="19"/>
      <c r="F863" s="20"/>
      <c r="G863" s="19" t="s">
        <v>1673</v>
      </c>
      <c r="H863" s="19" t="s">
        <v>2582</v>
      </c>
      <c r="I863" s="19"/>
      <c r="J863" s="19"/>
      <c r="K863" s="19"/>
      <c r="L863" s="19">
        <v>20</v>
      </c>
      <c r="M863" s="21">
        <v>1.29999349116</v>
      </c>
      <c r="N863" s="21">
        <v>20</v>
      </c>
      <c r="O863" s="20"/>
      <c r="P863" s="20"/>
      <c r="Q863" s="20"/>
      <c r="R863" s="20"/>
      <c r="S863" s="19"/>
      <c r="T863" s="19"/>
      <c r="U863" s="19" t="s">
        <v>1655</v>
      </c>
      <c r="V863" s="3" t="s">
        <v>2583</v>
      </c>
      <c r="W863" s="19" t="s">
        <v>2584</v>
      </c>
    </row>
    <row r="864" spans="1:23" s="3" customFormat="1">
      <c r="A864" s="5" t="s">
        <v>1642</v>
      </c>
      <c r="B864" s="19" t="s">
        <v>2384</v>
      </c>
      <c r="C864" s="19" t="s">
        <v>1652</v>
      </c>
      <c r="D864" s="19"/>
      <c r="F864" s="20"/>
      <c r="G864" s="19" t="s">
        <v>1673</v>
      </c>
      <c r="H864" s="19" t="s">
        <v>2585</v>
      </c>
      <c r="I864" s="19"/>
      <c r="J864" s="19"/>
      <c r="K864" s="19"/>
      <c r="L864" s="19">
        <v>20</v>
      </c>
      <c r="M864" s="21">
        <v>1.29999349116</v>
      </c>
      <c r="N864" s="21">
        <v>20</v>
      </c>
      <c r="O864" s="20"/>
      <c r="P864" s="20"/>
      <c r="Q864" s="20"/>
      <c r="R864" s="20"/>
      <c r="S864" s="19"/>
      <c r="T864" s="19"/>
      <c r="U864" s="19" t="s">
        <v>1655</v>
      </c>
      <c r="V864" s="3" t="s">
        <v>2583</v>
      </c>
      <c r="W864" s="19" t="s">
        <v>2584</v>
      </c>
    </row>
    <row r="865" spans="1:23" s="3" customFormat="1">
      <c r="A865" s="5" t="s">
        <v>1642</v>
      </c>
      <c r="B865" s="19" t="s">
        <v>2384</v>
      </c>
      <c r="C865" s="19" t="s">
        <v>2586</v>
      </c>
      <c r="D865" s="19"/>
      <c r="F865" s="20"/>
      <c r="G865" s="19" t="s">
        <v>1673</v>
      </c>
      <c r="H865" s="19" t="s">
        <v>2587</v>
      </c>
      <c r="I865" s="19"/>
      <c r="J865" s="19"/>
      <c r="K865" s="19"/>
      <c r="L865" s="19">
        <v>20</v>
      </c>
      <c r="M865" s="21">
        <v>9.9999499319999998</v>
      </c>
      <c r="N865" s="21">
        <v>16</v>
      </c>
      <c r="O865" s="20"/>
      <c r="P865" s="20"/>
      <c r="Q865" s="20"/>
      <c r="R865" s="20"/>
      <c r="S865" s="19"/>
      <c r="T865" s="19"/>
      <c r="U865" s="19" t="s">
        <v>1655</v>
      </c>
      <c r="V865" s="3" t="s">
        <v>2588</v>
      </c>
      <c r="W865" s="19" t="s">
        <v>2589</v>
      </c>
    </row>
    <row r="866" spans="1:23" s="3" customFormat="1">
      <c r="A866" s="5" t="s">
        <v>1642</v>
      </c>
      <c r="B866" s="19" t="s">
        <v>2384</v>
      </c>
      <c r="C866" s="19" t="s">
        <v>1652</v>
      </c>
      <c r="D866" s="19"/>
      <c r="F866" s="19" t="s">
        <v>2590</v>
      </c>
      <c r="G866" s="20"/>
      <c r="J866" s="19"/>
      <c r="K866" s="19"/>
      <c r="L866" s="19">
        <v>20</v>
      </c>
      <c r="M866" s="21">
        <v>10.132472</v>
      </c>
      <c r="N866" s="21">
        <v>24</v>
      </c>
      <c r="O866" s="20"/>
      <c r="P866" s="20"/>
      <c r="Q866" s="20"/>
      <c r="R866" s="20"/>
      <c r="S866" s="19"/>
      <c r="T866" s="19"/>
      <c r="U866" s="19" t="s">
        <v>1655</v>
      </c>
      <c r="V866" s="3" t="s">
        <v>2591</v>
      </c>
      <c r="W866" s="19" t="s">
        <v>2592</v>
      </c>
    </row>
    <row r="867" spans="1:23" s="3" customFormat="1">
      <c r="A867" s="5" t="s">
        <v>1642</v>
      </c>
      <c r="B867" s="19" t="s">
        <v>2384</v>
      </c>
      <c r="C867" s="19" t="s">
        <v>1652</v>
      </c>
      <c r="D867" s="19"/>
      <c r="F867" s="20"/>
      <c r="G867" s="19" t="s">
        <v>1673</v>
      </c>
      <c r="H867" s="19" t="s">
        <v>2593</v>
      </c>
      <c r="I867" s="19"/>
      <c r="J867" s="19"/>
      <c r="K867" s="19"/>
      <c r="L867" s="19">
        <v>20</v>
      </c>
      <c r="M867" s="21">
        <v>9.9999499319999998</v>
      </c>
      <c r="N867" s="21">
        <v>20</v>
      </c>
      <c r="O867" s="20"/>
      <c r="P867" s="20"/>
      <c r="Q867" s="20"/>
      <c r="R867" s="20"/>
      <c r="S867" s="19"/>
      <c r="T867" s="19"/>
      <c r="U867" s="19" t="s">
        <v>1655</v>
      </c>
      <c r="V867" s="3" t="s">
        <v>2594</v>
      </c>
      <c r="W867" s="19" t="s">
        <v>2595</v>
      </c>
    </row>
    <row r="868" spans="1:23" s="3" customFormat="1">
      <c r="A868" s="5" t="s">
        <v>1642</v>
      </c>
      <c r="B868" s="19" t="s">
        <v>2384</v>
      </c>
      <c r="C868" s="19" t="s">
        <v>1884</v>
      </c>
      <c r="D868" s="19"/>
      <c r="F868" s="20"/>
      <c r="G868" s="19" t="s">
        <v>1673</v>
      </c>
      <c r="H868" s="19" t="s">
        <v>2596</v>
      </c>
      <c r="I868" s="19"/>
      <c r="J868" s="19"/>
      <c r="K868" s="19"/>
      <c r="L868" s="19">
        <v>30</v>
      </c>
      <c r="M868" s="21">
        <v>4.4999774694000001</v>
      </c>
      <c r="N868" s="21">
        <v>24</v>
      </c>
      <c r="O868" s="20"/>
      <c r="P868" s="20"/>
      <c r="Q868" s="20"/>
      <c r="R868" s="20"/>
      <c r="S868" s="19"/>
      <c r="T868" s="19"/>
      <c r="U868" s="19" t="s">
        <v>1655</v>
      </c>
      <c r="V868" s="3" t="s">
        <v>2597</v>
      </c>
      <c r="W868" s="19" t="s">
        <v>2598</v>
      </c>
    </row>
    <row r="869" spans="1:23" s="3" customFormat="1">
      <c r="A869" s="5" t="s">
        <v>1642</v>
      </c>
      <c r="B869" s="19" t="s">
        <v>2384</v>
      </c>
      <c r="C869" s="19" t="s">
        <v>1884</v>
      </c>
      <c r="D869" s="19"/>
      <c r="F869" s="20"/>
      <c r="G869" s="19" t="s">
        <v>1673</v>
      </c>
      <c r="H869" s="19" t="s">
        <v>2596</v>
      </c>
      <c r="I869" s="19"/>
      <c r="J869" s="19"/>
      <c r="K869" s="19"/>
      <c r="L869" s="19">
        <v>30</v>
      </c>
      <c r="M869" s="21">
        <v>2.499987483</v>
      </c>
      <c r="N869" s="21">
        <v>6</v>
      </c>
      <c r="O869" s="20"/>
      <c r="P869" s="20"/>
      <c r="Q869" s="20"/>
      <c r="R869" s="20"/>
      <c r="S869" s="19"/>
      <c r="T869" s="19"/>
      <c r="U869" s="19" t="s">
        <v>1655</v>
      </c>
      <c r="V869" s="3" t="s">
        <v>2597</v>
      </c>
      <c r="W869" s="19" t="s">
        <v>2598</v>
      </c>
    </row>
    <row r="870" spans="1:23" s="3" customFormat="1">
      <c r="A870" s="5" t="s">
        <v>1642</v>
      </c>
      <c r="B870" s="19" t="s">
        <v>2384</v>
      </c>
      <c r="C870" s="19" t="s">
        <v>1884</v>
      </c>
      <c r="D870" s="19"/>
      <c r="F870" s="20"/>
      <c r="G870" s="19" t="s">
        <v>1673</v>
      </c>
      <c r="H870" s="19" t="s">
        <v>2596</v>
      </c>
      <c r="I870" s="19"/>
      <c r="J870" s="19"/>
      <c r="K870" s="19"/>
      <c r="L870" s="19">
        <v>40</v>
      </c>
      <c r="M870" s="21"/>
      <c r="N870" s="21"/>
      <c r="O870" s="20"/>
      <c r="P870" s="20"/>
      <c r="Q870" s="20"/>
      <c r="R870" s="20"/>
      <c r="S870" s="19"/>
      <c r="T870" s="19"/>
      <c r="U870" s="19" t="s">
        <v>1655</v>
      </c>
      <c r="V870" s="3" t="s">
        <v>2597</v>
      </c>
      <c r="W870" s="19" t="s">
        <v>2598</v>
      </c>
    </row>
    <row r="871" spans="1:23" s="3" customFormat="1">
      <c r="A871" s="5" t="s">
        <v>1642</v>
      </c>
      <c r="B871" s="19" t="s">
        <v>2384</v>
      </c>
      <c r="C871" s="19" t="s">
        <v>1652</v>
      </c>
      <c r="D871" s="19"/>
      <c r="F871" s="20"/>
      <c r="G871" s="19" t="s">
        <v>1673</v>
      </c>
      <c r="J871" s="19"/>
      <c r="K871" s="19"/>
      <c r="L871" s="19">
        <v>13</v>
      </c>
      <c r="M871" s="21">
        <v>1.01331519422</v>
      </c>
      <c r="N871" s="21">
        <v>24</v>
      </c>
      <c r="O871" s="20"/>
      <c r="P871" s="20"/>
      <c r="Q871" s="20"/>
      <c r="R871" s="20"/>
      <c r="S871" s="19"/>
      <c r="T871" s="19"/>
      <c r="U871" s="19" t="s">
        <v>1655</v>
      </c>
      <c r="V871" s="3" t="s">
        <v>2599</v>
      </c>
      <c r="W871" s="19" t="s">
        <v>2600</v>
      </c>
    </row>
    <row r="872" spans="1:23" s="3" customFormat="1">
      <c r="A872" s="5" t="s">
        <v>1642</v>
      </c>
      <c r="B872" s="19" t="s">
        <v>2384</v>
      </c>
      <c r="C872" s="19" t="s">
        <v>1672</v>
      </c>
      <c r="D872" s="19"/>
      <c r="F872" s="20"/>
      <c r="G872" s="19" t="s">
        <v>1673</v>
      </c>
      <c r="H872" s="19" t="s">
        <v>2601</v>
      </c>
      <c r="I872" s="19"/>
      <c r="J872" s="19"/>
      <c r="K872" s="19"/>
      <c r="L872" s="19">
        <v>20</v>
      </c>
      <c r="M872" s="21">
        <v>10.1331519422</v>
      </c>
      <c r="N872" s="21">
        <v>24</v>
      </c>
      <c r="O872" s="20"/>
      <c r="P872" s="20"/>
      <c r="Q872" s="20"/>
      <c r="R872" s="20"/>
      <c r="S872" s="19"/>
      <c r="T872" s="19"/>
      <c r="U872" s="19" t="s">
        <v>1655</v>
      </c>
      <c r="V872" s="3" t="s">
        <v>2602</v>
      </c>
      <c r="W872" s="19" t="s">
        <v>2603</v>
      </c>
    </row>
    <row r="873" spans="1:23" s="3" customFormat="1">
      <c r="A873" s="5" t="s">
        <v>1642</v>
      </c>
      <c r="B873" s="19" t="s">
        <v>2384</v>
      </c>
      <c r="C873" s="19" t="s">
        <v>1652</v>
      </c>
      <c r="D873" s="19"/>
      <c r="F873" s="20"/>
      <c r="G873" s="19" t="s">
        <v>1644</v>
      </c>
      <c r="H873" s="19" t="s">
        <v>2604</v>
      </c>
      <c r="I873" s="19"/>
      <c r="J873" s="19"/>
      <c r="K873" s="19"/>
      <c r="L873" s="19">
        <v>25</v>
      </c>
      <c r="M873" s="21">
        <v>3.0000516406000002</v>
      </c>
      <c r="N873" s="21">
        <v>20</v>
      </c>
      <c r="O873" s="20"/>
      <c r="P873" s="20"/>
      <c r="Q873" s="20"/>
      <c r="R873" s="20"/>
      <c r="S873" s="19"/>
      <c r="T873" s="19"/>
      <c r="U873" s="19" t="s">
        <v>1655</v>
      </c>
      <c r="V873" s="3" t="s">
        <v>2427</v>
      </c>
      <c r="W873" s="19" t="s">
        <v>2428</v>
      </c>
    </row>
    <row r="874" spans="1:23" s="3" customFormat="1">
      <c r="A874" s="5" t="s">
        <v>1642</v>
      </c>
      <c r="B874" s="19" t="s">
        <v>2384</v>
      </c>
      <c r="C874" s="19" t="s">
        <v>1652</v>
      </c>
      <c r="D874" s="19"/>
      <c r="F874" s="20"/>
      <c r="G874" s="19" t="s">
        <v>1673</v>
      </c>
      <c r="H874" s="19" t="s">
        <v>2605</v>
      </c>
      <c r="I874" s="19"/>
      <c r="J874" s="19"/>
      <c r="K874" s="19"/>
      <c r="L874" s="19">
        <v>25</v>
      </c>
      <c r="M874" s="21">
        <v>20.266277219999999</v>
      </c>
      <c r="N874" s="21"/>
      <c r="O874" s="20"/>
      <c r="P874" s="20"/>
      <c r="Q874" s="20"/>
      <c r="R874" s="20"/>
      <c r="S874" s="19"/>
      <c r="T874" s="19"/>
      <c r="U874" s="19" t="s">
        <v>1655</v>
      </c>
      <c r="V874" s="3" t="s">
        <v>2507</v>
      </c>
      <c r="W874" s="19" t="s">
        <v>2508</v>
      </c>
    </row>
    <row r="875" spans="1:23" s="3" customFormat="1">
      <c r="A875" s="5" t="s">
        <v>1642</v>
      </c>
      <c r="B875" s="19" t="s">
        <v>2384</v>
      </c>
      <c r="C875" s="19" t="s">
        <v>2363</v>
      </c>
      <c r="D875" s="19"/>
      <c r="E875" s="19"/>
      <c r="F875" s="20"/>
      <c r="G875" s="19" t="s">
        <v>1644</v>
      </c>
      <c r="H875" s="19" t="s">
        <v>2327</v>
      </c>
      <c r="I875" s="19"/>
      <c r="J875" s="19"/>
      <c r="K875" s="19"/>
      <c r="L875" s="19">
        <v>25</v>
      </c>
      <c r="M875" s="21">
        <v>10.000149915</v>
      </c>
      <c r="N875" s="21">
        <v>16</v>
      </c>
      <c r="O875" s="20"/>
      <c r="P875" s="20"/>
      <c r="Q875" s="20"/>
      <c r="R875" s="20"/>
      <c r="S875" s="19"/>
      <c r="T875" s="19"/>
      <c r="U875" s="19" t="s">
        <v>1655</v>
      </c>
      <c r="V875" s="3" t="s">
        <v>2430</v>
      </c>
      <c r="W875" s="19" t="s">
        <v>2431</v>
      </c>
    </row>
    <row r="876" spans="1:23" s="3" customFormat="1">
      <c r="A876" s="5" t="s">
        <v>1642</v>
      </c>
      <c r="B876" s="19" t="s">
        <v>2384</v>
      </c>
      <c r="C876" s="19" t="s">
        <v>1652</v>
      </c>
      <c r="D876" s="19"/>
      <c r="F876" s="20"/>
      <c r="G876" s="19" t="s">
        <v>1673</v>
      </c>
      <c r="H876" s="19" t="s">
        <v>2606</v>
      </c>
      <c r="I876" s="19"/>
      <c r="J876" s="19"/>
      <c r="K876" s="19"/>
      <c r="L876" s="19">
        <v>-5</v>
      </c>
      <c r="M876" s="21">
        <v>60.798964981999994</v>
      </c>
      <c r="N876" s="21">
        <v>20</v>
      </c>
      <c r="O876" s="20"/>
      <c r="P876" s="20"/>
      <c r="Q876" s="20"/>
      <c r="R876" s="20"/>
      <c r="S876" s="19"/>
      <c r="T876" s="19"/>
      <c r="U876" s="19" t="s">
        <v>1655</v>
      </c>
      <c r="V876" s="3" t="s">
        <v>2510</v>
      </c>
      <c r="W876" s="19" t="s">
        <v>2511</v>
      </c>
    </row>
    <row r="877" spans="1:23" s="3" customFormat="1">
      <c r="A877" s="5" t="s">
        <v>1642</v>
      </c>
      <c r="B877" s="19" t="s">
        <v>2384</v>
      </c>
      <c r="C877" s="19" t="s">
        <v>1652</v>
      </c>
      <c r="D877" s="19"/>
      <c r="F877" s="20"/>
      <c r="G877" s="19" t="s">
        <v>1673</v>
      </c>
      <c r="H877" s="19" t="s">
        <v>2607</v>
      </c>
      <c r="I877" s="19" t="s">
        <v>2608</v>
      </c>
      <c r="J877" s="19" t="s">
        <v>644</v>
      </c>
      <c r="L877" s="19">
        <v>20</v>
      </c>
      <c r="M877" s="21">
        <v>5.0000816235999999</v>
      </c>
      <c r="N877" s="21">
        <v>16</v>
      </c>
      <c r="O877" s="20"/>
      <c r="P877" s="20"/>
      <c r="Q877" s="20"/>
      <c r="R877" s="20"/>
      <c r="S877" s="19"/>
      <c r="T877" s="19"/>
      <c r="U877" s="19" t="s">
        <v>1655</v>
      </c>
      <c r="V877" s="3" t="s">
        <v>2433</v>
      </c>
      <c r="W877" s="19" t="s">
        <v>2434</v>
      </c>
    </row>
    <row r="878" spans="1:23" s="3" customFormat="1">
      <c r="A878" s="5" t="s">
        <v>1642</v>
      </c>
      <c r="B878" s="19" t="s">
        <v>2384</v>
      </c>
      <c r="C878" s="19" t="s">
        <v>1652</v>
      </c>
      <c r="D878" s="19"/>
      <c r="F878" s="20"/>
      <c r="G878" s="19" t="s">
        <v>1673</v>
      </c>
      <c r="H878" s="19" t="s">
        <v>2609</v>
      </c>
      <c r="I878" s="19" t="s">
        <v>2610</v>
      </c>
      <c r="J878" s="19" t="s">
        <v>2611</v>
      </c>
      <c r="K878" s="3" t="s">
        <v>642</v>
      </c>
      <c r="L878" s="19">
        <v>20</v>
      </c>
      <c r="M878" s="21">
        <v>5.0000816235999999</v>
      </c>
      <c r="N878" s="21">
        <v>16</v>
      </c>
      <c r="O878" s="20"/>
      <c r="P878" s="20"/>
      <c r="Q878" s="20"/>
      <c r="R878" s="20"/>
      <c r="S878" s="19"/>
      <c r="T878" s="19"/>
      <c r="U878" s="19" t="s">
        <v>1655</v>
      </c>
      <c r="V878" s="3" t="s">
        <v>2433</v>
      </c>
      <c r="W878" s="19" t="s">
        <v>2434</v>
      </c>
    </row>
    <row r="879" spans="1:23" s="3" customFormat="1">
      <c r="A879" s="5" t="s">
        <v>1642</v>
      </c>
      <c r="B879" s="19" t="s">
        <v>2384</v>
      </c>
      <c r="C879" s="19" t="s">
        <v>1596</v>
      </c>
      <c r="D879" s="19" t="s">
        <v>1884</v>
      </c>
      <c r="F879" s="20"/>
      <c r="G879" s="19" t="s">
        <v>1644</v>
      </c>
      <c r="H879" s="19" t="s">
        <v>2612</v>
      </c>
      <c r="I879" s="19"/>
      <c r="J879" s="19"/>
      <c r="L879" s="19">
        <v>20</v>
      </c>
      <c r="M879" s="21">
        <v>1.01331519422</v>
      </c>
      <c r="N879" s="21">
        <v>2</v>
      </c>
      <c r="O879" s="20"/>
      <c r="P879" s="20"/>
      <c r="Q879" s="20"/>
      <c r="R879" s="20"/>
      <c r="S879" s="19"/>
      <c r="T879" s="19"/>
      <c r="U879" s="19" t="s">
        <v>1655</v>
      </c>
      <c r="V879" s="3" t="s">
        <v>2555</v>
      </c>
      <c r="W879" s="19" t="s">
        <v>2556</v>
      </c>
    </row>
    <row r="880" spans="1:23" s="3" customFormat="1">
      <c r="A880" s="5" t="s">
        <v>1642</v>
      </c>
      <c r="B880" s="19" t="s">
        <v>2384</v>
      </c>
      <c r="C880" s="19" t="s">
        <v>1596</v>
      </c>
      <c r="D880" s="19"/>
      <c r="F880" s="20"/>
      <c r="G880" s="19" t="s">
        <v>1644</v>
      </c>
      <c r="H880" s="19" t="s">
        <v>2613</v>
      </c>
      <c r="I880" s="19" t="s">
        <v>2121</v>
      </c>
      <c r="J880" s="5" t="s">
        <v>487</v>
      </c>
      <c r="K880" s="19" t="s">
        <v>485</v>
      </c>
      <c r="L880" s="19">
        <v>20</v>
      </c>
      <c r="M880" s="21">
        <v>1.0000149915000001</v>
      </c>
      <c r="N880" s="21">
        <v>0.183333</v>
      </c>
      <c r="O880" s="20"/>
      <c r="P880" s="20"/>
      <c r="Q880" s="20"/>
      <c r="R880" s="20"/>
      <c r="S880" s="19"/>
      <c r="T880" s="19"/>
      <c r="U880" s="19" t="s">
        <v>1655</v>
      </c>
      <c r="V880" s="3" t="s">
        <v>2373</v>
      </c>
      <c r="W880" s="19" t="s">
        <v>2374</v>
      </c>
    </row>
    <row r="881" spans="1:23" s="3" customFormat="1">
      <c r="A881" s="5" t="s">
        <v>1642</v>
      </c>
      <c r="B881" s="19" t="s">
        <v>2384</v>
      </c>
      <c r="C881" s="19" t="s">
        <v>1652</v>
      </c>
      <c r="D881" s="19"/>
      <c r="F881" s="19" t="s">
        <v>2614</v>
      </c>
      <c r="G881" s="20"/>
      <c r="J881" s="19"/>
      <c r="K881" s="19"/>
      <c r="L881" s="19">
        <v>0</v>
      </c>
      <c r="M881" s="21">
        <v>6.8949072164</v>
      </c>
      <c r="N881" s="21">
        <v>12</v>
      </c>
      <c r="O881" s="20"/>
      <c r="P881" s="20"/>
      <c r="Q881" s="20"/>
      <c r="R881" s="20"/>
      <c r="S881" s="19"/>
      <c r="T881" s="19"/>
      <c r="U881" s="19" t="s">
        <v>1655</v>
      </c>
      <c r="V881" s="3" t="s">
        <v>2516</v>
      </c>
      <c r="W881" s="19" t="s">
        <v>2517</v>
      </c>
    </row>
    <row r="882" spans="1:23" s="3" customFormat="1">
      <c r="A882" s="5" t="s">
        <v>1642</v>
      </c>
      <c r="B882" s="19" t="s">
        <v>2384</v>
      </c>
      <c r="C882" s="19" t="s">
        <v>1596</v>
      </c>
      <c r="D882" s="19"/>
      <c r="F882" s="20"/>
      <c r="G882" s="19" t="s">
        <v>1673</v>
      </c>
      <c r="H882" s="19" t="s">
        <v>2615</v>
      </c>
      <c r="I882" s="19"/>
      <c r="J882" s="19"/>
      <c r="K882" s="19"/>
      <c r="L882" s="19">
        <v>20</v>
      </c>
      <c r="M882" s="21">
        <v>10.1331519422</v>
      </c>
      <c r="N882" s="21"/>
      <c r="O882" s="20"/>
      <c r="P882" s="20"/>
      <c r="Q882" s="20"/>
      <c r="R882" s="20"/>
      <c r="S882" s="19"/>
      <c r="T882" s="19"/>
      <c r="U882" s="19" t="s">
        <v>1655</v>
      </c>
      <c r="V882" s="3" t="s">
        <v>2519</v>
      </c>
      <c r="W882" s="19" t="s">
        <v>2520</v>
      </c>
    </row>
    <row r="883" spans="1:23" s="3" customFormat="1">
      <c r="A883" s="5" t="s">
        <v>1642</v>
      </c>
      <c r="B883" s="19" t="s">
        <v>2384</v>
      </c>
      <c r="C883" s="19" t="s">
        <v>1652</v>
      </c>
      <c r="D883" s="19"/>
      <c r="E883" s="19" t="s">
        <v>2616</v>
      </c>
      <c r="F883" s="20"/>
      <c r="G883" s="19" t="s">
        <v>1673</v>
      </c>
      <c r="H883" s="19" t="s">
        <v>2617</v>
      </c>
      <c r="I883" s="19"/>
      <c r="J883" s="19"/>
      <c r="K883" s="19"/>
      <c r="L883" s="19">
        <v>20</v>
      </c>
      <c r="M883" s="21">
        <v>1.01331519422</v>
      </c>
      <c r="N883" s="21">
        <v>12</v>
      </c>
      <c r="O883" s="20"/>
      <c r="P883" s="20"/>
      <c r="Q883" s="20"/>
      <c r="R883" s="20"/>
      <c r="S883" s="19"/>
      <c r="T883" s="19"/>
      <c r="U883" s="19" t="s">
        <v>1655</v>
      </c>
      <c r="V883" s="3" t="s">
        <v>2618</v>
      </c>
      <c r="W883" s="19" t="s">
        <v>2619</v>
      </c>
    </row>
    <row r="884" spans="1:23" s="3" customFormat="1">
      <c r="A884" s="5" t="s">
        <v>1642</v>
      </c>
      <c r="B884" s="19" t="s">
        <v>2384</v>
      </c>
      <c r="C884" s="19" t="s">
        <v>1652</v>
      </c>
      <c r="D884" s="19"/>
      <c r="F884" s="20"/>
      <c r="G884" s="19" t="s">
        <v>2523</v>
      </c>
      <c r="H884" s="19" t="s">
        <v>2620</v>
      </c>
      <c r="I884" s="19"/>
      <c r="J884" s="19"/>
      <c r="K884" s="19"/>
      <c r="L884" s="19">
        <v>20</v>
      </c>
      <c r="M884" s="21">
        <v>5.0000816235999999</v>
      </c>
      <c r="N884" s="21">
        <v>20</v>
      </c>
      <c r="O884" s="20"/>
      <c r="P884" s="20"/>
      <c r="Q884" s="20"/>
      <c r="R884" s="20"/>
      <c r="S884" s="19"/>
      <c r="T884" s="19"/>
      <c r="U884" s="19" t="s">
        <v>1655</v>
      </c>
      <c r="V884" s="3" t="s">
        <v>2525</v>
      </c>
      <c r="W884" s="19" t="s">
        <v>2526</v>
      </c>
    </row>
    <row r="885" spans="1:23" s="3" customFormat="1">
      <c r="A885" s="5" t="s">
        <v>1642</v>
      </c>
      <c r="B885" s="19" t="s">
        <v>2384</v>
      </c>
      <c r="C885" s="19" t="s">
        <v>1652</v>
      </c>
      <c r="D885" s="19"/>
      <c r="F885" s="20"/>
      <c r="G885" s="19" t="s">
        <v>2523</v>
      </c>
      <c r="H885" s="19" t="s">
        <v>2621</v>
      </c>
      <c r="I885" s="19"/>
      <c r="J885" s="19"/>
      <c r="K885" s="19"/>
      <c r="L885" s="19">
        <v>20</v>
      </c>
      <c r="M885" s="21">
        <v>5.0000816235999999</v>
      </c>
      <c r="N885" s="21">
        <v>20</v>
      </c>
      <c r="O885" s="20"/>
      <c r="P885" s="20"/>
      <c r="Q885" s="20"/>
      <c r="R885" s="20"/>
      <c r="S885" s="19"/>
      <c r="T885" s="19"/>
      <c r="U885" s="19" t="s">
        <v>1655</v>
      </c>
      <c r="V885" s="3" t="s">
        <v>2525</v>
      </c>
      <c r="W885" s="19" t="s">
        <v>2526</v>
      </c>
    </row>
    <row r="886" spans="1:23" s="3" customFormat="1">
      <c r="A886" s="5" t="s">
        <v>1642</v>
      </c>
      <c r="B886" s="19" t="s">
        <v>2384</v>
      </c>
      <c r="C886" s="19" t="s">
        <v>2622</v>
      </c>
      <c r="D886" s="19"/>
      <c r="F886" s="20"/>
      <c r="G886" s="19" t="s">
        <v>1644</v>
      </c>
      <c r="H886" s="19" t="s">
        <v>2623</v>
      </c>
      <c r="I886" s="19"/>
      <c r="J886" s="19"/>
      <c r="K886" s="19"/>
      <c r="L886" s="19">
        <v>20</v>
      </c>
      <c r="M886" s="21">
        <v>6.0000899489999995</v>
      </c>
      <c r="N886" s="21">
        <v>12</v>
      </c>
      <c r="O886" s="20"/>
      <c r="P886" s="20"/>
      <c r="Q886" s="20"/>
      <c r="R886" s="20"/>
      <c r="S886" s="19"/>
      <c r="T886" s="19"/>
      <c r="U886" s="19" t="s">
        <v>1655</v>
      </c>
      <c r="V886" s="3" t="s">
        <v>2528</v>
      </c>
      <c r="W886" s="19" t="s">
        <v>2529</v>
      </c>
    </row>
    <row r="887" spans="1:23" s="3" customFormat="1">
      <c r="A887" s="5" t="s">
        <v>1642</v>
      </c>
      <c r="B887" s="19" t="s">
        <v>2384</v>
      </c>
      <c r="C887" s="19" t="s">
        <v>1596</v>
      </c>
      <c r="D887" s="19"/>
      <c r="F887" s="19" t="s">
        <v>2624</v>
      </c>
      <c r="G887" s="20"/>
      <c r="J887" s="19"/>
      <c r="K887" s="19"/>
      <c r="L887" s="19">
        <v>20</v>
      </c>
      <c r="M887" s="21">
        <v>1.0000149915000001</v>
      </c>
      <c r="N887" s="21">
        <v>0.183333</v>
      </c>
      <c r="O887" s="20"/>
      <c r="P887" s="20"/>
      <c r="Q887" s="20"/>
      <c r="R887" s="20"/>
      <c r="S887" s="19"/>
      <c r="T887" s="19"/>
      <c r="U887" s="19" t="s">
        <v>1655</v>
      </c>
      <c r="V887" s="3" t="s">
        <v>2355</v>
      </c>
      <c r="W887" s="19" t="s">
        <v>2356</v>
      </c>
    </row>
    <row r="888" spans="1:23" s="3" customFormat="1">
      <c r="A888" s="5" t="s">
        <v>1642</v>
      </c>
      <c r="B888" s="19" t="s">
        <v>2384</v>
      </c>
      <c r="C888" s="19" t="s">
        <v>2363</v>
      </c>
      <c r="D888" s="19"/>
      <c r="F888" s="19" t="s">
        <v>2625</v>
      </c>
      <c r="G888" s="20"/>
      <c r="J888" s="19"/>
      <c r="K888" s="19"/>
      <c r="L888" s="19">
        <v>20</v>
      </c>
      <c r="M888" s="21">
        <v>20.266277219999999</v>
      </c>
      <c r="N888" s="21">
        <v>18</v>
      </c>
      <c r="O888" s="20"/>
      <c r="P888" s="20"/>
      <c r="Q888" s="20"/>
      <c r="R888" s="20"/>
      <c r="S888" s="19"/>
      <c r="T888" s="19"/>
      <c r="U888" s="19" t="s">
        <v>1655</v>
      </c>
      <c r="V888" s="3" t="s">
        <v>2626</v>
      </c>
      <c r="W888" s="19" t="s">
        <v>2627</v>
      </c>
    </row>
    <row r="889" spans="1:23" s="3" customFormat="1">
      <c r="A889" s="5" t="s">
        <v>1642</v>
      </c>
      <c r="B889" s="19" t="s">
        <v>2384</v>
      </c>
      <c r="C889" s="19" t="s">
        <v>1652</v>
      </c>
      <c r="D889" s="19"/>
      <c r="F889" s="20"/>
      <c r="G889" s="19" t="s">
        <v>1673</v>
      </c>
      <c r="H889" s="19" t="s">
        <v>2628</v>
      </c>
      <c r="I889" s="19"/>
      <c r="J889" s="19"/>
      <c r="K889" s="19"/>
      <c r="L889" s="19">
        <v>20</v>
      </c>
      <c r="M889" s="21">
        <v>5.0000816235999999</v>
      </c>
      <c r="N889" s="21">
        <v>20</v>
      </c>
      <c r="O889" s="20"/>
      <c r="P889" s="20"/>
      <c r="Q889" s="20"/>
      <c r="R889" s="20"/>
      <c r="S889" s="19"/>
      <c r="T889" s="19"/>
      <c r="U889" s="19" t="s">
        <v>1655</v>
      </c>
      <c r="V889" s="3" t="s">
        <v>2533</v>
      </c>
      <c r="W889" s="19" t="s">
        <v>2534</v>
      </c>
    </row>
    <row r="890" spans="1:23" s="3" customFormat="1">
      <c r="A890" s="5" t="s">
        <v>1642</v>
      </c>
      <c r="B890" s="19" t="s">
        <v>2384</v>
      </c>
      <c r="C890" s="19" t="s">
        <v>1652</v>
      </c>
      <c r="D890" s="19"/>
      <c r="F890" s="20"/>
      <c r="G890" s="19" t="s">
        <v>1673</v>
      </c>
      <c r="H890" s="19" t="s">
        <v>2620</v>
      </c>
      <c r="I890" s="19"/>
      <c r="J890" s="19"/>
      <c r="K890" s="19"/>
      <c r="L890" s="19">
        <v>20</v>
      </c>
      <c r="M890" s="21">
        <v>5.0000816235999999</v>
      </c>
      <c r="N890" s="21">
        <v>20</v>
      </c>
      <c r="O890" s="20"/>
      <c r="P890" s="20"/>
      <c r="Q890" s="20"/>
      <c r="R890" s="20"/>
      <c r="S890" s="19"/>
      <c r="T890" s="19"/>
      <c r="U890" s="19" t="s">
        <v>1655</v>
      </c>
      <c r="V890" s="3" t="s">
        <v>2533</v>
      </c>
      <c r="W890" s="19" t="s">
        <v>2534</v>
      </c>
    </row>
    <row r="891" spans="1:23" s="3" customFormat="1">
      <c r="A891" s="5" t="s">
        <v>1642</v>
      </c>
      <c r="B891" s="19" t="s">
        <v>2384</v>
      </c>
      <c r="C891" s="19" t="s">
        <v>1652</v>
      </c>
      <c r="D891" s="19"/>
      <c r="F891" s="20"/>
      <c r="G891" s="19" t="s">
        <v>1673</v>
      </c>
      <c r="H891" s="19" t="s">
        <v>2629</v>
      </c>
      <c r="I891" s="19"/>
      <c r="J891" s="19"/>
      <c r="K891" s="19"/>
      <c r="L891" s="19">
        <v>5</v>
      </c>
      <c r="M891" s="21">
        <v>5.0000816235999999</v>
      </c>
      <c r="N891" s="21">
        <v>36</v>
      </c>
      <c r="O891" s="20"/>
      <c r="P891" s="20"/>
      <c r="Q891" s="20"/>
      <c r="R891" s="20"/>
      <c r="S891" s="19"/>
      <c r="T891" s="19"/>
      <c r="U891" s="19" t="s">
        <v>1655</v>
      </c>
      <c r="V891" s="3" t="s">
        <v>2630</v>
      </c>
      <c r="W891" s="19" t="s">
        <v>2631</v>
      </c>
    </row>
    <row r="892" spans="1:23" s="3" customFormat="1">
      <c r="A892" s="5" t="s">
        <v>1642</v>
      </c>
      <c r="B892" s="19" t="s">
        <v>2384</v>
      </c>
      <c r="C892" s="19" t="s">
        <v>1652</v>
      </c>
      <c r="D892" s="19"/>
      <c r="F892" s="19" t="s">
        <v>2632</v>
      </c>
      <c r="G892" s="20"/>
      <c r="J892" s="19"/>
      <c r="K892" s="19"/>
      <c r="L892" s="19">
        <v>20</v>
      </c>
      <c r="M892" s="21">
        <v>10.000149915</v>
      </c>
      <c r="N892" s="21">
        <v>1</v>
      </c>
      <c r="O892" s="20"/>
      <c r="P892" s="20"/>
      <c r="Q892" s="20"/>
      <c r="R892" s="20"/>
      <c r="S892" s="19"/>
      <c r="T892" s="19"/>
      <c r="U892" s="19" t="s">
        <v>1655</v>
      </c>
      <c r="V892" s="3" t="s">
        <v>2633</v>
      </c>
      <c r="W892" s="19" t="s">
        <v>2634</v>
      </c>
    </row>
    <row r="893" spans="1:23" s="3" customFormat="1">
      <c r="A893" s="5" t="s">
        <v>1642</v>
      </c>
      <c r="B893" s="19" t="s">
        <v>2384</v>
      </c>
      <c r="C893" s="19" t="s">
        <v>1596</v>
      </c>
      <c r="D893" s="19"/>
      <c r="F893" s="19" t="s">
        <v>2635</v>
      </c>
      <c r="G893" s="20"/>
      <c r="I893" s="3" t="s">
        <v>2223</v>
      </c>
      <c r="J893" s="19" t="s">
        <v>2224</v>
      </c>
      <c r="K893" s="19"/>
      <c r="L893" s="19">
        <v>20</v>
      </c>
      <c r="M893" s="21">
        <v>3.0399415830000001</v>
      </c>
      <c r="N893" s="21">
        <v>18</v>
      </c>
      <c r="O893" s="20"/>
      <c r="P893" s="20"/>
      <c r="Q893" s="20"/>
      <c r="R893" s="20"/>
      <c r="S893" s="19"/>
      <c r="T893" s="19"/>
      <c r="U893" s="19" t="s">
        <v>1655</v>
      </c>
      <c r="V893" s="3" t="s">
        <v>2636</v>
      </c>
      <c r="W893" s="19" t="s">
        <v>2637</v>
      </c>
    </row>
    <row r="894" spans="1:23" s="3" customFormat="1">
      <c r="A894" s="5" t="s">
        <v>1642</v>
      </c>
      <c r="B894" s="19" t="s">
        <v>2384</v>
      </c>
      <c r="C894" s="19" t="s">
        <v>1596</v>
      </c>
      <c r="D894" s="19"/>
      <c r="F894" s="19" t="s">
        <v>2638</v>
      </c>
      <c r="G894" s="20"/>
      <c r="I894" s="3" t="s">
        <v>2223</v>
      </c>
      <c r="J894" s="19" t="s">
        <v>2224</v>
      </c>
      <c r="K894" s="19"/>
      <c r="L894" s="19">
        <v>20</v>
      </c>
      <c r="M894" s="21">
        <v>3.0399415830000001</v>
      </c>
      <c r="N894" s="21">
        <v>18</v>
      </c>
      <c r="O894" s="20"/>
      <c r="P894" s="20"/>
      <c r="Q894" s="20"/>
      <c r="R894" s="20"/>
      <c r="S894" s="19"/>
      <c r="T894" s="19"/>
      <c r="U894" s="19" t="s">
        <v>1655</v>
      </c>
      <c r="V894" s="3" t="s">
        <v>2636</v>
      </c>
      <c r="W894" s="19" t="s">
        <v>2637</v>
      </c>
    </row>
    <row r="895" spans="1:23" s="3" customFormat="1">
      <c r="A895" s="5" t="s">
        <v>1642</v>
      </c>
      <c r="B895" s="19" t="s">
        <v>2384</v>
      </c>
      <c r="C895" s="19" t="s">
        <v>1652</v>
      </c>
      <c r="D895" s="19"/>
      <c r="F895" s="20"/>
      <c r="G895" s="19" t="s">
        <v>1673</v>
      </c>
      <c r="H895" s="19" t="s">
        <v>2639</v>
      </c>
      <c r="I895" s="19"/>
      <c r="J895" s="19"/>
      <c r="K895" s="19"/>
      <c r="L895" s="19">
        <v>20</v>
      </c>
      <c r="M895" s="21">
        <v>5.0000816235999999</v>
      </c>
      <c r="N895" s="21">
        <v>20</v>
      </c>
      <c r="O895" s="20"/>
      <c r="P895" s="20"/>
      <c r="Q895" s="20"/>
      <c r="R895" s="20"/>
      <c r="S895" s="19"/>
      <c r="T895" s="19"/>
      <c r="U895" s="19" t="s">
        <v>1655</v>
      </c>
      <c r="V895" s="3" t="s">
        <v>2536</v>
      </c>
      <c r="W895" s="19" t="s">
        <v>2537</v>
      </c>
    </row>
    <row r="896" spans="1:23" s="3" customFormat="1">
      <c r="A896" s="5" t="s">
        <v>1642</v>
      </c>
      <c r="B896" s="19" t="s">
        <v>2384</v>
      </c>
      <c r="C896" s="19" t="s">
        <v>1652</v>
      </c>
      <c r="D896" s="19"/>
      <c r="F896" s="20"/>
      <c r="G896" s="19" t="s">
        <v>1673</v>
      </c>
      <c r="H896" s="19" t="s">
        <v>2640</v>
      </c>
      <c r="I896" s="19"/>
      <c r="J896" s="19"/>
      <c r="K896" s="19"/>
      <c r="L896" s="19">
        <v>20</v>
      </c>
      <c r="M896" s="21">
        <v>50.000816236000006</v>
      </c>
      <c r="N896" s="21">
        <v>4</v>
      </c>
      <c r="O896" s="20"/>
      <c r="P896" s="20">
        <v>0.84</v>
      </c>
      <c r="Q896" s="20">
        <v>0.84</v>
      </c>
      <c r="R896" s="20">
        <f>IF(ISBLANK(L896),"",IF(ISBLANK(Q896),"",8.3145*(L896+273.15)*LN((Q896+1)/(1-Q896))*0.001))</f>
        <v>5.9529661008579717</v>
      </c>
      <c r="S896" s="19"/>
      <c r="T896" s="19"/>
      <c r="U896" s="19" t="s">
        <v>1655</v>
      </c>
      <c r="V896" s="3" t="s">
        <v>2641</v>
      </c>
      <c r="W896" s="19" t="s">
        <v>2006</v>
      </c>
    </row>
    <row r="897" spans="1:23" s="3" customFormat="1">
      <c r="A897" s="5" t="s">
        <v>1642</v>
      </c>
      <c r="B897" s="19" t="s">
        <v>2384</v>
      </c>
      <c r="C897" s="19" t="s">
        <v>1596</v>
      </c>
      <c r="D897" s="19"/>
      <c r="F897" s="19" t="s">
        <v>2175</v>
      </c>
      <c r="G897" s="20"/>
      <c r="J897" s="19"/>
      <c r="K897" s="19"/>
      <c r="L897" s="19"/>
      <c r="M897" s="21">
        <v>1.0000149915000001</v>
      </c>
      <c r="N897" s="21">
        <v>1</v>
      </c>
      <c r="O897" s="20"/>
      <c r="P897" s="20">
        <v>0.67</v>
      </c>
      <c r="Q897" s="20">
        <v>0.67</v>
      </c>
      <c r="R897" s="20"/>
      <c r="S897" s="19"/>
      <c r="T897" s="19"/>
      <c r="U897" s="19" t="s">
        <v>1655</v>
      </c>
      <c r="V897" s="3" t="s">
        <v>2642</v>
      </c>
      <c r="W897" s="19" t="s">
        <v>2177</v>
      </c>
    </row>
    <row r="898" spans="1:23" s="3" customFormat="1">
      <c r="A898" s="5" t="s">
        <v>1642</v>
      </c>
      <c r="B898" s="19" t="s">
        <v>2384</v>
      </c>
      <c r="C898" s="19" t="s">
        <v>1652</v>
      </c>
      <c r="D898" s="19"/>
      <c r="F898" s="20"/>
      <c r="G898" s="19" t="s">
        <v>2030</v>
      </c>
      <c r="H898" s="19" t="s">
        <v>2643</v>
      </c>
      <c r="I898" s="19"/>
      <c r="J898" s="19"/>
      <c r="K898" s="19"/>
      <c r="L898" s="19">
        <v>20</v>
      </c>
      <c r="M898" s="21">
        <v>10.000149915</v>
      </c>
      <c r="N898" s="21">
        <v>8</v>
      </c>
      <c r="O898" s="20"/>
      <c r="P898" s="20">
        <v>0.54</v>
      </c>
      <c r="Q898" s="20">
        <v>0.54</v>
      </c>
      <c r="R898" s="20">
        <f>IF(ISBLANK(L898),"",IF(ISBLANK(Q898),"",8.3145*(L898+273.15)*LN((Q898+1)/(1-Q898))*0.001))</f>
        <v>2.9451325073744945</v>
      </c>
      <c r="S898" s="19"/>
      <c r="T898" s="19"/>
      <c r="U898" s="19" t="s">
        <v>1655</v>
      </c>
      <c r="V898" s="3" t="s">
        <v>2644</v>
      </c>
      <c r="W898" s="19" t="s">
        <v>2033</v>
      </c>
    </row>
    <row r="899" spans="1:23" s="3" customFormat="1">
      <c r="A899" s="5" t="s">
        <v>1642</v>
      </c>
      <c r="B899" s="19" t="s">
        <v>2384</v>
      </c>
      <c r="C899" s="19" t="s">
        <v>1652</v>
      </c>
      <c r="D899" s="19"/>
      <c r="F899" s="20"/>
      <c r="G899" s="19" t="s">
        <v>2030</v>
      </c>
      <c r="H899" s="19" t="s">
        <v>2645</v>
      </c>
      <c r="I899" s="19"/>
      <c r="J899" s="19"/>
      <c r="K899" s="19"/>
      <c r="L899" s="19">
        <v>20</v>
      </c>
      <c r="M899" s="21">
        <v>10.000149915</v>
      </c>
      <c r="N899" s="21">
        <v>8</v>
      </c>
      <c r="O899" s="20"/>
      <c r="P899" s="20">
        <v>0.57999999999999996</v>
      </c>
      <c r="Q899" s="20">
        <v>0.57999999999999996</v>
      </c>
      <c r="R899" s="20">
        <f>IF(ISBLANK(L899),"",IF(ISBLANK(Q899),"",8.3145*(L899+273.15)*LN((Q899+1)/(1-Q899))*0.001))</f>
        <v>3.2293674755936288</v>
      </c>
      <c r="S899" s="19"/>
      <c r="T899" s="19"/>
      <c r="U899" s="19" t="s">
        <v>1655</v>
      </c>
      <c r="V899" s="3" t="s">
        <v>2644</v>
      </c>
      <c r="W899" s="19" t="s">
        <v>2033</v>
      </c>
    </row>
    <row r="900" spans="1:23" s="3" customFormat="1">
      <c r="A900" s="5" t="s">
        <v>1642</v>
      </c>
      <c r="B900" s="19" t="s">
        <v>2384</v>
      </c>
      <c r="C900" s="19" t="s">
        <v>1672</v>
      </c>
      <c r="D900" s="19"/>
      <c r="F900" s="19" t="s">
        <v>2646</v>
      </c>
      <c r="G900" s="20"/>
      <c r="J900" s="19"/>
      <c r="K900" s="19"/>
      <c r="L900" s="19">
        <v>20</v>
      </c>
      <c r="M900" s="21">
        <v>20.000299829999999</v>
      </c>
      <c r="N900" s="21">
        <v>24</v>
      </c>
      <c r="O900" s="20"/>
      <c r="P900" s="20">
        <v>0.89</v>
      </c>
      <c r="Q900" s="20">
        <v>0.89</v>
      </c>
      <c r="R900" s="20">
        <f>IF(ISBLANK(L900),"",IF(ISBLANK(Q900),"",8.3145*(L900+273.15)*LN((Q900+1)/(1-Q900))*0.001))</f>
        <v>6.9315919369288395</v>
      </c>
      <c r="S900" s="19"/>
      <c r="T900" s="19"/>
      <c r="U900" s="19" t="s">
        <v>1655</v>
      </c>
      <c r="V900" s="3" t="s">
        <v>2543</v>
      </c>
      <c r="W900" s="19" t="s">
        <v>2544</v>
      </c>
    </row>
    <row r="901" spans="1:23" s="3" customFormat="1">
      <c r="A901" s="5" t="s">
        <v>1642</v>
      </c>
      <c r="B901" s="19" t="s">
        <v>2384</v>
      </c>
      <c r="C901" s="19" t="s">
        <v>1596</v>
      </c>
      <c r="D901" s="19"/>
      <c r="F901" s="20"/>
      <c r="G901" s="19" t="s">
        <v>2180</v>
      </c>
      <c r="H901" s="19" t="s">
        <v>2647</v>
      </c>
      <c r="I901" s="19"/>
      <c r="J901" s="19"/>
      <c r="K901" s="19"/>
      <c r="L901" s="19"/>
      <c r="M901" s="21"/>
      <c r="N901" s="21">
        <v>1</v>
      </c>
      <c r="O901" s="20"/>
      <c r="P901" s="20">
        <v>0.84</v>
      </c>
      <c r="Q901" s="20">
        <v>0.84</v>
      </c>
      <c r="R901" s="20"/>
      <c r="S901" s="19"/>
      <c r="T901" s="19"/>
      <c r="U901" s="19" t="s">
        <v>1655</v>
      </c>
      <c r="V901" s="3" t="s">
        <v>2648</v>
      </c>
      <c r="W901" s="19" t="s">
        <v>2182</v>
      </c>
    </row>
    <row r="902" spans="1:23" s="3" customFormat="1">
      <c r="A902" s="5" t="s">
        <v>1642</v>
      </c>
      <c r="B902" s="19" t="s">
        <v>2384</v>
      </c>
      <c r="C902" s="19" t="s">
        <v>1596</v>
      </c>
      <c r="D902" s="19"/>
      <c r="F902" s="19" t="s">
        <v>2051</v>
      </c>
      <c r="G902" s="20"/>
      <c r="J902" s="19"/>
      <c r="K902" s="19"/>
      <c r="L902" s="19">
        <v>25</v>
      </c>
      <c r="M902" s="21">
        <v>1.0000149915000001</v>
      </c>
      <c r="N902" s="21">
        <v>0.6</v>
      </c>
      <c r="O902" s="20"/>
      <c r="P902" s="20">
        <v>0.19</v>
      </c>
      <c r="Q902" s="20">
        <v>0.19</v>
      </c>
      <c r="R902" s="20">
        <f t="shared" ref="R902:R916" si="25">IF(ISBLANK(L902),"",IF(ISBLANK(Q902),"",8.3145*(L902+273.15)*LN((Q902+1)/(1-Q902))*0.001))</f>
        <v>0.95359544272968455</v>
      </c>
      <c r="S902" s="19"/>
      <c r="T902" s="19"/>
      <c r="U902" s="19" t="s">
        <v>1655</v>
      </c>
      <c r="V902" s="3" t="s">
        <v>2376</v>
      </c>
      <c r="W902" s="19" t="s">
        <v>2053</v>
      </c>
    </row>
    <row r="903" spans="1:23" s="3" customFormat="1">
      <c r="A903" s="5" t="s">
        <v>1642</v>
      </c>
      <c r="B903" s="19" t="s">
        <v>2384</v>
      </c>
      <c r="C903" s="19" t="s">
        <v>1596</v>
      </c>
      <c r="D903" s="19"/>
      <c r="F903" s="19" t="s">
        <v>2377</v>
      </c>
      <c r="G903" s="20"/>
      <c r="J903" s="19"/>
      <c r="K903" s="19"/>
      <c r="L903" s="19">
        <v>25</v>
      </c>
      <c r="M903" s="21">
        <v>1.0000149915000001</v>
      </c>
      <c r="N903" s="21">
        <v>3</v>
      </c>
      <c r="O903" s="20"/>
      <c r="P903" s="20">
        <v>0.87</v>
      </c>
      <c r="Q903" s="20">
        <v>0.87</v>
      </c>
      <c r="R903" s="20">
        <f t="shared" si="25"/>
        <v>6.6093239535169408</v>
      </c>
      <c r="S903" s="19"/>
      <c r="T903" s="19"/>
      <c r="U903" s="19" t="s">
        <v>1655</v>
      </c>
      <c r="V903" s="3" t="s">
        <v>2376</v>
      </c>
      <c r="W903" s="19" t="s">
        <v>2053</v>
      </c>
    </row>
    <row r="904" spans="1:23" s="3" customFormat="1">
      <c r="A904" s="5" t="s">
        <v>1642</v>
      </c>
      <c r="B904" s="19" t="s">
        <v>2384</v>
      </c>
      <c r="C904" s="19" t="s">
        <v>1652</v>
      </c>
      <c r="D904" s="19"/>
      <c r="E904" s="19" t="s">
        <v>2453</v>
      </c>
      <c r="F904" s="20"/>
      <c r="G904" s="19" t="s">
        <v>2075</v>
      </c>
      <c r="H904" s="19" t="s">
        <v>2649</v>
      </c>
      <c r="I904" s="19"/>
      <c r="J904" s="19"/>
      <c r="K904" s="19"/>
      <c r="L904" s="19">
        <v>20</v>
      </c>
      <c r="M904" s="21">
        <v>20.000299829999999</v>
      </c>
      <c r="N904" s="21"/>
      <c r="O904" s="20"/>
      <c r="P904" s="20">
        <v>0.89</v>
      </c>
      <c r="Q904" s="20">
        <v>0.89</v>
      </c>
      <c r="R904" s="20">
        <f t="shared" si="25"/>
        <v>6.9315919369288395</v>
      </c>
      <c r="S904" s="19"/>
      <c r="T904" s="19"/>
      <c r="U904" s="19" t="s">
        <v>1655</v>
      </c>
      <c r="V904" s="3" t="s">
        <v>2455</v>
      </c>
      <c r="W904" s="19" t="s">
        <v>2163</v>
      </c>
    </row>
    <row r="905" spans="1:23" s="3" customFormat="1">
      <c r="A905" s="5" t="s">
        <v>1642</v>
      </c>
      <c r="B905" s="19" t="s">
        <v>2384</v>
      </c>
      <c r="C905" s="19" t="s">
        <v>1596</v>
      </c>
      <c r="D905" s="19"/>
      <c r="F905" s="19" t="s">
        <v>2545</v>
      </c>
      <c r="G905" s="20"/>
      <c r="I905" s="3" t="s">
        <v>946</v>
      </c>
      <c r="J905" s="19" t="s">
        <v>947</v>
      </c>
      <c r="K905" s="3" t="s">
        <v>945</v>
      </c>
      <c r="L905" s="19">
        <v>24.84</v>
      </c>
      <c r="M905" s="21">
        <v>3.0399415830000001</v>
      </c>
      <c r="N905" s="21">
        <v>1</v>
      </c>
      <c r="O905" s="20"/>
      <c r="P905" s="20">
        <v>0.89599999999999991</v>
      </c>
      <c r="Q905" s="20">
        <v>0.89599999999999991</v>
      </c>
      <c r="R905" s="20">
        <f t="shared" si="25"/>
        <v>7.1928571748884105</v>
      </c>
      <c r="S905" s="19"/>
      <c r="T905" s="19"/>
      <c r="U905" s="19" t="s">
        <v>1655</v>
      </c>
      <c r="V905" s="3" t="s">
        <v>2546</v>
      </c>
      <c r="W905" s="19" t="s">
        <v>2547</v>
      </c>
    </row>
    <row r="906" spans="1:23" s="3" customFormat="1">
      <c r="A906" s="5" t="s">
        <v>1642</v>
      </c>
      <c r="B906" s="19" t="s">
        <v>2384</v>
      </c>
      <c r="C906" s="19" t="s">
        <v>1652</v>
      </c>
      <c r="D906" s="19"/>
      <c r="F906" s="20"/>
      <c r="G906" s="19" t="s">
        <v>1673</v>
      </c>
      <c r="H906" s="19" t="s">
        <v>2650</v>
      </c>
      <c r="I906" s="19"/>
      <c r="J906" s="19"/>
      <c r="K906" s="19"/>
      <c r="L906" s="19">
        <v>25</v>
      </c>
      <c r="M906" s="21">
        <v>10.1331519422</v>
      </c>
      <c r="N906" s="21">
        <v>6</v>
      </c>
      <c r="O906" s="20"/>
      <c r="P906" s="20">
        <v>0.33</v>
      </c>
      <c r="Q906" s="20">
        <v>0.33</v>
      </c>
      <c r="R906" s="20">
        <f t="shared" si="25"/>
        <v>1.6997206643731297</v>
      </c>
      <c r="S906" s="19"/>
      <c r="T906" s="19"/>
      <c r="U906" s="19" t="s">
        <v>1655</v>
      </c>
      <c r="V906" s="3" t="s">
        <v>2549</v>
      </c>
      <c r="W906" s="19" t="s">
        <v>1843</v>
      </c>
    </row>
    <row r="907" spans="1:23" s="3" customFormat="1">
      <c r="A907" s="5" t="s">
        <v>1642</v>
      </c>
      <c r="B907" s="19" t="s">
        <v>2384</v>
      </c>
      <c r="C907" s="19" t="s">
        <v>1672</v>
      </c>
      <c r="D907" s="19"/>
      <c r="F907" s="20"/>
      <c r="G907" s="19" t="s">
        <v>1644</v>
      </c>
      <c r="H907" s="19" t="s">
        <v>2540</v>
      </c>
      <c r="I907" s="19"/>
      <c r="J907" s="19"/>
      <c r="K907" s="19"/>
      <c r="L907" s="19">
        <v>20</v>
      </c>
      <c r="M907" s="21">
        <v>20.000299829999999</v>
      </c>
      <c r="N907" s="21">
        <v>18</v>
      </c>
      <c r="O907" s="20"/>
      <c r="P907" s="20">
        <v>0.8</v>
      </c>
      <c r="Q907" s="20">
        <v>0.8</v>
      </c>
      <c r="R907" s="20">
        <f t="shared" si="25"/>
        <v>5.3555056818030051</v>
      </c>
      <c r="S907" s="19"/>
      <c r="T907" s="19"/>
      <c r="U907" s="19" t="s">
        <v>1655</v>
      </c>
      <c r="V907" s="3" t="s">
        <v>2460</v>
      </c>
      <c r="W907" s="19" t="s">
        <v>1919</v>
      </c>
    </row>
    <row r="908" spans="1:23" s="3" customFormat="1">
      <c r="A908" s="5" t="s">
        <v>1642</v>
      </c>
      <c r="B908" s="19" t="s">
        <v>2384</v>
      </c>
      <c r="C908" s="19" t="s">
        <v>1884</v>
      </c>
      <c r="D908" s="19"/>
      <c r="F908" s="20"/>
      <c r="G908" s="19" t="s">
        <v>1673</v>
      </c>
      <c r="H908" s="19" t="s">
        <v>2651</v>
      </c>
      <c r="I908" s="19"/>
      <c r="J908" s="19"/>
      <c r="K908" s="19"/>
      <c r="L908" s="19">
        <v>30</v>
      </c>
      <c r="M908" s="21">
        <v>2.5000408117999999</v>
      </c>
      <c r="N908" s="21">
        <v>6</v>
      </c>
      <c r="O908" s="20"/>
      <c r="P908" s="20">
        <v>0.52</v>
      </c>
      <c r="Q908" s="20">
        <v>0.52</v>
      </c>
      <c r="R908" s="20">
        <f t="shared" si="25"/>
        <v>2.9053755900387679</v>
      </c>
      <c r="S908" s="19"/>
      <c r="T908" s="19"/>
      <c r="U908" s="19" t="s">
        <v>1655</v>
      </c>
      <c r="V908" s="3" t="s">
        <v>2652</v>
      </c>
      <c r="W908" s="19" t="s">
        <v>2189</v>
      </c>
    </row>
    <row r="909" spans="1:23" s="3" customFormat="1">
      <c r="A909" s="5" t="s">
        <v>1642</v>
      </c>
      <c r="B909" s="19" t="s">
        <v>2384</v>
      </c>
      <c r="C909" s="19" t="s">
        <v>1672</v>
      </c>
      <c r="D909" s="19"/>
      <c r="F909" s="19" t="s">
        <v>2653</v>
      </c>
      <c r="G909" s="20"/>
      <c r="J909" s="19"/>
      <c r="K909" s="19"/>
      <c r="L909" s="19">
        <v>20</v>
      </c>
      <c r="M909" s="21">
        <v>20.000299829999999</v>
      </c>
      <c r="N909" s="21">
        <v>18</v>
      </c>
      <c r="O909" s="20"/>
      <c r="P909" s="20">
        <v>0.88</v>
      </c>
      <c r="Q909" s="20">
        <v>0.88</v>
      </c>
      <c r="R909" s="20">
        <f t="shared" si="25"/>
        <v>6.7065802716182183</v>
      </c>
      <c r="S909" s="19"/>
      <c r="T909" s="19"/>
      <c r="U909" s="19" t="s">
        <v>1655</v>
      </c>
      <c r="V909" s="3" t="s">
        <v>2467</v>
      </c>
      <c r="W909" s="19" t="s">
        <v>1932</v>
      </c>
    </row>
    <row r="910" spans="1:23" s="3" customFormat="1">
      <c r="A910" s="5" t="s">
        <v>1642</v>
      </c>
      <c r="B910" s="19" t="s">
        <v>2384</v>
      </c>
      <c r="C910" s="19" t="s">
        <v>1596</v>
      </c>
      <c r="D910" s="19"/>
      <c r="F910" s="20"/>
      <c r="G910" s="19" t="s">
        <v>1644</v>
      </c>
      <c r="H910" s="19" t="s">
        <v>2654</v>
      </c>
      <c r="I910" s="19"/>
      <c r="J910" s="19"/>
      <c r="K910" s="19"/>
      <c r="L910" s="19">
        <v>22</v>
      </c>
      <c r="M910" s="21">
        <v>1.0000149915000001</v>
      </c>
      <c r="N910" s="21">
        <v>1</v>
      </c>
      <c r="O910" s="20"/>
      <c r="P910" s="20">
        <v>0.8</v>
      </c>
      <c r="Q910" s="20">
        <v>0.8</v>
      </c>
      <c r="R910" s="20">
        <f t="shared" si="25"/>
        <v>5.3920433292995282</v>
      </c>
      <c r="S910" s="19"/>
      <c r="T910" s="19"/>
      <c r="U910" s="19" t="s">
        <v>1655</v>
      </c>
      <c r="V910" s="3" t="s">
        <v>2468</v>
      </c>
      <c r="W910" s="19" t="s">
        <v>1735</v>
      </c>
    </row>
    <row r="911" spans="1:23" s="3" customFormat="1">
      <c r="A911" s="5" t="s">
        <v>1642</v>
      </c>
      <c r="B911" s="19" t="s">
        <v>2384</v>
      </c>
      <c r="C911" s="19" t="s">
        <v>1724</v>
      </c>
      <c r="D911" s="19" t="s">
        <v>1652</v>
      </c>
      <c r="F911" s="20"/>
      <c r="G911" s="19" t="s">
        <v>1673</v>
      </c>
      <c r="H911" s="19" t="s">
        <v>2655</v>
      </c>
      <c r="I911" s="19"/>
      <c r="J911" s="19"/>
      <c r="K911" s="19"/>
      <c r="L911" s="19">
        <v>25</v>
      </c>
      <c r="M911" s="21">
        <v>95.001390862000008</v>
      </c>
      <c r="N911" s="21">
        <v>24</v>
      </c>
      <c r="O911" s="20"/>
      <c r="P911" s="20">
        <v>0.87400000000000011</v>
      </c>
      <c r="Q911" s="20">
        <v>0.87400000000000011</v>
      </c>
      <c r="R911" s="20">
        <f t="shared" si="25"/>
        <v>6.6920949568116512</v>
      </c>
      <c r="S911" s="19"/>
      <c r="T911" s="19"/>
      <c r="U911" s="19" t="s">
        <v>1655</v>
      </c>
      <c r="V911" s="3" t="s">
        <v>2656</v>
      </c>
      <c r="W911" s="19" t="s">
        <v>2193</v>
      </c>
    </row>
    <row r="912" spans="1:23" s="3" customFormat="1">
      <c r="A912" s="5" t="s">
        <v>1642</v>
      </c>
      <c r="B912" s="19" t="s">
        <v>2384</v>
      </c>
      <c r="C912" s="19" t="s">
        <v>2363</v>
      </c>
      <c r="D912" s="19"/>
      <c r="F912" s="19" t="s">
        <v>2194</v>
      </c>
      <c r="G912" s="20"/>
      <c r="J912" s="19"/>
      <c r="K912" s="19"/>
      <c r="L912" s="19">
        <v>20</v>
      </c>
      <c r="M912" s="21"/>
      <c r="N912" s="21"/>
      <c r="O912" s="20"/>
      <c r="P912" s="20">
        <v>0.87400000000000011</v>
      </c>
      <c r="Q912" s="20">
        <v>0.87400000000000011</v>
      </c>
      <c r="R912" s="20">
        <f t="shared" si="25"/>
        <v>6.5798679744737072</v>
      </c>
      <c r="S912" s="19"/>
      <c r="T912" s="19"/>
      <c r="U912" s="19" t="s">
        <v>1655</v>
      </c>
      <c r="V912" s="3" t="s">
        <v>2657</v>
      </c>
      <c r="W912" s="19" t="s">
        <v>2196</v>
      </c>
    </row>
    <row r="913" spans="1:23" s="3" customFormat="1">
      <c r="A913" s="5" t="s">
        <v>1642</v>
      </c>
      <c r="B913" s="19" t="s">
        <v>2384</v>
      </c>
      <c r="C913" s="19" t="s">
        <v>2363</v>
      </c>
      <c r="D913" s="19"/>
      <c r="F913" s="19" t="s">
        <v>2197</v>
      </c>
      <c r="G913" s="20"/>
      <c r="J913" s="19"/>
      <c r="K913" s="19"/>
      <c r="L913" s="19">
        <v>20</v>
      </c>
      <c r="M913" s="21"/>
      <c r="N913" s="21"/>
      <c r="O913" s="20"/>
      <c r="P913" s="20">
        <v>0.124</v>
      </c>
      <c r="Q913" s="20">
        <v>0.124</v>
      </c>
      <c r="R913" s="20">
        <f t="shared" si="25"/>
        <v>0.60760115863061959</v>
      </c>
      <c r="S913" s="19"/>
      <c r="T913" s="19"/>
      <c r="U913" s="19" t="s">
        <v>1655</v>
      </c>
      <c r="V913" s="3" t="s">
        <v>2657</v>
      </c>
      <c r="W913" s="19" t="s">
        <v>2196</v>
      </c>
    </row>
    <row r="914" spans="1:23" s="3" customFormat="1">
      <c r="A914" s="5" t="s">
        <v>1642</v>
      </c>
      <c r="B914" s="19" t="s">
        <v>2384</v>
      </c>
      <c r="C914" s="19" t="s">
        <v>1861</v>
      </c>
      <c r="D914" s="19"/>
      <c r="F914" s="20"/>
      <c r="G914" s="19" t="s">
        <v>1673</v>
      </c>
      <c r="H914" s="19" t="s">
        <v>2658</v>
      </c>
      <c r="I914" s="19"/>
      <c r="J914" s="19"/>
      <c r="K914" s="19"/>
      <c r="L914" s="19">
        <v>0</v>
      </c>
      <c r="M914" s="21">
        <v>30.000516405999999</v>
      </c>
      <c r="N914" s="21">
        <v>24</v>
      </c>
      <c r="O914" s="20"/>
      <c r="P914" s="20">
        <v>0.86</v>
      </c>
      <c r="Q914" s="20">
        <v>0.86</v>
      </c>
      <c r="R914" s="20">
        <f t="shared" si="25"/>
        <v>5.8746448488428644</v>
      </c>
      <c r="S914" s="19"/>
      <c r="T914" s="19"/>
      <c r="U914" s="19" t="s">
        <v>1647</v>
      </c>
      <c r="V914" s="3" t="s">
        <v>2659</v>
      </c>
      <c r="W914" s="19" t="s">
        <v>1898</v>
      </c>
    </row>
    <row r="915" spans="1:23" s="3" customFormat="1">
      <c r="A915" s="5" t="s">
        <v>1642</v>
      </c>
      <c r="B915" s="19" t="s">
        <v>2384</v>
      </c>
      <c r="C915" s="19" t="s">
        <v>2552</v>
      </c>
      <c r="D915" s="19" t="s">
        <v>1652</v>
      </c>
      <c r="F915" s="20"/>
      <c r="G915" s="19" t="s">
        <v>1644</v>
      </c>
      <c r="H915" s="19" t="s">
        <v>2473</v>
      </c>
      <c r="I915" s="19"/>
      <c r="J915" s="19"/>
      <c r="K915" s="19"/>
      <c r="L915" s="19">
        <v>25</v>
      </c>
      <c r="M915" s="21">
        <v>20.266277219999999</v>
      </c>
      <c r="N915" s="21">
        <v>12</v>
      </c>
      <c r="O915" s="20"/>
      <c r="P915" s="20">
        <v>0.86</v>
      </c>
      <c r="Q915" s="20">
        <v>0.86</v>
      </c>
      <c r="R915" s="20">
        <f t="shared" si="25"/>
        <v>6.4123205626304234</v>
      </c>
      <c r="S915" s="19"/>
      <c r="T915" s="19"/>
      <c r="U915" s="19" t="s">
        <v>1655</v>
      </c>
      <c r="V915" s="3" t="s">
        <v>2474</v>
      </c>
      <c r="W915" s="19" t="s">
        <v>1941</v>
      </c>
    </row>
    <row r="916" spans="1:23" s="3" customFormat="1">
      <c r="A916" s="5" t="s">
        <v>1642</v>
      </c>
      <c r="B916" s="19" t="s">
        <v>2384</v>
      </c>
      <c r="C916" s="19" t="s">
        <v>1672</v>
      </c>
      <c r="D916" s="19"/>
      <c r="E916" s="19" t="s">
        <v>2472</v>
      </c>
      <c r="F916" s="20"/>
      <c r="G916" s="19" t="s">
        <v>1644</v>
      </c>
      <c r="H916" s="19" t="s">
        <v>2553</v>
      </c>
      <c r="I916" s="19"/>
      <c r="J916" s="19"/>
      <c r="K916" s="19"/>
      <c r="L916" s="19">
        <v>25</v>
      </c>
      <c r="M916" s="21">
        <v>20.266277219999999</v>
      </c>
      <c r="N916" s="21">
        <v>12</v>
      </c>
      <c r="O916" s="20"/>
      <c r="P916" s="20">
        <v>0.41</v>
      </c>
      <c r="Q916" s="20">
        <v>0.41</v>
      </c>
      <c r="R916" s="20">
        <f t="shared" si="25"/>
        <v>2.1597327181508414</v>
      </c>
      <c r="S916" s="19"/>
      <c r="T916" s="19"/>
      <c r="U916" s="19" t="s">
        <v>1655</v>
      </c>
      <c r="V916" s="3" t="s">
        <v>2474</v>
      </c>
      <c r="W916" s="19" t="s">
        <v>1941</v>
      </c>
    </row>
    <row r="917" spans="1:23" s="3" customFormat="1">
      <c r="A917" s="5" t="s">
        <v>1642</v>
      </c>
      <c r="B917" s="19" t="s">
        <v>2384</v>
      </c>
      <c r="C917" s="19" t="s">
        <v>1596</v>
      </c>
      <c r="D917" s="19"/>
      <c r="F917" s="19" t="s">
        <v>2660</v>
      </c>
      <c r="G917" s="20"/>
      <c r="J917" s="19"/>
      <c r="K917" s="19"/>
      <c r="L917" s="19">
        <v>25</v>
      </c>
      <c r="M917" s="21">
        <v>1.01331519422</v>
      </c>
      <c r="N917" s="21">
        <v>1</v>
      </c>
      <c r="O917" s="20"/>
      <c r="P917" s="20"/>
      <c r="Q917" s="20"/>
      <c r="R917" s="20"/>
      <c r="S917" s="19"/>
      <c r="T917" s="19"/>
      <c r="U917" s="19" t="s">
        <v>1655</v>
      </c>
      <c r="V917" s="3" t="s">
        <v>2661</v>
      </c>
      <c r="W917" s="19" t="s">
        <v>2662</v>
      </c>
    </row>
    <row r="918" spans="1:23" s="3" customFormat="1">
      <c r="A918" s="5" t="s">
        <v>1642</v>
      </c>
      <c r="B918" s="19" t="s">
        <v>2384</v>
      </c>
      <c r="C918" s="19" t="s">
        <v>1884</v>
      </c>
      <c r="D918" s="19"/>
      <c r="F918" s="19" t="s">
        <v>2663</v>
      </c>
      <c r="G918" s="20"/>
      <c r="J918" s="19"/>
      <c r="K918" s="19"/>
      <c r="L918" s="19">
        <v>20</v>
      </c>
      <c r="M918" s="21">
        <v>60.000899490000002</v>
      </c>
      <c r="N918" s="21">
        <v>4</v>
      </c>
      <c r="O918" s="20"/>
      <c r="P918" s="20">
        <v>0.86</v>
      </c>
      <c r="Q918" s="20">
        <v>0.86</v>
      </c>
      <c r="R918" s="20">
        <f>IF(ISBLANK(L918),"",IF(ISBLANK(Q918),"",8.3145*(L918+273.15)*LN((Q918+1)/(1-Q918))*0.001))</f>
        <v>6.3047854198729123</v>
      </c>
      <c r="S918" s="19"/>
      <c r="T918" s="19"/>
      <c r="U918" s="19" t="s">
        <v>1655</v>
      </c>
      <c r="V918" s="3" t="s">
        <v>2664</v>
      </c>
      <c r="W918" s="19" t="s">
        <v>2665</v>
      </c>
    </row>
    <row r="919" spans="1:23" s="3" customFormat="1">
      <c r="A919" s="5" t="s">
        <v>1642</v>
      </c>
      <c r="B919" s="19" t="s">
        <v>2384</v>
      </c>
      <c r="C919" s="19" t="s">
        <v>1652</v>
      </c>
      <c r="D919" s="19"/>
      <c r="F919" s="20"/>
      <c r="G919" s="19" t="s">
        <v>1673</v>
      </c>
      <c r="H919" s="19" t="s">
        <v>2666</v>
      </c>
      <c r="I919" s="19"/>
      <c r="J919" s="19"/>
      <c r="K919" s="19"/>
      <c r="L919" s="19">
        <v>20</v>
      </c>
      <c r="M919" s="21">
        <v>10.000149915</v>
      </c>
      <c r="N919" s="21">
        <v>12</v>
      </c>
      <c r="O919" s="20"/>
      <c r="P919" s="20">
        <v>0.12300000000000001</v>
      </c>
      <c r="Q919" s="20">
        <v>0.12300000000000001</v>
      </c>
      <c r="R919" s="20">
        <f>IF(ISBLANK(L919),"",IF(ISBLANK(Q919),"",8.3145*(L919+273.15)*LN((Q919+1)/(1-Q919))*0.001))</f>
        <v>0.60265086370678533</v>
      </c>
      <c r="S919" s="19"/>
      <c r="T919" s="19"/>
      <c r="U919" s="19" t="s">
        <v>1655</v>
      </c>
      <c r="V919" s="3" t="s">
        <v>2487</v>
      </c>
      <c r="W919" s="19" t="s">
        <v>1889</v>
      </c>
    </row>
    <row r="920" spans="1:23" s="3" customFormat="1">
      <c r="A920" s="5" t="s">
        <v>1642</v>
      </c>
      <c r="B920" s="19" t="s">
        <v>2384</v>
      </c>
      <c r="C920" s="19" t="s">
        <v>1652</v>
      </c>
      <c r="D920" s="19"/>
      <c r="F920" s="20"/>
      <c r="G920" s="19" t="s">
        <v>1673</v>
      </c>
      <c r="H920" s="19" t="s">
        <v>2667</v>
      </c>
      <c r="I920" s="19"/>
      <c r="J920" s="19"/>
      <c r="K920" s="19"/>
      <c r="L920" s="19">
        <v>20</v>
      </c>
      <c r="M920" s="21">
        <v>10.1331519422</v>
      </c>
      <c r="N920" s="21">
        <v>24</v>
      </c>
      <c r="O920" s="20">
        <v>1</v>
      </c>
      <c r="P920" s="20"/>
      <c r="Q920" s="20"/>
      <c r="R920" s="20"/>
      <c r="S920" s="19"/>
      <c r="T920" s="19"/>
      <c r="U920" s="19" t="s">
        <v>1655</v>
      </c>
      <c r="V920" s="3" t="s">
        <v>2668</v>
      </c>
      <c r="W920" s="19" t="s">
        <v>2669</v>
      </c>
    </row>
    <row r="921" spans="1:23" s="3" customFormat="1">
      <c r="A921" s="5" t="s">
        <v>1642</v>
      </c>
      <c r="B921" s="19" t="s">
        <v>2384</v>
      </c>
      <c r="C921" s="19" t="s">
        <v>1652</v>
      </c>
      <c r="D921" s="19"/>
      <c r="E921" s="19" t="s">
        <v>2670</v>
      </c>
      <c r="F921" s="20"/>
      <c r="G921" s="19" t="s">
        <v>1644</v>
      </c>
      <c r="H921" s="19" t="s">
        <v>2396</v>
      </c>
      <c r="I921" s="19"/>
      <c r="J921" s="19"/>
      <c r="K921" s="19"/>
      <c r="L921" s="19">
        <v>25</v>
      </c>
      <c r="M921" s="21">
        <v>10.000149915</v>
      </c>
      <c r="N921" s="21">
        <v>16</v>
      </c>
      <c r="O921" s="20"/>
      <c r="P921" s="20"/>
      <c r="Q921" s="20"/>
      <c r="R921" s="20"/>
      <c r="S921" s="19"/>
      <c r="T921" s="19"/>
      <c r="U921" s="19" t="s">
        <v>1655</v>
      </c>
      <c r="V921" s="3" t="s">
        <v>2397</v>
      </c>
      <c r="W921" s="19" t="s">
        <v>2398</v>
      </c>
    </row>
    <row r="922" spans="1:23" s="3" customFormat="1">
      <c r="A922" s="5" t="s">
        <v>1642</v>
      </c>
      <c r="B922" s="19" t="s">
        <v>2384</v>
      </c>
      <c r="C922" s="19" t="s">
        <v>1652</v>
      </c>
      <c r="D922" s="19"/>
      <c r="E922" s="19" t="s">
        <v>2671</v>
      </c>
      <c r="F922" s="20"/>
      <c r="G922" s="19" t="s">
        <v>1644</v>
      </c>
      <c r="H922" s="19" t="s">
        <v>2396</v>
      </c>
      <c r="I922" s="19"/>
      <c r="J922" s="19"/>
      <c r="K922" s="19"/>
      <c r="L922" s="19">
        <v>25</v>
      </c>
      <c r="M922" s="21">
        <v>10.000149915</v>
      </c>
      <c r="N922" s="21">
        <v>16</v>
      </c>
      <c r="O922" s="20"/>
      <c r="P922" s="20"/>
      <c r="Q922" s="20"/>
      <c r="R922" s="20"/>
      <c r="S922" s="19"/>
      <c r="T922" s="19"/>
      <c r="U922" s="19" t="s">
        <v>1655</v>
      </c>
      <c r="V922" s="3" t="s">
        <v>2397</v>
      </c>
      <c r="W922" s="19" t="s">
        <v>2398</v>
      </c>
    </row>
    <row r="923" spans="1:23" s="3" customFormat="1">
      <c r="A923" s="5" t="s">
        <v>1642</v>
      </c>
      <c r="B923" s="19" t="s">
        <v>2384</v>
      </c>
      <c r="C923" s="19" t="s">
        <v>1652</v>
      </c>
      <c r="D923" s="19"/>
      <c r="F923" s="20"/>
      <c r="G923" s="19" t="s">
        <v>1673</v>
      </c>
      <c r="H923" s="19" t="s">
        <v>2672</v>
      </c>
      <c r="I923" s="19"/>
      <c r="J923" s="19"/>
      <c r="K923" s="19"/>
      <c r="L923" s="19">
        <v>20</v>
      </c>
      <c r="M923" s="21">
        <v>20.000299829999999</v>
      </c>
      <c r="N923" s="21">
        <v>4</v>
      </c>
      <c r="O923" s="20"/>
      <c r="P923" s="20">
        <v>0.99</v>
      </c>
      <c r="Q923" s="20">
        <v>0.99</v>
      </c>
      <c r="R923" s="20">
        <f>IF(ISBLANK(L923),"",IF(ISBLANK(Q923),"",8.3145*(L923+273.15)*LN((Q923+1)/(1-Q923))*0.001))</f>
        <v>12.901878286240109</v>
      </c>
      <c r="S923" s="19"/>
      <c r="T923" s="19"/>
      <c r="U923" s="19" t="s">
        <v>1655</v>
      </c>
      <c r="V923" s="3" t="s">
        <v>2673</v>
      </c>
      <c r="W923" s="19" t="s">
        <v>2207</v>
      </c>
    </row>
    <row r="924" spans="1:23" s="3" customFormat="1">
      <c r="A924" s="5" t="s">
        <v>1642</v>
      </c>
      <c r="B924" s="19" t="s">
        <v>2384</v>
      </c>
      <c r="C924" s="19" t="s">
        <v>1652</v>
      </c>
      <c r="D924" s="19"/>
      <c r="F924" s="20"/>
      <c r="G924" s="19" t="s">
        <v>1673</v>
      </c>
      <c r="H924" s="19" t="s">
        <v>2672</v>
      </c>
      <c r="I924" s="19"/>
      <c r="J924" s="19"/>
      <c r="K924" s="19"/>
      <c r="L924" s="19">
        <v>20</v>
      </c>
      <c r="M924" s="21">
        <v>20.000299829999999</v>
      </c>
      <c r="N924" s="21">
        <v>4</v>
      </c>
      <c r="O924" s="20"/>
      <c r="P924" s="20">
        <v>0.89</v>
      </c>
      <c r="Q924" s="20">
        <v>0.89</v>
      </c>
      <c r="R924" s="20">
        <f>IF(ISBLANK(L924),"",IF(ISBLANK(Q924),"",8.3145*(L924+273.15)*LN((Q924+1)/(1-Q924))*0.001))</f>
        <v>6.9315919369288395</v>
      </c>
      <c r="S924" s="19"/>
      <c r="T924" s="19"/>
      <c r="U924" s="19" t="s">
        <v>1655</v>
      </c>
      <c r="V924" s="3" t="s">
        <v>2673</v>
      </c>
      <c r="W924" s="19" t="s">
        <v>2207</v>
      </c>
    </row>
    <row r="925" spans="1:23" s="3" customFormat="1">
      <c r="A925" s="5" t="s">
        <v>1642</v>
      </c>
      <c r="B925" s="19" t="s">
        <v>2384</v>
      </c>
      <c r="C925" s="19" t="s">
        <v>2363</v>
      </c>
      <c r="D925" s="19"/>
      <c r="F925" s="19" t="s">
        <v>2494</v>
      </c>
      <c r="G925" s="20"/>
      <c r="J925" s="19"/>
      <c r="K925" s="19"/>
      <c r="L925" s="19">
        <v>20</v>
      </c>
      <c r="M925" s="21"/>
      <c r="N925" s="21">
        <v>3</v>
      </c>
      <c r="O925" s="20"/>
      <c r="P925" s="20"/>
      <c r="Q925" s="20"/>
      <c r="R925" s="20"/>
      <c r="S925" s="19"/>
      <c r="T925" s="19"/>
      <c r="U925" s="19" t="s">
        <v>2491</v>
      </c>
      <c r="V925" s="3" t="s">
        <v>2495</v>
      </c>
      <c r="W925" s="19" t="s">
        <v>2496</v>
      </c>
    </row>
    <row r="926" spans="1:23" s="3" customFormat="1">
      <c r="A926" s="5" t="s">
        <v>1642</v>
      </c>
      <c r="B926" s="19" t="s">
        <v>2384</v>
      </c>
      <c r="C926" s="19" t="s">
        <v>2363</v>
      </c>
      <c r="D926" s="19"/>
      <c r="F926" s="19" t="s">
        <v>2494</v>
      </c>
      <c r="G926" s="20"/>
      <c r="J926" s="19"/>
      <c r="K926" s="19"/>
      <c r="L926" s="19">
        <v>20</v>
      </c>
      <c r="M926" s="21"/>
      <c r="N926" s="21">
        <v>3</v>
      </c>
      <c r="O926" s="20"/>
      <c r="P926" s="20"/>
      <c r="Q926" s="20"/>
      <c r="R926" s="20"/>
      <c r="S926" s="19"/>
      <c r="T926" s="19"/>
      <c r="U926" s="19" t="s">
        <v>2491</v>
      </c>
      <c r="V926" s="3" t="s">
        <v>2495</v>
      </c>
      <c r="W926" s="19" t="s">
        <v>2496</v>
      </c>
    </row>
    <row r="927" spans="1:23" s="8" customFormat="1">
      <c r="A927" s="5" t="s">
        <v>1642</v>
      </c>
      <c r="B927" s="19" t="s">
        <v>2384</v>
      </c>
      <c r="C927" s="19" t="s">
        <v>2446</v>
      </c>
      <c r="D927" s="19"/>
      <c r="E927" s="19" t="s">
        <v>2674</v>
      </c>
      <c r="F927" s="20"/>
      <c r="G927" s="19" t="s">
        <v>1644</v>
      </c>
      <c r="H927" s="19" t="s">
        <v>2675</v>
      </c>
      <c r="I927" s="19"/>
      <c r="J927" s="19"/>
      <c r="K927" s="19"/>
      <c r="L927" s="19">
        <v>60</v>
      </c>
      <c r="M927" s="21"/>
      <c r="N927" s="21">
        <v>12</v>
      </c>
      <c r="O927" s="20"/>
      <c r="P927" s="20"/>
      <c r="Q927" s="20"/>
      <c r="R927" s="20"/>
      <c r="S927" s="19"/>
      <c r="T927" s="19"/>
      <c r="U927" s="19" t="s">
        <v>1655</v>
      </c>
      <c r="V927" s="8" t="s">
        <v>2449</v>
      </c>
      <c r="W927" s="19" t="s">
        <v>2450</v>
      </c>
    </row>
    <row r="928" spans="1:23" s="8" customFormat="1">
      <c r="A928" s="5" t="s">
        <v>1642</v>
      </c>
      <c r="B928" s="19" t="s">
        <v>2384</v>
      </c>
      <c r="C928" s="19" t="s">
        <v>2446</v>
      </c>
      <c r="D928" s="19"/>
      <c r="E928" s="19"/>
      <c r="F928" s="20"/>
      <c r="G928" s="19" t="s">
        <v>1644</v>
      </c>
      <c r="H928" s="19" t="s">
        <v>2451</v>
      </c>
      <c r="I928" s="19"/>
      <c r="J928" s="19"/>
      <c r="K928" s="19"/>
      <c r="L928" s="19">
        <v>60</v>
      </c>
      <c r="M928" s="21"/>
      <c r="N928" s="21">
        <v>12</v>
      </c>
      <c r="O928" s="20"/>
      <c r="P928" s="20">
        <v>0.61</v>
      </c>
      <c r="Q928" s="20">
        <v>0.61</v>
      </c>
      <c r="R928" s="20">
        <f>IF(ISBLANK(L928),"",IF(ISBLANK(Q928),"",8.3145*(L928+273.15)*LN((Q928+1)/(1-Q928))*0.001))</f>
        <v>3.9273898422037057</v>
      </c>
      <c r="S928" s="19"/>
      <c r="T928" s="19"/>
      <c r="U928" s="19" t="s">
        <v>1655</v>
      </c>
      <c r="V928" s="8" t="s">
        <v>2449</v>
      </c>
      <c r="W928" s="19" t="s">
        <v>2450</v>
      </c>
    </row>
    <row r="929" spans="1:23" s="8" customFormat="1">
      <c r="A929" s="5" t="s">
        <v>1642</v>
      </c>
      <c r="B929" s="19" t="s">
        <v>2384</v>
      </c>
      <c r="C929" s="19" t="s">
        <v>2446</v>
      </c>
      <c r="D929" s="19"/>
      <c r="E929" s="8" t="s">
        <v>2676</v>
      </c>
      <c r="F929" s="20"/>
      <c r="G929" s="19" t="s">
        <v>1644</v>
      </c>
      <c r="H929" s="19" t="s">
        <v>2451</v>
      </c>
      <c r="I929" s="19"/>
      <c r="J929" s="19"/>
      <c r="K929" s="19"/>
      <c r="L929" s="19">
        <v>60</v>
      </c>
      <c r="M929" s="21"/>
      <c r="N929" s="21">
        <v>12</v>
      </c>
      <c r="O929" s="20"/>
      <c r="P929" s="20">
        <v>0.85</v>
      </c>
      <c r="Q929" s="20">
        <v>0.85</v>
      </c>
      <c r="R929" s="20">
        <f>IF(ISBLANK(L929),"",IF(ISBLANK(Q929),"",8.3145*(L929+273.15)*LN((Q929+1)/(1-Q929))*0.001))</f>
        <v>6.9590254665795355</v>
      </c>
      <c r="S929" s="19"/>
      <c r="T929" s="19"/>
      <c r="U929" s="19" t="s">
        <v>1655</v>
      </c>
      <c r="V929" s="8" t="s">
        <v>2449</v>
      </c>
      <c r="W929" s="19" t="s">
        <v>2450</v>
      </c>
    </row>
    <row r="930" spans="1:23" s="8" customFormat="1">
      <c r="A930" s="5" t="s">
        <v>1642</v>
      </c>
      <c r="B930" s="19" t="s">
        <v>2384</v>
      </c>
      <c r="C930" s="19" t="s">
        <v>1884</v>
      </c>
      <c r="D930" s="19"/>
      <c r="F930" s="20"/>
      <c r="G930" s="19" t="s">
        <v>1644</v>
      </c>
      <c r="H930" s="19" t="s">
        <v>2451</v>
      </c>
      <c r="I930" s="19"/>
      <c r="J930" s="19"/>
      <c r="K930" s="19"/>
      <c r="L930" s="19">
        <v>60</v>
      </c>
      <c r="M930" s="21"/>
      <c r="N930" s="21">
        <v>12</v>
      </c>
      <c r="O930" s="20"/>
      <c r="P930" s="20">
        <v>0.68</v>
      </c>
      <c r="Q930" s="20">
        <v>0.68</v>
      </c>
      <c r="R930" s="20">
        <f>IF(ISBLANK(L930),"",IF(ISBLANK(Q930),"",8.3145*(L930+273.15)*LN((Q930+1)/(1-Q930))*0.001))</f>
        <v>4.5932514357938219</v>
      </c>
      <c r="S930" s="19"/>
      <c r="T930" s="19"/>
      <c r="U930" s="19" t="s">
        <v>1655</v>
      </c>
      <c r="V930" s="8" t="s">
        <v>2449</v>
      </c>
      <c r="W930" s="19" t="s">
        <v>2450</v>
      </c>
    </row>
    <row r="931" spans="1:23" s="8" customFormat="1">
      <c r="A931" s="5" t="s">
        <v>1642</v>
      </c>
      <c r="B931" s="19" t="s">
        <v>2384</v>
      </c>
      <c r="C931" s="19" t="s">
        <v>2446</v>
      </c>
      <c r="D931" s="19"/>
      <c r="E931" s="19" t="s">
        <v>2677</v>
      </c>
      <c r="F931" s="20"/>
      <c r="G931" s="19" t="s">
        <v>1644</v>
      </c>
      <c r="H931" s="19" t="s">
        <v>2678</v>
      </c>
      <c r="I931" s="19"/>
      <c r="J931" s="19"/>
      <c r="K931" s="19"/>
      <c r="L931" s="19">
        <v>60</v>
      </c>
      <c r="M931" s="21"/>
      <c r="N931" s="21">
        <v>12</v>
      </c>
      <c r="O931" s="20"/>
      <c r="P931" s="20"/>
      <c r="Q931" s="20"/>
      <c r="R931" s="20"/>
      <c r="S931" s="19"/>
      <c r="T931" s="19"/>
      <c r="U931" s="19" t="s">
        <v>1655</v>
      </c>
      <c r="V931" s="8" t="s">
        <v>2449</v>
      </c>
      <c r="W931" s="19" t="s">
        <v>2450</v>
      </c>
    </row>
    <row r="932" spans="1:23" s="8" customFormat="1">
      <c r="A932" s="5" t="s">
        <v>1642</v>
      </c>
      <c r="B932" s="19" t="s">
        <v>2384</v>
      </c>
      <c r="C932" s="19" t="s">
        <v>2446</v>
      </c>
      <c r="D932" s="19" t="s">
        <v>1596</v>
      </c>
      <c r="E932" s="19" t="s">
        <v>2679</v>
      </c>
      <c r="F932" s="19" t="s">
        <v>2680</v>
      </c>
      <c r="G932" s="20"/>
      <c r="J932" s="19"/>
      <c r="K932" s="19"/>
      <c r="L932" s="19"/>
      <c r="M932" s="21"/>
      <c r="N932" s="21"/>
      <c r="O932" s="20"/>
      <c r="P932" s="20"/>
      <c r="Q932" s="20"/>
      <c r="R932" s="20"/>
      <c r="S932" s="19"/>
      <c r="T932" s="19"/>
      <c r="U932" s="19" t="s">
        <v>1655</v>
      </c>
      <c r="V932" s="8" t="s">
        <v>2449</v>
      </c>
      <c r="W932" s="19" t="s">
        <v>2450</v>
      </c>
    </row>
    <row r="933" spans="1:23" s="8" customFormat="1">
      <c r="A933" s="5" t="s">
        <v>1642</v>
      </c>
      <c r="B933" s="19" t="s">
        <v>2384</v>
      </c>
      <c r="C933" s="19" t="s">
        <v>2446</v>
      </c>
      <c r="D933" s="19"/>
      <c r="E933" s="19" t="s">
        <v>2679</v>
      </c>
      <c r="F933" s="20"/>
      <c r="G933" s="19" t="s">
        <v>1644</v>
      </c>
      <c r="H933" s="19" t="s">
        <v>2451</v>
      </c>
      <c r="I933" s="19"/>
      <c r="J933" s="19"/>
      <c r="K933" s="19"/>
      <c r="L933" s="19">
        <v>60</v>
      </c>
      <c r="M933" s="21"/>
      <c r="N933" s="21">
        <v>12</v>
      </c>
      <c r="O933" s="20"/>
      <c r="P933" s="20">
        <v>0.53</v>
      </c>
      <c r="Q933" s="20">
        <v>0.53</v>
      </c>
      <c r="R933" s="20">
        <f>IF(ISBLANK(L933),"",IF(ISBLANK(Q933),"",8.3145*(L933+273.15)*LN((Q933+1)/(1-Q933))*0.001))</f>
        <v>3.2693754749581587</v>
      </c>
      <c r="S933" s="19"/>
      <c r="T933" s="19"/>
      <c r="U933" s="19" t="s">
        <v>1655</v>
      </c>
      <c r="V933" s="8" t="s">
        <v>2449</v>
      </c>
      <c r="W933" s="19" t="s">
        <v>2450</v>
      </c>
    </row>
    <row r="934" spans="1:23" s="8" customFormat="1">
      <c r="A934" s="5" t="s">
        <v>1642</v>
      </c>
      <c r="B934" s="19" t="s">
        <v>2384</v>
      </c>
      <c r="C934" s="19" t="s">
        <v>2446</v>
      </c>
      <c r="D934" s="19"/>
      <c r="E934" s="19" t="s">
        <v>2679</v>
      </c>
      <c r="F934" s="20"/>
      <c r="G934" s="19" t="s">
        <v>1644</v>
      </c>
      <c r="H934" s="19" t="s">
        <v>2451</v>
      </c>
      <c r="I934" s="19"/>
      <c r="J934" s="19"/>
      <c r="K934" s="19"/>
      <c r="L934" s="19">
        <v>60</v>
      </c>
      <c r="M934" s="21"/>
      <c r="N934" s="21">
        <v>12</v>
      </c>
      <c r="O934" s="20"/>
      <c r="P934" s="20">
        <v>0.99</v>
      </c>
      <c r="Q934" s="20">
        <v>0.99</v>
      </c>
      <c r="R934" s="20">
        <f>IF(ISBLANK(L934),"",IF(ISBLANK(Q934),"",8.3145*(L934+273.15)*LN((Q934+1)/(1-Q934))*0.001))</f>
        <v>14.662325604846982</v>
      </c>
      <c r="S934" s="19"/>
      <c r="T934" s="19"/>
      <c r="U934" s="19" t="s">
        <v>1655</v>
      </c>
      <c r="V934" s="8" t="s">
        <v>2449</v>
      </c>
      <c r="W934" s="19" t="s">
        <v>2450</v>
      </c>
    </row>
    <row r="935" spans="1:23" s="8" customFormat="1">
      <c r="A935" s="5" t="s">
        <v>1642</v>
      </c>
      <c r="B935" s="19" t="s">
        <v>2384</v>
      </c>
      <c r="C935" s="19" t="s">
        <v>2446</v>
      </c>
      <c r="D935" s="19"/>
      <c r="E935" s="19" t="s">
        <v>2679</v>
      </c>
      <c r="F935" s="20"/>
      <c r="G935" s="19" t="s">
        <v>1644</v>
      </c>
      <c r="H935" s="19" t="s">
        <v>2451</v>
      </c>
      <c r="I935" s="19"/>
      <c r="J935" s="19"/>
      <c r="K935" s="19"/>
      <c r="L935" s="19">
        <v>80</v>
      </c>
      <c r="M935" s="21"/>
      <c r="N935" s="21">
        <v>12</v>
      </c>
      <c r="O935" s="20"/>
      <c r="P935" s="20">
        <v>0.99</v>
      </c>
      <c r="Q935" s="20">
        <v>0.99</v>
      </c>
      <c r="R935" s="20">
        <f>IF(ISBLANK(L935),"",IF(ISBLANK(Q935),"",8.3145*(L935+273.15)*LN((Q935+1)/(1-Q935))*0.001))</f>
        <v>15.542549264150416</v>
      </c>
      <c r="S935" s="19"/>
      <c r="T935" s="19"/>
      <c r="U935" s="19" t="s">
        <v>1655</v>
      </c>
      <c r="V935" s="8" t="s">
        <v>2449</v>
      </c>
      <c r="W935" s="19" t="s">
        <v>2450</v>
      </c>
    </row>
    <row r="936" spans="1:23" s="8" customFormat="1">
      <c r="A936" s="5" t="s">
        <v>1642</v>
      </c>
      <c r="B936" s="19" t="s">
        <v>2384</v>
      </c>
      <c r="C936" s="19" t="s">
        <v>2446</v>
      </c>
      <c r="D936" s="19"/>
      <c r="E936" s="19" t="s">
        <v>2679</v>
      </c>
      <c r="F936" s="20"/>
      <c r="G936" s="19" t="s">
        <v>1644</v>
      </c>
      <c r="H936" s="19" t="s">
        <v>2681</v>
      </c>
      <c r="I936" s="19"/>
      <c r="J936" s="19"/>
      <c r="K936" s="19"/>
      <c r="L936" s="19">
        <v>60</v>
      </c>
      <c r="M936" s="21"/>
      <c r="N936" s="21">
        <v>12</v>
      </c>
      <c r="O936" s="20"/>
      <c r="P936" s="20">
        <v>0.99</v>
      </c>
      <c r="Q936" s="20">
        <v>0.99</v>
      </c>
      <c r="R936" s="20">
        <f>IF(ISBLANK(L936),"",IF(ISBLANK(Q936),"",8.3145*(L936+273.15)*LN((Q936+1)/(1-Q936))*0.001))</f>
        <v>14.662325604846982</v>
      </c>
      <c r="S936" s="19"/>
      <c r="T936" s="19"/>
      <c r="U936" s="19" t="s">
        <v>1655</v>
      </c>
      <c r="V936" s="8" t="s">
        <v>2449</v>
      </c>
      <c r="W936" s="19" t="s">
        <v>2450</v>
      </c>
    </row>
    <row r="937" spans="1:23" s="8" customFormat="1">
      <c r="A937" s="5" t="s">
        <v>1642</v>
      </c>
      <c r="B937" s="19" t="s">
        <v>2384</v>
      </c>
      <c r="C937" s="19" t="s">
        <v>2446</v>
      </c>
      <c r="D937" s="19"/>
      <c r="E937" s="19" t="s">
        <v>2679</v>
      </c>
      <c r="F937" s="20"/>
      <c r="G937" s="19" t="s">
        <v>1644</v>
      </c>
      <c r="H937" s="19" t="s">
        <v>2682</v>
      </c>
      <c r="I937" s="19"/>
      <c r="J937" s="19"/>
      <c r="K937" s="19"/>
      <c r="L937" s="19">
        <v>60</v>
      </c>
      <c r="M937" s="21"/>
      <c r="N937" s="21">
        <v>12</v>
      </c>
      <c r="O937" s="20"/>
      <c r="P937" s="20"/>
      <c r="Q937" s="20"/>
      <c r="R937" s="20"/>
      <c r="S937" s="19"/>
      <c r="T937" s="19"/>
      <c r="U937" s="19" t="s">
        <v>1655</v>
      </c>
      <c r="V937" s="8" t="s">
        <v>2449</v>
      </c>
      <c r="W937" s="19" t="s">
        <v>2450</v>
      </c>
    </row>
    <row r="938" spans="1:23" s="8" customFormat="1">
      <c r="A938" s="5" t="s">
        <v>1642</v>
      </c>
      <c r="B938" s="19" t="s">
        <v>2384</v>
      </c>
      <c r="C938" s="19" t="s">
        <v>2446</v>
      </c>
      <c r="D938" s="19"/>
      <c r="E938" s="19" t="s">
        <v>2679</v>
      </c>
      <c r="F938" s="20"/>
      <c r="G938" s="19" t="s">
        <v>1644</v>
      </c>
      <c r="H938" s="19" t="s">
        <v>2683</v>
      </c>
      <c r="I938" s="19" t="s">
        <v>2684</v>
      </c>
      <c r="J938" s="19" t="s">
        <v>2685</v>
      </c>
      <c r="K938" s="19"/>
      <c r="L938" s="19">
        <v>60</v>
      </c>
      <c r="M938" s="21"/>
      <c r="N938" s="21">
        <v>12</v>
      </c>
      <c r="O938" s="20"/>
      <c r="P938" s="20"/>
      <c r="Q938" s="20"/>
      <c r="R938" s="20"/>
      <c r="S938" s="19"/>
      <c r="T938" s="19"/>
      <c r="U938" s="19" t="s">
        <v>1655</v>
      </c>
      <c r="V938" s="8" t="s">
        <v>2449</v>
      </c>
      <c r="W938" s="19" t="s">
        <v>2450</v>
      </c>
    </row>
    <row r="939" spans="1:23" s="8" customFormat="1">
      <c r="A939" s="5" t="s">
        <v>1642</v>
      </c>
      <c r="B939" s="19" t="s">
        <v>2384</v>
      </c>
      <c r="C939" s="19" t="s">
        <v>2446</v>
      </c>
      <c r="D939" s="19"/>
      <c r="E939" s="19" t="s">
        <v>2679</v>
      </c>
      <c r="F939" s="20"/>
      <c r="G939" s="19" t="s">
        <v>1644</v>
      </c>
      <c r="H939" s="19" t="s">
        <v>2686</v>
      </c>
      <c r="I939" s="19" t="s">
        <v>2687</v>
      </c>
      <c r="J939" s="19" t="s">
        <v>2688</v>
      </c>
      <c r="K939" s="19" t="s">
        <v>2689</v>
      </c>
      <c r="L939" s="19">
        <v>60</v>
      </c>
      <c r="M939" s="21"/>
      <c r="N939" s="21">
        <v>12</v>
      </c>
      <c r="O939" s="20"/>
      <c r="P939" s="20"/>
      <c r="Q939" s="20"/>
      <c r="R939" s="20"/>
      <c r="S939" s="19"/>
      <c r="T939" s="19"/>
      <c r="U939" s="19" t="s">
        <v>1655</v>
      </c>
      <c r="V939" s="8" t="s">
        <v>2449</v>
      </c>
      <c r="W939" s="19" t="s">
        <v>2450</v>
      </c>
    </row>
    <row r="940" spans="1:23" s="8" customFormat="1">
      <c r="A940" s="5" t="s">
        <v>1642</v>
      </c>
      <c r="B940" s="19" t="s">
        <v>2384</v>
      </c>
      <c r="C940" s="19" t="s">
        <v>2446</v>
      </c>
      <c r="D940" s="19"/>
      <c r="E940" s="19" t="s">
        <v>2679</v>
      </c>
      <c r="F940" s="20"/>
      <c r="G940" s="19" t="s">
        <v>1644</v>
      </c>
      <c r="H940" s="19" t="s">
        <v>2690</v>
      </c>
      <c r="I940" s="19" t="s">
        <v>1984</v>
      </c>
      <c r="J940" s="19" t="s">
        <v>1985</v>
      </c>
      <c r="K940" s="19" t="s">
        <v>1986</v>
      </c>
      <c r="L940" s="19">
        <v>60</v>
      </c>
      <c r="M940" s="21"/>
      <c r="N940" s="21">
        <v>12</v>
      </c>
      <c r="O940" s="20"/>
      <c r="P940" s="20"/>
      <c r="Q940" s="20"/>
      <c r="R940" s="20"/>
      <c r="S940" s="19"/>
      <c r="T940" s="19"/>
      <c r="U940" s="19" t="s">
        <v>1655</v>
      </c>
      <c r="V940" s="8" t="s">
        <v>2449</v>
      </c>
      <c r="W940" s="19" t="s">
        <v>2450</v>
      </c>
    </row>
    <row r="941" spans="1:23" s="8" customFormat="1">
      <c r="A941" s="5" t="s">
        <v>1642</v>
      </c>
      <c r="B941" s="19" t="s">
        <v>2384</v>
      </c>
      <c r="C941" s="19" t="s">
        <v>2202</v>
      </c>
      <c r="D941" s="19"/>
      <c r="F941" s="20"/>
      <c r="G941" s="19" t="s">
        <v>1644</v>
      </c>
      <c r="H941" s="19" t="s">
        <v>2451</v>
      </c>
      <c r="I941" s="19"/>
      <c r="J941" s="19"/>
      <c r="K941" s="19"/>
      <c r="L941" s="19">
        <v>60</v>
      </c>
      <c r="M941" s="21"/>
      <c r="N941" s="21">
        <v>12</v>
      </c>
      <c r="O941" s="20"/>
      <c r="P941" s="20">
        <v>0.93</v>
      </c>
      <c r="Q941" s="20">
        <v>0.93</v>
      </c>
      <c r="R941" s="20">
        <f>IF(ISBLANK(L941),"",IF(ISBLANK(Q941),"",8.3145*(L941+273.15)*LN((Q941+1)/(1-Q941))*0.001))</f>
        <v>9.1874000297088472</v>
      </c>
      <c r="S941" s="19"/>
      <c r="T941" s="19"/>
      <c r="U941" s="19" t="s">
        <v>1655</v>
      </c>
      <c r="V941" s="8" t="s">
        <v>2449</v>
      </c>
      <c r="W941" s="19" t="s">
        <v>2450</v>
      </c>
    </row>
    <row r="942" spans="1:23" s="8" customFormat="1">
      <c r="A942" s="5" t="s">
        <v>1642</v>
      </c>
      <c r="B942" s="19" t="s">
        <v>2384</v>
      </c>
      <c r="C942" s="19" t="s">
        <v>1672</v>
      </c>
      <c r="D942" s="19"/>
      <c r="F942" s="20"/>
      <c r="G942" s="19" t="s">
        <v>1644</v>
      </c>
      <c r="H942" s="19" t="s">
        <v>2451</v>
      </c>
      <c r="I942" s="19"/>
      <c r="J942" s="19"/>
      <c r="K942" s="19"/>
      <c r="L942" s="19">
        <v>60</v>
      </c>
      <c r="M942" s="21"/>
      <c r="N942" s="21">
        <v>12</v>
      </c>
      <c r="O942" s="20"/>
      <c r="P942" s="20">
        <v>0.97</v>
      </c>
      <c r="Q942" s="20">
        <v>0.97</v>
      </c>
      <c r="R942" s="20">
        <f>IF(ISBLANK(L942),"",IF(ISBLANK(Q942),"",8.3145*(L942+273.15)*LN((Q942+1)/(1-Q942))*0.001))</f>
        <v>11.591216498806782</v>
      </c>
      <c r="S942" s="19"/>
      <c r="T942" s="19"/>
      <c r="U942" s="19" t="s">
        <v>1655</v>
      </c>
      <c r="V942" s="8" t="s">
        <v>2449</v>
      </c>
      <c r="W942" s="19" t="s">
        <v>2450</v>
      </c>
    </row>
    <row r="943" spans="1:23">
      <c r="A943" s="5" t="s">
        <v>2691</v>
      </c>
      <c r="B943" s="5" t="s">
        <v>1643</v>
      </c>
      <c r="C943" s="5" t="s">
        <v>1596</v>
      </c>
      <c r="G943" s="19" t="s">
        <v>1644</v>
      </c>
      <c r="H943" s="5" t="s">
        <v>2284</v>
      </c>
      <c r="I943" s="5" t="s">
        <v>14</v>
      </c>
      <c r="J943" s="5" t="s">
        <v>15</v>
      </c>
      <c r="K943" s="17" t="s">
        <v>13</v>
      </c>
      <c r="L943" s="17">
        <v>35</v>
      </c>
      <c r="M943" s="22">
        <v>1</v>
      </c>
      <c r="N943" s="22">
        <v>0.33300000000000002</v>
      </c>
      <c r="O943" s="18">
        <v>1</v>
      </c>
      <c r="P943" s="18">
        <v>0.96</v>
      </c>
      <c r="Q943" s="20">
        <v>0.96</v>
      </c>
      <c r="R943" s="20">
        <f>IF(ISBLANK(L943),"",IF(ISBLANK(Q943),"",8.3145*(L943+273.15)*LN((Q943+1)/(1-Q943))*0.001))</f>
        <v>9.9712840605216613</v>
      </c>
      <c r="S943" s="5" t="s">
        <v>1617</v>
      </c>
      <c r="U943" s="19" t="s">
        <v>1655</v>
      </c>
      <c r="V943" s="5" t="s">
        <v>2692</v>
      </c>
      <c r="W943" s="5" t="s">
        <v>2693</v>
      </c>
    </row>
    <row r="944" spans="1:23">
      <c r="A944" s="5" t="s">
        <v>2691</v>
      </c>
      <c r="B944" s="5" t="s">
        <v>1643</v>
      </c>
      <c r="C944" s="5" t="s">
        <v>1596</v>
      </c>
      <c r="G944" s="19" t="s">
        <v>1644</v>
      </c>
      <c r="H944" s="5" t="s">
        <v>2284</v>
      </c>
      <c r="I944" s="5" t="s">
        <v>14</v>
      </c>
      <c r="J944" s="5" t="s">
        <v>15</v>
      </c>
      <c r="K944" s="17" t="s">
        <v>13</v>
      </c>
      <c r="L944" s="17">
        <v>25</v>
      </c>
      <c r="M944" s="22">
        <v>1</v>
      </c>
      <c r="N944" s="22">
        <v>4</v>
      </c>
      <c r="O944" s="18">
        <v>1</v>
      </c>
      <c r="P944" s="18">
        <v>0.74</v>
      </c>
      <c r="Q944" s="20">
        <v>0.74</v>
      </c>
      <c r="R944" s="20">
        <f>IF(ISBLANK(L944),"",IF(ISBLANK(Q944),"",8.3145*(L944+273.15)*LN((Q944+1)/(1-Q944))*0.001))</f>
        <v>4.7124162709849893</v>
      </c>
      <c r="S944" s="5" t="s">
        <v>1617</v>
      </c>
      <c r="U944" s="19" t="s">
        <v>1655</v>
      </c>
      <c r="V944" s="5" t="s">
        <v>2694</v>
      </c>
      <c r="W944" s="5" t="s">
        <v>2695</v>
      </c>
    </row>
    <row r="945" spans="1:23">
      <c r="A945" s="5" t="s">
        <v>2691</v>
      </c>
      <c r="B945" s="5" t="s">
        <v>1643</v>
      </c>
      <c r="C945" s="5" t="s">
        <v>1596</v>
      </c>
      <c r="G945" s="19" t="s">
        <v>1644</v>
      </c>
      <c r="H945" s="5" t="s">
        <v>2284</v>
      </c>
      <c r="I945" s="5" t="s">
        <v>14</v>
      </c>
      <c r="J945" s="5" t="s">
        <v>15</v>
      </c>
      <c r="K945" s="17" t="s">
        <v>13</v>
      </c>
      <c r="L945" s="17">
        <v>25</v>
      </c>
      <c r="M945" s="22">
        <v>1.08</v>
      </c>
      <c r="N945" s="22">
        <v>0.5</v>
      </c>
      <c r="O945" s="18">
        <v>1</v>
      </c>
      <c r="P945" s="18">
        <v>0.94</v>
      </c>
      <c r="Q945" s="20">
        <v>0.94</v>
      </c>
      <c r="R945" s="20">
        <f>IF(ISBLANK(L945),"",IF(ISBLANK(Q945),"",8.3145*(L945+273.15)*LN((Q945+1)/(1-Q945))*0.001))</f>
        <v>8.6171380252608341</v>
      </c>
      <c r="S945" s="5" t="s">
        <v>1597</v>
      </c>
      <c r="U945" s="19" t="s">
        <v>1647</v>
      </c>
      <c r="V945" s="5" t="s">
        <v>2696</v>
      </c>
      <c r="W945" s="5" t="s">
        <v>2697</v>
      </c>
    </row>
    <row r="946" spans="1:23">
      <c r="A946" s="5" t="s">
        <v>2691</v>
      </c>
      <c r="B946" s="5" t="s">
        <v>1643</v>
      </c>
      <c r="C946" s="5" t="s">
        <v>1596</v>
      </c>
      <c r="G946" s="19" t="s">
        <v>1644</v>
      </c>
      <c r="H946" s="5" t="s">
        <v>599</v>
      </c>
      <c r="I946" s="5" t="s">
        <v>599</v>
      </c>
      <c r="J946" s="3" t="s">
        <v>600</v>
      </c>
      <c r="K946" s="17" t="s">
        <v>598</v>
      </c>
      <c r="L946" s="17">
        <v>25</v>
      </c>
      <c r="M946" s="22">
        <v>1</v>
      </c>
      <c r="N946" s="22">
        <v>3</v>
      </c>
      <c r="O946" s="18">
        <v>1</v>
      </c>
      <c r="P946" s="18">
        <v>0.95</v>
      </c>
      <c r="Q946" s="18">
        <v>0.95</v>
      </c>
      <c r="R946" s="20">
        <f t="shared" ref="R946:R968" si="26">IF(ISBLANK(L946),"",IF(ISBLANK(Q946),"",8.3145*(L946+273.15)*LN((Q946+1)/(1-Q946))*0.001))</f>
        <v>9.0818527279060035</v>
      </c>
      <c r="U946" s="19" t="s">
        <v>1655</v>
      </c>
      <c r="V946" s="5" t="s">
        <v>2698</v>
      </c>
      <c r="W946" s="5" t="s">
        <v>2699</v>
      </c>
    </row>
    <row r="947" spans="1:23">
      <c r="A947" s="5" t="s">
        <v>2691</v>
      </c>
      <c r="B947" s="5" t="s">
        <v>1643</v>
      </c>
      <c r="C947" s="5" t="s">
        <v>1596</v>
      </c>
      <c r="G947" s="19" t="s">
        <v>1644</v>
      </c>
      <c r="H947" s="5" t="s">
        <v>291</v>
      </c>
      <c r="I947" s="5" t="s">
        <v>291</v>
      </c>
      <c r="J947" s="3" t="s">
        <v>292</v>
      </c>
      <c r="K947" s="19" t="s">
        <v>290</v>
      </c>
      <c r="L947" s="17">
        <v>25</v>
      </c>
      <c r="M947" s="22">
        <v>1</v>
      </c>
      <c r="N947" s="22">
        <v>3</v>
      </c>
      <c r="O947" s="18">
        <v>1</v>
      </c>
      <c r="P947" s="18">
        <v>0.04</v>
      </c>
      <c r="Q947" s="18">
        <v>0.04</v>
      </c>
      <c r="R947" s="20">
        <f t="shared" si="26"/>
        <v>0.19842332496352544</v>
      </c>
      <c r="U947" s="19" t="s">
        <v>1655</v>
      </c>
      <c r="V947" s="5" t="s">
        <v>2698</v>
      </c>
      <c r="W947" s="5" t="s">
        <v>2699</v>
      </c>
    </row>
    <row r="948" spans="1:23">
      <c r="A948" s="5" t="s">
        <v>2691</v>
      </c>
      <c r="B948" s="5" t="s">
        <v>1643</v>
      </c>
      <c r="C948" s="5" t="s">
        <v>1596</v>
      </c>
      <c r="G948" s="19" t="s">
        <v>1644</v>
      </c>
      <c r="H948" s="5" t="s">
        <v>307</v>
      </c>
      <c r="I948" s="5" t="s">
        <v>307</v>
      </c>
      <c r="J948" s="3" t="s">
        <v>308</v>
      </c>
      <c r="K948" s="17" t="s">
        <v>306</v>
      </c>
      <c r="L948" s="17">
        <v>25</v>
      </c>
      <c r="M948" s="22">
        <v>1</v>
      </c>
      <c r="N948" s="22">
        <v>3</v>
      </c>
      <c r="O948" s="18">
        <v>1</v>
      </c>
      <c r="P948" s="18">
        <v>0</v>
      </c>
      <c r="Q948" s="18">
        <v>0</v>
      </c>
      <c r="R948" s="20">
        <f t="shared" si="26"/>
        <v>0</v>
      </c>
      <c r="U948" s="19" t="s">
        <v>1655</v>
      </c>
      <c r="V948" s="5" t="s">
        <v>2698</v>
      </c>
      <c r="W948" s="5" t="s">
        <v>2699</v>
      </c>
    </row>
    <row r="949" spans="1:23">
      <c r="A949" s="5" t="s">
        <v>2691</v>
      </c>
      <c r="B949" s="5" t="s">
        <v>1643</v>
      </c>
      <c r="C949" s="5" t="s">
        <v>1596</v>
      </c>
      <c r="G949" s="19" t="s">
        <v>1644</v>
      </c>
      <c r="H949" s="5" t="s">
        <v>2284</v>
      </c>
      <c r="I949" s="5" t="s">
        <v>14</v>
      </c>
      <c r="J949" s="5" t="s">
        <v>15</v>
      </c>
      <c r="K949" s="17" t="s">
        <v>13</v>
      </c>
      <c r="L949" s="17">
        <v>25</v>
      </c>
      <c r="M949" s="22">
        <v>1</v>
      </c>
      <c r="N949" s="22">
        <v>3</v>
      </c>
      <c r="O949" s="18">
        <v>1</v>
      </c>
      <c r="P949" s="18">
        <v>0.88</v>
      </c>
      <c r="Q949" s="18">
        <v>0.88</v>
      </c>
      <c r="R949" s="20">
        <f t="shared" si="26"/>
        <v>6.8209684734196534</v>
      </c>
      <c r="U949" s="19" t="s">
        <v>1655</v>
      </c>
      <c r="V949" s="5" t="s">
        <v>2698</v>
      </c>
      <c r="W949" s="5" t="s">
        <v>2699</v>
      </c>
    </row>
    <row r="950" spans="1:23">
      <c r="A950" s="5" t="s">
        <v>2691</v>
      </c>
      <c r="B950" s="5" t="s">
        <v>1643</v>
      </c>
      <c r="C950" s="5" t="s">
        <v>1672</v>
      </c>
      <c r="G950" s="19" t="s">
        <v>1644</v>
      </c>
      <c r="H950" s="5" t="s">
        <v>599</v>
      </c>
      <c r="I950" s="5" t="s">
        <v>599</v>
      </c>
      <c r="J950" s="3" t="s">
        <v>600</v>
      </c>
      <c r="K950" s="17" t="s">
        <v>598</v>
      </c>
      <c r="L950" s="17">
        <v>25</v>
      </c>
      <c r="M950" s="22">
        <v>1</v>
      </c>
      <c r="N950" s="22">
        <v>3</v>
      </c>
      <c r="O950" s="18">
        <v>1</v>
      </c>
      <c r="P950" s="18">
        <v>0.86</v>
      </c>
      <c r="Q950" s="18">
        <v>0.86</v>
      </c>
      <c r="R950" s="20">
        <f t="shared" si="26"/>
        <v>6.4123205626304234</v>
      </c>
      <c r="U950" s="19" t="s">
        <v>1655</v>
      </c>
      <c r="V950" s="5" t="s">
        <v>2698</v>
      </c>
      <c r="W950" s="5" t="s">
        <v>2699</v>
      </c>
    </row>
    <row r="951" spans="1:23">
      <c r="A951" s="5" t="s">
        <v>2691</v>
      </c>
      <c r="B951" s="5" t="s">
        <v>1643</v>
      </c>
      <c r="C951" s="5" t="s">
        <v>1672</v>
      </c>
      <c r="G951" s="19" t="s">
        <v>1644</v>
      </c>
      <c r="H951" s="5" t="s">
        <v>291</v>
      </c>
      <c r="I951" s="5" t="s">
        <v>291</v>
      </c>
      <c r="J951" s="3" t="s">
        <v>292</v>
      </c>
      <c r="K951" s="19" t="s">
        <v>290</v>
      </c>
      <c r="L951" s="17">
        <v>25</v>
      </c>
      <c r="M951" s="22">
        <v>1</v>
      </c>
      <c r="N951" s="22">
        <v>3</v>
      </c>
      <c r="O951" s="18">
        <v>1</v>
      </c>
      <c r="P951" s="18">
        <v>0.97</v>
      </c>
      <c r="Q951" s="18">
        <v>0.97</v>
      </c>
      <c r="R951" s="20">
        <f t="shared" si="26"/>
        <v>10.373469005310646</v>
      </c>
      <c r="U951" s="19" t="s">
        <v>1655</v>
      </c>
      <c r="V951" s="5" t="s">
        <v>2698</v>
      </c>
      <c r="W951" s="5" t="s">
        <v>2699</v>
      </c>
    </row>
    <row r="952" spans="1:23">
      <c r="A952" s="5" t="s">
        <v>2691</v>
      </c>
      <c r="B952" s="5" t="s">
        <v>1643</v>
      </c>
      <c r="C952" s="5" t="s">
        <v>1672</v>
      </c>
      <c r="G952" s="19" t="s">
        <v>1644</v>
      </c>
      <c r="H952" s="5" t="s">
        <v>307</v>
      </c>
      <c r="I952" s="5" t="s">
        <v>307</v>
      </c>
      <c r="J952" s="3" t="s">
        <v>308</v>
      </c>
      <c r="K952" s="17" t="s">
        <v>306</v>
      </c>
      <c r="L952" s="17">
        <v>25</v>
      </c>
      <c r="M952" s="22">
        <v>1</v>
      </c>
      <c r="N952" s="22">
        <v>3</v>
      </c>
      <c r="O952" s="18">
        <v>1</v>
      </c>
      <c r="P952" s="18">
        <v>0.19</v>
      </c>
      <c r="Q952" s="18">
        <v>0.19</v>
      </c>
      <c r="R952" s="20">
        <f t="shared" si="26"/>
        <v>0.95359544272968455</v>
      </c>
      <c r="U952" s="19" t="s">
        <v>1655</v>
      </c>
      <c r="V952" s="5" t="s">
        <v>2698</v>
      </c>
      <c r="W952" s="5" t="s">
        <v>2699</v>
      </c>
    </row>
    <row r="953" spans="1:23">
      <c r="A953" s="5" t="s">
        <v>2691</v>
      </c>
      <c r="B953" s="5" t="s">
        <v>1643</v>
      </c>
      <c r="C953" s="5" t="s">
        <v>1672</v>
      </c>
      <c r="G953" s="19" t="s">
        <v>1644</v>
      </c>
      <c r="H953" s="5" t="s">
        <v>2284</v>
      </c>
      <c r="I953" s="5" t="s">
        <v>14</v>
      </c>
      <c r="J953" s="5" t="s">
        <v>15</v>
      </c>
      <c r="K953" s="17" t="s">
        <v>13</v>
      </c>
      <c r="L953" s="17">
        <v>25</v>
      </c>
      <c r="M953" s="22">
        <v>1</v>
      </c>
      <c r="N953" s="22">
        <v>3</v>
      </c>
      <c r="O953" s="18">
        <v>1</v>
      </c>
      <c r="P953" s="18">
        <v>0.05</v>
      </c>
      <c r="Q953" s="18">
        <v>0.05</v>
      </c>
      <c r="R953" s="20">
        <f t="shared" si="26"/>
        <v>0.24810370860669137</v>
      </c>
      <c r="U953" s="19" t="s">
        <v>1655</v>
      </c>
      <c r="V953" s="5" t="s">
        <v>2698</v>
      </c>
      <c r="W953" s="5" t="s">
        <v>2699</v>
      </c>
    </row>
    <row r="954" spans="1:23">
      <c r="A954" s="5" t="s">
        <v>2691</v>
      </c>
      <c r="B954" s="5" t="s">
        <v>1643</v>
      </c>
      <c r="C954" s="5" t="s">
        <v>1652</v>
      </c>
      <c r="G954" s="19" t="s">
        <v>1644</v>
      </c>
      <c r="H954" s="5" t="s">
        <v>599</v>
      </c>
      <c r="I954" s="5" t="s">
        <v>599</v>
      </c>
      <c r="J954" s="3" t="s">
        <v>600</v>
      </c>
      <c r="K954" s="17" t="s">
        <v>598</v>
      </c>
      <c r="L954" s="17">
        <v>25</v>
      </c>
      <c r="M954" s="22">
        <v>1</v>
      </c>
      <c r="N954" s="22">
        <v>3</v>
      </c>
      <c r="O954" s="18">
        <v>1</v>
      </c>
      <c r="P954" s="18">
        <v>0.8</v>
      </c>
      <c r="Q954" s="18">
        <v>0.8</v>
      </c>
      <c r="R954" s="20">
        <f t="shared" si="26"/>
        <v>5.4468498005443147</v>
      </c>
      <c r="U954" s="19" t="s">
        <v>1655</v>
      </c>
      <c r="V954" s="5" t="s">
        <v>2698</v>
      </c>
      <c r="W954" s="5" t="s">
        <v>2699</v>
      </c>
    </row>
    <row r="955" spans="1:23">
      <c r="A955" s="5" t="s">
        <v>2691</v>
      </c>
      <c r="B955" s="5" t="s">
        <v>1643</v>
      </c>
      <c r="C955" s="5" t="s">
        <v>1652</v>
      </c>
      <c r="G955" s="19" t="s">
        <v>1644</v>
      </c>
      <c r="H955" s="5" t="s">
        <v>291</v>
      </c>
      <c r="I955" s="5" t="s">
        <v>291</v>
      </c>
      <c r="J955" s="3" t="s">
        <v>292</v>
      </c>
      <c r="K955" s="19" t="s">
        <v>290</v>
      </c>
      <c r="L955" s="17">
        <v>25</v>
      </c>
      <c r="M955" s="22">
        <v>1</v>
      </c>
      <c r="N955" s="22">
        <v>3</v>
      </c>
      <c r="O955" s="18">
        <v>1</v>
      </c>
      <c r="P955" s="18">
        <v>0.77</v>
      </c>
      <c r="Q955" s="18">
        <v>0.77</v>
      </c>
      <c r="R955" s="20">
        <f t="shared" si="26"/>
        <v>5.0587200819003435</v>
      </c>
      <c r="U955" s="19" t="s">
        <v>1655</v>
      </c>
      <c r="V955" s="5" t="s">
        <v>2698</v>
      </c>
      <c r="W955" s="5" t="s">
        <v>2699</v>
      </c>
    </row>
    <row r="956" spans="1:23">
      <c r="A956" s="5" t="s">
        <v>2691</v>
      </c>
      <c r="B956" s="5" t="s">
        <v>1643</v>
      </c>
      <c r="C956" s="5" t="s">
        <v>1652</v>
      </c>
      <c r="G956" s="19" t="s">
        <v>1644</v>
      </c>
      <c r="H956" s="5" t="s">
        <v>307</v>
      </c>
      <c r="I956" s="5" t="s">
        <v>307</v>
      </c>
      <c r="J956" s="3" t="s">
        <v>308</v>
      </c>
      <c r="K956" s="17" t="s">
        <v>306</v>
      </c>
      <c r="L956" s="17">
        <v>25</v>
      </c>
      <c r="M956" s="22">
        <v>1</v>
      </c>
      <c r="N956" s="22">
        <v>3</v>
      </c>
      <c r="O956" s="18">
        <v>1</v>
      </c>
      <c r="P956" s="18">
        <v>0.75</v>
      </c>
      <c r="Q956" s="18">
        <v>0.75</v>
      </c>
      <c r="R956" s="20">
        <f t="shared" si="26"/>
        <v>4.8238493309176276</v>
      </c>
      <c r="U956" s="19" t="s">
        <v>1655</v>
      </c>
      <c r="V956" s="5" t="s">
        <v>2698</v>
      </c>
      <c r="W956" s="5" t="s">
        <v>2699</v>
      </c>
    </row>
    <row r="957" spans="1:23">
      <c r="A957" s="5" t="s">
        <v>2691</v>
      </c>
      <c r="B957" s="5" t="s">
        <v>1643</v>
      </c>
      <c r="C957" s="5" t="s">
        <v>1596</v>
      </c>
      <c r="G957" s="19" t="s">
        <v>1644</v>
      </c>
      <c r="H957" s="5" t="s">
        <v>2700</v>
      </c>
      <c r="I957" s="5" t="s">
        <v>2700</v>
      </c>
      <c r="J957" s="3"/>
      <c r="K957" s="5" t="s">
        <v>2701</v>
      </c>
      <c r="L957" s="17">
        <v>25</v>
      </c>
      <c r="M957" s="22">
        <v>2</v>
      </c>
      <c r="N957" s="22">
        <v>2</v>
      </c>
      <c r="O957" s="18">
        <v>1</v>
      </c>
      <c r="P957" s="18">
        <v>0.85</v>
      </c>
      <c r="Q957" s="18">
        <v>0.85</v>
      </c>
      <c r="R957" s="20">
        <f t="shared" si="26"/>
        <v>6.2279256877103055</v>
      </c>
      <c r="S957" s="5" t="s">
        <v>1617</v>
      </c>
      <c r="U957" s="19" t="s">
        <v>1655</v>
      </c>
      <c r="V957" s="5" t="s">
        <v>2702</v>
      </c>
      <c r="W957" s="5" t="s">
        <v>2703</v>
      </c>
    </row>
    <row r="958" spans="1:23">
      <c r="A958" s="5" t="s">
        <v>2691</v>
      </c>
      <c r="B958" s="5" t="s">
        <v>1643</v>
      </c>
      <c r="C958" s="5" t="s">
        <v>1596</v>
      </c>
      <c r="G958" s="19" t="s">
        <v>1644</v>
      </c>
      <c r="H958" s="5" t="s">
        <v>2091</v>
      </c>
      <c r="I958" s="5" t="s">
        <v>2091</v>
      </c>
      <c r="J958" s="3"/>
      <c r="K958" s="3" t="s">
        <v>2093</v>
      </c>
      <c r="L958" s="17">
        <v>25</v>
      </c>
      <c r="M958" s="22">
        <v>2</v>
      </c>
      <c r="N958" s="22">
        <v>2</v>
      </c>
      <c r="O958" s="18">
        <v>1</v>
      </c>
      <c r="P958" s="18">
        <v>0.93</v>
      </c>
      <c r="Q958" s="18">
        <v>0.93</v>
      </c>
      <c r="R958" s="20">
        <f t="shared" si="26"/>
        <v>8.2221921622623224</v>
      </c>
      <c r="S958" s="5" t="s">
        <v>1617</v>
      </c>
      <c r="U958" s="19" t="s">
        <v>1655</v>
      </c>
      <c r="V958" s="5" t="s">
        <v>2702</v>
      </c>
      <c r="W958" s="5" t="s">
        <v>2703</v>
      </c>
    </row>
    <row r="959" spans="1:23">
      <c r="A959" s="5" t="s">
        <v>2691</v>
      </c>
      <c r="B959" s="5" t="s">
        <v>1643</v>
      </c>
      <c r="C959" s="5" t="s">
        <v>1596</v>
      </c>
      <c r="G959" s="19" t="s">
        <v>1644</v>
      </c>
      <c r="H959" s="5" t="s">
        <v>2704</v>
      </c>
      <c r="I959" s="5" t="s">
        <v>2704</v>
      </c>
      <c r="J959" s="3"/>
      <c r="K959" s="17"/>
      <c r="L959" s="17">
        <v>25</v>
      </c>
      <c r="M959" s="22">
        <v>2</v>
      </c>
      <c r="N959" s="22">
        <v>2</v>
      </c>
      <c r="O959" s="18">
        <v>1</v>
      </c>
      <c r="P959" s="18">
        <v>0.93</v>
      </c>
      <c r="Q959" s="18">
        <v>0.93</v>
      </c>
      <c r="R959" s="20">
        <f t="shared" si="26"/>
        <v>8.2221921622623224</v>
      </c>
      <c r="S959" s="5" t="s">
        <v>1617</v>
      </c>
      <c r="U959" s="19" t="s">
        <v>1655</v>
      </c>
      <c r="V959" s="5" t="s">
        <v>2702</v>
      </c>
      <c r="W959" s="5" t="s">
        <v>2703</v>
      </c>
    </row>
    <row r="960" spans="1:23">
      <c r="A960" s="5" t="s">
        <v>2691</v>
      </c>
      <c r="B960" s="5" t="s">
        <v>1643</v>
      </c>
      <c r="C960" s="5" t="s">
        <v>1596</v>
      </c>
      <c r="G960" s="19" t="s">
        <v>1644</v>
      </c>
      <c r="H960" s="5" t="s">
        <v>2705</v>
      </c>
      <c r="I960" s="5" t="s">
        <v>2705</v>
      </c>
      <c r="K960" s="5" t="s">
        <v>2689</v>
      </c>
      <c r="L960" s="17">
        <v>25</v>
      </c>
      <c r="M960" s="22">
        <v>2</v>
      </c>
      <c r="N960" s="22">
        <v>2</v>
      </c>
      <c r="O960" s="18">
        <v>1</v>
      </c>
      <c r="P960" s="18">
        <v>0.98</v>
      </c>
      <c r="Q960" s="18">
        <v>0.98</v>
      </c>
      <c r="R960" s="20">
        <f t="shared" si="26"/>
        <v>11.391155868794415</v>
      </c>
      <c r="S960" s="5" t="s">
        <v>1617</v>
      </c>
      <c r="U960" s="19" t="s">
        <v>1655</v>
      </c>
      <c r="V960" s="5" t="s">
        <v>2702</v>
      </c>
      <c r="W960" s="5" t="s">
        <v>2703</v>
      </c>
    </row>
    <row r="961" spans="1:23">
      <c r="A961" s="5" t="s">
        <v>2691</v>
      </c>
      <c r="B961" s="5" t="s">
        <v>1643</v>
      </c>
      <c r="C961" s="5" t="s">
        <v>1596</v>
      </c>
      <c r="G961" s="19" t="s">
        <v>1644</v>
      </c>
      <c r="H961" s="5" t="s">
        <v>2706</v>
      </c>
      <c r="I961" s="5" t="s">
        <v>2706</v>
      </c>
      <c r="J961" s="3"/>
      <c r="K961" s="17" t="s">
        <v>2707</v>
      </c>
      <c r="L961" s="17">
        <v>25</v>
      </c>
      <c r="M961" s="22">
        <v>2</v>
      </c>
      <c r="N961" s="22">
        <v>2</v>
      </c>
      <c r="O961" s="18">
        <v>1</v>
      </c>
      <c r="P961" s="18">
        <v>0.99</v>
      </c>
      <c r="Q961" s="18">
        <v>0.99</v>
      </c>
      <c r="R961" s="20">
        <f t="shared" si="26"/>
        <v>13.121934201065967</v>
      </c>
      <c r="S961" s="5" t="s">
        <v>1617</v>
      </c>
      <c r="U961" s="19" t="s">
        <v>1655</v>
      </c>
      <c r="V961" s="5" t="s">
        <v>2702</v>
      </c>
      <c r="W961" s="5" t="s">
        <v>2703</v>
      </c>
    </row>
    <row r="962" spans="1:23">
      <c r="A962" s="5" t="s">
        <v>2691</v>
      </c>
      <c r="B962" s="5" t="s">
        <v>1643</v>
      </c>
      <c r="C962" s="5" t="s">
        <v>1596</v>
      </c>
      <c r="G962" s="19" t="s">
        <v>1644</v>
      </c>
      <c r="H962" s="5" t="s">
        <v>1373</v>
      </c>
      <c r="I962" s="5" t="s">
        <v>1373</v>
      </c>
      <c r="J962" s="3"/>
      <c r="K962" s="17" t="s">
        <v>1372</v>
      </c>
      <c r="L962" s="17">
        <v>25</v>
      </c>
      <c r="M962" s="22">
        <v>2</v>
      </c>
      <c r="N962" s="22">
        <v>2</v>
      </c>
      <c r="O962" s="18">
        <v>1</v>
      </c>
      <c r="P962" s="18">
        <v>0.87</v>
      </c>
      <c r="Q962" s="18">
        <v>0.87</v>
      </c>
      <c r="R962" s="20">
        <f t="shared" si="26"/>
        <v>6.6093239535169408</v>
      </c>
      <c r="S962" s="5" t="s">
        <v>1617</v>
      </c>
      <c r="U962" s="19" t="s">
        <v>1655</v>
      </c>
      <c r="V962" s="5" t="s">
        <v>2702</v>
      </c>
      <c r="W962" s="5" t="s">
        <v>2703</v>
      </c>
    </row>
    <row r="963" spans="1:23">
      <c r="A963" s="5" t="s">
        <v>2691</v>
      </c>
      <c r="B963" s="5" t="s">
        <v>2208</v>
      </c>
      <c r="C963" s="5" t="s">
        <v>1596</v>
      </c>
      <c r="G963" s="19" t="s">
        <v>1644</v>
      </c>
      <c r="H963" s="5" t="s">
        <v>2700</v>
      </c>
      <c r="I963" s="5" t="s">
        <v>2700</v>
      </c>
      <c r="J963" s="3"/>
      <c r="K963" s="5" t="s">
        <v>2701</v>
      </c>
      <c r="L963" s="17">
        <v>25</v>
      </c>
      <c r="M963" s="22">
        <v>2</v>
      </c>
      <c r="N963" s="22">
        <v>2</v>
      </c>
      <c r="O963" s="18">
        <v>1</v>
      </c>
      <c r="P963" s="18">
        <v>0.91400000000000003</v>
      </c>
      <c r="Q963" s="18">
        <v>0.91400000000000003</v>
      </c>
      <c r="R963" s="20">
        <f t="shared" si="26"/>
        <v>7.6912547802582836</v>
      </c>
      <c r="S963" s="5" t="s">
        <v>1617</v>
      </c>
      <c r="U963" s="19" t="s">
        <v>1655</v>
      </c>
      <c r="V963" s="5" t="s">
        <v>2702</v>
      </c>
      <c r="W963" s="5" t="s">
        <v>2703</v>
      </c>
    </row>
    <row r="964" spans="1:23">
      <c r="A964" s="5" t="s">
        <v>2691</v>
      </c>
      <c r="B964" s="5" t="s">
        <v>2208</v>
      </c>
      <c r="C964" s="5" t="s">
        <v>1596</v>
      </c>
      <c r="G964" s="19" t="s">
        <v>1644</v>
      </c>
      <c r="H964" s="5" t="s">
        <v>2091</v>
      </c>
      <c r="I964" s="5" t="s">
        <v>2091</v>
      </c>
      <c r="J964" s="3"/>
      <c r="K964" s="3" t="s">
        <v>2093</v>
      </c>
      <c r="L964" s="17">
        <v>25</v>
      </c>
      <c r="M964" s="22">
        <v>2</v>
      </c>
      <c r="N964" s="22">
        <v>2</v>
      </c>
      <c r="O964" s="18">
        <v>1</v>
      </c>
      <c r="P964" s="18">
        <v>0.98099999999999998</v>
      </c>
      <c r="Q964" s="18">
        <v>0.98099999999999998</v>
      </c>
      <c r="R964" s="20">
        <f t="shared" si="26"/>
        <v>11.5195620012446</v>
      </c>
      <c r="S964" s="5" t="s">
        <v>1617</v>
      </c>
      <c r="U964" s="19" t="s">
        <v>1655</v>
      </c>
      <c r="V964" s="5" t="s">
        <v>2702</v>
      </c>
      <c r="W964" s="5" t="s">
        <v>2703</v>
      </c>
    </row>
    <row r="965" spans="1:23">
      <c r="A965" s="5" t="s">
        <v>2691</v>
      </c>
      <c r="B965" s="5" t="s">
        <v>2208</v>
      </c>
      <c r="C965" s="5" t="s">
        <v>1596</v>
      </c>
      <c r="G965" s="19" t="s">
        <v>1644</v>
      </c>
      <c r="H965" s="5" t="s">
        <v>2704</v>
      </c>
      <c r="I965" s="5" t="s">
        <v>2704</v>
      </c>
      <c r="J965" s="3"/>
      <c r="K965" s="17"/>
      <c r="L965" s="17">
        <v>25</v>
      </c>
      <c r="M965" s="22">
        <v>2</v>
      </c>
      <c r="N965" s="22">
        <v>2</v>
      </c>
      <c r="O965" s="18">
        <v>1</v>
      </c>
      <c r="P965" s="18">
        <v>0.96399999999999997</v>
      </c>
      <c r="Q965" s="18">
        <v>0.96399999999999997</v>
      </c>
      <c r="R965" s="20">
        <f t="shared" si="26"/>
        <v>9.9139379904239338</v>
      </c>
      <c r="S965" s="5" t="s">
        <v>1617</v>
      </c>
      <c r="U965" s="19" t="s">
        <v>1655</v>
      </c>
      <c r="V965" s="5" t="s">
        <v>2702</v>
      </c>
      <c r="W965" s="5" t="s">
        <v>2703</v>
      </c>
    </row>
    <row r="966" spans="1:23">
      <c r="A966" s="5" t="s">
        <v>2691</v>
      </c>
      <c r="B966" s="5" t="s">
        <v>2208</v>
      </c>
      <c r="C966" s="5" t="s">
        <v>1596</v>
      </c>
      <c r="G966" s="19" t="s">
        <v>1644</v>
      </c>
      <c r="H966" s="5" t="s">
        <v>2705</v>
      </c>
      <c r="I966" s="5" t="s">
        <v>2705</v>
      </c>
      <c r="K966" s="5" t="s">
        <v>2689</v>
      </c>
      <c r="L966" s="17">
        <v>25</v>
      </c>
      <c r="M966" s="22">
        <v>2</v>
      </c>
      <c r="N966" s="22">
        <v>2</v>
      </c>
      <c r="O966" s="18">
        <v>1</v>
      </c>
      <c r="P966" s="18">
        <v>0.99</v>
      </c>
      <c r="Q966" s="18">
        <v>0.99</v>
      </c>
      <c r="R966" s="20">
        <f t="shared" si="26"/>
        <v>13.121934201065967</v>
      </c>
      <c r="S966" s="5" t="s">
        <v>1617</v>
      </c>
      <c r="U966" s="19" t="s">
        <v>1655</v>
      </c>
      <c r="V966" s="5" t="s">
        <v>2702</v>
      </c>
      <c r="W966" s="5" t="s">
        <v>2703</v>
      </c>
    </row>
    <row r="967" spans="1:23">
      <c r="A967" s="5" t="s">
        <v>2691</v>
      </c>
      <c r="B967" s="5" t="s">
        <v>2208</v>
      </c>
      <c r="C967" s="5" t="s">
        <v>1596</v>
      </c>
      <c r="G967" s="19" t="s">
        <v>1644</v>
      </c>
      <c r="H967" s="5" t="s">
        <v>2706</v>
      </c>
      <c r="I967" s="5" t="s">
        <v>2706</v>
      </c>
      <c r="J967" s="3"/>
      <c r="K967" s="17" t="s">
        <v>2707</v>
      </c>
      <c r="L967" s="17">
        <v>25</v>
      </c>
      <c r="M967" s="22">
        <v>2</v>
      </c>
      <c r="N967" s="22">
        <v>2</v>
      </c>
      <c r="O967" s="18">
        <v>1</v>
      </c>
      <c r="P967" s="18">
        <v>0.99399999999999999</v>
      </c>
      <c r="Q967" s="18">
        <v>0.99399999999999999</v>
      </c>
      <c r="R967" s="20">
        <f t="shared" si="26"/>
        <v>14.393232514769982</v>
      </c>
      <c r="S967" s="5" t="s">
        <v>1617</v>
      </c>
      <c r="U967" s="19" t="s">
        <v>1655</v>
      </c>
      <c r="V967" s="5" t="s">
        <v>2702</v>
      </c>
      <c r="W967" s="5" t="s">
        <v>2703</v>
      </c>
    </row>
    <row r="968" spans="1:23">
      <c r="A968" s="5" t="s">
        <v>2691</v>
      </c>
      <c r="B968" s="5" t="s">
        <v>2208</v>
      </c>
      <c r="C968" s="5" t="s">
        <v>1596</v>
      </c>
      <c r="G968" s="19" t="s">
        <v>1644</v>
      </c>
      <c r="H968" s="5" t="s">
        <v>1373</v>
      </c>
      <c r="I968" s="5" t="s">
        <v>1373</v>
      </c>
      <c r="J968" s="3"/>
      <c r="K968" s="17" t="s">
        <v>1372</v>
      </c>
      <c r="L968" s="17">
        <v>25</v>
      </c>
      <c r="M968" s="22">
        <v>2</v>
      </c>
      <c r="N968" s="22">
        <v>2</v>
      </c>
      <c r="O968" s="18">
        <v>1</v>
      </c>
      <c r="P968" s="18">
        <v>0.95399999999999996</v>
      </c>
      <c r="Q968" s="18">
        <v>0.95399999999999996</v>
      </c>
      <c r="R968" s="20">
        <f t="shared" si="26"/>
        <v>9.2936329374414139</v>
      </c>
      <c r="S968" s="5" t="s">
        <v>1617</v>
      </c>
      <c r="U968" s="19" t="s">
        <v>1655</v>
      </c>
      <c r="V968" s="5" t="s">
        <v>2702</v>
      </c>
      <c r="W968" s="5" t="s">
        <v>2703</v>
      </c>
    </row>
    <row r="969" spans="1:23">
      <c r="A969" s="5" t="s">
        <v>2691</v>
      </c>
      <c r="B969" s="5" t="s">
        <v>2208</v>
      </c>
      <c r="C969" s="5" t="s">
        <v>1596</v>
      </c>
      <c r="G969" s="19" t="s">
        <v>1644</v>
      </c>
      <c r="H969" s="5" t="s">
        <v>2284</v>
      </c>
      <c r="I969" s="5" t="s">
        <v>14</v>
      </c>
      <c r="J969" s="5" t="s">
        <v>15</v>
      </c>
      <c r="K969" s="5" t="s">
        <v>13</v>
      </c>
      <c r="L969" s="17">
        <v>35</v>
      </c>
      <c r="M969" s="22">
        <v>1</v>
      </c>
      <c r="N969" s="22">
        <v>0.33</v>
      </c>
      <c r="O969" s="18">
        <v>1</v>
      </c>
      <c r="P969" s="18">
        <v>0.88</v>
      </c>
      <c r="Q969" s="20">
        <v>0.88</v>
      </c>
      <c r="R969" s="20">
        <f t="shared" ref="R969:R1046" si="27">IF(ISBLANK(L969),"",IF(ISBLANK(Q969),"",8.3145*(L969+273.15)*LN((Q969+1)/(1-Q969))*0.001))</f>
        <v>7.0497448770225262</v>
      </c>
      <c r="S969" s="5" t="s">
        <v>1617</v>
      </c>
      <c r="U969" s="19" t="s">
        <v>1655</v>
      </c>
      <c r="V969" s="5" t="s">
        <v>2692</v>
      </c>
      <c r="W969" s="5" t="s">
        <v>2693</v>
      </c>
    </row>
    <row r="970" spans="1:23">
      <c r="A970" s="5" t="s">
        <v>2691</v>
      </c>
      <c r="B970" s="5" t="s">
        <v>2238</v>
      </c>
      <c r="C970" s="5" t="s">
        <v>1596</v>
      </c>
      <c r="G970" s="19" t="s">
        <v>1644</v>
      </c>
      <c r="H970" s="5" t="s">
        <v>2284</v>
      </c>
      <c r="I970" s="5" t="s">
        <v>14</v>
      </c>
      <c r="J970" s="5" t="s">
        <v>15</v>
      </c>
      <c r="K970" s="5" t="s">
        <v>13</v>
      </c>
      <c r="L970" s="17">
        <v>35</v>
      </c>
      <c r="M970" s="22">
        <v>1</v>
      </c>
      <c r="N970" s="22">
        <v>0.33</v>
      </c>
      <c r="O970" s="18">
        <v>1</v>
      </c>
      <c r="P970" s="18">
        <v>0.84</v>
      </c>
      <c r="Q970" s="20">
        <v>0.84</v>
      </c>
      <c r="R970" s="20">
        <f>IF(ISBLANK(L970),"",IF(ISBLANK(Q970),"",8.3145*(L970+273.15)*LN((Q970+1)/(1-Q970))*0.001))</f>
        <v>6.2575695172416292</v>
      </c>
      <c r="S970" s="5" t="s">
        <v>1617</v>
      </c>
      <c r="U970" s="19" t="s">
        <v>1655</v>
      </c>
      <c r="V970" s="5" t="s">
        <v>2692</v>
      </c>
      <c r="W970" s="5" t="s">
        <v>2693</v>
      </c>
    </row>
    <row r="971" spans="1:23">
      <c r="A971" s="5" t="s">
        <v>2691</v>
      </c>
      <c r="B971" s="5" t="s">
        <v>2208</v>
      </c>
      <c r="C971" s="5" t="s">
        <v>1596</v>
      </c>
      <c r="G971" s="19" t="s">
        <v>1673</v>
      </c>
      <c r="H971" s="5" t="s">
        <v>599</v>
      </c>
      <c r="I971" s="5" t="s">
        <v>599</v>
      </c>
      <c r="J971" s="3" t="s">
        <v>600</v>
      </c>
      <c r="K971" s="17" t="s">
        <v>598</v>
      </c>
      <c r="L971" s="17">
        <v>25</v>
      </c>
      <c r="M971" s="22">
        <v>2</v>
      </c>
      <c r="N971" s="22">
        <v>1</v>
      </c>
      <c r="O971" s="18">
        <v>1</v>
      </c>
      <c r="P971" s="18">
        <v>0.97812500000000002</v>
      </c>
      <c r="Q971" s="18">
        <v>0.97812500000000002</v>
      </c>
      <c r="R971" s="20">
        <f t="shared" si="27"/>
        <v>11.166661559356601</v>
      </c>
      <c r="U971" s="19" t="s">
        <v>1655</v>
      </c>
      <c r="V971" s="5" t="s">
        <v>2708</v>
      </c>
      <c r="W971" s="5" t="s">
        <v>2709</v>
      </c>
    </row>
    <row r="972" spans="1:23">
      <c r="A972" s="5" t="s">
        <v>2691</v>
      </c>
      <c r="B972" s="5" t="s">
        <v>2208</v>
      </c>
      <c r="C972" s="5" t="s">
        <v>1596</v>
      </c>
      <c r="G972" s="19" t="s">
        <v>1673</v>
      </c>
      <c r="H972" s="5" t="s">
        <v>2705</v>
      </c>
      <c r="I972" s="5" t="s">
        <v>2705</v>
      </c>
      <c r="K972" s="5" t="s">
        <v>2689</v>
      </c>
      <c r="L972" s="17">
        <v>25</v>
      </c>
      <c r="M972" s="22">
        <v>2</v>
      </c>
      <c r="N972" s="22">
        <v>1</v>
      </c>
      <c r="O972" s="18">
        <v>1</v>
      </c>
      <c r="P972" s="18">
        <v>0.98156250000000012</v>
      </c>
      <c r="Q972" s="18">
        <v>0.98156250000000012</v>
      </c>
      <c r="R972" s="20">
        <f t="shared" si="27"/>
        <v>11.594764605151388</v>
      </c>
      <c r="U972" s="19" t="s">
        <v>1655</v>
      </c>
      <c r="V972" s="5" t="s">
        <v>2708</v>
      </c>
      <c r="W972" s="5" t="s">
        <v>2709</v>
      </c>
    </row>
    <row r="973" spans="1:23">
      <c r="A973" s="5" t="s">
        <v>2691</v>
      </c>
      <c r="B973" s="5" t="s">
        <v>2208</v>
      </c>
      <c r="C973" s="5" t="s">
        <v>1596</v>
      </c>
      <c r="G973" s="19" t="s">
        <v>1673</v>
      </c>
      <c r="H973" s="5" t="s">
        <v>1022</v>
      </c>
      <c r="I973" s="5" t="s">
        <v>1022</v>
      </c>
      <c r="J973" s="3" t="s">
        <v>1023</v>
      </c>
      <c r="K973" s="5" t="s">
        <v>1021</v>
      </c>
      <c r="L973" s="17">
        <v>25</v>
      </c>
      <c r="M973" s="22">
        <v>2</v>
      </c>
      <c r="N973" s="22">
        <v>1</v>
      </c>
      <c r="O973" s="18">
        <v>1</v>
      </c>
      <c r="P973" s="18">
        <v>0.93200000000000016</v>
      </c>
      <c r="Q973" s="18">
        <v>0.93200000000000016</v>
      </c>
      <c r="R973" s="20">
        <f t="shared" si="27"/>
        <v>8.2966188924740472</v>
      </c>
      <c r="U973" s="19" t="s">
        <v>1655</v>
      </c>
      <c r="V973" s="5" t="s">
        <v>2708</v>
      </c>
      <c r="W973" s="5" t="s">
        <v>2709</v>
      </c>
    </row>
    <row r="974" spans="1:23">
      <c r="A974" s="5" t="s">
        <v>2691</v>
      </c>
      <c r="B974" s="5" t="s">
        <v>2208</v>
      </c>
      <c r="C974" s="5" t="s">
        <v>1596</v>
      </c>
      <c r="G974" s="19" t="s">
        <v>1673</v>
      </c>
      <c r="H974" s="5" t="s">
        <v>2700</v>
      </c>
      <c r="I974" s="5" t="s">
        <v>2700</v>
      </c>
      <c r="K974" s="5" t="s">
        <v>2701</v>
      </c>
      <c r="L974" s="17">
        <v>25</v>
      </c>
      <c r="M974" s="22">
        <v>2</v>
      </c>
      <c r="N974" s="22">
        <v>1</v>
      </c>
      <c r="O974" s="18">
        <v>1</v>
      </c>
      <c r="P974" s="18">
        <v>0.92193749999999997</v>
      </c>
      <c r="Q974" s="18">
        <v>0.92193749999999997</v>
      </c>
      <c r="R974" s="20">
        <f t="shared" si="27"/>
        <v>7.9415710884120916</v>
      </c>
      <c r="U974" s="19" t="s">
        <v>1655</v>
      </c>
      <c r="V974" s="5" t="s">
        <v>2708</v>
      </c>
      <c r="W974" s="5" t="s">
        <v>2709</v>
      </c>
    </row>
    <row r="975" spans="1:23">
      <c r="A975" s="5" t="s">
        <v>2691</v>
      </c>
      <c r="B975" s="5" t="s">
        <v>2208</v>
      </c>
      <c r="C975" s="5" t="s">
        <v>1596</v>
      </c>
      <c r="G975" s="19" t="s">
        <v>1673</v>
      </c>
      <c r="H975" s="5" t="s">
        <v>2710</v>
      </c>
      <c r="I975" s="3" t="s">
        <v>228</v>
      </c>
      <c r="J975" s="3" t="s">
        <v>229</v>
      </c>
      <c r="K975" s="5" t="s">
        <v>227</v>
      </c>
      <c r="L975" s="17">
        <v>25</v>
      </c>
      <c r="M975" s="22">
        <v>2</v>
      </c>
      <c r="N975" s="22">
        <v>1</v>
      </c>
      <c r="O975" s="18">
        <v>1</v>
      </c>
      <c r="P975" s="18">
        <v>0.96487499999999982</v>
      </c>
      <c r="Q975" s="18">
        <v>0.96487499999999982</v>
      </c>
      <c r="R975" s="20">
        <f t="shared" si="27"/>
        <v>9.9760391946593145</v>
      </c>
      <c r="U975" s="19" t="s">
        <v>1655</v>
      </c>
      <c r="V975" s="5" t="s">
        <v>2708</v>
      </c>
      <c r="W975" s="5" t="s">
        <v>2709</v>
      </c>
    </row>
    <row r="976" spans="1:23">
      <c r="A976" s="5" t="s">
        <v>2691</v>
      </c>
      <c r="B976" s="5" t="s">
        <v>2208</v>
      </c>
      <c r="C976" s="5" t="s">
        <v>1596</v>
      </c>
      <c r="G976" s="19" t="s">
        <v>1673</v>
      </c>
      <c r="H976" s="3" t="s">
        <v>844</v>
      </c>
      <c r="I976" s="3" t="s">
        <v>844</v>
      </c>
      <c r="J976" s="3" t="s">
        <v>845</v>
      </c>
      <c r="K976" s="5" t="s">
        <v>843</v>
      </c>
      <c r="L976" s="17">
        <v>25</v>
      </c>
      <c r="M976" s="22">
        <v>2</v>
      </c>
      <c r="N976" s="22">
        <v>1</v>
      </c>
      <c r="O976" s="18">
        <v>0.15</v>
      </c>
      <c r="P976" s="18">
        <v>0.84593750000000012</v>
      </c>
      <c r="Q976" s="18">
        <v>0.84593750000000012</v>
      </c>
      <c r="R976" s="20">
        <f t="shared" si="27"/>
        <v>6.1562303814008592</v>
      </c>
      <c r="U976" s="19" t="s">
        <v>1655</v>
      </c>
      <c r="V976" s="5" t="s">
        <v>2708</v>
      </c>
      <c r="W976" s="5" t="s">
        <v>2709</v>
      </c>
    </row>
    <row r="977" spans="1:23">
      <c r="A977" s="5" t="s">
        <v>2691</v>
      </c>
      <c r="B977" s="5" t="s">
        <v>2208</v>
      </c>
      <c r="C977" s="5" t="s">
        <v>1596</v>
      </c>
      <c r="G977" s="19" t="s">
        <v>1673</v>
      </c>
      <c r="H977" s="5" t="s">
        <v>1756</v>
      </c>
      <c r="I977" s="5" t="s">
        <v>1756</v>
      </c>
      <c r="L977" s="17">
        <v>25</v>
      </c>
      <c r="M977" s="22">
        <v>2</v>
      </c>
      <c r="N977" s="22">
        <v>1</v>
      </c>
      <c r="O977" s="18">
        <v>1</v>
      </c>
      <c r="P977" s="18">
        <v>0.97962500000000008</v>
      </c>
      <c r="Q977" s="18">
        <v>0.97962500000000008</v>
      </c>
      <c r="R977" s="20">
        <f t="shared" si="27"/>
        <v>11.344636054138308</v>
      </c>
      <c r="U977" s="19" t="s">
        <v>1655</v>
      </c>
      <c r="V977" s="5" t="s">
        <v>2708</v>
      </c>
      <c r="W977" s="5" t="s">
        <v>2709</v>
      </c>
    </row>
    <row r="978" spans="1:23">
      <c r="A978" s="5" t="s">
        <v>2691</v>
      </c>
      <c r="B978" s="5" t="s">
        <v>2208</v>
      </c>
      <c r="C978" s="5" t="s">
        <v>1596</v>
      </c>
      <c r="G978" s="19" t="s">
        <v>1673</v>
      </c>
      <c r="H978" s="5" t="s">
        <v>2711</v>
      </c>
      <c r="I978" s="5" t="s">
        <v>2711</v>
      </c>
      <c r="J978" s="3" t="s">
        <v>877</v>
      </c>
      <c r="K978" s="5" t="s">
        <v>875</v>
      </c>
      <c r="L978" s="17">
        <v>25</v>
      </c>
      <c r="M978" s="22">
        <v>2</v>
      </c>
      <c r="N978" s="22">
        <v>1</v>
      </c>
      <c r="O978" s="18">
        <v>1</v>
      </c>
      <c r="P978" s="18">
        <v>0.90050000000000008</v>
      </c>
      <c r="Q978" s="18">
        <v>0.90050000000000008</v>
      </c>
      <c r="R978" s="20">
        <f t="shared" si="27"/>
        <v>7.3122487284637794</v>
      </c>
      <c r="U978" s="19" t="s">
        <v>1655</v>
      </c>
      <c r="V978" s="5" t="s">
        <v>2708</v>
      </c>
      <c r="W978" s="5" t="s">
        <v>2709</v>
      </c>
    </row>
    <row r="979" spans="1:23">
      <c r="A979" s="5" t="s">
        <v>2691</v>
      </c>
      <c r="B979" s="5" t="s">
        <v>2208</v>
      </c>
      <c r="C979" s="5" t="s">
        <v>1596</v>
      </c>
      <c r="G979" s="19" t="s">
        <v>1673</v>
      </c>
      <c r="H979" s="5" t="s">
        <v>2303</v>
      </c>
      <c r="I979" s="5" t="s">
        <v>2303</v>
      </c>
      <c r="K979" s="5" t="s">
        <v>2712</v>
      </c>
      <c r="L979" s="17">
        <v>25</v>
      </c>
      <c r="M979" s="22">
        <v>2</v>
      </c>
      <c r="N979" s="22">
        <v>1</v>
      </c>
      <c r="O979" s="18">
        <v>1</v>
      </c>
      <c r="P979" s="18">
        <v>0.90231250000000007</v>
      </c>
      <c r="Q979" s="18">
        <v>0.90231250000000007</v>
      </c>
      <c r="R979" s="20">
        <f t="shared" si="27"/>
        <v>7.3601852249666893</v>
      </c>
      <c r="U979" s="19" t="s">
        <v>1655</v>
      </c>
      <c r="V979" s="5" t="s">
        <v>2708</v>
      </c>
      <c r="W979" s="5" t="s">
        <v>2709</v>
      </c>
    </row>
    <row r="980" spans="1:23">
      <c r="A980" s="5" t="s">
        <v>2691</v>
      </c>
      <c r="B980" s="5" t="s">
        <v>2208</v>
      </c>
      <c r="C980" s="5" t="s">
        <v>1596</v>
      </c>
      <c r="G980" s="19" t="s">
        <v>1673</v>
      </c>
      <c r="H980" s="5" t="s">
        <v>2284</v>
      </c>
      <c r="I980" s="5" t="s">
        <v>14</v>
      </c>
      <c r="J980" s="5" t="s">
        <v>15</v>
      </c>
      <c r="K980" s="17" t="s">
        <v>13</v>
      </c>
      <c r="L980" s="17">
        <v>25</v>
      </c>
      <c r="M980" s="22">
        <v>2</v>
      </c>
      <c r="N980" s="22">
        <v>1</v>
      </c>
      <c r="O980" s="18">
        <v>1</v>
      </c>
      <c r="P980" s="18">
        <v>0.48231250000000003</v>
      </c>
      <c r="Q980" s="18">
        <v>0.48231250000000003</v>
      </c>
      <c r="R980" s="20">
        <f t="shared" si="27"/>
        <v>2.6078419686861718</v>
      </c>
      <c r="U980" s="19" t="s">
        <v>1655</v>
      </c>
      <c r="V980" s="5" t="s">
        <v>2708</v>
      </c>
      <c r="W980" s="5" t="s">
        <v>2709</v>
      </c>
    </row>
    <row r="981" spans="1:23">
      <c r="A981" s="5" t="s">
        <v>2691</v>
      </c>
      <c r="B981" s="5" t="s">
        <v>2208</v>
      </c>
      <c r="C981" s="5" t="s">
        <v>1596</v>
      </c>
      <c r="G981" s="19" t="s">
        <v>1673</v>
      </c>
      <c r="H981" s="5" t="s">
        <v>2713</v>
      </c>
      <c r="I981" s="5" t="s">
        <v>2713</v>
      </c>
      <c r="L981" s="17">
        <v>25</v>
      </c>
      <c r="M981" s="22">
        <v>2</v>
      </c>
      <c r="N981" s="22">
        <v>1</v>
      </c>
      <c r="O981" s="18">
        <v>1</v>
      </c>
      <c r="P981" s="18">
        <v>0.78987499999999999</v>
      </c>
      <c r="Q981" s="18">
        <v>0.78987499999999999</v>
      </c>
      <c r="R981" s="20">
        <f t="shared" si="27"/>
        <v>5.310441837279523</v>
      </c>
      <c r="U981" s="19" t="s">
        <v>1655</v>
      </c>
      <c r="V981" s="5" t="s">
        <v>2708</v>
      </c>
      <c r="W981" s="5" t="s">
        <v>2709</v>
      </c>
    </row>
    <row r="982" spans="1:23">
      <c r="A982" s="5" t="s">
        <v>2691</v>
      </c>
      <c r="B982" s="5" t="s">
        <v>2208</v>
      </c>
      <c r="C982" s="5" t="s">
        <v>1596</v>
      </c>
      <c r="G982" s="19" t="s">
        <v>1673</v>
      </c>
      <c r="H982" s="5" t="s">
        <v>2714</v>
      </c>
      <c r="I982" s="5" t="s">
        <v>2714</v>
      </c>
      <c r="L982" s="17">
        <v>25</v>
      </c>
      <c r="M982" s="22">
        <v>2</v>
      </c>
      <c r="N982" s="22">
        <v>1</v>
      </c>
      <c r="O982" s="18">
        <v>1</v>
      </c>
      <c r="P982" s="18">
        <v>0.27731250000000002</v>
      </c>
      <c r="Q982" s="18">
        <v>0.27731250000000002</v>
      </c>
      <c r="R982" s="20">
        <f t="shared" si="27"/>
        <v>1.4118632010394487</v>
      </c>
      <c r="U982" s="19" t="s">
        <v>1655</v>
      </c>
      <c r="V982" s="5" t="s">
        <v>2708</v>
      </c>
      <c r="W982" s="5" t="s">
        <v>2709</v>
      </c>
    </row>
    <row r="983" spans="1:23">
      <c r="A983" s="5" t="s">
        <v>2691</v>
      </c>
      <c r="B983" s="5" t="s">
        <v>2208</v>
      </c>
      <c r="C983" s="5" t="s">
        <v>1596</v>
      </c>
      <c r="G983" s="19" t="s">
        <v>1806</v>
      </c>
      <c r="H983" s="5" t="s">
        <v>599</v>
      </c>
      <c r="I983" s="5" t="s">
        <v>599</v>
      </c>
      <c r="J983" s="3" t="s">
        <v>600</v>
      </c>
      <c r="K983" s="17" t="s">
        <v>598</v>
      </c>
      <c r="L983" s="17">
        <v>25</v>
      </c>
      <c r="M983" s="22">
        <v>2</v>
      </c>
      <c r="N983" s="22">
        <v>1</v>
      </c>
      <c r="O983" s="18">
        <v>1</v>
      </c>
      <c r="P983" s="18">
        <v>0.97943749999999996</v>
      </c>
      <c r="Q983" s="18">
        <v>0.97943749999999996</v>
      </c>
      <c r="R983" s="20">
        <f t="shared" ref="R983:R994" si="28">IF(ISBLANK(L983),"",IF(ISBLANK(Q983),"",8.3145*(L983+273.15)*LN((Q983+1)/(1-Q983))*0.001))</f>
        <v>11.321692983564811</v>
      </c>
      <c r="U983" s="19" t="s">
        <v>1655</v>
      </c>
      <c r="V983" s="5" t="s">
        <v>2708</v>
      </c>
      <c r="W983" s="5" t="s">
        <v>2709</v>
      </c>
    </row>
    <row r="984" spans="1:23">
      <c r="A984" s="5" t="s">
        <v>2691</v>
      </c>
      <c r="B984" s="5" t="s">
        <v>2208</v>
      </c>
      <c r="C984" s="5" t="s">
        <v>1596</v>
      </c>
      <c r="G984" s="19" t="s">
        <v>1806</v>
      </c>
      <c r="H984" s="5" t="s">
        <v>2705</v>
      </c>
      <c r="I984" s="5" t="s">
        <v>2705</v>
      </c>
      <c r="K984" s="5" t="s">
        <v>2689</v>
      </c>
      <c r="L984" s="17">
        <v>25</v>
      </c>
      <c r="M984" s="22">
        <v>2</v>
      </c>
      <c r="N984" s="22">
        <v>1</v>
      </c>
      <c r="O984" s="18">
        <v>1</v>
      </c>
      <c r="P984" s="18">
        <v>0.97762500000000008</v>
      </c>
      <c r="Q984" s="18">
        <v>0.97762500000000008</v>
      </c>
      <c r="R984" s="20">
        <f t="shared" si="28"/>
        <v>11.110010620638217</v>
      </c>
      <c r="U984" s="19" t="s">
        <v>1655</v>
      </c>
      <c r="V984" s="5" t="s">
        <v>2708</v>
      </c>
      <c r="W984" s="5" t="s">
        <v>2709</v>
      </c>
    </row>
    <row r="985" spans="1:23">
      <c r="A985" s="5" t="s">
        <v>2691</v>
      </c>
      <c r="B985" s="5" t="s">
        <v>2208</v>
      </c>
      <c r="C985" s="5" t="s">
        <v>1596</v>
      </c>
      <c r="G985" s="19" t="s">
        <v>1806</v>
      </c>
      <c r="H985" s="5" t="s">
        <v>1022</v>
      </c>
      <c r="I985" s="5" t="s">
        <v>1022</v>
      </c>
      <c r="J985" s="3" t="s">
        <v>1023</v>
      </c>
      <c r="K985" s="5" t="s">
        <v>1021</v>
      </c>
      <c r="L985" s="17">
        <v>25</v>
      </c>
      <c r="M985" s="22">
        <v>2</v>
      </c>
      <c r="N985" s="22">
        <v>1</v>
      </c>
      <c r="O985" s="18">
        <v>1</v>
      </c>
      <c r="P985" s="18">
        <v>0.92943749999999992</v>
      </c>
      <c r="Q985" s="18">
        <v>0.92943749999999992</v>
      </c>
      <c r="R985" s="20">
        <f t="shared" si="28"/>
        <v>8.2016288904147405</v>
      </c>
      <c r="U985" s="19" t="s">
        <v>1655</v>
      </c>
      <c r="V985" s="5" t="s">
        <v>2708</v>
      </c>
      <c r="W985" s="5" t="s">
        <v>2709</v>
      </c>
    </row>
    <row r="986" spans="1:23">
      <c r="A986" s="5" t="s">
        <v>2691</v>
      </c>
      <c r="B986" s="5" t="s">
        <v>2208</v>
      </c>
      <c r="C986" s="5" t="s">
        <v>1596</v>
      </c>
      <c r="G986" s="19" t="s">
        <v>1806</v>
      </c>
      <c r="H986" s="5" t="s">
        <v>2700</v>
      </c>
      <c r="I986" s="5" t="s">
        <v>2700</v>
      </c>
      <c r="K986" s="5" t="s">
        <v>2701</v>
      </c>
      <c r="L986" s="17">
        <v>25</v>
      </c>
      <c r="M986" s="22">
        <v>2</v>
      </c>
      <c r="N986" s="22">
        <v>1</v>
      </c>
      <c r="O986" s="18">
        <v>1</v>
      </c>
      <c r="P986" s="18">
        <v>0.89681250000000001</v>
      </c>
      <c r="Q986" s="18">
        <v>0.89681250000000001</v>
      </c>
      <c r="R986" s="20">
        <f t="shared" si="28"/>
        <v>7.2172243225288364</v>
      </c>
      <c r="U986" s="19" t="s">
        <v>1655</v>
      </c>
      <c r="V986" s="5" t="s">
        <v>2708</v>
      </c>
      <c r="W986" s="5" t="s">
        <v>2709</v>
      </c>
    </row>
    <row r="987" spans="1:23">
      <c r="A987" s="5" t="s">
        <v>2691</v>
      </c>
      <c r="B987" s="5" t="s">
        <v>2208</v>
      </c>
      <c r="C987" s="5" t="s">
        <v>1596</v>
      </c>
      <c r="G987" s="19" t="s">
        <v>1806</v>
      </c>
      <c r="H987" s="5" t="s">
        <v>2710</v>
      </c>
      <c r="I987" s="3" t="s">
        <v>228</v>
      </c>
      <c r="J987" s="3" t="s">
        <v>229</v>
      </c>
      <c r="K987" s="5" t="s">
        <v>227</v>
      </c>
      <c r="L987" s="17">
        <v>25</v>
      </c>
      <c r="M987" s="22">
        <v>2</v>
      </c>
      <c r="N987" s="22">
        <v>1</v>
      </c>
      <c r="O987" s="18">
        <v>1</v>
      </c>
      <c r="P987" s="18">
        <v>0.95656250000000009</v>
      </c>
      <c r="Q987" s="18">
        <v>0.95656250000000009</v>
      </c>
      <c r="R987" s="20">
        <f t="shared" si="28"/>
        <v>9.4389719324749617</v>
      </c>
      <c r="U987" s="19" t="s">
        <v>1655</v>
      </c>
      <c r="V987" s="5" t="s">
        <v>2708</v>
      </c>
      <c r="W987" s="5" t="s">
        <v>2709</v>
      </c>
    </row>
    <row r="988" spans="1:23">
      <c r="A988" s="5" t="s">
        <v>2691</v>
      </c>
      <c r="B988" s="5" t="s">
        <v>2208</v>
      </c>
      <c r="C988" s="5" t="s">
        <v>1596</v>
      </c>
      <c r="G988" s="19" t="s">
        <v>1806</v>
      </c>
      <c r="H988" s="3" t="s">
        <v>844</v>
      </c>
      <c r="I988" s="3" t="s">
        <v>844</v>
      </c>
      <c r="J988" s="3" t="s">
        <v>845</v>
      </c>
      <c r="K988" s="5" t="s">
        <v>843</v>
      </c>
      <c r="L988" s="17">
        <v>25</v>
      </c>
      <c r="M988" s="22">
        <v>2</v>
      </c>
      <c r="N988" s="22">
        <v>1</v>
      </c>
      <c r="O988" s="18">
        <v>0.15</v>
      </c>
      <c r="P988" s="18">
        <v>0.88200000000000001</v>
      </c>
      <c r="Q988" s="18">
        <v>0.88200000000000001</v>
      </c>
      <c r="R988" s="20">
        <f t="shared" si="28"/>
        <v>6.8652685832536138</v>
      </c>
      <c r="U988" s="19" t="s">
        <v>1655</v>
      </c>
      <c r="V988" s="5" t="s">
        <v>2708</v>
      </c>
      <c r="W988" s="5" t="s">
        <v>2709</v>
      </c>
    </row>
    <row r="989" spans="1:23">
      <c r="A989" s="5" t="s">
        <v>2691</v>
      </c>
      <c r="B989" s="5" t="s">
        <v>2208</v>
      </c>
      <c r="C989" s="5" t="s">
        <v>1596</v>
      </c>
      <c r="G989" s="19" t="s">
        <v>1806</v>
      </c>
      <c r="H989" s="5" t="s">
        <v>1756</v>
      </c>
      <c r="I989" s="5" t="s">
        <v>1756</v>
      </c>
      <c r="L989" s="17">
        <v>25</v>
      </c>
      <c r="M989" s="22">
        <v>2</v>
      </c>
      <c r="N989" s="22">
        <v>1</v>
      </c>
      <c r="O989" s="18">
        <v>1</v>
      </c>
      <c r="P989" s="18">
        <v>0.97068749999999993</v>
      </c>
      <c r="Q989" s="18">
        <v>0.97068749999999993</v>
      </c>
      <c r="R989" s="20">
        <f t="shared" si="28"/>
        <v>10.431804727315743</v>
      </c>
      <c r="U989" s="19" t="s">
        <v>1655</v>
      </c>
      <c r="V989" s="5" t="s">
        <v>2708</v>
      </c>
      <c r="W989" s="5" t="s">
        <v>2709</v>
      </c>
    </row>
    <row r="990" spans="1:23">
      <c r="A990" s="5" t="s">
        <v>2691</v>
      </c>
      <c r="B990" s="5" t="s">
        <v>2208</v>
      </c>
      <c r="C990" s="5" t="s">
        <v>1596</v>
      </c>
      <c r="G990" s="19" t="s">
        <v>1806</v>
      </c>
      <c r="H990" s="5" t="s">
        <v>2711</v>
      </c>
      <c r="I990" s="5" t="s">
        <v>2711</v>
      </c>
      <c r="J990" s="3" t="s">
        <v>877</v>
      </c>
      <c r="K990" s="5" t="s">
        <v>875</v>
      </c>
      <c r="L990" s="17">
        <v>25</v>
      </c>
      <c r="M990" s="22">
        <v>2</v>
      </c>
      <c r="N990" s="22">
        <v>1</v>
      </c>
      <c r="O990" s="18">
        <v>1</v>
      </c>
      <c r="P990" s="18">
        <v>0.88800000000000012</v>
      </c>
      <c r="Q990" s="18">
        <v>0.88800000000000012</v>
      </c>
      <c r="R990" s="20">
        <f t="shared" si="28"/>
        <v>7.0025260260945847</v>
      </c>
      <c r="U990" s="19" t="s">
        <v>1655</v>
      </c>
      <c r="V990" s="5" t="s">
        <v>2708</v>
      </c>
      <c r="W990" s="5" t="s">
        <v>2709</v>
      </c>
    </row>
    <row r="991" spans="1:23">
      <c r="A991" s="5" t="s">
        <v>2691</v>
      </c>
      <c r="B991" s="5" t="s">
        <v>2208</v>
      </c>
      <c r="C991" s="5" t="s">
        <v>1596</v>
      </c>
      <c r="G991" s="19" t="s">
        <v>1806</v>
      </c>
      <c r="H991" s="5" t="s">
        <v>2303</v>
      </c>
      <c r="I991" s="5" t="s">
        <v>2303</v>
      </c>
      <c r="K991" s="5" t="s">
        <v>2712</v>
      </c>
      <c r="L991" s="17">
        <v>25</v>
      </c>
      <c r="M991" s="22">
        <v>2</v>
      </c>
      <c r="N991" s="22">
        <v>1</v>
      </c>
      <c r="O991" s="18">
        <v>1</v>
      </c>
      <c r="P991" s="18">
        <v>0.88712500000000005</v>
      </c>
      <c r="Q991" s="18">
        <v>0.88712500000000005</v>
      </c>
      <c r="R991" s="20">
        <f t="shared" si="28"/>
        <v>6.982085195091476</v>
      </c>
      <c r="U991" s="19" t="s">
        <v>1655</v>
      </c>
      <c r="V991" s="5" t="s">
        <v>2708</v>
      </c>
      <c r="W991" s="5" t="s">
        <v>2709</v>
      </c>
    </row>
    <row r="992" spans="1:23">
      <c r="A992" s="5" t="s">
        <v>2691</v>
      </c>
      <c r="B992" s="5" t="s">
        <v>2208</v>
      </c>
      <c r="C992" s="5" t="s">
        <v>1596</v>
      </c>
      <c r="G992" s="19" t="s">
        <v>1806</v>
      </c>
      <c r="H992" s="5" t="s">
        <v>2284</v>
      </c>
      <c r="I992" s="5" t="s">
        <v>14</v>
      </c>
      <c r="J992" s="5" t="s">
        <v>15</v>
      </c>
      <c r="K992" s="17" t="s">
        <v>13</v>
      </c>
      <c r="L992" s="17">
        <v>25</v>
      </c>
      <c r="M992" s="22">
        <v>2</v>
      </c>
      <c r="N992" s="22">
        <v>1</v>
      </c>
      <c r="O992" s="18">
        <v>1</v>
      </c>
      <c r="P992" s="18">
        <v>0.47081250000000002</v>
      </c>
      <c r="Q992" s="18">
        <v>0.47081250000000002</v>
      </c>
      <c r="R992" s="20">
        <f t="shared" si="28"/>
        <v>2.5340692833514735</v>
      </c>
      <c r="U992" s="19" t="s">
        <v>1655</v>
      </c>
      <c r="V992" s="5" t="s">
        <v>2708</v>
      </c>
      <c r="W992" s="5" t="s">
        <v>2709</v>
      </c>
    </row>
    <row r="993" spans="1:23">
      <c r="A993" s="5" t="s">
        <v>2691</v>
      </c>
      <c r="B993" s="5" t="s">
        <v>2208</v>
      </c>
      <c r="C993" s="5" t="s">
        <v>1596</v>
      </c>
      <c r="G993" s="19" t="s">
        <v>1806</v>
      </c>
      <c r="H993" s="5" t="s">
        <v>2713</v>
      </c>
      <c r="I993" s="5" t="s">
        <v>2713</v>
      </c>
      <c r="L993" s="17">
        <v>25</v>
      </c>
      <c r="M993" s="22">
        <v>2</v>
      </c>
      <c r="N993" s="22">
        <v>1</v>
      </c>
      <c r="O993" s="18">
        <v>1</v>
      </c>
      <c r="P993" s="18">
        <v>0.76781250000000001</v>
      </c>
      <c r="Q993" s="18">
        <v>0.76781250000000001</v>
      </c>
      <c r="R993" s="20">
        <f t="shared" si="28"/>
        <v>5.0321887613477045</v>
      </c>
      <c r="U993" s="19" t="s">
        <v>1655</v>
      </c>
      <c r="V993" s="5" t="s">
        <v>2708</v>
      </c>
      <c r="W993" s="5" t="s">
        <v>2709</v>
      </c>
    </row>
    <row r="994" spans="1:23">
      <c r="A994" s="5" t="s">
        <v>2691</v>
      </c>
      <c r="B994" s="5" t="s">
        <v>2208</v>
      </c>
      <c r="C994" s="5" t="s">
        <v>1596</v>
      </c>
      <c r="G994" s="19" t="s">
        <v>1806</v>
      </c>
      <c r="H994" s="5" t="s">
        <v>2714</v>
      </c>
      <c r="I994" s="5" t="s">
        <v>2714</v>
      </c>
      <c r="L994" s="17">
        <v>25</v>
      </c>
      <c r="M994" s="22">
        <v>2</v>
      </c>
      <c r="N994" s="22">
        <v>1</v>
      </c>
      <c r="O994" s="18">
        <v>1</v>
      </c>
      <c r="P994" s="18">
        <v>0.24956249999999996</v>
      </c>
      <c r="Q994" s="18">
        <v>0.24956249999999996</v>
      </c>
      <c r="R994" s="20">
        <f t="shared" si="28"/>
        <v>1.2640070303931168</v>
      </c>
      <c r="U994" s="19" t="s">
        <v>1655</v>
      </c>
      <c r="V994" s="5" t="s">
        <v>2708</v>
      </c>
      <c r="W994" s="5" t="s">
        <v>2709</v>
      </c>
    </row>
    <row r="995" spans="1:23">
      <c r="A995" s="5" t="s">
        <v>2691</v>
      </c>
      <c r="B995" s="5" t="s">
        <v>1643</v>
      </c>
      <c r="C995" s="5" t="s">
        <v>1596</v>
      </c>
      <c r="G995" s="19" t="s">
        <v>1673</v>
      </c>
      <c r="H995" s="5" t="s">
        <v>599</v>
      </c>
      <c r="I995" s="5" t="s">
        <v>599</v>
      </c>
      <c r="J995" s="3" t="s">
        <v>600</v>
      </c>
      <c r="K995" s="17" t="s">
        <v>598</v>
      </c>
      <c r="L995" s="17">
        <v>27</v>
      </c>
      <c r="M995" s="22">
        <v>2.0699999999999998</v>
      </c>
      <c r="N995" s="22">
        <v>1</v>
      </c>
      <c r="O995" s="18">
        <v>1</v>
      </c>
      <c r="P995" s="18">
        <v>0.95</v>
      </c>
      <c r="Q995" s="20">
        <v>0.95</v>
      </c>
      <c r="R995" s="20">
        <f t="shared" si="27"/>
        <v>9.1427740945194937</v>
      </c>
      <c r="U995" s="19" t="s">
        <v>1655</v>
      </c>
      <c r="V995" s="5" t="s">
        <v>2715</v>
      </c>
      <c r="W995" s="5" t="s">
        <v>2716</v>
      </c>
    </row>
    <row r="996" spans="1:23">
      <c r="A996" s="5" t="s">
        <v>2691</v>
      </c>
      <c r="B996" s="5" t="s">
        <v>2208</v>
      </c>
      <c r="C996" s="5" t="s">
        <v>1596</v>
      </c>
      <c r="G996" s="19" t="s">
        <v>1673</v>
      </c>
      <c r="H996" s="5" t="s">
        <v>599</v>
      </c>
      <c r="I996" s="5" t="s">
        <v>599</v>
      </c>
      <c r="J996" s="3" t="s">
        <v>600</v>
      </c>
      <c r="K996" s="17" t="s">
        <v>598</v>
      </c>
      <c r="L996" s="17">
        <v>27</v>
      </c>
      <c r="M996" s="22">
        <v>2.76</v>
      </c>
      <c r="N996" s="22">
        <v>1</v>
      </c>
      <c r="O996" s="18">
        <v>1</v>
      </c>
      <c r="P996" s="18">
        <v>0.995</v>
      </c>
      <c r="Q996" s="20">
        <v>0.995</v>
      </c>
      <c r="R996" s="20">
        <f t="shared" si="27"/>
        <v>14.946035193174339</v>
      </c>
      <c r="U996" s="19" t="s">
        <v>1655</v>
      </c>
      <c r="V996" s="5" t="s">
        <v>2715</v>
      </c>
      <c r="W996" s="5" t="s">
        <v>2716</v>
      </c>
    </row>
    <row r="997" spans="1:23">
      <c r="A997" s="5" t="s">
        <v>2691</v>
      </c>
      <c r="B997" s="5" t="s">
        <v>1643</v>
      </c>
      <c r="C997" s="5" t="s">
        <v>1596</v>
      </c>
      <c r="G997" s="19" t="s">
        <v>1673</v>
      </c>
      <c r="H997" s="5" t="s">
        <v>2705</v>
      </c>
      <c r="I997" s="5" t="s">
        <v>2705</v>
      </c>
      <c r="K997" s="5" t="s">
        <v>2689</v>
      </c>
      <c r="L997" s="5">
        <v>25</v>
      </c>
      <c r="M997" s="22">
        <v>3</v>
      </c>
      <c r="N997" s="22">
        <v>24</v>
      </c>
      <c r="O997" s="18">
        <v>0.99</v>
      </c>
      <c r="P997" s="18">
        <v>0.96</v>
      </c>
      <c r="Q997" s="20">
        <v>0.96</v>
      </c>
      <c r="R997" s="20">
        <f t="shared" si="27"/>
        <v>9.6476986618352534</v>
      </c>
      <c r="U997" s="19" t="s">
        <v>1655</v>
      </c>
      <c r="V997" s="5" t="s">
        <v>2717</v>
      </c>
      <c r="W997" s="5" t="s">
        <v>2718</v>
      </c>
    </row>
    <row r="998" spans="1:23">
      <c r="A998" s="5" t="s">
        <v>2691</v>
      </c>
      <c r="B998" s="5" t="s">
        <v>1643</v>
      </c>
      <c r="C998" s="5" t="s">
        <v>1596</v>
      </c>
      <c r="G998" s="19" t="s">
        <v>1673</v>
      </c>
      <c r="H998" s="5" t="s">
        <v>2700</v>
      </c>
      <c r="I998" s="5" t="s">
        <v>2700</v>
      </c>
      <c r="K998" s="5" t="s">
        <v>2701</v>
      </c>
      <c r="L998" s="5">
        <v>25</v>
      </c>
      <c r="M998" s="22">
        <v>3</v>
      </c>
      <c r="N998" s="22">
        <v>24</v>
      </c>
      <c r="O998" s="18">
        <v>0.99</v>
      </c>
      <c r="P998" s="18">
        <v>0.89</v>
      </c>
      <c r="Q998" s="20">
        <v>0.89</v>
      </c>
      <c r="R998" s="20">
        <f t="shared" si="27"/>
        <v>7.0498179634839957</v>
      </c>
      <c r="U998" s="19" t="s">
        <v>1655</v>
      </c>
      <c r="V998" s="5" t="s">
        <v>2717</v>
      </c>
      <c r="W998" s="5" t="s">
        <v>2718</v>
      </c>
    </row>
    <row r="999" spans="1:23">
      <c r="A999" s="5" t="s">
        <v>2691</v>
      </c>
      <c r="B999" s="5" t="s">
        <v>2208</v>
      </c>
      <c r="C999" s="5" t="s">
        <v>1596</v>
      </c>
      <c r="G999" s="19" t="s">
        <v>1673</v>
      </c>
      <c r="H999" s="5" t="s">
        <v>2705</v>
      </c>
      <c r="I999" s="5" t="s">
        <v>2705</v>
      </c>
      <c r="K999" s="5" t="s">
        <v>2689</v>
      </c>
      <c r="L999" s="5">
        <v>25</v>
      </c>
      <c r="M999" s="22">
        <v>3</v>
      </c>
      <c r="N999" s="22">
        <v>24</v>
      </c>
      <c r="O999" s="18">
        <v>0.99</v>
      </c>
      <c r="P999" s="18">
        <v>0.94</v>
      </c>
      <c r="Q999" s="20">
        <v>0.94</v>
      </c>
      <c r="R999" s="20">
        <f t="shared" si="27"/>
        <v>8.6171380252608341</v>
      </c>
      <c r="U999" s="19" t="s">
        <v>1655</v>
      </c>
      <c r="V999" s="5" t="s">
        <v>2717</v>
      </c>
      <c r="W999" s="5" t="s">
        <v>2718</v>
      </c>
    </row>
    <row r="1000" spans="1:23">
      <c r="A1000" s="5" t="s">
        <v>2691</v>
      </c>
      <c r="B1000" s="5" t="s">
        <v>2208</v>
      </c>
      <c r="C1000" s="5" t="s">
        <v>1596</v>
      </c>
      <c r="G1000" s="19" t="s">
        <v>1673</v>
      </c>
      <c r="H1000" s="5" t="s">
        <v>2700</v>
      </c>
      <c r="I1000" s="5" t="s">
        <v>2700</v>
      </c>
      <c r="K1000" s="5" t="s">
        <v>2701</v>
      </c>
      <c r="L1000" s="5">
        <v>25</v>
      </c>
      <c r="M1000" s="22">
        <v>3</v>
      </c>
      <c r="N1000" s="22">
        <v>24</v>
      </c>
      <c r="O1000" s="18">
        <v>0.99</v>
      </c>
      <c r="P1000" s="18">
        <v>0.9</v>
      </c>
      <c r="Q1000" s="20">
        <v>0.9</v>
      </c>
      <c r="R1000" s="20">
        <f t="shared" si="27"/>
        <v>7.2991705225830952</v>
      </c>
      <c r="U1000" s="19" t="s">
        <v>1655</v>
      </c>
      <c r="V1000" s="5" t="s">
        <v>2717</v>
      </c>
      <c r="W1000" s="5" t="s">
        <v>2718</v>
      </c>
    </row>
    <row r="1001" spans="1:23">
      <c r="A1001" s="5" t="s">
        <v>2691</v>
      </c>
      <c r="B1001" s="5" t="s">
        <v>2208</v>
      </c>
      <c r="C1001" s="5" t="s">
        <v>1596</v>
      </c>
      <c r="G1001" s="19" t="s">
        <v>1673</v>
      </c>
      <c r="H1001" s="5" t="s">
        <v>563</v>
      </c>
      <c r="I1001" s="5" t="s">
        <v>563</v>
      </c>
      <c r="K1001" s="3" t="s">
        <v>562</v>
      </c>
      <c r="L1001" s="5">
        <v>25</v>
      </c>
      <c r="M1001" s="22">
        <v>3</v>
      </c>
      <c r="N1001" s="22">
        <v>24</v>
      </c>
      <c r="O1001" s="18">
        <v>0.91</v>
      </c>
      <c r="P1001" s="18">
        <v>0.77</v>
      </c>
      <c r="Q1001" s="20">
        <v>0.77</v>
      </c>
      <c r="R1001" s="20">
        <f t="shared" si="27"/>
        <v>5.0587200819003435</v>
      </c>
      <c r="U1001" s="19" t="s">
        <v>1655</v>
      </c>
      <c r="V1001" s="5" t="s">
        <v>2717</v>
      </c>
      <c r="W1001" s="5" t="s">
        <v>2718</v>
      </c>
    </row>
    <row r="1002" spans="1:23">
      <c r="A1002" s="5" t="s">
        <v>2691</v>
      </c>
      <c r="B1002" s="5" t="s">
        <v>2208</v>
      </c>
      <c r="C1002" s="5" t="s">
        <v>1596</v>
      </c>
      <c r="G1002" s="19" t="s">
        <v>1673</v>
      </c>
      <c r="H1002" s="5" t="s">
        <v>922</v>
      </c>
      <c r="I1002" s="5" t="s">
        <v>922</v>
      </c>
      <c r="K1002" s="3" t="s">
        <v>921</v>
      </c>
      <c r="L1002" s="5">
        <v>25</v>
      </c>
      <c r="M1002" s="22">
        <v>3</v>
      </c>
      <c r="N1002" s="22">
        <v>24</v>
      </c>
      <c r="O1002" s="18">
        <v>0.94</v>
      </c>
      <c r="P1002" s="18">
        <v>0.78</v>
      </c>
      <c r="Q1002" s="20">
        <v>0.78</v>
      </c>
      <c r="R1002" s="20">
        <f t="shared" si="27"/>
        <v>5.182880641463405</v>
      </c>
      <c r="U1002" s="19" t="s">
        <v>1655</v>
      </c>
      <c r="V1002" s="5" t="s">
        <v>2717</v>
      </c>
      <c r="W1002" s="5" t="s">
        <v>2718</v>
      </c>
    </row>
    <row r="1003" spans="1:23">
      <c r="A1003" s="5" t="s">
        <v>2691</v>
      </c>
      <c r="B1003" s="5" t="s">
        <v>2208</v>
      </c>
      <c r="C1003" s="5" t="s">
        <v>1596</v>
      </c>
      <c r="G1003" s="19" t="s">
        <v>1673</v>
      </c>
      <c r="H1003" s="5" t="s">
        <v>695</v>
      </c>
      <c r="I1003" s="5" t="s">
        <v>695</v>
      </c>
      <c r="K1003" s="3" t="s">
        <v>694</v>
      </c>
      <c r="L1003" s="5">
        <v>25</v>
      </c>
      <c r="M1003" s="22">
        <v>3</v>
      </c>
      <c r="N1003" s="22">
        <v>24</v>
      </c>
      <c r="O1003" s="18">
        <v>0.95</v>
      </c>
      <c r="P1003" s="18">
        <v>0.62</v>
      </c>
      <c r="Q1003" s="20">
        <v>0.62</v>
      </c>
      <c r="R1003" s="20">
        <f t="shared" si="27"/>
        <v>3.5945290785055346</v>
      </c>
      <c r="U1003" s="19" t="s">
        <v>1655</v>
      </c>
      <c r="V1003" s="5" t="s">
        <v>2717</v>
      </c>
      <c r="W1003" s="5" t="s">
        <v>2718</v>
      </c>
    </row>
    <row r="1004" spans="1:23">
      <c r="A1004" s="5" t="s">
        <v>2691</v>
      </c>
      <c r="B1004" s="5" t="s">
        <v>1643</v>
      </c>
      <c r="C1004" s="5" t="s">
        <v>1596</v>
      </c>
      <c r="G1004" s="19" t="s">
        <v>1673</v>
      </c>
      <c r="H1004" s="5" t="s">
        <v>572</v>
      </c>
      <c r="I1004" s="5" t="s">
        <v>572</v>
      </c>
      <c r="J1004" s="3"/>
      <c r="K1004" s="3" t="s">
        <v>571</v>
      </c>
      <c r="L1004" s="17">
        <v>35</v>
      </c>
      <c r="M1004" s="22">
        <v>2</v>
      </c>
      <c r="N1004" s="22"/>
      <c r="O1004" s="18">
        <v>1</v>
      </c>
      <c r="P1004" s="18">
        <v>0.77</v>
      </c>
      <c r="Q1004" s="20">
        <v>0.77</v>
      </c>
      <c r="R1004" s="20">
        <f t="shared" si="27"/>
        <v>5.2283903848317648</v>
      </c>
      <c r="U1004" s="5" t="s">
        <v>1655</v>
      </c>
      <c r="V1004" s="5" t="s">
        <v>2719</v>
      </c>
      <c r="W1004" s="5" t="s">
        <v>2720</v>
      </c>
    </row>
    <row r="1005" spans="1:23">
      <c r="A1005" s="5" t="s">
        <v>2691</v>
      </c>
      <c r="B1005" s="5" t="s">
        <v>1643</v>
      </c>
      <c r="C1005" s="5" t="s">
        <v>1596</v>
      </c>
      <c r="G1005" s="19" t="s">
        <v>1673</v>
      </c>
      <c r="H1005" s="5" t="s">
        <v>1022</v>
      </c>
      <c r="I1005" s="5" t="s">
        <v>1022</v>
      </c>
      <c r="J1005" s="3" t="s">
        <v>1023</v>
      </c>
      <c r="K1005" s="5" t="s">
        <v>1021</v>
      </c>
      <c r="L1005" s="17">
        <v>35</v>
      </c>
      <c r="M1005" s="22">
        <v>2</v>
      </c>
      <c r="N1005" s="22"/>
      <c r="O1005" s="18">
        <v>1</v>
      </c>
      <c r="P1005" s="18">
        <v>0.89</v>
      </c>
      <c r="Q1005" s="20">
        <v>0.89</v>
      </c>
      <c r="R1005" s="20">
        <f t="shared" si="27"/>
        <v>7.2862700165943091</v>
      </c>
      <c r="U1005" s="5" t="s">
        <v>1655</v>
      </c>
      <c r="V1005" s="5" t="s">
        <v>2719</v>
      </c>
      <c r="W1005" s="5" t="s">
        <v>2720</v>
      </c>
    </row>
    <row r="1006" spans="1:23">
      <c r="A1006" s="5" t="s">
        <v>2691</v>
      </c>
      <c r="B1006" s="5" t="s">
        <v>1643</v>
      </c>
      <c r="C1006" s="5" t="s">
        <v>1596</v>
      </c>
      <c r="G1006" s="19" t="s">
        <v>1673</v>
      </c>
      <c r="H1006" s="5" t="s">
        <v>1756</v>
      </c>
      <c r="I1006" s="5" t="s">
        <v>1756</v>
      </c>
      <c r="L1006" s="17">
        <v>35</v>
      </c>
      <c r="M1006" s="22">
        <v>2</v>
      </c>
      <c r="N1006" s="22"/>
      <c r="O1006" s="18">
        <v>1</v>
      </c>
      <c r="P1006" s="18">
        <v>0.99</v>
      </c>
      <c r="Q1006" s="20">
        <v>0.99</v>
      </c>
      <c r="R1006" s="20">
        <f t="shared" si="27"/>
        <v>13.562046030717685</v>
      </c>
      <c r="U1006" s="5" t="s">
        <v>1655</v>
      </c>
      <c r="V1006" s="5" t="s">
        <v>2719</v>
      </c>
      <c r="W1006" s="5" t="s">
        <v>2720</v>
      </c>
    </row>
    <row r="1007" spans="1:23">
      <c r="A1007" s="5" t="s">
        <v>2691</v>
      </c>
      <c r="B1007" s="5" t="s">
        <v>1643</v>
      </c>
      <c r="C1007" s="5" t="s">
        <v>1596</v>
      </c>
      <c r="G1007" s="19" t="s">
        <v>1673</v>
      </c>
      <c r="H1007" s="5" t="s">
        <v>1373</v>
      </c>
      <c r="I1007" s="5" t="s">
        <v>1373</v>
      </c>
      <c r="J1007" s="3"/>
      <c r="K1007" s="17" t="s">
        <v>1372</v>
      </c>
      <c r="L1007" s="17">
        <v>35</v>
      </c>
      <c r="M1007" s="22">
        <v>2</v>
      </c>
      <c r="N1007" s="22"/>
      <c r="O1007" s="18">
        <v>1</v>
      </c>
      <c r="P1007" s="18">
        <v>0.95</v>
      </c>
      <c r="Q1007" s="20">
        <v>0.95</v>
      </c>
      <c r="R1007" s="20">
        <f t="shared" si="27"/>
        <v>9.3864595609734511</v>
      </c>
      <c r="U1007" s="5" t="s">
        <v>1655</v>
      </c>
      <c r="V1007" s="5" t="s">
        <v>2719</v>
      </c>
      <c r="W1007" s="5" t="s">
        <v>2720</v>
      </c>
    </row>
    <row r="1008" spans="1:23">
      <c r="A1008" s="5" t="s">
        <v>2691</v>
      </c>
      <c r="B1008" s="5" t="s">
        <v>1643</v>
      </c>
      <c r="C1008" s="5" t="s">
        <v>1596</v>
      </c>
      <c r="G1008" s="19" t="s">
        <v>1673</v>
      </c>
      <c r="H1008" s="5" t="s">
        <v>590</v>
      </c>
      <c r="I1008" s="5" t="s">
        <v>590</v>
      </c>
      <c r="J1008" s="3"/>
      <c r="K1008" s="17" t="s">
        <v>589</v>
      </c>
      <c r="L1008" s="17">
        <v>35</v>
      </c>
      <c r="M1008" s="22">
        <v>2</v>
      </c>
      <c r="N1008" s="22"/>
      <c r="O1008" s="18">
        <v>1</v>
      </c>
      <c r="P1008" s="18">
        <v>0.27</v>
      </c>
      <c r="Q1008" s="18">
        <v>0.27</v>
      </c>
      <c r="R1008" s="20">
        <f t="shared" si="27"/>
        <v>1.4187128954109909</v>
      </c>
      <c r="U1008" s="5" t="s">
        <v>1655</v>
      </c>
      <c r="V1008" s="5" t="s">
        <v>2719</v>
      </c>
      <c r="W1008" s="5" t="s">
        <v>2720</v>
      </c>
    </row>
    <row r="1009" spans="1:23">
      <c r="A1009" s="5" t="s">
        <v>2691</v>
      </c>
      <c r="B1009" s="5" t="s">
        <v>1643</v>
      </c>
      <c r="C1009" s="5" t="s">
        <v>1596</v>
      </c>
      <c r="G1009" s="19" t="s">
        <v>1673</v>
      </c>
      <c r="H1009" s="5" t="s">
        <v>572</v>
      </c>
      <c r="I1009" s="5" t="s">
        <v>572</v>
      </c>
      <c r="J1009" s="3"/>
      <c r="K1009" s="3" t="s">
        <v>571</v>
      </c>
      <c r="L1009" s="17">
        <v>35</v>
      </c>
      <c r="M1009" s="22">
        <v>41</v>
      </c>
      <c r="N1009" s="22"/>
      <c r="O1009" s="18">
        <v>1</v>
      </c>
      <c r="P1009" s="18">
        <v>0.7</v>
      </c>
      <c r="Q1009" s="18">
        <v>0.7</v>
      </c>
      <c r="R1009" s="20">
        <f t="shared" si="27"/>
        <v>4.4442442173787722</v>
      </c>
      <c r="U1009" s="5" t="s">
        <v>1655</v>
      </c>
      <c r="V1009" s="5" t="s">
        <v>2719</v>
      </c>
      <c r="W1009" s="5" t="s">
        <v>2720</v>
      </c>
    </row>
    <row r="1010" spans="1:23">
      <c r="A1010" s="5" t="s">
        <v>2691</v>
      </c>
      <c r="B1010" s="5" t="s">
        <v>1643</v>
      </c>
      <c r="C1010" s="5" t="s">
        <v>1596</v>
      </c>
      <c r="G1010" s="19" t="s">
        <v>1673</v>
      </c>
      <c r="H1010" s="5" t="s">
        <v>1022</v>
      </c>
      <c r="I1010" s="5" t="s">
        <v>1022</v>
      </c>
      <c r="J1010" s="3" t="s">
        <v>1023</v>
      </c>
      <c r="K1010" s="5" t="s">
        <v>1021</v>
      </c>
      <c r="L1010" s="17">
        <v>35</v>
      </c>
      <c r="M1010" s="22">
        <v>41</v>
      </c>
      <c r="N1010" s="22"/>
      <c r="O1010" s="18">
        <v>1</v>
      </c>
      <c r="P1010" s="18">
        <v>0.8</v>
      </c>
      <c r="Q1010" s="18">
        <v>0.8</v>
      </c>
      <c r="R1010" s="20">
        <f t="shared" si="27"/>
        <v>5.6295380380269346</v>
      </c>
      <c r="U1010" s="5" t="s">
        <v>1655</v>
      </c>
      <c r="V1010" s="5" t="s">
        <v>2719</v>
      </c>
      <c r="W1010" s="5" t="s">
        <v>2720</v>
      </c>
    </row>
    <row r="1011" spans="1:23">
      <c r="A1011" s="5" t="s">
        <v>2691</v>
      </c>
      <c r="B1011" s="5" t="s">
        <v>1643</v>
      </c>
      <c r="C1011" s="5" t="s">
        <v>1596</v>
      </c>
      <c r="G1011" s="19" t="s">
        <v>1673</v>
      </c>
      <c r="H1011" s="5" t="s">
        <v>1756</v>
      </c>
      <c r="I1011" s="5" t="s">
        <v>1756</v>
      </c>
      <c r="L1011" s="17">
        <v>35</v>
      </c>
      <c r="M1011" s="22">
        <v>41</v>
      </c>
      <c r="N1011" s="22"/>
      <c r="O1011" s="18">
        <v>1</v>
      </c>
      <c r="P1011" s="18">
        <v>0.98</v>
      </c>
      <c r="Q1011" s="18">
        <v>0.98</v>
      </c>
      <c r="R1011" s="20">
        <f>IF(ISBLANK(L1011),"",IF(ISBLANK(Q1011),"",8.3145*(L1011+273.15)*LN((Q1011+1)/(1-Q1011))*0.001))</f>
        <v>11.773217108733856</v>
      </c>
      <c r="U1011" s="5" t="s">
        <v>1655</v>
      </c>
      <c r="V1011" s="5" t="s">
        <v>2719</v>
      </c>
      <c r="W1011" s="5" t="s">
        <v>2720</v>
      </c>
    </row>
    <row r="1012" spans="1:23">
      <c r="A1012" s="5" t="s">
        <v>2691</v>
      </c>
      <c r="B1012" s="5" t="s">
        <v>1643</v>
      </c>
      <c r="C1012" s="5" t="s">
        <v>1596</v>
      </c>
      <c r="G1012" s="19" t="s">
        <v>1673</v>
      </c>
      <c r="H1012" s="5" t="s">
        <v>1373</v>
      </c>
      <c r="I1012" s="5" t="s">
        <v>1373</v>
      </c>
      <c r="J1012" s="3"/>
      <c r="K1012" s="17" t="s">
        <v>1372</v>
      </c>
      <c r="L1012" s="17">
        <v>35</v>
      </c>
      <c r="M1012" s="22">
        <v>41</v>
      </c>
      <c r="N1012" s="22"/>
      <c r="O1012" s="18">
        <v>1</v>
      </c>
      <c r="P1012" s="18">
        <v>0.98</v>
      </c>
      <c r="Q1012" s="18">
        <v>0.98</v>
      </c>
      <c r="R1012" s="20">
        <f t="shared" si="27"/>
        <v>11.773217108733856</v>
      </c>
      <c r="U1012" s="5" t="s">
        <v>1655</v>
      </c>
      <c r="V1012" s="5" t="s">
        <v>2719</v>
      </c>
      <c r="W1012" s="5" t="s">
        <v>2720</v>
      </c>
    </row>
    <row r="1013" spans="1:23">
      <c r="A1013" s="5" t="s">
        <v>2691</v>
      </c>
      <c r="B1013" s="5" t="s">
        <v>1643</v>
      </c>
      <c r="C1013" s="5" t="s">
        <v>1596</v>
      </c>
      <c r="G1013" s="19" t="s">
        <v>1673</v>
      </c>
      <c r="H1013" s="5" t="s">
        <v>590</v>
      </c>
      <c r="I1013" s="5" t="s">
        <v>590</v>
      </c>
      <c r="J1013" s="3"/>
      <c r="K1013" s="17" t="s">
        <v>589</v>
      </c>
      <c r="L1013" s="17">
        <v>35</v>
      </c>
      <c r="M1013" s="22">
        <v>41</v>
      </c>
      <c r="N1013" s="22"/>
      <c r="O1013" s="18">
        <v>1</v>
      </c>
      <c r="P1013" s="18">
        <v>0.24</v>
      </c>
      <c r="Q1013" s="18">
        <v>0.24</v>
      </c>
      <c r="R1013" s="20">
        <f t="shared" si="27"/>
        <v>1.2542779578869248</v>
      </c>
      <c r="U1013" s="5" t="s">
        <v>1655</v>
      </c>
      <c r="V1013" s="5" t="s">
        <v>2719</v>
      </c>
      <c r="W1013" s="5" t="s">
        <v>2720</v>
      </c>
    </row>
    <row r="1014" spans="1:23">
      <c r="A1014" s="5" t="s">
        <v>2691</v>
      </c>
      <c r="B1014" s="5" t="s">
        <v>2208</v>
      </c>
      <c r="C1014" s="5" t="s">
        <v>1596</v>
      </c>
      <c r="G1014" s="19" t="s">
        <v>1673</v>
      </c>
      <c r="H1014" s="5" t="s">
        <v>572</v>
      </c>
      <c r="I1014" s="5" t="s">
        <v>572</v>
      </c>
      <c r="J1014" s="3"/>
      <c r="K1014" s="3" t="s">
        <v>571</v>
      </c>
      <c r="L1014" s="17">
        <v>35</v>
      </c>
      <c r="M1014" s="22">
        <v>2</v>
      </c>
      <c r="N1014" s="22"/>
      <c r="O1014" s="18">
        <v>1</v>
      </c>
      <c r="P1014" s="18">
        <v>0.79</v>
      </c>
      <c r="Q1014" s="20">
        <v>0.79</v>
      </c>
      <c r="R1014" s="20">
        <f t="shared" si="27"/>
        <v>5.4902584676782915</v>
      </c>
      <c r="U1014" s="5" t="s">
        <v>1655</v>
      </c>
      <c r="V1014" s="5" t="s">
        <v>2719</v>
      </c>
      <c r="W1014" s="5" t="s">
        <v>2720</v>
      </c>
    </row>
    <row r="1015" spans="1:23">
      <c r="A1015" s="5" t="s">
        <v>2691</v>
      </c>
      <c r="B1015" s="5" t="s">
        <v>2208</v>
      </c>
      <c r="C1015" s="5" t="s">
        <v>1596</v>
      </c>
      <c r="G1015" s="19" t="s">
        <v>1673</v>
      </c>
      <c r="H1015" s="5" t="s">
        <v>1022</v>
      </c>
      <c r="I1015" s="5" t="s">
        <v>1022</v>
      </c>
      <c r="J1015" s="3" t="s">
        <v>1023</v>
      </c>
      <c r="K1015" s="5" t="s">
        <v>1021</v>
      </c>
      <c r="L1015" s="17">
        <v>35</v>
      </c>
      <c r="M1015" s="22">
        <v>2</v>
      </c>
      <c r="N1015" s="22"/>
      <c r="O1015" s="18">
        <v>1</v>
      </c>
      <c r="P1015" s="18">
        <v>0.94</v>
      </c>
      <c r="Q1015" s="20">
        <v>0.94</v>
      </c>
      <c r="R1015" s="20">
        <f t="shared" si="27"/>
        <v>8.9061582508271897</v>
      </c>
      <c r="U1015" s="5" t="s">
        <v>1655</v>
      </c>
      <c r="V1015" s="5" t="s">
        <v>2719</v>
      </c>
      <c r="W1015" s="5" t="s">
        <v>2720</v>
      </c>
    </row>
    <row r="1016" spans="1:23">
      <c r="A1016" s="5" t="s">
        <v>2691</v>
      </c>
      <c r="B1016" s="5" t="s">
        <v>2208</v>
      </c>
      <c r="C1016" s="5" t="s">
        <v>1596</v>
      </c>
      <c r="G1016" s="19" t="s">
        <v>1673</v>
      </c>
      <c r="H1016" s="5" t="s">
        <v>1756</v>
      </c>
      <c r="I1016" s="5" t="s">
        <v>1756</v>
      </c>
      <c r="L1016" s="17">
        <v>35</v>
      </c>
      <c r="M1016" s="22">
        <v>2</v>
      </c>
      <c r="N1016" s="22"/>
      <c r="O1016" s="18">
        <v>1</v>
      </c>
      <c r="P1016" s="18">
        <v>0.98</v>
      </c>
      <c r="Q1016" s="20">
        <v>0.98</v>
      </c>
      <c r="R1016" s="20">
        <f t="shared" si="27"/>
        <v>11.773217108733856</v>
      </c>
      <c r="U1016" s="5" t="s">
        <v>1655</v>
      </c>
      <c r="V1016" s="5" t="s">
        <v>2719</v>
      </c>
      <c r="W1016" s="5" t="s">
        <v>2720</v>
      </c>
    </row>
    <row r="1017" spans="1:23">
      <c r="A1017" s="5" t="s">
        <v>2691</v>
      </c>
      <c r="B1017" s="5" t="s">
        <v>2208</v>
      </c>
      <c r="C1017" s="5" t="s">
        <v>1596</v>
      </c>
      <c r="G1017" s="19" t="s">
        <v>1673</v>
      </c>
      <c r="H1017" s="5" t="s">
        <v>1373</v>
      </c>
      <c r="I1017" s="5" t="s">
        <v>1373</v>
      </c>
      <c r="J1017" s="3"/>
      <c r="K1017" s="17" t="s">
        <v>1372</v>
      </c>
      <c r="L1017" s="17">
        <v>35</v>
      </c>
      <c r="M1017" s="22">
        <v>2</v>
      </c>
      <c r="N1017" s="22"/>
      <c r="O1017" s="18">
        <v>1</v>
      </c>
      <c r="P1017" s="18">
        <v>0.57999999999999996</v>
      </c>
      <c r="Q1017" s="20">
        <v>0.57999999999999996</v>
      </c>
      <c r="R1017" s="20">
        <f t="shared" si="27"/>
        <v>3.3946088610069127</v>
      </c>
      <c r="U1017" s="5" t="s">
        <v>1655</v>
      </c>
      <c r="V1017" s="5" t="s">
        <v>2719</v>
      </c>
      <c r="W1017" s="5" t="s">
        <v>2720</v>
      </c>
    </row>
    <row r="1018" spans="1:23">
      <c r="A1018" s="5" t="s">
        <v>2691</v>
      </c>
      <c r="B1018" s="5" t="s">
        <v>2208</v>
      </c>
      <c r="C1018" s="5" t="s">
        <v>1596</v>
      </c>
      <c r="G1018" s="19" t="s">
        <v>1673</v>
      </c>
      <c r="H1018" s="5" t="s">
        <v>590</v>
      </c>
      <c r="I1018" s="5" t="s">
        <v>590</v>
      </c>
      <c r="J1018" s="3"/>
      <c r="K1018" s="17" t="s">
        <v>589</v>
      </c>
      <c r="L1018" s="17">
        <v>35</v>
      </c>
      <c r="M1018" s="22">
        <v>2</v>
      </c>
      <c r="N1018" s="22"/>
      <c r="O1018" s="18">
        <v>1</v>
      </c>
      <c r="P1018" s="18">
        <v>0.02</v>
      </c>
      <c r="Q1018" s="18">
        <v>0.02</v>
      </c>
      <c r="R1018" s="20">
        <f t="shared" si="27"/>
        <v>0.10249819488404227</v>
      </c>
      <c r="U1018" s="5" t="s">
        <v>1655</v>
      </c>
      <c r="V1018" s="5" t="s">
        <v>2719</v>
      </c>
      <c r="W1018" s="5" t="s">
        <v>2720</v>
      </c>
    </row>
    <row r="1019" spans="1:23">
      <c r="A1019" s="5" t="s">
        <v>2691</v>
      </c>
      <c r="B1019" s="5" t="s">
        <v>2208</v>
      </c>
      <c r="C1019" s="5" t="s">
        <v>1596</v>
      </c>
      <c r="G1019" s="19" t="s">
        <v>1673</v>
      </c>
      <c r="H1019" s="5" t="s">
        <v>599</v>
      </c>
      <c r="I1019" s="5" t="s">
        <v>599</v>
      </c>
      <c r="J1019" s="3" t="s">
        <v>600</v>
      </c>
      <c r="K1019" s="17" t="s">
        <v>598</v>
      </c>
      <c r="L1019" s="17">
        <v>35</v>
      </c>
      <c r="M1019" s="22">
        <v>2</v>
      </c>
      <c r="N1019" s="22"/>
      <c r="O1019" s="18">
        <v>1</v>
      </c>
      <c r="P1019" s="18">
        <v>0.96</v>
      </c>
      <c r="Q1019" s="18">
        <v>0.96</v>
      </c>
      <c r="R1019" s="20">
        <f t="shared" si="27"/>
        <v>9.9712840605216613</v>
      </c>
      <c r="U1019" s="5" t="s">
        <v>1655</v>
      </c>
      <c r="V1019" s="5" t="s">
        <v>2719</v>
      </c>
      <c r="W1019" s="5" t="s">
        <v>2720</v>
      </c>
    </row>
    <row r="1020" spans="1:23">
      <c r="A1020" s="5" t="s">
        <v>2691</v>
      </c>
      <c r="B1020" s="5" t="s">
        <v>2208</v>
      </c>
      <c r="C1020" s="5" t="s">
        <v>1596</v>
      </c>
      <c r="G1020" s="19" t="s">
        <v>1673</v>
      </c>
      <c r="H1020" s="5" t="s">
        <v>572</v>
      </c>
      <c r="I1020" s="5" t="s">
        <v>572</v>
      </c>
      <c r="J1020" s="3"/>
      <c r="K1020" s="3" t="s">
        <v>571</v>
      </c>
      <c r="L1020" s="17">
        <v>35</v>
      </c>
      <c r="M1020" s="22">
        <v>41</v>
      </c>
      <c r="N1020" s="22"/>
      <c r="O1020" s="18">
        <v>1</v>
      </c>
      <c r="P1020" s="18">
        <v>0.77</v>
      </c>
      <c r="Q1020" s="18">
        <v>0.77</v>
      </c>
      <c r="R1020" s="20">
        <f t="shared" si="27"/>
        <v>5.2283903848317648</v>
      </c>
      <c r="U1020" s="5" t="s">
        <v>1655</v>
      </c>
      <c r="V1020" s="5" t="s">
        <v>2719</v>
      </c>
      <c r="W1020" s="5" t="s">
        <v>2720</v>
      </c>
    </row>
    <row r="1021" spans="1:23">
      <c r="A1021" s="5" t="s">
        <v>2691</v>
      </c>
      <c r="B1021" s="5" t="s">
        <v>2208</v>
      </c>
      <c r="C1021" s="5" t="s">
        <v>1596</v>
      </c>
      <c r="G1021" s="19" t="s">
        <v>1673</v>
      </c>
      <c r="H1021" s="5" t="s">
        <v>1022</v>
      </c>
      <c r="I1021" s="5" t="s">
        <v>1022</v>
      </c>
      <c r="J1021" s="3" t="s">
        <v>1023</v>
      </c>
      <c r="K1021" s="5" t="s">
        <v>1021</v>
      </c>
      <c r="L1021" s="17">
        <v>35</v>
      </c>
      <c r="M1021" s="22">
        <v>41</v>
      </c>
      <c r="N1021" s="22"/>
      <c r="O1021" s="18">
        <v>1</v>
      </c>
      <c r="P1021" s="18">
        <v>0.56000000000000005</v>
      </c>
      <c r="Q1021" s="18">
        <v>0.56000000000000005</v>
      </c>
      <c r="R1021" s="20">
        <f t="shared" si="27"/>
        <v>3.2427804902665311</v>
      </c>
      <c r="U1021" s="5" t="s">
        <v>1655</v>
      </c>
      <c r="V1021" s="5" t="s">
        <v>2719</v>
      </c>
      <c r="W1021" s="5" t="s">
        <v>2720</v>
      </c>
    </row>
    <row r="1022" spans="1:23">
      <c r="A1022" s="5" t="s">
        <v>2691</v>
      </c>
      <c r="B1022" s="5" t="s">
        <v>2208</v>
      </c>
      <c r="C1022" s="5" t="s">
        <v>1596</v>
      </c>
      <c r="G1022" s="19" t="s">
        <v>1673</v>
      </c>
      <c r="H1022" s="5" t="s">
        <v>1756</v>
      </c>
      <c r="I1022" s="5" t="s">
        <v>1756</v>
      </c>
      <c r="L1022" s="17">
        <v>35</v>
      </c>
      <c r="M1022" s="22">
        <v>41</v>
      </c>
      <c r="N1022" s="22"/>
      <c r="O1022" s="18">
        <v>1</v>
      </c>
      <c r="P1022" s="18">
        <v>0.95</v>
      </c>
      <c r="Q1022" s="18">
        <v>0.95</v>
      </c>
      <c r="R1022" s="20">
        <f t="shared" si="27"/>
        <v>9.3864595609734511</v>
      </c>
      <c r="U1022" s="5" t="s">
        <v>1655</v>
      </c>
      <c r="V1022" s="5" t="s">
        <v>2719</v>
      </c>
      <c r="W1022" s="5" t="s">
        <v>2720</v>
      </c>
    </row>
    <row r="1023" spans="1:23">
      <c r="A1023" s="5" t="s">
        <v>2691</v>
      </c>
      <c r="B1023" s="5" t="s">
        <v>2208</v>
      </c>
      <c r="C1023" s="5" t="s">
        <v>1596</v>
      </c>
      <c r="G1023" s="19" t="s">
        <v>1673</v>
      </c>
      <c r="H1023" s="5" t="s">
        <v>1373</v>
      </c>
      <c r="I1023" s="5" t="s">
        <v>1373</v>
      </c>
      <c r="J1023" s="3"/>
      <c r="K1023" s="17" t="s">
        <v>1372</v>
      </c>
      <c r="L1023" s="17">
        <v>35</v>
      </c>
      <c r="M1023" s="22">
        <v>41</v>
      </c>
      <c r="N1023" s="22"/>
      <c r="O1023" s="18">
        <v>1</v>
      </c>
      <c r="P1023" s="18">
        <v>0.3</v>
      </c>
      <c r="Q1023" s="18">
        <v>0.3</v>
      </c>
      <c r="R1023" s="20">
        <f t="shared" si="27"/>
        <v>1.5860485116991563</v>
      </c>
      <c r="U1023" s="5" t="s">
        <v>1655</v>
      </c>
      <c r="V1023" s="5" t="s">
        <v>2719</v>
      </c>
      <c r="W1023" s="5" t="s">
        <v>2720</v>
      </c>
    </row>
    <row r="1024" spans="1:23">
      <c r="A1024" s="5" t="s">
        <v>2691</v>
      </c>
      <c r="B1024" s="5" t="s">
        <v>2208</v>
      </c>
      <c r="C1024" s="5" t="s">
        <v>1596</v>
      </c>
      <c r="G1024" s="19" t="s">
        <v>1673</v>
      </c>
      <c r="H1024" s="5" t="s">
        <v>590</v>
      </c>
      <c r="I1024" s="5" t="s">
        <v>590</v>
      </c>
      <c r="J1024" s="3"/>
      <c r="K1024" s="17" t="s">
        <v>589</v>
      </c>
      <c r="L1024" s="17">
        <v>35</v>
      </c>
      <c r="M1024" s="22">
        <v>41</v>
      </c>
      <c r="N1024" s="22"/>
      <c r="O1024" s="18">
        <v>1</v>
      </c>
      <c r="P1024" s="18">
        <v>0.01</v>
      </c>
      <c r="Q1024" s="18">
        <v>0.01</v>
      </c>
      <c r="R1024" s="20">
        <f t="shared" si="27"/>
        <v>5.1243971677941619E-2</v>
      </c>
      <c r="U1024" s="5" t="s">
        <v>1655</v>
      </c>
      <c r="V1024" s="5" t="s">
        <v>2719</v>
      </c>
      <c r="W1024" s="5" t="s">
        <v>2720</v>
      </c>
    </row>
    <row r="1025" spans="1:23">
      <c r="A1025" s="5" t="s">
        <v>2691</v>
      </c>
      <c r="B1025" s="5" t="s">
        <v>2208</v>
      </c>
      <c r="C1025" s="5" t="s">
        <v>1596</v>
      </c>
      <c r="G1025" s="19" t="s">
        <v>1673</v>
      </c>
      <c r="H1025" s="5" t="s">
        <v>599</v>
      </c>
      <c r="I1025" s="5" t="s">
        <v>599</v>
      </c>
      <c r="J1025" s="3" t="s">
        <v>600</v>
      </c>
      <c r="K1025" s="17" t="s">
        <v>598</v>
      </c>
      <c r="L1025" s="17">
        <v>35</v>
      </c>
      <c r="M1025" s="22">
        <v>41</v>
      </c>
      <c r="N1025" s="22"/>
      <c r="O1025" s="18">
        <v>1</v>
      </c>
      <c r="P1025" s="18">
        <v>0.91</v>
      </c>
      <c r="Q1025" s="18">
        <v>0.91</v>
      </c>
      <c r="R1025" s="20">
        <f t="shared" si="27"/>
        <v>7.8273809106737522</v>
      </c>
      <c r="U1025" s="5" t="s">
        <v>1655</v>
      </c>
      <c r="V1025" s="5" t="s">
        <v>2719</v>
      </c>
      <c r="W1025" s="5" t="s">
        <v>2720</v>
      </c>
    </row>
    <row r="1026" spans="1:23" customFormat="1">
      <c r="A1026" s="5" t="s">
        <v>2691</v>
      </c>
      <c r="B1026" s="5" t="s">
        <v>1643</v>
      </c>
      <c r="C1026" s="5" t="s">
        <v>1596</v>
      </c>
      <c r="D1026" s="3"/>
      <c r="E1026" s="3"/>
      <c r="F1026" s="5"/>
      <c r="G1026" s="3" t="s">
        <v>1644</v>
      </c>
      <c r="H1026" s="3" t="s">
        <v>228</v>
      </c>
      <c r="I1026" s="3" t="s">
        <v>228</v>
      </c>
      <c r="J1026" s="5" t="s">
        <v>2721</v>
      </c>
      <c r="K1026" s="3" t="s">
        <v>227</v>
      </c>
      <c r="L1026" s="9">
        <v>25</v>
      </c>
      <c r="M1026" s="2">
        <v>1</v>
      </c>
      <c r="N1026" s="2">
        <v>1</v>
      </c>
      <c r="O1026" s="4">
        <v>0.5</v>
      </c>
      <c r="P1026" s="4">
        <v>0.6</v>
      </c>
      <c r="Q1026" s="4">
        <f>ABS(P1026)</f>
        <v>0.6</v>
      </c>
      <c r="R1026" s="4">
        <f t="shared" si="27"/>
        <v>3.4365796023981661</v>
      </c>
      <c r="S1026" s="3"/>
      <c r="T1026" s="3"/>
      <c r="U1026" s="3" t="s">
        <v>1655</v>
      </c>
      <c r="V1026" s="3" t="s">
        <v>2722</v>
      </c>
      <c r="W1026" s="3" t="s">
        <v>2723</v>
      </c>
    </row>
    <row r="1027" spans="1:23" customFormat="1">
      <c r="A1027" s="5" t="s">
        <v>2691</v>
      </c>
      <c r="B1027" s="5" t="s">
        <v>1643</v>
      </c>
      <c r="C1027" s="5" t="s">
        <v>1596</v>
      </c>
      <c r="D1027" s="3"/>
      <c r="E1027" s="3"/>
      <c r="F1027" s="5"/>
      <c r="G1027" s="3" t="s">
        <v>1644</v>
      </c>
      <c r="H1027" s="3" t="s">
        <v>237</v>
      </c>
      <c r="I1027" s="3" t="s">
        <v>237</v>
      </c>
      <c r="J1027" s="5"/>
      <c r="K1027" s="3" t="s">
        <v>236</v>
      </c>
      <c r="L1027" s="9">
        <v>25</v>
      </c>
      <c r="M1027" s="2">
        <v>1</v>
      </c>
      <c r="N1027" s="2">
        <v>1</v>
      </c>
      <c r="O1027" s="4">
        <v>1</v>
      </c>
      <c r="P1027" s="4">
        <v>0.89</v>
      </c>
      <c r="Q1027" s="4">
        <f t="shared" ref="Q1027:Q1046" si="29">ABS(P1027)</f>
        <v>0.89</v>
      </c>
      <c r="R1027" s="4">
        <f t="shared" si="27"/>
        <v>7.0498179634839957</v>
      </c>
      <c r="S1027" s="3"/>
      <c r="T1027" s="3"/>
      <c r="U1027" s="3" t="s">
        <v>1655</v>
      </c>
      <c r="V1027" s="3" t="s">
        <v>2722</v>
      </c>
      <c r="W1027" s="3" t="s">
        <v>2723</v>
      </c>
    </row>
    <row r="1028" spans="1:23" customFormat="1">
      <c r="A1028" s="5" t="s">
        <v>2691</v>
      </c>
      <c r="B1028" s="5" t="s">
        <v>2724</v>
      </c>
      <c r="C1028" s="5" t="s">
        <v>1596</v>
      </c>
      <c r="D1028" s="3"/>
      <c r="E1028" s="3"/>
      <c r="F1028" s="5"/>
      <c r="G1028" s="3" t="s">
        <v>1644</v>
      </c>
      <c r="H1028" s="3" t="s">
        <v>228</v>
      </c>
      <c r="I1028" s="3" t="s">
        <v>228</v>
      </c>
      <c r="J1028" s="5" t="s">
        <v>2721</v>
      </c>
      <c r="K1028" s="3" t="s">
        <v>227</v>
      </c>
      <c r="L1028" s="9">
        <v>25</v>
      </c>
      <c r="M1028" s="2">
        <v>5</v>
      </c>
      <c r="N1028" s="2">
        <v>20</v>
      </c>
      <c r="O1028" s="4">
        <v>0.99</v>
      </c>
      <c r="P1028" s="4">
        <v>0.82</v>
      </c>
      <c r="Q1028" s="4">
        <f t="shared" si="29"/>
        <v>0.82</v>
      </c>
      <c r="R1028" s="4">
        <f t="shared" si="27"/>
        <v>5.7354273580071613</v>
      </c>
      <c r="S1028" s="3"/>
      <c r="T1028" s="3"/>
      <c r="U1028" s="3" t="s">
        <v>1655</v>
      </c>
      <c r="V1028" s="3" t="s">
        <v>2722</v>
      </c>
      <c r="W1028" s="3" t="s">
        <v>2723</v>
      </c>
    </row>
    <row r="1029" spans="1:23" customFormat="1">
      <c r="A1029" s="5" t="s">
        <v>2691</v>
      </c>
      <c r="B1029" s="5" t="s">
        <v>2724</v>
      </c>
      <c r="C1029" s="5" t="s">
        <v>1596</v>
      </c>
      <c r="D1029" s="3"/>
      <c r="E1029" s="3"/>
      <c r="F1029" s="5"/>
      <c r="G1029" s="3" t="s">
        <v>1644</v>
      </c>
      <c r="H1029" s="3" t="s">
        <v>228</v>
      </c>
      <c r="I1029" s="3" t="s">
        <v>228</v>
      </c>
      <c r="J1029" s="5" t="s">
        <v>2721</v>
      </c>
      <c r="K1029" s="3" t="s">
        <v>227</v>
      </c>
      <c r="L1029" s="9">
        <v>25</v>
      </c>
      <c r="M1029" s="2">
        <v>5</v>
      </c>
      <c r="N1029" s="2">
        <v>16</v>
      </c>
      <c r="O1029" s="4">
        <v>1</v>
      </c>
      <c r="P1029" s="4">
        <v>0.87</v>
      </c>
      <c r="Q1029" s="4">
        <f t="shared" si="29"/>
        <v>0.87</v>
      </c>
      <c r="R1029" s="4">
        <f t="shared" si="27"/>
        <v>6.6093239535169408</v>
      </c>
      <c r="S1029" s="3"/>
      <c r="T1029" s="3"/>
      <c r="U1029" s="3" t="s">
        <v>1655</v>
      </c>
      <c r="V1029" s="3" t="s">
        <v>2722</v>
      </c>
      <c r="W1029" s="3" t="s">
        <v>2723</v>
      </c>
    </row>
    <row r="1030" spans="1:23" customFormat="1">
      <c r="A1030" s="5" t="s">
        <v>2691</v>
      </c>
      <c r="B1030" s="5" t="s">
        <v>2724</v>
      </c>
      <c r="C1030" s="5" t="s">
        <v>1596</v>
      </c>
      <c r="D1030" s="3"/>
      <c r="E1030" s="3"/>
      <c r="F1030" s="5"/>
      <c r="G1030" s="3" t="s">
        <v>1644</v>
      </c>
      <c r="H1030" s="3" t="s">
        <v>237</v>
      </c>
      <c r="I1030" s="3" t="s">
        <v>237</v>
      </c>
      <c r="J1030" s="5"/>
      <c r="K1030" s="3" t="s">
        <v>236</v>
      </c>
      <c r="L1030" s="9">
        <v>25</v>
      </c>
      <c r="M1030" s="2">
        <v>5</v>
      </c>
      <c r="N1030" s="2">
        <v>16</v>
      </c>
      <c r="O1030" s="4">
        <v>1</v>
      </c>
      <c r="P1030" s="4">
        <v>0.7</v>
      </c>
      <c r="Q1030" s="4">
        <f t="shared" si="29"/>
        <v>0.7</v>
      </c>
      <c r="R1030" s="4">
        <f t="shared" si="27"/>
        <v>4.300020812628528</v>
      </c>
      <c r="S1030" s="3"/>
      <c r="T1030" s="3"/>
      <c r="U1030" s="3" t="s">
        <v>1655</v>
      </c>
      <c r="V1030" s="3" t="s">
        <v>2722</v>
      </c>
      <c r="W1030" s="3" t="s">
        <v>2723</v>
      </c>
    </row>
    <row r="1031" spans="1:23" customFormat="1">
      <c r="A1031" s="5" t="s">
        <v>2691</v>
      </c>
      <c r="B1031" s="5" t="s">
        <v>1643</v>
      </c>
      <c r="C1031" s="5" t="s">
        <v>1596</v>
      </c>
      <c r="D1031" s="3"/>
      <c r="E1031" s="3"/>
      <c r="F1031" s="5"/>
      <c r="G1031" s="3" t="s">
        <v>1644</v>
      </c>
      <c r="H1031" s="3" t="s">
        <v>228</v>
      </c>
      <c r="I1031" s="3" t="s">
        <v>228</v>
      </c>
      <c r="J1031" s="5" t="s">
        <v>2721</v>
      </c>
      <c r="K1031" s="3" t="s">
        <v>227</v>
      </c>
      <c r="L1031" s="9">
        <v>20</v>
      </c>
      <c r="M1031" s="2">
        <v>1</v>
      </c>
      <c r="N1031" s="2">
        <v>16</v>
      </c>
      <c r="O1031" s="4">
        <v>1</v>
      </c>
      <c r="P1031" s="4">
        <v>0.63</v>
      </c>
      <c r="Q1031" s="4">
        <f t="shared" si="29"/>
        <v>0.63</v>
      </c>
      <c r="R1031" s="4">
        <f t="shared" si="27"/>
        <v>3.6142490059177237</v>
      </c>
      <c r="S1031" s="3" t="s">
        <v>1617</v>
      </c>
      <c r="T1031" s="3"/>
      <c r="U1031" s="3" t="s">
        <v>1655</v>
      </c>
      <c r="V1031" s="5" t="s">
        <v>2725</v>
      </c>
      <c r="W1031" s="3" t="s">
        <v>2726</v>
      </c>
    </row>
    <row r="1032" spans="1:23" customFormat="1">
      <c r="A1032" s="5" t="s">
        <v>2691</v>
      </c>
      <c r="B1032" s="5" t="s">
        <v>1643</v>
      </c>
      <c r="C1032" s="5" t="s">
        <v>1596</v>
      </c>
      <c r="D1032" s="3"/>
      <c r="E1032" s="3"/>
      <c r="F1032" s="5"/>
      <c r="G1032" s="3" t="s">
        <v>1644</v>
      </c>
      <c r="H1032" s="3" t="s">
        <v>237</v>
      </c>
      <c r="I1032" s="3" t="s">
        <v>237</v>
      </c>
      <c r="J1032" s="5"/>
      <c r="K1032" s="3" t="s">
        <v>236</v>
      </c>
      <c r="L1032" s="9">
        <v>20</v>
      </c>
      <c r="M1032" s="2">
        <v>1</v>
      </c>
      <c r="N1032" s="2">
        <v>16</v>
      </c>
      <c r="O1032" s="4">
        <v>1</v>
      </c>
      <c r="P1032" s="4">
        <v>0.88</v>
      </c>
      <c r="Q1032" s="4">
        <f t="shared" si="29"/>
        <v>0.88</v>
      </c>
      <c r="R1032" s="4">
        <f t="shared" si="27"/>
        <v>6.7065802716182183</v>
      </c>
      <c r="S1032" s="3" t="s">
        <v>1617</v>
      </c>
      <c r="T1032" s="3"/>
      <c r="U1032" s="3" t="s">
        <v>1655</v>
      </c>
      <c r="V1032" s="5" t="s">
        <v>2725</v>
      </c>
      <c r="W1032" s="3" t="s">
        <v>2726</v>
      </c>
    </row>
    <row r="1033" spans="1:23">
      <c r="A1033" s="5" t="s">
        <v>2691</v>
      </c>
      <c r="B1033" s="5" t="s">
        <v>2208</v>
      </c>
      <c r="C1033" s="5" t="s">
        <v>1596</v>
      </c>
      <c r="G1033" s="3" t="s">
        <v>1644</v>
      </c>
      <c r="H1033" s="3" t="s">
        <v>228</v>
      </c>
      <c r="I1033" s="3" t="s">
        <v>228</v>
      </c>
      <c r="J1033" s="5" t="s">
        <v>2721</v>
      </c>
      <c r="K1033" s="3" t="s">
        <v>227</v>
      </c>
      <c r="L1033" s="17">
        <v>20</v>
      </c>
      <c r="M1033" s="22">
        <v>1</v>
      </c>
      <c r="N1033" s="22">
        <v>16</v>
      </c>
      <c r="O1033" s="18">
        <v>1</v>
      </c>
      <c r="P1033" s="18">
        <v>0.97</v>
      </c>
      <c r="Q1033" s="18">
        <f t="shared" si="29"/>
        <v>0.97</v>
      </c>
      <c r="R1033" s="18">
        <f t="shared" si="27"/>
        <v>10.199505077668341</v>
      </c>
      <c r="S1033" s="5" t="s">
        <v>1617</v>
      </c>
      <c r="U1033" s="3" t="s">
        <v>1655</v>
      </c>
      <c r="V1033" s="5" t="s">
        <v>2725</v>
      </c>
      <c r="W1033" s="3" t="s">
        <v>2726</v>
      </c>
    </row>
    <row r="1034" spans="1:23">
      <c r="A1034" s="5" t="s">
        <v>2691</v>
      </c>
      <c r="B1034" s="5" t="s">
        <v>2208</v>
      </c>
      <c r="C1034" s="5" t="s">
        <v>1596</v>
      </c>
      <c r="G1034" s="3" t="s">
        <v>1644</v>
      </c>
      <c r="H1034" s="3" t="s">
        <v>237</v>
      </c>
      <c r="I1034" s="3" t="s">
        <v>237</v>
      </c>
      <c r="K1034" s="3" t="s">
        <v>236</v>
      </c>
      <c r="L1034" s="17">
        <v>20</v>
      </c>
      <c r="M1034" s="22">
        <v>1</v>
      </c>
      <c r="N1034" s="22">
        <v>16</v>
      </c>
      <c r="O1034" s="18">
        <v>1</v>
      </c>
      <c r="P1034" s="18">
        <v>0.96</v>
      </c>
      <c r="Q1034" s="18">
        <f t="shared" si="29"/>
        <v>0.96</v>
      </c>
      <c r="R1034" s="18">
        <f t="shared" si="27"/>
        <v>9.4859059624920494</v>
      </c>
      <c r="S1034" s="5" t="s">
        <v>1617</v>
      </c>
      <c r="U1034" s="3" t="s">
        <v>1655</v>
      </c>
      <c r="V1034" s="5" t="s">
        <v>2725</v>
      </c>
      <c r="W1034" s="3" t="s">
        <v>2726</v>
      </c>
    </row>
    <row r="1035" spans="1:23">
      <c r="A1035" s="5" t="s">
        <v>2691</v>
      </c>
      <c r="B1035" s="5" t="s">
        <v>2724</v>
      </c>
      <c r="C1035" s="5" t="s">
        <v>1596</v>
      </c>
      <c r="G1035" s="3" t="s">
        <v>1644</v>
      </c>
      <c r="H1035" s="3" t="s">
        <v>228</v>
      </c>
      <c r="I1035" s="3" t="s">
        <v>228</v>
      </c>
      <c r="J1035" s="5" t="s">
        <v>2721</v>
      </c>
      <c r="K1035" s="3" t="s">
        <v>227</v>
      </c>
      <c r="L1035" s="17">
        <v>20</v>
      </c>
      <c r="M1035" s="22">
        <v>20</v>
      </c>
      <c r="N1035" s="22">
        <v>16</v>
      </c>
      <c r="O1035" s="18">
        <v>0.99</v>
      </c>
      <c r="P1035" s="18">
        <v>0.83</v>
      </c>
      <c r="Q1035" s="18">
        <f t="shared" si="29"/>
        <v>0.83</v>
      </c>
      <c r="R1035" s="18">
        <f t="shared" si="27"/>
        <v>5.791917066753161</v>
      </c>
      <c r="S1035" s="5" t="s">
        <v>1617</v>
      </c>
      <c r="U1035" s="3" t="s">
        <v>1655</v>
      </c>
      <c r="V1035" s="5" t="s">
        <v>2725</v>
      </c>
      <c r="W1035" s="3" t="s">
        <v>2726</v>
      </c>
    </row>
    <row r="1036" spans="1:23">
      <c r="A1036" s="5" t="s">
        <v>2691</v>
      </c>
      <c r="B1036" s="5" t="s">
        <v>2724</v>
      </c>
      <c r="C1036" s="5" t="s">
        <v>1596</v>
      </c>
      <c r="G1036" s="3" t="s">
        <v>1644</v>
      </c>
      <c r="H1036" s="3" t="s">
        <v>237</v>
      </c>
      <c r="I1036" s="3" t="s">
        <v>237</v>
      </c>
      <c r="K1036" s="3" t="s">
        <v>236</v>
      </c>
      <c r="L1036" s="17">
        <v>20</v>
      </c>
      <c r="M1036" s="22">
        <v>20</v>
      </c>
      <c r="N1036" s="22">
        <v>16</v>
      </c>
      <c r="O1036" s="18">
        <v>1</v>
      </c>
      <c r="P1036" s="18">
        <v>0.62</v>
      </c>
      <c r="Q1036" s="18">
        <f t="shared" si="29"/>
        <v>0.62</v>
      </c>
      <c r="R1036" s="18">
        <f t="shared" si="27"/>
        <v>3.5342485304843119</v>
      </c>
      <c r="S1036" s="5" t="s">
        <v>1617</v>
      </c>
      <c r="U1036" s="3" t="s">
        <v>1655</v>
      </c>
      <c r="V1036" s="5" t="s">
        <v>2725</v>
      </c>
      <c r="W1036" s="3" t="s">
        <v>2726</v>
      </c>
    </row>
    <row r="1037" spans="1:23">
      <c r="A1037" s="5" t="s">
        <v>2691</v>
      </c>
      <c r="B1037" s="5" t="s">
        <v>1643</v>
      </c>
      <c r="C1037" s="5" t="s">
        <v>1596</v>
      </c>
      <c r="G1037" s="3" t="s">
        <v>1644</v>
      </c>
      <c r="H1037" s="5" t="s">
        <v>2727</v>
      </c>
      <c r="I1037" s="5" t="s">
        <v>2727</v>
      </c>
      <c r="K1037" s="5" t="s">
        <v>2728</v>
      </c>
      <c r="L1037" s="17">
        <v>25</v>
      </c>
      <c r="M1037" s="22">
        <v>1</v>
      </c>
      <c r="N1037" s="22">
        <v>18</v>
      </c>
      <c r="O1037" s="18">
        <v>0.97</v>
      </c>
      <c r="P1037" s="18">
        <v>0.25</v>
      </c>
      <c r="Q1037" s="18">
        <f t="shared" si="29"/>
        <v>0.25</v>
      </c>
      <c r="R1037" s="18">
        <f t="shared" si="27"/>
        <v>1.2663204642904144</v>
      </c>
      <c r="S1037" s="5" t="s">
        <v>1597</v>
      </c>
      <c r="U1037" s="5" t="s">
        <v>1655</v>
      </c>
      <c r="V1037" s="5" t="s">
        <v>2729</v>
      </c>
      <c r="W1037" s="5" t="s">
        <v>2730</v>
      </c>
    </row>
    <row r="1038" spans="1:23">
      <c r="A1038" s="5" t="s">
        <v>2691</v>
      </c>
      <c r="B1038" s="5" t="s">
        <v>1643</v>
      </c>
      <c r="C1038" s="5" t="s">
        <v>1596</v>
      </c>
      <c r="G1038" s="3" t="s">
        <v>1644</v>
      </c>
      <c r="H1038" s="5" t="s">
        <v>860</v>
      </c>
      <c r="I1038" s="5" t="s">
        <v>860</v>
      </c>
      <c r="K1038" s="5" t="s">
        <v>859</v>
      </c>
      <c r="L1038" s="17">
        <v>25</v>
      </c>
      <c r="M1038" s="22">
        <v>1</v>
      </c>
      <c r="N1038" s="22">
        <v>66</v>
      </c>
      <c r="O1038" s="18">
        <v>0.99</v>
      </c>
      <c r="P1038" s="18">
        <v>0.08</v>
      </c>
      <c r="Q1038" s="18">
        <f t="shared" si="29"/>
        <v>0.08</v>
      </c>
      <c r="R1038" s="18">
        <f t="shared" si="27"/>
        <v>0.39748432663153133</v>
      </c>
      <c r="S1038" s="5" t="s">
        <v>1597</v>
      </c>
      <c r="U1038" s="5" t="s">
        <v>1655</v>
      </c>
      <c r="V1038" s="5" t="s">
        <v>2729</v>
      </c>
      <c r="W1038" s="5" t="s">
        <v>2730</v>
      </c>
    </row>
    <row r="1039" spans="1:23">
      <c r="A1039" s="5" t="s">
        <v>2691</v>
      </c>
      <c r="B1039" s="5" t="s">
        <v>1643</v>
      </c>
      <c r="C1039" s="5" t="s">
        <v>1596</v>
      </c>
      <c r="G1039" s="3" t="s">
        <v>1644</v>
      </c>
      <c r="H1039" s="5" t="s">
        <v>237</v>
      </c>
      <c r="I1039" s="5" t="s">
        <v>237</v>
      </c>
      <c r="K1039" s="3" t="s">
        <v>236</v>
      </c>
      <c r="L1039" s="17">
        <v>25</v>
      </c>
      <c r="M1039" s="17">
        <v>1</v>
      </c>
      <c r="N1039" s="22">
        <v>17.5</v>
      </c>
      <c r="O1039" s="18">
        <v>0.98</v>
      </c>
      <c r="P1039" s="18">
        <v>0.87</v>
      </c>
      <c r="Q1039" s="18">
        <f t="shared" si="29"/>
        <v>0.87</v>
      </c>
      <c r="R1039" s="18">
        <f t="shared" si="27"/>
        <v>6.6093239535169408</v>
      </c>
      <c r="S1039" s="5" t="s">
        <v>1597</v>
      </c>
      <c r="U1039" s="5" t="s">
        <v>1655</v>
      </c>
      <c r="V1039" s="5" t="s">
        <v>2729</v>
      </c>
      <c r="W1039" s="5" t="s">
        <v>2730</v>
      </c>
    </row>
    <row r="1040" spans="1:23">
      <c r="A1040" s="5" t="s">
        <v>2691</v>
      </c>
      <c r="B1040" s="5" t="s">
        <v>1643</v>
      </c>
      <c r="C1040" s="5" t="s">
        <v>1596</v>
      </c>
      <c r="G1040" s="3" t="s">
        <v>1644</v>
      </c>
      <c r="H1040" s="5" t="s">
        <v>237</v>
      </c>
      <c r="I1040" s="5" t="s">
        <v>237</v>
      </c>
      <c r="K1040" s="3" t="s">
        <v>236</v>
      </c>
      <c r="L1040" s="17">
        <v>25</v>
      </c>
      <c r="M1040" s="17">
        <v>10</v>
      </c>
      <c r="N1040" s="22">
        <v>18</v>
      </c>
      <c r="O1040" s="18">
        <v>0.99</v>
      </c>
      <c r="P1040" s="18">
        <v>0.82</v>
      </c>
      <c r="Q1040" s="18">
        <f t="shared" si="29"/>
        <v>0.82</v>
      </c>
      <c r="R1040" s="18">
        <f t="shared" si="27"/>
        <v>5.7354273580071613</v>
      </c>
      <c r="S1040" s="5" t="s">
        <v>1597</v>
      </c>
      <c r="U1040" s="5" t="s">
        <v>1655</v>
      </c>
      <c r="V1040" s="5" t="s">
        <v>2729</v>
      </c>
      <c r="W1040" s="5" t="s">
        <v>2730</v>
      </c>
    </row>
    <row r="1041" spans="1:23">
      <c r="A1041" s="5" t="s">
        <v>2691</v>
      </c>
      <c r="B1041" s="5" t="s">
        <v>1643</v>
      </c>
      <c r="C1041" s="5" t="s">
        <v>1596</v>
      </c>
      <c r="G1041" s="3" t="s">
        <v>1644</v>
      </c>
      <c r="H1041" s="5" t="s">
        <v>237</v>
      </c>
      <c r="I1041" s="5" t="s">
        <v>237</v>
      </c>
      <c r="K1041" s="3" t="s">
        <v>236</v>
      </c>
      <c r="L1041" s="17">
        <v>5</v>
      </c>
      <c r="M1041" s="17">
        <v>1</v>
      </c>
      <c r="N1041" s="22">
        <v>19</v>
      </c>
      <c r="O1041" s="18">
        <v>0.99</v>
      </c>
      <c r="P1041" s="18">
        <v>0.9</v>
      </c>
      <c r="Q1041" s="18">
        <f t="shared" si="29"/>
        <v>0.9</v>
      </c>
      <c r="R1041" s="18">
        <f t="shared" si="27"/>
        <v>6.809539764737508</v>
      </c>
      <c r="S1041" s="5" t="s">
        <v>1597</v>
      </c>
      <c r="U1041" s="5" t="s">
        <v>1655</v>
      </c>
      <c r="V1041" s="5" t="s">
        <v>2729</v>
      </c>
      <c r="W1041" s="5" t="s">
        <v>2730</v>
      </c>
    </row>
    <row r="1042" spans="1:23">
      <c r="A1042" s="5" t="s">
        <v>2691</v>
      </c>
      <c r="B1042" s="5" t="s">
        <v>1643</v>
      </c>
      <c r="C1042" s="5" t="s">
        <v>1596</v>
      </c>
      <c r="G1042" s="3" t="s">
        <v>1644</v>
      </c>
      <c r="H1042" s="5" t="s">
        <v>228</v>
      </c>
      <c r="I1042" s="5" t="s">
        <v>228</v>
      </c>
      <c r="J1042" s="5" t="s">
        <v>2721</v>
      </c>
      <c r="K1042" s="3" t="s">
        <v>227</v>
      </c>
      <c r="L1042" s="17">
        <v>25</v>
      </c>
      <c r="M1042" s="17">
        <v>1</v>
      </c>
      <c r="N1042" s="22">
        <v>20.5</v>
      </c>
      <c r="O1042" s="18">
        <v>0.99</v>
      </c>
      <c r="P1042" s="18">
        <v>0.6</v>
      </c>
      <c r="Q1042" s="18">
        <f t="shared" si="29"/>
        <v>0.6</v>
      </c>
      <c r="R1042" s="18">
        <f t="shared" si="27"/>
        <v>3.4365796023981661</v>
      </c>
      <c r="S1042" s="5" t="s">
        <v>1597</v>
      </c>
      <c r="U1042" s="5" t="s">
        <v>1655</v>
      </c>
      <c r="V1042" s="5" t="s">
        <v>2729</v>
      </c>
      <c r="W1042" s="5" t="s">
        <v>2730</v>
      </c>
    </row>
    <row r="1043" spans="1:23">
      <c r="A1043" s="5" t="s">
        <v>2691</v>
      </c>
      <c r="B1043" s="5" t="s">
        <v>2724</v>
      </c>
      <c r="C1043" s="5" t="s">
        <v>1596</v>
      </c>
      <c r="G1043" s="3" t="s">
        <v>1644</v>
      </c>
      <c r="H1043" s="5" t="s">
        <v>2727</v>
      </c>
      <c r="I1043" s="5" t="s">
        <v>2727</v>
      </c>
      <c r="K1043" s="5" t="s">
        <v>2728</v>
      </c>
      <c r="L1043" s="17">
        <v>25</v>
      </c>
      <c r="M1043" s="17">
        <v>5</v>
      </c>
      <c r="N1043" s="22">
        <v>21</v>
      </c>
      <c r="O1043" s="18">
        <v>0.99</v>
      </c>
      <c r="P1043" s="18">
        <v>0.51</v>
      </c>
      <c r="Q1043" s="18">
        <f t="shared" si="29"/>
        <v>0.51</v>
      </c>
      <c r="R1043" s="18">
        <f t="shared" si="27"/>
        <v>2.7899783786981351</v>
      </c>
      <c r="S1043" s="5" t="s">
        <v>1597</v>
      </c>
      <c r="U1043" s="5" t="s">
        <v>1655</v>
      </c>
      <c r="V1043" s="5" t="s">
        <v>2729</v>
      </c>
      <c r="W1043" s="5" t="s">
        <v>2730</v>
      </c>
    </row>
    <row r="1044" spans="1:23">
      <c r="A1044" s="5" t="s">
        <v>2691</v>
      </c>
      <c r="B1044" s="5" t="s">
        <v>2724</v>
      </c>
      <c r="C1044" s="5" t="s">
        <v>1596</v>
      </c>
      <c r="G1044" s="3" t="s">
        <v>1644</v>
      </c>
      <c r="H1044" s="5" t="s">
        <v>860</v>
      </c>
      <c r="I1044" s="5" t="s">
        <v>860</v>
      </c>
      <c r="K1044" s="5" t="s">
        <v>859</v>
      </c>
      <c r="L1044" s="17">
        <v>25</v>
      </c>
      <c r="M1044" s="17">
        <v>5</v>
      </c>
      <c r="N1044" s="22">
        <v>18</v>
      </c>
      <c r="O1044" s="18">
        <v>0.99</v>
      </c>
      <c r="P1044" s="18">
        <v>0.31</v>
      </c>
      <c r="Q1044" s="18">
        <f t="shared" si="29"/>
        <v>0.31</v>
      </c>
      <c r="R1044" s="18">
        <f t="shared" si="27"/>
        <v>1.5892437366037468</v>
      </c>
      <c r="S1044" s="5" t="s">
        <v>1597</v>
      </c>
      <c r="U1044" s="5" t="s">
        <v>1655</v>
      </c>
      <c r="V1044" s="5" t="s">
        <v>2729</v>
      </c>
      <c r="W1044" s="5" t="s">
        <v>2730</v>
      </c>
    </row>
    <row r="1045" spans="1:23">
      <c r="A1045" s="5" t="s">
        <v>2691</v>
      </c>
      <c r="B1045" s="5" t="s">
        <v>2724</v>
      </c>
      <c r="C1045" s="5" t="s">
        <v>1596</v>
      </c>
      <c r="G1045" s="3" t="s">
        <v>1644</v>
      </c>
      <c r="H1045" s="5" t="s">
        <v>237</v>
      </c>
      <c r="I1045" s="5" t="s">
        <v>237</v>
      </c>
      <c r="K1045" s="3" t="s">
        <v>236</v>
      </c>
      <c r="L1045" s="17">
        <v>25</v>
      </c>
      <c r="M1045" s="17">
        <v>5</v>
      </c>
      <c r="N1045" s="22">
        <v>20.5</v>
      </c>
      <c r="O1045" s="18">
        <v>0.98</v>
      </c>
      <c r="P1045" s="18">
        <v>0.66</v>
      </c>
      <c r="Q1045" s="18">
        <f t="shared" si="29"/>
        <v>0.66</v>
      </c>
      <c r="R1045" s="18">
        <f t="shared" si="27"/>
        <v>3.9307195242247386</v>
      </c>
      <c r="S1045" s="5" t="s">
        <v>1597</v>
      </c>
      <c r="U1045" s="5" t="s">
        <v>1655</v>
      </c>
      <c r="V1045" s="5" t="s">
        <v>2729</v>
      </c>
      <c r="W1045" s="5" t="s">
        <v>2730</v>
      </c>
    </row>
    <row r="1046" spans="1:23">
      <c r="A1046" s="5" t="s">
        <v>2691</v>
      </c>
      <c r="B1046" s="5" t="s">
        <v>2724</v>
      </c>
      <c r="C1046" s="5" t="s">
        <v>1596</v>
      </c>
      <c r="G1046" s="3" t="s">
        <v>1644</v>
      </c>
      <c r="H1046" s="5" t="s">
        <v>228</v>
      </c>
      <c r="I1046" s="5" t="s">
        <v>228</v>
      </c>
      <c r="J1046" s="5" t="s">
        <v>2721</v>
      </c>
      <c r="K1046" s="3" t="s">
        <v>227</v>
      </c>
      <c r="L1046" s="17">
        <v>25</v>
      </c>
      <c r="M1046" s="17">
        <v>5</v>
      </c>
      <c r="N1046" s="22">
        <v>0.2</v>
      </c>
      <c r="O1046" s="18">
        <v>0.99</v>
      </c>
      <c r="P1046" s="18">
        <v>0.82</v>
      </c>
      <c r="Q1046" s="18">
        <f t="shared" si="29"/>
        <v>0.82</v>
      </c>
      <c r="R1046" s="18">
        <f t="shared" si="27"/>
        <v>5.7354273580071613</v>
      </c>
      <c r="S1046" s="5" t="s">
        <v>1597</v>
      </c>
      <c r="U1046" s="5" t="s">
        <v>1655</v>
      </c>
      <c r="V1046" s="5" t="s">
        <v>2729</v>
      </c>
      <c r="W1046" s="5" t="s">
        <v>2730</v>
      </c>
    </row>
    <row r="1047" spans="1:23">
      <c r="G1047" s="3"/>
      <c r="K1047" s="3"/>
    </row>
  </sheetData>
  <autoFilter ref="A1:W1" xr:uid="{B76B14AD-2602-4287-AE52-CA062F5B8468}"/>
  <phoneticPr fontId="2" type="noConversion"/>
  <conditionalFormatting sqref="K330">
    <cfRule type="duplicateValues" dxfId="14" priority="16"/>
  </conditionalFormatting>
  <conditionalFormatting sqref="K878">
    <cfRule type="duplicateValues" dxfId="13" priority="15"/>
  </conditionalFormatting>
  <conditionalFormatting sqref="K905">
    <cfRule type="duplicateValues" dxfId="12" priority="14"/>
  </conditionalFormatting>
  <conditionalFormatting sqref="K958">
    <cfRule type="duplicateValues" dxfId="11" priority="13"/>
  </conditionalFormatting>
  <conditionalFormatting sqref="K964">
    <cfRule type="duplicateValues" dxfId="10" priority="11"/>
  </conditionalFormatting>
  <conditionalFormatting sqref="K1001">
    <cfRule type="duplicateValues" dxfId="9" priority="7"/>
  </conditionalFormatting>
  <conditionalFormatting sqref="K1002">
    <cfRule type="duplicateValues" dxfId="8" priority="6"/>
  </conditionalFormatting>
  <conditionalFormatting sqref="K1003">
    <cfRule type="duplicateValues" dxfId="7" priority="5"/>
  </conditionalFormatting>
  <conditionalFormatting sqref="K1004">
    <cfRule type="duplicateValues" dxfId="6" priority="4"/>
  </conditionalFormatting>
  <conditionalFormatting sqref="K1009">
    <cfRule type="duplicateValues" dxfId="5" priority="3"/>
  </conditionalFormatting>
  <conditionalFormatting sqref="K1014">
    <cfRule type="duplicateValues" dxfId="4" priority="2"/>
  </conditionalFormatting>
  <conditionalFormatting sqref="K1020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14E3-5A43-4209-8484-C9A38BA7C3C8}">
  <dimension ref="A1:C102"/>
  <sheetViews>
    <sheetView workbookViewId="0">
      <selection activeCell="M1" sqref="M1"/>
    </sheetView>
  </sheetViews>
  <sheetFormatPr defaultRowHeight="14.4"/>
  <cols>
    <col min="1" max="4" width="22.5546875" customWidth="1"/>
  </cols>
  <sheetData>
    <row r="1" spans="1:3">
      <c r="A1" t="s">
        <v>2731</v>
      </c>
      <c r="B1" t="s">
        <v>2732</v>
      </c>
      <c r="C1" t="s">
        <v>2733</v>
      </c>
    </row>
    <row r="2" spans="1:3">
      <c r="A2" t="s">
        <v>2734</v>
      </c>
      <c r="B2">
        <v>2</v>
      </c>
      <c r="C2">
        <v>0</v>
      </c>
    </row>
    <row r="3" spans="1:3">
      <c r="A3" t="s">
        <v>2735</v>
      </c>
      <c r="B3">
        <v>2</v>
      </c>
      <c r="C3">
        <v>0</v>
      </c>
    </row>
    <row r="4" spans="1:3">
      <c r="A4" t="s">
        <v>2736</v>
      </c>
      <c r="B4">
        <v>1</v>
      </c>
      <c r="C4">
        <v>0</v>
      </c>
    </row>
    <row r="5" spans="1:3">
      <c r="A5" t="s">
        <v>2737</v>
      </c>
      <c r="B5">
        <v>1</v>
      </c>
      <c r="C5">
        <v>0</v>
      </c>
    </row>
    <row r="6" spans="1:3">
      <c r="A6" t="s">
        <v>2738</v>
      </c>
      <c r="B6">
        <v>0</v>
      </c>
      <c r="C6">
        <v>1</v>
      </c>
    </row>
    <row r="7" spans="1:3">
      <c r="A7" t="s">
        <v>2739</v>
      </c>
      <c r="B7">
        <v>0</v>
      </c>
      <c r="C7">
        <v>1</v>
      </c>
    </row>
    <row r="8" spans="1:3">
      <c r="A8" t="s">
        <v>2740</v>
      </c>
      <c r="B8">
        <v>0</v>
      </c>
      <c r="C8">
        <v>1</v>
      </c>
    </row>
    <row r="9" spans="1:3">
      <c r="A9" t="s">
        <v>2741</v>
      </c>
      <c r="B9">
        <v>0</v>
      </c>
      <c r="C9">
        <v>1</v>
      </c>
    </row>
    <row r="10" spans="1:3">
      <c r="A10" t="s">
        <v>2742</v>
      </c>
      <c r="B10">
        <v>0</v>
      </c>
      <c r="C10">
        <v>1</v>
      </c>
    </row>
    <row r="11" spans="1:3">
      <c r="A11" t="s">
        <v>2743</v>
      </c>
      <c r="B11">
        <v>0</v>
      </c>
      <c r="C11">
        <v>1</v>
      </c>
    </row>
    <row r="12" spans="1:3">
      <c r="A12" t="s">
        <v>2744</v>
      </c>
      <c r="B12">
        <v>0</v>
      </c>
      <c r="C12">
        <v>1</v>
      </c>
    </row>
    <row r="13" spans="1:3">
      <c r="A13" t="s">
        <v>2745</v>
      </c>
      <c r="B13">
        <v>0</v>
      </c>
      <c r="C13">
        <v>1</v>
      </c>
    </row>
    <row r="14" spans="1:3">
      <c r="A14" t="s">
        <v>2746</v>
      </c>
      <c r="B14">
        <v>0</v>
      </c>
      <c r="C14">
        <v>1</v>
      </c>
    </row>
    <row r="15" spans="1:3">
      <c r="A15" t="s">
        <v>2747</v>
      </c>
      <c r="B15">
        <v>0</v>
      </c>
      <c r="C15">
        <v>1</v>
      </c>
    </row>
    <row r="16" spans="1:3">
      <c r="A16" t="s">
        <v>2748</v>
      </c>
      <c r="B16">
        <v>0</v>
      </c>
      <c r="C16">
        <v>1</v>
      </c>
    </row>
    <row r="17" spans="1:3">
      <c r="A17" t="s">
        <v>2749</v>
      </c>
      <c r="B17">
        <v>0</v>
      </c>
      <c r="C17">
        <v>1</v>
      </c>
    </row>
    <row r="18" spans="1:3">
      <c r="A18" t="s">
        <v>2750</v>
      </c>
      <c r="B18">
        <v>1</v>
      </c>
      <c r="C18">
        <v>1</v>
      </c>
    </row>
    <row r="19" spans="1:3">
      <c r="A19" t="s">
        <v>2751</v>
      </c>
      <c r="B19">
        <v>1</v>
      </c>
      <c r="C19">
        <v>1</v>
      </c>
    </row>
    <row r="20" spans="1:3">
      <c r="A20" t="s">
        <v>2752</v>
      </c>
      <c r="B20">
        <v>1</v>
      </c>
      <c r="C20">
        <v>0</v>
      </c>
    </row>
    <row r="21" spans="1:3">
      <c r="A21" t="s">
        <v>2753</v>
      </c>
      <c r="B21">
        <v>1</v>
      </c>
      <c r="C21">
        <v>0</v>
      </c>
    </row>
    <row r="22" spans="1:3">
      <c r="A22" t="s">
        <v>2754</v>
      </c>
      <c r="B22">
        <v>0</v>
      </c>
      <c r="C22">
        <v>1</v>
      </c>
    </row>
    <row r="23" spans="1:3">
      <c r="A23" t="s">
        <v>2755</v>
      </c>
      <c r="B23">
        <v>0</v>
      </c>
      <c r="C23">
        <v>1</v>
      </c>
    </row>
    <row r="24" spans="1:3">
      <c r="A24" t="s">
        <v>2756</v>
      </c>
      <c r="B24">
        <v>0</v>
      </c>
      <c r="C24">
        <v>1</v>
      </c>
    </row>
    <row r="25" spans="1:3">
      <c r="A25" t="s">
        <v>2757</v>
      </c>
      <c r="B25">
        <v>0</v>
      </c>
      <c r="C25">
        <v>1</v>
      </c>
    </row>
    <row r="26" spans="1:3">
      <c r="A26" t="s">
        <v>2758</v>
      </c>
      <c r="B26">
        <v>0</v>
      </c>
      <c r="C26">
        <v>1</v>
      </c>
    </row>
    <row r="27" spans="1:3">
      <c r="A27" t="s">
        <v>2759</v>
      </c>
      <c r="B27">
        <v>0</v>
      </c>
      <c r="C27">
        <v>1</v>
      </c>
    </row>
    <row r="28" spans="1:3">
      <c r="A28" t="s">
        <v>2760</v>
      </c>
      <c r="B28">
        <v>0</v>
      </c>
      <c r="C28">
        <v>1</v>
      </c>
    </row>
    <row r="29" spans="1:3">
      <c r="A29" t="s">
        <v>2761</v>
      </c>
      <c r="B29">
        <v>2</v>
      </c>
      <c r="C29">
        <v>1</v>
      </c>
    </row>
    <row r="30" spans="1:3">
      <c r="A30" t="s">
        <v>2762</v>
      </c>
      <c r="B30">
        <v>2</v>
      </c>
      <c r="C30">
        <v>1</v>
      </c>
    </row>
    <row r="31" spans="1:3">
      <c r="A31" t="s">
        <v>2763</v>
      </c>
      <c r="B31">
        <v>2</v>
      </c>
      <c r="C31">
        <v>1</v>
      </c>
    </row>
    <row r="32" spans="1:3">
      <c r="A32" t="s">
        <v>2764</v>
      </c>
      <c r="B32">
        <v>1</v>
      </c>
      <c r="C32">
        <v>1</v>
      </c>
    </row>
    <row r="33" spans="1:3">
      <c r="A33" t="s">
        <v>2765</v>
      </c>
      <c r="B33">
        <v>2</v>
      </c>
      <c r="C33">
        <v>1</v>
      </c>
    </row>
    <row r="34" spans="1:3">
      <c r="A34" t="s">
        <v>2766</v>
      </c>
      <c r="B34">
        <v>2</v>
      </c>
      <c r="C34">
        <v>1</v>
      </c>
    </row>
    <row r="35" spans="1:3">
      <c r="A35" t="s">
        <v>2767</v>
      </c>
      <c r="B35">
        <v>2</v>
      </c>
      <c r="C35">
        <v>1</v>
      </c>
    </row>
    <row r="36" spans="1:3">
      <c r="A36" t="s">
        <v>2768</v>
      </c>
      <c r="B36">
        <v>2</v>
      </c>
      <c r="C36">
        <v>1</v>
      </c>
    </row>
    <row r="37" spans="1:3">
      <c r="A37" t="s">
        <v>2769</v>
      </c>
      <c r="B37">
        <v>2</v>
      </c>
      <c r="C37">
        <v>1</v>
      </c>
    </row>
    <row r="38" spans="1:3">
      <c r="A38" t="s">
        <v>2770</v>
      </c>
      <c r="B38">
        <v>2</v>
      </c>
      <c r="C38">
        <v>1</v>
      </c>
    </row>
    <row r="39" spans="1:3">
      <c r="A39" t="s">
        <v>2771</v>
      </c>
      <c r="B39">
        <v>2</v>
      </c>
      <c r="C39">
        <v>1</v>
      </c>
    </row>
    <row r="40" spans="1:3">
      <c r="A40" t="s">
        <v>2772</v>
      </c>
      <c r="B40">
        <v>2</v>
      </c>
      <c r="C40">
        <v>1</v>
      </c>
    </row>
    <row r="41" spans="1:3">
      <c r="A41" t="s">
        <v>2773</v>
      </c>
      <c r="B41">
        <v>2</v>
      </c>
      <c r="C41">
        <v>2</v>
      </c>
    </row>
    <row r="42" spans="1:3">
      <c r="A42" t="s">
        <v>2774</v>
      </c>
      <c r="B42">
        <v>2</v>
      </c>
      <c r="C42">
        <v>2</v>
      </c>
    </row>
    <row r="43" spans="1:3">
      <c r="A43" t="s">
        <v>2775</v>
      </c>
      <c r="B43">
        <v>2</v>
      </c>
      <c r="C43">
        <v>2</v>
      </c>
    </row>
    <row r="44" spans="1:3">
      <c r="A44" t="s">
        <v>2776</v>
      </c>
      <c r="B44">
        <v>2</v>
      </c>
      <c r="C44">
        <v>2</v>
      </c>
    </row>
    <row r="45" spans="1:3">
      <c r="A45" t="s">
        <v>2777</v>
      </c>
      <c r="B45">
        <v>2</v>
      </c>
      <c r="C45">
        <v>2</v>
      </c>
    </row>
    <row r="46" spans="1:3">
      <c r="A46" t="s">
        <v>2778</v>
      </c>
      <c r="B46">
        <v>2</v>
      </c>
      <c r="C46">
        <v>2</v>
      </c>
    </row>
    <row r="47" spans="1:3">
      <c r="A47" t="s">
        <v>2779</v>
      </c>
      <c r="B47">
        <v>2</v>
      </c>
      <c r="C47">
        <v>2</v>
      </c>
    </row>
    <row r="48" spans="1:3">
      <c r="A48" t="s">
        <v>2780</v>
      </c>
      <c r="B48">
        <v>2</v>
      </c>
      <c r="C48">
        <v>2</v>
      </c>
    </row>
    <row r="49" spans="1:3">
      <c r="A49" t="s">
        <v>2781</v>
      </c>
      <c r="B49">
        <v>2</v>
      </c>
      <c r="C49">
        <v>2</v>
      </c>
    </row>
    <row r="50" spans="1:3">
      <c r="A50" t="s">
        <v>2782</v>
      </c>
      <c r="B50">
        <v>2</v>
      </c>
      <c r="C50">
        <v>2</v>
      </c>
    </row>
    <row r="51" spans="1:3">
      <c r="A51" t="s">
        <v>2783</v>
      </c>
      <c r="B51">
        <v>2</v>
      </c>
      <c r="C51">
        <v>2</v>
      </c>
    </row>
    <row r="52" spans="1:3">
      <c r="A52" t="s">
        <v>2784</v>
      </c>
      <c r="B52">
        <v>2</v>
      </c>
      <c r="C52">
        <v>2</v>
      </c>
    </row>
    <row r="53" spans="1:3">
      <c r="A53" t="s">
        <v>2785</v>
      </c>
      <c r="B53">
        <v>2</v>
      </c>
      <c r="C53">
        <v>2</v>
      </c>
    </row>
    <row r="54" spans="1:3">
      <c r="A54" t="s">
        <v>2786</v>
      </c>
      <c r="B54">
        <v>2</v>
      </c>
      <c r="C54">
        <v>2</v>
      </c>
    </row>
    <row r="55" spans="1:3">
      <c r="A55" t="s">
        <v>2787</v>
      </c>
      <c r="B55">
        <v>2</v>
      </c>
      <c r="C55">
        <v>2</v>
      </c>
    </row>
    <row r="56" spans="1:3">
      <c r="A56" t="s">
        <v>2788</v>
      </c>
      <c r="B56">
        <v>2</v>
      </c>
      <c r="C56">
        <v>2</v>
      </c>
    </row>
    <row r="57" spans="1:3">
      <c r="A57" t="s">
        <v>2789</v>
      </c>
      <c r="B57">
        <v>2</v>
      </c>
      <c r="C57">
        <v>2</v>
      </c>
    </row>
    <row r="58" spans="1:3">
      <c r="A58" t="s">
        <v>2790</v>
      </c>
      <c r="B58">
        <v>2</v>
      </c>
      <c r="C58">
        <v>2</v>
      </c>
    </row>
    <row r="59" spans="1:3">
      <c r="A59" t="s">
        <v>2791</v>
      </c>
      <c r="B59">
        <v>2</v>
      </c>
      <c r="C59">
        <v>2</v>
      </c>
    </row>
    <row r="60" spans="1:3">
      <c r="A60" t="s">
        <v>2792</v>
      </c>
      <c r="B60">
        <v>2</v>
      </c>
      <c r="C60">
        <v>2</v>
      </c>
    </row>
    <row r="61" spans="1:3">
      <c r="A61" t="s">
        <v>2793</v>
      </c>
      <c r="B61">
        <v>2</v>
      </c>
      <c r="C61">
        <v>2</v>
      </c>
    </row>
    <row r="62" spans="1:3">
      <c r="A62" t="s">
        <v>2794</v>
      </c>
      <c r="B62">
        <v>2</v>
      </c>
      <c r="C62">
        <v>2</v>
      </c>
    </row>
    <row r="63" spans="1:3">
      <c r="A63" t="s">
        <v>2795</v>
      </c>
      <c r="B63">
        <v>2</v>
      </c>
      <c r="C63">
        <v>2</v>
      </c>
    </row>
    <row r="64" spans="1:3">
      <c r="A64" t="s">
        <v>2796</v>
      </c>
      <c r="B64">
        <v>2</v>
      </c>
      <c r="C64">
        <v>2</v>
      </c>
    </row>
    <row r="65" spans="1:3">
      <c r="A65" t="s">
        <v>2797</v>
      </c>
      <c r="B65">
        <v>2</v>
      </c>
      <c r="C65">
        <v>2</v>
      </c>
    </row>
    <row r="66" spans="1:3">
      <c r="A66" t="s">
        <v>2798</v>
      </c>
      <c r="B66">
        <v>2</v>
      </c>
      <c r="C66">
        <v>2</v>
      </c>
    </row>
    <row r="67" spans="1:3">
      <c r="A67" t="s">
        <v>2799</v>
      </c>
      <c r="B67">
        <v>2</v>
      </c>
      <c r="C67">
        <v>2</v>
      </c>
    </row>
    <row r="68" spans="1:3">
      <c r="A68" t="s">
        <v>2800</v>
      </c>
      <c r="B68">
        <v>2</v>
      </c>
      <c r="C68">
        <v>2</v>
      </c>
    </row>
    <row r="69" spans="1:3">
      <c r="A69" t="s">
        <v>2801</v>
      </c>
      <c r="B69">
        <v>2</v>
      </c>
      <c r="C69">
        <v>2</v>
      </c>
    </row>
    <row r="70" spans="1:3">
      <c r="A70" t="s">
        <v>2802</v>
      </c>
      <c r="B70">
        <v>2</v>
      </c>
      <c r="C70">
        <v>2</v>
      </c>
    </row>
    <row r="71" spans="1:3">
      <c r="A71" t="s">
        <v>2803</v>
      </c>
      <c r="B71">
        <v>2</v>
      </c>
      <c r="C71">
        <v>2</v>
      </c>
    </row>
    <row r="72" spans="1:3">
      <c r="A72" t="s">
        <v>2804</v>
      </c>
      <c r="B72">
        <v>2</v>
      </c>
      <c r="C72">
        <v>2</v>
      </c>
    </row>
    <row r="73" spans="1:3">
      <c r="A73" t="s">
        <v>2805</v>
      </c>
      <c r="B73">
        <v>2</v>
      </c>
      <c r="C73">
        <v>2</v>
      </c>
    </row>
    <row r="74" spans="1:3">
      <c r="A74" t="s">
        <v>2806</v>
      </c>
      <c r="B74">
        <v>2</v>
      </c>
      <c r="C74">
        <v>2</v>
      </c>
    </row>
    <row r="75" spans="1:3">
      <c r="A75" t="s">
        <v>2807</v>
      </c>
      <c r="B75">
        <v>2</v>
      </c>
      <c r="C75">
        <v>2</v>
      </c>
    </row>
    <row r="76" spans="1:3">
      <c r="A76" t="s">
        <v>2808</v>
      </c>
      <c r="B76">
        <v>2</v>
      </c>
      <c r="C76">
        <v>2</v>
      </c>
    </row>
    <row r="77" spans="1:3">
      <c r="A77" t="s">
        <v>2809</v>
      </c>
      <c r="B77">
        <v>2</v>
      </c>
      <c r="C77">
        <v>2</v>
      </c>
    </row>
    <row r="78" spans="1:3">
      <c r="A78" t="s">
        <v>2810</v>
      </c>
      <c r="B78">
        <v>2</v>
      </c>
      <c r="C78">
        <v>2</v>
      </c>
    </row>
    <row r="79" spans="1:3">
      <c r="A79" t="s">
        <v>2811</v>
      </c>
      <c r="B79">
        <v>0</v>
      </c>
      <c r="C79">
        <v>1</v>
      </c>
    </row>
    <row r="80" spans="1:3">
      <c r="A80" t="s">
        <v>2812</v>
      </c>
      <c r="B80">
        <v>0</v>
      </c>
      <c r="C80">
        <v>1</v>
      </c>
    </row>
    <row r="81" spans="1:3">
      <c r="A81" t="s">
        <v>2813</v>
      </c>
      <c r="B81">
        <v>1</v>
      </c>
      <c r="C81">
        <v>0</v>
      </c>
    </row>
    <row r="82" spans="1:3">
      <c r="A82" t="s">
        <v>2814</v>
      </c>
      <c r="B82">
        <v>1</v>
      </c>
      <c r="C82">
        <v>0</v>
      </c>
    </row>
    <row r="83" spans="1:3">
      <c r="A83" t="s">
        <v>2815</v>
      </c>
      <c r="B83">
        <v>0</v>
      </c>
      <c r="C83">
        <v>1</v>
      </c>
    </row>
    <row r="84" spans="1:3">
      <c r="A84" t="s">
        <v>2816</v>
      </c>
      <c r="B84">
        <v>0</v>
      </c>
      <c r="C84">
        <v>1</v>
      </c>
    </row>
    <row r="85" spans="1:3">
      <c r="A85" t="s">
        <v>2817</v>
      </c>
      <c r="B85">
        <v>0</v>
      </c>
      <c r="C85">
        <v>1</v>
      </c>
    </row>
    <row r="86" spans="1:3">
      <c r="A86" t="s">
        <v>2818</v>
      </c>
      <c r="B86">
        <v>0</v>
      </c>
      <c r="C86">
        <v>1</v>
      </c>
    </row>
    <row r="87" spans="1:3">
      <c r="A87" t="s">
        <v>2819</v>
      </c>
      <c r="B87">
        <v>0</v>
      </c>
      <c r="C87">
        <v>1</v>
      </c>
    </row>
    <row r="88" spans="1:3">
      <c r="A88" t="s">
        <v>2820</v>
      </c>
      <c r="B88">
        <v>0</v>
      </c>
      <c r="C88">
        <v>1</v>
      </c>
    </row>
    <row r="89" spans="1:3">
      <c r="A89" t="s">
        <v>2821</v>
      </c>
      <c r="B89">
        <v>0</v>
      </c>
      <c r="C89">
        <v>1</v>
      </c>
    </row>
    <row r="90" spans="1:3">
      <c r="A90" t="s">
        <v>2822</v>
      </c>
      <c r="B90">
        <v>0</v>
      </c>
      <c r="C90">
        <v>1</v>
      </c>
    </row>
    <row r="91" spans="1:3">
      <c r="A91" t="s">
        <v>2823</v>
      </c>
      <c r="B91">
        <v>2</v>
      </c>
      <c r="C91">
        <v>2</v>
      </c>
    </row>
    <row r="92" spans="1:3">
      <c r="A92" t="s">
        <v>2824</v>
      </c>
      <c r="B92">
        <v>2</v>
      </c>
      <c r="C92">
        <v>2</v>
      </c>
    </row>
    <row r="93" spans="1:3">
      <c r="A93" t="s">
        <v>2825</v>
      </c>
      <c r="B93">
        <v>1</v>
      </c>
      <c r="C93">
        <v>1</v>
      </c>
    </row>
    <row r="94" spans="1:3">
      <c r="A94" t="s">
        <v>2826</v>
      </c>
      <c r="B94">
        <v>1</v>
      </c>
      <c r="C94">
        <v>1</v>
      </c>
    </row>
    <row r="95" spans="1:3">
      <c r="A95" t="s">
        <v>2827</v>
      </c>
      <c r="B95">
        <v>1</v>
      </c>
      <c r="C95">
        <v>1</v>
      </c>
    </row>
    <row r="96" spans="1:3">
      <c r="A96" t="s">
        <v>2828</v>
      </c>
      <c r="B96">
        <v>1</v>
      </c>
      <c r="C96">
        <v>1</v>
      </c>
    </row>
    <row r="97" spans="1:3">
      <c r="A97" t="s">
        <v>2829</v>
      </c>
      <c r="B97">
        <v>2</v>
      </c>
      <c r="C97">
        <v>2</v>
      </c>
    </row>
    <row r="98" spans="1:3">
      <c r="A98" t="s">
        <v>2830</v>
      </c>
      <c r="B98">
        <v>2</v>
      </c>
      <c r="C98">
        <v>2</v>
      </c>
    </row>
    <row r="99" spans="1:3">
      <c r="A99" t="s">
        <v>2831</v>
      </c>
      <c r="B99">
        <v>2</v>
      </c>
      <c r="C99">
        <v>2</v>
      </c>
    </row>
    <row r="100" spans="1:3">
      <c r="A100" t="s">
        <v>2832</v>
      </c>
      <c r="B100">
        <v>2</v>
      </c>
      <c r="C100">
        <v>2</v>
      </c>
    </row>
    <row r="101" spans="1:3">
      <c r="A101" t="s">
        <v>2833</v>
      </c>
      <c r="B101">
        <v>2</v>
      </c>
      <c r="C101">
        <v>2</v>
      </c>
    </row>
    <row r="102" spans="1:3">
      <c r="A102" t="s">
        <v>2834</v>
      </c>
      <c r="B102">
        <v>2</v>
      </c>
      <c r="C10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EC2F-EAE0-4E77-8CA0-27431484943B}">
  <dimension ref="A1:P108"/>
  <sheetViews>
    <sheetView workbookViewId="0">
      <selection activeCell="C10" sqref="C10"/>
    </sheetView>
  </sheetViews>
  <sheetFormatPr defaultRowHeight="14.4"/>
  <cols>
    <col min="1" max="1" width="26.109375" customWidth="1"/>
  </cols>
  <sheetData>
    <row r="1" spans="1:16">
      <c r="A1" s="27"/>
      <c r="B1" s="365" t="s">
        <v>1601</v>
      </c>
      <c r="C1" s="365"/>
      <c r="D1" s="365"/>
      <c r="E1" s="365" t="s">
        <v>1606</v>
      </c>
      <c r="F1" s="365"/>
      <c r="G1" s="365"/>
      <c r="H1" s="365" t="s">
        <v>1609</v>
      </c>
      <c r="I1" s="365"/>
      <c r="J1" s="365"/>
      <c r="K1" s="365" t="s">
        <v>2976</v>
      </c>
      <c r="L1" s="365"/>
      <c r="M1" s="365"/>
      <c r="N1" s="365" t="s">
        <v>2977</v>
      </c>
      <c r="O1" s="365"/>
      <c r="P1" s="365"/>
    </row>
    <row r="2" spans="1:16">
      <c r="A2" s="27"/>
      <c r="B2" s="27" t="s">
        <v>2973</v>
      </c>
      <c r="C2" s="27" t="s">
        <v>2978</v>
      </c>
      <c r="D2" s="27" t="s">
        <v>2975</v>
      </c>
      <c r="E2" s="27" t="s">
        <v>2973</v>
      </c>
      <c r="F2" s="27" t="s">
        <v>2978</v>
      </c>
      <c r="G2" s="27" t="s">
        <v>2975</v>
      </c>
      <c r="H2" s="27" t="s">
        <v>2973</v>
      </c>
      <c r="I2" s="27" t="s">
        <v>2978</v>
      </c>
      <c r="J2" s="27" t="s">
        <v>2975</v>
      </c>
      <c r="K2" s="27" t="s">
        <v>2973</v>
      </c>
      <c r="L2" s="27" t="s">
        <v>2978</v>
      </c>
      <c r="M2" s="27" t="s">
        <v>2975</v>
      </c>
      <c r="N2" s="27" t="s">
        <v>2973</v>
      </c>
      <c r="O2" s="27" t="s">
        <v>2978</v>
      </c>
      <c r="P2" s="27" t="s">
        <v>2975</v>
      </c>
    </row>
    <row r="3" spans="1:16">
      <c r="A3" s="27" t="s">
        <v>2973</v>
      </c>
      <c r="B3" s="28">
        <v>1</v>
      </c>
      <c r="C3" s="29">
        <v>0.25600000000000001</v>
      </c>
      <c r="D3" s="30">
        <v>8.0000000000000002E-3</v>
      </c>
      <c r="E3" s="28">
        <v>1</v>
      </c>
      <c r="F3" s="31">
        <v>0.23899999999999999</v>
      </c>
      <c r="G3" s="32">
        <v>-1.6E-2</v>
      </c>
      <c r="H3" s="28">
        <v>1</v>
      </c>
      <c r="I3" s="33">
        <v>0.39800000000000002</v>
      </c>
      <c r="J3" s="34">
        <v>6.6000000000000003E-2</v>
      </c>
      <c r="K3" s="28">
        <v>1</v>
      </c>
      <c r="L3" s="35">
        <v>0.48399999999999999</v>
      </c>
      <c r="M3" s="36">
        <v>-3.2000000000000001E-2</v>
      </c>
      <c r="N3" s="28">
        <v>1</v>
      </c>
      <c r="O3" s="37">
        <v>0.2</v>
      </c>
      <c r="P3" s="38">
        <v>-0.13300000000000001</v>
      </c>
    </row>
    <row r="4" spans="1:16">
      <c r="A4" s="27" t="s">
        <v>2974</v>
      </c>
      <c r="B4" s="29">
        <v>0.25600000000000001</v>
      </c>
      <c r="C4" s="28">
        <v>1</v>
      </c>
      <c r="D4" s="39">
        <v>0.17</v>
      </c>
      <c r="E4" s="31">
        <v>0.23899999999999999</v>
      </c>
      <c r="F4" s="28">
        <v>1</v>
      </c>
      <c r="G4" s="36">
        <v>-3.2000000000000001E-2</v>
      </c>
      <c r="H4" s="33">
        <v>0.39800000000000002</v>
      </c>
      <c r="I4" s="28">
        <v>1</v>
      </c>
      <c r="J4" s="40">
        <v>-4.2000000000000003E-2</v>
      </c>
      <c r="K4" s="35">
        <v>0.48399999999999999</v>
      </c>
      <c r="L4" s="28">
        <v>1</v>
      </c>
      <c r="M4" s="41">
        <v>-0.11</v>
      </c>
      <c r="N4" s="37">
        <v>0.2</v>
      </c>
      <c r="O4" s="28">
        <v>1</v>
      </c>
      <c r="P4" s="42">
        <v>-5.0000000000000001E-3</v>
      </c>
    </row>
    <row r="5" spans="1:16">
      <c r="A5" s="27" t="s">
        <v>2975</v>
      </c>
      <c r="B5" s="30">
        <v>8.0000000000000002E-3</v>
      </c>
      <c r="C5" s="39">
        <v>0.17</v>
      </c>
      <c r="D5" s="28">
        <v>1</v>
      </c>
      <c r="E5" s="32">
        <v>-1.6E-2</v>
      </c>
      <c r="F5" s="36">
        <v>-3.2000000000000001E-2</v>
      </c>
      <c r="G5" s="28">
        <v>1</v>
      </c>
      <c r="H5" s="34">
        <v>6.6000000000000003E-2</v>
      </c>
      <c r="I5" s="40">
        <v>-4.2000000000000003E-2</v>
      </c>
      <c r="J5" s="28">
        <v>1</v>
      </c>
      <c r="K5" s="36">
        <v>-3.2000000000000001E-2</v>
      </c>
      <c r="L5" s="41">
        <v>-0.11</v>
      </c>
      <c r="M5" s="28">
        <v>1</v>
      </c>
      <c r="N5" s="38">
        <v>-0.13300000000000001</v>
      </c>
      <c r="O5" s="42">
        <v>-5.0000000000000001E-3</v>
      </c>
      <c r="P5" s="28">
        <v>1</v>
      </c>
    </row>
    <row r="6" spans="1:16">
      <c r="A6" s="27"/>
      <c r="B6" s="365" t="s">
        <v>2979</v>
      </c>
      <c r="C6" s="365"/>
      <c r="D6" s="365"/>
      <c r="E6" s="365"/>
      <c r="F6" s="365"/>
      <c r="G6" s="365" t="s">
        <v>2975</v>
      </c>
      <c r="H6" s="365"/>
      <c r="I6" s="365"/>
      <c r="J6" s="365"/>
      <c r="K6" s="365"/>
      <c r="L6" s="43"/>
      <c r="M6" s="43"/>
      <c r="N6" s="43"/>
      <c r="O6" s="43"/>
      <c r="P6" s="43"/>
    </row>
    <row r="7" spans="1:16">
      <c r="A7" s="43"/>
      <c r="B7" s="43" t="s">
        <v>1601</v>
      </c>
      <c r="C7" s="43" t="s">
        <v>1606</v>
      </c>
      <c r="D7" s="43" t="s">
        <v>1609</v>
      </c>
      <c r="E7" s="43" t="s">
        <v>2976</v>
      </c>
      <c r="F7" s="43" t="s">
        <v>2977</v>
      </c>
      <c r="G7" s="43" t="s">
        <v>1601</v>
      </c>
      <c r="H7" s="43" t="s">
        <v>1606</v>
      </c>
      <c r="I7" s="43" t="s">
        <v>1609</v>
      </c>
      <c r="J7" s="43" t="s">
        <v>2976</v>
      </c>
      <c r="K7" s="43" t="s">
        <v>2977</v>
      </c>
      <c r="L7" s="43"/>
      <c r="M7" s="43"/>
      <c r="N7" s="43"/>
      <c r="O7" s="44"/>
      <c r="P7" s="44"/>
    </row>
    <row r="8" spans="1:16">
      <c r="A8" s="43" t="s">
        <v>2734</v>
      </c>
      <c r="B8" s="45">
        <v>-4.7E-2</v>
      </c>
      <c r="C8" s="46">
        <v>-0.113</v>
      </c>
      <c r="D8" s="47">
        <v>-0.152</v>
      </c>
      <c r="E8" s="48">
        <v>0.247</v>
      </c>
      <c r="F8" s="49">
        <v>0.19800000000000001</v>
      </c>
      <c r="G8" s="50">
        <v>-9.6000000000000002E-2</v>
      </c>
      <c r="H8" s="51">
        <v>-5.5E-2</v>
      </c>
      <c r="I8" s="52">
        <v>-0.11899999999999999</v>
      </c>
      <c r="J8" s="53">
        <v>4.4999999999999998E-2</v>
      </c>
      <c r="K8" s="54">
        <v>-4.0000000000000001E-3</v>
      </c>
      <c r="L8" s="43"/>
      <c r="M8" s="43"/>
      <c r="N8" s="43"/>
      <c r="O8" s="44"/>
      <c r="P8" s="44"/>
    </row>
    <row r="9" spans="1:16">
      <c r="A9" s="43" t="s">
        <v>2735</v>
      </c>
      <c r="B9" s="55">
        <v>-0.26900000000000002</v>
      </c>
      <c r="C9" s="56">
        <v>-0.32800000000000001</v>
      </c>
      <c r="D9" s="57">
        <v>-0.42899999999999999</v>
      </c>
      <c r="E9" s="58">
        <v>4.0000000000000001E-3</v>
      </c>
      <c r="F9" s="59">
        <v>-0.16800000000000001</v>
      </c>
      <c r="G9" s="60">
        <v>-4.5999999999999999E-2</v>
      </c>
      <c r="H9" s="61">
        <v>-8.0000000000000002E-3</v>
      </c>
      <c r="I9" s="62">
        <v>-4.3999999999999997E-2</v>
      </c>
      <c r="J9" s="63">
        <v>-4.1000000000000002E-2</v>
      </c>
      <c r="K9" s="64">
        <v>1.4999999999999999E-2</v>
      </c>
      <c r="L9" s="43"/>
      <c r="M9" s="43"/>
      <c r="N9" s="43"/>
      <c r="O9" s="44"/>
      <c r="P9" s="44"/>
    </row>
    <row r="10" spans="1:16">
      <c r="A10" s="43" t="s">
        <v>2736</v>
      </c>
      <c r="B10" s="65">
        <v>-0.185</v>
      </c>
      <c r="C10" s="66">
        <v>-9.6000000000000002E-2</v>
      </c>
      <c r="D10" s="67">
        <v>-0.14899999999999999</v>
      </c>
      <c r="E10" s="68">
        <v>-9.5000000000000001E-2</v>
      </c>
      <c r="F10" s="69">
        <v>-0.13100000000000001</v>
      </c>
      <c r="G10" s="70">
        <v>-6.0999999999999999E-2</v>
      </c>
      <c r="H10" s="71">
        <v>-9.2999999999999999E-2</v>
      </c>
      <c r="I10" s="72">
        <v>-0.13900000000000001</v>
      </c>
      <c r="J10" s="73">
        <v>3.2000000000000001E-2</v>
      </c>
      <c r="K10" s="74">
        <v>8.3000000000000004E-2</v>
      </c>
      <c r="L10" s="43"/>
      <c r="M10" s="43"/>
      <c r="N10" s="43"/>
      <c r="O10" s="44"/>
      <c r="P10" s="44"/>
    </row>
    <row r="11" spans="1:16">
      <c r="A11" s="43" t="s">
        <v>2737</v>
      </c>
      <c r="B11" s="75">
        <v>-0.106</v>
      </c>
      <c r="C11" s="76">
        <v>3.9E-2</v>
      </c>
      <c r="D11" s="46">
        <v>-0.113</v>
      </c>
      <c r="E11" s="77">
        <v>0.05</v>
      </c>
      <c r="F11" s="78">
        <v>7.4999999999999997E-2</v>
      </c>
      <c r="G11" s="79">
        <v>-8.4000000000000005E-2</v>
      </c>
      <c r="H11" s="80">
        <v>-8.3000000000000004E-2</v>
      </c>
      <c r="I11" s="81">
        <v>-0.11700000000000001</v>
      </c>
      <c r="J11" s="82">
        <v>-1E-3</v>
      </c>
      <c r="K11" s="83">
        <v>0.02</v>
      </c>
      <c r="L11" s="43"/>
      <c r="M11" s="43"/>
      <c r="N11" s="43"/>
      <c r="O11" s="44"/>
      <c r="P11" s="44"/>
    </row>
    <row r="12" spans="1:16">
      <c r="A12" s="43" t="s">
        <v>2738</v>
      </c>
      <c r="B12" s="84">
        <v>-8.8999999999999996E-2</v>
      </c>
      <c r="C12" s="85">
        <v>-7.8E-2</v>
      </c>
      <c r="D12" s="86">
        <v>-0.129</v>
      </c>
      <c r="E12" s="87">
        <v>0.158</v>
      </c>
      <c r="F12" s="88">
        <v>-0.15</v>
      </c>
      <c r="G12" s="52">
        <v>-0.121</v>
      </c>
      <c r="H12" s="72">
        <v>-0.13800000000000001</v>
      </c>
      <c r="I12" s="88">
        <v>-0.151</v>
      </c>
      <c r="J12" s="89">
        <v>-0.08</v>
      </c>
      <c r="K12" s="90">
        <v>1.0999999999999999E-2</v>
      </c>
      <c r="L12" s="43"/>
      <c r="M12" s="43"/>
      <c r="N12" s="43"/>
      <c r="O12" s="44"/>
      <c r="P12" s="44"/>
    </row>
    <row r="13" spans="1:16">
      <c r="A13" s="43" t="s">
        <v>2739</v>
      </c>
      <c r="B13" s="91">
        <v>9.8000000000000004E-2</v>
      </c>
      <c r="C13" s="76">
        <v>4.1000000000000002E-2</v>
      </c>
      <c r="D13" s="78">
        <v>7.4999999999999997E-2</v>
      </c>
      <c r="E13" s="92">
        <v>0.248</v>
      </c>
      <c r="F13" s="31">
        <v>-1.7000000000000001E-2</v>
      </c>
      <c r="G13" s="93">
        <v>-0.158</v>
      </c>
      <c r="H13" s="94">
        <v>-0.13500000000000001</v>
      </c>
      <c r="I13" s="95">
        <v>-0.188</v>
      </c>
      <c r="J13" s="52">
        <v>-0.12</v>
      </c>
      <c r="K13" s="96">
        <v>-1.0999999999999999E-2</v>
      </c>
      <c r="L13" s="43"/>
      <c r="M13" s="43"/>
      <c r="N13" s="43"/>
      <c r="O13" s="44"/>
      <c r="P13" s="44"/>
    </row>
    <row r="14" spans="1:16">
      <c r="A14" s="43" t="s">
        <v>2740</v>
      </c>
      <c r="B14" s="97">
        <v>0.12</v>
      </c>
      <c r="C14" s="98">
        <v>0.18</v>
      </c>
      <c r="D14" s="99">
        <v>0.17499999999999999</v>
      </c>
      <c r="E14" s="100">
        <v>0.33</v>
      </c>
      <c r="F14" s="101">
        <v>0.05</v>
      </c>
      <c r="G14" s="79">
        <v>-8.4000000000000005E-2</v>
      </c>
      <c r="H14" s="71">
        <v>-9.1999999999999998E-2</v>
      </c>
      <c r="I14" s="75">
        <v>-0.105</v>
      </c>
      <c r="J14" s="102">
        <v>-0.14299999999999999</v>
      </c>
      <c r="K14" s="103">
        <v>0.157</v>
      </c>
      <c r="L14" s="43"/>
      <c r="M14" s="43"/>
      <c r="N14" s="43"/>
      <c r="O14" s="44"/>
      <c r="P14" s="44"/>
    </row>
    <row r="15" spans="1:16">
      <c r="A15" s="43" t="s">
        <v>2741</v>
      </c>
      <c r="B15" s="104">
        <v>-0.20100000000000001</v>
      </c>
      <c r="C15" s="105">
        <v>-0.17699999999999999</v>
      </c>
      <c r="D15" s="106">
        <v>-0.215</v>
      </c>
      <c r="E15" s="107">
        <v>0.13500000000000001</v>
      </c>
      <c r="F15" s="108">
        <v>-0.21</v>
      </c>
      <c r="G15" s="62">
        <v>-4.3999999999999997E-2</v>
      </c>
      <c r="H15" s="89">
        <v>-0.08</v>
      </c>
      <c r="I15" s="71">
        <v>-0.09</v>
      </c>
      <c r="J15" s="55">
        <v>-0.26800000000000002</v>
      </c>
      <c r="K15" s="109">
        <v>0.13200000000000001</v>
      </c>
      <c r="L15" s="43"/>
      <c r="M15" s="43"/>
      <c r="N15" s="43"/>
      <c r="O15" s="44"/>
      <c r="P15" s="44"/>
    </row>
    <row r="16" spans="1:16">
      <c r="A16" s="43" t="s">
        <v>2742</v>
      </c>
      <c r="B16" s="110">
        <v>-2.9000000000000001E-2</v>
      </c>
      <c r="C16" s="81">
        <v>-0.11700000000000001</v>
      </c>
      <c r="D16" s="75">
        <v>-0.107</v>
      </c>
      <c r="E16" s="111">
        <v>0.14399999999999999</v>
      </c>
      <c r="F16" s="112">
        <v>-5.8999999999999997E-2</v>
      </c>
      <c r="G16" s="94">
        <v>-0.13500000000000001</v>
      </c>
      <c r="H16" s="113">
        <v>-0.17299999999999999</v>
      </c>
      <c r="I16" s="114">
        <v>-0.20200000000000001</v>
      </c>
      <c r="J16" s="104">
        <v>-0.2</v>
      </c>
      <c r="K16" s="115">
        <v>2.7E-2</v>
      </c>
      <c r="L16" s="43"/>
      <c r="M16" s="43"/>
      <c r="N16" s="43"/>
      <c r="O16" s="44"/>
      <c r="P16" s="44"/>
    </row>
    <row r="17" spans="1:16">
      <c r="A17" s="43" t="s">
        <v>2743</v>
      </c>
      <c r="B17" s="116">
        <v>-2.3E-2</v>
      </c>
      <c r="C17" s="117">
        <v>-0.10100000000000001</v>
      </c>
      <c r="D17" s="118">
        <v>-6.3E-2</v>
      </c>
      <c r="E17" s="97">
        <v>0.12</v>
      </c>
      <c r="F17" s="119">
        <v>-0.122</v>
      </c>
      <c r="G17" s="31">
        <v>-1.7000000000000001E-2</v>
      </c>
      <c r="H17" s="120">
        <v>3.0000000000000001E-3</v>
      </c>
      <c r="I17" s="70">
        <v>-6.0999999999999999E-2</v>
      </c>
      <c r="J17" s="121">
        <v>8.9999999999999993E-3</v>
      </c>
      <c r="K17" s="62">
        <v>-4.3999999999999997E-2</v>
      </c>
      <c r="L17" s="43"/>
      <c r="M17" s="43"/>
      <c r="N17" s="43"/>
      <c r="O17" s="44"/>
      <c r="P17" s="44"/>
    </row>
    <row r="18" spans="1:16">
      <c r="A18" s="43" t="s">
        <v>2744</v>
      </c>
      <c r="B18" s="122">
        <v>-0.24</v>
      </c>
      <c r="C18" s="123">
        <v>-0.182</v>
      </c>
      <c r="D18" s="124">
        <v>-0.23</v>
      </c>
      <c r="E18" s="125">
        <v>0.111</v>
      </c>
      <c r="F18" s="59">
        <v>-0.17</v>
      </c>
      <c r="G18" s="73">
        <v>3.2000000000000001E-2</v>
      </c>
      <c r="H18" s="126">
        <v>1E-3</v>
      </c>
      <c r="I18" s="127">
        <v>-3.1E-2</v>
      </c>
      <c r="J18" s="128">
        <v>-0.16300000000000001</v>
      </c>
      <c r="K18" s="129">
        <v>0.14599999999999999</v>
      </c>
      <c r="L18" s="43"/>
      <c r="M18" s="43"/>
      <c r="N18" s="43"/>
      <c r="O18" s="44"/>
      <c r="P18" s="44"/>
    </row>
    <row r="19" spans="1:16">
      <c r="A19" s="43" t="s">
        <v>2745</v>
      </c>
      <c r="B19" s="117">
        <v>-0.1</v>
      </c>
      <c r="C19" s="31">
        <v>-1.6E-2</v>
      </c>
      <c r="D19" s="130">
        <v>-7.1999999999999995E-2</v>
      </c>
      <c r="E19" s="131">
        <v>0.21099999999999999</v>
      </c>
      <c r="F19" s="83">
        <v>1.9E-2</v>
      </c>
      <c r="G19" s="132">
        <v>-0.154</v>
      </c>
      <c r="H19" s="133">
        <v>-0.17499999999999999</v>
      </c>
      <c r="I19" s="134">
        <v>-0.19600000000000001</v>
      </c>
      <c r="J19" s="135">
        <v>-0.25600000000000001</v>
      </c>
      <c r="K19" s="125">
        <v>0.111</v>
      </c>
      <c r="L19" s="43"/>
      <c r="M19" s="43"/>
      <c r="N19" s="43"/>
      <c r="O19" s="44"/>
      <c r="P19" s="44"/>
    </row>
    <row r="20" spans="1:16">
      <c r="A20" s="43" t="s">
        <v>2746</v>
      </c>
      <c r="B20" s="136">
        <v>-0.108</v>
      </c>
      <c r="C20" s="137">
        <v>-2.1999999999999999E-2</v>
      </c>
      <c r="D20" s="75">
        <v>-0.106</v>
      </c>
      <c r="E20" s="138">
        <v>0.11899999999999999</v>
      </c>
      <c r="F20" s="139">
        <v>-0.17399999999999999</v>
      </c>
      <c r="G20" s="81">
        <v>-0.11700000000000001</v>
      </c>
      <c r="H20" s="119">
        <v>-0.121</v>
      </c>
      <c r="I20" s="140">
        <v>-0.104</v>
      </c>
      <c r="J20" s="83">
        <v>0.02</v>
      </c>
      <c r="K20" s="141">
        <v>-3.5999999999999997E-2</v>
      </c>
      <c r="L20" s="43"/>
      <c r="M20" s="43"/>
      <c r="N20" s="43"/>
      <c r="O20" s="44"/>
      <c r="P20" s="44"/>
    </row>
    <row r="21" spans="1:16">
      <c r="A21" s="43" t="s">
        <v>2747</v>
      </c>
      <c r="B21" s="142">
        <v>0.16200000000000001</v>
      </c>
      <c r="C21" s="143">
        <v>0.14000000000000001</v>
      </c>
      <c r="D21" s="87">
        <v>0.16</v>
      </c>
      <c r="E21" s="144">
        <v>0.27400000000000002</v>
      </c>
      <c r="F21" s="145">
        <v>7.0999999999999994E-2</v>
      </c>
      <c r="G21" s="134">
        <v>-0.19700000000000001</v>
      </c>
      <c r="H21" s="128">
        <v>-0.16300000000000001</v>
      </c>
      <c r="I21" s="132">
        <v>-0.152</v>
      </c>
      <c r="J21" s="133">
        <v>-0.17699999999999999</v>
      </c>
      <c r="K21" s="146">
        <v>2.1999999999999999E-2</v>
      </c>
      <c r="L21" s="43"/>
      <c r="M21" s="43"/>
      <c r="N21" s="43"/>
      <c r="O21" s="44"/>
      <c r="P21" s="44"/>
    </row>
    <row r="22" spans="1:16">
      <c r="A22" s="43" t="s">
        <v>2748</v>
      </c>
      <c r="B22" s="71">
        <v>-9.1999999999999998E-2</v>
      </c>
      <c r="C22" s="147">
        <v>-0.111</v>
      </c>
      <c r="D22" s="148">
        <v>-0.126</v>
      </c>
      <c r="E22" s="149">
        <v>0.114</v>
      </c>
      <c r="F22" s="123">
        <v>-0.18</v>
      </c>
      <c r="G22" s="50">
        <v>-9.6000000000000002E-2</v>
      </c>
      <c r="H22" s="94">
        <v>-0.13500000000000001</v>
      </c>
      <c r="I22" s="150">
        <v>-0.10299999999999999</v>
      </c>
      <c r="J22" s="151">
        <v>-0.27500000000000002</v>
      </c>
      <c r="K22" s="152">
        <v>9.0999999999999998E-2</v>
      </c>
      <c r="L22" s="43"/>
      <c r="M22" s="43"/>
      <c r="N22" s="43"/>
      <c r="O22" s="44"/>
      <c r="P22" s="44"/>
    </row>
    <row r="23" spans="1:16">
      <c r="A23" s="153" t="s">
        <v>2749</v>
      </c>
      <c r="B23" s="154">
        <v>0.23200000000000001</v>
      </c>
      <c r="C23" s="155">
        <v>0.25800000000000001</v>
      </c>
      <c r="D23" s="156">
        <v>0.28799999999999998</v>
      </c>
      <c r="E23" s="157">
        <v>0.315</v>
      </c>
      <c r="F23" s="158">
        <v>5.6000000000000001E-2</v>
      </c>
      <c r="G23" s="61">
        <v>-8.9999999999999993E-3</v>
      </c>
      <c r="H23" s="54">
        <v>-3.0000000000000001E-3</v>
      </c>
      <c r="I23" s="126">
        <v>1E-3</v>
      </c>
      <c r="J23" s="118">
        <v>-6.2E-2</v>
      </c>
      <c r="K23" s="109">
        <v>0.13200000000000001</v>
      </c>
      <c r="L23" s="43"/>
      <c r="M23" s="43"/>
      <c r="N23" s="43"/>
      <c r="O23" s="44"/>
      <c r="P23" s="44"/>
    </row>
    <row r="24" spans="1:16">
      <c r="A24" s="43" t="s">
        <v>2750</v>
      </c>
      <c r="B24" s="96">
        <v>-1.2999999999999999E-2</v>
      </c>
      <c r="C24" s="159">
        <v>-5.3999999999999999E-2</v>
      </c>
      <c r="D24" s="160">
        <v>-6.9000000000000006E-2</v>
      </c>
      <c r="E24" s="161">
        <v>0.40200000000000002</v>
      </c>
      <c r="F24" s="162">
        <v>0.126</v>
      </c>
      <c r="G24" s="141">
        <v>-3.4000000000000002E-2</v>
      </c>
      <c r="H24" s="64">
        <v>1.4999999999999999E-2</v>
      </c>
      <c r="I24" s="52">
        <v>-0.121</v>
      </c>
      <c r="J24" s="163">
        <v>-2.7E-2</v>
      </c>
      <c r="K24" s="164">
        <v>3.7999999999999999E-2</v>
      </c>
      <c r="L24" s="43"/>
      <c r="M24" s="43"/>
      <c r="N24" s="43"/>
      <c r="O24" s="44"/>
      <c r="P24" s="44"/>
    </row>
    <row r="25" spans="1:16">
      <c r="A25" s="43" t="s">
        <v>2751</v>
      </c>
      <c r="B25" s="117">
        <v>-0.10100000000000001</v>
      </c>
      <c r="C25" s="165">
        <v>-0.124</v>
      </c>
      <c r="D25" s="71">
        <v>-9.0999999999999998E-2</v>
      </c>
      <c r="E25" s="166">
        <v>0.23400000000000001</v>
      </c>
      <c r="F25" s="167">
        <v>-5.1999999999999998E-2</v>
      </c>
      <c r="G25" s="31">
        <v>-1.4999999999999999E-2</v>
      </c>
      <c r="H25" s="110">
        <v>-2.8000000000000001E-2</v>
      </c>
      <c r="I25" s="168">
        <v>-9.4E-2</v>
      </c>
      <c r="J25" s="133">
        <v>-0.17499999999999999</v>
      </c>
      <c r="K25" s="61">
        <v>-8.9999999999999993E-3</v>
      </c>
      <c r="L25" s="43"/>
      <c r="M25" s="43"/>
      <c r="N25" s="43"/>
      <c r="O25" s="44"/>
      <c r="P25" s="44"/>
    </row>
    <row r="26" spans="1:16">
      <c r="A26" s="43" t="s">
        <v>2752</v>
      </c>
      <c r="B26" s="169">
        <v>5.3999999999999999E-2</v>
      </c>
      <c r="C26" s="64">
        <v>1.4999999999999999E-2</v>
      </c>
      <c r="D26" s="170">
        <v>-5.8999999999999997E-2</v>
      </c>
      <c r="E26" s="171">
        <v>0.31900000000000001</v>
      </c>
      <c r="F26" s="172">
        <v>0.20899999999999999</v>
      </c>
      <c r="G26" s="85">
        <v>-0.08</v>
      </c>
      <c r="H26" s="31">
        <v>-1.6E-2</v>
      </c>
      <c r="I26" s="46">
        <v>-0.113</v>
      </c>
      <c r="J26" s="76">
        <v>3.9E-2</v>
      </c>
      <c r="K26" s="62">
        <v>-4.4999999999999998E-2</v>
      </c>
      <c r="L26" s="43"/>
      <c r="M26" s="43"/>
      <c r="N26" s="43"/>
      <c r="O26" s="44"/>
      <c r="P26" s="44"/>
    </row>
    <row r="27" spans="1:16">
      <c r="A27" s="43" t="s">
        <v>2753</v>
      </c>
      <c r="B27" s="173">
        <v>0.27</v>
      </c>
      <c r="C27" s="174">
        <v>0.35199999999999998</v>
      </c>
      <c r="D27" s="175">
        <v>0.28199999999999997</v>
      </c>
      <c r="E27" s="176">
        <v>0.41499999999999998</v>
      </c>
      <c r="F27" s="177">
        <v>0.39500000000000002</v>
      </c>
      <c r="G27" s="73">
        <v>3.2000000000000001E-2</v>
      </c>
      <c r="H27" s="90">
        <v>1.2E-2</v>
      </c>
      <c r="I27" s="96">
        <v>-1.0999999999999999E-2</v>
      </c>
      <c r="J27" s="50">
        <v>-9.7000000000000003E-2</v>
      </c>
      <c r="K27" s="53">
        <v>4.4999999999999998E-2</v>
      </c>
      <c r="L27" s="43"/>
      <c r="M27" s="43"/>
      <c r="N27" s="43"/>
      <c r="O27" s="44"/>
      <c r="P27" s="44"/>
    </row>
    <row r="28" spans="1:16">
      <c r="A28" s="43" t="s">
        <v>2754</v>
      </c>
      <c r="B28" s="74">
        <v>8.3000000000000004E-2</v>
      </c>
      <c r="C28" s="178">
        <v>2.8000000000000001E-2</v>
      </c>
      <c r="D28" s="101">
        <v>4.8000000000000001E-2</v>
      </c>
      <c r="E28" s="179">
        <v>0.32400000000000001</v>
      </c>
      <c r="F28" s="64">
        <v>1.6E-2</v>
      </c>
      <c r="G28" s="180">
        <v>-7.1999999999999995E-2</v>
      </c>
      <c r="H28" s="85">
        <v>-7.9000000000000001E-2</v>
      </c>
      <c r="I28" s="139">
        <v>-0.17399999999999999</v>
      </c>
      <c r="J28" s="181">
        <v>-6.3E-2</v>
      </c>
      <c r="K28" s="182">
        <v>6.5000000000000002E-2</v>
      </c>
      <c r="L28" s="43"/>
      <c r="M28" s="43"/>
      <c r="N28" s="43"/>
      <c r="O28" s="44"/>
      <c r="P28" s="44"/>
    </row>
    <row r="29" spans="1:16">
      <c r="A29" s="43" t="s">
        <v>2755</v>
      </c>
      <c r="B29" s="145">
        <v>6.9000000000000006E-2</v>
      </c>
      <c r="C29" s="183">
        <v>-2.4E-2</v>
      </c>
      <c r="D29" s="90">
        <v>1.2E-2</v>
      </c>
      <c r="E29" s="184">
        <v>0.38900000000000001</v>
      </c>
      <c r="F29" s="53">
        <v>4.2999999999999997E-2</v>
      </c>
      <c r="G29" s="139">
        <v>-0.17399999999999999</v>
      </c>
      <c r="H29" s="86">
        <v>-0.129</v>
      </c>
      <c r="I29" s="185">
        <v>-0.21199999999999999</v>
      </c>
      <c r="J29" s="117">
        <v>-0.1</v>
      </c>
      <c r="K29" s="186">
        <v>-7.4999999999999997E-2</v>
      </c>
      <c r="L29" s="43"/>
      <c r="M29" s="43"/>
      <c r="N29" s="43"/>
      <c r="O29" s="44"/>
      <c r="P29" s="44"/>
    </row>
    <row r="30" spans="1:16">
      <c r="A30" s="43" t="s">
        <v>2756</v>
      </c>
      <c r="B30" s="187">
        <v>0.34699999999999998</v>
      </c>
      <c r="C30" s="188">
        <v>0.32200000000000001</v>
      </c>
      <c r="D30" s="189">
        <v>0.38100000000000001</v>
      </c>
      <c r="E30" s="190">
        <v>0.33700000000000002</v>
      </c>
      <c r="F30" s="191">
        <v>0.214</v>
      </c>
      <c r="G30" s="165">
        <v>-0.125</v>
      </c>
      <c r="H30" s="72">
        <v>-0.13900000000000001</v>
      </c>
      <c r="I30" s="128">
        <v>-0.16200000000000001</v>
      </c>
      <c r="J30" s="45">
        <v>-4.9000000000000002E-2</v>
      </c>
      <c r="K30" s="121">
        <v>8.0000000000000002E-3</v>
      </c>
      <c r="L30" s="43"/>
      <c r="M30" s="43"/>
      <c r="N30" s="43"/>
      <c r="O30" s="44"/>
      <c r="P30" s="44"/>
    </row>
    <row r="31" spans="1:16">
      <c r="A31" s="43" t="s">
        <v>2757</v>
      </c>
      <c r="B31" s="78">
        <v>7.3999999999999996E-2</v>
      </c>
      <c r="C31" s="64">
        <v>1.6E-2</v>
      </c>
      <c r="D31" s="76">
        <v>4.2000000000000003E-2</v>
      </c>
      <c r="E31" s="190">
        <v>0.33900000000000002</v>
      </c>
      <c r="F31" s="178">
        <v>2.8000000000000001E-2</v>
      </c>
      <c r="G31" s="85">
        <v>-7.8E-2</v>
      </c>
      <c r="H31" s="79">
        <v>-8.4000000000000005E-2</v>
      </c>
      <c r="I31" s="123">
        <v>-0.183</v>
      </c>
      <c r="J31" s="186">
        <v>-7.5999999999999998E-2</v>
      </c>
      <c r="K31" s="192">
        <v>5.0999999999999997E-2</v>
      </c>
      <c r="L31" s="43"/>
      <c r="M31" s="43"/>
      <c r="N31" s="43"/>
      <c r="O31" s="44"/>
      <c r="P31" s="44"/>
    </row>
    <row r="32" spans="1:16">
      <c r="A32" s="43" t="s">
        <v>2758</v>
      </c>
      <c r="B32" s="76">
        <v>4.2000000000000003E-2</v>
      </c>
      <c r="C32" s="126">
        <v>-1E-3</v>
      </c>
      <c r="D32" s="83">
        <v>1.9E-2</v>
      </c>
      <c r="E32" s="193">
        <v>0.34499999999999997</v>
      </c>
      <c r="F32" s="194">
        <v>6.0000000000000001E-3</v>
      </c>
      <c r="G32" s="84">
        <v>-0.09</v>
      </c>
      <c r="H32" s="140">
        <v>-0.105</v>
      </c>
      <c r="I32" s="195">
        <v>-0.193</v>
      </c>
      <c r="J32" s="69">
        <v>-0.13100000000000001</v>
      </c>
      <c r="K32" s="196">
        <v>6.0999999999999999E-2</v>
      </c>
      <c r="L32" s="43"/>
      <c r="M32" s="43"/>
      <c r="N32" s="43"/>
      <c r="O32" s="44"/>
      <c r="P32" s="44"/>
    </row>
    <row r="33" spans="1:16">
      <c r="A33" s="43" t="s">
        <v>2759</v>
      </c>
      <c r="B33" s="90">
        <v>1.0999999999999999E-2</v>
      </c>
      <c r="C33" s="197">
        <v>-0.01</v>
      </c>
      <c r="D33" s="96">
        <v>-1.2E-2</v>
      </c>
      <c r="E33" s="100">
        <v>0.33100000000000002</v>
      </c>
      <c r="F33" s="60">
        <v>-4.4999999999999998E-2</v>
      </c>
      <c r="G33" s="117">
        <v>-0.10100000000000001</v>
      </c>
      <c r="H33" s="119">
        <v>-0.123</v>
      </c>
      <c r="I33" s="198">
        <v>-0.188</v>
      </c>
      <c r="J33" s="123">
        <v>-0.182</v>
      </c>
      <c r="K33" s="199">
        <v>8.8999999999999996E-2</v>
      </c>
      <c r="L33" s="43"/>
      <c r="M33" s="43"/>
      <c r="N33" s="43"/>
      <c r="O33" s="44"/>
      <c r="P33" s="44"/>
    </row>
    <row r="34" spans="1:16">
      <c r="A34" s="43" t="s">
        <v>2760</v>
      </c>
      <c r="B34" s="31">
        <v>-1.7000000000000001E-2</v>
      </c>
      <c r="C34" s="54">
        <v>-4.0000000000000001E-3</v>
      </c>
      <c r="D34" s="116">
        <v>-2.1999999999999999E-2</v>
      </c>
      <c r="E34" s="200">
        <v>0.27900000000000003</v>
      </c>
      <c r="F34" s="50">
        <v>-9.8000000000000004E-2</v>
      </c>
      <c r="G34" s="201">
        <v>-8.6999999999999994E-2</v>
      </c>
      <c r="H34" s="202">
        <v>-0.11600000000000001</v>
      </c>
      <c r="I34" s="88">
        <v>-0.14899999999999999</v>
      </c>
      <c r="J34" s="203">
        <v>-0.19800000000000001</v>
      </c>
      <c r="K34" s="204">
        <v>0.108</v>
      </c>
      <c r="L34" s="43"/>
      <c r="M34" s="43"/>
      <c r="N34" s="43"/>
      <c r="O34" s="44"/>
      <c r="P34" s="44"/>
    </row>
    <row r="35" spans="1:16">
      <c r="A35" s="43" t="s">
        <v>2761</v>
      </c>
      <c r="B35" s="163">
        <v>-2.7E-2</v>
      </c>
      <c r="C35" s="141">
        <v>-3.5999999999999997E-2</v>
      </c>
      <c r="D35" s="205">
        <v>-3.6999999999999998E-2</v>
      </c>
      <c r="E35" s="206">
        <v>0.22800000000000001</v>
      </c>
      <c r="F35" s="207">
        <v>-6.8000000000000005E-2</v>
      </c>
      <c r="G35" s="66">
        <v>-9.6000000000000002E-2</v>
      </c>
      <c r="H35" s="117">
        <v>-0.10100000000000001</v>
      </c>
      <c r="I35" s="208">
        <v>-0.17899999999999999</v>
      </c>
      <c r="J35" s="159">
        <v>-5.3999999999999999E-2</v>
      </c>
      <c r="K35" s="209">
        <v>3.4000000000000002E-2</v>
      </c>
      <c r="L35" s="43"/>
      <c r="M35" s="43"/>
      <c r="N35" s="43"/>
      <c r="O35" s="44"/>
      <c r="P35" s="44"/>
    </row>
    <row r="36" spans="1:16">
      <c r="A36" s="43" t="s">
        <v>2762</v>
      </c>
      <c r="B36" s="121">
        <v>8.9999999999999993E-3</v>
      </c>
      <c r="C36" s="137">
        <v>-2.1000000000000001E-2</v>
      </c>
      <c r="D36" s="64">
        <v>1.4999999999999999E-2</v>
      </c>
      <c r="E36" s="210">
        <v>2.4E-2</v>
      </c>
      <c r="F36" s="168">
        <v>-9.2999999999999999E-2</v>
      </c>
      <c r="G36" s="137">
        <v>-0.02</v>
      </c>
      <c r="H36" s="83">
        <v>1.9E-2</v>
      </c>
      <c r="I36" s="60">
        <v>-4.5999999999999999E-2</v>
      </c>
      <c r="J36" s="128">
        <v>-0.16300000000000001</v>
      </c>
      <c r="K36" s="145">
        <v>7.0999999999999994E-2</v>
      </c>
      <c r="L36" s="43"/>
      <c r="M36" s="43"/>
      <c r="N36" s="43"/>
      <c r="O36" s="44"/>
      <c r="P36" s="44"/>
    </row>
    <row r="37" spans="1:16">
      <c r="A37" s="43" t="s">
        <v>2763</v>
      </c>
      <c r="B37" s="158">
        <v>5.8999999999999997E-2</v>
      </c>
      <c r="C37" s="211">
        <v>8.5000000000000006E-2</v>
      </c>
      <c r="D37" s="212">
        <v>0.1</v>
      </c>
      <c r="E37" s="199">
        <v>0.09</v>
      </c>
      <c r="F37" s="182">
        <v>6.6000000000000003E-2</v>
      </c>
      <c r="G37" s="141">
        <v>-3.4000000000000002E-2</v>
      </c>
      <c r="H37" s="213">
        <v>-6.0000000000000001E-3</v>
      </c>
      <c r="I37" s="141">
        <v>-3.5999999999999997E-2</v>
      </c>
      <c r="J37" s="75">
        <v>-0.106</v>
      </c>
      <c r="K37" s="214">
        <v>0.13</v>
      </c>
      <c r="L37" s="43"/>
      <c r="M37" s="43"/>
      <c r="N37" s="43"/>
      <c r="O37" s="44"/>
      <c r="P37" s="44"/>
    </row>
    <row r="38" spans="1:16">
      <c r="A38" s="43" t="s">
        <v>2764</v>
      </c>
      <c r="B38" s="167">
        <v>-5.0999999999999997E-2</v>
      </c>
      <c r="C38" s="215">
        <v>7.1999999999999995E-2</v>
      </c>
      <c r="D38" s="158">
        <v>5.7000000000000002E-2</v>
      </c>
      <c r="E38" s="149">
        <v>0.11600000000000001</v>
      </c>
      <c r="F38" s="133">
        <v>-0.17599999999999999</v>
      </c>
      <c r="G38" s="216">
        <v>6.0000000000000001E-3</v>
      </c>
      <c r="H38" s="96">
        <v>-1.0999999999999999E-2</v>
      </c>
      <c r="I38" s="110">
        <v>-2.9000000000000001E-2</v>
      </c>
      <c r="J38" s="65">
        <v>-0.184</v>
      </c>
      <c r="K38" s="138">
        <v>0.11799999999999999</v>
      </c>
      <c r="L38" s="43"/>
      <c r="M38" s="43"/>
      <c r="N38" s="43"/>
      <c r="O38" s="44"/>
      <c r="P38" s="44"/>
    </row>
    <row r="39" spans="1:16">
      <c r="A39" s="43" t="s">
        <v>2765</v>
      </c>
      <c r="B39" s="52">
        <v>-0.12</v>
      </c>
      <c r="C39" s="217">
        <v>-0.27900000000000003</v>
      </c>
      <c r="D39" s="217">
        <v>-0.27700000000000002</v>
      </c>
      <c r="E39" s="218">
        <v>-0.379</v>
      </c>
      <c r="F39" s="219">
        <v>-0.13900000000000001</v>
      </c>
      <c r="G39" s="205">
        <v>-3.9E-2</v>
      </c>
      <c r="H39" s="220">
        <v>-3.4000000000000002E-2</v>
      </c>
      <c r="I39" s="221">
        <v>5.6000000000000001E-2</v>
      </c>
      <c r="J39" s="222">
        <v>9.4E-2</v>
      </c>
      <c r="K39" s="83">
        <v>2.1000000000000001E-2</v>
      </c>
      <c r="L39" s="43"/>
      <c r="M39" s="43"/>
      <c r="N39" s="43"/>
      <c r="O39" s="44"/>
      <c r="P39" s="44"/>
    </row>
    <row r="40" spans="1:16">
      <c r="A40" s="43" t="s">
        <v>2766</v>
      </c>
      <c r="B40" s="46">
        <v>-0.114</v>
      </c>
      <c r="C40" s="223">
        <v>-0.22900000000000001</v>
      </c>
      <c r="D40" s="224">
        <v>-0.158</v>
      </c>
      <c r="E40" s="197">
        <v>-0.01</v>
      </c>
      <c r="F40" s="110">
        <v>-2.9000000000000001E-2</v>
      </c>
      <c r="G40" s="91">
        <v>9.8000000000000004E-2</v>
      </c>
      <c r="H40" s="204">
        <v>0.105</v>
      </c>
      <c r="I40" s="145">
        <v>7.0999999999999994E-2</v>
      </c>
      <c r="J40" s="225">
        <v>1.6E-2</v>
      </c>
      <c r="K40" s="73">
        <v>3.1E-2</v>
      </c>
      <c r="L40" s="43"/>
      <c r="M40" s="43"/>
      <c r="N40" s="43"/>
      <c r="O40" s="44"/>
      <c r="P40" s="44"/>
    </row>
    <row r="41" spans="1:16">
      <c r="A41" s="43" t="s">
        <v>2767</v>
      </c>
      <c r="B41" s="69">
        <v>-0.13200000000000001</v>
      </c>
      <c r="C41" s="208">
        <v>-0.17899999999999999</v>
      </c>
      <c r="D41" s="104">
        <v>-0.19900000000000001</v>
      </c>
      <c r="E41" s="226">
        <v>-0.3</v>
      </c>
      <c r="F41" s="195">
        <v>-0.19400000000000001</v>
      </c>
      <c r="G41" s="181">
        <v>-6.3E-2</v>
      </c>
      <c r="H41" s="186">
        <v>-7.4999999999999997E-2</v>
      </c>
      <c r="I41" s="61">
        <v>-8.9999999999999993E-3</v>
      </c>
      <c r="J41" s="127">
        <v>-3.1E-2</v>
      </c>
      <c r="K41" s="91">
        <v>9.8000000000000004E-2</v>
      </c>
      <c r="L41" s="43"/>
      <c r="M41" s="43"/>
      <c r="N41" s="43"/>
      <c r="O41" s="44"/>
      <c r="P41" s="44"/>
    </row>
    <row r="42" spans="1:16">
      <c r="A42" s="43" t="s">
        <v>2768</v>
      </c>
      <c r="B42" s="72">
        <v>-0.13900000000000001</v>
      </c>
      <c r="C42" s="135">
        <v>-0.255</v>
      </c>
      <c r="D42" s="227">
        <v>-0.26800000000000002</v>
      </c>
      <c r="E42" s="228">
        <v>-0.36799999999999999</v>
      </c>
      <c r="F42" s="229">
        <v>-0.16600000000000001</v>
      </c>
      <c r="G42" s="45">
        <v>-4.9000000000000002E-2</v>
      </c>
      <c r="H42" s="112">
        <v>-5.7000000000000002E-2</v>
      </c>
      <c r="I42" s="178">
        <v>2.9000000000000001E-2</v>
      </c>
      <c r="J42" s="53">
        <v>4.4999999999999998E-2</v>
      </c>
      <c r="K42" s="158">
        <v>5.7000000000000002E-2</v>
      </c>
      <c r="L42" s="43"/>
      <c r="M42" s="43"/>
      <c r="N42" s="43"/>
      <c r="O42" s="44"/>
      <c r="P42" s="44"/>
    </row>
    <row r="43" spans="1:16">
      <c r="A43" s="43" t="s">
        <v>2769</v>
      </c>
      <c r="B43" s="101">
        <v>4.9000000000000002E-2</v>
      </c>
      <c r="C43" s="53">
        <v>4.3999999999999997E-2</v>
      </c>
      <c r="D43" s="76">
        <v>4.2000000000000003E-2</v>
      </c>
      <c r="E43" s="109">
        <v>0.13200000000000001</v>
      </c>
      <c r="F43" s="230">
        <v>0.154</v>
      </c>
      <c r="G43" s="101">
        <v>4.8000000000000001E-2</v>
      </c>
      <c r="H43" s="158">
        <v>5.7000000000000002E-2</v>
      </c>
      <c r="I43" s="83">
        <v>1.9E-2</v>
      </c>
      <c r="J43" s="158">
        <v>5.8000000000000003E-2</v>
      </c>
      <c r="K43" s="136">
        <v>-0.108</v>
      </c>
      <c r="L43" s="43"/>
      <c r="M43" s="43"/>
      <c r="N43" s="43"/>
      <c r="O43" s="44"/>
      <c r="P43" s="44"/>
    </row>
    <row r="44" spans="1:16">
      <c r="A44" s="43" t="s">
        <v>2770</v>
      </c>
      <c r="B44" s="97">
        <v>0.12</v>
      </c>
      <c r="C44" s="231">
        <v>0.27900000000000003</v>
      </c>
      <c r="D44" s="232">
        <v>0.27700000000000002</v>
      </c>
      <c r="E44" s="233">
        <v>0.379</v>
      </c>
      <c r="F44" s="143">
        <v>0.13900000000000001</v>
      </c>
      <c r="G44" s="76">
        <v>3.9E-2</v>
      </c>
      <c r="H44" s="73">
        <v>3.4000000000000002E-2</v>
      </c>
      <c r="I44" s="234">
        <v>-5.6000000000000001E-2</v>
      </c>
      <c r="J44" s="168">
        <v>-9.4E-2</v>
      </c>
      <c r="K44" s="137">
        <v>-2.1000000000000001E-2</v>
      </c>
      <c r="L44" s="43"/>
      <c r="M44" s="43"/>
      <c r="N44" s="43"/>
      <c r="O44" s="44"/>
      <c r="P44" s="44"/>
    </row>
    <row r="45" spans="1:16">
      <c r="A45" s="43" t="s">
        <v>2771</v>
      </c>
      <c r="B45" s="132">
        <v>-0.153</v>
      </c>
      <c r="C45" s="235">
        <v>-0.218</v>
      </c>
      <c r="D45" s="236">
        <v>-0.245</v>
      </c>
      <c r="E45" s="237">
        <v>-0.33800000000000002</v>
      </c>
      <c r="F45" s="198">
        <v>-0.188</v>
      </c>
      <c r="G45" s="70">
        <v>-6.0999999999999999E-2</v>
      </c>
      <c r="H45" s="186">
        <v>-7.4999999999999997E-2</v>
      </c>
      <c r="I45" s="216">
        <v>5.0000000000000001E-3</v>
      </c>
      <c r="J45" s="54">
        <v>-4.0000000000000001E-3</v>
      </c>
      <c r="K45" s="211">
        <v>8.5999999999999993E-2</v>
      </c>
      <c r="L45" s="43"/>
      <c r="M45" s="43"/>
      <c r="N45" s="43"/>
      <c r="O45" s="44"/>
      <c r="P45" s="44"/>
    </row>
    <row r="46" spans="1:16">
      <c r="A46" s="43" t="s">
        <v>2772</v>
      </c>
      <c r="B46" s="198">
        <v>-0.188</v>
      </c>
      <c r="C46" s="164">
        <v>3.5000000000000003E-2</v>
      </c>
      <c r="D46" s="210">
        <v>2.5000000000000001E-2</v>
      </c>
      <c r="E46" s="238">
        <v>-0.25700000000000001</v>
      </c>
      <c r="F46" s="132">
        <v>-0.152</v>
      </c>
      <c r="G46" s="83">
        <v>0.02</v>
      </c>
      <c r="H46" s="216">
        <v>6.0000000000000001E-3</v>
      </c>
      <c r="I46" s="83">
        <v>0.02</v>
      </c>
      <c r="J46" s="61">
        <v>-7.0000000000000001E-3</v>
      </c>
      <c r="K46" s="53">
        <v>4.5999999999999999E-2</v>
      </c>
      <c r="L46" s="43"/>
      <c r="M46" s="43"/>
      <c r="N46" s="43"/>
      <c r="O46" s="44"/>
      <c r="P46" s="44"/>
    </row>
    <row r="47" spans="1:16">
      <c r="A47" s="43" t="s">
        <v>2773</v>
      </c>
      <c r="B47" s="76">
        <v>4.2999999999999997E-2</v>
      </c>
      <c r="C47" s="196">
        <v>6.3E-2</v>
      </c>
      <c r="D47" s="158">
        <v>5.8999999999999997E-2</v>
      </c>
      <c r="E47" s="239">
        <v>-0.248</v>
      </c>
      <c r="F47" s="221">
        <v>5.5E-2</v>
      </c>
      <c r="G47" s="196">
        <v>6.0999999999999999E-2</v>
      </c>
      <c r="H47" s="77">
        <v>5.0999999999999997E-2</v>
      </c>
      <c r="I47" s="240">
        <v>8.2000000000000003E-2</v>
      </c>
      <c r="J47" s="241">
        <v>0.121</v>
      </c>
      <c r="K47" s="242">
        <v>-0.04</v>
      </c>
      <c r="L47" s="43"/>
      <c r="M47" s="43"/>
      <c r="N47" s="43"/>
      <c r="O47" s="44"/>
      <c r="P47" s="44"/>
    </row>
    <row r="48" spans="1:16">
      <c r="A48" s="43" t="s">
        <v>2774</v>
      </c>
      <c r="B48" s="76">
        <v>4.2999999999999997E-2</v>
      </c>
      <c r="C48" s="196">
        <v>6.3E-2</v>
      </c>
      <c r="D48" s="158">
        <v>5.8999999999999997E-2</v>
      </c>
      <c r="E48" s="239">
        <v>-0.248</v>
      </c>
      <c r="F48" s="221">
        <v>5.5E-2</v>
      </c>
      <c r="G48" s="196">
        <v>6.0999999999999999E-2</v>
      </c>
      <c r="H48" s="192">
        <v>5.0999999999999997E-2</v>
      </c>
      <c r="I48" s="74">
        <v>8.2000000000000003E-2</v>
      </c>
      <c r="J48" s="243">
        <v>0.121</v>
      </c>
      <c r="K48" s="242">
        <v>-0.04</v>
      </c>
      <c r="L48" s="43"/>
      <c r="M48" s="43"/>
      <c r="N48" s="43"/>
      <c r="O48" s="44"/>
      <c r="P48" s="44"/>
    </row>
    <row r="49" spans="1:16">
      <c r="A49" s="43" t="s">
        <v>2775</v>
      </c>
      <c r="B49" s="63">
        <v>-4.1000000000000002E-2</v>
      </c>
      <c r="C49" s="138">
        <v>0.11899999999999999</v>
      </c>
      <c r="D49" s="244">
        <v>0.11700000000000001</v>
      </c>
      <c r="E49" s="232">
        <v>0.27800000000000002</v>
      </c>
      <c r="F49" s="245">
        <v>-0.14499999999999999</v>
      </c>
      <c r="G49" s="246">
        <v>0.03</v>
      </c>
      <c r="H49" s="90">
        <v>1.2E-2</v>
      </c>
      <c r="I49" s="160">
        <v>-6.8000000000000005E-2</v>
      </c>
      <c r="J49" s="128">
        <v>-0.161</v>
      </c>
      <c r="K49" s="247">
        <v>6.8000000000000005E-2</v>
      </c>
      <c r="L49" s="43"/>
      <c r="M49" s="43"/>
      <c r="N49" s="43"/>
      <c r="O49" s="44"/>
      <c r="P49" s="44"/>
    </row>
    <row r="50" spans="1:16">
      <c r="A50" s="43" t="s">
        <v>2776</v>
      </c>
      <c r="B50" s="118">
        <v>-6.3E-2</v>
      </c>
      <c r="C50" s="248">
        <v>3.9E-2</v>
      </c>
      <c r="D50" s="225">
        <v>1.7999999999999999E-2</v>
      </c>
      <c r="E50" s="162">
        <v>0.128</v>
      </c>
      <c r="F50" s="134">
        <v>-0.19600000000000001</v>
      </c>
      <c r="G50" s="194">
        <v>6.0000000000000001E-3</v>
      </c>
      <c r="H50" s="249">
        <v>-1.4E-2</v>
      </c>
      <c r="I50" s="242">
        <v>-0.04</v>
      </c>
      <c r="J50" s="65">
        <v>-0.185</v>
      </c>
      <c r="K50" s="162">
        <v>0.126</v>
      </c>
      <c r="L50" s="43"/>
      <c r="M50" s="43"/>
      <c r="N50" s="43"/>
      <c r="O50" s="44"/>
      <c r="P50" s="44"/>
    </row>
    <row r="51" spans="1:16">
      <c r="A51" s="43" t="s">
        <v>2777</v>
      </c>
      <c r="B51" s="145">
        <v>6.9000000000000006E-2</v>
      </c>
      <c r="C51" s="145">
        <v>7.0999999999999994E-2</v>
      </c>
      <c r="D51" s="137">
        <v>-1.9E-2</v>
      </c>
      <c r="E51" s="250">
        <v>0.223</v>
      </c>
      <c r="F51" s="240">
        <v>0.08</v>
      </c>
      <c r="G51" s="251">
        <v>-8.5999999999999993E-2</v>
      </c>
      <c r="H51" s="31">
        <v>-1.4999999999999999E-2</v>
      </c>
      <c r="I51" s="112">
        <v>-5.8000000000000003E-2</v>
      </c>
      <c r="J51" s="69">
        <v>-0.13300000000000001</v>
      </c>
      <c r="K51" s="178">
        <v>2.8000000000000001E-2</v>
      </c>
      <c r="L51" s="43"/>
      <c r="M51" s="43"/>
      <c r="N51" s="43"/>
      <c r="O51" s="44"/>
      <c r="P51" s="44"/>
    </row>
    <row r="52" spans="1:16">
      <c r="A52" s="43" t="s">
        <v>2778</v>
      </c>
      <c r="B52" s="252">
        <v>-0.4</v>
      </c>
      <c r="C52" s="253">
        <v>-0.42899999999999999</v>
      </c>
      <c r="D52" s="254">
        <v>-0.52900000000000003</v>
      </c>
      <c r="E52" s="255">
        <v>-0.14699999999999999</v>
      </c>
      <c r="F52" s="256">
        <v>-0.16500000000000001</v>
      </c>
      <c r="G52" s="162">
        <v>0.129</v>
      </c>
      <c r="H52" s="78">
        <v>7.3999999999999996E-2</v>
      </c>
      <c r="I52" s="240">
        <v>8.1000000000000003E-2</v>
      </c>
      <c r="J52" s="246">
        <v>0.03</v>
      </c>
      <c r="K52" s="66">
        <v>-9.5000000000000001E-2</v>
      </c>
      <c r="L52" s="43"/>
      <c r="M52" s="43"/>
      <c r="N52" s="43"/>
      <c r="O52" s="44"/>
      <c r="P52" s="44"/>
    </row>
    <row r="53" spans="1:16">
      <c r="A53" s="43" t="s">
        <v>2779</v>
      </c>
      <c r="B53" s="107">
        <v>0.13500000000000001</v>
      </c>
      <c r="C53" s="51">
        <v>-5.3999999999999999E-2</v>
      </c>
      <c r="D53" s="257">
        <v>7.8E-2</v>
      </c>
      <c r="E53" s="258">
        <v>0.17299999999999999</v>
      </c>
      <c r="F53" s="259">
        <v>0.219</v>
      </c>
      <c r="G53" s="169">
        <v>5.3999999999999999E-2</v>
      </c>
      <c r="H53" s="260">
        <v>8.6999999999999994E-2</v>
      </c>
      <c r="I53" s="169">
        <v>5.2999999999999999E-2</v>
      </c>
      <c r="J53" s="91">
        <v>0.1</v>
      </c>
      <c r="K53" s="207">
        <v>-6.6000000000000003E-2</v>
      </c>
      <c r="L53" s="43"/>
      <c r="M53" s="43"/>
      <c r="N53" s="43"/>
      <c r="O53" s="44"/>
      <c r="P53" s="44"/>
    </row>
    <row r="54" spans="1:16">
      <c r="A54" s="43" t="s">
        <v>2780</v>
      </c>
      <c r="B54" s="247">
        <v>6.9000000000000006E-2</v>
      </c>
      <c r="C54" s="181">
        <v>-6.4000000000000001E-2</v>
      </c>
      <c r="D54" s="261">
        <v>-0.05</v>
      </c>
      <c r="E54" s="124">
        <v>-0.23100000000000001</v>
      </c>
      <c r="F54" s="258">
        <v>0.17299999999999999</v>
      </c>
      <c r="G54" s="262">
        <v>1.2999999999999999E-2</v>
      </c>
      <c r="H54" s="76">
        <v>3.9E-2</v>
      </c>
      <c r="I54" s="211">
        <v>8.5000000000000006E-2</v>
      </c>
      <c r="J54" s="263">
        <v>0.17</v>
      </c>
      <c r="K54" s="117">
        <v>-0.10100000000000001</v>
      </c>
      <c r="L54" s="43"/>
      <c r="M54" s="43"/>
      <c r="N54" s="43"/>
      <c r="O54" s="44"/>
      <c r="P54" s="44"/>
    </row>
    <row r="55" spans="1:16">
      <c r="A55" s="43" t="s">
        <v>2781</v>
      </c>
      <c r="B55" s="237">
        <v>-0.33800000000000002</v>
      </c>
      <c r="C55" s="264">
        <v>-0.41599999999999998</v>
      </c>
      <c r="D55" s="265">
        <v>-0.54</v>
      </c>
      <c r="E55" s="266">
        <v>-3.3000000000000002E-2</v>
      </c>
      <c r="F55" s="84">
        <v>-8.8999999999999996E-2</v>
      </c>
      <c r="G55" s="180">
        <v>-7.1999999999999995E-2</v>
      </c>
      <c r="H55" s="85">
        <v>-7.8E-2</v>
      </c>
      <c r="I55" s="46">
        <v>-0.113</v>
      </c>
      <c r="J55" s="54">
        <v>-4.0000000000000001E-3</v>
      </c>
      <c r="K55" s="242">
        <v>-4.1000000000000002E-2</v>
      </c>
      <c r="L55" s="43"/>
      <c r="M55" s="43"/>
      <c r="N55" s="43"/>
      <c r="O55" s="44"/>
      <c r="P55" s="44"/>
    </row>
    <row r="56" spans="1:16">
      <c r="A56" s="43" t="s">
        <v>2782</v>
      </c>
      <c r="B56" s="267">
        <v>0.34300000000000003</v>
      </c>
      <c r="C56" s="268">
        <v>0.443</v>
      </c>
      <c r="D56" s="269">
        <v>0.52600000000000002</v>
      </c>
      <c r="E56" s="270">
        <v>0.2</v>
      </c>
      <c r="F56" s="271">
        <v>0.218</v>
      </c>
      <c r="G56" s="234">
        <v>-5.7000000000000002E-2</v>
      </c>
      <c r="H56" s="197">
        <v>-0.01</v>
      </c>
      <c r="I56" s="96">
        <v>-1.2E-2</v>
      </c>
      <c r="J56" s="116">
        <v>-2.1999999999999999E-2</v>
      </c>
      <c r="K56" s="222">
        <v>9.4E-2</v>
      </c>
      <c r="L56" s="43"/>
      <c r="M56" s="43"/>
      <c r="N56" s="43"/>
      <c r="O56" s="44"/>
      <c r="P56" s="44"/>
    </row>
    <row r="57" spans="1:16">
      <c r="A57" s="43" t="s">
        <v>2783</v>
      </c>
      <c r="B57" s="238">
        <v>-0.25700000000000001</v>
      </c>
      <c r="C57" s="234">
        <v>-5.6000000000000001E-2</v>
      </c>
      <c r="D57" s="167">
        <v>-5.1999999999999998E-2</v>
      </c>
      <c r="E57" s="104">
        <v>-0.20100000000000001</v>
      </c>
      <c r="F57" s="272">
        <v>-0.33200000000000002</v>
      </c>
      <c r="G57" s="61">
        <v>-8.0000000000000002E-3</v>
      </c>
      <c r="H57" s="51">
        <v>-5.3999999999999999E-2</v>
      </c>
      <c r="I57" s="61">
        <v>-8.0000000000000002E-3</v>
      </c>
      <c r="J57" s="251">
        <v>-8.5999999999999993E-2</v>
      </c>
      <c r="K57" s="273">
        <v>7.5999999999999998E-2</v>
      </c>
      <c r="L57" s="43"/>
      <c r="M57" s="43"/>
      <c r="N57" s="43"/>
      <c r="O57" s="44"/>
      <c r="P57" s="44"/>
    </row>
    <row r="58" spans="1:16">
      <c r="A58" s="43" t="s">
        <v>2784</v>
      </c>
      <c r="B58" s="113">
        <v>-0.17399999999999999</v>
      </c>
      <c r="C58" s="274">
        <v>-0.252</v>
      </c>
      <c r="D58" s="275">
        <v>-0.30499999999999999</v>
      </c>
      <c r="E58" s="150">
        <v>-0.10199999999999999</v>
      </c>
      <c r="F58" s="182">
        <v>6.7000000000000004E-2</v>
      </c>
      <c r="G58" s="58">
        <v>4.0000000000000001E-3</v>
      </c>
      <c r="H58" s="110">
        <v>-2.9000000000000001E-2</v>
      </c>
      <c r="I58" s="126">
        <v>1E-3</v>
      </c>
      <c r="J58" s="207">
        <v>-6.6000000000000003E-2</v>
      </c>
      <c r="K58" s="63">
        <v>-4.1000000000000002E-2</v>
      </c>
      <c r="L58" s="43"/>
      <c r="M58" s="43"/>
      <c r="N58" s="43"/>
      <c r="O58" s="44"/>
      <c r="P58" s="44"/>
    </row>
    <row r="59" spans="1:16">
      <c r="A59" s="43" t="s">
        <v>2785</v>
      </c>
      <c r="B59" s="276">
        <v>0.26100000000000001</v>
      </c>
      <c r="C59" s="277">
        <v>0.376</v>
      </c>
      <c r="D59" s="278">
        <v>0.45700000000000002</v>
      </c>
      <c r="E59" s="279">
        <v>0.153</v>
      </c>
      <c r="F59" s="107">
        <v>0.13600000000000001</v>
      </c>
      <c r="G59" s="71">
        <v>-9.1999999999999998E-2</v>
      </c>
      <c r="H59" s="234">
        <v>-5.6000000000000001E-2</v>
      </c>
      <c r="I59" s="280">
        <v>-4.2999999999999997E-2</v>
      </c>
      <c r="J59" s="281">
        <v>-0.14099999999999999</v>
      </c>
      <c r="K59" s="204">
        <v>0.108</v>
      </c>
      <c r="L59" s="43"/>
      <c r="M59" s="43"/>
      <c r="N59" s="43"/>
      <c r="O59" s="44"/>
      <c r="P59" s="44"/>
    </row>
    <row r="60" spans="1:16">
      <c r="A60" s="43" t="s">
        <v>2786</v>
      </c>
      <c r="B60" s="282">
        <v>-0.27300000000000002</v>
      </c>
      <c r="C60" s="147">
        <v>-0.112</v>
      </c>
      <c r="D60" s="117">
        <v>-0.10199999999999999</v>
      </c>
      <c r="E60" s="123">
        <v>-0.182</v>
      </c>
      <c r="F60" s="237">
        <v>-0.33800000000000002</v>
      </c>
      <c r="G60" s="132">
        <v>-0.153</v>
      </c>
      <c r="H60" s="69">
        <v>-0.13100000000000001</v>
      </c>
      <c r="I60" s="93">
        <v>-0.158</v>
      </c>
      <c r="J60" s="45">
        <v>-4.9000000000000002E-2</v>
      </c>
      <c r="K60" s="101">
        <v>4.7E-2</v>
      </c>
      <c r="L60" s="43"/>
      <c r="M60" s="43"/>
      <c r="N60" s="43"/>
      <c r="O60" s="44"/>
      <c r="P60" s="44"/>
    </row>
    <row r="61" spans="1:16">
      <c r="A61" s="43" t="s">
        <v>2787</v>
      </c>
      <c r="B61" s="194">
        <v>7.0000000000000001E-3</v>
      </c>
      <c r="C61" s="142">
        <v>0.16500000000000001</v>
      </c>
      <c r="D61" s="149">
        <v>0.115</v>
      </c>
      <c r="E61" s="193">
        <v>0.34499999999999997</v>
      </c>
      <c r="F61" s="58">
        <v>4.0000000000000001E-3</v>
      </c>
      <c r="G61" s="31">
        <v>-1.4999999999999999E-2</v>
      </c>
      <c r="H61" s="120">
        <v>2E-3</v>
      </c>
      <c r="I61" s="71">
        <v>-9.1999999999999998E-2</v>
      </c>
      <c r="J61" s="283">
        <v>-0.23300000000000001</v>
      </c>
      <c r="K61" s="91">
        <v>9.8000000000000004E-2</v>
      </c>
      <c r="L61" s="43"/>
      <c r="M61" s="43"/>
      <c r="N61" s="43"/>
      <c r="O61" s="44"/>
      <c r="P61" s="44"/>
    </row>
    <row r="62" spans="1:16">
      <c r="A62" s="43" t="s">
        <v>2788</v>
      </c>
      <c r="B62" s="61">
        <v>-8.0000000000000002E-3</v>
      </c>
      <c r="C62" s="284">
        <v>0.13400000000000001</v>
      </c>
      <c r="D62" s="78">
        <v>7.3999999999999996E-2</v>
      </c>
      <c r="E62" s="285">
        <v>0.39900000000000002</v>
      </c>
      <c r="F62" s="73">
        <v>3.1E-2</v>
      </c>
      <c r="G62" s="61">
        <v>-8.9999999999999993E-3</v>
      </c>
      <c r="H62" s="121">
        <v>8.0000000000000002E-3</v>
      </c>
      <c r="I62" s="81">
        <v>-0.11700000000000001</v>
      </c>
      <c r="J62" s="86">
        <v>-0.13</v>
      </c>
      <c r="K62" s="53">
        <v>4.5999999999999999E-2</v>
      </c>
      <c r="L62" s="43"/>
      <c r="M62" s="43"/>
      <c r="N62" s="43"/>
      <c r="O62" s="44"/>
      <c r="P62" s="44"/>
    </row>
    <row r="63" spans="1:16">
      <c r="A63" s="43" t="s">
        <v>2789</v>
      </c>
      <c r="B63" s="31">
        <v>-1.7999999999999999E-2</v>
      </c>
      <c r="C63" s="207">
        <v>-6.7000000000000004E-2</v>
      </c>
      <c r="D63" s="160">
        <v>-6.9000000000000006E-2</v>
      </c>
      <c r="E63" s="82">
        <v>-1E-3</v>
      </c>
      <c r="F63" s="73">
        <v>3.2000000000000001E-2</v>
      </c>
      <c r="G63" s="96">
        <v>-1.2E-2</v>
      </c>
      <c r="H63" s="110">
        <v>-0.03</v>
      </c>
      <c r="I63" s="159">
        <v>-5.3999999999999999E-2</v>
      </c>
      <c r="J63" s="286">
        <v>0.16700000000000001</v>
      </c>
      <c r="K63" s="287">
        <v>-7.2999999999999995E-2</v>
      </c>
      <c r="L63" s="43"/>
      <c r="M63" s="43"/>
      <c r="N63" s="43"/>
      <c r="O63" s="44"/>
      <c r="P63" s="44"/>
    </row>
    <row r="64" spans="1:16">
      <c r="A64" s="43" t="s">
        <v>2790</v>
      </c>
      <c r="B64" s="31">
        <v>-1.7999999999999999E-2</v>
      </c>
      <c r="C64" s="207">
        <v>-6.7000000000000004E-2</v>
      </c>
      <c r="D64" s="160">
        <v>-6.9000000000000006E-2</v>
      </c>
      <c r="E64" s="82">
        <v>-1E-3</v>
      </c>
      <c r="F64" s="73">
        <v>3.2000000000000001E-2</v>
      </c>
      <c r="G64" s="96">
        <v>-1.2E-2</v>
      </c>
      <c r="H64" s="110">
        <v>-0.03</v>
      </c>
      <c r="I64" s="159">
        <v>-5.3999999999999999E-2</v>
      </c>
      <c r="J64" s="286">
        <v>0.16700000000000001</v>
      </c>
      <c r="K64" s="287">
        <v>-7.2999999999999995E-2</v>
      </c>
      <c r="L64" s="43"/>
      <c r="M64" s="43"/>
      <c r="N64" s="43"/>
      <c r="O64" s="44"/>
      <c r="P64" s="44"/>
    </row>
    <row r="65" spans="1:16">
      <c r="A65" s="43" t="s">
        <v>2791</v>
      </c>
      <c r="B65" s="61">
        <v>-0.01</v>
      </c>
      <c r="C65" s="53">
        <v>4.4999999999999998E-2</v>
      </c>
      <c r="D65" s="209">
        <v>3.5000000000000003E-2</v>
      </c>
      <c r="E65" s="61">
        <v>-7.0000000000000001E-3</v>
      </c>
      <c r="F65" s="45">
        <v>-4.5999999999999999E-2</v>
      </c>
      <c r="G65" s="90">
        <v>1.2E-2</v>
      </c>
      <c r="H65" s="246">
        <v>0.03</v>
      </c>
      <c r="I65" s="169">
        <v>5.3999999999999999E-2</v>
      </c>
      <c r="J65" s="229">
        <v>-0.16700000000000001</v>
      </c>
      <c r="K65" s="215">
        <v>7.2999999999999995E-2</v>
      </c>
      <c r="L65" s="43"/>
      <c r="M65" s="43"/>
      <c r="N65" s="43"/>
      <c r="O65" s="44"/>
      <c r="P65" s="44"/>
    </row>
    <row r="66" spans="1:16">
      <c r="A66" s="43" t="s">
        <v>2792</v>
      </c>
      <c r="B66" s="126">
        <v>0</v>
      </c>
      <c r="C66" s="128">
        <v>-0.16300000000000001</v>
      </c>
      <c r="D66" s="140">
        <v>-0.104</v>
      </c>
      <c r="E66" s="288">
        <v>-0.40200000000000002</v>
      </c>
      <c r="F66" s="31">
        <v>-1.7999999999999999E-2</v>
      </c>
      <c r="G66" s="54">
        <v>-4.0000000000000001E-3</v>
      </c>
      <c r="H66" s="31">
        <v>-1.6E-2</v>
      </c>
      <c r="I66" s="91">
        <v>9.8000000000000004E-2</v>
      </c>
      <c r="J66" s="289">
        <v>0.2</v>
      </c>
      <c r="K66" s="251">
        <v>-8.5999999999999993E-2</v>
      </c>
      <c r="L66" s="43"/>
      <c r="M66" s="43"/>
      <c r="N66" s="43"/>
      <c r="O66" s="44"/>
      <c r="P66" s="44"/>
    </row>
    <row r="67" spans="1:16">
      <c r="A67" s="43" t="s">
        <v>2793</v>
      </c>
      <c r="B67" s="61">
        <v>-7.0000000000000001E-3</v>
      </c>
      <c r="C67" s="119">
        <v>-0.124</v>
      </c>
      <c r="D67" s="290">
        <v>-7.6999999999999999E-2</v>
      </c>
      <c r="E67" s="291">
        <v>-0.378</v>
      </c>
      <c r="F67" s="45">
        <v>-4.9000000000000002E-2</v>
      </c>
      <c r="G67" s="73">
        <v>3.1E-2</v>
      </c>
      <c r="H67" s="121">
        <v>8.0000000000000002E-3</v>
      </c>
      <c r="I67" s="109">
        <v>0.13</v>
      </c>
      <c r="J67" s="215">
        <v>7.2999999999999995E-2</v>
      </c>
      <c r="K67" s="54">
        <v>-3.0000000000000001E-3</v>
      </c>
      <c r="L67" s="43"/>
      <c r="M67" s="43"/>
      <c r="N67" s="43"/>
      <c r="O67" s="44"/>
      <c r="P67" s="44"/>
    </row>
    <row r="68" spans="1:16">
      <c r="A68" s="43" t="s">
        <v>2794</v>
      </c>
      <c r="B68" s="119">
        <v>-0.123</v>
      </c>
      <c r="C68" s="72">
        <v>-0.13700000000000001</v>
      </c>
      <c r="D68" s="202">
        <v>-0.11600000000000001</v>
      </c>
      <c r="E68" s="292">
        <v>-0.192</v>
      </c>
      <c r="F68" s="245">
        <v>-0.14599999999999999</v>
      </c>
      <c r="G68" s="96">
        <v>-0.01</v>
      </c>
      <c r="H68" s="83">
        <v>0.02</v>
      </c>
      <c r="I68" s="61">
        <v>-8.9999999999999993E-3</v>
      </c>
      <c r="J68" s="140">
        <v>-0.104</v>
      </c>
      <c r="K68" s="199">
        <v>8.7999999999999995E-2</v>
      </c>
      <c r="L68" s="43"/>
      <c r="M68" s="43"/>
      <c r="N68" s="43"/>
      <c r="O68" s="44"/>
      <c r="P68" s="44"/>
    </row>
    <row r="69" spans="1:16">
      <c r="A69" s="43" t="s">
        <v>2795</v>
      </c>
      <c r="B69" s="293">
        <v>-0.32500000000000001</v>
      </c>
      <c r="C69" s="294">
        <v>-0.35899999999999999</v>
      </c>
      <c r="D69" s="295">
        <v>-0.30199999999999999</v>
      </c>
      <c r="E69" s="296">
        <v>-0.23899999999999999</v>
      </c>
      <c r="F69" s="297">
        <v>-0.27</v>
      </c>
      <c r="G69" s="111">
        <v>0.14499999999999999</v>
      </c>
      <c r="H69" s="138">
        <v>0.11799999999999999</v>
      </c>
      <c r="I69" s="240">
        <v>8.1000000000000003E-2</v>
      </c>
      <c r="J69" s="120">
        <v>3.0000000000000001E-3</v>
      </c>
      <c r="K69" s="112">
        <v>-5.7000000000000002E-2</v>
      </c>
      <c r="L69" s="43"/>
      <c r="M69" s="43"/>
      <c r="N69" s="43"/>
      <c r="O69" s="44"/>
      <c r="P69" s="44"/>
    </row>
    <row r="70" spans="1:16">
      <c r="A70" s="43" t="s">
        <v>2796</v>
      </c>
      <c r="B70" s="266">
        <v>-3.3000000000000002E-2</v>
      </c>
      <c r="C70" s="79">
        <v>-8.4000000000000005E-2</v>
      </c>
      <c r="D70" s="273">
        <v>7.6999999999999999E-2</v>
      </c>
      <c r="E70" s="31">
        <v>-1.7000000000000001E-2</v>
      </c>
      <c r="F70" s="62">
        <v>-4.2999999999999997E-2</v>
      </c>
      <c r="G70" s="149">
        <v>0.114</v>
      </c>
      <c r="H70" s="298">
        <v>0.14799999999999999</v>
      </c>
      <c r="I70" s="240">
        <v>8.1000000000000003E-2</v>
      </c>
      <c r="J70" s="182">
        <v>6.5000000000000002E-2</v>
      </c>
      <c r="K70" s="197">
        <v>-0.01</v>
      </c>
      <c r="L70" s="43"/>
      <c r="M70" s="43"/>
      <c r="N70" s="43"/>
      <c r="O70" s="44"/>
      <c r="P70" s="44"/>
    </row>
    <row r="71" spans="1:16">
      <c r="A71" s="43" t="s">
        <v>2797</v>
      </c>
      <c r="B71" s="78">
        <v>7.3999999999999996E-2</v>
      </c>
      <c r="C71" s="160">
        <v>-7.0999999999999994E-2</v>
      </c>
      <c r="D71" s="51">
        <v>-5.5E-2</v>
      </c>
      <c r="E71" s="299">
        <v>-0.217</v>
      </c>
      <c r="F71" s="300">
        <v>0.185</v>
      </c>
      <c r="G71" s="121">
        <v>0.01</v>
      </c>
      <c r="H71" s="164">
        <v>3.5000000000000003E-2</v>
      </c>
      <c r="I71" s="78">
        <v>7.3999999999999996E-2</v>
      </c>
      <c r="J71" s="142">
        <v>0.16300000000000001</v>
      </c>
      <c r="K71" s="117">
        <v>-0.10100000000000001</v>
      </c>
      <c r="L71" s="43"/>
      <c r="M71" s="43"/>
      <c r="N71" s="43"/>
      <c r="O71" s="44"/>
      <c r="P71" s="44"/>
    </row>
    <row r="72" spans="1:16">
      <c r="A72" s="43" t="s">
        <v>2798</v>
      </c>
      <c r="B72" s="301">
        <v>0.30499999999999999</v>
      </c>
      <c r="C72" s="302">
        <v>0.44</v>
      </c>
      <c r="D72" s="303">
        <v>0.49199999999999999</v>
      </c>
      <c r="E72" s="304">
        <v>0.23599999999999999</v>
      </c>
      <c r="F72" s="166">
        <v>0.23499999999999999</v>
      </c>
      <c r="G72" s="140">
        <v>-0.105</v>
      </c>
      <c r="H72" s="186">
        <v>-7.4999999999999997E-2</v>
      </c>
      <c r="I72" s="85">
        <v>-7.8E-2</v>
      </c>
      <c r="J72" s="287">
        <v>-7.3999999999999996E-2</v>
      </c>
      <c r="K72" s="182">
        <v>6.6000000000000003E-2</v>
      </c>
      <c r="L72" s="43"/>
      <c r="M72" s="43"/>
      <c r="N72" s="43"/>
      <c r="O72" s="44"/>
      <c r="P72" s="44"/>
    </row>
    <row r="73" spans="1:16">
      <c r="A73" s="43" t="s">
        <v>2799</v>
      </c>
      <c r="B73" s="305">
        <v>-0.28299999999999997</v>
      </c>
      <c r="C73" s="251">
        <v>-8.5999999999999993E-2</v>
      </c>
      <c r="D73" s="117">
        <v>-0.10199999999999999</v>
      </c>
      <c r="E73" s="113">
        <v>-0.17199999999999999</v>
      </c>
      <c r="F73" s="306">
        <v>-0.31900000000000001</v>
      </c>
      <c r="G73" s="50">
        <v>-9.6000000000000002E-2</v>
      </c>
      <c r="H73" s="52">
        <v>-0.11799999999999999</v>
      </c>
      <c r="I73" s="46">
        <v>-0.115</v>
      </c>
      <c r="J73" s="89">
        <v>-0.08</v>
      </c>
      <c r="K73" s="273">
        <v>7.6999999999999999E-2</v>
      </c>
      <c r="L73" s="43"/>
      <c r="M73" s="43"/>
      <c r="N73" s="43"/>
      <c r="O73" s="44"/>
      <c r="P73" s="44"/>
    </row>
    <row r="74" spans="1:16">
      <c r="A74" s="43" t="s">
        <v>2800</v>
      </c>
      <c r="B74" s="307">
        <v>0.26200000000000001</v>
      </c>
      <c r="C74" s="184">
        <v>0.38800000000000001</v>
      </c>
      <c r="D74" s="268">
        <v>0.443</v>
      </c>
      <c r="E74" s="259">
        <v>0.22</v>
      </c>
      <c r="F74" s="308">
        <v>0.188</v>
      </c>
      <c r="G74" s="119">
        <v>-0.122</v>
      </c>
      <c r="H74" s="79">
        <v>-8.5000000000000006E-2</v>
      </c>
      <c r="I74" s="309">
        <v>-0.10299999999999999</v>
      </c>
      <c r="J74" s="52">
        <v>-0.12</v>
      </c>
      <c r="K74" s="196">
        <v>6.2E-2</v>
      </c>
      <c r="L74" s="43"/>
      <c r="M74" s="43"/>
      <c r="N74" s="43"/>
      <c r="O74" s="44"/>
      <c r="P74" s="44"/>
    </row>
    <row r="75" spans="1:16">
      <c r="A75" s="43" t="s">
        <v>2801</v>
      </c>
      <c r="B75" s="310">
        <v>-0.30299999999999999</v>
      </c>
      <c r="C75" s="67">
        <v>-0.14899999999999999</v>
      </c>
      <c r="D75" s="128">
        <v>-0.16200000000000001</v>
      </c>
      <c r="E75" s="229">
        <v>-0.16700000000000001</v>
      </c>
      <c r="F75" s="311">
        <v>-0.33500000000000002</v>
      </c>
      <c r="G75" s="65">
        <v>-0.186</v>
      </c>
      <c r="H75" s="123">
        <v>-0.18099999999999999</v>
      </c>
      <c r="I75" s="65">
        <v>-0.185</v>
      </c>
      <c r="J75" s="251">
        <v>-8.5999999999999993E-2</v>
      </c>
      <c r="K75" s="78">
        <v>7.3999999999999996E-2</v>
      </c>
      <c r="L75" s="43"/>
      <c r="M75" s="43"/>
      <c r="N75" s="43"/>
      <c r="O75" s="44"/>
      <c r="P75" s="44"/>
    </row>
    <row r="76" spans="1:16">
      <c r="A76" s="43" t="s">
        <v>2802</v>
      </c>
      <c r="B76" s="312">
        <v>0.40500000000000003</v>
      </c>
      <c r="C76" s="313">
        <v>0.48399999999999999</v>
      </c>
      <c r="D76" s="314">
        <v>0.55400000000000005</v>
      </c>
      <c r="E76" s="315">
        <v>0.32900000000000001</v>
      </c>
      <c r="F76" s="301">
        <v>0.309</v>
      </c>
      <c r="G76" s="273">
        <v>7.6999999999999999E-2</v>
      </c>
      <c r="H76" s="222">
        <v>9.1999999999999998E-2</v>
      </c>
      <c r="I76" s="182">
        <v>6.5000000000000002E-2</v>
      </c>
      <c r="J76" s="51">
        <v>-5.5E-2</v>
      </c>
      <c r="K76" s="163">
        <v>-2.7E-2</v>
      </c>
      <c r="L76" s="43"/>
      <c r="M76" s="43"/>
      <c r="N76" s="43"/>
      <c r="O76" s="44"/>
      <c r="P76" s="44"/>
    </row>
    <row r="77" spans="1:16">
      <c r="A77" s="43" t="s">
        <v>2803</v>
      </c>
      <c r="B77" s="103">
        <v>0.156</v>
      </c>
      <c r="C77" s="316">
        <v>0.26500000000000001</v>
      </c>
      <c r="D77" s="316">
        <v>0.26500000000000001</v>
      </c>
      <c r="E77" s="317">
        <v>0.309</v>
      </c>
      <c r="F77" s="99">
        <v>0.17799999999999999</v>
      </c>
      <c r="G77" s="115">
        <v>2.7E-2</v>
      </c>
      <c r="H77" s="73">
        <v>3.2000000000000001E-2</v>
      </c>
      <c r="I77" s="280">
        <v>-4.2000000000000003E-2</v>
      </c>
      <c r="J77" s="141">
        <v>-3.4000000000000002E-2</v>
      </c>
      <c r="K77" s="183">
        <v>-2.4E-2</v>
      </c>
      <c r="L77" s="43"/>
      <c r="M77" s="43"/>
      <c r="N77" s="43"/>
      <c r="O77" s="44"/>
      <c r="P77" s="44"/>
    </row>
    <row r="78" spans="1:16">
      <c r="A78" s="43" t="s">
        <v>2804</v>
      </c>
      <c r="B78" s="119">
        <v>-0.123</v>
      </c>
      <c r="C78" s="45">
        <v>-4.8000000000000001E-2</v>
      </c>
      <c r="D78" s="140">
        <v>-0.104</v>
      </c>
      <c r="E78" s="214">
        <v>0.129</v>
      </c>
      <c r="F78" s="137">
        <v>-0.02</v>
      </c>
      <c r="G78" s="54">
        <v>-5.0000000000000001E-3</v>
      </c>
      <c r="H78" s="29">
        <v>-2.5000000000000001E-2</v>
      </c>
      <c r="I78" s="89">
        <v>-0.08</v>
      </c>
      <c r="J78" s="54">
        <v>-4.0000000000000001E-3</v>
      </c>
      <c r="K78" s="31">
        <v>-1.7000000000000001E-2</v>
      </c>
      <c r="L78" s="43"/>
      <c r="M78" s="43"/>
      <c r="N78" s="43"/>
      <c r="O78" s="44"/>
      <c r="P78" s="44"/>
    </row>
    <row r="79" spans="1:16">
      <c r="A79" s="43" t="s">
        <v>2805</v>
      </c>
      <c r="B79" s="119">
        <v>-0.123</v>
      </c>
      <c r="C79" s="45">
        <v>-4.8000000000000001E-2</v>
      </c>
      <c r="D79" s="140">
        <v>-0.104</v>
      </c>
      <c r="E79" s="214">
        <v>0.129</v>
      </c>
      <c r="F79" s="137">
        <v>-0.02</v>
      </c>
      <c r="G79" s="54">
        <v>-5.0000000000000001E-3</v>
      </c>
      <c r="H79" s="29">
        <v>-2.5000000000000001E-2</v>
      </c>
      <c r="I79" s="89">
        <v>-0.08</v>
      </c>
      <c r="J79" s="54">
        <v>-4.0000000000000001E-3</v>
      </c>
      <c r="K79" s="31">
        <v>-1.7000000000000001E-2</v>
      </c>
      <c r="L79" s="43"/>
      <c r="M79" s="43"/>
      <c r="N79" s="43"/>
      <c r="O79" s="44"/>
      <c r="P79" s="44"/>
    </row>
    <row r="80" spans="1:16">
      <c r="A80" s="43" t="s">
        <v>2806</v>
      </c>
      <c r="B80" s="125">
        <v>0.111</v>
      </c>
      <c r="C80" s="246">
        <v>0.03</v>
      </c>
      <c r="D80" s="211">
        <v>8.5999999999999993E-2</v>
      </c>
      <c r="E80" s="88">
        <v>-0.151</v>
      </c>
      <c r="F80" s="146">
        <v>2.1999999999999999E-2</v>
      </c>
      <c r="G80" s="216">
        <v>5.0000000000000001E-3</v>
      </c>
      <c r="H80" s="210">
        <v>2.5000000000000001E-2</v>
      </c>
      <c r="I80" s="240">
        <v>0.08</v>
      </c>
      <c r="J80" s="58">
        <v>4.0000000000000001E-3</v>
      </c>
      <c r="K80" s="225">
        <v>1.7000000000000001E-2</v>
      </c>
      <c r="L80" s="43"/>
      <c r="M80" s="43"/>
      <c r="N80" s="43"/>
      <c r="O80" s="44"/>
      <c r="P80" s="44"/>
    </row>
    <row r="81" spans="1:16">
      <c r="A81" s="43" t="s">
        <v>2807</v>
      </c>
      <c r="B81" s="318">
        <v>-0.28000000000000003</v>
      </c>
      <c r="C81" s="319">
        <v>-0.38700000000000001</v>
      </c>
      <c r="D81" s="264">
        <v>-0.41699999999999998</v>
      </c>
      <c r="E81" s="320">
        <v>-0.35099999999999998</v>
      </c>
      <c r="F81" s="274">
        <v>-0.253</v>
      </c>
      <c r="G81" s="141">
        <v>-3.5000000000000003E-2</v>
      </c>
      <c r="H81" s="205">
        <v>-3.9E-2</v>
      </c>
      <c r="I81" s="121">
        <v>8.9999999999999993E-3</v>
      </c>
      <c r="J81" s="53">
        <v>4.3999999999999997E-2</v>
      </c>
      <c r="K81" s="76">
        <v>4.1000000000000002E-2</v>
      </c>
      <c r="L81" s="43"/>
      <c r="M81" s="43"/>
      <c r="N81" s="43"/>
      <c r="O81" s="44"/>
      <c r="P81" s="44"/>
    </row>
    <row r="82" spans="1:16">
      <c r="A82" s="43" t="s">
        <v>2808</v>
      </c>
      <c r="B82" s="195">
        <v>-0.193</v>
      </c>
      <c r="C82" s="275">
        <v>-0.307</v>
      </c>
      <c r="D82" s="321">
        <v>-0.312</v>
      </c>
      <c r="E82" s="322">
        <v>-0.34300000000000003</v>
      </c>
      <c r="F82" s="65">
        <v>-0.185</v>
      </c>
      <c r="G82" s="163">
        <v>-2.5999999999999999E-2</v>
      </c>
      <c r="H82" s="127">
        <v>-3.1E-2</v>
      </c>
      <c r="I82" s="73">
        <v>3.4000000000000002E-2</v>
      </c>
      <c r="J82" s="73">
        <v>3.2000000000000001E-2</v>
      </c>
      <c r="K82" s="73">
        <v>3.3000000000000002E-2</v>
      </c>
      <c r="L82" s="43"/>
      <c r="M82" s="43"/>
      <c r="N82" s="43"/>
      <c r="O82" s="44"/>
      <c r="P82" s="44"/>
    </row>
    <row r="83" spans="1:16">
      <c r="A83" s="43" t="s">
        <v>2809</v>
      </c>
      <c r="B83" s="323">
        <v>0.33500000000000002</v>
      </c>
      <c r="C83" s="324">
        <v>0.44400000000000001</v>
      </c>
      <c r="D83" s="325">
        <v>0.52</v>
      </c>
      <c r="E83" s="326">
        <v>0.192</v>
      </c>
      <c r="F83" s="131">
        <v>0.21199999999999999</v>
      </c>
      <c r="G83" s="83">
        <v>0.02</v>
      </c>
      <c r="H83" s="126">
        <v>0</v>
      </c>
      <c r="I83" s="158">
        <v>5.8999999999999997E-2</v>
      </c>
      <c r="J83" s="71">
        <v>-9.2999999999999999E-2</v>
      </c>
      <c r="K83" s="149">
        <v>0.114</v>
      </c>
      <c r="L83" s="43"/>
      <c r="M83" s="43"/>
      <c r="N83" s="43"/>
      <c r="O83" s="44"/>
      <c r="P83" s="44"/>
    </row>
    <row r="84" spans="1:16">
      <c r="A84" s="43" t="s">
        <v>2810</v>
      </c>
      <c r="B84" s="327">
        <v>-0.222</v>
      </c>
      <c r="C84" s="328">
        <v>-4.9000000000000002E-2</v>
      </c>
      <c r="D84" s="116">
        <v>-2.3E-2</v>
      </c>
      <c r="E84" s="59">
        <v>-0.17</v>
      </c>
      <c r="F84" s="321">
        <v>-0.311</v>
      </c>
      <c r="G84" s="79">
        <v>-8.5000000000000006E-2</v>
      </c>
      <c r="H84" s="207">
        <v>-6.6000000000000003E-2</v>
      </c>
      <c r="I84" s="79">
        <v>-8.4000000000000005E-2</v>
      </c>
      <c r="J84" s="137">
        <v>-0.02</v>
      </c>
      <c r="K84" s="240">
        <v>0.08</v>
      </c>
      <c r="L84" s="43"/>
      <c r="M84" s="43"/>
      <c r="N84" s="43"/>
      <c r="O84" s="44"/>
      <c r="P84" s="44"/>
    </row>
    <row r="85" spans="1:16">
      <c r="A85" s="43" t="s">
        <v>2811</v>
      </c>
      <c r="B85" s="267">
        <v>0.34200000000000003</v>
      </c>
      <c r="C85" s="171">
        <v>0.318</v>
      </c>
      <c r="D85" s="329">
        <v>0.38700000000000001</v>
      </c>
      <c r="E85" s="179">
        <v>0.32200000000000001</v>
      </c>
      <c r="F85" s="191">
        <v>0.21299999999999999</v>
      </c>
      <c r="G85" s="69">
        <v>-0.13300000000000001</v>
      </c>
      <c r="H85" s="52">
        <v>-0.11899999999999999</v>
      </c>
      <c r="I85" s="245">
        <v>-0.14599999999999999</v>
      </c>
      <c r="J85" s="160">
        <v>-6.9000000000000006E-2</v>
      </c>
      <c r="K85" s="61">
        <v>-8.0000000000000002E-3</v>
      </c>
      <c r="L85" s="43"/>
      <c r="M85" s="43"/>
      <c r="N85" s="43"/>
      <c r="O85" s="44"/>
      <c r="P85" s="44"/>
    </row>
    <row r="86" spans="1:16">
      <c r="A86" s="43" t="s">
        <v>2812</v>
      </c>
      <c r="B86" s="330">
        <v>0.10100000000000001</v>
      </c>
      <c r="C86" s="126">
        <v>1E-3</v>
      </c>
      <c r="D86" s="64">
        <v>1.4999999999999999E-2</v>
      </c>
      <c r="E86" s="268">
        <v>0.441</v>
      </c>
      <c r="F86" s="221">
        <v>5.6000000000000001E-2</v>
      </c>
      <c r="G86" s="123">
        <v>-0.18099999999999999</v>
      </c>
      <c r="H86" s="224">
        <v>-0.161</v>
      </c>
      <c r="I86" s="283">
        <v>-0.23300000000000001</v>
      </c>
      <c r="J86" s="71">
        <v>-9.2999999999999999E-2</v>
      </c>
      <c r="K86" s="70">
        <v>-6.0999999999999999E-2</v>
      </c>
      <c r="L86" s="43"/>
      <c r="M86" s="43"/>
      <c r="N86" s="43"/>
      <c r="O86" s="44"/>
      <c r="P86" s="44"/>
    </row>
    <row r="87" spans="1:16">
      <c r="A87" s="43" t="s">
        <v>2813</v>
      </c>
      <c r="B87" s="190">
        <v>0.33700000000000002</v>
      </c>
      <c r="C87" s="331">
        <v>0.38300000000000001</v>
      </c>
      <c r="D87" s="332">
        <v>0.36599999999999999</v>
      </c>
      <c r="E87" s="333">
        <v>0.40699999999999997</v>
      </c>
      <c r="F87" s="312">
        <v>0.40400000000000003</v>
      </c>
      <c r="G87" s="83">
        <v>0.02</v>
      </c>
      <c r="H87" s="246">
        <v>0.03</v>
      </c>
      <c r="I87" s="61">
        <v>-7.0000000000000001E-3</v>
      </c>
      <c r="J87" s="118">
        <v>-6.2E-2</v>
      </c>
      <c r="K87" s="64">
        <v>1.6E-2</v>
      </c>
      <c r="L87" s="43"/>
      <c r="M87" s="43"/>
      <c r="N87" s="43"/>
      <c r="O87" s="43"/>
      <c r="P87" s="43"/>
    </row>
    <row r="88" spans="1:16">
      <c r="A88" s="43" t="s">
        <v>2814</v>
      </c>
      <c r="B88" s="225">
        <v>1.7999999999999999E-2</v>
      </c>
      <c r="C88" s="246">
        <v>0.03</v>
      </c>
      <c r="D88" s="334">
        <v>-9.9000000000000005E-2</v>
      </c>
      <c r="E88" s="335">
        <v>0.35299999999999998</v>
      </c>
      <c r="F88" s="166">
        <v>0.23400000000000001</v>
      </c>
      <c r="G88" s="181">
        <v>-6.4000000000000001E-2</v>
      </c>
      <c r="H88" s="127">
        <v>-3.1E-2</v>
      </c>
      <c r="I88" s="52">
        <v>-0.12</v>
      </c>
      <c r="J88" s="126">
        <v>0</v>
      </c>
      <c r="K88" s="96">
        <v>-1.0999999999999999E-2</v>
      </c>
      <c r="L88" s="43"/>
      <c r="M88" s="43"/>
      <c r="N88" s="43"/>
      <c r="O88" s="43"/>
      <c r="P88" s="43"/>
    </row>
    <row r="89" spans="1:16">
      <c r="A89" s="43" t="s">
        <v>2815</v>
      </c>
      <c r="B89" s="336">
        <v>-0.46400000000000002</v>
      </c>
      <c r="C89" s="337">
        <v>-0.51100000000000001</v>
      </c>
      <c r="D89" s="338">
        <v>-0.51500000000000001</v>
      </c>
      <c r="E89" s="137">
        <v>-1.9E-2</v>
      </c>
      <c r="F89" s="339">
        <v>-0.26200000000000001</v>
      </c>
      <c r="G89" s="340">
        <v>2.5000000000000001E-2</v>
      </c>
      <c r="H89" s="249">
        <v>-1.4E-2</v>
      </c>
      <c r="I89" s="75">
        <v>-0.106</v>
      </c>
      <c r="J89" s="216">
        <v>5.0000000000000001E-3</v>
      </c>
      <c r="K89" s="137">
        <v>-1.9E-2</v>
      </c>
      <c r="L89" s="43"/>
      <c r="M89" s="43"/>
      <c r="N89" s="43"/>
      <c r="O89" s="43"/>
      <c r="P89" s="43"/>
    </row>
    <row r="90" spans="1:16">
      <c r="A90" s="43" t="s">
        <v>2816</v>
      </c>
      <c r="B90" s="304">
        <v>0.23799999999999999</v>
      </c>
      <c r="C90" s="232">
        <v>0.27600000000000002</v>
      </c>
      <c r="D90" s="307">
        <v>0.26200000000000001</v>
      </c>
      <c r="E90" s="307">
        <v>0.26200000000000001</v>
      </c>
      <c r="F90" s="273">
        <v>7.6999999999999999E-2</v>
      </c>
      <c r="G90" s="75">
        <v>-0.107</v>
      </c>
      <c r="H90" s="117">
        <v>-0.1</v>
      </c>
      <c r="I90" s="207">
        <v>-6.6000000000000003E-2</v>
      </c>
      <c r="J90" s="341">
        <v>-0.17199999999999999</v>
      </c>
      <c r="K90" s="204">
        <v>0.106</v>
      </c>
      <c r="L90" s="43"/>
      <c r="M90" s="43"/>
      <c r="N90" s="43"/>
      <c r="O90" s="43"/>
      <c r="P90" s="43"/>
    </row>
    <row r="91" spans="1:16">
      <c r="A91" s="43" t="s">
        <v>2817</v>
      </c>
      <c r="B91" s="342">
        <v>-0.23599999999999999</v>
      </c>
      <c r="C91" s="343">
        <v>-0.248</v>
      </c>
      <c r="D91" s="55">
        <v>-0.26900000000000002</v>
      </c>
      <c r="E91" s="304">
        <v>0.23599999999999999</v>
      </c>
      <c r="F91" s="344">
        <v>-0.183</v>
      </c>
      <c r="G91" s="287">
        <v>-7.1999999999999995E-2</v>
      </c>
      <c r="H91" s="71">
        <v>-0.09</v>
      </c>
      <c r="I91" s="292">
        <v>-0.19</v>
      </c>
      <c r="J91" s="93">
        <v>-0.157</v>
      </c>
      <c r="K91" s="330">
        <v>0.10299999999999999</v>
      </c>
      <c r="L91" s="43"/>
      <c r="M91" s="43"/>
      <c r="N91" s="43"/>
      <c r="O91" s="43"/>
      <c r="P91" s="43"/>
    </row>
    <row r="92" spans="1:16">
      <c r="A92" s="43" t="s">
        <v>2818</v>
      </c>
      <c r="B92" s="330">
        <v>0.10299999999999999</v>
      </c>
      <c r="C92" s="345">
        <v>0.14099999999999999</v>
      </c>
      <c r="D92" s="162">
        <v>0.127</v>
      </c>
      <c r="E92" s="87">
        <v>0.158</v>
      </c>
      <c r="F92" s="112">
        <v>-5.8999999999999997E-2</v>
      </c>
      <c r="G92" s="84">
        <v>-8.8999999999999996E-2</v>
      </c>
      <c r="H92" s="159">
        <v>-5.2999999999999999E-2</v>
      </c>
      <c r="I92" s="346">
        <v>-2.8000000000000001E-2</v>
      </c>
      <c r="J92" s="54">
        <v>-2E-3</v>
      </c>
      <c r="K92" s="246">
        <v>3.1E-2</v>
      </c>
      <c r="L92" s="43"/>
      <c r="M92" s="43"/>
      <c r="N92" s="43"/>
      <c r="O92" s="43"/>
      <c r="P92" s="43"/>
    </row>
    <row r="93" spans="1:16">
      <c r="A93" s="43" t="s">
        <v>2819</v>
      </c>
      <c r="B93" s="101">
        <v>0.05</v>
      </c>
      <c r="C93" s="76">
        <v>4.2000000000000003E-2</v>
      </c>
      <c r="D93" s="58">
        <v>4.0000000000000001E-3</v>
      </c>
      <c r="E93" s="157">
        <v>0.316</v>
      </c>
      <c r="F93" s="158">
        <v>5.6000000000000001E-2</v>
      </c>
      <c r="G93" s="80">
        <v>-8.3000000000000004E-2</v>
      </c>
      <c r="H93" s="251">
        <v>-8.6999999999999994E-2</v>
      </c>
      <c r="I93" s="140">
        <v>-0.105</v>
      </c>
      <c r="J93" s="203">
        <v>-0.19700000000000001</v>
      </c>
      <c r="K93" s="146">
        <v>2.1999999999999999E-2</v>
      </c>
      <c r="L93" s="43"/>
      <c r="M93" s="43"/>
      <c r="N93" s="43"/>
      <c r="O93" s="43"/>
      <c r="P93" s="43"/>
    </row>
    <row r="94" spans="1:16">
      <c r="A94" s="43" t="s">
        <v>2820</v>
      </c>
      <c r="B94" s="72">
        <v>-0.13800000000000001</v>
      </c>
      <c r="C94" s="287">
        <v>-7.3999999999999996E-2</v>
      </c>
      <c r="D94" s="72">
        <v>-0.13700000000000001</v>
      </c>
      <c r="E94" s="347">
        <v>0.247</v>
      </c>
      <c r="F94" s="104">
        <v>-0.2</v>
      </c>
      <c r="G94" s="150">
        <v>-0.10299999999999999</v>
      </c>
      <c r="H94" s="117">
        <v>-0.10199999999999999</v>
      </c>
      <c r="I94" s="245">
        <v>-0.14499999999999999</v>
      </c>
      <c r="J94" s="46">
        <v>-0.112</v>
      </c>
      <c r="K94" s="348">
        <v>9.6000000000000002E-2</v>
      </c>
      <c r="L94" s="43"/>
      <c r="M94" s="43"/>
      <c r="N94" s="43"/>
      <c r="O94" s="43"/>
      <c r="P94" s="43"/>
    </row>
    <row r="95" spans="1:16">
      <c r="A95" s="43" t="s">
        <v>2821</v>
      </c>
      <c r="B95" s="87">
        <v>0.16</v>
      </c>
      <c r="C95" s="349">
        <v>0.22700000000000001</v>
      </c>
      <c r="D95" s="289">
        <v>0.19900000000000001</v>
      </c>
      <c r="E95" s="69">
        <v>-0.13300000000000001</v>
      </c>
      <c r="F95" s="90">
        <v>1.2E-2</v>
      </c>
      <c r="G95" s="280">
        <v>-4.2000000000000003E-2</v>
      </c>
      <c r="H95" s="126">
        <v>1E-3</v>
      </c>
      <c r="I95" s="222">
        <v>9.1999999999999998E-2</v>
      </c>
      <c r="J95" s="96">
        <v>-1.0999999999999999E-2</v>
      </c>
      <c r="K95" s="83">
        <v>1.9E-2</v>
      </c>
      <c r="L95" s="43"/>
      <c r="M95" s="43"/>
      <c r="N95" s="43"/>
      <c r="O95" s="43"/>
      <c r="P95" s="43"/>
    </row>
    <row r="96" spans="1:16">
      <c r="A96" s="43" t="s">
        <v>2822</v>
      </c>
      <c r="B96" s="101">
        <v>4.8000000000000001E-2</v>
      </c>
      <c r="C96" s="146">
        <v>2.1000000000000001E-2</v>
      </c>
      <c r="D96" s="96">
        <v>-1.2E-2</v>
      </c>
      <c r="E96" s="350">
        <v>0.35399999999999998</v>
      </c>
      <c r="F96" s="351">
        <v>0.125</v>
      </c>
      <c r="G96" s="287">
        <v>-7.3999999999999996E-2</v>
      </c>
      <c r="H96" s="186">
        <v>-7.4999999999999997E-2</v>
      </c>
      <c r="I96" s="352">
        <v>-0.11</v>
      </c>
      <c r="J96" s="292">
        <v>-0.192</v>
      </c>
      <c r="K96" s="126">
        <v>-1E-3</v>
      </c>
      <c r="L96" s="43"/>
      <c r="M96" s="43"/>
      <c r="N96" s="43"/>
      <c r="O96" s="43"/>
      <c r="P96" s="43"/>
    </row>
    <row r="97" spans="1:16">
      <c r="A97" s="43" t="s">
        <v>2823</v>
      </c>
      <c r="B97" s="225">
        <v>1.7000000000000001E-2</v>
      </c>
      <c r="C97" s="84">
        <v>-8.8999999999999996E-2</v>
      </c>
      <c r="D97" s="266">
        <v>-3.3000000000000002E-2</v>
      </c>
      <c r="E97" s="158">
        <v>5.8000000000000003E-2</v>
      </c>
      <c r="F97" s="111">
        <v>0.14499999999999999</v>
      </c>
      <c r="G97" s="138">
        <v>0.11700000000000001</v>
      </c>
      <c r="H97" s="273">
        <v>7.6999999999999999E-2</v>
      </c>
      <c r="I97" s="125">
        <v>0.109</v>
      </c>
      <c r="J97" s="210">
        <v>2.5000000000000001E-2</v>
      </c>
      <c r="K97" s="79">
        <v>-8.4000000000000005E-2</v>
      </c>
      <c r="L97" s="43"/>
      <c r="M97" s="43"/>
      <c r="N97" s="43"/>
      <c r="O97" s="43"/>
      <c r="P97" s="43"/>
    </row>
    <row r="98" spans="1:16">
      <c r="A98" s="43" t="s">
        <v>2824</v>
      </c>
      <c r="B98" s="320">
        <v>-0.35099999999999998</v>
      </c>
      <c r="C98" s="353">
        <v>-0.42699999999999999</v>
      </c>
      <c r="D98" s="354">
        <v>-0.48899999999999999</v>
      </c>
      <c r="E98" s="71">
        <v>-0.09</v>
      </c>
      <c r="F98" s="86">
        <v>-0.127</v>
      </c>
      <c r="G98" s="158">
        <v>5.8000000000000003E-2</v>
      </c>
      <c r="H98" s="145">
        <v>7.0999999999999994E-2</v>
      </c>
      <c r="I98" s="83">
        <v>1.9E-2</v>
      </c>
      <c r="J98" s="149">
        <v>0.115</v>
      </c>
      <c r="K98" s="50">
        <v>-9.8000000000000004E-2</v>
      </c>
      <c r="L98" s="43"/>
      <c r="M98" s="43"/>
      <c r="N98" s="43"/>
      <c r="O98" s="43"/>
      <c r="P98" s="43"/>
    </row>
    <row r="99" spans="1:16">
      <c r="A99" s="43" t="s">
        <v>2825</v>
      </c>
      <c r="B99" s="242">
        <v>-4.1000000000000002E-2</v>
      </c>
      <c r="C99" s="126">
        <v>0</v>
      </c>
      <c r="D99" s="73">
        <v>3.4000000000000002E-2</v>
      </c>
      <c r="E99" s="31">
        <v>-1.7999999999999999E-2</v>
      </c>
      <c r="F99" s="164">
        <v>3.5999999999999997E-2</v>
      </c>
      <c r="G99" s="164">
        <v>3.5000000000000003E-2</v>
      </c>
      <c r="H99" s="137">
        <v>-0.02</v>
      </c>
      <c r="I99" s="273">
        <v>7.6999999999999999E-2</v>
      </c>
      <c r="J99" s="205">
        <v>-3.7999999999999999E-2</v>
      </c>
      <c r="K99" s="59">
        <v>-0.16900000000000001</v>
      </c>
      <c r="L99" s="43"/>
      <c r="M99" s="43"/>
      <c r="N99" s="43"/>
      <c r="O99" s="43"/>
      <c r="P99" s="43"/>
    </row>
    <row r="100" spans="1:16">
      <c r="A100" s="43" t="s">
        <v>2826</v>
      </c>
      <c r="B100" s="84">
        <v>-8.7999999999999995E-2</v>
      </c>
      <c r="C100" s="352">
        <v>-0.11</v>
      </c>
      <c r="D100" s="207">
        <v>-6.5000000000000002E-2</v>
      </c>
      <c r="E100" s="204">
        <v>0.106</v>
      </c>
      <c r="F100" s="53">
        <v>4.5999999999999999E-2</v>
      </c>
      <c r="G100" s="51">
        <v>-5.3999999999999999E-2</v>
      </c>
      <c r="H100" s="118">
        <v>-6.2E-2</v>
      </c>
      <c r="I100" s="79">
        <v>-8.4000000000000005E-2</v>
      </c>
      <c r="J100" s="164">
        <v>3.6999999999999998E-2</v>
      </c>
      <c r="K100" s="61">
        <v>-8.9999999999999993E-3</v>
      </c>
      <c r="L100" s="43"/>
      <c r="M100" s="43"/>
      <c r="N100" s="43"/>
      <c r="O100" s="43"/>
      <c r="P100" s="43"/>
    </row>
    <row r="101" spans="1:16">
      <c r="A101" s="43" t="s">
        <v>2827</v>
      </c>
      <c r="B101" s="141">
        <v>-3.4000000000000002E-2</v>
      </c>
      <c r="C101" s="205">
        <v>-3.9E-2</v>
      </c>
      <c r="D101" s="205">
        <v>-0.04</v>
      </c>
      <c r="E101" s="118">
        <v>-6.3E-2</v>
      </c>
      <c r="F101" s="96">
        <v>-1.4E-2</v>
      </c>
      <c r="G101" s="240">
        <v>8.2000000000000003E-2</v>
      </c>
      <c r="H101" s="149">
        <v>0.115</v>
      </c>
      <c r="I101" s="243">
        <v>0.122</v>
      </c>
      <c r="J101" s="45">
        <v>-4.8000000000000001E-2</v>
      </c>
      <c r="K101" s="29">
        <v>-2.5000000000000001E-2</v>
      </c>
      <c r="L101" s="43"/>
      <c r="M101" s="43"/>
      <c r="N101" s="43"/>
      <c r="O101" s="43"/>
      <c r="P101" s="43"/>
    </row>
    <row r="102" spans="1:16">
      <c r="A102" s="43" t="s">
        <v>2828</v>
      </c>
      <c r="B102" s="128">
        <v>-0.16400000000000001</v>
      </c>
      <c r="C102" s="141">
        <v>-3.5000000000000003E-2</v>
      </c>
      <c r="D102" s="60">
        <v>-4.5999999999999999E-2</v>
      </c>
      <c r="E102" s="181">
        <v>-6.4000000000000001E-2</v>
      </c>
      <c r="F102" s="113">
        <v>-0.17199999999999999</v>
      </c>
      <c r="G102" s="88">
        <v>-0.151</v>
      </c>
      <c r="H102" s="355">
        <v>-0.127</v>
      </c>
      <c r="I102" s="341">
        <v>-0.17100000000000001</v>
      </c>
      <c r="J102" s="194">
        <v>6.0000000000000001E-3</v>
      </c>
      <c r="K102" s="117">
        <v>-0.1</v>
      </c>
      <c r="L102" s="43"/>
      <c r="M102" s="43"/>
      <c r="N102" s="43"/>
      <c r="O102" s="43"/>
      <c r="P102" s="43"/>
    </row>
    <row r="103" spans="1:16">
      <c r="A103" s="43" t="s">
        <v>2829</v>
      </c>
      <c r="B103" s="164">
        <v>3.6999999999999998E-2</v>
      </c>
      <c r="C103" s="351">
        <v>0.126</v>
      </c>
      <c r="D103" s="154">
        <v>0.23100000000000001</v>
      </c>
      <c r="E103" s="235">
        <v>-0.219</v>
      </c>
      <c r="F103" s="65">
        <v>-0.185</v>
      </c>
      <c r="G103" s="43">
        <v>0.14718667599999999</v>
      </c>
      <c r="H103" s="43">
        <v>0.16422358300000001</v>
      </c>
      <c r="I103" s="43">
        <v>0.19849857100000001</v>
      </c>
      <c r="J103" s="43">
        <v>2.8585256999999999E-2</v>
      </c>
      <c r="K103" s="43">
        <v>-1.6568098E-2</v>
      </c>
      <c r="L103" s="43"/>
      <c r="M103" s="43"/>
      <c r="N103" s="43"/>
      <c r="O103" s="43"/>
      <c r="P103" s="43"/>
    </row>
    <row r="104" spans="1:16">
      <c r="A104" s="43" t="s">
        <v>2830</v>
      </c>
      <c r="B104" s="204">
        <v>0.107</v>
      </c>
      <c r="C104" s="356">
        <v>0.22500000000000001</v>
      </c>
      <c r="D104" s="270">
        <v>0.20200000000000001</v>
      </c>
      <c r="E104" s="243">
        <v>0.124</v>
      </c>
      <c r="F104" s="111">
        <v>0.14399999999999999</v>
      </c>
      <c r="G104" s="43">
        <v>0.117950762</v>
      </c>
      <c r="H104" s="43">
        <v>0.13270369000000001</v>
      </c>
      <c r="I104" s="43">
        <v>0.121962391</v>
      </c>
      <c r="J104" s="43">
        <v>3.0871471000000001E-2</v>
      </c>
      <c r="K104" s="43">
        <v>9.7930299999999994E-3</v>
      </c>
      <c r="L104" s="43"/>
      <c r="M104" s="43"/>
      <c r="N104" s="43"/>
      <c r="O104" s="43"/>
      <c r="P104" s="43"/>
    </row>
    <row r="105" spans="1:16">
      <c r="A105" s="43" t="s">
        <v>2831</v>
      </c>
      <c r="B105" s="357">
        <v>-0.26400000000000001</v>
      </c>
      <c r="C105" s="136">
        <v>-0.108</v>
      </c>
      <c r="D105" s="234">
        <v>-5.6000000000000001E-2</v>
      </c>
      <c r="E105" s="86">
        <v>-0.128</v>
      </c>
      <c r="F105" s="358">
        <v>-0.28799999999999998</v>
      </c>
      <c r="G105" s="43">
        <v>4.0398136000000001E-2</v>
      </c>
      <c r="H105" s="43">
        <v>4.2954085000000003E-2</v>
      </c>
      <c r="I105" s="43">
        <v>-4.0435364000000001E-2</v>
      </c>
      <c r="J105" s="43">
        <v>0.106043393</v>
      </c>
      <c r="K105" s="43">
        <v>4.5588009999999998E-2</v>
      </c>
      <c r="L105" s="43"/>
      <c r="M105" s="43"/>
      <c r="N105" s="43"/>
      <c r="O105" s="43"/>
      <c r="P105" s="43"/>
    </row>
    <row r="106" spans="1:16">
      <c r="A106" s="43" t="s">
        <v>2832</v>
      </c>
      <c r="B106" s="295">
        <v>-0.30199999999999999</v>
      </c>
      <c r="C106" s="185">
        <v>-0.21199999999999999</v>
      </c>
      <c r="D106" s="239">
        <v>-0.248</v>
      </c>
      <c r="E106" s="85">
        <v>-0.08</v>
      </c>
      <c r="F106" s="133">
        <v>-0.17599999999999999</v>
      </c>
      <c r="G106" s="43">
        <v>2.3888438000000001E-2</v>
      </c>
      <c r="H106" s="43">
        <v>6.9664892000000006E-2</v>
      </c>
      <c r="I106" s="43">
        <v>-2.5628763999999998E-2</v>
      </c>
      <c r="J106" s="43">
        <v>5.3279962E-2</v>
      </c>
      <c r="K106" s="43">
        <v>2.3003062000000001E-2</v>
      </c>
      <c r="L106" s="43"/>
      <c r="M106" s="43"/>
      <c r="N106" s="43"/>
      <c r="O106" s="43"/>
      <c r="P106" s="43"/>
    </row>
    <row r="107" spans="1:16">
      <c r="A107" s="43" t="s">
        <v>2833</v>
      </c>
      <c r="B107" s="123">
        <v>-0.182</v>
      </c>
      <c r="C107" s="287">
        <v>-7.2999999999999995E-2</v>
      </c>
      <c r="D107" s="76">
        <v>0.04</v>
      </c>
      <c r="E107" s="134">
        <v>-0.19700000000000001</v>
      </c>
      <c r="F107" s="318">
        <v>-0.28199999999999997</v>
      </c>
      <c r="G107" s="43">
        <v>0.22208459</v>
      </c>
      <c r="H107" s="43">
        <v>0.196167745</v>
      </c>
      <c r="I107" s="43">
        <v>0.16627075699999999</v>
      </c>
      <c r="J107" s="43">
        <v>3.8880275999999998E-2</v>
      </c>
      <c r="K107" s="43">
        <v>5.8442288000000002E-2</v>
      </c>
      <c r="L107" s="43"/>
      <c r="M107" s="43"/>
      <c r="N107" s="43"/>
      <c r="O107" s="43"/>
      <c r="P107" s="43"/>
    </row>
    <row r="108" spans="1:16">
      <c r="A108" s="43" t="s">
        <v>2834</v>
      </c>
      <c r="B108" s="101">
        <v>4.8000000000000001E-2</v>
      </c>
      <c r="C108" s="308">
        <v>0.19</v>
      </c>
      <c r="D108" s="154">
        <v>0.23200000000000001</v>
      </c>
      <c r="E108" s="215">
        <v>7.1999999999999995E-2</v>
      </c>
      <c r="F108" s="164">
        <v>3.5999999999999997E-2</v>
      </c>
      <c r="G108" s="43">
        <v>0.15099037700000001</v>
      </c>
      <c r="H108" s="43">
        <v>0.13650622300000001</v>
      </c>
      <c r="I108" s="43">
        <v>0.100308439</v>
      </c>
      <c r="J108" s="43">
        <v>-1.3953162999999999E-2</v>
      </c>
      <c r="K108" s="43">
        <v>2.3107831999999998E-2</v>
      </c>
      <c r="L108" s="43"/>
      <c r="M108" s="43"/>
      <c r="N108" s="43"/>
      <c r="O108" s="43"/>
      <c r="P108" s="43"/>
    </row>
  </sheetData>
  <mergeCells count="7">
    <mergeCell ref="N1:P1"/>
    <mergeCell ref="B6:F6"/>
    <mergeCell ref="G6:K6"/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E15F-BED5-4F4D-8917-F1F93E2DBFD6}">
  <dimension ref="A1:G94"/>
  <sheetViews>
    <sheetView topLeftCell="A79" workbookViewId="0">
      <selection activeCell="F95" sqref="F95"/>
    </sheetView>
  </sheetViews>
  <sheetFormatPr defaultRowHeight="14.4"/>
  <cols>
    <col min="1" max="1" width="35.33203125" customWidth="1"/>
    <col min="2" max="2" width="13.44140625" customWidth="1"/>
    <col min="10" max="10" width="58" customWidth="1"/>
  </cols>
  <sheetData>
    <row r="1" spans="1:7">
      <c r="A1" t="s">
        <v>2731</v>
      </c>
      <c r="B1" t="s">
        <v>2732</v>
      </c>
      <c r="C1" t="s">
        <v>2733</v>
      </c>
      <c r="D1" t="s">
        <v>2835</v>
      </c>
      <c r="E1" t="s">
        <v>2836</v>
      </c>
      <c r="F1" t="s">
        <v>2837</v>
      </c>
      <c r="G1" t="s">
        <v>2838</v>
      </c>
    </row>
    <row r="2" spans="1:7">
      <c r="A2" t="s">
        <v>2734</v>
      </c>
      <c r="B2" t="s">
        <v>2839</v>
      </c>
      <c r="C2" t="s">
        <v>2840</v>
      </c>
      <c r="D2" t="s">
        <v>2841</v>
      </c>
      <c r="E2" t="s">
        <v>2842</v>
      </c>
      <c r="F2" t="s">
        <v>2843</v>
      </c>
      <c r="G2" t="s">
        <v>2844</v>
      </c>
    </row>
    <row r="3" spans="1:7">
      <c r="A3" t="s">
        <v>2735</v>
      </c>
      <c r="B3" t="s">
        <v>2839</v>
      </c>
      <c r="C3" t="s">
        <v>2840</v>
      </c>
      <c r="D3" t="s">
        <v>2841</v>
      </c>
      <c r="E3" t="s">
        <v>2842</v>
      </c>
      <c r="F3" t="s">
        <v>2845</v>
      </c>
      <c r="G3" t="s">
        <v>2844</v>
      </c>
    </row>
    <row r="4" spans="1:7">
      <c r="A4" t="s">
        <v>2736</v>
      </c>
      <c r="B4" t="s">
        <v>2846</v>
      </c>
      <c r="C4" t="s">
        <v>2840</v>
      </c>
      <c r="D4" t="s">
        <v>2847</v>
      </c>
      <c r="E4" t="s">
        <v>2848</v>
      </c>
      <c r="F4" t="s">
        <v>2849</v>
      </c>
      <c r="G4" t="s">
        <v>2844</v>
      </c>
    </row>
    <row r="5" spans="1:7">
      <c r="A5" t="s">
        <v>2737</v>
      </c>
      <c r="B5" t="s">
        <v>2846</v>
      </c>
      <c r="C5" t="s">
        <v>2840</v>
      </c>
      <c r="D5" t="s">
        <v>2847</v>
      </c>
      <c r="E5" t="s">
        <v>2848</v>
      </c>
      <c r="F5" t="s">
        <v>2850</v>
      </c>
      <c r="G5" t="s">
        <v>2844</v>
      </c>
    </row>
    <row r="6" spans="1:7">
      <c r="A6" t="s">
        <v>2738</v>
      </c>
      <c r="B6" t="s">
        <v>2851</v>
      </c>
      <c r="C6" t="s">
        <v>2852</v>
      </c>
      <c r="D6" t="s">
        <v>2853</v>
      </c>
      <c r="E6" t="s">
        <v>2854</v>
      </c>
      <c r="F6" t="s">
        <v>2855</v>
      </c>
      <c r="G6" t="s">
        <v>2844</v>
      </c>
    </row>
    <row r="7" spans="1:7">
      <c r="A7" t="s">
        <v>2739</v>
      </c>
      <c r="B7" t="s">
        <v>2851</v>
      </c>
      <c r="C7" t="s">
        <v>2852</v>
      </c>
      <c r="D7" t="s">
        <v>2853</v>
      </c>
      <c r="E7" t="s">
        <v>2854</v>
      </c>
      <c r="F7" t="s">
        <v>2856</v>
      </c>
      <c r="G7" t="s">
        <v>2844</v>
      </c>
    </row>
    <row r="8" spans="1:7">
      <c r="A8" t="s">
        <v>2740</v>
      </c>
      <c r="B8" t="s">
        <v>2851</v>
      </c>
      <c r="C8" t="s">
        <v>2852</v>
      </c>
      <c r="D8" t="s">
        <v>2853</v>
      </c>
      <c r="E8" t="s">
        <v>2854</v>
      </c>
      <c r="F8" t="s">
        <v>2857</v>
      </c>
      <c r="G8" t="s">
        <v>2844</v>
      </c>
    </row>
    <row r="9" spans="1:7">
      <c r="A9" t="s">
        <v>2741</v>
      </c>
      <c r="B9" t="s">
        <v>2851</v>
      </c>
      <c r="C9" t="s">
        <v>2852</v>
      </c>
      <c r="D9" t="s">
        <v>2853</v>
      </c>
      <c r="E9" t="s">
        <v>2854</v>
      </c>
      <c r="F9" t="s">
        <v>2858</v>
      </c>
      <c r="G9" t="s">
        <v>2844</v>
      </c>
    </row>
    <row r="10" spans="1:7">
      <c r="A10" t="s">
        <v>2742</v>
      </c>
      <c r="B10" t="s">
        <v>2851</v>
      </c>
      <c r="C10" t="s">
        <v>2852</v>
      </c>
      <c r="D10" t="s">
        <v>2859</v>
      </c>
      <c r="E10" t="s">
        <v>2854</v>
      </c>
      <c r="F10" t="s">
        <v>2860</v>
      </c>
      <c r="G10" t="s">
        <v>2844</v>
      </c>
    </row>
    <row r="11" spans="1:7">
      <c r="A11" t="s">
        <v>2743</v>
      </c>
      <c r="B11" t="s">
        <v>2851</v>
      </c>
      <c r="C11" t="s">
        <v>2852</v>
      </c>
      <c r="D11" t="s">
        <v>2859</v>
      </c>
      <c r="E11" t="s">
        <v>2854</v>
      </c>
      <c r="F11" t="s">
        <v>2861</v>
      </c>
      <c r="G11" t="s">
        <v>2844</v>
      </c>
    </row>
    <row r="12" spans="1:7">
      <c r="A12" t="s">
        <v>2744</v>
      </c>
      <c r="B12" t="s">
        <v>2851</v>
      </c>
      <c r="C12" t="s">
        <v>2852</v>
      </c>
      <c r="D12" t="s">
        <v>2859</v>
      </c>
      <c r="E12" t="s">
        <v>2854</v>
      </c>
      <c r="F12" t="s">
        <v>2862</v>
      </c>
      <c r="G12" t="s">
        <v>2844</v>
      </c>
    </row>
    <row r="13" spans="1:7">
      <c r="A13" t="s">
        <v>2745</v>
      </c>
      <c r="B13" t="s">
        <v>2851</v>
      </c>
      <c r="C13" t="s">
        <v>2852</v>
      </c>
      <c r="D13" t="s">
        <v>2859</v>
      </c>
      <c r="E13" t="s">
        <v>2854</v>
      </c>
      <c r="F13" t="s">
        <v>2863</v>
      </c>
      <c r="G13" t="s">
        <v>2844</v>
      </c>
    </row>
    <row r="14" spans="1:7">
      <c r="A14" t="s">
        <v>2746</v>
      </c>
      <c r="B14" t="s">
        <v>2851</v>
      </c>
      <c r="C14" t="s">
        <v>2852</v>
      </c>
      <c r="D14" t="s">
        <v>2859</v>
      </c>
      <c r="E14" t="s">
        <v>2854</v>
      </c>
      <c r="F14" t="s">
        <v>2864</v>
      </c>
      <c r="G14" t="s">
        <v>2844</v>
      </c>
    </row>
    <row r="15" spans="1:7">
      <c r="A15" t="s">
        <v>2747</v>
      </c>
      <c r="B15" t="s">
        <v>2851</v>
      </c>
      <c r="C15" t="s">
        <v>2852</v>
      </c>
      <c r="D15" t="s">
        <v>2859</v>
      </c>
      <c r="E15" t="s">
        <v>2854</v>
      </c>
      <c r="F15" t="s">
        <v>2865</v>
      </c>
      <c r="G15" t="s">
        <v>2844</v>
      </c>
    </row>
    <row r="16" spans="1:7">
      <c r="A16" t="s">
        <v>2748</v>
      </c>
      <c r="B16" t="s">
        <v>2851</v>
      </c>
      <c r="C16" t="s">
        <v>2852</v>
      </c>
      <c r="D16" t="s">
        <v>2859</v>
      </c>
      <c r="E16" t="s">
        <v>2854</v>
      </c>
      <c r="F16" t="s">
        <v>2866</v>
      </c>
      <c r="G16" t="s">
        <v>2844</v>
      </c>
    </row>
    <row r="17" spans="1:7">
      <c r="A17" t="s">
        <v>2749</v>
      </c>
      <c r="B17" t="s">
        <v>2851</v>
      </c>
      <c r="C17" t="s">
        <v>2852</v>
      </c>
      <c r="D17" t="s">
        <v>2859</v>
      </c>
      <c r="E17" t="s">
        <v>2854</v>
      </c>
      <c r="F17" t="s">
        <v>2867</v>
      </c>
      <c r="G17" t="s">
        <v>2844</v>
      </c>
    </row>
    <row r="18" spans="1:7">
      <c r="A18" t="s">
        <v>2750</v>
      </c>
      <c r="B18" t="s">
        <v>2846</v>
      </c>
      <c r="C18" t="s">
        <v>2852</v>
      </c>
      <c r="D18" t="s">
        <v>2868</v>
      </c>
      <c r="E18" t="s">
        <v>2854</v>
      </c>
      <c r="G18" t="s">
        <v>2870</v>
      </c>
    </row>
    <row r="19" spans="1:7">
      <c r="A19" t="s">
        <v>2751</v>
      </c>
      <c r="B19" t="s">
        <v>2846</v>
      </c>
      <c r="C19" t="s">
        <v>2852</v>
      </c>
      <c r="D19" t="s">
        <v>2871</v>
      </c>
      <c r="E19" t="s">
        <v>2854</v>
      </c>
      <c r="G19" t="s">
        <v>2870</v>
      </c>
    </row>
    <row r="20" spans="1:7">
      <c r="A20" t="s">
        <v>2752</v>
      </c>
      <c r="B20" t="s">
        <v>2846</v>
      </c>
      <c r="C20" t="s">
        <v>2840</v>
      </c>
      <c r="D20" t="s">
        <v>2873</v>
      </c>
      <c r="E20" t="s">
        <v>2854</v>
      </c>
      <c r="F20" t="s">
        <v>2869</v>
      </c>
      <c r="G20" t="s">
        <v>2844</v>
      </c>
    </row>
    <row r="21" spans="1:7">
      <c r="A21" t="s">
        <v>2753</v>
      </c>
      <c r="B21" t="s">
        <v>2846</v>
      </c>
      <c r="C21" t="s">
        <v>2840</v>
      </c>
      <c r="D21" t="s">
        <v>2875</v>
      </c>
      <c r="E21" t="s">
        <v>2854</v>
      </c>
      <c r="F21" t="s">
        <v>2872</v>
      </c>
      <c r="G21" t="s">
        <v>2844</v>
      </c>
    </row>
    <row r="22" spans="1:7">
      <c r="A22" t="s">
        <v>2754</v>
      </c>
      <c r="B22" t="s">
        <v>2851</v>
      </c>
      <c r="C22" t="s">
        <v>2852</v>
      </c>
      <c r="D22" t="s">
        <v>2877</v>
      </c>
      <c r="E22" t="s">
        <v>2854</v>
      </c>
      <c r="F22" t="s">
        <v>2878</v>
      </c>
      <c r="G22" t="s">
        <v>2844</v>
      </c>
    </row>
    <row r="23" spans="1:7">
      <c r="A23" t="s">
        <v>2755</v>
      </c>
      <c r="B23" t="s">
        <v>2851</v>
      </c>
      <c r="C23" t="s">
        <v>2852</v>
      </c>
      <c r="D23" t="s">
        <v>2879</v>
      </c>
      <c r="E23" t="s">
        <v>2854</v>
      </c>
      <c r="F23" t="s">
        <v>2880</v>
      </c>
      <c r="G23" t="s">
        <v>2844</v>
      </c>
    </row>
    <row r="24" spans="1:7">
      <c r="A24" t="s">
        <v>2756</v>
      </c>
      <c r="B24" t="s">
        <v>2851</v>
      </c>
      <c r="C24" t="s">
        <v>2852</v>
      </c>
      <c r="D24" t="s">
        <v>2881</v>
      </c>
      <c r="E24" t="s">
        <v>2854</v>
      </c>
      <c r="F24" t="s">
        <v>2882</v>
      </c>
      <c r="G24" t="s">
        <v>2844</v>
      </c>
    </row>
    <row r="25" spans="1:7">
      <c r="A25" t="s">
        <v>2757</v>
      </c>
      <c r="B25" t="s">
        <v>2851</v>
      </c>
      <c r="C25" t="s">
        <v>2852</v>
      </c>
      <c r="D25" t="s">
        <v>2883</v>
      </c>
      <c r="E25" t="s">
        <v>2854</v>
      </c>
      <c r="G25" t="s">
        <v>2870</v>
      </c>
    </row>
    <row r="26" spans="1:7">
      <c r="A26" t="s">
        <v>2758</v>
      </c>
      <c r="B26" t="s">
        <v>2851</v>
      </c>
      <c r="C26" t="s">
        <v>2852</v>
      </c>
      <c r="D26" t="s">
        <v>2884</v>
      </c>
      <c r="E26" t="s">
        <v>2854</v>
      </c>
      <c r="G26" t="s">
        <v>2870</v>
      </c>
    </row>
    <row r="27" spans="1:7">
      <c r="A27" t="s">
        <v>2759</v>
      </c>
      <c r="B27" t="s">
        <v>2851</v>
      </c>
      <c r="C27" t="s">
        <v>2852</v>
      </c>
      <c r="D27" t="s">
        <v>2885</v>
      </c>
      <c r="E27" t="s">
        <v>2854</v>
      </c>
      <c r="G27" t="s">
        <v>2870</v>
      </c>
    </row>
    <row r="28" spans="1:7">
      <c r="A28" t="s">
        <v>2760</v>
      </c>
      <c r="B28" t="s">
        <v>2851</v>
      </c>
      <c r="C28" t="s">
        <v>2852</v>
      </c>
      <c r="D28" t="s">
        <v>2886</v>
      </c>
      <c r="E28" t="s">
        <v>2854</v>
      </c>
      <c r="G28" t="s">
        <v>2870</v>
      </c>
    </row>
    <row r="29" spans="1:7">
      <c r="A29" t="s">
        <v>2761</v>
      </c>
      <c r="B29" t="s">
        <v>2839</v>
      </c>
      <c r="C29" t="s">
        <v>2852</v>
      </c>
      <c r="D29" t="s">
        <v>2887</v>
      </c>
      <c r="E29" t="s">
        <v>2888</v>
      </c>
      <c r="G29" t="s">
        <v>2870</v>
      </c>
    </row>
    <row r="30" spans="1:7">
      <c r="A30" t="s">
        <v>2762</v>
      </c>
      <c r="B30" t="s">
        <v>2839</v>
      </c>
      <c r="C30" t="s">
        <v>2852</v>
      </c>
      <c r="D30" t="s">
        <v>2890</v>
      </c>
      <c r="E30" t="s">
        <v>2891</v>
      </c>
      <c r="G30" t="s">
        <v>2870</v>
      </c>
    </row>
    <row r="31" spans="1:7">
      <c r="A31" t="s">
        <v>2763</v>
      </c>
      <c r="B31" t="s">
        <v>2839</v>
      </c>
      <c r="C31" t="s">
        <v>2852</v>
      </c>
      <c r="D31" t="s">
        <v>2893</v>
      </c>
      <c r="E31" t="s">
        <v>2894</v>
      </c>
      <c r="G31" t="s">
        <v>2870</v>
      </c>
    </row>
    <row r="32" spans="1:7">
      <c r="A32" t="s">
        <v>2764</v>
      </c>
      <c r="B32" t="s">
        <v>2846</v>
      </c>
      <c r="C32" t="s">
        <v>2852</v>
      </c>
      <c r="D32" t="s">
        <v>2896</v>
      </c>
      <c r="E32" t="s">
        <v>2897</v>
      </c>
      <c r="G32" t="s">
        <v>2870</v>
      </c>
    </row>
    <row r="33" spans="1:7">
      <c r="A33" t="s">
        <v>2765</v>
      </c>
      <c r="B33" t="s">
        <v>2839</v>
      </c>
      <c r="C33" t="s">
        <v>2852</v>
      </c>
      <c r="D33" t="s">
        <v>2899</v>
      </c>
      <c r="E33" t="s">
        <v>2900</v>
      </c>
      <c r="G33" t="s">
        <v>2870</v>
      </c>
    </row>
    <row r="34" spans="1:7">
      <c r="A34" t="s">
        <v>2766</v>
      </c>
      <c r="B34" t="s">
        <v>2839</v>
      </c>
      <c r="C34" t="s">
        <v>2852</v>
      </c>
      <c r="D34" t="s">
        <v>2902</v>
      </c>
      <c r="E34" t="s">
        <v>2903</v>
      </c>
      <c r="G34" t="s">
        <v>2870</v>
      </c>
    </row>
    <row r="35" spans="1:7">
      <c r="A35" t="s">
        <v>2767</v>
      </c>
      <c r="B35" t="s">
        <v>2839</v>
      </c>
      <c r="C35" t="s">
        <v>2852</v>
      </c>
      <c r="D35" t="s">
        <v>2905</v>
      </c>
      <c r="E35" t="s">
        <v>2900</v>
      </c>
      <c r="G35" t="s">
        <v>2870</v>
      </c>
    </row>
    <row r="36" spans="1:7">
      <c r="A36" t="s">
        <v>2768</v>
      </c>
      <c r="B36" t="s">
        <v>2839</v>
      </c>
      <c r="C36" t="s">
        <v>2852</v>
      </c>
      <c r="D36" t="s">
        <v>2907</v>
      </c>
      <c r="E36" t="s">
        <v>2900</v>
      </c>
      <c r="G36" t="s">
        <v>2870</v>
      </c>
    </row>
    <row r="37" spans="1:7">
      <c r="A37" t="s">
        <v>2769</v>
      </c>
      <c r="B37" t="s">
        <v>2839</v>
      </c>
      <c r="C37" t="s">
        <v>2852</v>
      </c>
      <c r="D37" t="s">
        <v>2909</v>
      </c>
      <c r="E37" t="s">
        <v>2900</v>
      </c>
      <c r="G37" t="s">
        <v>2870</v>
      </c>
    </row>
    <row r="38" spans="1:7">
      <c r="A38" t="s">
        <v>2770</v>
      </c>
      <c r="B38" t="s">
        <v>2839</v>
      </c>
      <c r="C38" t="s">
        <v>2852</v>
      </c>
      <c r="D38" t="s">
        <v>2911</v>
      </c>
      <c r="E38" t="s">
        <v>2900</v>
      </c>
      <c r="G38" t="s">
        <v>2870</v>
      </c>
    </row>
    <row r="39" spans="1:7">
      <c r="A39" t="s">
        <v>2771</v>
      </c>
      <c r="B39" t="s">
        <v>2839</v>
      </c>
      <c r="C39" t="s">
        <v>2852</v>
      </c>
      <c r="D39" t="s">
        <v>2913</v>
      </c>
      <c r="E39" t="s">
        <v>2900</v>
      </c>
      <c r="G39" t="s">
        <v>2870</v>
      </c>
    </row>
    <row r="40" spans="1:7">
      <c r="A40" t="s">
        <v>2772</v>
      </c>
      <c r="B40" t="s">
        <v>2839</v>
      </c>
      <c r="C40" t="s">
        <v>2852</v>
      </c>
      <c r="D40" t="s">
        <v>2914</v>
      </c>
      <c r="E40" t="s">
        <v>2915</v>
      </c>
      <c r="G40" t="s">
        <v>2870</v>
      </c>
    </row>
    <row r="41" spans="1:7">
      <c r="A41" t="s">
        <v>2774</v>
      </c>
      <c r="B41" t="s">
        <v>2839</v>
      </c>
      <c r="C41" t="s">
        <v>2916</v>
      </c>
      <c r="D41" t="s">
        <v>2917</v>
      </c>
      <c r="E41" t="s">
        <v>2915</v>
      </c>
      <c r="G41" t="s">
        <v>2870</v>
      </c>
    </row>
    <row r="42" spans="1:7">
      <c r="A42" t="s">
        <v>2775</v>
      </c>
      <c r="B42" t="s">
        <v>2839</v>
      </c>
      <c r="C42" t="s">
        <v>2916</v>
      </c>
      <c r="D42" t="s">
        <v>2918</v>
      </c>
      <c r="E42" t="s">
        <v>2919</v>
      </c>
      <c r="G42" t="s">
        <v>2870</v>
      </c>
    </row>
    <row r="43" spans="1:7">
      <c r="A43" t="s">
        <v>2776</v>
      </c>
      <c r="B43" t="s">
        <v>2839</v>
      </c>
      <c r="C43" t="s">
        <v>2916</v>
      </c>
      <c r="D43" t="s">
        <v>2920</v>
      </c>
      <c r="E43" t="s">
        <v>2921</v>
      </c>
      <c r="G43" t="s">
        <v>2870</v>
      </c>
    </row>
    <row r="44" spans="1:7">
      <c r="A44" t="s">
        <v>2777</v>
      </c>
      <c r="B44" t="s">
        <v>2839</v>
      </c>
      <c r="C44" t="s">
        <v>2916</v>
      </c>
      <c r="D44" t="s">
        <v>2902</v>
      </c>
      <c r="E44" t="s">
        <v>2903</v>
      </c>
      <c r="G44" t="s">
        <v>2870</v>
      </c>
    </row>
    <row r="45" spans="1:7">
      <c r="A45" t="s">
        <v>2778</v>
      </c>
      <c r="B45" t="s">
        <v>2839</v>
      </c>
      <c r="C45" t="s">
        <v>2916</v>
      </c>
      <c r="D45" t="s">
        <v>2922</v>
      </c>
      <c r="E45" t="s">
        <v>2923</v>
      </c>
      <c r="F45" t="s">
        <v>2889</v>
      </c>
      <c r="G45" t="s">
        <v>2844</v>
      </c>
    </row>
    <row r="46" spans="1:7">
      <c r="A46" t="s">
        <v>2779</v>
      </c>
      <c r="B46" t="s">
        <v>2839</v>
      </c>
      <c r="C46" t="s">
        <v>2916</v>
      </c>
      <c r="D46" t="s">
        <v>2924</v>
      </c>
      <c r="E46" t="s">
        <v>2923</v>
      </c>
      <c r="F46" t="s">
        <v>2892</v>
      </c>
      <c r="G46" t="s">
        <v>2844</v>
      </c>
    </row>
    <row r="47" spans="1:7">
      <c r="A47" t="s">
        <v>2780</v>
      </c>
      <c r="B47" t="s">
        <v>2839</v>
      </c>
      <c r="C47" t="s">
        <v>2916</v>
      </c>
      <c r="D47" t="s">
        <v>2925</v>
      </c>
      <c r="E47" t="s">
        <v>2900</v>
      </c>
      <c r="G47" t="s">
        <v>2870</v>
      </c>
    </row>
    <row r="48" spans="1:7">
      <c r="A48" t="s">
        <v>2781</v>
      </c>
      <c r="B48" t="s">
        <v>2839</v>
      </c>
      <c r="C48" t="s">
        <v>2916</v>
      </c>
      <c r="D48" t="s">
        <v>2926</v>
      </c>
      <c r="E48" t="s">
        <v>2915</v>
      </c>
      <c r="F48" t="s">
        <v>2895</v>
      </c>
      <c r="G48" t="s">
        <v>2844</v>
      </c>
    </row>
    <row r="49" spans="1:7">
      <c r="A49" t="s">
        <v>2782</v>
      </c>
      <c r="B49" t="s">
        <v>2839</v>
      </c>
      <c r="C49" t="s">
        <v>2916</v>
      </c>
      <c r="D49" t="s">
        <v>2927</v>
      </c>
      <c r="E49" t="s">
        <v>2915</v>
      </c>
      <c r="G49" t="s">
        <v>2870</v>
      </c>
    </row>
    <row r="50" spans="1:7">
      <c r="A50" t="s">
        <v>2783</v>
      </c>
      <c r="B50" t="s">
        <v>2839</v>
      </c>
      <c r="C50" t="s">
        <v>2916</v>
      </c>
      <c r="D50" t="s">
        <v>2928</v>
      </c>
      <c r="E50" t="s">
        <v>2915</v>
      </c>
      <c r="G50" t="s">
        <v>2870</v>
      </c>
    </row>
    <row r="51" spans="1:7">
      <c r="A51" t="s">
        <v>2784</v>
      </c>
      <c r="B51" t="s">
        <v>2839</v>
      </c>
      <c r="C51" t="s">
        <v>2916</v>
      </c>
      <c r="D51" t="s">
        <v>2929</v>
      </c>
      <c r="E51" t="s">
        <v>2915</v>
      </c>
      <c r="G51" t="s">
        <v>2870</v>
      </c>
    </row>
    <row r="52" spans="1:7">
      <c r="A52" t="s">
        <v>2785</v>
      </c>
      <c r="B52" t="s">
        <v>2839</v>
      </c>
      <c r="C52" t="s">
        <v>2916</v>
      </c>
      <c r="D52" t="s">
        <v>2930</v>
      </c>
      <c r="E52" t="s">
        <v>2915</v>
      </c>
      <c r="G52" t="s">
        <v>2870</v>
      </c>
    </row>
    <row r="53" spans="1:7">
      <c r="A53" t="s">
        <v>2786</v>
      </c>
      <c r="B53" t="s">
        <v>2839</v>
      </c>
      <c r="C53" t="s">
        <v>2916</v>
      </c>
      <c r="D53" t="s">
        <v>2931</v>
      </c>
      <c r="E53" t="s">
        <v>2915</v>
      </c>
      <c r="G53" t="s">
        <v>2870</v>
      </c>
    </row>
    <row r="54" spans="1:7">
      <c r="A54" t="s">
        <v>2787</v>
      </c>
      <c r="B54" t="s">
        <v>2839</v>
      </c>
      <c r="C54" t="s">
        <v>2916</v>
      </c>
      <c r="D54" t="s">
        <v>2932</v>
      </c>
      <c r="E54" t="s">
        <v>2915</v>
      </c>
      <c r="G54" t="s">
        <v>2870</v>
      </c>
    </row>
    <row r="55" spans="1:7">
      <c r="A55" t="s">
        <v>2788</v>
      </c>
      <c r="B55" t="s">
        <v>2839</v>
      </c>
      <c r="C55" t="s">
        <v>2916</v>
      </c>
      <c r="D55" t="s">
        <v>2933</v>
      </c>
      <c r="E55" t="s">
        <v>2915</v>
      </c>
      <c r="G55" t="s">
        <v>2870</v>
      </c>
    </row>
    <row r="56" spans="1:7">
      <c r="A56" t="s">
        <v>2789</v>
      </c>
      <c r="B56" t="s">
        <v>2839</v>
      </c>
      <c r="C56" t="s">
        <v>2916</v>
      </c>
      <c r="D56" t="s">
        <v>2934</v>
      </c>
      <c r="E56" t="s">
        <v>2900</v>
      </c>
      <c r="G56" t="s">
        <v>2870</v>
      </c>
    </row>
    <row r="57" spans="1:7">
      <c r="A57" t="s">
        <v>2790</v>
      </c>
      <c r="B57" t="s">
        <v>2839</v>
      </c>
      <c r="C57" t="s">
        <v>2916</v>
      </c>
      <c r="D57" t="s">
        <v>2935</v>
      </c>
      <c r="E57" t="s">
        <v>2900</v>
      </c>
      <c r="G57" t="s">
        <v>2870</v>
      </c>
    </row>
    <row r="58" spans="1:7">
      <c r="A58" t="s">
        <v>2791</v>
      </c>
      <c r="B58" t="s">
        <v>2839</v>
      </c>
      <c r="C58" t="s">
        <v>2916</v>
      </c>
      <c r="D58" t="s">
        <v>2936</v>
      </c>
      <c r="E58" t="s">
        <v>2900</v>
      </c>
      <c r="G58" t="s">
        <v>2870</v>
      </c>
    </row>
    <row r="59" spans="1:7">
      <c r="A59" t="s">
        <v>2792</v>
      </c>
      <c r="B59" t="s">
        <v>2839</v>
      </c>
      <c r="C59" t="s">
        <v>2916</v>
      </c>
      <c r="D59" t="s">
        <v>2937</v>
      </c>
      <c r="E59" t="s">
        <v>2900</v>
      </c>
      <c r="G59" t="s">
        <v>2870</v>
      </c>
    </row>
    <row r="60" spans="1:7">
      <c r="A60" t="s">
        <v>2793</v>
      </c>
      <c r="B60" t="s">
        <v>2839</v>
      </c>
      <c r="C60" t="s">
        <v>2916</v>
      </c>
      <c r="D60" t="s">
        <v>2913</v>
      </c>
      <c r="E60" t="s">
        <v>2900</v>
      </c>
      <c r="G60" t="s">
        <v>2870</v>
      </c>
    </row>
    <row r="61" spans="1:7">
      <c r="A61" t="s">
        <v>2794</v>
      </c>
      <c r="B61" t="s">
        <v>2839</v>
      </c>
      <c r="C61" t="s">
        <v>2916</v>
      </c>
      <c r="D61" t="s">
        <v>2938</v>
      </c>
      <c r="E61" t="s">
        <v>2903</v>
      </c>
      <c r="F61" t="s">
        <v>2901</v>
      </c>
      <c r="G61" t="s">
        <v>2844</v>
      </c>
    </row>
    <row r="62" spans="1:7">
      <c r="A62" t="s">
        <v>2795</v>
      </c>
      <c r="B62" t="s">
        <v>2839</v>
      </c>
      <c r="C62" t="s">
        <v>2916</v>
      </c>
      <c r="D62" t="s">
        <v>2939</v>
      </c>
      <c r="E62" t="s">
        <v>2923</v>
      </c>
      <c r="F62" t="s">
        <v>2904</v>
      </c>
      <c r="G62" t="s">
        <v>2844</v>
      </c>
    </row>
    <row r="63" spans="1:7">
      <c r="A63" t="s">
        <v>2796</v>
      </c>
      <c r="B63" t="s">
        <v>2839</v>
      </c>
      <c r="C63" t="s">
        <v>2916</v>
      </c>
      <c r="D63" t="s">
        <v>2940</v>
      </c>
      <c r="E63" t="s">
        <v>2923</v>
      </c>
      <c r="F63" t="s">
        <v>2906</v>
      </c>
      <c r="G63" t="s">
        <v>2844</v>
      </c>
    </row>
    <row r="64" spans="1:7">
      <c r="A64" t="s">
        <v>2798</v>
      </c>
      <c r="B64" t="s">
        <v>2839</v>
      </c>
      <c r="C64" t="s">
        <v>2916</v>
      </c>
      <c r="D64" t="s">
        <v>2941</v>
      </c>
      <c r="E64" t="s">
        <v>2915</v>
      </c>
      <c r="F64" t="s">
        <v>2908</v>
      </c>
      <c r="G64" t="s">
        <v>2844</v>
      </c>
    </row>
    <row r="65" spans="1:7">
      <c r="A65" t="s">
        <v>2799</v>
      </c>
      <c r="B65" t="s">
        <v>2839</v>
      </c>
      <c r="C65" t="s">
        <v>2916</v>
      </c>
      <c r="D65" t="s">
        <v>2942</v>
      </c>
      <c r="E65" t="s">
        <v>2915</v>
      </c>
      <c r="F65" t="s">
        <v>2910</v>
      </c>
      <c r="G65" t="s">
        <v>2844</v>
      </c>
    </row>
    <row r="66" spans="1:7">
      <c r="A66" t="s">
        <v>2800</v>
      </c>
      <c r="B66" t="s">
        <v>2839</v>
      </c>
      <c r="C66" t="s">
        <v>2916</v>
      </c>
      <c r="D66" t="s">
        <v>2943</v>
      </c>
      <c r="E66" t="s">
        <v>2915</v>
      </c>
      <c r="G66" t="s">
        <v>2870</v>
      </c>
    </row>
    <row r="67" spans="1:7">
      <c r="A67" t="s">
        <v>2801</v>
      </c>
      <c r="B67" t="s">
        <v>2839</v>
      </c>
      <c r="C67" t="s">
        <v>2916</v>
      </c>
      <c r="D67" t="s">
        <v>2944</v>
      </c>
      <c r="E67" t="s">
        <v>2915</v>
      </c>
      <c r="G67" t="s">
        <v>2870</v>
      </c>
    </row>
    <row r="68" spans="1:7">
      <c r="A68" t="s">
        <v>2802</v>
      </c>
      <c r="B68" t="s">
        <v>2839</v>
      </c>
      <c r="C68" t="s">
        <v>2916</v>
      </c>
      <c r="D68" t="s">
        <v>2945</v>
      </c>
      <c r="E68" t="s">
        <v>2915</v>
      </c>
      <c r="G68" t="s">
        <v>2870</v>
      </c>
    </row>
    <row r="69" spans="1:7">
      <c r="A69" t="s">
        <v>2803</v>
      </c>
      <c r="B69" t="s">
        <v>2839</v>
      </c>
      <c r="C69" t="s">
        <v>2916</v>
      </c>
      <c r="D69" t="s">
        <v>2946</v>
      </c>
      <c r="E69" t="s">
        <v>2915</v>
      </c>
      <c r="G69" t="s">
        <v>2870</v>
      </c>
    </row>
    <row r="70" spans="1:7">
      <c r="A70" t="s">
        <v>2804</v>
      </c>
      <c r="B70" t="s">
        <v>2839</v>
      </c>
      <c r="C70" t="s">
        <v>2916</v>
      </c>
      <c r="D70" t="s">
        <v>2947</v>
      </c>
      <c r="E70" t="s">
        <v>2900</v>
      </c>
      <c r="F70" t="s">
        <v>2912</v>
      </c>
      <c r="G70" t="s">
        <v>2844</v>
      </c>
    </row>
    <row r="71" spans="1:7">
      <c r="A71" t="s">
        <v>2805</v>
      </c>
      <c r="B71" t="s">
        <v>2839</v>
      </c>
      <c r="C71" t="s">
        <v>2916</v>
      </c>
      <c r="D71" t="s">
        <v>2948</v>
      </c>
      <c r="E71" t="s">
        <v>2900</v>
      </c>
      <c r="G71" t="s">
        <v>2870</v>
      </c>
    </row>
    <row r="72" spans="1:7">
      <c r="A72" t="s">
        <v>2806</v>
      </c>
      <c r="B72" t="s">
        <v>2839</v>
      </c>
      <c r="C72" t="s">
        <v>2916</v>
      </c>
      <c r="D72" t="s">
        <v>2949</v>
      </c>
      <c r="E72" t="s">
        <v>2900</v>
      </c>
      <c r="G72" t="s">
        <v>2870</v>
      </c>
    </row>
    <row r="73" spans="1:7">
      <c r="A73" t="s">
        <v>2807</v>
      </c>
      <c r="B73" t="s">
        <v>2839</v>
      </c>
      <c r="C73" t="s">
        <v>2916</v>
      </c>
      <c r="D73" t="s">
        <v>2950</v>
      </c>
      <c r="E73" t="s">
        <v>2900</v>
      </c>
      <c r="G73" t="s">
        <v>2870</v>
      </c>
    </row>
    <row r="74" spans="1:7">
      <c r="A74" t="s">
        <v>2808</v>
      </c>
      <c r="B74" t="s">
        <v>2839</v>
      </c>
      <c r="C74" t="s">
        <v>2916</v>
      </c>
      <c r="D74" t="s">
        <v>2951</v>
      </c>
      <c r="E74" t="s">
        <v>2900</v>
      </c>
      <c r="G74" t="s">
        <v>2870</v>
      </c>
    </row>
    <row r="75" spans="1:7">
      <c r="A75" t="s">
        <v>2809</v>
      </c>
      <c r="B75" t="s">
        <v>2839</v>
      </c>
      <c r="C75" t="s">
        <v>2916</v>
      </c>
      <c r="D75" t="s">
        <v>2952</v>
      </c>
      <c r="E75" t="s">
        <v>2915</v>
      </c>
      <c r="G75" t="s">
        <v>2870</v>
      </c>
    </row>
    <row r="76" spans="1:7">
      <c r="A76" t="s">
        <v>2810</v>
      </c>
      <c r="B76" t="s">
        <v>2839</v>
      </c>
      <c r="C76" t="s">
        <v>2916</v>
      </c>
      <c r="D76" t="s">
        <v>2953</v>
      </c>
      <c r="E76" t="s">
        <v>2915</v>
      </c>
      <c r="G76" t="s">
        <v>2870</v>
      </c>
    </row>
    <row r="77" spans="1:7">
      <c r="A77" t="s">
        <v>2811</v>
      </c>
      <c r="B77" t="s">
        <v>2851</v>
      </c>
      <c r="C77" t="s">
        <v>2852</v>
      </c>
      <c r="D77" t="s">
        <v>2954</v>
      </c>
      <c r="E77" t="s">
        <v>2854</v>
      </c>
      <c r="G77" t="s">
        <v>2870</v>
      </c>
    </row>
    <row r="78" spans="1:7">
      <c r="A78" t="s">
        <v>2812</v>
      </c>
      <c r="B78" t="s">
        <v>2851</v>
      </c>
      <c r="C78" t="s">
        <v>2852</v>
      </c>
      <c r="D78" t="s">
        <v>2955</v>
      </c>
      <c r="E78" t="s">
        <v>2854</v>
      </c>
      <c r="G78" t="s">
        <v>2870</v>
      </c>
    </row>
    <row r="79" spans="1:7">
      <c r="A79" t="s">
        <v>2813</v>
      </c>
      <c r="B79" t="s">
        <v>2846</v>
      </c>
      <c r="C79" t="s">
        <v>2840</v>
      </c>
      <c r="D79" t="s">
        <v>2956</v>
      </c>
      <c r="E79" t="s">
        <v>2842</v>
      </c>
      <c r="G79" t="s">
        <v>2870</v>
      </c>
    </row>
    <row r="80" spans="1:7">
      <c r="A80" t="s">
        <v>2814</v>
      </c>
      <c r="B80" t="s">
        <v>2846</v>
      </c>
      <c r="C80" t="s">
        <v>2840</v>
      </c>
      <c r="D80" t="s">
        <v>2958</v>
      </c>
      <c r="E80" t="s">
        <v>2842</v>
      </c>
      <c r="G80" t="s">
        <v>2870</v>
      </c>
    </row>
    <row r="81" spans="1:7">
      <c r="A81" t="s">
        <v>2815</v>
      </c>
      <c r="B81" t="s">
        <v>2851</v>
      </c>
      <c r="C81" t="s">
        <v>2852</v>
      </c>
      <c r="D81" t="s">
        <v>2959</v>
      </c>
      <c r="E81" t="s">
        <v>2854</v>
      </c>
      <c r="G81" t="s">
        <v>2870</v>
      </c>
    </row>
    <row r="82" spans="1:7">
      <c r="A82" t="s">
        <v>2816</v>
      </c>
      <c r="B82" t="s">
        <v>2851</v>
      </c>
      <c r="C82" t="s">
        <v>2852</v>
      </c>
      <c r="D82" t="s">
        <v>2960</v>
      </c>
      <c r="E82" t="s">
        <v>2854</v>
      </c>
      <c r="G82" t="s">
        <v>2870</v>
      </c>
    </row>
    <row r="83" spans="1:7">
      <c r="A83" t="s">
        <v>2817</v>
      </c>
      <c r="B83" t="s">
        <v>2851</v>
      </c>
      <c r="C83" t="s">
        <v>2852</v>
      </c>
      <c r="D83" t="s">
        <v>2961</v>
      </c>
      <c r="E83" t="s">
        <v>2854</v>
      </c>
      <c r="G83" t="s">
        <v>2870</v>
      </c>
    </row>
    <row r="84" spans="1:7">
      <c r="A84" t="s">
        <v>2818</v>
      </c>
      <c r="B84" t="s">
        <v>2851</v>
      </c>
      <c r="C84" t="s">
        <v>2852</v>
      </c>
      <c r="D84" t="s">
        <v>2962</v>
      </c>
      <c r="E84" t="s">
        <v>2854</v>
      </c>
      <c r="G84" t="s">
        <v>2870</v>
      </c>
    </row>
    <row r="85" spans="1:7">
      <c r="A85" t="s">
        <v>2819</v>
      </c>
      <c r="B85" t="s">
        <v>2851</v>
      </c>
      <c r="C85" t="s">
        <v>2852</v>
      </c>
      <c r="D85" t="s">
        <v>2963</v>
      </c>
      <c r="E85" t="s">
        <v>2854</v>
      </c>
      <c r="G85" t="s">
        <v>2870</v>
      </c>
    </row>
    <row r="86" spans="1:7">
      <c r="A86" t="s">
        <v>2820</v>
      </c>
      <c r="B86" t="s">
        <v>2851</v>
      </c>
      <c r="C86" t="s">
        <v>2852</v>
      </c>
      <c r="D86" t="s">
        <v>2964</v>
      </c>
      <c r="E86" t="s">
        <v>2854</v>
      </c>
      <c r="G86" t="s">
        <v>2870</v>
      </c>
    </row>
    <row r="87" spans="1:7">
      <c r="A87" t="s">
        <v>2821</v>
      </c>
      <c r="B87" t="s">
        <v>2851</v>
      </c>
      <c r="C87" t="s">
        <v>2852</v>
      </c>
      <c r="D87" t="s">
        <v>2965</v>
      </c>
      <c r="E87" t="s">
        <v>2854</v>
      </c>
      <c r="G87" t="s">
        <v>2870</v>
      </c>
    </row>
    <row r="88" spans="1:7">
      <c r="A88" t="s">
        <v>2822</v>
      </c>
      <c r="B88" t="s">
        <v>2851</v>
      </c>
      <c r="C88" t="s">
        <v>2852</v>
      </c>
      <c r="D88" t="s">
        <v>2966</v>
      </c>
      <c r="E88" t="s">
        <v>2854</v>
      </c>
      <c r="G88" t="s">
        <v>2870</v>
      </c>
    </row>
    <row r="89" spans="1:7">
      <c r="A89" t="s">
        <v>2823</v>
      </c>
      <c r="B89" t="s">
        <v>2839</v>
      </c>
      <c r="C89" t="s">
        <v>2916</v>
      </c>
      <c r="D89" t="s">
        <v>2967</v>
      </c>
      <c r="E89" t="s">
        <v>2923</v>
      </c>
      <c r="G89" t="s">
        <v>2870</v>
      </c>
    </row>
    <row r="90" spans="1:7">
      <c r="A90" t="s">
        <v>2824</v>
      </c>
      <c r="B90" t="s">
        <v>2839</v>
      </c>
      <c r="C90" t="s">
        <v>2916</v>
      </c>
      <c r="D90" t="s">
        <v>2968</v>
      </c>
      <c r="E90" t="s">
        <v>2923</v>
      </c>
      <c r="G90" t="s">
        <v>2870</v>
      </c>
    </row>
    <row r="91" spans="1:7">
      <c r="A91" t="s">
        <v>2825</v>
      </c>
      <c r="B91" t="s">
        <v>2846</v>
      </c>
      <c r="C91" t="s">
        <v>2852</v>
      </c>
      <c r="D91" t="s">
        <v>2969</v>
      </c>
      <c r="E91" t="s">
        <v>2923</v>
      </c>
      <c r="F91" t="s">
        <v>2874</v>
      </c>
      <c r="G91" t="s">
        <v>2844</v>
      </c>
    </row>
    <row r="92" spans="1:7">
      <c r="A92" t="s">
        <v>2826</v>
      </c>
      <c r="B92" t="s">
        <v>2846</v>
      </c>
      <c r="C92" t="s">
        <v>2852</v>
      </c>
      <c r="D92" t="s">
        <v>2970</v>
      </c>
      <c r="E92" t="s">
        <v>2923</v>
      </c>
      <c r="F92" t="s">
        <v>2876</v>
      </c>
      <c r="G92" t="s">
        <v>2844</v>
      </c>
    </row>
    <row r="93" spans="1:7">
      <c r="A93" t="s">
        <v>2827</v>
      </c>
      <c r="B93" t="s">
        <v>2846</v>
      </c>
      <c r="C93" t="s">
        <v>2852</v>
      </c>
      <c r="D93" t="s">
        <v>2971</v>
      </c>
      <c r="E93" t="s">
        <v>2923</v>
      </c>
      <c r="F93" t="s">
        <v>2898</v>
      </c>
      <c r="G93" t="s">
        <v>2844</v>
      </c>
    </row>
    <row r="94" spans="1:7">
      <c r="A94" t="s">
        <v>2828</v>
      </c>
      <c r="B94" t="s">
        <v>2846</v>
      </c>
      <c r="C94" t="s">
        <v>2852</v>
      </c>
      <c r="D94" t="s">
        <v>2972</v>
      </c>
      <c r="E94" t="s">
        <v>2923</v>
      </c>
      <c r="F94" t="s">
        <v>2957</v>
      </c>
      <c r="G94" t="s">
        <v>2844</v>
      </c>
    </row>
  </sheetData>
  <autoFilter ref="A1:L94" xr:uid="{53F4E15F-BED5-4F4D-8917-F1F93E2DBFD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1AD9-3AE6-4465-8913-F231E9AECB0A}">
  <dimension ref="A1:F961"/>
  <sheetViews>
    <sheetView topLeftCell="A935" workbookViewId="0">
      <selection activeCell="E2" sqref="E2:E9"/>
    </sheetView>
  </sheetViews>
  <sheetFormatPr defaultRowHeight="14.4"/>
  <cols>
    <col min="4" max="4" width="11.21875" customWidth="1"/>
  </cols>
  <sheetData>
    <row r="1" spans="1:6">
      <c r="A1" t="s">
        <v>1630</v>
      </c>
      <c r="B1" t="s">
        <v>2</v>
      </c>
      <c r="C1" t="s">
        <v>6</v>
      </c>
      <c r="D1" t="s">
        <v>2973</v>
      </c>
      <c r="E1" t="s">
        <v>2974</v>
      </c>
      <c r="F1" t="s">
        <v>2975</v>
      </c>
    </row>
    <row r="2" spans="1:6">
      <c r="A2" t="s">
        <v>1601</v>
      </c>
      <c r="B2" t="s">
        <v>13</v>
      </c>
      <c r="C2" t="s">
        <v>17</v>
      </c>
      <c r="D2">
        <v>1</v>
      </c>
      <c r="E2">
        <v>0.34699999999999998</v>
      </c>
      <c r="F2">
        <v>1.8</v>
      </c>
    </row>
    <row r="3" spans="1:6">
      <c r="A3" t="s">
        <v>1606</v>
      </c>
      <c r="B3" t="s">
        <v>13</v>
      </c>
      <c r="C3" t="s">
        <v>17</v>
      </c>
      <c r="D3">
        <v>0.95592381100000001</v>
      </c>
      <c r="E3">
        <v>2.5000000000000001E-2</v>
      </c>
      <c r="F3">
        <v>-0.1</v>
      </c>
    </row>
    <row r="4" spans="1:6">
      <c r="A4" t="s">
        <v>1609</v>
      </c>
      <c r="B4" t="s">
        <v>13</v>
      </c>
      <c r="C4" t="s">
        <v>17</v>
      </c>
      <c r="D4">
        <v>1</v>
      </c>
      <c r="E4">
        <v>0.42599999999999999</v>
      </c>
      <c r="F4">
        <v>2.2999999999999998</v>
      </c>
    </row>
    <row r="5" spans="1:6">
      <c r="A5" t="s">
        <v>1612</v>
      </c>
      <c r="B5" t="s">
        <v>13</v>
      </c>
      <c r="C5" t="s">
        <v>17</v>
      </c>
      <c r="D5">
        <v>1</v>
      </c>
      <c r="E5">
        <v>0.28899999999999998</v>
      </c>
      <c r="F5">
        <v>1.6</v>
      </c>
    </row>
    <row r="6" spans="1:6">
      <c r="A6" t="s">
        <v>1595</v>
      </c>
      <c r="B6" t="s">
        <v>13</v>
      </c>
      <c r="C6" t="s">
        <v>17</v>
      </c>
      <c r="D6">
        <v>1</v>
      </c>
      <c r="E6">
        <v>0.60799999999999998</v>
      </c>
      <c r="F6">
        <v>3.8</v>
      </c>
    </row>
    <row r="7" spans="1:6">
      <c r="A7" t="s">
        <v>1601</v>
      </c>
      <c r="B7" t="s">
        <v>23</v>
      </c>
      <c r="C7" t="s">
        <v>17</v>
      </c>
      <c r="D7">
        <v>1</v>
      </c>
      <c r="E7">
        <v>0</v>
      </c>
      <c r="F7">
        <v>0</v>
      </c>
    </row>
    <row r="8" spans="1:6">
      <c r="A8" t="s">
        <v>1606</v>
      </c>
      <c r="B8" t="s">
        <v>23</v>
      </c>
      <c r="C8" t="s">
        <v>17</v>
      </c>
      <c r="D8">
        <v>0.98520596999999999</v>
      </c>
      <c r="E8">
        <v>0.58899999999999997</v>
      </c>
      <c r="F8">
        <v>3.4</v>
      </c>
    </row>
    <row r="9" spans="1:6">
      <c r="A9" t="s">
        <v>1609</v>
      </c>
      <c r="B9" t="s">
        <v>23</v>
      </c>
      <c r="C9" t="s">
        <v>17</v>
      </c>
      <c r="D9">
        <v>1</v>
      </c>
      <c r="E9">
        <v>3.7999999999999999E-2</v>
      </c>
      <c r="F9">
        <v>0.2</v>
      </c>
    </row>
    <row r="10" spans="1:6">
      <c r="A10" t="s">
        <v>1612</v>
      </c>
      <c r="B10" t="s">
        <v>23</v>
      </c>
      <c r="C10" t="s">
        <v>17</v>
      </c>
      <c r="D10">
        <v>1</v>
      </c>
      <c r="E10">
        <v>0.26</v>
      </c>
      <c r="F10">
        <v>1.4</v>
      </c>
    </row>
    <row r="11" spans="1:6">
      <c r="A11" t="s">
        <v>1595</v>
      </c>
      <c r="B11" t="s">
        <v>23</v>
      </c>
      <c r="C11" t="s">
        <v>17</v>
      </c>
      <c r="D11">
        <v>1</v>
      </c>
      <c r="E11">
        <v>0.158</v>
      </c>
      <c r="F11">
        <v>-0.9</v>
      </c>
    </row>
    <row r="12" spans="1:6">
      <c r="A12" t="s">
        <v>1601</v>
      </c>
      <c r="B12" t="s">
        <v>32</v>
      </c>
      <c r="C12" t="s">
        <v>17</v>
      </c>
      <c r="D12">
        <v>1</v>
      </c>
      <c r="E12">
        <v>0.63900000000000001</v>
      </c>
      <c r="F12">
        <v>3.8</v>
      </c>
    </row>
    <row r="13" spans="1:6">
      <c r="A13" t="s">
        <v>1606</v>
      </c>
      <c r="B13" t="s">
        <v>32</v>
      </c>
      <c r="C13" t="s">
        <v>17</v>
      </c>
      <c r="D13">
        <v>1</v>
      </c>
      <c r="E13">
        <v>0.3</v>
      </c>
      <c r="F13">
        <v>1.5</v>
      </c>
    </row>
    <row r="14" spans="1:6">
      <c r="A14" t="s">
        <v>1609</v>
      </c>
      <c r="B14" t="s">
        <v>32</v>
      </c>
      <c r="C14" t="s">
        <v>17</v>
      </c>
      <c r="D14">
        <v>1</v>
      </c>
      <c r="E14">
        <v>0.60799999999999998</v>
      </c>
      <c r="F14">
        <v>3.5</v>
      </c>
    </row>
    <row r="15" spans="1:6">
      <c r="A15" t="s">
        <v>1612</v>
      </c>
      <c r="B15" t="s">
        <v>32</v>
      </c>
      <c r="C15" t="s">
        <v>17</v>
      </c>
      <c r="D15">
        <v>1</v>
      </c>
      <c r="E15">
        <v>0.11700000000000001</v>
      </c>
      <c r="F15">
        <v>-0.6</v>
      </c>
    </row>
    <row r="16" spans="1:6">
      <c r="A16" t="s">
        <v>1595</v>
      </c>
      <c r="B16" t="s">
        <v>32</v>
      </c>
      <c r="C16" t="s">
        <v>17</v>
      </c>
      <c r="D16">
        <v>1</v>
      </c>
      <c r="E16">
        <v>7.9000000000000001E-2</v>
      </c>
      <c r="F16">
        <v>0.4</v>
      </c>
    </row>
    <row r="17" spans="1:6">
      <c r="A17" t="s">
        <v>1601</v>
      </c>
      <c r="B17" t="s">
        <v>41</v>
      </c>
      <c r="C17" t="s">
        <v>17</v>
      </c>
      <c r="D17">
        <v>0.561166426</v>
      </c>
      <c r="E17">
        <v>0.189</v>
      </c>
      <c r="F17">
        <v>0.9</v>
      </c>
    </row>
    <row r="18" spans="1:6">
      <c r="A18" t="s">
        <v>1606</v>
      </c>
      <c r="B18" t="s">
        <v>41</v>
      </c>
      <c r="C18" t="s">
        <v>17</v>
      </c>
      <c r="D18">
        <v>1</v>
      </c>
      <c r="E18">
        <v>0.126</v>
      </c>
      <c r="F18">
        <v>-0.6</v>
      </c>
    </row>
    <row r="19" spans="1:6">
      <c r="A19" t="s">
        <v>1609</v>
      </c>
      <c r="B19" t="s">
        <v>41</v>
      </c>
      <c r="C19" t="s">
        <v>17</v>
      </c>
      <c r="D19">
        <v>1</v>
      </c>
      <c r="E19">
        <v>0.192</v>
      </c>
      <c r="F19">
        <v>-1</v>
      </c>
    </row>
    <row r="20" spans="1:6">
      <c r="A20" t="s">
        <v>1612</v>
      </c>
      <c r="B20" t="s">
        <v>41</v>
      </c>
      <c r="C20" t="s">
        <v>17</v>
      </c>
      <c r="D20">
        <v>0.95275356700000002</v>
      </c>
      <c r="E20">
        <v>0.19900000000000001</v>
      </c>
      <c r="F20">
        <v>1.1000000000000001</v>
      </c>
    </row>
    <row r="21" spans="1:6">
      <c r="A21" t="s">
        <v>1595</v>
      </c>
      <c r="B21" t="s">
        <v>41</v>
      </c>
      <c r="C21" t="s">
        <v>17</v>
      </c>
      <c r="D21">
        <v>0.58488181100000003</v>
      </c>
      <c r="E21">
        <v>0.16500000000000001</v>
      </c>
      <c r="F21">
        <v>-0.9</v>
      </c>
    </row>
    <row r="22" spans="1:6">
      <c r="A22" t="s">
        <v>1601</v>
      </c>
      <c r="B22" t="s">
        <v>49</v>
      </c>
      <c r="C22" t="s">
        <v>17</v>
      </c>
      <c r="D22">
        <v>0.270490699</v>
      </c>
      <c r="E22">
        <v>9.4E-2</v>
      </c>
      <c r="F22">
        <v>0.5</v>
      </c>
    </row>
    <row r="23" spans="1:6">
      <c r="A23" t="s">
        <v>1606</v>
      </c>
      <c r="B23" t="s">
        <v>49</v>
      </c>
      <c r="C23" t="s">
        <v>17</v>
      </c>
      <c r="D23">
        <v>0.993323183</v>
      </c>
      <c r="E23">
        <v>0.185</v>
      </c>
      <c r="F23">
        <v>0.9</v>
      </c>
    </row>
    <row r="24" spans="1:6">
      <c r="A24" t="s">
        <v>1609</v>
      </c>
      <c r="B24" t="s">
        <v>49</v>
      </c>
      <c r="C24" t="s">
        <v>17</v>
      </c>
      <c r="D24">
        <v>1</v>
      </c>
      <c r="E24">
        <v>0.53200000000000003</v>
      </c>
      <c r="F24">
        <v>-2.9</v>
      </c>
    </row>
    <row r="25" spans="1:6">
      <c r="A25" t="s">
        <v>1612</v>
      </c>
      <c r="B25" t="s">
        <v>49</v>
      </c>
      <c r="C25" t="s">
        <v>17</v>
      </c>
      <c r="D25">
        <v>0.27838170800000001</v>
      </c>
      <c r="E25">
        <v>0.111</v>
      </c>
      <c r="F25">
        <v>-0.6</v>
      </c>
    </row>
    <row r="26" spans="1:6">
      <c r="A26" t="s">
        <v>1595</v>
      </c>
      <c r="B26" t="s">
        <v>49</v>
      </c>
      <c r="C26" t="s">
        <v>17</v>
      </c>
      <c r="D26">
        <v>0.90690338999999998</v>
      </c>
      <c r="E26">
        <v>0.107</v>
      </c>
      <c r="F26">
        <v>-0.6</v>
      </c>
    </row>
    <row r="27" spans="1:6">
      <c r="A27" t="s">
        <v>1601</v>
      </c>
      <c r="B27" t="s">
        <v>58</v>
      </c>
      <c r="C27" t="s">
        <v>17</v>
      </c>
      <c r="D27">
        <v>1</v>
      </c>
      <c r="E27">
        <v>0.85899999999999999</v>
      </c>
      <c r="F27">
        <v>6.4</v>
      </c>
    </row>
    <row r="28" spans="1:6">
      <c r="A28" t="s">
        <v>1606</v>
      </c>
      <c r="B28" t="s">
        <v>58</v>
      </c>
      <c r="C28" t="s">
        <v>17</v>
      </c>
      <c r="D28">
        <v>0.84199518399999995</v>
      </c>
      <c r="E28">
        <v>0.82699999999999996</v>
      </c>
      <c r="F28">
        <v>5.8</v>
      </c>
    </row>
    <row r="29" spans="1:6">
      <c r="A29" t="s">
        <v>1609</v>
      </c>
      <c r="B29" t="s">
        <v>58</v>
      </c>
      <c r="C29" t="s">
        <v>17</v>
      </c>
      <c r="D29">
        <v>1</v>
      </c>
      <c r="E29">
        <v>0.91500000000000004</v>
      </c>
      <c r="F29">
        <v>7.7</v>
      </c>
    </row>
    <row r="30" spans="1:6">
      <c r="A30" t="s">
        <v>1612</v>
      </c>
      <c r="B30" t="s">
        <v>58</v>
      </c>
      <c r="C30" t="s">
        <v>17</v>
      </c>
      <c r="D30">
        <v>0.87234822499999998</v>
      </c>
      <c r="E30">
        <v>7.5999999999999998E-2</v>
      </c>
      <c r="F30">
        <v>0.4</v>
      </c>
    </row>
    <row r="31" spans="1:6">
      <c r="A31" t="s">
        <v>1595</v>
      </c>
      <c r="B31" t="s">
        <v>58</v>
      </c>
      <c r="C31" t="s">
        <v>17</v>
      </c>
      <c r="D31">
        <v>1</v>
      </c>
      <c r="E31">
        <v>0.76400000000000001</v>
      </c>
      <c r="F31">
        <v>5.4</v>
      </c>
    </row>
    <row r="32" spans="1:6">
      <c r="A32" t="s">
        <v>1601</v>
      </c>
      <c r="B32" t="s">
        <v>67</v>
      </c>
      <c r="C32" t="s">
        <v>17</v>
      </c>
      <c r="D32">
        <v>1</v>
      </c>
      <c r="E32">
        <v>4.0000000000000001E-3</v>
      </c>
      <c r="F32">
        <v>0</v>
      </c>
    </row>
    <row r="33" spans="1:6">
      <c r="A33" t="s">
        <v>1606</v>
      </c>
      <c r="B33" t="s">
        <v>67</v>
      </c>
      <c r="C33" t="s">
        <v>17</v>
      </c>
      <c r="D33">
        <v>0.72338689199999995</v>
      </c>
      <c r="E33">
        <v>0.125</v>
      </c>
      <c r="F33">
        <v>-0.6</v>
      </c>
    </row>
    <row r="34" spans="1:6">
      <c r="A34" t="s">
        <v>1609</v>
      </c>
      <c r="B34" t="s">
        <v>67</v>
      </c>
      <c r="C34" t="s">
        <v>17</v>
      </c>
      <c r="D34">
        <v>0.29298390000000002</v>
      </c>
      <c r="E34">
        <v>6.4000000000000001E-2</v>
      </c>
      <c r="F34">
        <v>-0.3</v>
      </c>
    </row>
    <row r="35" spans="1:6">
      <c r="A35" t="s">
        <v>1612</v>
      </c>
      <c r="B35" t="s">
        <v>67</v>
      </c>
      <c r="C35" t="s">
        <v>17</v>
      </c>
      <c r="D35">
        <v>0.99246016100000001</v>
      </c>
      <c r="E35">
        <v>0.17599999999999999</v>
      </c>
      <c r="F35">
        <v>1</v>
      </c>
    </row>
    <row r="36" spans="1:6">
      <c r="A36" t="s">
        <v>1595</v>
      </c>
      <c r="B36" t="s">
        <v>67</v>
      </c>
      <c r="C36" t="s">
        <v>17</v>
      </c>
      <c r="D36">
        <v>1</v>
      </c>
      <c r="E36">
        <v>0.63100000000000001</v>
      </c>
      <c r="F36">
        <v>4</v>
      </c>
    </row>
    <row r="37" spans="1:6">
      <c r="A37" t="s">
        <v>1601</v>
      </c>
      <c r="B37" t="s">
        <v>76</v>
      </c>
      <c r="C37" t="s">
        <v>17</v>
      </c>
      <c r="D37">
        <v>0.40197450299999998</v>
      </c>
      <c r="E37">
        <v>0.121</v>
      </c>
      <c r="F37">
        <v>0.6</v>
      </c>
    </row>
    <row r="38" spans="1:6">
      <c r="A38" t="s">
        <v>1606</v>
      </c>
      <c r="B38" t="s">
        <v>76</v>
      </c>
      <c r="C38" t="s">
        <v>17</v>
      </c>
      <c r="D38">
        <v>0.18051318899999999</v>
      </c>
      <c r="E38">
        <v>6.7000000000000004E-2</v>
      </c>
      <c r="F38">
        <v>-0.3</v>
      </c>
    </row>
    <row r="39" spans="1:6">
      <c r="A39" t="s">
        <v>1609</v>
      </c>
      <c r="B39" t="s">
        <v>76</v>
      </c>
      <c r="C39" t="s">
        <v>17</v>
      </c>
      <c r="D39">
        <v>0.43183200199999999</v>
      </c>
      <c r="E39">
        <v>0.26200000000000001</v>
      </c>
      <c r="F39">
        <v>-1.3</v>
      </c>
    </row>
    <row r="40" spans="1:6">
      <c r="A40" t="s">
        <v>1612</v>
      </c>
      <c r="B40" t="s">
        <v>76</v>
      </c>
      <c r="C40" t="s">
        <v>17</v>
      </c>
      <c r="D40">
        <v>0.31229412699999998</v>
      </c>
      <c r="E40">
        <v>0.17</v>
      </c>
      <c r="F40">
        <v>-0.9</v>
      </c>
    </row>
    <row r="41" spans="1:6">
      <c r="A41" t="s">
        <v>1595</v>
      </c>
      <c r="B41" t="s">
        <v>76</v>
      </c>
      <c r="C41" t="s">
        <v>17</v>
      </c>
      <c r="D41">
        <v>1</v>
      </c>
      <c r="E41">
        <v>0.217</v>
      </c>
      <c r="F41">
        <v>-1.2</v>
      </c>
    </row>
    <row r="42" spans="1:6">
      <c r="A42" t="s">
        <v>1601</v>
      </c>
      <c r="B42" t="s">
        <v>85</v>
      </c>
      <c r="C42" t="s">
        <v>17</v>
      </c>
      <c r="D42">
        <v>1</v>
      </c>
      <c r="E42">
        <v>0.26100000000000001</v>
      </c>
      <c r="F42">
        <v>1.3</v>
      </c>
    </row>
    <row r="43" spans="1:6">
      <c r="A43" t="s">
        <v>1606</v>
      </c>
      <c r="B43" t="s">
        <v>85</v>
      </c>
      <c r="C43" t="s">
        <v>17</v>
      </c>
      <c r="D43">
        <v>0.81306903699999999</v>
      </c>
      <c r="E43">
        <v>0.23899999999999999</v>
      </c>
      <c r="F43">
        <v>1.2</v>
      </c>
    </row>
    <row r="44" spans="1:6">
      <c r="A44" t="s">
        <v>1609</v>
      </c>
      <c r="B44" t="s">
        <v>85</v>
      </c>
      <c r="C44" t="s">
        <v>17</v>
      </c>
      <c r="D44">
        <v>1</v>
      </c>
      <c r="E44">
        <v>0.16700000000000001</v>
      </c>
      <c r="F44">
        <v>0.8</v>
      </c>
    </row>
    <row r="45" spans="1:6">
      <c r="A45" t="s">
        <v>1612</v>
      </c>
      <c r="B45" t="s">
        <v>85</v>
      </c>
      <c r="C45" t="s">
        <v>17</v>
      </c>
      <c r="D45">
        <v>1</v>
      </c>
      <c r="E45">
        <v>6.0000000000000001E-3</v>
      </c>
      <c r="F45">
        <v>0</v>
      </c>
    </row>
    <row r="46" spans="1:6">
      <c r="A46" t="s">
        <v>1595</v>
      </c>
      <c r="B46" t="s">
        <v>85</v>
      </c>
      <c r="C46" t="s">
        <v>17</v>
      </c>
      <c r="D46">
        <v>1</v>
      </c>
      <c r="E46">
        <v>0.443</v>
      </c>
      <c r="F46">
        <v>-2.6</v>
      </c>
    </row>
    <row r="47" spans="1:6">
      <c r="A47" t="s">
        <v>1601</v>
      </c>
      <c r="B47" t="s">
        <v>94</v>
      </c>
      <c r="C47" t="s">
        <v>17</v>
      </c>
      <c r="D47">
        <v>1</v>
      </c>
      <c r="E47">
        <v>2E-3</v>
      </c>
      <c r="F47">
        <v>0</v>
      </c>
    </row>
    <row r="48" spans="1:6">
      <c r="A48" t="s">
        <v>1606</v>
      </c>
      <c r="B48" t="s">
        <v>94</v>
      </c>
      <c r="C48" t="s">
        <v>17</v>
      </c>
      <c r="D48">
        <v>0.61431170099999999</v>
      </c>
      <c r="E48">
        <v>0.377</v>
      </c>
      <c r="F48">
        <v>2</v>
      </c>
    </row>
    <row r="49" spans="1:6">
      <c r="A49" t="s">
        <v>1609</v>
      </c>
      <c r="B49" t="s">
        <v>94</v>
      </c>
      <c r="C49" t="s">
        <v>17</v>
      </c>
      <c r="D49">
        <v>1</v>
      </c>
      <c r="E49">
        <v>0.113</v>
      </c>
      <c r="F49">
        <v>-0.6</v>
      </c>
    </row>
    <row r="50" spans="1:6">
      <c r="A50" t="s">
        <v>1612</v>
      </c>
      <c r="B50" t="s">
        <v>94</v>
      </c>
      <c r="C50" t="s">
        <v>17</v>
      </c>
      <c r="D50">
        <v>1</v>
      </c>
      <c r="E50">
        <v>0.22700000000000001</v>
      </c>
      <c r="F50">
        <v>1.2</v>
      </c>
    </row>
    <row r="51" spans="1:6">
      <c r="A51" t="s">
        <v>1595</v>
      </c>
      <c r="B51" t="s">
        <v>94</v>
      </c>
      <c r="C51" t="s">
        <v>17</v>
      </c>
      <c r="D51">
        <v>1</v>
      </c>
      <c r="E51">
        <v>3.2000000000000001E-2</v>
      </c>
      <c r="F51">
        <v>0.2</v>
      </c>
    </row>
    <row r="52" spans="1:6">
      <c r="A52" t="s">
        <v>1601</v>
      </c>
      <c r="B52" t="s">
        <v>103</v>
      </c>
      <c r="C52" t="s">
        <v>17</v>
      </c>
      <c r="D52">
        <v>1</v>
      </c>
      <c r="E52">
        <v>0.15</v>
      </c>
      <c r="F52">
        <v>-0.7</v>
      </c>
    </row>
    <row r="53" spans="1:6">
      <c r="A53" t="s">
        <v>1606</v>
      </c>
      <c r="B53" t="s">
        <v>103</v>
      </c>
      <c r="C53" t="s">
        <v>17</v>
      </c>
      <c r="D53">
        <v>0.78042049499999999</v>
      </c>
      <c r="E53">
        <v>0.53500000000000003</v>
      </c>
      <c r="F53">
        <v>3</v>
      </c>
    </row>
    <row r="54" spans="1:6">
      <c r="A54" t="s">
        <v>1609</v>
      </c>
      <c r="B54" t="s">
        <v>103</v>
      </c>
      <c r="C54" t="s">
        <v>17</v>
      </c>
      <c r="D54">
        <v>1</v>
      </c>
      <c r="E54">
        <v>5.1999999999999998E-2</v>
      </c>
      <c r="F54">
        <v>-0.3</v>
      </c>
    </row>
    <row r="55" spans="1:6">
      <c r="A55" t="s">
        <v>1612</v>
      </c>
      <c r="B55" t="s">
        <v>103</v>
      </c>
      <c r="C55" t="s">
        <v>17</v>
      </c>
      <c r="D55">
        <v>1</v>
      </c>
      <c r="E55">
        <v>0.27300000000000002</v>
      </c>
      <c r="F55">
        <v>1.5</v>
      </c>
    </row>
    <row r="56" spans="1:6">
      <c r="A56" t="s">
        <v>1595</v>
      </c>
      <c r="B56" t="s">
        <v>103</v>
      </c>
      <c r="C56" t="s">
        <v>17</v>
      </c>
      <c r="D56">
        <v>1</v>
      </c>
      <c r="E56">
        <v>0.251</v>
      </c>
      <c r="F56">
        <v>-1.4</v>
      </c>
    </row>
    <row r="57" spans="1:6">
      <c r="A57" t="s">
        <v>1601</v>
      </c>
      <c r="B57" t="s">
        <v>112</v>
      </c>
      <c r="C57" t="s">
        <v>17</v>
      </c>
      <c r="D57">
        <v>0.83169464000000004</v>
      </c>
      <c r="E57">
        <v>0.58399999999999996</v>
      </c>
      <c r="F57">
        <v>3.3</v>
      </c>
    </row>
    <row r="58" spans="1:6">
      <c r="A58" t="s">
        <v>1606</v>
      </c>
      <c r="B58" t="s">
        <v>112</v>
      </c>
      <c r="C58" t="s">
        <v>17</v>
      </c>
      <c r="D58">
        <v>0.83582480299999995</v>
      </c>
      <c r="E58">
        <v>0.63</v>
      </c>
      <c r="F58">
        <v>3.7</v>
      </c>
    </row>
    <row r="59" spans="1:6">
      <c r="A59" t="s">
        <v>1609</v>
      </c>
      <c r="B59" t="s">
        <v>112</v>
      </c>
      <c r="C59" t="s">
        <v>17</v>
      </c>
      <c r="D59">
        <v>1</v>
      </c>
      <c r="E59">
        <v>0.57499999999999996</v>
      </c>
      <c r="F59">
        <v>3.2</v>
      </c>
    </row>
    <row r="60" spans="1:6">
      <c r="A60" t="s">
        <v>1612</v>
      </c>
      <c r="B60" t="s">
        <v>112</v>
      </c>
      <c r="C60" t="s">
        <v>17</v>
      </c>
      <c r="D60">
        <v>1</v>
      </c>
      <c r="E60">
        <v>0.30399999999999999</v>
      </c>
      <c r="F60">
        <v>-1.7</v>
      </c>
    </row>
    <row r="61" spans="1:6">
      <c r="A61" t="s">
        <v>1595</v>
      </c>
      <c r="B61" t="s">
        <v>112</v>
      </c>
      <c r="C61" t="s">
        <v>17</v>
      </c>
      <c r="D61">
        <v>1</v>
      </c>
      <c r="E61">
        <v>0.28399999999999997</v>
      </c>
      <c r="F61">
        <v>1.6</v>
      </c>
    </row>
    <row r="62" spans="1:6">
      <c r="A62" t="s">
        <v>1601</v>
      </c>
      <c r="B62" t="s">
        <v>121</v>
      </c>
      <c r="C62" t="s">
        <v>17</v>
      </c>
      <c r="D62">
        <v>0.15779691800000001</v>
      </c>
      <c r="E62">
        <v>0.55800000000000005</v>
      </c>
      <c r="F62">
        <v>-3.1</v>
      </c>
    </row>
    <row r="63" spans="1:6">
      <c r="A63" t="s">
        <v>1606</v>
      </c>
      <c r="B63" t="s">
        <v>121</v>
      </c>
      <c r="C63" t="s">
        <v>17</v>
      </c>
      <c r="D63">
        <v>0.56735757899999995</v>
      </c>
      <c r="E63">
        <v>0.312</v>
      </c>
      <c r="F63">
        <v>-1.6</v>
      </c>
    </row>
    <row r="64" spans="1:6">
      <c r="A64" t="s">
        <v>1609</v>
      </c>
      <c r="B64" t="s">
        <v>121</v>
      </c>
      <c r="C64" t="s">
        <v>17</v>
      </c>
      <c r="D64">
        <v>0.29772028499999997</v>
      </c>
      <c r="E64">
        <v>0.72899999999999998</v>
      </c>
      <c r="F64">
        <v>-4.5999999999999996</v>
      </c>
    </row>
    <row r="65" spans="1:6">
      <c r="A65" t="s">
        <v>1612</v>
      </c>
      <c r="B65" t="s">
        <v>121</v>
      </c>
      <c r="C65" t="s">
        <v>17</v>
      </c>
      <c r="D65">
        <v>0.90929046700000005</v>
      </c>
      <c r="E65">
        <v>0.104</v>
      </c>
      <c r="F65">
        <v>0.6</v>
      </c>
    </row>
    <row r="66" spans="1:6">
      <c r="A66" t="s">
        <v>1595</v>
      </c>
      <c r="B66" t="s">
        <v>121</v>
      </c>
      <c r="C66" t="s">
        <v>17</v>
      </c>
      <c r="D66">
        <v>9.7523028999999997E-2</v>
      </c>
      <c r="E66">
        <v>0.09</v>
      </c>
      <c r="F66">
        <v>0.5</v>
      </c>
    </row>
    <row r="67" spans="1:6">
      <c r="A67" t="s">
        <v>1601</v>
      </c>
      <c r="B67" t="s">
        <v>130</v>
      </c>
      <c r="C67" t="s">
        <v>17</v>
      </c>
      <c r="D67">
        <v>0.58842911799999997</v>
      </c>
      <c r="E67">
        <v>0.34</v>
      </c>
      <c r="F67">
        <v>-1.8</v>
      </c>
    </row>
    <row r="68" spans="1:6">
      <c r="A68" t="s">
        <v>1606</v>
      </c>
      <c r="B68" t="s">
        <v>130</v>
      </c>
      <c r="C68" t="s">
        <v>17</v>
      </c>
      <c r="D68">
        <v>1</v>
      </c>
      <c r="E68">
        <v>0.14299999999999999</v>
      </c>
      <c r="F68">
        <v>-0.7</v>
      </c>
    </row>
    <row r="69" spans="1:6">
      <c r="A69" t="s">
        <v>1609</v>
      </c>
      <c r="B69" t="s">
        <v>130</v>
      </c>
      <c r="C69" t="s">
        <v>17</v>
      </c>
      <c r="D69">
        <v>1</v>
      </c>
      <c r="E69">
        <v>0.73399999999999999</v>
      </c>
      <c r="F69">
        <v>-4.5999999999999996</v>
      </c>
    </row>
    <row r="70" spans="1:6">
      <c r="A70" t="s">
        <v>1612</v>
      </c>
      <c r="B70" t="s">
        <v>130</v>
      </c>
      <c r="C70" t="s">
        <v>17</v>
      </c>
      <c r="D70">
        <v>0.723385736</v>
      </c>
      <c r="E70">
        <v>0.437</v>
      </c>
      <c r="F70">
        <v>-2.5</v>
      </c>
    </row>
    <row r="71" spans="1:6">
      <c r="A71" t="s">
        <v>1595</v>
      </c>
      <c r="B71" t="s">
        <v>130</v>
      </c>
      <c r="C71" t="s">
        <v>17</v>
      </c>
      <c r="D71">
        <v>0.92870110100000003</v>
      </c>
      <c r="E71">
        <v>2.1000000000000001E-2</v>
      </c>
      <c r="F71">
        <v>-0.1</v>
      </c>
    </row>
    <row r="72" spans="1:6">
      <c r="A72" t="s">
        <v>1601</v>
      </c>
      <c r="B72" t="s">
        <v>139</v>
      </c>
      <c r="C72" t="s">
        <v>17</v>
      </c>
      <c r="D72">
        <v>6.5025283000000003E-2</v>
      </c>
      <c r="E72">
        <v>0.153</v>
      </c>
      <c r="F72">
        <v>-0.8</v>
      </c>
    </row>
    <row r="73" spans="1:6">
      <c r="A73" t="s">
        <v>1606</v>
      </c>
      <c r="B73" t="s">
        <v>139</v>
      </c>
      <c r="C73" t="s">
        <v>17</v>
      </c>
      <c r="D73">
        <v>0.85200970700000001</v>
      </c>
      <c r="E73">
        <v>6.5000000000000002E-2</v>
      </c>
      <c r="F73">
        <v>-0.3</v>
      </c>
    </row>
    <row r="74" spans="1:6">
      <c r="A74" t="s">
        <v>1609</v>
      </c>
      <c r="B74" t="s">
        <v>139</v>
      </c>
      <c r="C74" t="s">
        <v>17</v>
      </c>
      <c r="D74">
        <v>0.20522242600000001</v>
      </c>
      <c r="E74">
        <v>0.13600000000000001</v>
      </c>
      <c r="F74">
        <v>0.7</v>
      </c>
    </row>
    <row r="75" spans="1:6">
      <c r="A75" t="s">
        <v>1612</v>
      </c>
      <c r="B75" t="s">
        <v>139</v>
      </c>
      <c r="C75" t="s">
        <v>17</v>
      </c>
      <c r="D75">
        <v>1</v>
      </c>
      <c r="E75">
        <v>0.53800000000000003</v>
      </c>
      <c r="F75">
        <v>3.2</v>
      </c>
    </row>
    <row r="76" spans="1:6">
      <c r="A76" t="s">
        <v>1595</v>
      </c>
      <c r="B76" t="s">
        <v>139</v>
      </c>
      <c r="C76" t="s">
        <v>17</v>
      </c>
      <c r="D76">
        <v>1</v>
      </c>
      <c r="E76">
        <v>0.60799999999999998</v>
      </c>
      <c r="F76">
        <v>-3.8</v>
      </c>
    </row>
    <row r="77" spans="1:6">
      <c r="A77" t="s">
        <v>1601</v>
      </c>
      <c r="B77" t="s">
        <v>148</v>
      </c>
      <c r="C77" t="s">
        <v>17</v>
      </c>
      <c r="D77">
        <v>1</v>
      </c>
      <c r="E77">
        <v>8.3000000000000004E-2</v>
      </c>
      <c r="F77">
        <v>-0.4</v>
      </c>
    </row>
    <row r="78" spans="1:6">
      <c r="A78" t="s">
        <v>1606</v>
      </c>
      <c r="B78" t="s">
        <v>148</v>
      </c>
      <c r="C78" t="s">
        <v>17</v>
      </c>
      <c r="D78">
        <v>0.44189895699999998</v>
      </c>
      <c r="E78">
        <v>0.127</v>
      </c>
      <c r="F78">
        <v>0.6</v>
      </c>
    </row>
    <row r="79" spans="1:6">
      <c r="A79" t="s">
        <v>1609</v>
      </c>
      <c r="B79" t="s">
        <v>148</v>
      </c>
      <c r="C79" t="s">
        <v>17</v>
      </c>
      <c r="D79">
        <v>1</v>
      </c>
      <c r="E79">
        <v>0.13900000000000001</v>
      </c>
      <c r="F79">
        <v>-0.7</v>
      </c>
    </row>
    <row r="80" spans="1:6">
      <c r="A80" t="s">
        <v>1612</v>
      </c>
      <c r="B80" t="s">
        <v>148</v>
      </c>
      <c r="C80" t="s">
        <v>17</v>
      </c>
      <c r="D80">
        <v>1</v>
      </c>
      <c r="E80">
        <v>0.17899999999999999</v>
      </c>
      <c r="F80">
        <v>1</v>
      </c>
    </row>
    <row r="81" spans="1:6">
      <c r="A81" t="s">
        <v>1595</v>
      </c>
      <c r="B81" t="s">
        <v>148</v>
      </c>
      <c r="C81" t="s">
        <v>17</v>
      </c>
      <c r="D81">
        <v>1</v>
      </c>
      <c r="E81">
        <v>0.41899999999999998</v>
      </c>
      <c r="F81">
        <v>-2.4</v>
      </c>
    </row>
    <row r="82" spans="1:6">
      <c r="A82" t="s">
        <v>1601</v>
      </c>
      <c r="B82" t="s">
        <v>156</v>
      </c>
      <c r="C82" t="s">
        <v>17</v>
      </c>
      <c r="D82">
        <v>6.8114148999999999E-2</v>
      </c>
      <c r="E82">
        <v>0.11600000000000001</v>
      </c>
      <c r="F82">
        <v>0.6</v>
      </c>
    </row>
    <row r="83" spans="1:6">
      <c r="A83" t="s">
        <v>1606</v>
      </c>
      <c r="B83" t="s">
        <v>156</v>
      </c>
      <c r="C83" t="s">
        <v>17</v>
      </c>
      <c r="D83">
        <v>0</v>
      </c>
      <c r="E83">
        <v>0</v>
      </c>
      <c r="F83">
        <v>0</v>
      </c>
    </row>
    <row r="84" spans="1:6">
      <c r="A84" t="s">
        <v>1609</v>
      </c>
      <c r="B84" t="s">
        <v>156</v>
      </c>
      <c r="C84" t="s">
        <v>17</v>
      </c>
      <c r="D84">
        <v>0.107509205</v>
      </c>
      <c r="E84">
        <v>6.9000000000000006E-2</v>
      </c>
      <c r="F84">
        <v>0.3</v>
      </c>
    </row>
    <row r="85" spans="1:6">
      <c r="A85" t="s">
        <v>1612</v>
      </c>
      <c r="B85" t="s">
        <v>156</v>
      </c>
      <c r="C85" t="s">
        <v>17</v>
      </c>
      <c r="D85">
        <v>6.9776132000000005E-2</v>
      </c>
      <c r="E85">
        <v>0.186</v>
      </c>
      <c r="F85">
        <v>1</v>
      </c>
    </row>
    <row r="86" spans="1:6">
      <c r="A86" t="s">
        <v>1595</v>
      </c>
      <c r="B86" t="s">
        <v>156</v>
      </c>
      <c r="C86" t="s">
        <v>17</v>
      </c>
      <c r="D86">
        <v>0.84268701199999996</v>
      </c>
      <c r="E86">
        <v>6.8000000000000005E-2</v>
      </c>
      <c r="F86">
        <v>-0.4</v>
      </c>
    </row>
    <row r="87" spans="1:6">
      <c r="A87" t="s">
        <v>1601</v>
      </c>
      <c r="B87" t="s">
        <v>164</v>
      </c>
      <c r="C87" t="s">
        <v>17</v>
      </c>
      <c r="D87">
        <v>1</v>
      </c>
      <c r="E87">
        <v>0.30499999999999999</v>
      </c>
      <c r="F87">
        <v>1.6</v>
      </c>
    </row>
    <row r="88" spans="1:6">
      <c r="A88" t="s">
        <v>1606</v>
      </c>
      <c r="B88" t="s">
        <v>164</v>
      </c>
      <c r="C88" t="s">
        <v>17</v>
      </c>
      <c r="D88">
        <v>0.45069577900000002</v>
      </c>
      <c r="E88">
        <v>0.38</v>
      </c>
      <c r="F88">
        <v>-2</v>
      </c>
    </row>
    <row r="89" spans="1:6">
      <c r="A89" t="s">
        <v>1609</v>
      </c>
      <c r="B89" t="s">
        <v>164</v>
      </c>
      <c r="C89" t="s">
        <v>17</v>
      </c>
      <c r="D89">
        <v>1</v>
      </c>
      <c r="E89">
        <v>0.29399999999999998</v>
      </c>
      <c r="F89">
        <v>-1.5</v>
      </c>
    </row>
    <row r="90" spans="1:6">
      <c r="A90" t="s">
        <v>1612</v>
      </c>
      <c r="B90" t="s">
        <v>164</v>
      </c>
      <c r="C90" t="s">
        <v>17</v>
      </c>
      <c r="D90">
        <v>1</v>
      </c>
      <c r="E90">
        <v>0.91500000000000004</v>
      </c>
      <c r="F90">
        <v>8.4</v>
      </c>
    </row>
    <row r="91" spans="1:6">
      <c r="A91" t="s">
        <v>1595</v>
      </c>
      <c r="B91" t="s">
        <v>164</v>
      </c>
      <c r="C91" t="s">
        <v>17</v>
      </c>
      <c r="D91">
        <v>1</v>
      </c>
      <c r="E91">
        <v>0.89900000000000002</v>
      </c>
      <c r="F91">
        <v>-7.9</v>
      </c>
    </row>
    <row r="92" spans="1:6">
      <c r="A92" t="s">
        <v>1601</v>
      </c>
      <c r="B92" t="s">
        <v>173</v>
      </c>
      <c r="C92" t="s">
        <v>17</v>
      </c>
      <c r="D92">
        <v>1</v>
      </c>
      <c r="E92">
        <v>0.503</v>
      </c>
      <c r="F92">
        <v>-2.7</v>
      </c>
    </row>
    <row r="93" spans="1:6">
      <c r="A93" t="s">
        <v>1606</v>
      </c>
      <c r="B93" t="s">
        <v>173</v>
      </c>
      <c r="C93" t="s">
        <v>17</v>
      </c>
      <c r="D93">
        <v>0</v>
      </c>
      <c r="E93">
        <v>0</v>
      </c>
      <c r="F93">
        <v>0</v>
      </c>
    </row>
    <row r="94" spans="1:6">
      <c r="A94" t="s">
        <v>1609</v>
      </c>
      <c r="B94" t="s">
        <v>173</v>
      </c>
      <c r="C94" t="s">
        <v>17</v>
      </c>
      <c r="D94">
        <v>0.25651515200000002</v>
      </c>
      <c r="E94">
        <v>0.58399999999999996</v>
      </c>
      <c r="F94">
        <v>-3.3</v>
      </c>
    </row>
    <row r="95" spans="1:6">
      <c r="A95" t="s">
        <v>1612</v>
      </c>
      <c r="B95" t="s">
        <v>173</v>
      </c>
      <c r="C95" t="s">
        <v>17</v>
      </c>
      <c r="D95">
        <v>1</v>
      </c>
      <c r="E95">
        <v>0.186</v>
      </c>
      <c r="F95">
        <v>-1</v>
      </c>
    </row>
    <row r="96" spans="1:6">
      <c r="A96" t="s">
        <v>1595</v>
      </c>
      <c r="B96" t="s">
        <v>173</v>
      </c>
      <c r="C96" t="s">
        <v>17</v>
      </c>
      <c r="D96">
        <v>1</v>
      </c>
      <c r="E96">
        <v>0.49199999999999999</v>
      </c>
      <c r="F96">
        <v>-2.9</v>
      </c>
    </row>
    <row r="97" spans="1:6">
      <c r="A97" t="s">
        <v>1601</v>
      </c>
      <c r="B97" t="s">
        <v>182</v>
      </c>
      <c r="C97" t="s">
        <v>17</v>
      </c>
      <c r="D97">
        <v>1</v>
      </c>
      <c r="E97">
        <v>0.94099999999999995</v>
      </c>
      <c r="F97">
        <v>8.6999999999999993</v>
      </c>
    </row>
    <row r="98" spans="1:6">
      <c r="A98" t="s">
        <v>1606</v>
      </c>
      <c r="B98" t="s">
        <v>182</v>
      </c>
      <c r="C98" t="s">
        <v>17</v>
      </c>
      <c r="D98">
        <v>1</v>
      </c>
      <c r="E98">
        <v>0.88400000000000001</v>
      </c>
      <c r="F98">
        <v>6.9</v>
      </c>
    </row>
    <row r="99" spans="1:6">
      <c r="A99" t="s">
        <v>1609</v>
      </c>
      <c r="B99" t="s">
        <v>182</v>
      </c>
      <c r="C99" t="s">
        <v>17</v>
      </c>
      <c r="D99">
        <v>0.77287991499999997</v>
      </c>
      <c r="E99">
        <v>0.57999999999999996</v>
      </c>
      <c r="F99">
        <v>3.3</v>
      </c>
    </row>
    <row r="100" spans="1:6">
      <c r="A100" t="s">
        <v>1612</v>
      </c>
      <c r="B100" t="s">
        <v>182</v>
      </c>
      <c r="C100" t="s">
        <v>17</v>
      </c>
      <c r="D100">
        <v>1</v>
      </c>
      <c r="E100">
        <v>0.495</v>
      </c>
      <c r="F100">
        <v>-2.9</v>
      </c>
    </row>
    <row r="101" spans="1:6">
      <c r="A101" t="s">
        <v>1595</v>
      </c>
      <c r="B101" t="s">
        <v>182</v>
      </c>
      <c r="C101" t="s">
        <v>17</v>
      </c>
      <c r="D101">
        <v>1</v>
      </c>
      <c r="E101">
        <v>0.19900000000000001</v>
      </c>
      <c r="F101">
        <v>1.1000000000000001</v>
      </c>
    </row>
    <row r="102" spans="1:6">
      <c r="A102" t="s">
        <v>1601</v>
      </c>
      <c r="B102" t="s">
        <v>191</v>
      </c>
      <c r="C102" t="s">
        <v>17</v>
      </c>
      <c r="D102">
        <v>1.4427291E-2</v>
      </c>
      <c r="E102">
        <v>0.42099999999999999</v>
      </c>
      <c r="F102">
        <v>-2.2000000000000002</v>
      </c>
    </row>
    <row r="103" spans="1:6">
      <c r="A103" t="s">
        <v>1606</v>
      </c>
      <c r="B103" t="s">
        <v>191</v>
      </c>
      <c r="C103" t="s">
        <v>17</v>
      </c>
      <c r="D103">
        <v>4.1748024000000002E-2</v>
      </c>
      <c r="E103">
        <v>0.995</v>
      </c>
      <c r="F103">
        <v>-14.8</v>
      </c>
    </row>
    <row r="104" spans="1:6">
      <c r="A104" t="s">
        <v>1609</v>
      </c>
      <c r="B104" t="s">
        <v>191</v>
      </c>
      <c r="C104" t="s">
        <v>17</v>
      </c>
      <c r="D104">
        <v>0</v>
      </c>
      <c r="E104">
        <v>0</v>
      </c>
      <c r="F104">
        <v>0</v>
      </c>
    </row>
    <row r="105" spans="1:6">
      <c r="A105" t="s">
        <v>1612</v>
      </c>
      <c r="B105" t="s">
        <v>191</v>
      </c>
      <c r="C105" t="s">
        <v>17</v>
      </c>
      <c r="D105">
        <v>0.63043434700000001</v>
      </c>
      <c r="E105">
        <v>0.16500000000000001</v>
      </c>
      <c r="F105">
        <v>-0.9</v>
      </c>
    </row>
    <row r="106" spans="1:6">
      <c r="A106" t="s">
        <v>1595</v>
      </c>
      <c r="B106" t="s">
        <v>191</v>
      </c>
      <c r="C106" t="s">
        <v>17</v>
      </c>
      <c r="D106">
        <v>0.14539293</v>
      </c>
      <c r="E106">
        <v>0.08</v>
      </c>
      <c r="F106">
        <v>-0.4</v>
      </c>
    </row>
    <row r="107" spans="1:6">
      <c r="A107" t="s">
        <v>1601</v>
      </c>
      <c r="B107" t="s">
        <v>200</v>
      </c>
      <c r="C107" t="s">
        <v>17</v>
      </c>
      <c r="D107">
        <v>1</v>
      </c>
      <c r="E107">
        <v>0.96399999999999997</v>
      </c>
      <c r="F107">
        <v>9.9</v>
      </c>
    </row>
    <row r="108" spans="1:6">
      <c r="A108" t="s">
        <v>1606</v>
      </c>
      <c r="B108" t="s">
        <v>200</v>
      </c>
      <c r="C108" t="s">
        <v>17</v>
      </c>
      <c r="D108">
        <v>1</v>
      </c>
      <c r="E108">
        <v>0.78300000000000003</v>
      </c>
      <c r="F108">
        <v>5.2</v>
      </c>
    </row>
    <row r="109" spans="1:6">
      <c r="A109" t="s">
        <v>1609</v>
      </c>
      <c r="B109" t="s">
        <v>200</v>
      </c>
      <c r="C109" t="s">
        <v>17</v>
      </c>
      <c r="D109">
        <v>0.75138033699999995</v>
      </c>
      <c r="E109">
        <v>0.873</v>
      </c>
      <c r="F109">
        <v>6.7</v>
      </c>
    </row>
    <row r="110" spans="1:6">
      <c r="A110" t="s">
        <v>1612</v>
      </c>
      <c r="B110" t="s">
        <v>200</v>
      </c>
      <c r="C110" t="s">
        <v>17</v>
      </c>
      <c r="D110">
        <v>1</v>
      </c>
      <c r="E110">
        <v>0.79800000000000004</v>
      </c>
      <c r="F110">
        <v>-5.9</v>
      </c>
    </row>
    <row r="111" spans="1:6">
      <c r="A111" t="s">
        <v>1595</v>
      </c>
      <c r="B111" t="s">
        <v>200</v>
      </c>
      <c r="C111" t="s">
        <v>17</v>
      </c>
      <c r="D111">
        <v>0.66861588800000005</v>
      </c>
      <c r="E111">
        <v>0.46500000000000002</v>
      </c>
      <c r="F111">
        <v>2.7</v>
      </c>
    </row>
    <row r="112" spans="1:6">
      <c r="A112" t="s">
        <v>1601</v>
      </c>
      <c r="B112" t="s">
        <v>209</v>
      </c>
      <c r="C112" t="s">
        <v>17</v>
      </c>
      <c r="D112">
        <v>1</v>
      </c>
      <c r="E112">
        <v>0.96699999999999997</v>
      </c>
      <c r="F112">
        <v>10.1</v>
      </c>
    </row>
    <row r="113" spans="1:6">
      <c r="A113" t="s">
        <v>1606</v>
      </c>
      <c r="B113" t="s">
        <v>209</v>
      </c>
      <c r="C113" t="s">
        <v>17</v>
      </c>
      <c r="D113">
        <v>1</v>
      </c>
      <c r="E113">
        <v>0.86499999999999999</v>
      </c>
      <c r="F113">
        <v>6.5</v>
      </c>
    </row>
    <row r="114" spans="1:6">
      <c r="A114" t="s">
        <v>1609</v>
      </c>
      <c r="B114" t="s">
        <v>209</v>
      </c>
      <c r="C114" t="s">
        <v>17</v>
      </c>
      <c r="D114">
        <v>0.26229184100000003</v>
      </c>
      <c r="E114">
        <v>0.89900000000000002</v>
      </c>
      <c r="F114">
        <v>7.3</v>
      </c>
    </row>
    <row r="115" spans="1:6">
      <c r="A115" t="s">
        <v>1612</v>
      </c>
      <c r="B115" t="s">
        <v>209</v>
      </c>
      <c r="C115" t="s">
        <v>17</v>
      </c>
      <c r="D115">
        <v>1</v>
      </c>
      <c r="E115">
        <v>0.77600000000000002</v>
      </c>
      <c r="F115">
        <v>-5.6</v>
      </c>
    </row>
    <row r="116" spans="1:6">
      <c r="A116" t="s">
        <v>1595</v>
      </c>
      <c r="B116" t="s">
        <v>209</v>
      </c>
      <c r="C116" t="s">
        <v>17</v>
      </c>
      <c r="D116">
        <v>0.52174243899999995</v>
      </c>
      <c r="E116">
        <v>0.435</v>
      </c>
      <c r="F116">
        <v>2.5</v>
      </c>
    </row>
    <row r="117" spans="1:6">
      <c r="A117" t="s">
        <v>1601</v>
      </c>
      <c r="B117" t="s">
        <v>218</v>
      </c>
      <c r="C117" t="s">
        <v>17</v>
      </c>
      <c r="D117">
        <v>0</v>
      </c>
      <c r="E117">
        <v>0</v>
      </c>
      <c r="F117">
        <v>0</v>
      </c>
    </row>
    <row r="118" spans="1:6">
      <c r="A118" t="s">
        <v>1606</v>
      </c>
      <c r="B118" t="s">
        <v>218</v>
      </c>
      <c r="C118" t="s">
        <v>17</v>
      </c>
      <c r="D118">
        <v>0</v>
      </c>
      <c r="E118">
        <v>0</v>
      </c>
      <c r="F118">
        <v>0</v>
      </c>
    </row>
    <row r="119" spans="1:6">
      <c r="A119" t="s">
        <v>1609</v>
      </c>
      <c r="B119" t="s">
        <v>218</v>
      </c>
      <c r="C119" t="s">
        <v>17</v>
      </c>
      <c r="D119">
        <v>0</v>
      </c>
      <c r="E119">
        <v>0</v>
      </c>
      <c r="F119">
        <v>0</v>
      </c>
    </row>
    <row r="120" spans="1:6">
      <c r="A120" t="s">
        <v>1612</v>
      </c>
      <c r="B120" t="s">
        <v>218</v>
      </c>
      <c r="C120" t="s">
        <v>17</v>
      </c>
      <c r="D120">
        <v>1</v>
      </c>
      <c r="E120">
        <v>0.112</v>
      </c>
      <c r="F120">
        <v>-0.6</v>
      </c>
    </row>
    <row r="121" spans="1:6">
      <c r="A121" t="s">
        <v>1595</v>
      </c>
      <c r="B121" t="s">
        <v>218</v>
      </c>
      <c r="C121" t="s">
        <v>17</v>
      </c>
      <c r="D121">
        <v>1</v>
      </c>
      <c r="E121">
        <v>0.125</v>
      </c>
      <c r="F121">
        <v>0.7</v>
      </c>
    </row>
    <row r="122" spans="1:6">
      <c r="A122" t="s">
        <v>1601</v>
      </c>
      <c r="B122" t="s">
        <v>227</v>
      </c>
      <c r="C122" t="s">
        <v>17</v>
      </c>
      <c r="D122">
        <v>0.96114907800000005</v>
      </c>
      <c r="E122">
        <v>0.53800000000000003</v>
      </c>
      <c r="F122">
        <v>-3</v>
      </c>
    </row>
    <row r="123" spans="1:6">
      <c r="A123" t="s">
        <v>1606</v>
      </c>
      <c r="B123" t="s">
        <v>227</v>
      </c>
      <c r="C123" t="s">
        <v>17</v>
      </c>
      <c r="D123">
        <v>0.71028746499999995</v>
      </c>
      <c r="E123">
        <v>0.995</v>
      </c>
      <c r="F123">
        <v>-14.8</v>
      </c>
    </row>
    <row r="124" spans="1:6">
      <c r="A124" t="s">
        <v>1609</v>
      </c>
      <c r="B124" t="s">
        <v>227</v>
      </c>
      <c r="C124" t="s">
        <v>17</v>
      </c>
      <c r="D124">
        <v>1</v>
      </c>
      <c r="E124">
        <v>0.73799999999999999</v>
      </c>
      <c r="F124">
        <v>-4.7</v>
      </c>
    </row>
    <row r="125" spans="1:6">
      <c r="A125" t="s">
        <v>1612</v>
      </c>
      <c r="B125" t="s">
        <v>227</v>
      </c>
      <c r="C125" t="s">
        <v>17</v>
      </c>
      <c r="D125">
        <v>1</v>
      </c>
      <c r="E125">
        <v>0.84099999999999997</v>
      </c>
      <c r="F125">
        <v>-6.6</v>
      </c>
    </row>
    <row r="126" spans="1:6">
      <c r="A126" t="s">
        <v>1595</v>
      </c>
      <c r="B126" t="s">
        <v>227</v>
      </c>
      <c r="C126" t="s">
        <v>17</v>
      </c>
      <c r="D126">
        <v>1</v>
      </c>
      <c r="E126">
        <v>0.32800000000000001</v>
      </c>
      <c r="F126">
        <v>1.8</v>
      </c>
    </row>
    <row r="127" spans="1:6">
      <c r="A127" t="s">
        <v>1601</v>
      </c>
      <c r="B127" t="s">
        <v>236</v>
      </c>
      <c r="C127" t="s">
        <v>17</v>
      </c>
      <c r="D127">
        <v>1</v>
      </c>
      <c r="E127">
        <v>0.82799999999999996</v>
      </c>
      <c r="F127">
        <v>-5.9</v>
      </c>
    </row>
    <row r="128" spans="1:6">
      <c r="A128" t="s">
        <v>1606</v>
      </c>
      <c r="B128" t="s">
        <v>236</v>
      </c>
      <c r="C128" t="s">
        <v>17</v>
      </c>
      <c r="D128">
        <v>1</v>
      </c>
      <c r="E128">
        <v>0.995</v>
      </c>
      <c r="F128">
        <v>-14.8</v>
      </c>
    </row>
    <row r="129" spans="1:6">
      <c r="A129" t="s">
        <v>1609</v>
      </c>
      <c r="B129" t="s">
        <v>236</v>
      </c>
      <c r="C129" t="s">
        <v>17</v>
      </c>
      <c r="D129">
        <v>1</v>
      </c>
      <c r="E129">
        <v>0.79300000000000004</v>
      </c>
      <c r="F129">
        <v>-5.4</v>
      </c>
    </row>
    <row r="130" spans="1:6">
      <c r="A130" t="s">
        <v>1612</v>
      </c>
      <c r="B130" t="s">
        <v>236</v>
      </c>
      <c r="C130" t="s">
        <v>17</v>
      </c>
      <c r="D130">
        <v>1</v>
      </c>
      <c r="E130">
        <v>0.67</v>
      </c>
      <c r="F130">
        <v>-4.4000000000000004</v>
      </c>
    </row>
    <row r="131" spans="1:6">
      <c r="A131" t="s">
        <v>1595</v>
      </c>
      <c r="B131" t="s">
        <v>236</v>
      </c>
      <c r="C131" t="s">
        <v>17</v>
      </c>
      <c r="D131">
        <v>1</v>
      </c>
      <c r="E131">
        <v>0.56599999999999995</v>
      </c>
      <c r="F131">
        <v>3.4</v>
      </c>
    </row>
    <row r="132" spans="1:6">
      <c r="A132" t="s">
        <v>1601</v>
      </c>
      <c r="B132" t="s">
        <v>245</v>
      </c>
      <c r="C132" t="s">
        <v>17</v>
      </c>
      <c r="D132">
        <v>1</v>
      </c>
      <c r="E132">
        <v>7.1999999999999995E-2</v>
      </c>
      <c r="F132">
        <v>0.4</v>
      </c>
    </row>
    <row r="133" spans="1:6">
      <c r="A133" t="s">
        <v>1606</v>
      </c>
      <c r="B133" t="s">
        <v>245</v>
      </c>
      <c r="C133" t="s">
        <v>17</v>
      </c>
      <c r="D133">
        <v>0.48927460099999998</v>
      </c>
      <c r="E133">
        <v>0.27800000000000002</v>
      </c>
      <c r="F133">
        <v>1.4</v>
      </c>
    </row>
    <row r="134" spans="1:6">
      <c r="A134" t="s">
        <v>1609</v>
      </c>
      <c r="B134" t="s">
        <v>245</v>
      </c>
      <c r="C134" t="s">
        <v>17</v>
      </c>
      <c r="D134">
        <v>1</v>
      </c>
      <c r="E134">
        <v>0.10100000000000001</v>
      </c>
      <c r="F134">
        <v>0.5</v>
      </c>
    </row>
    <row r="135" spans="1:6">
      <c r="A135" t="s">
        <v>1612</v>
      </c>
      <c r="B135" t="s">
        <v>245</v>
      </c>
      <c r="C135" t="s">
        <v>17</v>
      </c>
      <c r="D135">
        <v>1</v>
      </c>
      <c r="E135">
        <v>0.66600000000000004</v>
      </c>
      <c r="F135">
        <v>4.3</v>
      </c>
    </row>
    <row r="136" spans="1:6">
      <c r="A136" t="s">
        <v>1595</v>
      </c>
      <c r="B136" t="s">
        <v>245</v>
      </c>
      <c r="C136" t="s">
        <v>17</v>
      </c>
      <c r="D136">
        <v>1</v>
      </c>
      <c r="E136">
        <v>0.59399999999999997</v>
      </c>
      <c r="F136">
        <v>-3.7</v>
      </c>
    </row>
    <row r="137" spans="1:6">
      <c r="A137" t="s">
        <v>1601</v>
      </c>
      <c r="B137" t="s">
        <v>254</v>
      </c>
      <c r="C137" t="s">
        <v>17</v>
      </c>
      <c r="D137">
        <v>0.38573768200000003</v>
      </c>
      <c r="E137">
        <v>0.32400000000000001</v>
      </c>
      <c r="F137">
        <v>1.7</v>
      </c>
    </row>
    <row r="138" spans="1:6">
      <c r="A138" t="s">
        <v>1606</v>
      </c>
      <c r="B138" t="s">
        <v>254</v>
      </c>
      <c r="C138" t="s">
        <v>17</v>
      </c>
      <c r="D138">
        <v>0.27226845</v>
      </c>
      <c r="E138">
        <v>0.995</v>
      </c>
      <c r="F138">
        <v>14.8</v>
      </c>
    </row>
    <row r="139" spans="1:6">
      <c r="A139" t="s">
        <v>1609</v>
      </c>
      <c r="B139" t="s">
        <v>254</v>
      </c>
      <c r="C139" t="s">
        <v>17</v>
      </c>
      <c r="D139">
        <v>0.55441713000000004</v>
      </c>
      <c r="E139">
        <v>0.56899999999999995</v>
      </c>
      <c r="F139">
        <v>3.2</v>
      </c>
    </row>
    <row r="140" spans="1:6">
      <c r="A140" t="s">
        <v>1612</v>
      </c>
      <c r="B140" t="s">
        <v>254</v>
      </c>
      <c r="C140" t="s">
        <v>17</v>
      </c>
      <c r="D140">
        <v>1</v>
      </c>
      <c r="E140">
        <v>0.78400000000000003</v>
      </c>
      <c r="F140">
        <v>5.7</v>
      </c>
    </row>
    <row r="141" spans="1:6">
      <c r="A141" t="s">
        <v>1595</v>
      </c>
      <c r="B141" t="s">
        <v>254</v>
      </c>
      <c r="C141" t="s">
        <v>17</v>
      </c>
      <c r="D141">
        <v>1</v>
      </c>
      <c r="E141">
        <v>0.48599999999999999</v>
      </c>
      <c r="F141">
        <v>-2.9</v>
      </c>
    </row>
    <row r="142" spans="1:6">
      <c r="A142" t="s">
        <v>1601</v>
      </c>
      <c r="B142" t="s">
        <v>263</v>
      </c>
      <c r="C142" t="s">
        <v>17</v>
      </c>
      <c r="D142">
        <v>1</v>
      </c>
      <c r="E142">
        <v>0.14299999999999999</v>
      </c>
      <c r="F142">
        <v>-0.7</v>
      </c>
    </row>
    <row r="143" spans="1:6">
      <c r="A143" t="s">
        <v>1606</v>
      </c>
      <c r="B143" t="s">
        <v>263</v>
      </c>
      <c r="C143" t="s">
        <v>17</v>
      </c>
      <c r="D143">
        <v>0.36480991200000001</v>
      </c>
      <c r="E143">
        <v>1.2E-2</v>
      </c>
      <c r="F143">
        <v>0.1</v>
      </c>
    </row>
    <row r="144" spans="1:6">
      <c r="A144" t="s">
        <v>1609</v>
      </c>
      <c r="B144" t="s">
        <v>263</v>
      </c>
      <c r="C144" t="s">
        <v>17</v>
      </c>
      <c r="D144">
        <v>1</v>
      </c>
      <c r="E144">
        <v>7.4999999999999997E-2</v>
      </c>
      <c r="F144">
        <v>-0.4</v>
      </c>
    </row>
    <row r="145" spans="1:6">
      <c r="A145" t="s">
        <v>1612</v>
      </c>
      <c r="B145" t="s">
        <v>263</v>
      </c>
      <c r="C145" t="s">
        <v>17</v>
      </c>
      <c r="D145">
        <v>1</v>
      </c>
      <c r="E145">
        <v>0.83</v>
      </c>
      <c r="F145">
        <v>6.4</v>
      </c>
    </row>
    <row r="146" spans="1:6">
      <c r="A146" t="s">
        <v>1595</v>
      </c>
      <c r="B146" t="s">
        <v>263</v>
      </c>
      <c r="C146" t="s">
        <v>17</v>
      </c>
      <c r="D146">
        <v>1</v>
      </c>
      <c r="E146">
        <v>0.39700000000000002</v>
      </c>
      <c r="F146">
        <v>-2.2999999999999998</v>
      </c>
    </row>
    <row r="147" spans="1:6">
      <c r="A147" t="s">
        <v>1601</v>
      </c>
      <c r="B147" t="s">
        <v>272</v>
      </c>
      <c r="C147" t="s">
        <v>17</v>
      </c>
      <c r="D147">
        <v>1</v>
      </c>
      <c r="E147">
        <v>0.85299999999999998</v>
      </c>
      <c r="F147">
        <v>-6.3</v>
      </c>
    </row>
    <row r="148" spans="1:6">
      <c r="A148" t="s">
        <v>1606</v>
      </c>
      <c r="B148" t="s">
        <v>272</v>
      </c>
      <c r="C148" t="s">
        <v>17</v>
      </c>
      <c r="D148">
        <v>1</v>
      </c>
      <c r="E148">
        <v>0.995</v>
      </c>
      <c r="F148">
        <v>-14.8</v>
      </c>
    </row>
    <row r="149" spans="1:6">
      <c r="A149" t="s">
        <v>1609</v>
      </c>
      <c r="B149" t="s">
        <v>272</v>
      </c>
      <c r="C149" t="s">
        <v>17</v>
      </c>
      <c r="D149">
        <v>1</v>
      </c>
      <c r="E149">
        <v>0.80600000000000005</v>
      </c>
      <c r="F149">
        <v>-5.5</v>
      </c>
    </row>
    <row r="150" spans="1:6">
      <c r="A150" t="s">
        <v>1612</v>
      </c>
      <c r="B150" t="s">
        <v>272</v>
      </c>
      <c r="C150" t="s">
        <v>17</v>
      </c>
      <c r="D150">
        <v>1</v>
      </c>
      <c r="E150">
        <v>0.65300000000000002</v>
      </c>
      <c r="F150">
        <v>-4.2</v>
      </c>
    </row>
    <row r="151" spans="1:6">
      <c r="A151" t="s">
        <v>1595</v>
      </c>
      <c r="B151" t="s">
        <v>272</v>
      </c>
      <c r="C151" t="s">
        <v>17</v>
      </c>
      <c r="D151">
        <v>1</v>
      </c>
      <c r="E151">
        <v>0.112</v>
      </c>
      <c r="F151">
        <v>-0.6</v>
      </c>
    </row>
    <row r="152" spans="1:6">
      <c r="A152" t="s">
        <v>1601</v>
      </c>
      <c r="B152" t="s">
        <v>281</v>
      </c>
      <c r="C152" t="s">
        <v>17</v>
      </c>
      <c r="D152">
        <v>0.103466897</v>
      </c>
      <c r="E152">
        <v>6.8000000000000005E-2</v>
      </c>
      <c r="F152">
        <v>-0.3</v>
      </c>
    </row>
    <row r="153" spans="1:6">
      <c r="A153" t="s">
        <v>1606</v>
      </c>
      <c r="B153" t="s">
        <v>281</v>
      </c>
      <c r="C153" t="s">
        <v>17</v>
      </c>
      <c r="D153">
        <v>0.98206613899999995</v>
      </c>
      <c r="E153">
        <v>0.14199999999999999</v>
      </c>
      <c r="F153">
        <v>-0.7</v>
      </c>
    </row>
    <row r="154" spans="1:6">
      <c r="A154" t="s">
        <v>1609</v>
      </c>
      <c r="B154" t="s">
        <v>281</v>
      </c>
      <c r="C154" t="s">
        <v>17</v>
      </c>
      <c r="D154">
        <v>0.35884661200000001</v>
      </c>
      <c r="E154">
        <v>0.70899999999999996</v>
      </c>
      <c r="F154">
        <v>-4.4000000000000004</v>
      </c>
    </row>
    <row r="155" spans="1:6">
      <c r="A155" t="s">
        <v>1612</v>
      </c>
      <c r="B155" t="s">
        <v>281</v>
      </c>
      <c r="C155" t="s">
        <v>17</v>
      </c>
      <c r="D155">
        <v>1</v>
      </c>
      <c r="E155">
        <v>0.82099999999999995</v>
      </c>
      <c r="F155">
        <v>-6.2</v>
      </c>
    </row>
    <row r="156" spans="1:6">
      <c r="A156" t="s">
        <v>1595</v>
      </c>
      <c r="B156" t="s">
        <v>281</v>
      </c>
      <c r="C156" t="s">
        <v>17</v>
      </c>
      <c r="D156">
        <v>1</v>
      </c>
      <c r="E156">
        <v>5.3999999999999999E-2</v>
      </c>
      <c r="F156">
        <v>-0.3</v>
      </c>
    </row>
    <row r="157" spans="1:6">
      <c r="A157" t="s">
        <v>1601</v>
      </c>
      <c r="B157" t="s">
        <v>290</v>
      </c>
      <c r="C157" t="s">
        <v>17</v>
      </c>
      <c r="D157">
        <v>0.71208149700000001</v>
      </c>
      <c r="E157">
        <v>0.192</v>
      </c>
      <c r="F157">
        <v>-1</v>
      </c>
    </row>
    <row r="158" spans="1:6">
      <c r="A158" t="s">
        <v>1606</v>
      </c>
      <c r="B158" t="s">
        <v>290</v>
      </c>
      <c r="C158" t="s">
        <v>17</v>
      </c>
      <c r="D158">
        <v>1</v>
      </c>
      <c r="E158">
        <v>0.24299999999999999</v>
      </c>
      <c r="F158">
        <v>-1.2</v>
      </c>
    </row>
    <row r="159" spans="1:6">
      <c r="A159" t="s">
        <v>1609</v>
      </c>
      <c r="B159" t="s">
        <v>290</v>
      </c>
      <c r="C159" t="s">
        <v>17</v>
      </c>
      <c r="D159">
        <v>0.29458765599999998</v>
      </c>
      <c r="E159">
        <v>0.26300000000000001</v>
      </c>
      <c r="F159">
        <v>-1.3</v>
      </c>
    </row>
    <row r="160" spans="1:6">
      <c r="A160" t="s">
        <v>1612</v>
      </c>
      <c r="B160" t="s">
        <v>290</v>
      </c>
      <c r="C160" t="s">
        <v>17</v>
      </c>
      <c r="D160">
        <v>0.61812421200000001</v>
      </c>
      <c r="E160">
        <v>0.218</v>
      </c>
      <c r="F160">
        <v>-1.2</v>
      </c>
    </row>
    <row r="161" spans="1:6">
      <c r="A161" t="s">
        <v>1595</v>
      </c>
      <c r="B161" t="s">
        <v>290</v>
      </c>
      <c r="C161" t="s">
        <v>17</v>
      </c>
      <c r="D161">
        <v>1</v>
      </c>
      <c r="E161">
        <v>3.7999999999999999E-2</v>
      </c>
      <c r="F161">
        <v>0.2</v>
      </c>
    </row>
    <row r="162" spans="1:6">
      <c r="A162" t="s">
        <v>1601</v>
      </c>
      <c r="B162" t="s">
        <v>298</v>
      </c>
      <c r="C162" t="s">
        <v>17</v>
      </c>
      <c r="D162">
        <v>5.7250914E-2</v>
      </c>
      <c r="E162">
        <v>0.36199999999999999</v>
      </c>
      <c r="F162">
        <v>-1.9</v>
      </c>
    </row>
    <row r="163" spans="1:6">
      <c r="A163" t="s">
        <v>1606</v>
      </c>
      <c r="B163" t="s">
        <v>298</v>
      </c>
      <c r="C163" t="s">
        <v>17</v>
      </c>
      <c r="D163">
        <v>7.2306770000000006E-2</v>
      </c>
      <c r="E163">
        <v>0.995</v>
      </c>
      <c r="F163">
        <v>-14.8</v>
      </c>
    </row>
    <row r="164" spans="1:6">
      <c r="A164" t="s">
        <v>1609</v>
      </c>
      <c r="B164" t="s">
        <v>298</v>
      </c>
      <c r="C164" t="s">
        <v>17</v>
      </c>
      <c r="D164">
        <v>1.6008525999999999E-2</v>
      </c>
      <c r="E164">
        <v>0.13900000000000001</v>
      </c>
      <c r="F164">
        <v>-0.7</v>
      </c>
    </row>
    <row r="165" spans="1:6">
      <c r="A165" t="s">
        <v>1612</v>
      </c>
      <c r="B165" t="s">
        <v>298</v>
      </c>
      <c r="C165" t="s">
        <v>17</v>
      </c>
      <c r="D165">
        <v>0.11753635599999999</v>
      </c>
      <c r="E165">
        <v>0.23599999999999999</v>
      </c>
      <c r="F165">
        <v>-1.3</v>
      </c>
    </row>
    <row r="166" spans="1:6">
      <c r="A166" t="s">
        <v>1595</v>
      </c>
      <c r="B166" t="s">
        <v>298</v>
      </c>
      <c r="C166" t="s">
        <v>17</v>
      </c>
      <c r="D166">
        <v>0.24307582599999999</v>
      </c>
      <c r="E166">
        <v>0.20100000000000001</v>
      </c>
      <c r="F166">
        <v>-1.1000000000000001</v>
      </c>
    </row>
    <row r="167" spans="1:6">
      <c r="A167" t="s">
        <v>1601</v>
      </c>
      <c r="B167" t="s">
        <v>306</v>
      </c>
      <c r="C167" t="s">
        <v>17</v>
      </c>
      <c r="D167">
        <v>0.505074731</v>
      </c>
      <c r="E167">
        <v>0.18099999999999999</v>
      </c>
      <c r="F167">
        <v>-0.9</v>
      </c>
    </row>
    <row r="168" spans="1:6">
      <c r="A168" t="s">
        <v>1606</v>
      </c>
      <c r="B168" t="s">
        <v>306</v>
      </c>
      <c r="C168" t="s">
        <v>17</v>
      </c>
      <c r="D168">
        <v>1</v>
      </c>
      <c r="E168">
        <v>0.08</v>
      </c>
      <c r="F168">
        <v>-0.4</v>
      </c>
    </row>
    <row r="169" spans="1:6">
      <c r="A169" t="s">
        <v>1609</v>
      </c>
      <c r="B169" t="s">
        <v>306</v>
      </c>
      <c r="C169" t="s">
        <v>17</v>
      </c>
      <c r="D169">
        <v>1</v>
      </c>
      <c r="E169">
        <v>0.22600000000000001</v>
      </c>
      <c r="F169">
        <v>-1.1000000000000001</v>
      </c>
    </row>
    <row r="170" spans="1:6">
      <c r="A170" t="s">
        <v>1612</v>
      </c>
      <c r="B170" t="s">
        <v>306</v>
      </c>
      <c r="C170" t="s">
        <v>17</v>
      </c>
      <c r="D170">
        <v>0.66689363499999998</v>
      </c>
      <c r="E170">
        <v>0.17399999999999999</v>
      </c>
      <c r="F170">
        <v>-0.9</v>
      </c>
    </row>
    <row r="171" spans="1:6">
      <c r="A171" t="s">
        <v>1595</v>
      </c>
      <c r="B171" t="s">
        <v>306</v>
      </c>
      <c r="C171" t="s">
        <v>17</v>
      </c>
      <c r="D171">
        <v>1</v>
      </c>
      <c r="E171">
        <v>2.7E-2</v>
      </c>
      <c r="F171">
        <v>0.1</v>
      </c>
    </row>
    <row r="172" spans="1:6">
      <c r="A172" t="s">
        <v>1601</v>
      </c>
      <c r="B172" t="s">
        <v>314</v>
      </c>
      <c r="C172" t="s">
        <v>17</v>
      </c>
      <c r="D172">
        <v>1</v>
      </c>
      <c r="E172">
        <v>0.65900000000000003</v>
      </c>
      <c r="F172">
        <v>3.9</v>
      </c>
    </row>
    <row r="173" spans="1:6">
      <c r="A173" t="s">
        <v>1606</v>
      </c>
      <c r="B173" t="s">
        <v>314</v>
      </c>
      <c r="C173" t="s">
        <v>17</v>
      </c>
      <c r="D173">
        <v>1</v>
      </c>
      <c r="E173">
        <v>0.48299999999999998</v>
      </c>
      <c r="F173">
        <v>2.6</v>
      </c>
    </row>
    <row r="174" spans="1:6">
      <c r="A174" t="s">
        <v>1609</v>
      </c>
      <c r="B174" t="s">
        <v>314</v>
      </c>
      <c r="C174" t="s">
        <v>17</v>
      </c>
      <c r="D174">
        <v>1</v>
      </c>
      <c r="E174">
        <v>0.29399999999999998</v>
      </c>
      <c r="F174">
        <v>1.5</v>
      </c>
    </row>
    <row r="175" spans="1:6">
      <c r="A175" t="s">
        <v>1612</v>
      </c>
      <c r="B175" t="s">
        <v>314</v>
      </c>
      <c r="C175" t="s">
        <v>17</v>
      </c>
      <c r="D175">
        <v>0.75248961800000003</v>
      </c>
      <c r="E175">
        <v>6.5000000000000002E-2</v>
      </c>
      <c r="F175">
        <v>0.3</v>
      </c>
    </row>
    <row r="176" spans="1:6">
      <c r="A176" t="s">
        <v>1595</v>
      </c>
      <c r="B176" t="s">
        <v>314</v>
      </c>
      <c r="C176" t="s">
        <v>17</v>
      </c>
      <c r="D176">
        <v>0.37262786599999997</v>
      </c>
      <c r="E176">
        <v>0.114</v>
      </c>
      <c r="F176">
        <v>-0.6</v>
      </c>
    </row>
    <row r="177" spans="1:6">
      <c r="A177" t="s">
        <v>1601</v>
      </c>
      <c r="B177" t="s">
        <v>322</v>
      </c>
      <c r="C177" t="s">
        <v>17</v>
      </c>
      <c r="D177">
        <v>1</v>
      </c>
      <c r="E177">
        <v>0.443</v>
      </c>
      <c r="F177">
        <v>2.4</v>
      </c>
    </row>
    <row r="178" spans="1:6">
      <c r="A178" t="s">
        <v>1606</v>
      </c>
      <c r="B178" t="s">
        <v>322</v>
      </c>
      <c r="C178" t="s">
        <v>17</v>
      </c>
      <c r="D178">
        <v>1</v>
      </c>
      <c r="E178">
        <v>0.314</v>
      </c>
      <c r="F178">
        <v>1.6</v>
      </c>
    </row>
    <row r="179" spans="1:6">
      <c r="A179" t="s">
        <v>1609</v>
      </c>
      <c r="B179" t="s">
        <v>322</v>
      </c>
      <c r="C179" t="s">
        <v>17</v>
      </c>
      <c r="D179">
        <v>1</v>
      </c>
      <c r="E179">
        <v>0.29399999999999998</v>
      </c>
      <c r="F179">
        <v>1.5</v>
      </c>
    </row>
    <row r="180" spans="1:6">
      <c r="A180" t="s">
        <v>1612</v>
      </c>
      <c r="B180" t="s">
        <v>322</v>
      </c>
      <c r="C180" t="s">
        <v>17</v>
      </c>
      <c r="D180">
        <v>0.81744696500000003</v>
      </c>
      <c r="E180">
        <v>0.23499999999999999</v>
      </c>
      <c r="F180">
        <v>1.3</v>
      </c>
    </row>
    <row r="181" spans="1:6">
      <c r="A181" t="s">
        <v>1595</v>
      </c>
      <c r="B181" t="s">
        <v>322</v>
      </c>
      <c r="C181" t="s">
        <v>17</v>
      </c>
      <c r="D181">
        <v>0.53922510199999996</v>
      </c>
      <c r="E181">
        <v>0.309</v>
      </c>
      <c r="F181">
        <v>-1.7</v>
      </c>
    </row>
    <row r="182" spans="1:6">
      <c r="A182" t="s">
        <v>1601</v>
      </c>
      <c r="B182" t="s">
        <v>330</v>
      </c>
      <c r="C182" t="s">
        <v>17</v>
      </c>
      <c r="D182">
        <v>0.96110572299999997</v>
      </c>
      <c r="E182">
        <v>0.57099999999999995</v>
      </c>
      <c r="F182">
        <v>-3.2</v>
      </c>
    </row>
    <row r="183" spans="1:6">
      <c r="A183" t="s">
        <v>1606</v>
      </c>
      <c r="B183" t="s">
        <v>330</v>
      </c>
      <c r="C183" t="s">
        <v>17</v>
      </c>
      <c r="D183">
        <v>1</v>
      </c>
      <c r="E183">
        <v>0.64400000000000002</v>
      </c>
      <c r="F183">
        <v>-3.8</v>
      </c>
    </row>
    <row r="184" spans="1:6">
      <c r="A184" t="s">
        <v>1609</v>
      </c>
      <c r="B184" t="s">
        <v>330</v>
      </c>
      <c r="C184" t="s">
        <v>17</v>
      </c>
      <c r="D184">
        <v>1</v>
      </c>
      <c r="E184">
        <v>0.59599999999999997</v>
      </c>
      <c r="F184">
        <v>-3.4</v>
      </c>
    </row>
    <row r="185" spans="1:6">
      <c r="A185" t="s">
        <v>1612</v>
      </c>
      <c r="B185" t="s">
        <v>330</v>
      </c>
      <c r="C185" t="s">
        <v>17</v>
      </c>
      <c r="D185">
        <v>0.57865305099999997</v>
      </c>
      <c r="E185">
        <v>2.3E-2</v>
      </c>
      <c r="F185">
        <v>-0.1</v>
      </c>
    </row>
    <row r="186" spans="1:6">
      <c r="A186" t="s">
        <v>1595</v>
      </c>
      <c r="B186" t="s">
        <v>330</v>
      </c>
      <c r="C186" t="s">
        <v>17</v>
      </c>
      <c r="D186">
        <v>0.99373986000000003</v>
      </c>
      <c r="E186">
        <v>9.5000000000000001E-2</v>
      </c>
      <c r="F186">
        <v>0.5</v>
      </c>
    </row>
    <row r="187" spans="1:6">
      <c r="A187" t="s">
        <v>1601</v>
      </c>
      <c r="B187" t="s">
        <v>338</v>
      </c>
      <c r="C187" t="s">
        <v>17</v>
      </c>
      <c r="D187">
        <v>0.883182099</v>
      </c>
      <c r="E187">
        <v>0.93200000000000005</v>
      </c>
      <c r="F187">
        <v>-8.3000000000000007</v>
      </c>
    </row>
    <row r="188" spans="1:6">
      <c r="A188" t="s">
        <v>1606</v>
      </c>
      <c r="B188" t="s">
        <v>338</v>
      </c>
      <c r="C188" t="s">
        <v>17</v>
      </c>
      <c r="D188">
        <v>1</v>
      </c>
      <c r="E188">
        <v>0.995</v>
      </c>
      <c r="F188">
        <v>-14.8</v>
      </c>
    </row>
    <row r="189" spans="1:6">
      <c r="A189" t="s">
        <v>1609</v>
      </c>
      <c r="B189" t="s">
        <v>338</v>
      </c>
      <c r="C189" t="s">
        <v>17</v>
      </c>
      <c r="D189">
        <v>1</v>
      </c>
      <c r="E189">
        <v>0.90300000000000002</v>
      </c>
      <c r="F189">
        <v>-7.4</v>
      </c>
    </row>
    <row r="190" spans="1:6">
      <c r="A190" t="s">
        <v>1612</v>
      </c>
      <c r="B190" t="s">
        <v>338</v>
      </c>
      <c r="C190" t="s">
        <v>17</v>
      </c>
      <c r="D190">
        <v>0.63457405700000002</v>
      </c>
      <c r="E190">
        <v>9.8000000000000004E-2</v>
      </c>
      <c r="F190">
        <v>-0.5</v>
      </c>
    </row>
    <row r="191" spans="1:6">
      <c r="A191" t="s">
        <v>1595</v>
      </c>
      <c r="B191" t="s">
        <v>338</v>
      </c>
      <c r="C191" t="s">
        <v>17</v>
      </c>
      <c r="D191">
        <v>0.65878287400000002</v>
      </c>
      <c r="E191">
        <v>0.158</v>
      </c>
      <c r="F191">
        <v>0.9</v>
      </c>
    </row>
    <row r="192" spans="1:6">
      <c r="A192" t="s">
        <v>1601</v>
      </c>
      <c r="B192" t="s">
        <v>346</v>
      </c>
      <c r="C192" t="s">
        <v>17</v>
      </c>
      <c r="D192">
        <v>0.148472618</v>
      </c>
      <c r="E192">
        <v>0.65700000000000003</v>
      </c>
      <c r="F192">
        <v>3.9</v>
      </c>
    </row>
    <row r="193" spans="1:6">
      <c r="A193" t="s">
        <v>1606</v>
      </c>
      <c r="B193" t="s">
        <v>346</v>
      </c>
      <c r="C193" t="s">
        <v>17</v>
      </c>
      <c r="D193">
        <v>1</v>
      </c>
      <c r="E193">
        <v>0.73099999999999998</v>
      </c>
      <c r="F193">
        <v>4.5999999999999996</v>
      </c>
    </row>
    <row r="194" spans="1:6">
      <c r="A194" t="s">
        <v>1609</v>
      </c>
      <c r="B194" t="s">
        <v>346</v>
      </c>
      <c r="C194" t="s">
        <v>17</v>
      </c>
      <c r="D194">
        <v>1</v>
      </c>
      <c r="E194">
        <v>0.65500000000000003</v>
      </c>
      <c r="F194">
        <v>3.9</v>
      </c>
    </row>
    <row r="195" spans="1:6">
      <c r="A195" t="s">
        <v>1612</v>
      </c>
      <c r="B195" t="s">
        <v>346</v>
      </c>
      <c r="C195" t="s">
        <v>17</v>
      </c>
      <c r="D195">
        <v>0.91141778200000001</v>
      </c>
      <c r="E195">
        <v>0.23100000000000001</v>
      </c>
      <c r="F195">
        <v>1.3</v>
      </c>
    </row>
    <row r="196" spans="1:6">
      <c r="A196" t="s">
        <v>1595</v>
      </c>
      <c r="B196" t="s">
        <v>346</v>
      </c>
      <c r="C196" t="s">
        <v>17</v>
      </c>
      <c r="D196">
        <v>0.88166497899999996</v>
      </c>
      <c r="E196">
        <v>0.14899999999999999</v>
      </c>
      <c r="F196">
        <v>-0.8</v>
      </c>
    </row>
    <row r="197" spans="1:6">
      <c r="A197" t="s">
        <v>1601</v>
      </c>
      <c r="B197" t="s">
        <v>354</v>
      </c>
      <c r="C197" t="s">
        <v>17</v>
      </c>
      <c r="D197">
        <v>0.64187742599999997</v>
      </c>
      <c r="E197">
        <v>0.22700000000000001</v>
      </c>
      <c r="F197">
        <v>1.1000000000000001</v>
      </c>
    </row>
    <row r="198" spans="1:6">
      <c r="A198" t="s">
        <v>1606</v>
      </c>
      <c r="B198" t="s">
        <v>354</v>
      </c>
      <c r="C198" t="s">
        <v>17</v>
      </c>
      <c r="D198">
        <v>0.97740345699999998</v>
      </c>
      <c r="E198">
        <v>0.184</v>
      </c>
      <c r="F198">
        <v>0.9</v>
      </c>
    </row>
    <row r="199" spans="1:6">
      <c r="A199" t="s">
        <v>1609</v>
      </c>
      <c r="B199" t="s">
        <v>354</v>
      </c>
      <c r="C199" t="s">
        <v>17</v>
      </c>
      <c r="D199">
        <v>0.29533151099999999</v>
      </c>
      <c r="E199">
        <v>7.9000000000000001E-2</v>
      </c>
      <c r="F199">
        <v>0.4</v>
      </c>
    </row>
    <row r="200" spans="1:6">
      <c r="A200" t="s">
        <v>1612</v>
      </c>
      <c r="B200" t="s">
        <v>354</v>
      </c>
      <c r="C200" t="s">
        <v>17</v>
      </c>
      <c r="D200">
        <v>0.31049263100000002</v>
      </c>
      <c r="E200">
        <v>0.17299999999999999</v>
      </c>
      <c r="F200">
        <v>0.9</v>
      </c>
    </row>
    <row r="201" spans="1:6">
      <c r="A201" t="s">
        <v>1595</v>
      </c>
      <c r="B201" t="s">
        <v>354</v>
      </c>
      <c r="C201" t="s">
        <v>17</v>
      </c>
      <c r="D201">
        <v>0.44030225299999998</v>
      </c>
      <c r="E201">
        <v>0.214</v>
      </c>
      <c r="F201">
        <v>-1.2</v>
      </c>
    </row>
    <row r="202" spans="1:6">
      <c r="A202" t="s">
        <v>1601</v>
      </c>
      <c r="B202" t="s">
        <v>362</v>
      </c>
      <c r="C202" t="s">
        <v>17</v>
      </c>
      <c r="D202">
        <v>0.13558113999999999</v>
      </c>
      <c r="E202">
        <v>0.875</v>
      </c>
      <c r="F202">
        <v>-6.7</v>
      </c>
    </row>
    <row r="203" spans="1:6">
      <c r="A203" t="s">
        <v>1606</v>
      </c>
      <c r="B203" t="s">
        <v>362</v>
      </c>
      <c r="C203" t="s">
        <v>17</v>
      </c>
      <c r="D203">
        <v>0.79462221799999999</v>
      </c>
      <c r="E203">
        <v>0.93200000000000005</v>
      </c>
      <c r="F203">
        <v>-8.3000000000000007</v>
      </c>
    </row>
    <row r="204" spans="1:6">
      <c r="A204" t="s">
        <v>1609</v>
      </c>
      <c r="B204" t="s">
        <v>362</v>
      </c>
      <c r="C204" t="s">
        <v>17</v>
      </c>
      <c r="D204">
        <v>0.79250188899999996</v>
      </c>
      <c r="E204">
        <v>0.93100000000000005</v>
      </c>
      <c r="F204">
        <v>-8.3000000000000007</v>
      </c>
    </row>
    <row r="205" spans="1:6">
      <c r="A205" t="s">
        <v>1612</v>
      </c>
      <c r="B205" t="s">
        <v>362</v>
      </c>
      <c r="C205" t="s">
        <v>17</v>
      </c>
      <c r="D205">
        <v>0.421084126</v>
      </c>
      <c r="E205">
        <v>0.3</v>
      </c>
      <c r="F205">
        <v>-1.7</v>
      </c>
    </row>
    <row r="206" spans="1:6">
      <c r="A206" t="s">
        <v>1595</v>
      </c>
      <c r="B206" t="s">
        <v>362</v>
      </c>
      <c r="C206" t="s">
        <v>17</v>
      </c>
      <c r="D206">
        <v>0.26156721199999999</v>
      </c>
      <c r="E206">
        <v>3.5999999999999997E-2</v>
      </c>
      <c r="F206">
        <v>0.2</v>
      </c>
    </row>
    <row r="207" spans="1:6">
      <c r="A207" t="s">
        <v>1601</v>
      </c>
      <c r="B207" t="s">
        <v>370</v>
      </c>
      <c r="C207" t="s">
        <v>17</v>
      </c>
      <c r="D207">
        <v>0.726624296</v>
      </c>
      <c r="E207">
        <v>0.82599999999999996</v>
      </c>
      <c r="F207">
        <v>5.8</v>
      </c>
    </row>
    <row r="208" spans="1:6">
      <c r="A208" t="s">
        <v>1606</v>
      </c>
      <c r="B208" t="s">
        <v>370</v>
      </c>
      <c r="C208" t="s">
        <v>17</v>
      </c>
      <c r="D208">
        <v>1</v>
      </c>
      <c r="E208">
        <v>0.79100000000000004</v>
      </c>
      <c r="F208">
        <v>5.3</v>
      </c>
    </row>
    <row r="209" spans="1:6">
      <c r="A209" t="s">
        <v>1609</v>
      </c>
      <c r="B209" t="s">
        <v>370</v>
      </c>
      <c r="C209" t="s">
        <v>17</v>
      </c>
      <c r="D209">
        <v>1</v>
      </c>
      <c r="E209">
        <v>0.67200000000000004</v>
      </c>
      <c r="F209">
        <v>4</v>
      </c>
    </row>
    <row r="210" spans="1:6">
      <c r="A210" t="s">
        <v>1612</v>
      </c>
      <c r="B210" t="s">
        <v>370</v>
      </c>
      <c r="C210" t="s">
        <v>17</v>
      </c>
      <c r="D210">
        <v>1</v>
      </c>
      <c r="E210">
        <v>0.19900000000000001</v>
      </c>
      <c r="F210">
        <v>-1.1000000000000001</v>
      </c>
    </row>
    <row r="211" spans="1:6">
      <c r="A211" t="s">
        <v>1595</v>
      </c>
      <c r="B211" t="s">
        <v>370</v>
      </c>
      <c r="C211" t="s">
        <v>17</v>
      </c>
      <c r="D211">
        <v>0.96938621400000002</v>
      </c>
      <c r="E211">
        <v>0.14899999999999999</v>
      </c>
      <c r="F211">
        <v>-0.8</v>
      </c>
    </row>
    <row r="212" spans="1:6">
      <c r="A212" t="s">
        <v>1601</v>
      </c>
      <c r="B212" t="s">
        <v>378</v>
      </c>
      <c r="C212" t="s">
        <v>17</v>
      </c>
      <c r="D212">
        <v>0.150907562</v>
      </c>
      <c r="E212">
        <v>0.995</v>
      </c>
      <c r="F212">
        <v>-14.8</v>
      </c>
    </row>
    <row r="213" spans="1:6">
      <c r="A213" t="s">
        <v>1606</v>
      </c>
      <c r="B213" t="s">
        <v>378</v>
      </c>
      <c r="C213" t="s">
        <v>17</v>
      </c>
      <c r="D213">
        <v>1</v>
      </c>
      <c r="E213">
        <v>0.95199999999999996</v>
      </c>
      <c r="F213">
        <v>-9.1999999999999993</v>
      </c>
    </row>
    <row r="214" spans="1:6">
      <c r="A214" t="s">
        <v>1609</v>
      </c>
      <c r="B214" t="s">
        <v>378</v>
      </c>
      <c r="C214" t="s">
        <v>17</v>
      </c>
      <c r="D214">
        <v>0.60725325799999996</v>
      </c>
      <c r="E214">
        <v>0.86</v>
      </c>
      <c r="F214">
        <v>-6.4</v>
      </c>
    </row>
    <row r="215" spans="1:6">
      <c r="A215" t="s">
        <v>1612</v>
      </c>
      <c r="B215" t="s">
        <v>378</v>
      </c>
      <c r="C215" t="s">
        <v>17</v>
      </c>
      <c r="D215">
        <v>0.94177751799999998</v>
      </c>
      <c r="E215">
        <v>0.33200000000000002</v>
      </c>
      <c r="F215">
        <v>-1.9</v>
      </c>
    </row>
    <row r="216" spans="1:6">
      <c r="A216" t="s">
        <v>1595</v>
      </c>
      <c r="B216" t="s">
        <v>378</v>
      </c>
      <c r="C216" t="s">
        <v>17</v>
      </c>
      <c r="D216">
        <v>0.63148091799999995</v>
      </c>
      <c r="E216">
        <v>0.108</v>
      </c>
      <c r="F216">
        <v>-0.6</v>
      </c>
    </row>
    <row r="217" spans="1:6">
      <c r="A217" t="s">
        <v>1601</v>
      </c>
      <c r="B217" t="s">
        <v>386</v>
      </c>
      <c r="C217" t="s">
        <v>17</v>
      </c>
      <c r="D217">
        <v>0.137839724</v>
      </c>
      <c r="E217">
        <v>0.05</v>
      </c>
      <c r="F217">
        <v>-0.2</v>
      </c>
    </row>
    <row r="218" spans="1:6">
      <c r="A218" t="s">
        <v>1606</v>
      </c>
      <c r="B218" t="s">
        <v>386</v>
      </c>
      <c r="C218" t="s">
        <v>17</v>
      </c>
      <c r="D218">
        <v>1</v>
      </c>
      <c r="E218">
        <v>0.08</v>
      </c>
      <c r="F218">
        <v>0.4</v>
      </c>
    </row>
    <row r="219" spans="1:6">
      <c r="A219" t="s">
        <v>1609</v>
      </c>
      <c r="B219" t="s">
        <v>386</v>
      </c>
      <c r="C219" t="s">
        <v>17</v>
      </c>
      <c r="D219">
        <v>0.34698042600000001</v>
      </c>
      <c r="E219">
        <v>0.247</v>
      </c>
      <c r="F219">
        <v>1.3</v>
      </c>
    </row>
    <row r="220" spans="1:6">
      <c r="A220" t="s">
        <v>1612</v>
      </c>
      <c r="B220" t="s">
        <v>386</v>
      </c>
      <c r="C220" t="s">
        <v>17</v>
      </c>
      <c r="D220">
        <v>0.102815157</v>
      </c>
      <c r="E220">
        <v>0.107</v>
      </c>
      <c r="F220">
        <v>-0.6</v>
      </c>
    </row>
    <row r="221" spans="1:6">
      <c r="A221" t="s">
        <v>1595</v>
      </c>
      <c r="B221" t="s">
        <v>386</v>
      </c>
      <c r="C221" t="s">
        <v>17</v>
      </c>
      <c r="D221">
        <v>1</v>
      </c>
      <c r="E221">
        <v>0.23599999999999999</v>
      </c>
      <c r="F221">
        <v>1.3</v>
      </c>
    </row>
    <row r="222" spans="1:6">
      <c r="A222" t="s">
        <v>1601</v>
      </c>
      <c r="B222" t="s">
        <v>394</v>
      </c>
      <c r="C222" t="s">
        <v>17</v>
      </c>
      <c r="D222">
        <v>0.72052820900000003</v>
      </c>
      <c r="E222">
        <v>0.44400000000000001</v>
      </c>
      <c r="F222">
        <v>-2.4</v>
      </c>
    </row>
    <row r="223" spans="1:6">
      <c r="A223" t="s">
        <v>1606</v>
      </c>
      <c r="B223" t="s">
        <v>394</v>
      </c>
      <c r="C223" t="s">
        <v>17</v>
      </c>
      <c r="D223">
        <v>1</v>
      </c>
      <c r="E223">
        <v>0.63400000000000001</v>
      </c>
      <c r="F223">
        <v>-3.7</v>
      </c>
    </row>
    <row r="224" spans="1:6">
      <c r="A224" t="s">
        <v>1609</v>
      </c>
      <c r="B224" t="s">
        <v>394</v>
      </c>
      <c r="C224" t="s">
        <v>17</v>
      </c>
      <c r="D224">
        <v>1</v>
      </c>
      <c r="E224">
        <v>0.47</v>
      </c>
      <c r="F224">
        <v>-2.5</v>
      </c>
    </row>
    <row r="225" spans="1:6">
      <c r="A225" t="s">
        <v>1612</v>
      </c>
      <c r="B225" t="s">
        <v>394</v>
      </c>
      <c r="C225" t="s">
        <v>17</v>
      </c>
      <c r="D225">
        <v>0.71608297099999996</v>
      </c>
      <c r="E225">
        <v>0.16</v>
      </c>
      <c r="F225">
        <v>-0.9</v>
      </c>
    </row>
    <row r="226" spans="1:6">
      <c r="A226" t="s">
        <v>1595</v>
      </c>
      <c r="B226" t="s">
        <v>394</v>
      </c>
      <c r="C226" t="s">
        <v>17</v>
      </c>
      <c r="D226">
        <v>0.87208579500000005</v>
      </c>
      <c r="E226">
        <v>0.115</v>
      </c>
      <c r="F226">
        <v>0.6</v>
      </c>
    </row>
    <row r="227" spans="1:6">
      <c r="A227" t="s">
        <v>1601</v>
      </c>
      <c r="B227" t="s">
        <v>402</v>
      </c>
      <c r="C227" t="s">
        <v>17</v>
      </c>
      <c r="D227">
        <v>2.6576281E-2</v>
      </c>
      <c r="E227">
        <v>0.60599999999999998</v>
      </c>
      <c r="F227">
        <v>-3.5</v>
      </c>
    </row>
    <row r="228" spans="1:6">
      <c r="A228" t="s">
        <v>1606</v>
      </c>
      <c r="B228" t="s">
        <v>402</v>
      </c>
      <c r="C228" t="s">
        <v>17</v>
      </c>
      <c r="D228">
        <v>1</v>
      </c>
      <c r="E228">
        <v>0.83799999999999997</v>
      </c>
      <c r="F228">
        <v>-6</v>
      </c>
    </row>
    <row r="229" spans="1:6">
      <c r="A229" t="s">
        <v>1609</v>
      </c>
      <c r="B229" t="s">
        <v>402</v>
      </c>
      <c r="C229" t="s">
        <v>17</v>
      </c>
      <c r="D229">
        <v>0.85534540699999995</v>
      </c>
      <c r="E229">
        <v>0.83699999999999997</v>
      </c>
      <c r="F229">
        <v>-6</v>
      </c>
    </row>
    <row r="230" spans="1:6">
      <c r="A230" t="s">
        <v>1612</v>
      </c>
      <c r="B230" t="s">
        <v>402</v>
      </c>
      <c r="C230" t="s">
        <v>17</v>
      </c>
      <c r="D230">
        <v>0.93092378499999995</v>
      </c>
      <c r="E230">
        <v>0.35099999999999998</v>
      </c>
      <c r="F230">
        <v>-2</v>
      </c>
    </row>
    <row r="231" spans="1:6">
      <c r="A231" t="s">
        <v>1595</v>
      </c>
      <c r="B231" t="s">
        <v>402</v>
      </c>
      <c r="C231" t="s">
        <v>17</v>
      </c>
      <c r="D231">
        <v>0.343582683</v>
      </c>
      <c r="E231">
        <v>1.2E-2</v>
      </c>
      <c r="F231">
        <v>0.1</v>
      </c>
    </row>
    <row r="232" spans="1:6">
      <c r="A232" t="s">
        <v>1601</v>
      </c>
      <c r="B232" t="s">
        <v>410</v>
      </c>
      <c r="C232" t="s">
        <v>17</v>
      </c>
      <c r="D232">
        <v>0.30644950700000001</v>
      </c>
      <c r="E232">
        <v>0.247</v>
      </c>
      <c r="F232">
        <v>1.3</v>
      </c>
    </row>
    <row r="233" spans="1:6">
      <c r="A233" t="s">
        <v>1606</v>
      </c>
      <c r="B233" t="s">
        <v>410</v>
      </c>
      <c r="C233" t="s">
        <v>17</v>
      </c>
      <c r="D233">
        <v>0.77256199299999995</v>
      </c>
      <c r="E233">
        <v>0.32600000000000001</v>
      </c>
      <c r="F233">
        <v>1.7</v>
      </c>
    </row>
    <row r="234" spans="1:6">
      <c r="A234" t="s">
        <v>1609</v>
      </c>
      <c r="B234" t="s">
        <v>410</v>
      </c>
      <c r="C234" t="s">
        <v>17</v>
      </c>
      <c r="D234">
        <v>0.48268509399999998</v>
      </c>
      <c r="E234">
        <v>0.374</v>
      </c>
      <c r="F234">
        <v>1.9</v>
      </c>
    </row>
    <row r="235" spans="1:6">
      <c r="A235" t="s">
        <v>1612</v>
      </c>
      <c r="B235" t="s">
        <v>410</v>
      </c>
      <c r="C235" t="s">
        <v>17</v>
      </c>
      <c r="D235">
        <v>0.925535424</v>
      </c>
      <c r="E235">
        <v>0.35199999999999998</v>
      </c>
      <c r="F235">
        <v>-2</v>
      </c>
    </row>
    <row r="236" spans="1:6">
      <c r="A236" t="s">
        <v>1595</v>
      </c>
      <c r="B236" t="s">
        <v>410</v>
      </c>
      <c r="C236" t="s">
        <v>17</v>
      </c>
      <c r="D236">
        <v>0.44737558199999999</v>
      </c>
      <c r="E236">
        <v>0.01</v>
      </c>
      <c r="F236">
        <v>0.1</v>
      </c>
    </row>
    <row r="237" spans="1:6">
      <c r="A237" t="s">
        <v>1601</v>
      </c>
      <c r="B237" t="s">
        <v>418</v>
      </c>
      <c r="C237" t="s">
        <v>17</v>
      </c>
      <c r="D237">
        <v>1</v>
      </c>
      <c r="E237">
        <v>0.25700000000000001</v>
      </c>
      <c r="F237">
        <v>1.3</v>
      </c>
    </row>
    <row r="238" spans="1:6">
      <c r="A238" t="s">
        <v>1606</v>
      </c>
      <c r="B238" t="s">
        <v>418</v>
      </c>
      <c r="C238" t="s">
        <v>17</v>
      </c>
      <c r="D238">
        <v>1</v>
      </c>
      <c r="E238">
        <v>0.32200000000000001</v>
      </c>
      <c r="F238">
        <v>1.7</v>
      </c>
    </row>
    <row r="239" spans="1:6">
      <c r="A239" t="s">
        <v>1609</v>
      </c>
      <c r="B239" t="s">
        <v>418</v>
      </c>
      <c r="C239" t="s">
        <v>17</v>
      </c>
      <c r="D239">
        <v>1</v>
      </c>
      <c r="E239">
        <v>0.498</v>
      </c>
      <c r="F239">
        <v>2.7</v>
      </c>
    </row>
    <row r="240" spans="1:6">
      <c r="A240" t="s">
        <v>1612</v>
      </c>
      <c r="B240" t="s">
        <v>418</v>
      </c>
      <c r="C240" t="s">
        <v>17</v>
      </c>
      <c r="D240">
        <v>0.65714367299999998</v>
      </c>
      <c r="E240">
        <v>7.5999999999999998E-2</v>
      </c>
      <c r="F240">
        <v>0.4</v>
      </c>
    </row>
    <row r="241" spans="1:6">
      <c r="A241" t="s">
        <v>1595</v>
      </c>
      <c r="B241" t="s">
        <v>418</v>
      </c>
      <c r="C241" t="s">
        <v>17</v>
      </c>
      <c r="D241">
        <v>0.76192989799999999</v>
      </c>
      <c r="E241">
        <v>0.187</v>
      </c>
      <c r="F241">
        <v>-1</v>
      </c>
    </row>
    <row r="242" spans="1:6">
      <c r="A242" t="s">
        <v>1601</v>
      </c>
      <c r="B242" t="s">
        <v>426</v>
      </c>
      <c r="C242" t="s">
        <v>17</v>
      </c>
      <c r="D242">
        <v>1</v>
      </c>
      <c r="E242">
        <v>0.85099999999999998</v>
      </c>
      <c r="F242">
        <v>6.2</v>
      </c>
    </row>
    <row r="243" spans="1:6">
      <c r="A243" t="s">
        <v>1606</v>
      </c>
      <c r="B243" t="s">
        <v>426</v>
      </c>
      <c r="C243" t="s">
        <v>17</v>
      </c>
      <c r="D243">
        <v>1</v>
      </c>
      <c r="E243">
        <v>0.84799999999999998</v>
      </c>
      <c r="F243">
        <v>6.2</v>
      </c>
    </row>
    <row r="244" spans="1:6">
      <c r="A244" t="s">
        <v>1609</v>
      </c>
      <c r="B244" t="s">
        <v>426</v>
      </c>
      <c r="C244" t="s">
        <v>17</v>
      </c>
      <c r="D244">
        <v>1</v>
      </c>
      <c r="E244">
        <v>0.79400000000000004</v>
      </c>
      <c r="F244">
        <v>5.4</v>
      </c>
    </row>
    <row r="245" spans="1:6">
      <c r="A245" t="s">
        <v>1612</v>
      </c>
      <c r="B245" t="s">
        <v>426</v>
      </c>
      <c r="C245" t="s">
        <v>17</v>
      </c>
      <c r="D245">
        <v>0.83771077900000002</v>
      </c>
      <c r="E245">
        <v>0.14000000000000001</v>
      </c>
      <c r="F245">
        <v>0.8</v>
      </c>
    </row>
    <row r="246" spans="1:6">
      <c r="A246" t="s">
        <v>1595</v>
      </c>
      <c r="B246" t="s">
        <v>426</v>
      </c>
      <c r="C246" t="s">
        <v>17</v>
      </c>
      <c r="D246">
        <v>0.61640922200000003</v>
      </c>
      <c r="E246">
        <v>0.17799999999999999</v>
      </c>
      <c r="F246">
        <v>-1</v>
      </c>
    </row>
    <row r="247" spans="1:6">
      <c r="A247" t="s">
        <v>1601</v>
      </c>
      <c r="B247" t="s">
        <v>434</v>
      </c>
      <c r="C247" t="s">
        <v>17</v>
      </c>
      <c r="D247">
        <v>0.22072940299999999</v>
      </c>
      <c r="E247">
        <v>0.67400000000000004</v>
      </c>
      <c r="F247">
        <v>-4.0999999999999996</v>
      </c>
    </row>
    <row r="248" spans="1:6">
      <c r="A248" t="s">
        <v>1606</v>
      </c>
      <c r="B248" t="s">
        <v>434</v>
      </c>
      <c r="C248" t="s">
        <v>17</v>
      </c>
      <c r="D248">
        <v>1</v>
      </c>
      <c r="E248">
        <v>0.995</v>
      </c>
      <c r="F248">
        <v>-14.8</v>
      </c>
    </row>
    <row r="249" spans="1:6">
      <c r="A249" t="s">
        <v>1609</v>
      </c>
      <c r="B249" t="s">
        <v>434</v>
      </c>
      <c r="C249" t="s">
        <v>17</v>
      </c>
      <c r="D249">
        <v>1</v>
      </c>
      <c r="E249">
        <v>0.73099999999999998</v>
      </c>
      <c r="F249">
        <v>-4.5999999999999996</v>
      </c>
    </row>
    <row r="250" spans="1:6">
      <c r="A250" t="s">
        <v>1612</v>
      </c>
      <c r="B250" t="s">
        <v>434</v>
      </c>
      <c r="C250" t="s">
        <v>17</v>
      </c>
      <c r="D250">
        <v>0.47844214400000001</v>
      </c>
      <c r="E250">
        <v>0.19600000000000001</v>
      </c>
      <c r="F250">
        <v>-1.1000000000000001</v>
      </c>
    </row>
    <row r="251" spans="1:6">
      <c r="A251" t="s">
        <v>1595</v>
      </c>
      <c r="B251" t="s">
        <v>434</v>
      </c>
      <c r="C251" t="s">
        <v>17</v>
      </c>
      <c r="D251">
        <v>0.29120469799999998</v>
      </c>
      <c r="E251">
        <v>0.13900000000000001</v>
      </c>
      <c r="F251">
        <v>0.8</v>
      </c>
    </row>
    <row r="252" spans="1:6">
      <c r="A252" t="s">
        <v>1601</v>
      </c>
      <c r="B252" t="s">
        <v>442</v>
      </c>
      <c r="C252" t="s">
        <v>17</v>
      </c>
      <c r="D252">
        <v>1</v>
      </c>
      <c r="E252">
        <v>0.94099999999999995</v>
      </c>
      <c r="F252">
        <v>8.6999999999999993</v>
      </c>
    </row>
    <row r="253" spans="1:6">
      <c r="A253" t="s">
        <v>1606</v>
      </c>
      <c r="B253" t="s">
        <v>442</v>
      </c>
      <c r="C253" t="s">
        <v>17</v>
      </c>
      <c r="D253">
        <v>1</v>
      </c>
      <c r="E253">
        <v>0.747</v>
      </c>
      <c r="F253">
        <v>4.8</v>
      </c>
    </row>
    <row r="254" spans="1:6">
      <c r="A254" t="s">
        <v>1609</v>
      </c>
      <c r="B254" t="s">
        <v>442</v>
      </c>
      <c r="C254" t="s">
        <v>17</v>
      </c>
      <c r="D254">
        <v>1</v>
      </c>
      <c r="E254">
        <v>0.874</v>
      </c>
      <c r="F254">
        <v>6.7</v>
      </c>
    </row>
    <row r="255" spans="1:6">
      <c r="A255" t="s">
        <v>1612</v>
      </c>
      <c r="B255" t="s">
        <v>442</v>
      </c>
      <c r="C255" t="s">
        <v>17</v>
      </c>
      <c r="D255">
        <v>1</v>
      </c>
      <c r="E255">
        <v>4.5999999999999999E-2</v>
      </c>
      <c r="F255">
        <v>0.2</v>
      </c>
    </row>
    <row r="256" spans="1:6">
      <c r="A256" t="s">
        <v>1595</v>
      </c>
      <c r="B256" t="s">
        <v>442</v>
      </c>
      <c r="C256" t="s">
        <v>17</v>
      </c>
      <c r="D256">
        <v>0.99930236800000005</v>
      </c>
      <c r="E256">
        <v>0.14899999999999999</v>
      </c>
      <c r="F256">
        <v>-0.8</v>
      </c>
    </row>
    <row r="257" spans="1:6">
      <c r="A257" t="s">
        <v>1601</v>
      </c>
      <c r="B257" t="s">
        <v>450</v>
      </c>
      <c r="C257" t="s">
        <v>17</v>
      </c>
      <c r="D257">
        <v>0.654025101</v>
      </c>
      <c r="E257">
        <v>0.52900000000000003</v>
      </c>
      <c r="F257">
        <v>2.9</v>
      </c>
    </row>
    <row r="258" spans="1:6">
      <c r="A258" t="s">
        <v>1606</v>
      </c>
      <c r="B258" t="s">
        <v>450</v>
      </c>
      <c r="C258" t="s">
        <v>17</v>
      </c>
      <c r="D258">
        <v>0.80194279999999996</v>
      </c>
      <c r="E258">
        <v>0.51900000000000002</v>
      </c>
      <c r="F258">
        <v>2.9</v>
      </c>
    </row>
    <row r="259" spans="1:6">
      <c r="A259" t="s">
        <v>1609</v>
      </c>
      <c r="B259" t="s">
        <v>450</v>
      </c>
      <c r="C259" t="s">
        <v>17</v>
      </c>
      <c r="D259">
        <v>1</v>
      </c>
      <c r="E259">
        <v>0.497</v>
      </c>
      <c r="F259">
        <v>2.7</v>
      </c>
    </row>
    <row r="260" spans="1:6">
      <c r="A260" t="s">
        <v>1612</v>
      </c>
      <c r="B260" t="s">
        <v>450</v>
      </c>
      <c r="C260" t="s">
        <v>17</v>
      </c>
      <c r="D260">
        <v>0.43733074399999999</v>
      </c>
      <c r="E260">
        <v>6.7000000000000004E-2</v>
      </c>
      <c r="F260">
        <v>0.4</v>
      </c>
    </row>
    <row r="261" spans="1:6">
      <c r="A261" t="s">
        <v>1595</v>
      </c>
      <c r="B261" t="s">
        <v>450</v>
      </c>
      <c r="C261" t="s">
        <v>17</v>
      </c>
      <c r="D261">
        <v>0.79877036499999998</v>
      </c>
      <c r="E261">
        <v>8.6999999999999994E-2</v>
      </c>
      <c r="F261">
        <v>-0.5</v>
      </c>
    </row>
    <row r="262" spans="1:6">
      <c r="A262" t="s">
        <v>1601</v>
      </c>
      <c r="B262" t="s">
        <v>458</v>
      </c>
      <c r="C262" t="s">
        <v>17</v>
      </c>
      <c r="D262">
        <v>0.25115098800000002</v>
      </c>
      <c r="E262">
        <v>0.16700000000000001</v>
      </c>
      <c r="F262">
        <v>0.8</v>
      </c>
    </row>
    <row r="263" spans="1:6">
      <c r="A263" t="s">
        <v>1606</v>
      </c>
      <c r="B263" t="s">
        <v>458</v>
      </c>
      <c r="C263" t="s">
        <v>17</v>
      </c>
      <c r="D263">
        <v>1</v>
      </c>
      <c r="E263">
        <v>2.5000000000000001E-2</v>
      </c>
      <c r="F263">
        <v>-0.1</v>
      </c>
    </row>
    <row r="264" spans="1:6">
      <c r="A264" t="s">
        <v>1609</v>
      </c>
      <c r="B264" t="s">
        <v>458</v>
      </c>
      <c r="C264" t="s">
        <v>17</v>
      </c>
      <c r="D264">
        <v>0.29203369800000001</v>
      </c>
      <c r="E264">
        <v>0.17499999999999999</v>
      </c>
      <c r="F264">
        <v>0.9</v>
      </c>
    </row>
    <row r="265" spans="1:6">
      <c r="A265" t="s">
        <v>1612</v>
      </c>
      <c r="B265" t="s">
        <v>458</v>
      </c>
      <c r="C265" t="s">
        <v>17</v>
      </c>
      <c r="D265">
        <v>0.908706079</v>
      </c>
      <c r="E265">
        <v>3.5999999999999997E-2</v>
      </c>
      <c r="F265">
        <v>0.2</v>
      </c>
    </row>
    <row r="266" spans="1:6">
      <c r="A266" t="s">
        <v>1595</v>
      </c>
      <c r="B266" t="s">
        <v>458</v>
      </c>
      <c r="C266" t="s">
        <v>17</v>
      </c>
      <c r="D266">
        <v>1</v>
      </c>
      <c r="E266">
        <v>1.0999999999999999E-2</v>
      </c>
      <c r="F266">
        <v>-0.1</v>
      </c>
    </row>
    <row r="267" spans="1:6">
      <c r="A267" t="s">
        <v>1601</v>
      </c>
      <c r="B267" t="s">
        <v>467</v>
      </c>
      <c r="C267" t="s">
        <v>17</v>
      </c>
      <c r="D267">
        <v>0.49091331500000002</v>
      </c>
      <c r="E267">
        <v>0.47399999999999998</v>
      </c>
      <c r="F267">
        <v>-2.6</v>
      </c>
    </row>
    <row r="268" spans="1:6">
      <c r="A268" t="s">
        <v>1606</v>
      </c>
      <c r="B268" t="s">
        <v>467</v>
      </c>
      <c r="C268" t="s">
        <v>17</v>
      </c>
      <c r="D268">
        <v>1</v>
      </c>
      <c r="E268">
        <v>0.69799999999999995</v>
      </c>
      <c r="F268">
        <v>-4.3</v>
      </c>
    </row>
    <row r="269" spans="1:6">
      <c r="A269" t="s">
        <v>1609</v>
      </c>
      <c r="B269" t="s">
        <v>467</v>
      </c>
      <c r="C269" t="s">
        <v>17</v>
      </c>
      <c r="D269">
        <v>1</v>
      </c>
      <c r="E269">
        <v>0.52400000000000002</v>
      </c>
      <c r="F269">
        <v>-2.9</v>
      </c>
    </row>
    <row r="270" spans="1:6">
      <c r="A270" t="s">
        <v>1612</v>
      </c>
      <c r="B270" t="s">
        <v>467</v>
      </c>
      <c r="C270" t="s">
        <v>17</v>
      </c>
      <c r="D270">
        <v>1</v>
      </c>
      <c r="E270">
        <v>2.3E-2</v>
      </c>
      <c r="F270">
        <v>-0.1</v>
      </c>
    </row>
    <row r="271" spans="1:6">
      <c r="A271" t="s">
        <v>1595</v>
      </c>
      <c r="B271" t="s">
        <v>467</v>
      </c>
      <c r="C271" t="s">
        <v>17</v>
      </c>
      <c r="D271">
        <v>1</v>
      </c>
      <c r="E271">
        <v>0.19800000000000001</v>
      </c>
      <c r="F271">
        <v>1.1000000000000001</v>
      </c>
    </row>
    <row r="272" spans="1:6">
      <c r="A272" t="s">
        <v>1601</v>
      </c>
      <c r="B272" t="s">
        <v>476</v>
      </c>
      <c r="C272" t="s">
        <v>17</v>
      </c>
      <c r="D272">
        <v>1</v>
      </c>
      <c r="E272">
        <v>0.995</v>
      </c>
      <c r="F272">
        <v>14.8</v>
      </c>
    </row>
    <row r="273" spans="1:6">
      <c r="A273" t="s">
        <v>1606</v>
      </c>
      <c r="B273" t="s">
        <v>476</v>
      </c>
      <c r="C273" t="s">
        <v>17</v>
      </c>
      <c r="D273">
        <v>0.93546889899999996</v>
      </c>
      <c r="E273">
        <v>0.995</v>
      </c>
      <c r="F273">
        <v>14.8</v>
      </c>
    </row>
    <row r="274" spans="1:6">
      <c r="A274" t="s">
        <v>1609</v>
      </c>
      <c r="B274" t="s">
        <v>476</v>
      </c>
      <c r="C274" t="s">
        <v>17</v>
      </c>
      <c r="D274">
        <v>1</v>
      </c>
      <c r="E274">
        <v>0.995</v>
      </c>
      <c r="F274">
        <v>14.8</v>
      </c>
    </row>
    <row r="275" spans="1:6">
      <c r="A275" t="s">
        <v>1612</v>
      </c>
      <c r="B275" t="s">
        <v>476</v>
      </c>
      <c r="C275" t="s">
        <v>17</v>
      </c>
      <c r="D275">
        <v>0.38971403300000002</v>
      </c>
      <c r="E275">
        <v>0.51400000000000001</v>
      </c>
      <c r="F275">
        <v>3.1</v>
      </c>
    </row>
    <row r="276" spans="1:6">
      <c r="A276" t="s">
        <v>1595</v>
      </c>
      <c r="B276" t="s">
        <v>476</v>
      </c>
      <c r="C276" t="s">
        <v>17</v>
      </c>
      <c r="D276">
        <v>1</v>
      </c>
      <c r="E276">
        <v>0.56200000000000006</v>
      </c>
      <c r="F276">
        <v>3.4</v>
      </c>
    </row>
    <row r="277" spans="1:6">
      <c r="A277" t="s">
        <v>1601</v>
      </c>
      <c r="B277" t="s">
        <v>485</v>
      </c>
      <c r="C277" t="s">
        <v>17</v>
      </c>
      <c r="D277">
        <v>1</v>
      </c>
      <c r="E277">
        <v>0.88500000000000001</v>
      </c>
      <c r="F277">
        <v>-6.9</v>
      </c>
    </row>
    <row r="278" spans="1:6">
      <c r="A278" t="s">
        <v>1606</v>
      </c>
      <c r="B278" t="s">
        <v>485</v>
      </c>
      <c r="C278" t="s">
        <v>17</v>
      </c>
      <c r="D278">
        <v>1</v>
      </c>
      <c r="E278">
        <v>0.995</v>
      </c>
      <c r="F278">
        <v>-14.8</v>
      </c>
    </row>
    <row r="279" spans="1:6">
      <c r="A279" t="s">
        <v>1609</v>
      </c>
      <c r="B279" t="s">
        <v>485</v>
      </c>
      <c r="C279" t="s">
        <v>17</v>
      </c>
      <c r="D279">
        <v>0.84485326999999999</v>
      </c>
      <c r="E279">
        <v>0.88500000000000001</v>
      </c>
      <c r="F279">
        <v>-6.9</v>
      </c>
    </row>
    <row r="280" spans="1:6">
      <c r="A280" t="s">
        <v>1612</v>
      </c>
      <c r="B280" t="s">
        <v>485</v>
      </c>
      <c r="C280" t="s">
        <v>17</v>
      </c>
      <c r="D280">
        <v>0.17819085100000001</v>
      </c>
      <c r="E280">
        <v>9.8000000000000004E-2</v>
      </c>
      <c r="F280">
        <v>0.5</v>
      </c>
    </row>
    <row r="281" spans="1:6">
      <c r="A281" t="s">
        <v>1595</v>
      </c>
      <c r="B281" t="s">
        <v>485</v>
      </c>
      <c r="C281" t="s">
        <v>17</v>
      </c>
      <c r="D281">
        <v>1</v>
      </c>
      <c r="E281">
        <v>0.46700000000000003</v>
      </c>
      <c r="F281">
        <v>-2.7</v>
      </c>
    </row>
    <row r="282" spans="1:6">
      <c r="A282" t="s">
        <v>1601</v>
      </c>
      <c r="B282" t="s">
        <v>494</v>
      </c>
      <c r="C282" t="s">
        <v>498</v>
      </c>
      <c r="D282">
        <v>0</v>
      </c>
      <c r="E282">
        <v>0</v>
      </c>
      <c r="F282">
        <v>0</v>
      </c>
    </row>
    <row r="283" spans="1:6">
      <c r="A283" t="s">
        <v>1606</v>
      </c>
      <c r="B283" t="s">
        <v>494</v>
      </c>
      <c r="C283" t="s">
        <v>498</v>
      </c>
      <c r="D283">
        <v>0</v>
      </c>
      <c r="E283">
        <v>0</v>
      </c>
      <c r="F283">
        <v>0</v>
      </c>
    </row>
    <row r="284" spans="1:6">
      <c r="A284" t="s">
        <v>1609</v>
      </c>
      <c r="B284" t="s">
        <v>494</v>
      </c>
      <c r="C284" t="s">
        <v>498</v>
      </c>
      <c r="D284">
        <v>0</v>
      </c>
      <c r="E284">
        <v>0</v>
      </c>
      <c r="F284">
        <v>0</v>
      </c>
    </row>
    <row r="285" spans="1:6">
      <c r="A285" t="s">
        <v>1612</v>
      </c>
      <c r="B285" t="s">
        <v>494</v>
      </c>
      <c r="C285" t="s">
        <v>498</v>
      </c>
      <c r="D285">
        <v>9.8978095000000002E-2</v>
      </c>
      <c r="E285">
        <v>8.3000000000000004E-2</v>
      </c>
      <c r="F285">
        <v>0.4</v>
      </c>
    </row>
    <row r="286" spans="1:6">
      <c r="A286" t="s">
        <v>1595</v>
      </c>
      <c r="B286" t="s">
        <v>494</v>
      </c>
      <c r="C286" t="s">
        <v>498</v>
      </c>
      <c r="D286">
        <v>0.85617585100000004</v>
      </c>
      <c r="E286">
        <v>1.4E-2</v>
      </c>
      <c r="F286">
        <v>0.1</v>
      </c>
    </row>
    <row r="287" spans="1:6">
      <c r="A287" t="s">
        <v>1601</v>
      </c>
      <c r="B287" t="s">
        <v>504</v>
      </c>
      <c r="C287" t="s">
        <v>17</v>
      </c>
      <c r="D287">
        <v>3.0044294999999999E-2</v>
      </c>
      <c r="E287">
        <v>0.55600000000000005</v>
      </c>
      <c r="F287">
        <v>3.1</v>
      </c>
    </row>
    <row r="288" spans="1:6">
      <c r="A288" t="s">
        <v>1606</v>
      </c>
      <c r="B288" t="s">
        <v>504</v>
      </c>
      <c r="C288" t="s">
        <v>17</v>
      </c>
      <c r="D288">
        <v>4.7892278000000003E-2</v>
      </c>
      <c r="E288">
        <v>0.995</v>
      </c>
      <c r="F288">
        <v>-14.8</v>
      </c>
    </row>
    <row r="289" spans="1:6">
      <c r="A289" t="s">
        <v>1609</v>
      </c>
      <c r="B289" t="s">
        <v>504</v>
      </c>
      <c r="C289" t="s">
        <v>17</v>
      </c>
      <c r="D289">
        <v>0.305608993</v>
      </c>
      <c r="E289">
        <v>0.85899999999999999</v>
      </c>
      <c r="F289">
        <v>-6.4</v>
      </c>
    </row>
    <row r="290" spans="1:6">
      <c r="A290" t="s">
        <v>1612</v>
      </c>
      <c r="B290" t="s">
        <v>504</v>
      </c>
      <c r="C290" t="s">
        <v>17</v>
      </c>
      <c r="D290">
        <v>1</v>
      </c>
      <c r="E290">
        <v>0.79300000000000004</v>
      </c>
      <c r="F290">
        <v>-5.8</v>
      </c>
    </row>
    <row r="291" spans="1:6">
      <c r="A291" t="s">
        <v>1595</v>
      </c>
      <c r="B291" t="s">
        <v>504</v>
      </c>
      <c r="C291" t="s">
        <v>17</v>
      </c>
      <c r="D291">
        <v>1</v>
      </c>
      <c r="E291">
        <v>0.58599999999999997</v>
      </c>
      <c r="F291">
        <v>3.6</v>
      </c>
    </row>
    <row r="292" spans="1:6">
      <c r="A292" t="s">
        <v>1601</v>
      </c>
      <c r="B292" t="s">
        <v>513</v>
      </c>
      <c r="C292" t="s">
        <v>17</v>
      </c>
      <c r="D292">
        <v>0.24253147799999999</v>
      </c>
      <c r="E292">
        <v>0.39500000000000002</v>
      </c>
      <c r="F292">
        <v>-2.1</v>
      </c>
    </row>
    <row r="293" spans="1:6">
      <c r="A293" t="s">
        <v>1606</v>
      </c>
      <c r="B293" t="s">
        <v>513</v>
      </c>
      <c r="C293" t="s">
        <v>17</v>
      </c>
      <c r="D293">
        <v>1</v>
      </c>
      <c r="E293">
        <v>0.876</v>
      </c>
      <c r="F293">
        <v>-6.7</v>
      </c>
    </row>
    <row r="294" spans="1:6">
      <c r="A294" t="s">
        <v>1609</v>
      </c>
      <c r="B294" t="s">
        <v>513</v>
      </c>
      <c r="C294" t="s">
        <v>17</v>
      </c>
      <c r="D294">
        <v>0.176162069</v>
      </c>
      <c r="E294">
        <v>0.35299999999999998</v>
      </c>
      <c r="F294">
        <v>-1.8</v>
      </c>
    </row>
    <row r="295" spans="1:6">
      <c r="A295" t="s">
        <v>1612</v>
      </c>
      <c r="B295" t="s">
        <v>513</v>
      </c>
      <c r="C295" t="s">
        <v>17</v>
      </c>
      <c r="D295">
        <v>0.94513651300000001</v>
      </c>
      <c r="E295">
        <v>1.2E-2</v>
      </c>
      <c r="F295">
        <v>0.1</v>
      </c>
    </row>
    <row r="296" spans="1:6">
      <c r="A296" t="s">
        <v>1595</v>
      </c>
      <c r="B296" t="s">
        <v>513</v>
      </c>
      <c r="C296" t="s">
        <v>17</v>
      </c>
      <c r="D296">
        <v>1</v>
      </c>
      <c r="E296">
        <v>1.2E-2</v>
      </c>
      <c r="F296">
        <v>-0.1</v>
      </c>
    </row>
    <row r="297" spans="1:6">
      <c r="A297" t="s">
        <v>1601</v>
      </c>
      <c r="B297" t="s">
        <v>521</v>
      </c>
      <c r="C297" t="s">
        <v>525</v>
      </c>
      <c r="D297">
        <v>4.1115040999999998E-2</v>
      </c>
      <c r="E297">
        <v>0.434</v>
      </c>
      <c r="F297">
        <v>2.2999999999999998</v>
      </c>
    </row>
    <row r="298" spans="1:6">
      <c r="A298" t="s">
        <v>1606</v>
      </c>
      <c r="B298" t="s">
        <v>521</v>
      </c>
      <c r="C298" t="s">
        <v>525</v>
      </c>
      <c r="D298">
        <v>0.33703894000000001</v>
      </c>
      <c r="E298">
        <v>0.16300000000000001</v>
      </c>
      <c r="F298">
        <v>0.8</v>
      </c>
    </row>
    <row r="299" spans="1:6">
      <c r="A299" t="s">
        <v>1609</v>
      </c>
      <c r="B299" t="s">
        <v>521</v>
      </c>
      <c r="C299" t="s">
        <v>525</v>
      </c>
      <c r="D299">
        <v>0.43448362200000001</v>
      </c>
      <c r="E299">
        <v>0.47899999999999998</v>
      </c>
      <c r="F299">
        <v>-2.6</v>
      </c>
    </row>
    <row r="300" spans="1:6">
      <c r="A300" t="s">
        <v>1612</v>
      </c>
      <c r="B300" t="s">
        <v>521</v>
      </c>
      <c r="C300" t="s">
        <v>525</v>
      </c>
      <c r="D300">
        <v>5.2358554000000002E-2</v>
      </c>
      <c r="E300">
        <v>9.9000000000000005E-2</v>
      </c>
      <c r="F300">
        <v>-0.5</v>
      </c>
    </row>
    <row r="301" spans="1:6">
      <c r="A301" t="s">
        <v>1595</v>
      </c>
      <c r="B301" t="s">
        <v>521</v>
      </c>
      <c r="C301" t="s">
        <v>525</v>
      </c>
      <c r="D301">
        <v>0.233250716</v>
      </c>
      <c r="E301">
        <v>0.308</v>
      </c>
      <c r="F301">
        <v>-1.7</v>
      </c>
    </row>
    <row r="302" spans="1:6">
      <c r="A302" t="s">
        <v>1601</v>
      </c>
      <c r="B302" t="s">
        <v>530</v>
      </c>
      <c r="C302" t="s">
        <v>525</v>
      </c>
      <c r="D302">
        <v>0</v>
      </c>
      <c r="E302">
        <v>0</v>
      </c>
      <c r="F302">
        <v>0</v>
      </c>
    </row>
    <row r="303" spans="1:6">
      <c r="A303" t="s">
        <v>1606</v>
      </c>
      <c r="B303" t="s">
        <v>530</v>
      </c>
      <c r="C303" t="s">
        <v>525</v>
      </c>
      <c r="D303">
        <v>7.4627046000000002E-2</v>
      </c>
      <c r="E303">
        <v>0.43099999999999999</v>
      </c>
      <c r="F303">
        <v>2.2999999999999998</v>
      </c>
    </row>
    <row r="304" spans="1:6">
      <c r="A304" t="s">
        <v>1609</v>
      </c>
      <c r="B304" t="s">
        <v>530</v>
      </c>
      <c r="C304" t="s">
        <v>525</v>
      </c>
      <c r="D304">
        <v>6.7422294999999993E-2</v>
      </c>
      <c r="E304">
        <v>0.41</v>
      </c>
      <c r="F304">
        <v>2.2000000000000002</v>
      </c>
    </row>
    <row r="305" spans="1:6">
      <c r="A305" t="s">
        <v>1612</v>
      </c>
      <c r="B305" t="s">
        <v>530</v>
      </c>
      <c r="C305" t="s">
        <v>525</v>
      </c>
      <c r="D305">
        <v>0.95189222500000004</v>
      </c>
      <c r="E305">
        <v>0.36799999999999999</v>
      </c>
      <c r="F305">
        <v>2.1</v>
      </c>
    </row>
    <row r="306" spans="1:6">
      <c r="A306" t="s">
        <v>1595</v>
      </c>
      <c r="B306" t="s">
        <v>530</v>
      </c>
      <c r="C306" t="s">
        <v>525</v>
      </c>
      <c r="D306">
        <v>0.75235824500000004</v>
      </c>
      <c r="E306">
        <v>7.0999999999999994E-2</v>
      </c>
      <c r="F306">
        <v>-0.4</v>
      </c>
    </row>
    <row r="307" spans="1:6">
      <c r="A307" t="s">
        <v>1601</v>
      </c>
      <c r="B307" t="s">
        <v>538</v>
      </c>
      <c r="C307" t="s">
        <v>525</v>
      </c>
      <c r="D307">
        <v>8.7750898999999993E-2</v>
      </c>
      <c r="E307">
        <v>0.749</v>
      </c>
      <c r="F307">
        <v>4.8</v>
      </c>
    </row>
    <row r="308" spans="1:6">
      <c r="A308" t="s">
        <v>1606</v>
      </c>
      <c r="B308" t="s">
        <v>538</v>
      </c>
      <c r="C308" t="s">
        <v>525</v>
      </c>
      <c r="D308">
        <v>0.85630761300000002</v>
      </c>
      <c r="E308">
        <v>0.91600000000000004</v>
      </c>
      <c r="F308">
        <v>7.8</v>
      </c>
    </row>
    <row r="309" spans="1:6">
      <c r="A309" t="s">
        <v>1609</v>
      </c>
      <c r="B309" t="s">
        <v>538</v>
      </c>
      <c r="C309" t="s">
        <v>525</v>
      </c>
      <c r="D309">
        <v>0.88812841600000003</v>
      </c>
      <c r="E309">
        <v>3.1E-2</v>
      </c>
      <c r="F309">
        <v>0.2</v>
      </c>
    </row>
    <row r="310" spans="1:6">
      <c r="A310" t="s">
        <v>1612</v>
      </c>
      <c r="B310" t="s">
        <v>538</v>
      </c>
      <c r="C310" t="s">
        <v>525</v>
      </c>
      <c r="D310">
        <v>0.18253187700000001</v>
      </c>
      <c r="E310">
        <v>0.21099999999999999</v>
      </c>
      <c r="F310">
        <v>-1.2</v>
      </c>
    </row>
    <row r="311" spans="1:6">
      <c r="A311" t="s">
        <v>1595</v>
      </c>
      <c r="B311" t="s">
        <v>538</v>
      </c>
      <c r="C311" t="s">
        <v>525</v>
      </c>
      <c r="D311">
        <v>0.22853659800000001</v>
      </c>
      <c r="E311">
        <v>0.318</v>
      </c>
      <c r="F311">
        <v>1.8</v>
      </c>
    </row>
    <row r="312" spans="1:6">
      <c r="A312" t="s">
        <v>1601</v>
      </c>
      <c r="B312" t="s">
        <v>545</v>
      </c>
      <c r="C312" t="s">
        <v>17</v>
      </c>
      <c r="D312">
        <v>1</v>
      </c>
      <c r="E312">
        <v>0.64900000000000002</v>
      </c>
      <c r="F312">
        <v>-3.8</v>
      </c>
    </row>
    <row r="313" spans="1:6">
      <c r="A313" t="s">
        <v>1606</v>
      </c>
      <c r="B313" t="s">
        <v>545</v>
      </c>
      <c r="C313" t="s">
        <v>17</v>
      </c>
      <c r="D313">
        <v>1</v>
      </c>
      <c r="E313">
        <v>0.16700000000000001</v>
      </c>
      <c r="F313">
        <v>-0.8</v>
      </c>
    </row>
    <row r="314" spans="1:6">
      <c r="A314" t="s">
        <v>1609</v>
      </c>
      <c r="B314" t="s">
        <v>545</v>
      </c>
      <c r="C314" t="s">
        <v>17</v>
      </c>
      <c r="D314">
        <v>1</v>
      </c>
      <c r="E314">
        <v>0.80500000000000005</v>
      </c>
      <c r="F314">
        <v>-5.5</v>
      </c>
    </row>
    <row r="315" spans="1:6">
      <c r="A315" t="s">
        <v>1612</v>
      </c>
      <c r="B315" t="s">
        <v>545</v>
      </c>
      <c r="C315" t="s">
        <v>17</v>
      </c>
      <c r="D315">
        <v>1</v>
      </c>
      <c r="E315">
        <v>0.40699999999999997</v>
      </c>
      <c r="F315">
        <v>2.2999999999999998</v>
      </c>
    </row>
    <row r="316" spans="1:6">
      <c r="A316" t="s">
        <v>1595</v>
      </c>
      <c r="B316" t="s">
        <v>545</v>
      </c>
      <c r="C316" t="s">
        <v>17</v>
      </c>
      <c r="D316">
        <v>0.99896742500000002</v>
      </c>
      <c r="E316">
        <v>0.19800000000000001</v>
      </c>
      <c r="F316">
        <v>-1.1000000000000001</v>
      </c>
    </row>
    <row r="317" spans="1:6">
      <c r="A317" t="s">
        <v>1601</v>
      </c>
      <c r="B317" t="s">
        <v>553</v>
      </c>
      <c r="C317" t="s">
        <v>17</v>
      </c>
      <c r="D317">
        <v>0.981726235</v>
      </c>
      <c r="E317">
        <v>0.99299999999999999</v>
      </c>
      <c r="F317">
        <v>-14</v>
      </c>
    </row>
    <row r="318" spans="1:6">
      <c r="A318" t="s">
        <v>1606</v>
      </c>
      <c r="B318" t="s">
        <v>553</v>
      </c>
      <c r="C318" t="s">
        <v>17</v>
      </c>
      <c r="D318">
        <v>1</v>
      </c>
      <c r="E318">
        <v>0.995</v>
      </c>
      <c r="F318">
        <v>-14.8</v>
      </c>
    </row>
    <row r="319" spans="1:6">
      <c r="A319" t="s">
        <v>1609</v>
      </c>
      <c r="B319" t="s">
        <v>553</v>
      </c>
      <c r="C319" t="s">
        <v>17</v>
      </c>
      <c r="D319">
        <v>1</v>
      </c>
      <c r="E319">
        <v>0.995</v>
      </c>
      <c r="F319">
        <v>-14.8</v>
      </c>
    </row>
    <row r="320" spans="1:6">
      <c r="A320" t="s">
        <v>1612</v>
      </c>
      <c r="B320" t="s">
        <v>553</v>
      </c>
      <c r="C320" t="s">
        <v>17</v>
      </c>
      <c r="D320">
        <v>0.65720698399999999</v>
      </c>
      <c r="E320">
        <v>0.126</v>
      </c>
      <c r="F320">
        <v>0.7</v>
      </c>
    </row>
    <row r="321" spans="1:6">
      <c r="A321" t="s">
        <v>1595</v>
      </c>
      <c r="B321" t="s">
        <v>553</v>
      </c>
      <c r="C321" t="s">
        <v>17</v>
      </c>
      <c r="D321">
        <v>0.38700974599999999</v>
      </c>
      <c r="E321">
        <v>0.42199999999999999</v>
      </c>
      <c r="F321">
        <v>-2.4</v>
      </c>
    </row>
    <row r="322" spans="1:6">
      <c r="A322" t="s">
        <v>1601</v>
      </c>
      <c r="B322" t="s">
        <v>562</v>
      </c>
      <c r="C322" t="s">
        <v>17</v>
      </c>
      <c r="D322">
        <v>0.67431822299999999</v>
      </c>
      <c r="E322">
        <v>0.86599999999999999</v>
      </c>
      <c r="F322">
        <v>6.5</v>
      </c>
    </row>
    <row r="323" spans="1:6">
      <c r="A323" t="s">
        <v>1606</v>
      </c>
      <c r="B323" t="s">
        <v>562</v>
      </c>
      <c r="C323" t="s">
        <v>17</v>
      </c>
      <c r="D323">
        <v>1</v>
      </c>
      <c r="E323">
        <v>0.77500000000000002</v>
      </c>
      <c r="F323">
        <v>5.0999999999999996</v>
      </c>
    </row>
    <row r="324" spans="1:6">
      <c r="A324" t="s">
        <v>1609</v>
      </c>
      <c r="B324" t="s">
        <v>562</v>
      </c>
      <c r="C324" t="s">
        <v>17</v>
      </c>
      <c r="D324">
        <v>1</v>
      </c>
      <c r="E324">
        <v>0.91400000000000003</v>
      </c>
      <c r="F324">
        <v>7.7</v>
      </c>
    </row>
    <row r="325" spans="1:6">
      <c r="A325" t="s">
        <v>1612</v>
      </c>
      <c r="B325" t="s">
        <v>562</v>
      </c>
      <c r="C325" t="s">
        <v>17</v>
      </c>
      <c r="D325">
        <v>0.12166086299999999</v>
      </c>
      <c r="E325">
        <v>9.2999999999999999E-2</v>
      </c>
      <c r="F325">
        <v>0.5</v>
      </c>
    </row>
    <row r="326" spans="1:6">
      <c r="A326" t="s">
        <v>1595</v>
      </c>
      <c r="B326" t="s">
        <v>562</v>
      </c>
      <c r="C326" t="s">
        <v>17</v>
      </c>
      <c r="D326">
        <v>1</v>
      </c>
      <c r="E326">
        <v>0.37</v>
      </c>
      <c r="F326">
        <v>-2.1</v>
      </c>
    </row>
    <row r="327" spans="1:6">
      <c r="A327" t="s">
        <v>1601</v>
      </c>
      <c r="B327" t="s">
        <v>571</v>
      </c>
      <c r="C327" t="s">
        <v>17</v>
      </c>
      <c r="D327">
        <v>0.23324136100000001</v>
      </c>
      <c r="E327">
        <v>0.69399999999999995</v>
      </c>
      <c r="F327">
        <v>4.2</v>
      </c>
    </row>
    <row r="328" spans="1:6">
      <c r="A328" t="s">
        <v>1606</v>
      </c>
      <c r="B328" t="s">
        <v>571</v>
      </c>
      <c r="C328" t="s">
        <v>17</v>
      </c>
      <c r="D328">
        <v>0.185234443</v>
      </c>
      <c r="E328">
        <v>0.27500000000000002</v>
      </c>
      <c r="F328">
        <v>1.4</v>
      </c>
    </row>
    <row r="329" spans="1:6">
      <c r="A329" t="s">
        <v>1609</v>
      </c>
      <c r="B329" t="s">
        <v>571</v>
      </c>
      <c r="C329" t="s">
        <v>17</v>
      </c>
      <c r="D329">
        <v>1</v>
      </c>
      <c r="E329">
        <v>0.77</v>
      </c>
      <c r="F329">
        <v>5.0999999999999996</v>
      </c>
    </row>
    <row r="330" spans="1:6">
      <c r="A330" t="s">
        <v>1612</v>
      </c>
      <c r="B330" t="s">
        <v>571</v>
      </c>
      <c r="C330" t="s">
        <v>17</v>
      </c>
      <c r="D330">
        <v>0.49092748800000002</v>
      </c>
      <c r="E330">
        <v>4.8000000000000001E-2</v>
      </c>
      <c r="F330">
        <v>0.3</v>
      </c>
    </row>
    <row r="331" spans="1:6">
      <c r="A331" t="s">
        <v>1595</v>
      </c>
      <c r="B331" t="s">
        <v>571</v>
      </c>
      <c r="C331" t="s">
        <v>17</v>
      </c>
      <c r="D331">
        <v>1</v>
      </c>
      <c r="E331">
        <v>4.0000000000000001E-3</v>
      </c>
      <c r="F331">
        <v>0</v>
      </c>
    </row>
    <row r="332" spans="1:6">
      <c r="A332" t="s">
        <v>1601</v>
      </c>
      <c r="B332" t="s">
        <v>580</v>
      </c>
      <c r="C332" t="s">
        <v>17</v>
      </c>
      <c r="D332">
        <v>0.94157898600000001</v>
      </c>
      <c r="E332">
        <v>0.99</v>
      </c>
      <c r="F332">
        <v>13.1</v>
      </c>
    </row>
    <row r="333" spans="1:6">
      <c r="A333" t="s">
        <v>1606</v>
      </c>
      <c r="B333" t="s">
        <v>580</v>
      </c>
      <c r="C333" t="s">
        <v>17</v>
      </c>
      <c r="D333">
        <v>0.65334376900000002</v>
      </c>
      <c r="E333">
        <v>0.995</v>
      </c>
      <c r="F333">
        <v>14.8</v>
      </c>
    </row>
    <row r="334" spans="1:6">
      <c r="A334" t="s">
        <v>1609</v>
      </c>
      <c r="B334" t="s">
        <v>580</v>
      </c>
      <c r="C334" t="s">
        <v>17</v>
      </c>
      <c r="D334">
        <v>0.51617620600000003</v>
      </c>
      <c r="E334">
        <v>0.94499999999999995</v>
      </c>
      <c r="F334">
        <v>8.8000000000000007</v>
      </c>
    </row>
    <row r="335" spans="1:6">
      <c r="A335" t="s">
        <v>1612</v>
      </c>
      <c r="B335" t="s">
        <v>580</v>
      </c>
      <c r="C335" t="s">
        <v>17</v>
      </c>
      <c r="D335">
        <v>0.103433223</v>
      </c>
      <c r="E335">
        <v>3.2000000000000001E-2</v>
      </c>
      <c r="F335">
        <v>0.2</v>
      </c>
    </row>
    <row r="336" spans="1:6">
      <c r="A336" t="s">
        <v>1595</v>
      </c>
      <c r="B336" t="s">
        <v>580</v>
      </c>
      <c r="C336" t="s">
        <v>17</v>
      </c>
      <c r="D336">
        <v>0.89685002599999997</v>
      </c>
      <c r="E336">
        <v>0.23400000000000001</v>
      </c>
      <c r="F336">
        <v>1.3</v>
      </c>
    </row>
    <row r="337" spans="1:6">
      <c r="A337" t="s">
        <v>1601</v>
      </c>
      <c r="B337" t="s">
        <v>589</v>
      </c>
      <c r="C337" t="s">
        <v>17</v>
      </c>
      <c r="D337">
        <v>0.97288559500000005</v>
      </c>
      <c r="E337">
        <v>0.97899999999999998</v>
      </c>
      <c r="F337">
        <v>11.3</v>
      </c>
    </row>
    <row r="338" spans="1:6">
      <c r="A338" t="s">
        <v>1606</v>
      </c>
      <c r="B338" t="s">
        <v>589</v>
      </c>
      <c r="C338" t="s">
        <v>17</v>
      </c>
      <c r="D338">
        <v>1</v>
      </c>
      <c r="E338">
        <v>0.995</v>
      </c>
      <c r="F338">
        <v>14.8</v>
      </c>
    </row>
    <row r="339" spans="1:6">
      <c r="A339" t="s">
        <v>1609</v>
      </c>
      <c r="B339" t="s">
        <v>589</v>
      </c>
      <c r="C339" t="s">
        <v>17</v>
      </c>
      <c r="D339">
        <v>1</v>
      </c>
      <c r="E339">
        <v>0.995</v>
      </c>
      <c r="F339">
        <v>14.8</v>
      </c>
    </row>
    <row r="340" spans="1:6">
      <c r="A340" t="s">
        <v>1612</v>
      </c>
      <c r="B340" t="s">
        <v>589</v>
      </c>
      <c r="C340" t="s">
        <v>17</v>
      </c>
      <c r="D340">
        <v>9.4511040000000004E-2</v>
      </c>
      <c r="E340">
        <v>0.106</v>
      </c>
      <c r="F340">
        <v>0.6</v>
      </c>
    </row>
    <row r="341" spans="1:6">
      <c r="A341" t="s">
        <v>1595</v>
      </c>
      <c r="B341" t="s">
        <v>589</v>
      </c>
      <c r="C341" t="s">
        <v>17</v>
      </c>
      <c r="D341">
        <v>0.94791552199999995</v>
      </c>
      <c r="E341">
        <v>0.26700000000000002</v>
      </c>
      <c r="F341">
        <v>1.5</v>
      </c>
    </row>
    <row r="342" spans="1:6">
      <c r="A342" t="s">
        <v>1601</v>
      </c>
      <c r="B342" t="s">
        <v>598</v>
      </c>
      <c r="C342" t="s">
        <v>17</v>
      </c>
      <c r="D342">
        <v>0.51204380000000005</v>
      </c>
      <c r="E342">
        <v>0.95599999999999996</v>
      </c>
      <c r="F342">
        <v>9.4</v>
      </c>
    </row>
    <row r="343" spans="1:6">
      <c r="A343" t="s">
        <v>1606</v>
      </c>
      <c r="B343" t="s">
        <v>598</v>
      </c>
      <c r="C343" t="s">
        <v>17</v>
      </c>
      <c r="D343">
        <v>1</v>
      </c>
      <c r="E343">
        <v>0.995</v>
      </c>
      <c r="F343">
        <v>14.8</v>
      </c>
    </row>
    <row r="344" spans="1:6">
      <c r="A344" t="s">
        <v>1609</v>
      </c>
      <c r="B344" t="s">
        <v>598</v>
      </c>
      <c r="C344" t="s">
        <v>17</v>
      </c>
      <c r="D344">
        <v>0.86747242499999999</v>
      </c>
      <c r="E344">
        <v>0.94499999999999995</v>
      </c>
      <c r="F344">
        <v>8.8000000000000007</v>
      </c>
    </row>
    <row r="345" spans="1:6">
      <c r="A345" t="s">
        <v>1612</v>
      </c>
      <c r="B345" t="s">
        <v>598</v>
      </c>
      <c r="C345" t="s">
        <v>17</v>
      </c>
      <c r="D345">
        <v>8.3225284999999996E-2</v>
      </c>
      <c r="E345">
        <v>2.7E-2</v>
      </c>
      <c r="F345">
        <v>0.1</v>
      </c>
    </row>
    <row r="346" spans="1:6">
      <c r="A346" t="s">
        <v>1595</v>
      </c>
      <c r="B346" t="s">
        <v>598</v>
      </c>
      <c r="C346" t="s">
        <v>17</v>
      </c>
      <c r="D346">
        <v>0.79851240300000004</v>
      </c>
      <c r="E346">
        <v>0.28699999999999998</v>
      </c>
      <c r="F346">
        <v>1.6</v>
      </c>
    </row>
    <row r="347" spans="1:6">
      <c r="A347" t="s">
        <v>1601</v>
      </c>
      <c r="B347" t="s">
        <v>607</v>
      </c>
      <c r="C347" t="s">
        <v>17</v>
      </c>
      <c r="D347">
        <v>1</v>
      </c>
      <c r="E347">
        <v>0.76800000000000002</v>
      </c>
      <c r="F347">
        <v>-5</v>
      </c>
    </row>
    <row r="348" spans="1:6">
      <c r="A348" t="s">
        <v>1606</v>
      </c>
      <c r="B348" t="s">
        <v>607</v>
      </c>
      <c r="C348" t="s">
        <v>17</v>
      </c>
      <c r="D348">
        <v>1</v>
      </c>
      <c r="E348">
        <v>0.995</v>
      </c>
      <c r="F348">
        <v>-14.8</v>
      </c>
    </row>
    <row r="349" spans="1:6">
      <c r="A349" t="s">
        <v>1609</v>
      </c>
      <c r="B349" t="s">
        <v>607</v>
      </c>
      <c r="C349" t="s">
        <v>17</v>
      </c>
      <c r="D349">
        <v>1</v>
      </c>
      <c r="E349">
        <v>0.60899999999999999</v>
      </c>
      <c r="F349">
        <v>-3.5</v>
      </c>
    </row>
    <row r="350" spans="1:6">
      <c r="A350" t="s">
        <v>1612</v>
      </c>
      <c r="B350" t="s">
        <v>607</v>
      </c>
      <c r="C350" t="s">
        <v>17</v>
      </c>
      <c r="D350">
        <v>1</v>
      </c>
      <c r="E350">
        <v>0.64400000000000002</v>
      </c>
      <c r="F350">
        <v>4.0999999999999996</v>
      </c>
    </row>
    <row r="351" spans="1:6">
      <c r="A351" t="s">
        <v>1595</v>
      </c>
      <c r="B351" t="s">
        <v>607</v>
      </c>
      <c r="C351" t="s">
        <v>17</v>
      </c>
      <c r="D351">
        <v>1</v>
      </c>
      <c r="E351">
        <v>0.184</v>
      </c>
      <c r="F351">
        <v>-1</v>
      </c>
    </row>
    <row r="352" spans="1:6">
      <c r="A352" t="s">
        <v>1601</v>
      </c>
      <c r="B352" t="s">
        <v>615</v>
      </c>
      <c r="C352" t="s">
        <v>498</v>
      </c>
      <c r="D352">
        <v>0</v>
      </c>
      <c r="E352">
        <v>0</v>
      </c>
      <c r="F352">
        <v>0</v>
      </c>
    </row>
    <row r="353" spans="1:6">
      <c r="A353" t="s">
        <v>1606</v>
      </c>
      <c r="B353" t="s">
        <v>615</v>
      </c>
      <c r="C353" t="s">
        <v>498</v>
      </c>
      <c r="D353">
        <v>0</v>
      </c>
      <c r="E353">
        <v>0</v>
      </c>
      <c r="F353">
        <v>0</v>
      </c>
    </row>
    <row r="354" spans="1:6">
      <c r="A354" t="s">
        <v>1609</v>
      </c>
      <c r="B354" t="s">
        <v>615</v>
      </c>
      <c r="C354" t="s">
        <v>498</v>
      </c>
      <c r="D354">
        <v>0</v>
      </c>
      <c r="E354">
        <v>0</v>
      </c>
      <c r="F354">
        <v>0</v>
      </c>
    </row>
    <row r="355" spans="1:6">
      <c r="A355" t="s">
        <v>1612</v>
      </c>
      <c r="B355" t="s">
        <v>615</v>
      </c>
      <c r="C355" t="s">
        <v>498</v>
      </c>
      <c r="D355">
        <v>0.30044992100000001</v>
      </c>
      <c r="E355">
        <v>0.35099999999999998</v>
      </c>
      <c r="F355">
        <v>2</v>
      </c>
    </row>
    <row r="356" spans="1:6">
      <c r="A356" t="s">
        <v>1595</v>
      </c>
      <c r="B356" t="s">
        <v>615</v>
      </c>
      <c r="C356" t="s">
        <v>498</v>
      </c>
      <c r="D356">
        <v>0.33552488800000002</v>
      </c>
      <c r="E356">
        <v>0.14499999999999999</v>
      </c>
      <c r="F356">
        <v>-0.8</v>
      </c>
    </row>
    <row r="357" spans="1:6">
      <c r="A357" t="s">
        <v>1601</v>
      </c>
      <c r="B357" t="s">
        <v>624</v>
      </c>
      <c r="C357" t="s">
        <v>498</v>
      </c>
      <c r="D357">
        <v>0</v>
      </c>
      <c r="E357">
        <v>0</v>
      </c>
      <c r="F357">
        <v>0</v>
      </c>
    </row>
    <row r="358" spans="1:6">
      <c r="A358" t="s">
        <v>1606</v>
      </c>
      <c r="B358" t="s">
        <v>624</v>
      </c>
      <c r="C358" t="s">
        <v>498</v>
      </c>
      <c r="D358">
        <v>0</v>
      </c>
      <c r="E358">
        <v>0</v>
      </c>
      <c r="F358">
        <v>0</v>
      </c>
    </row>
    <row r="359" spans="1:6">
      <c r="A359" t="s">
        <v>1609</v>
      </c>
      <c r="B359" t="s">
        <v>624</v>
      </c>
      <c r="C359" t="s">
        <v>498</v>
      </c>
      <c r="D359">
        <v>0</v>
      </c>
      <c r="E359">
        <v>0</v>
      </c>
      <c r="F359">
        <v>0</v>
      </c>
    </row>
    <row r="360" spans="1:6">
      <c r="A360" t="s">
        <v>1612</v>
      </c>
      <c r="B360" t="s">
        <v>624</v>
      </c>
      <c r="C360" t="s">
        <v>498</v>
      </c>
      <c r="D360">
        <v>0.14764605</v>
      </c>
      <c r="E360">
        <v>2.5000000000000001E-2</v>
      </c>
      <c r="F360">
        <v>0.1</v>
      </c>
    </row>
    <row r="361" spans="1:6">
      <c r="A361" t="s">
        <v>1595</v>
      </c>
      <c r="B361" t="s">
        <v>624</v>
      </c>
      <c r="C361" t="s">
        <v>498</v>
      </c>
      <c r="D361">
        <v>0.23299404800000001</v>
      </c>
      <c r="E361">
        <v>1.0999999999999999E-2</v>
      </c>
      <c r="F361">
        <v>-0.1</v>
      </c>
    </row>
    <row r="362" spans="1:6">
      <c r="A362" t="s">
        <v>1601</v>
      </c>
      <c r="B362" t="s">
        <v>633</v>
      </c>
      <c r="C362" t="s">
        <v>498</v>
      </c>
      <c r="D362">
        <v>0</v>
      </c>
      <c r="E362">
        <v>0</v>
      </c>
      <c r="F362">
        <v>0</v>
      </c>
    </row>
    <row r="363" spans="1:6">
      <c r="A363" t="s">
        <v>1606</v>
      </c>
      <c r="B363" t="s">
        <v>633</v>
      </c>
      <c r="C363" t="s">
        <v>498</v>
      </c>
      <c r="D363">
        <v>0</v>
      </c>
      <c r="E363">
        <v>0</v>
      </c>
      <c r="F363">
        <v>0</v>
      </c>
    </row>
    <row r="364" spans="1:6">
      <c r="A364" t="s">
        <v>1609</v>
      </c>
      <c r="B364" t="s">
        <v>633</v>
      </c>
      <c r="C364" t="s">
        <v>498</v>
      </c>
      <c r="D364">
        <v>0</v>
      </c>
      <c r="E364">
        <v>0</v>
      </c>
      <c r="F364">
        <v>0</v>
      </c>
    </row>
    <row r="365" spans="1:6">
      <c r="A365" t="s">
        <v>1612</v>
      </c>
      <c r="B365" t="s">
        <v>633</v>
      </c>
      <c r="C365" t="s">
        <v>498</v>
      </c>
      <c r="D365">
        <v>0.16535920300000001</v>
      </c>
      <c r="E365">
        <v>4.8000000000000001E-2</v>
      </c>
      <c r="F365">
        <v>-0.3</v>
      </c>
    </row>
    <row r="366" spans="1:6">
      <c r="A366" t="s">
        <v>1595</v>
      </c>
      <c r="B366" t="s">
        <v>633</v>
      </c>
      <c r="C366" t="s">
        <v>498</v>
      </c>
      <c r="D366">
        <v>0.23360370499999999</v>
      </c>
      <c r="E366">
        <v>0.13200000000000001</v>
      </c>
      <c r="F366">
        <v>-0.7</v>
      </c>
    </row>
    <row r="367" spans="1:6">
      <c r="A367" t="s">
        <v>1601</v>
      </c>
      <c r="B367" t="s">
        <v>642</v>
      </c>
      <c r="C367" t="s">
        <v>17</v>
      </c>
      <c r="D367">
        <v>1</v>
      </c>
      <c r="E367">
        <v>0.95499999999999996</v>
      </c>
      <c r="F367">
        <v>-9.3000000000000007</v>
      </c>
    </row>
    <row r="368" spans="1:6">
      <c r="A368" t="s">
        <v>1606</v>
      </c>
      <c r="B368" t="s">
        <v>642</v>
      </c>
      <c r="C368" t="s">
        <v>17</v>
      </c>
      <c r="D368">
        <v>1</v>
      </c>
      <c r="E368">
        <v>0.81899999999999995</v>
      </c>
      <c r="F368">
        <v>-5.7</v>
      </c>
    </row>
    <row r="369" spans="1:6">
      <c r="A369" t="s">
        <v>1609</v>
      </c>
      <c r="B369" t="s">
        <v>642</v>
      </c>
      <c r="C369" t="s">
        <v>17</v>
      </c>
      <c r="D369">
        <v>1</v>
      </c>
      <c r="E369">
        <v>0.98199999999999998</v>
      </c>
      <c r="F369">
        <v>-11.7</v>
      </c>
    </row>
    <row r="370" spans="1:6">
      <c r="A370" t="s">
        <v>1612</v>
      </c>
      <c r="B370" t="s">
        <v>642</v>
      </c>
      <c r="C370" t="s">
        <v>17</v>
      </c>
      <c r="D370">
        <v>1</v>
      </c>
      <c r="E370">
        <v>0.17799999999999999</v>
      </c>
      <c r="F370">
        <v>-1</v>
      </c>
    </row>
    <row r="371" spans="1:6">
      <c r="A371" t="s">
        <v>1595</v>
      </c>
      <c r="B371" t="s">
        <v>642</v>
      </c>
      <c r="C371" t="s">
        <v>17</v>
      </c>
      <c r="D371">
        <v>1</v>
      </c>
      <c r="E371">
        <v>0.112</v>
      </c>
      <c r="F371">
        <v>0.6</v>
      </c>
    </row>
    <row r="372" spans="1:6">
      <c r="A372" t="s">
        <v>1601</v>
      </c>
      <c r="B372" t="s">
        <v>651</v>
      </c>
      <c r="C372" t="s">
        <v>17</v>
      </c>
      <c r="D372">
        <v>1</v>
      </c>
      <c r="E372">
        <v>0.91</v>
      </c>
      <c r="F372">
        <v>7.6</v>
      </c>
    </row>
    <row r="373" spans="1:6">
      <c r="A373" t="s">
        <v>1606</v>
      </c>
      <c r="B373" t="s">
        <v>651</v>
      </c>
      <c r="C373" t="s">
        <v>17</v>
      </c>
      <c r="D373">
        <v>0.99846044300000003</v>
      </c>
      <c r="E373">
        <v>0.995</v>
      </c>
      <c r="F373">
        <v>14.8</v>
      </c>
    </row>
    <row r="374" spans="1:6">
      <c r="A374" t="s">
        <v>1609</v>
      </c>
      <c r="B374" t="s">
        <v>651</v>
      </c>
      <c r="C374" t="s">
        <v>17</v>
      </c>
      <c r="D374">
        <v>1</v>
      </c>
      <c r="E374">
        <v>0.73399999999999999</v>
      </c>
      <c r="F374">
        <v>4.5999999999999996</v>
      </c>
    </row>
    <row r="375" spans="1:6">
      <c r="A375" t="s">
        <v>1612</v>
      </c>
      <c r="B375" t="s">
        <v>651</v>
      </c>
      <c r="C375" t="s">
        <v>17</v>
      </c>
      <c r="D375">
        <v>1</v>
      </c>
      <c r="E375">
        <v>0.753</v>
      </c>
      <c r="F375">
        <v>-5.3</v>
      </c>
    </row>
    <row r="376" spans="1:6">
      <c r="A376" t="s">
        <v>1595</v>
      </c>
      <c r="B376" t="s">
        <v>651</v>
      </c>
      <c r="C376" t="s">
        <v>17</v>
      </c>
      <c r="D376">
        <v>1</v>
      </c>
      <c r="E376">
        <v>0.19600000000000001</v>
      </c>
      <c r="F376">
        <v>1.1000000000000001</v>
      </c>
    </row>
    <row r="377" spans="1:6">
      <c r="A377" t="s">
        <v>1601</v>
      </c>
      <c r="B377" t="s">
        <v>659</v>
      </c>
      <c r="C377" t="s">
        <v>17</v>
      </c>
      <c r="D377">
        <v>1</v>
      </c>
      <c r="E377">
        <v>0.21099999999999999</v>
      </c>
      <c r="F377">
        <v>1.1000000000000001</v>
      </c>
    </row>
    <row r="378" spans="1:6">
      <c r="A378" t="s">
        <v>1606</v>
      </c>
      <c r="B378" t="s">
        <v>659</v>
      </c>
      <c r="C378" t="s">
        <v>17</v>
      </c>
      <c r="D378">
        <v>1</v>
      </c>
      <c r="E378">
        <v>0.38600000000000001</v>
      </c>
      <c r="F378">
        <v>2</v>
      </c>
    </row>
    <row r="379" spans="1:6">
      <c r="A379" t="s">
        <v>1609</v>
      </c>
      <c r="B379" t="s">
        <v>659</v>
      </c>
      <c r="C379" t="s">
        <v>17</v>
      </c>
      <c r="D379">
        <v>1</v>
      </c>
      <c r="E379">
        <v>0.16800000000000001</v>
      </c>
      <c r="F379">
        <v>0.8</v>
      </c>
    </row>
    <row r="380" spans="1:6">
      <c r="A380" t="s">
        <v>1612</v>
      </c>
      <c r="B380" t="s">
        <v>659</v>
      </c>
      <c r="C380" t="s">
        <v>17</v>
      </c>
      <c r="D380">
        <v>1</v>
      </c>
      <c r="E380">
        <v>0.41099999999999998</v>
      </c>
      <c r="F380">
        <v>2.2999999999999998</v>
      </c>
    </row>
    <row r="381" spans="1:6">
      <c r="A381" t="s">
        <v>1595</v>
      </c>
      <c r="B381" t="s">
        <v>659</v>
      </c>
      <c r="C381" t="s">
        <v>17</v>
      </c>
      <c r="D381">
        <v>1</v>
      </c>
      <c r="E381">
        <v>0.53500000000000003</v>
      </c>
      <c r="F381">
        <v>-3.2</v>
      </c>
    </row>
    <row r="382" spans="1:6">
      <c r="A382" t="s">
        <v>1601</v>
      </c>
      <c r="B382" t="s">
        <v>667</v>
      </c>
      <c r="C382" t="s">
        <v>17</v>
      </c>
      <c r="D382">
        <v>1</v>
      </c>
      <c r="E382">
        <v>0.74199999999999999</v>
      </c>
      <c r="F382">
        <v>-4.7</v>
      </c>
    </row>
    <row r="383" spans="1:6">
      <c r="A383" t="s">
        <v>1606</v>
      </c>
      <c r="B383" t="s">
        <v>667</v>
      </c>
      <c r="C383" t="s">
        <v>17</v>
      </c>
      <c r="D383">
        <v>1</v>
      </c>
      <c r="E383">
        <v>0.56799999999999995</v>
      </c>
      <c r="F383">
        <v>-3.2</v>
      </c>
    </row>
    <row r="384" spans="1:6">
      <c r="A384" t="s">
        <v>1609</v>
      </c>
      <c r="B384" t="s">
        <v>667</v>
      </c>
      <c r="C384" t="s">
        <v>17</v>
      </c>
      <c r="D384">
        <v>1</v>
      </c>
      <c r="E384">
        <v>0.90400000000000003</v>
      </c>
      <c r="F384">
        <v>-7.4</v>
      </c>
    </row>
    <row r="385" spans="1:6">
      <c r="A385" t="s">
        <v>1612</v>
      </c>
      <c r="B385" t="s">
        <v>667</v>
      </c>
      <c r="C385" t="s">
        <v>17</v>
      </c>
      <c r="D385">
        <v>0.78679319999999997</v>
      </c>
      <c r="E385">
        <v>0.49299999999999999</v>
      </c>
      <c r="F385">
        <v>2.9</v>
      </c>
    </row>
    <row r="386" spans="1:6">
      <c r="A386" t="s">
        <v>1595</v>
      </c>
      <c r="B386" t="s">
        <v>667</v>
      </c>
      <c r="C386" t="s">
        <v>17</v>
      </c>
      <c r="D386">
        <v>1</v>
      </c>
      <c r="E386">
        <v>0.221</v>
      </c>
      <c r="F386">
        <v>-1.2</v>
      </c>
    </row>
    <row r="387" spans="1:6">
      <c r="A387" t="s">
        <v>1601</v>
      </c>
      <c r="B387" t="s">
        <v>676</v>
      </c>
      <c r="C387" t="s">
        <v>17</v>
      </c>
      <c r="D387">
        <v>1</v>
      </c>
      <c r="E387">
        <v>0.73599999999999999</v>
      </c>
      <c r="F387">
        <v>-4.7</v>
      </c>
    </row>
    <row r="388" spans="1:6">
      <c r="A388" t="s">
        <v>1606</v>
      </c>
      <c r="B388" t="s">
        <v>676</v>
      </c>
      <c r="C388" t="s">
        <v>17</v>
      </c>
      <c r="D388">
        <v>1</v>
      </c>
      <c r="E388">
        <v>0.85799999999999998</v>
      </c>
      <c r="F388">
        <v>-6.4</v>
      </c>
    </row>
    <row r="389" spans="1:6">
      <c r="A389" t="s">
        <v>1609</v>
      </c>
      <c r="B389" t="s">
        <v>676</v>
      </c>
      <c r="C389" t="s">
        <v>17</v>
      </c>
      <c r="D389">
        <v>1</v>
      </c>
      <c r="E389">
        <v>0.873</v>
      </c>
      <c r="F389">
        <v>-6.7</v>
      </c>
    </row>
    <row r="390" spans="1:6">
      <c r="A390" t="s">
        <v>1612</v>
      </c>
      <c r="B390" t="s">
        <v>676</v>
      </c>
      <c r="C390" t="s">
        <v>17</v>
      </c>
      <c r="D390">
        <v>0.10214798</v>
      </c>
      <c r="E390">
        <v>9.6000000000000002E-2</v>
      </c>
      <c r="F390">
        <v>0.5</v>
      </c>
    </row>
    <row r="391" spans="1:6">
      <c r="A391" t="s">
        <v>1595</v>
      </c>
      <c r="B391" t="s">
        <v>676</v>
      </c>
      <c r="C391" t="s">
        <v>17</v>
      </c>
      <c r="D391">
        <v>1</v>
      </c>
      <c r="E391">
        <v>0.189</v>
      </c>
      <c r="F391">
        <v>1</v>
      </c>
    </row>
    <row r="392" spans="1:6">
      <c r="A392" t="s">
        <v>1601</v>
      </c>
      <c r="B392" t="s">
        <v>685</v>
      </c>
      <c r="C392" t="s">
        <v>17</v>
      </c>
      <c r="D392">
        <v>1</v>
      </c>
      <c r="E392">
        <v>0.69899999999999995</v>
      </c>
      <c r="F392">
        <v>4.3</v>
      </c>
    </row>
    <row r="393" spans="1:6">
      <c r="A393" t="s">
        <v>1606</v>
      </c>
      <c r="B393" t="s">
        <v>685</v>
      </c>
      <c r="C393" t="s">
        <v>17</v>
      </c>
      <c r="D393">
        <v>1</v>
      </c>
      <c r="E393">
        <v>0.39500000000000002</v>
      </c>
      <c r="F393">
        <v>2.1</v>
      </c>
    </row>
    <row r="394" spans="1:6">
      <c r="A394" t="s">
        <v>1609</v>
      </c>
      <c r="B394" t="s">
        <v>685</v>
      </c>
      <c r="C394" t="s">
        <v>17</v>
      </c>
      <c r="D394">
        <v>1</v>
      </c>
      <c r="E394">
        <v>0.65100000000000002</v>
      </c>
      <c r="F394">
        <v>3.9</v>
      </c>
    </row>
    <row r="395" spans="1:6">
      <c r="A395" t="s">
        <v>1612</v>
      </c>
      <c r="B395" t="s">
        <v>685</v>
      </c>
      <c r="C395" t="s">
        <v>17</v>
      </c>
      <c r="D395">
        <v>1</v>
      </c>
      <c r="E395">
        <v>0.186</v>
      </c>
      <c r="F395">
        <v>-1</v>
      </c>
    </row>
    <row r="396" spans="1:6">
      <c r="A396" t="s">
        <v>1595</v>
      </c>
      <c r="B396" t="s">
        <v>685</v>
      </c>
      <c r="C396" t="s">
        <v>17</v>
      </c>
      <c r="D396">
        <v>1</v>
      </c>
      <c r="E396">
        <v>9.5000000000000001E-2</v>
      </c>
      <c r="F396">
        <v>0.5</v>
      </c>
    </row>
    <row r="397" spans="1:6">
      <c r="A397" t="s">
        <v>1601</v>
      </c>
      <c r="B397" t="s">
        <v>694</v>
      </c>
      <c r="C397" t="s">
        <v>17</v>
      </c>
      <c r="D397">
        <v>1</v>
      </c>
      <c r="E397">
        <v>0.60799999999999998</v>
      </c>
      <c r="F397">
        <v>3.5</v>
      </c>
    </row>
    <row r="398" spans="1:6">
      <c r="A398" t="s">
        <v>1606</v>
      </c>
      <c r="B398" t="s">
        <v>694</v>
      </c>
      <c r="C398" t="s">
        <v>17</v>
      </c>
      <c r="D398">
        <v>1</v>
      </c>
      <c r="E398">
        <v>0.41299999999999998</v>
      </c>
      <c r="F398">
        <v>2.2000000000000002</v>
      </c>
    </row>
    <row r="399" spans="1:6">
      <c r="A399" t="s">
        <v>1609</v>
      </c>
      <c r="B399" t="s">
        <v>694</v>
      </c>
      <c r="C399" t="s">
        <v>17</v>
      </c>
      <c r="D399">
        <v>1</v>
      </c>
      <c r="E399">
        <v>0.68700000000000006</v>
      </c>
      <c r="F399">
        <v>4.2</v>
      </c>
    </row>
    <row r="400" spans="1:6">
      <c r="A400" t="s">
        <v>1612</v>
      </c>
      <c r="B400" t="s">
        <v>694</v>
      </c>
      <c r="C400" t="s">
        <v>17</v>
      </c>
      <c r="D400">
        <v>0.65031982899999996</v>
      </c>
      <c r="E400">
        <v>0.20699999999999999</v>
      </c>
      <c r="F400">
        <v>-1.1000000000000001</v>
      </c>
    </row>
    <row r="401" spans="1:6">
      <c r="A401" t="s">
        <v>1595</v>
      </c>
      <c r="B401" t="s">
        <v>694</v>
      </c>
      <c r="C401" t="s">
        <v>17</v>
      </c>
      <c r="D401">
        <v>1</v>
      </c>
      <c r="E401">
        <v>0.56399999999999995</v>
      </c>
      <c r="F401">
        <v>-3.4</v>
      </c>
    </row>
    <row r="402" spans="1:6">
      <c r="A402" t="s">
        <v>1601</v>
      </c>
      <c r="B402" t="s">
        <v>703</v>
      </c>
      <c r="C402" t="s">
        <v>498</v>
      </c>
      <c r="D402">
        <v>0</v>
      </c>
      <c r="E402">
        <v>0</v>
      </c>
      <c r="F402">
        <v>0</v>
      </c>
    </row>
    <row r="403" spans="1:6">
      <c r="A403" t="s">
        <v>1606</v>
      </c>
      <c r="B403" t="s">
        <v>703</v>
      </c>
      <c r="C403" t="s">
        <v>498</v>
      </c>
      <c r="D403">
        <v>0</v>
      </c>
      <c r="E403">
        <v>0</v>
      </c>
      <c r="F403">
        <v>0</v>
      </c>
    </row>
    <row r="404" spans="1:6">
      <c r="A404" t="s">
        <v>1609</v>
      </c>
      <c r="B404" t="s">
        <v>703</v>
      </c>
      <c r="C404" t="s">
        <v>498</v>
      </c>
      <c r="D404">
        <v>0</v>
      </c>
      <c r="E404">
        <v>0</v>
      </c>
      <c r="F404">
        <v>0</v>
      </c>
    </row>
    <row r="405" spans="1:6">
      <c r="A405" t="s">
        <v>1612</v>
      </c>
      <c r="B405" t="s">
        <v>703</v>
      </c>
      <c r="C405" t="s">
        <v>498</v>
      </c>
      <c r="D405">
        <v>6.0056089E-2</v>
      </c>
      <c r="E405">
        <v>0.23</v>
      </c>
      <c r="F405">
        <v>-1.3</v>
      </c>
    </row>
    <row r="406" spans="1:6">
      <c r="A406" t="s">
        <v>1595</v>
      </c>
      <c r="B406" t="s">
        <v>703</v>
      </c>
      <c r="C406" t="s">
        <v>498</v>
      </c>
      <c r="D406">
        <v>1.5380246E-2</v>
      </c>
      <c r="E406">
        <v>7.0999999999999994E-2</v>
      </c>
      <c r="F406">
        <v>-0.4</v>
      </c>
    </row>
    <row r="407" spans="1:6">
      <c r="A407" t="s">
        <v>1601</v>
      </c>
      <c r="B407" t="s">
        <v>712</v>
      </c>
      <c r="C407" t="s">
        <v>17</v>
      </c>
      <c r="D407">
        <v>1</v>
      </c>
      <c r="E407">
        <v>0.90700000000000003</v>
      </c>
      <c r="F407">
        <v>-7.5</v>
      </c>
    </row>
    <row r="408" spans="1:6">
      <c r="A408" t="s">
        <v>1606</v>
      </c>
      <c r="B408" t="s">
        <v>712</v>
      </c>
      <c r="C408" t="s">
        <v>17</v>
      </c>
      <c r="D408">
        <v>1</v>
      </c>
      <c r="E408">
        <v>0.85799999999999998</v>
      </c>
      <c r="F408">
        <v>-6.4</v>
      </c>
    </row>
    <row r="409" spans="1:6">
      <c r="A409" t="s">
        <v>1609</v>
      </c>
      <c r="B409" t="s">
        <v>712</v>
      </c>
      <c r="C409" t="s">
        <v>17</v>
      </c>
      <c r="D409">
        <v>1</v>
      </c>
      <c r="E409">
        <v>0.94699999999999995</v>
      </c>
      <c r="F409">
        <v>-8.9</v>
      </c>
    </row>
    <row r="410" spans="1:6">
      <c r="A410" t="s">
        <v>1612</v>
      </c>
      <c r="B410" t="s">
        <v>712</v>
      </c>
      <c r="C410" t="s">
        <v>17</v>
      </c>
      <c r="D410">
        <v>1</v>
      </c>
      <c r="E410">
        <v>0.70099999999999996</v>
      </c>
      <c r="F410">
        <v>-4.7</v>
      </c>
    </row>
    <row r="411" spans="1:6">
      <c r="A411" t="s">
        <v>1595</v>
      </c>
      <c r="B411" t="s">
        <v>712</v>
      </c>
      <c r="C411" t="s">
        <v>17</v>
      </c>
      <c r="D411">
        <v>1</v>
      </c>
      <c r="E411">
        <v>0.46300000000000002</v>
      </c>
      <c r="F411">
        <v>2.7</v>
      </c>
    </row>
    <row r="412" spans="1:6">
      <c r="A412" t="s">
        <v>1601</v>
      </c>
      <c r="B412" t="s">
        <v>721</v>
      </c>
      <c r="C412" t="s">
        <v>725</v>
      </c>
      <c r="D412">
        <v>0.208979</v>
      </c>
      <c r="E412">
        <v>0.14699999999999999</v>
      </c>
      <c r="F412">
        <v>0.7</v>
      </c>
    </row>
    <row r="413" spans="1:6">
      <c r="A413" t="s">
        <v>1606</v>
      </c>
      <c r="B413" t="s">
        <v>721</v>
      </c>
      <c r="C413" t="s">
        <v>725</v>
      </c>
      <c r="D413">
        <v>8.6791059000000004E-2</v>
      </c>
      <c r="E413">
        <v>1.2E-2</v>
      </c>
      <c r="F413">
        <v>-0.1</v>
      </c>
    </row>
    <row r="414" spans="1:6">
      <c r="A414" t="s">
        <v>1609</v>
      </c>
      <c r="B414" t="s">
        <v>721</v>
      </c>
      <c r="C414" t="s">
        <v>725</v>
      </c>
      <c r="D414">
        <v>0.24618542299999999</v>
      </c>
      <c r="E414">
        <v>0.14000000000000001</v>
      </c>
      <c r="F414">
        <v>-0.7</v>
      </c>
    </row>
    <row r="415" spans="1:6">
      <c r="A415" t="s">
        <v>1612</v>
      </c>
      <c r="B415" t="s">
        <v>721</v>
      </c>
      <c r="C415" t="s">
        <v>725</v>
      </c>
      <c r="D415">
        <v>0.99629309399999999</v>
      </c>
      <c r="E415">
        <v>0.48</v>
      </c>
      <c r="F415">
        <v>2.8</v>
      </c>
    </row>
    <row r="416" spans="1:6">
      <c r="A416" t="s">
        <v>1595</v>
      </c>
      <c r="B416" t="s">
        <v>721</v>
      </c>
      <c r="C416" t="s">
        <v>725</v>
      </c>
      <c r="D416">
        <v>1</v>
      </c>
      <c r="E416">
        <v>7.9000000000000001E-2</v>
      </c>
      <c r="F416">
        <v>-0.4</v>
      </c>
    </row>
    <row r="417" spans="1:6">
      <c r="A417" t="s">
        <v>1601</v>
      </c>
      <c r="B417" t="s">
        <v>731</v>
      </c>
      <c r="C417" t="s">
        <v>17</v>
      </c>
      <c r="D417">
        <v>1</v>
      </c>
      <c r="E417">
        <v>0.995</v>
      </c>
      <c r="F417">
        <v>-14.8</v>
      </c>
    </row>
    <row r="418" spans="1:6">
      <c r="A418" t="s">
        <v>1606</v>
      </c>
      <c r="B418" t="s">
        <v>731</v>
      </c>
      <c r="C418" t="s">
        <v>17</v>
      </c>
      <c r="D418">
        <v>1</v>
      </c>
      <c r="E418">
        <v>0.995</v>
      </c>
      <c r="F418">
        <v>-14.8</v>
      </c>
    </row>
    <row r="419" spans="1:6">
      <c r="A419" t="s">
        <v>1609</v>
      </c>
      <c r="B419" t="s">
        <v>731</v>
      </c>
      <c r="C419" t="s">
        <v>17</v>
      </c>
      <c r="D419">
        <v>1</v>
      </c>
      <c r="E419">
        <v>0.99</v>
      </c>
      <c r="F419">
        <v>-13.1</v>
      </c>
    </row>
    <row r="420" spans="1:6">
      <c r="A420" t="s">
        <v>1612</v>
      </c>
      <c r="B420" t="s">
        <v>731</v>
      </c>
      <c r="C420" t="s">
        <v>17</v>
      </c>
      <c r="D420">
        <v>0.33568755</v>
      </c>
      <c r="E420">
        <v>0.21</v>
      </c>
      <c r="F420">
        <v>-1.1000000000000001</v>
      </c>
    </row>
    <row r="421" spans="1:6">
      <c r="A421" t="s">
        <v>1595</v>
      </c>
      <c r="B421" t="s">
        <v>731</v>
      </c>
      <c r="C421" t="s">
        <v>17</v>
      </c>
      <c r="D421">
        <v>1</v>
      </c>
      <c r="E421">
        <v>0.23699999999999999</v>
      </c>
      <c r="F421">
        <v>-1.3</v>
      </c>
    </row>
    <row r="422" spans="1:6">
      <c r="A422" t="s">
        <v>1601</v>
      </c>
      <c r="B422" t="s">
        <v>740</v>
      </c>
      <c r="C422" t="s">
        <v>17</v>
      </c>
      <c r="D422">
        <v>1</v>
      </c>
      <c r="E422">
        <v>0.16500000000000001</v>
      </c>
      <c r="F422">
        <v>0.8</v>
      </c>
    </row>
    <row r="423" spans="1:6">
      <c r="A423" t="s">
        <v>1606</v>
      </c>
      <c r="B423" t="s">
        <v>740</v>
      </c>
      <c r="C423" t="s">
        <v>17</v>
      </c>
      <c r="D423">
        <v>1</v>
      </c>
      <c r="E423">
        <v>0.622</v>
      </c>
      <c r="F423">
        <v>3.6</v>
      </c>
    </row>
    <row r="424" spans="1:6">
      <c r="A424" t="s">
        <v>1609</v>
      </c>
      <c r="B424" t="s">
        <v>740</v>
      </c>
      <c r="C424" t="s">
        <v>17</v>
      </c>
      <c r="D424">
        <v>1</v>
      </c>
      <c r="E424">
        <v>0.215</v>
      </c>
      <c r="F424">
        <v>1.1000000000000001</v>
      </c>
    </row>
    <row r="425" spans="1:6">
      <c r="A425" t="s">
        <v>1612</v>
      </c>
      <c r="B425" t="s">
        <v>740</v>
      </c>
      <c r="C425" t="s">
        <v>17</v>
      </c>
      <c r="D425">
        <v>1</v>
      </c>
      <c r="E425">
        <v>0.501</v>
      </c>
      <c r="F425">
        <v>3</v>
      </c>
    </row>
    <row r="426" spans="1:6">
      <c r="A426" t="s">
        <v>1595</v>
      </c>
      <c r="B426" t="s">
        <v>740</v>
      </c>
      <c r="C426" t="s">
        <v>17</v>
      </c>
      <c r="D426">
        <v>1</v>
      </c>
      <c r="E426">
        <v>0.40799999999999997</v>
      </c>
      <c r="F426">
        <v>-2.2999999999999998</v>
      </c>
    </row>
    <row r="427" spans="1:6">
      <c r="A427" t="s">
        <v>1601</v>
      </c>
      <c r="B427" t="s">
        <v>749</v>
      </c>
      <c r="C427" t="s">
        <v>17</v>
      </c>
      <c r="D427">
        <v>0.93108271600000003</v>
      </c>
      <c r="E427">
        <v>0.17399999999999999</v>
      </c>
      <c r="F427">
        <v>0.9</v>
      </c>
    </row>
    <row r="428" spans="1:6">
      <c r="A428" t="s">
        <v>1606</v>
      </c>
      <c r="B428" t="s">
        <v>749</v>
      </c>
      <c r="C428" t="s">
        <v>17</v>
      </c>
      <c r="D428">
        <v>0.91144698400000002</v>
      </c>
      <c r="E428">
        <v>0.50700000000000001</v>
      </c>
      <c r="F428">
        <v>-2.8</v>
      </c>
    </row>
    <row r="429" spans="1:6">
      <c r="A429" t="s">
        <v>1609</v>
      </c>
      <c r="B429" t="s">
        <v>749</v>
      </c>
      <c r="C429" t="s">
        <v>17</v>
      </c>
      <c r="D429">
        <v>0.86494350099999995</v>
      </c>
      <c r="E429">
        <v>0.23799999999999999</v>
      </c>
      <c r="F429">
        <v>1.2</v>
      </c>
    </row>
    <row r="430" spans="1:6">
      <c r="A430" t="s">
        <v>1612</v>
      </c>
      <c r="B430" t="s">
        <v>749</v>
      </c>
      <c r="C430" t="s">
        <v>17</v>
      </c>
      <c r="D430">
        <v>1</v>
      </c>
      <c r="E430">
        <v>0.61099999999999999</v>
      </c>
      <c r="F430">
        <v>3.8</v>
      </c>
    </row>
    <row r="431" spans="1:6">
      <c r="A431" t="s">
        <v>1595</v>
      </c>
      <c r="B431" t="s">
        <v>749</v>
      </c>
      <c r="C431" t="s">
        <v>17</v>
      </c>
      <c r="D431">
        <v>1</v>
      </c>
      <c r="E431">
        <v>0.52200000000000002</v>
      </c>
      <c r="F431">
        <v>-3.1</v>
      </c>
    </row>
    <row r="432" spans="1:6">
      <c r="A432" t="s">
        <v>1601</v>
      </c>
      <c r="B432" t="s">
        <v>758</v>
      </c>
      <c r="C432" t="s">
        <v>17</v>
      </c>
      <c r="D432">
        <v>0.27333669199999999</v>
      </c>
      <c r="E432">
        <v>0.69</v>
      </c>
      <c r="F432">
        <v>-4.2</v>
      </c>
    </row>
    <row r="433" spans="1:6">
      <c r="A433" t="s">
        <v>1606</v>
      </c>
      <c r="B433" t="s">
        <v>758</v>
      </c>
      <c r="C433" t="s">
        <v>17</v>
      </c>
      <c r="D433">
        <v>1</v>
      </c>
      <c r="E433">
        <v>0.995</v>
      </c>
      <c r="F433">
        <v>-14.8</v>
      </c>
    </row>
    <row r="434" spans="1:6">
      <c r="A434" t="s">
        <v>1609</v>
      </c>
      <c r="B434" t="s">
        <v>758</v>
      </c>
      <c r="C434" t="s">
        <v>17</v>
      </c>
      <c r="D434">
        <v>0.29671067499999998</v>
      </c>
      <c r="E434">
        <v>0.76500000000000001</v>
      </c>
      <c r="F434">
        <v>-5</v>
      </c>
    </row>
    <row r="435" spans="1:6">
      <c r="A435" t="s">
        <v>1612</v>
      </c>
      <c r="B435" t="s">
        <v>758</v>
      </c>
      <c r="C435" t="s">
        <v>17</v>
      </c>
      <c r="D435">
        <v>1</v>
      </c>
      <c r="E435">
        <v>0.52</v>
      </c>
      <c r="F435">
        <v>-3.1</v>
      </c>
    </row>
    <row r="436" spans="1:6">
      <c r="A436" t="s">
        <v>1595</v>
      </c>
      <c r="B436" t="s">
        <v>758</v>
      </c>
      <c r="C436" t="s">
        <v>17</v>
      </c>
      <c r="D436">
        <v>1</v>
      </c>
      <c r="E436">
        <v>0.38500000000000001</v>
      </c>
      <c r="F436">
        <v>-2.2000000000000002</v>
      </c>
    </row>
    <row r="437" spans="1:6">
      <c r="A437" t="s">
        <v>1601</v>
      </c>
      <c r="B437" t="s">
        <v>767</v>
      </c>
      <c r="C437" t="s">
        <v>17</v>
      </c>
      <c r="D437">
        <v>0</v>
      </c>
      <c r="E437">
        <v>0</v>
      </c>
      <c r="F437">
        <v>0</v>
      </c>
    </row>
    <row r="438" spans="1:6">
      <c r="A438" t="s">
        <v>1606</v>
      </c>
      <c r="B438" t="s">
        <v>767</v>
      </c>
      <c r="C438" t="s">
        <v>17</v>
      </c>
      <c r="D438">
        <v>0</v>
      </c>
      <c r="E438">
        <v>0</v>
      </c>
      <c r="F438">
        <v>0</v>
      </c>
    </row>
    <row r="439" spans="1:6">
      <c r="A439" t="s">
        <v>1609</v>
      </c>
      <c r="B439" t="s">
        <v>767</v>
      </c>
      <c r="C439" t="s">
        <v>17</v>
      </c>
      <c r="D439">
        <v>0</v>
      </c>
      <c r="E439">
        <v>0</v>
      </c>
      <c r="F439">
        <v>0</v>
      </c>
    </row>
    <row r="440" spans="1:6">
      <c r="A440" t="s">
        <v>1612</v>
      </c>
      <c r="B440" t="s">
        <v>767</v>
      </c>
      <c r="C440" t="s">
        <v>17</v>
      </c>
      <c r="D440">
        <v>0.66770589899999999</v>
      </c>
      <c r="E440">
        <v>0.20899999999999999</v>
      </c>
      <c r="F440">
        <v>1.1000000000000001</v>
      </c>
    </row>
    <row r="441" spans="1:6">
      <c r="A441" t="s">
        <v>1595</v>
      </c>
      <c r="B441" t="s">
        <v>767</v>
      </c>
      <c r="C441" t="s">
        <v>17</v>
      </c>
      <c r="D441">
        <v>0.46093504099999999</v>
      </c>
      <c r="E441">
        <v>0.11700000000000001</v>
      </c>
      <c r="F441">
        <v>0.6</v>
      </c>
    </row>
    <row r="442" spans="1:6">
      <c r="A442" t="s">
        <v>1601</v>
      </c>
      <c r="B442" t="s">
        <v>776</v>
      </c>
      <c r="C442" t="s">
        <v>17</v>
      </c>
      <c r="D442">
        <v>0.52651647199999996</v>
      </c>
      <c r="E442">
        <v>0.24099999999999999</v>
      </c>
      <c r="F442">
        <v>1.2</v>
      </c>
    </row>
    <row r="443" spans="1:6">
      <c r="A443" t="s">
        <v>1606</v>
      </c>
      <c r="B443" t="s">
        <v>776</v>
      </c>
      <c r="C443" t="s">
        <v>17</v>
      </c>
      <c r="D443">
        <v>1</v>
      </c>
      <c r="E443">
        <v>0.251</v>
      </c>
      <c r="F443">
        <v>1.3</v>
      </c>
    </row>
    <row r="444" spans="1:6">
      <c r="A444" t="s">
        <v>1609</v>
      </c>
      <c r="B444" t="s">
        <v>776</v>
      </c>
      <c r="C444" t="s">
        <v>17</v>
      </c>
      <c r="D444">
        <v>1</v>
      </c>
      <c r="E444">
        <v>0.18099999999999999</v>
      </c>
      <c r="F444">
        <v>0.9</v>
      </c>
    </row>
    <row r="445" spans="1:6">
      <c r="A445" t="s">
        <v>1612</v>
      </c>
      <c r="B445" t="s">
        <v>776</v>
      </c>
      <c r="C445" t="s">
        <v>17</v>
      </c>
      <c r="D445">
        <v>0.61275005800000004</v>
      </c>
      <c r="E445">
        <v>0.106</v>
      </c>
      <c r="F445">
        <v>0.6</v>
      </c>
    </row>
    <row r="446" spans="1:6">
      <c r="A446" t="s">
        <v>1595</v>
      </c>
      <c r="B446" t="s">
        <v>776</v>
      </c>
      <c r="C446" t="s">
        <v>17</v>
      </c>
      <c r="D446">
        <v>0.89276025199999998</v>
      </c>
      <c r="E446">
        <v>0.16700000000000001</v>
      </c>
      <c r="F446">
        <v>-0.9</v>
      </c>
    </row>
    <row r="447" spans="1:6">
      <c r="A447" t="s">
        <v>1601</v>
      </c>
      <c r="B447" t="s">
        <v>784</v>
      </c>
      <c r="C447" t="s">
        <v>17</v>
      </c>
      <c r="D447">
        <v>0.76650920600000005</v>
      </c>
      <c r="E447">
        <v>0.28999999999999998</v>
      </c>
      <c r="F447">
        <v>1.5</v>
      </c>
    </row>
    <row r="448" spans="1:6">
      <c r="A448" t="s">
        <v>1606</v>
      </c>
      <c r="B448" t="s">
        <v>784</v>
      </c>
      <c r="C448" t="s">
        <v>17</v>
      </c>
      <c r="D448">
        <v>0.34565752599999999</v>
      </c>
      <c r="E448">
        <v>0.10100000000000001</v>
      </c>
      <c r="F448">
        <v>-0.5</v>
      </c>
    </row>
    <row r="449" spans="1:6">
      <c r="A449" t="s">
        <v>1609</v>
      </c>
      <c r="B449" t="s">
        <v>784</v>
      </c>
      <c r="C449" t="s">
        <v>17</v>
      </c>
      <c r="D449">
        <v>2.6963015E-2</v>
      </c>
      <c r="E449">
        <v>0.19900000000000001</v>
      </c>
      <c r="F449">
        <v>1</v>
      </c>
    </row>
    <row r="450" spans="1:6">
      <c r="A450" t="s">
        <v>1612</v>
      </c>
      <c r="B450" t="s">
        <v>784</v>
      </c>
      <c r="C450" t="s">
        <v>17</v>
      </c>
      <c r="D450">
        <v>0.21440229399999999</v>
      </c>
      <c r="E450">
        <v>7.1999999999999995E-2</v>
      </c>
      <c r="F450">
        <v>0.4</v>
      </c>
    </row>
    <row r="451" spans="1:6">
      <c r="A451" t="s">
        <v>1595</v>
      </c>
      <c r="B451" t="s">
        <v>784</v>
      </c>
      <c r="C451" t="s">
        <v>17</v>
      </c>
      <c r="D451">
        <v>1</v>
      </c>
      <c r="E451">
        <v>2.3E-2</v>
      </c>
      <c r="F451">
        <v>-0.1</v>
      </c>
    </row>
    <row r="452" spans="1:6">
      <c r="A452" t="s">
        <v>1601</v>
      </c>
      <c r="B452" t="s">
        <v>792</v>
      </c>
      <c r="C452" t="s">
        <v>17</v>
      </c>
      <c r="D452">
        <v>5.1267042999999998E-2</v>
      </c>
      <c r="E452">
        <v>0.13300000000000001</v>
      </c>
      <c r="F452">
        <v>-0.7</v>
      </c>
    </row>
    <row r="453" spans="1:6">
      <c r="A453" t="s">
        <v>1606</v>
      </c>
      <c r="B453" t="s">
        <v>792</v>
      </c>
      <c r="C453" t="s">
        <v>17</v>
      </c>
      <c r="D453">
        <v>0.178037221</v>
      </c>
      <c r="E453">
        <v>0.32700000000000001</v>
      </c>
      <c r="F453">
        <v>-1.7</v>
      </c>
    </row>
    <row r="454" spans="1:6">
      <c r="A454" t="s">
        <v>1609</v>
      </c>
      <c r="B454" t="s">
        <v>792</v>
      </c>
      <c r="C454" t="s">
        <v>17</v>
      </c>
      <c r="D454">
        <v>4.2385973E-2</v>
      </c>
      <c r="E454">
        <v>0.34399999999999997</v>
      </c>
      <c r="F454">
        <v>1.8</v>
      </c>
    </row>
    <row r="455" spans="1:6">
      <c r="A455" t="s">
        <v>1612</v>
      </c>
      <c r="B455" t="s">
        <v>792</v>
      </c>
      <c r="C455" t="s">
        <v>17</v>
      </c>
      <c r="D455">
        <v>1.3914971999999999E-2</v>
      </c>
      <c r="E455">
        <v>0.26200000000000001</v>
      </c>
      <c r="F455">
        <v>1.4</v>
      </c>
    </row>
    <row r="456" spans="1:6">
      <c r="A456" t="s">
        <v>1595</v>
      </c>
      <c r="B456" t="s">
        <v>792</v>
      </c>
      <c r="C456" t="s">
        <v>17</v>
      </c>
      <c r="D456">
        <v>0.22487858899999999</v>
      </c>
      <c r="E456">
        <v>3.5999999999999997E-2</v>
      </c>
      <c r="F456">
        <v>0.2</v>
      </c>
    </row>
    <row r="457" spans="1:6">
      <c r="A457" t="s">
        <v>1601</v>
      </c>
      <c r="B457" t="s">
        <v>799</v>
      </c>
      <c r="C457" t="s">
        <v>17</v>
      </c>
      <c r="D457">
        <v>0.13742190800000001</v>
      </c>
      <c r="E457">
        <v>0.156</v>
      </c>
      <c r="F457">
        <v>0.8</v>
      </c>
    </row>
    <row r="458" spans="1:6">
      <c r="A458" t="s">
        <v>1606</v>
      </c>
      <c r="B458" t="s">
        <v>799</v>
      </c>
      <c r="C458" t="s">
        <v>17</v>
      </c>
      <c r="D458">
        <v>0.100428349</v>
      </c>
      <c r="E458">
        <v>0.189</v>
      </c>
      <c r="F458">
        <v>0.9</v>
      </c>
    </row>
    <row r="459" spans="1:6">
      <c r="A459" t="s">
        <v>1609</v>
      </c>
      <c r="B459" t="s">
        <v>799</v>
      </c>
      <c r="C459" t="s">
        <v>17</v>
      </c>
      <c r="D459">
        <v>2.2610311000000001E-2</v>
      </c>
      <c r="E459">
        <v>0.29299999999999998</v>
      </c>
      <c r="F459">
        <v>1.5</v>
      </c>
    </row>
    <row r="460" spans="1:6">
      <c r="A460" t="s">
        <v>1612</v>
      </c>
      <c r="B460" t="s">
        <v>799</v>
      </c>
      <c r="C460" t="s">
        <v>17</v>
      </c>
      <c r="D460">
        <v>4.1057702000000001E-2</v>
      </c>
      <c r="E460">
        <v>7.8E-2</v>
      </c>
      <c r="F460">
        <v>0.4</v>
      </c>
    </row>
    <row r="461" spans="1:6">
      <c r="A461" t="s">
        <v>1595</v>
      </c>
      <c r="B461" t="s">
        <v>799</v>
      </c>
      <c r="C461" t="s">
        <v>17</v>
      </c>
      <c r="D461">
        <v>0.54649435400000002</v>
      </c>
      <c r="E461">
        <v>2E-3</v>
      </c>
      <c r="F461">
        <v>0</v>
      </c>
    </row>
    <row r="462" spans="1:6">
      <c r="A462" t="s">
        <v>1601</v>
      </c>
      <c r="B462" t="s">
        <v>806</v>
      </c>
      <c r="C462" t="s">
        <v>17</v>
      </c>
      <c r="D462">
        <v>8.9779710999999998E-2</v>
      </c>
      <c r="E462">
        <v>0.159</v>
      </c>
      <c r="F462">
        <v>-0.8</v>
      </c>
    </row>
    <row r="463" spans="1:6">
      <c r="A463" t="s">
        <v>1606</v>
      </c>
      <c r="B463" t="s">
        <v>806</v>
      </c>
      <c r="C463" t="s">
        <v>17</v>
      </c>
      <c r="D463">
        <v>0.13922731099999999</v>
      </c>
      <c r="E463">
        <v>3.4000000000000002E-2</v>
      </c>
      <c r="F463">
        <v>-0.2</v>
      </c>
    </row>
    <row r="464" spans="1:6">
      <c r="A464" t="s">
        <v>1609</v>
      </c>
      <c r="B464" t="s">
        <v>806</v>
      </c>
      <c r="C464" t="s">
        <v>17</v>
      </c>
      <c r="D464">
        <v>4.4801676999999998E-2</v>
      </c>
      <c r="E464">
        <v>5.5E-2</v>
      </c>
      <c r="F464">
        <v>-0.3</v>
      </c>
    </row>
    <row r="465" spans="1:6">
      <c r="A465" t="s">
        <v>1612</v>
      </c>
      <c r="B465" t="s">
        <v>806</v>
      </c>
      <c r="C465" t="s">
        <v>17</v>
      </c>
      <c r="D465">
        <v>3.5741859000000001E-2</v>
      </c>
      <c r="E465">
        <v>7.9000000000000001E-2</v>
      </c>
      <c r="F465">
        <v>0.4</v>
      </c>
    </row>
    <row r="466" spans="1:6">
      <c r="A466" t="s">
        <v>1595</v>
      </c>
      <c r="B466" t="s">
        <v>806</v>
      </c>
      <c r="C466" t="s">
        <v>17</v>
      </c>
      <c r="D466">
        <v>0.38194630899999998</v>
      </c>
      <c r="E466">
        <v>4.2999999999999997E-2</v>
      </c>
      <c r="F466">
        <v>-0.2</v>
      </c>
    </row>
    <row r="467" spans="1:6">
      <c r="A467" t="s">
        <v>1601</v>
      </c>
      <c r="B467" t="s">
        <v>813</v>
      </c>
      <c r="C467" t="s">
        <v>17</v>
      </c>
      <c r="D467">
        <v>0.22894569400000001</v>
      </c>
      <c r="E467">
        <v>7.4999999999999997E-2</v>
      </c>
      <c r="F467">
        <v>-0.4</v>
      </c>
    </row>
    <row r="468" spans="1:6">
      <c r="A468" t="s">
        <v>1606</v>
      </c>
      <c r="B468" t="s">
        <v>813</v>
      </c>
      <c r="C468" t="s">
        <v>17</v>
      </c>
      <c r="D468">
        <v>0.76172240400000002</v>
      </c>
      <c r="E468">
        <v>0.27200000000000002</v>
      </c>
      <c r="F468">
        <v>-1.4</v>
      </c>
    </row>
    <row r="469" spans="1:6">
      <c r="A469" t="s">
        <v>1609</v>
      </c>
      <c r="B469" t="s">
        <v>813</v>
      </c>
      <c r="C469" t="s">
        <v>17</v>
      </c>
      <c r="D469">
        <v>9.1787849000000005E-2</v>
      </c>
      <c r="E469">
        <v>0.33100000000000002</v>
      </c>
      <c r="F469">
        <v>-1.7</v>
      </c>
    </row>
    <row r="470" spans="1:6">
      <c r="A470" t="s">
        <v>1612</v>
      </c>
      <c r="B470" t="s">
        <v>813</v>
      </c>
      <c r="C470" t="s">
        <v>17</v>
      </c>
      <c r="D470">
        <v>0.207764847</v>
      </c>
      <c r="E470">
        <v>1.9E-2</v>
      </c>
      <c r="F470">
        <v>0.1</v>
      </c>
    </row>
    <row r="471" spans="1:6">
      <c r="A471" t="s">
        <v>1595</v>
      </c>
      <c r="B471" t="s">
        <v>813</v>
      </c>
      <c r="C471" t="s">
        <v>17</v>
      </c>
      <c r="D471">
        <v>1</v>
      </c>
      <c r="E471">
        <v>1.9E-2</v>
      </c>
      <c r="F471">
        <v>0.1</v>
      </c>
    </row>
    <row r="472" spans="1:6">
      <c r="A472" t="s">
        <v>1601</v>
      </c>
      <c r="B472" t="s">
        <v>820</v>
      </c>
      <c r="C472" t="s">
        <v>17</v>
      </c>
      <c r="D472">
        <v>0.96410565599999998</v>
      </c>
      <c r="E472">
        <v>0.86599999999999999</v>
      </c>
      <c r="F472">
        <v>6.5</v>
      </c>
    </row>
    <row r="473" spans="1:6">
      <c r="A473" t="s">
        <v>1606</v>
      </c>
      <c r="B473" t="s">
        <v>820</v>
      </c>
      <c r="C473" t="s">
        <v>17</v>
      </c>
      <c r="D473">
        <v>1</v>
      </c>
      <c r="E473">
        <v>0.53</v>
      </c>
      <c r="F473">
        <v>2.9</v>
      </c>
    </row>
    <row r="474" spans="1:6">
      <c r="A474" t="s">
        <v>1609</v>
      </c>
      <c r="B474" t="s">
        <v>820</v>
      </c>
      <c r="C474" t="s">
        <v>17</v>
      </c>
      <c r="D474">
        <v>1</v>
      </c>
      <c r="E474">
        <v>0.92700000000000005</v>
      </c>
      <c r="F474">
        <v>8.1</v>
      </c>
    </row>
    <row r="475" spans="1:6">
      <c r="A475" t="s">
        <v>1612</v>
      </c>
      <c r="B475" t="s">
        <v>820</v>
      </c>
      <c r="C475" t="s">
        <v>17</v>
      </c>
      <c r="D475">
        <v>0.98308232600000001</v>
      </c>
      <c r="E475">
        <v>0.40899999999999997</v>
      </c>
      <c r="F475">
        <v>-2.2999999999999998</v>
      </c>
    </row>
    <row r="476" spans="1:6">
      <c r="A476" t="s">
        <v>1595</v>
      </c>
      <c r="B476" t="s">
        <v>820</v>
      </c>
      <c r="C476" t="s">
        <v>17</v>
      </c>
      <c r="D476">
        <v>1</v>
      </c>
      <c r="E476">
        <v>0.27500000000000002</v>
      </c>
      <c r="F476">
        <v>1.5</v>
      </c>
    </row>
    <row r="477" spans="1:6">
      <c r="A477" t="s">
        <v>1601</v>
      </c>
      <c r="B477" t="s">
        <v>829</v>
      </c>
      <c r="C477" t="s">
        <v>17</v>
      </c>
      <c r="D477">
        <v>1</v>
      </c>
      <c r="E477">
        <v>0.73</v>
      </c>
      <c r="F477">
        <v>4.5999999999999996</v>
      </c>
    </row>
    <row r="478" spans="1:6">
      <c r="A478" t="s">
        <v>1606</v>
      </c>
      <c r="B478" t="s">
        <v>829</v>
      </c>
      <c r="C478" t="s">
        <v>17</v>
      </c>
      <c r="D478">
        <v>1</v>
      </c>
      <c r="E478">
        <v>0.33</v>
      </c>
      <c r="F478">
        <v>1.7</v>
      </c>
    </row>
    <row r="479" spans="1:6">
      <c r="A479" t="s">
        <v>1609</v>
      </c>
      <c r="B479" t="s">
        <v>829</v>
      </c>
      <c r="C479" t="s">
        <v>17</v>
      </c>
      <c r="D479">
        <v>1</v>
      </c>
      <c r="E479">
        <v>0.92200000000000004</v>
      </c>
      <c r="F479">
        <v>7.9</v>
      </c>
    </row>
    <row r="480" spans="1:6">
      <c r="A480" t="s">
        <v>1612</v>
      </c>
      <c r="B480" t="s">
        <v>829</v>
      </c>
      <c r="C480" t="s">
        <v>17</v>
      </c>
      <c r="D480">
        <v>0.98822506899999996</v>
      </c>
      <c r="E480">
        <v>0.74399999999999999</v>
      </c>
      <c r="F480">
        <v>-5.2</v>
      </c>
    </row>
    <row r="481" spans="1:6">
      <c r="A481" t="s">
        <v>1595</v>
      </c>
      <c r="B481" t="s">
        <v>829</v>
      </c>
      <c r="C481" t="s">
        <v>17</v>
      </c>
      <c r="D481">
        <v>1</v>
      </c>
      <c r="E481">
        <v>0.36699999999999999</v>
      </c>
      <c r="F481">
        <v>2.1</v>
      </c>
    </row>
    <row r="482" spans="1:6">
      <c r="A482" t="s">
        <v>1601</v>
      </c>
      <c r="B482" t="s">
        <v>836</v>
      </c>
      <c r="C482" t="s">
        <v>17</v>
      </c>
      <c r="D482">
        <v>1</v>
      </c>
      <c r="E482">
        <v>0.13800000000000001</v>
      </c>
      <c r="F482">
        <v>-0.7</v>
      </c>
    </row>
    <row r="483" spans="1:6">
      <c r="A483" t="s">
        <v>1606</v>
      </c>
      <c r="B483" t="s">
        <v>836</v>
      </c>
      <c r="C483" t="s">
        <v>17</v>
      </c>
      <c r="D483">
        <v>1</v>
      </c>
      <c r="E483">
        <v>0.05</v>
      </c>
      <c r="F483">
        <v>-0.2</v>
      </c>
    </row>
    <row r="484" spans="1:6">
      <c r="A484" t="s">
        <v>1609</v>
      </c>
      <c r="B484" t="s">
        <v>836</v>
      </c>
      <c r="C484" t="s">
        <v>17</v>
      </c>
      <c r="D484">
        <v>1</v>
      </c>
      <c r="E484">
        <v>0.192</v>
      </c>
      <c r="F484">
        <v>-1</v>
      </c>
    </row>
    <row r="485" spans="1:6">
      <c r="A485" t="s">
        <v>1612</v>
      </c>
      <c r="B485" t="s">
        <v>836</v>
      </c>
      <c r="C485" t="s">
        <v>17</v>
      </c>
      <c r="D485">
        <v>1</v>
      </c>
      <c r="E485">
        <v>0.73899999999999999</v>
      </c>
      <c r="F485">
        <v>-5.0999999999999996</v>
      </c>
    </row>
    <row r="486" spans="1:6">
      <c r="A486" t="s">
        <v>1595</v>
      </c>
      <c r="B486" t="s">
        <v>836</v>
      </c>
      <c r="C486" t="s">
        <v>17</v>
      </c>
      <c r="D486">
        <v>1</v>
      </c>
      <c r="E486">
        <v>0.55800000000000005</v>
      </c>
      <c r="F486">
        <v>-3.4</v>
      </c>
    </row>
    <row r="487" spans="1:6">
      <c r="A487" t="s">
        <v>1601</v>
      </c>
      <c r="B487" t="s">
        <v>843</v>
      </c>
      <c r="C487" t="s">
        <v>17</v>
      </c>
      <c r="D487">
        <v>1</v>
      </c>
      <c r="E487">
        <v>0.877</v>
      </c>
      <c r="F487">
        <v>-6.8</v>
      </c>
    </row>
    <row r="488" spans="1:6">
      <c r="A488" t="s">
        <v>1606</v>
      </c>
      <c r="B488" t="s">
        <v>843</v>
      </c>
      <c r="C488" t="s">
        <v>17</v>
      </c>
      <c r="D488">
        <v>0.99697530999999995</v>
      </c>
      <c r="E488">
        <v>0.871</v>
      </c>
      <c r="F488">
        <v>-6.6</v>
      </c>
    </row>
    <row r="489" spans="1:6">
      <c r="A489" t="s">
        <v>1609</v>
      </c>
      <c r="B489" t="s">
        <v>843</v>
      </c>
      <c r="C489" t="s">
        <v>17</v>
      </c>
      <c r="D489">
        <v>1</v>
      </c>
      <c r="E489">
        <v>0.93100000000000005</v>
      </c>
      <c r="F489">
        <v>-8.3000000000000007</v>
      </c>
    </row>
    <row r="490" spans="1:6">
      <c r="A490" t="s">
        <v>1612</v>
      </c>
      <c r="B490" t="s">
        <v>843</v>
      </c>
      <c r="C490" t="s">
        <v>17</v>
      </c>
      <c r="D490">
        <v>0.30374742900000001</v>
      </c>
      <c r="E490">
        <v>2.4E-2</v>
      </c>
      <c r="F490">
        <v>-0.1</v>
      </c>
    </row>
    <row r="491" spans="1:6">
      <c r="A491" t="s">
        <v>1595</v>
      </c>
      <c r="B491" t="s">
        <v>843</v>
      </c>
      <c r="C491" t="s">
        <v>17</v>
      </c>
      <c r="D491">
        <v>1</v>
      </c>
      <c r="E491">
        <v>0.24</v>
      </c>
      <c r="F491">
        <v>-1.3</v>
      </c>
    </row>
    <row r="492" spans="1:6">
      <c r="A492" t="s">
        <v>1601</v>
      </c>
      <c r="B492" t="s">
        <v>851</v>
      </c>
      <c r="C492" t="s">
        <v>498</v>
      </c>
      <c r="D492">
        <v>0</v>
      </c>
      <c r="E492">
        <v>0</v>
      </c>
      <c r="F492">
        <v>0</v>
      </c>
    </row>
    <row r="493" spans="1:6">
      <c r="A493" t="s">
        <v>1606</v>
      </c>
      <c r="B493" t="s">
        <v>851</v>
      </c>
      <c r="C493" t="s">
        <v>498</v>
      </c>
      <c r="D493">
        <v>0</v>
      </c>
      <c r="E493">
        <v>0</v>
      </c>
      <c r="F493">
        <v>0</v>
      </c>
    </row>
    <row r="494" spans="1:6">
      <c r="A494" t="s">
        <v>1609</v>
      </c>
      <c r="B494" t="s">
        <v>851</v>
      </c>
      <c r="C494" t="s">
        <v>498</v>
      </c>
      <c r="D494">
        <v>2.2433622E-2</v>
      </c>
      <c r="E494">
        <v>0.995</v>
      </c>
      <c r="F494">
        <v>-14.8</v>
      </c>
    </row>
    <row r="495" spans="1:6">
      <c r="A495" t="s">
        <v>1612</v>
      </c>
      <c r="B495" t="s">
        <v>851</v>
      </c>
      <c r="C495" t="s">
        <v>498</v>
      </c>
      <c r="D495">
        <v>0.25724929699999999</v>
      </c>
      <c r="E495">
        <v>0.1</v>
      </c>
      <c r="F495">
        <v>0.5</v>
      </c>
    </row>
    <row r="496" spans="1:6">
      <c r="A496" t="s">
        <v>1595</v>
      </c>
      <c r="B496" t="s">
        <v>851</v>
      </c>
      <c r="C496" t="s">
        <v>498</v>
      </c>
      <c r="D496">
        <v>0.42486348600000001</v>
      </c>
      <c r="E496">
        <v>0.56699999999999995</v>
      </c>
      <c r="F496">
        <v>-3.5</v>
      </c>
    </row>
    <row r="497" spans="1:6">
      <c r="A497" t="s">
        <v>1601</v>
      </c>
      <c r="B497" t="s">
        <v>859</v>
      </c>
      <c r="C497" t="s">
        <v>17</v>
      </c>
      <c r="D497">
        <v>4.5568541999999997E-2</v>
      </c>
      <c r="E497">
        <v>2.8000000000000001E-2</v>
      </c>
      <c r="F497">
        <v>0.1</v>
      </c>
    </row>
    <row r="498" spans="1:6">
      <c r="A498" t="s">
        <v>1606</v>
      </c>
      <c r="B498" t="s">
        <v>859</v>
      </c>
      <c r="C498" t="s">
        <v>17</v>
      </c>
      <c r="D498">
        <v>1</v>
      </c>
      <c r="E498">
        <v>0.38</v>
      </c>
      <c r="F498">
        <v>2</v>
      </c>
    </row>
    <row r="499" spans="1:6">
      <c r="A499" t="s">
        <v>1609</v>
      </c>
      <c r="B499" t="s">
        <v>859</v>
      </c>
      <c r="C499" t="s">
        <v>17</v>
      </c>
      <c r="D499">
        <v>0.99423199799999995</v>
      </c>
      <c r="E499">
        <v>0.27600000000000002</v>
      </c>
      <c r="F499">
        <v>-1.4</v>
      </c>
    </row>
    <row r="500" spans="1:6">
      <c r="A500" t="s">
        <v>1612</v>
      </c>
      <c r="B500" t="s">
        <v>859</v>
      </c>
      <c r="C500" t="s">
        <v>17</v>
      </c>
      <c r="D500">
        <v>1</v>
      </c>
      <c r="E500">
        <v>0.36199999999999999</v>
      </c>
      <c r="F500">
        <v>-2</v>
      </c>
    </row>
    <row r="501" spans="1:6">
      <c r="A501" t="s">
        <v>1595</v>
      </c>
      <c r="B501" t="s">
        <v>859</v>
      </c>
      <c r="C501" t="s">
        <v>17</v>
      </c>
      <c r="D501">
        <v>1</v>
      </c>
      <c r="E501">
        <v>0.73199999999999998</v>
      </c>
      <c r="F501">
        <v>-5</v>
      </c>
    </row>
    <row r="502" spans="1:6">
      <c r="A502" t="s">
        <v>1601</v>
      </c>
      <c r="B502" t="s">
        <v>867</v>
      </c>
      <c r="C502" t="s">
        <v>17</v>
      </c>
      <c r="D502">
        <v>2.2799643000000001E-2</v>
      </c>
      <c r="E502">
        <v>8.5999999999999993E-2</v>
      </c>
      <c r="F502">
        <v>-0.4</v>
      </c>
    </row>
    <row r="503" spans="1:6">
      <c r="A503" t="s">
        <v>1606</v>
      </c>
      <c r="B503" t="s">
        <v>867</v>
      </c>
      <c r="C503" t="s">
        <v>17</v>
      </c>
      <c r="D503">
        <v>1</v>
      </c>
      <c r="E503">
        <v>2.7E-2</v>
      </c>
      <c r="F503">
        <v>-0.1</v>
      </c>
    </row>
    <row r="504" spans="1:6">
      <c r="A504" t="s">
        <v>1609</v>
      </c>
      <c r="B504" t="s">
        <v>867</v>
      </c>
      <c r="C504" t="s">
        <v>17</v>
      </c>
      <c r="D504">
        <v>0.13026406800000001</v>
      </c>
      <c r="E504">
        <v>0.154</v>
      </c>
      <c r="F504">
        <v>-0.8</v>
      </c>
    </row>
    <row r="505" spans="1:6">
      <c r="A505" t="s">
        <v>1612</v>
      </c>
      <c r="B505" t="s">
        <v>867</v>
      </c>
      <c r="C505" t="s">
        <v>17</v>
      </c>
      <c r="D505">
        <v>1</v>
      </c>
      <c r="E505">
        <v>0.05</v>
      </c>
      <c r="F505">
        <v>0.3</v>
      </c>
    </row>
    <row r="506" spans="1:6">
      <c r="A506" t="s">
        <v>1595</v>
      </c>
      <c r="B506" t="s">
        <v>867</v>
      </c>
      <c r="C506" t="s">
        <v>17</v>
      </c>
      <c r="D506">
        <v>1</v>
      </c>
      <c r="E506">
        <v>1.7000000000000001E-2</v>
      </c>
      <c r="F506">
        <v>0.1</v>
      </c>
    </row>
    <row r="507" spans="1:6">
      <c r="A507" t="s">
        <v>1601</v>
      </c>
      <c r="B507" t="s">
        <v>875</v>
      </c>
      <c r="C507" t="s">
        <v>17</v>
      </c>
      <c r="D507">
        <v>0.34074030799999999</v>
      </c>
      <c r="E507">
        <v>0.83699999999999997</v>
      </c>
      <c r="F507">
        <v>-6</v>
      </c>
    </row>
    <row r="508" spans="1:6">
      <c r="A508" t="s">
        <v>1606</v>
      </c>
      <c r="B508" t="s">
        <v>875</v>
      </c>
      <c r="C508" t="s">
        <v>17</v>
      </c>
      <c r="D508">
        <v>0.74598352199999995</v>
      </c>
      <c r="E508">
        <v>0.85499999999999998</v>
      </c>
      <c r="F508">
        <v>-6.3</v>
      </c>
    </row>
    <row r="509" spans="1:6">
      <c r="A509" t="s">
        <v>1609</v>
      </c>
      <c r="B509" t="s">
        <v>875</v>
      </c>
      <c r="C509" t="s">
        <v>17</v>
      </c>
      <c r="D509">
        <v>0.99004441799999998</v>
      </c>
      <c r="E509">
        <v>0.91200000000000003</v>
      </c>
      <c r="F509">
        <v>-7.6</v>
      </c>
    </row>
    <row r="510" spans="1:6">
      <c r="A510" t="s">
        <v>1612</v>
      </c>
      <c r="B510" t="s">
        <v>875</v>
      </c>
      <c r="C510" t="s">
        <v>17</v>
      </c>
      <c r="D510">
        <v>0.72592497</v>
      </c>
      <c r="E510">
        <v>0.14099999999999999</v>
      </c>
      <c r="F510">
        <v>-0.8</v>
      </c>
    </row>
    <row r="511" spans="1:6">
      <c r="A511" t="s">
        <v>1595</v>
      </c>
      <c r="B511" t="s">
        <v>875</v>
      </c>
      <c r="C511" t="s">
        <v>17</v>
      </c>
      <c r="D511">
        <v>1</v>
      </c>
      <c r="E511">
        <v>0.59099999999999997</v>
      </c>
      <c r="F511">
        <v>-3.6</v>
      </c>
    </row>
    <row r="512" spans="1:6">
      <c r="A512" t="s">
        <v>1601</v>
      </c>
      <c r="B512" t="s">
        <v>883</v>
      </c>
      <c r="C512" t="s">
        <v>17</v>
      </c>
      <c r="D512">
        <v>0</v>
      </c>
      <c r="E512">
        <v>0</v>
      </c>
      <c r="F512">
        <v>0</v>
      </c>
    </row>
    <row r="513" spans="1:6">
      <c r="A513" t="s">
        <v>1606</v>
      </c>
      <c r="B513" t="s">
        <v>883</v>
      </c>
      <c r="C513" t="s">
        <v>17</v>
      </c>
      <c r="D513">
        <v>0.25606946899999999</v>
      </c>
      <c r="E513">
        <v>0.05</v>
      </c>
      <c r="F513">
        <v>-0.2</v>
      </c>
    </row>
    <row r="514" spans="1:6">
      <c r="A514" t="s">
        <v>1609</v>
      </c>
      <c r="B514" t="s">
        <v>883</v>
      </c>
      <c r="C514" t="s">
        <v>17</v>
      </c>
      <c r="D514">
        <v>0.27815064900000003</v>
      </c>
      <c r="E514">
        <v>0.27300000000000002</v>
      </c>
      <c r="F514">
        <v>-1.4</v>
      </c>
    </row>
    <row r="515" spans="1:6">
      <c r="A515" t="s">
        <v>1612</v>
      </c>
      <c r="B515" t="s">
        <v>883</v>
      </c>
      <c r="C515" t="s">
        <v>17</v>
      </c>
      <c r="D515">
        <v>1</v>
      </c>
      <c r="E515">
        <v>7.0999999999999994E-2</v>
      </c>
      <c r="F515">
        <v>0.4</v>
      </c>
    </row>
    <row r="516" spans="1:6">
      <c r="A516" t="s">
        <v>1595</v>
      </c>
      <c r="B516" t="s">
        <v>883</v>
      </c>
      <c r="C516" t="s">
        <v>17</v>
      </c>
      <c r="D516">
        <v>1</v>
      </c>
      <c r="E516">
        <v>0.76600000000000001</v>
      </c>
      <c r="F516">
        <v>-5.4</v>
      </c>
    </row>
    <row r="517" spans="1:6">
      <c r="A517" t="s">
        <v>1601</v>
      </c>
      <c r="B517" t="s">
        <v>891</v>
      </c>
      <c r="C517" t="s">
        <v>525</v>
      </c>
      <c r="D517">
        <v>0.185274626</v>
      </c>
      <c r="E517">
        <v>0.81699999999999995</v>
      </c>
      <c r="F517">
        <v>-5.7</v>
      </c>
    </row>
    <row r="518" spans="1:6">
      <c r="A518" t="s">
        <v>1606</v>
      </c>
      <c r="B518" t="s">
        <v>891</v>
      </c>
      <c r="C518" t="s">
        <v>525</v>
      </c>
      <c r="D518">
        <v>0.99623641200000002</v>
      </c>
      <c r="E518">
        <v>0.93400000000000005</v>
      </c>
      <c r="F518">
        <v>-8.4</v>
      </c>
    </row>
    <row r="519" spans="1:6">
      <c r="A519" t="s">
        <v>1609</v>
      </c>
      <c r="B519" t="s">
        <v>891</v>
      </c>
      <c r="C519" t="s">
        <v>525</v>
      </c>
      <c r="D519">
        <v>0.96917401199999997</v>
      </c>
      <c r="E519">
        <v>0.45300000000000001</v>
      </c>
      <c r="F519">
        <v>-2.4</v>
      </c>
    </row>
    <row r="520" spans="1:6">
      <c r="A520" t="s">
        <v>1612</v>
      </c>
      <c r="B520" t="s">
        <v>891</v>
      </c>
      <c r="C520" t="s">
        <v>525</v>
      </c>
      <c r="D520">
        <v>0.399783106</v>
      </c>
      <c r="E520">
        <v>0.23100000000000001</v>
      </c>
      <c r="F520">
        <v>1.3</v>
      </c>
    </row>
    <row r="521" spans="1:6">
      <c r="A521" t="s">
        <v>1595</v>
      </c>
      <c r="B521" t="s">
        <v>891</v>
      </c>
      <c r="C521" t="s">
        <v>525</v>
      </c>
      <c r="D521">
        <v>0.47311461799999999</v>
      </c>
      <c r="E521">
        <v>0.245</v>
      </c>
      <c r="F521">
        <v>-1.3</v>
      </c>
    </row>
    <row r="522" spans="1:6">
      <c r="A522" t="s">
        <v>1601</v>
      </c>
      <c r="B522" t="s">
        <v>898</v>
      </c>
      <c r="C522" t="s">
        <v>498</v>
      </c>
      <c r="D522">
        <v>0</v>
      </c>
      <c r="E522">
        <v>0</v>
      </c>
      <c r="F522">
        <v>0</v>
      </c>
    </row>
    <row r="523" spans="1:6">
      <c r="A523" t="s">
        <v>1606</v>
      </c>
      <c r="B523" t="s">
        <v>898</v>
      </c>
      <c r="C523" t="s">
        <v>498</v>
      </c>
      <c r="D523">
        <v>0.70481241500000003</v>
      </c>
      <c r="E523">
        <v>0.75700000000000001</v>
      </c>
      <c r="F523">
        <v>-4.9000000000000004</v>
      </c>
    </row>
    <row r="524" spans="1:6">
      <c r="A524" t="s">
        <v>1609</v>
      </c>
      <c r="B524" t="s">
        <v>898</v>
      </c>
      <c r="C524" t="s">
        <v>498</v>
      </c>
      <c r="D524">
        <v>0.18109172500000001</v>
      </c>
      <c r="E524">
        <v>0.20399999999999999</v>
      </c>
      <c r="F524">
        <v>-1</v>
      </c>
    </row>
    <row r="525" spans="1:6">
      <c r="A525" t="s">
        <v>1612</v>
      </c>
      <c r="B525" t="s">
        <v>898</v>
      </c>
      <c r="C525" t="s">
        <v>498</v>
      </c>
      <c r="D525">
        <v>0.62959400600000004</v>
      </c>
      <c r="E525">
        <v>0.28000000000000003</v>
      </c>
      <c r="F525">
        <v>1.5</v>
      </c>
    </row>
    <row r="526" spans="1:6">
      <c r="A526" t="s">
        <v>1595</v>
      </c>
      <c r="B526" t="s">
        <v>898</v>
      </c>
      <c r="C526" t="s">
        <v>498</v>
      </c>
      <c r="D526">
        <v>0.56071685400000004</v>
      </c>
      <c r="E526">
        <v>0.11700000000000001</v>
      </c>
      <c r="F526">
        <v>0.6</v>
      </c>
    </row>
    <row r="527" spans="1:6">
      <c r="A527" t="s">
        <v>1601</v>
      </c>
      <c r="B527" t="s">
        <v>906</v>
      </c>
      <c r="C527" t="s">
        <v>17</v>
      </c>
      <c r="D527">
        <v>0.45658486300000001</v>
      </c>
      <c r="E527">
        <v>0.86699999999999999</v>
      </c>
      <c r="F527">
        <v>6.5</v>
      </c>
    </row>
    <row r="528" spans="1:6">
      <c r="A528" t="s">
        <v>1606</v>
      </c>
      <c r="B528" t="s">
        <v>906</v>
      </c>
      <c r="C528" t="s">
        <v>17</v>
      </c>
      <c r="D528">
        <v>1</v>
      </c>
      <c r="E528">
        <v>0.88600000000000001</v>
      </c>
      <c r="F528">
        <v>7</v>
      </c>
    </row>
    <row r="529" spans="1:6">
      <c r="A529" t="s">
        <v>1609</v>
      </c>
      <c r="B529" t="s">
        <v>906</v>
      </c>
      <c r="C529" t="s">
        <v>17</v>
      </c>
      <c r="D529">
        <v>0.99295316700000003</v>
      </c>
      <c r="E529">
        <v>0.83</v>
      </c>
      <c r="F529">
        <v>5.9</v>
      </c>
    </row>
    <row r="530" spans="1:6">
      <c r="A530" t="s">
        <v>1612</v>
      </c>
      <c r="B530" t="s">
        <v>906</v>
      </c>
      <c r="C530" t="s">
        <v>17</v>
      </c>
      <c r="D530">
        <v>0.52624992000000004</v>
      </c>
      <c r="E530">
        <v>0.113</v>
      </c>
      <c r="F530">
        <v>0.6</v>
      </c>
    </row>
    <row r="531" spans="1:6">
      <c r="A531" t="s">
        <v>1595</v>
      </c>
      <c r="B531" t="s">
        <v>906</v>
      </c>
      <c r="C531" t="s">
        <v>17</v>
      </c>
      <c r="D531">
        <v>0.35280813599999999</v>
      </c>
      <c r="E531">
        <v>0.14699999999999999</v>
      </c>
      <c r="F531">
        <v>0.8</v>
      </c>
    </row>
    <row r="532" spans="1:6">
      <c r="A532" t="s">
        <v>1601</v>
      </c>
      <c r="B532" t="s">
        <v>913</v>
      </c>
      <c r="C532" t="s">
        <v>498</v>
      </c>
      <c r="D532">
        <v>0</v>
      </c>
      <c r="E532">
        <v>0</v>
      </c>
      <c r="F532">
        <v>0</v>
      </c>
    </row>
    <row r="533" spans="1:6">
      <c r="A533" t="s">
        <v>1606</v>
      </c>
      <c r="B533" t="s">
        <v>913</v>
      </c>
      <c r="C533" t="s">
        <v>498</v>
      </c>
      <c r="D533">
        <v>0.37898693300000003</v>
      </c>
      <c r="E533">
        <v>6.0999999999999999E-2</v>
      </c>
      <c r="F533">
        <v>-0.3</v>
      </c>
    </row>
    <row r="534" spans="1:6">
      <c r="A534" t="s">
        <v>1609</v>
      </c>
      <c r="B534" t="s">
        <v>913</v>
      </c>
      <c r="C534" t="s">
        <v>498</v>
      </c>
      <c r="D534">
        <v>3.9828756999999999E-2</v>
      </c>
      <c r="E534">
        <v>0.17399999999999999</v>
      </c>
      <c r="F534">
        <v>0.9</v>
      </c>
    </row>
    <row r="535" spans="1:6">
      <c r="A535" t="s">
        <v>1612</v>
      </c>
      <c r="B535" t="s">
        <v>913</v>
      </c>
      <c r="C535" t="s">
        <v>498</v>
      </c>
      <c r="D535">
        <v>0.86110171099999999</v>
      </c>
      <c r="E535">
        <v>0.04</v>
      </c>
      <c r="F535">
        <v>0.2</v>
      </c>
    </row>
    <row r="536" spans="1:6">
      <c r="A536" t="s">
        <v>1595</v>
      </c>
      <c r="B536" t="s">
        <v>913</v>
      </c>
      <c r="C536" t="s">
        <v>498</v>
      </c>
      <c r="D536">
        <v>1</v>
      </c>
      <c r="E536">
        <v>2.5999999999999999E-2</v>
      </c>
      <c r="F536">
        <v>-0.1</v>
      </c>
    </row>
    <row r="537" spans="1:6">
      <c r="A537" t="s">
        <v>1601</v>
      </c>
      <c r="B537" t="s">
        <v>921</v>
      </c>
      <c r="C537" t="s">
        <v>17</v>
      </c>
      <c r="D537">
        <v>1</v>
      </c>
      <c r="E537">
        <v>0.84199999999999997</v>
      </c>
      <c r="F537">
        <v>-6.1</v>
      </c>
    </row>
    <row r="538" spans="1:6">
      <c r="A538" t="s">
        <v>1606</v>
      </c>
      <c r="B538" t="s">
        <v>921</v>
      </c>
      <c r="C538" t="s">
        <v>17</v>
      </c>
      <c r="D538">
        <v>1</v>
      </c>
      <c r="E538">
        <v>0.8</v>
      </c>
      <c r="F538">
        <v>-5.4</v>
      </c>
    </row>
    <row r="539" spans="1:6">
      <c r="A539" t="s">
        <v>1609</v>
      </c>
      <c r="B539" t="s">
        <v>921</v>
      </c>
      <c r="C539" t="s">
        <v>17</v>
      </c>
      <c r="D539">
        <v>0.98583605200000002</v>
      </c>
      <c r="E539">
        <v>0.88500000000000001</v>
      </c>
      <c r="F539">
        <v>-6.9</v>
      </c>
    </row>
    <row r="540" spans="1:6">
      <c r="A540" t="s">
        <v>1612</v>
      </c>
      <c r="B540" t="s">
        <v>921</v>
      </c>
      <c r="C540" t="s">
        <v>17</v>
      </c>
      <c r="D540">
        <v>0.192431189</v>
      </c>
      <c r="E540">
        <v>8.8999999999999996E-2</v>
      </c>
      <c r="F540">
        <v>0.5</v>
      </c>
    </row>
    <row r="541" spans="1:6">
      <c r="A541" t="s">
        <v>1595</v>
      </c>
      <c r="B541" t="s">
        <v>921</v>
      </c>
      <c r="C541" t="s">
        <v>17</v>
      </c>
      <c r="D541">
        <v>1</v>
      </c>
      <c r="E541">
        <v>7.4999999999999997E-2</v>
      </c>
      <c r="F541">
        <v>-0.4</v>
      </c>
    </row>
    <row r="542" spans="1:6">
      <c r="A542" t="s">
        <v>1601</v>
      </c>
      <c r="B542" t="s">
        <v>929</v>
      </c>
      <c r="C542" t="s">
        <v>725</v>
      </c>
      <c r="D542">
        <v>0</v>
      </c>
      <c r="E542">
        <v>0</v>
      </c>
      <c r="F542">
        <v>0</v>
      </c>
    </row>
    <row r="543" spans="1:6">
      <c r="A543" t="s">
        <v>1606</v>
      </c>
      <c r="B543" t="s">
        <v>929</v>
      </c>
      <c r="C543" t="s">
        <v>725</v>
      </c>
      <c r="D543">
        <v>0.133075423</v>
      </c>
      <c r="E543">
        <v>0.53600000000000003</v>
      </c>
      <c r="F543">
        <v>3</v>
      </c>
    </row>
    <row r="544" spans="1:6">
      <c r="A544" t="s">
        <v>1609</v>
      </c>
      <c r="B544" t="s">
        <v>929</v>
      </c>
      <c r="C544" t="s">
        <v>725</v>
      </c>
      <c r="D544">
        <v>2.3574639000000001E-2</v>
      </c>
      <c r="E544">
        <v>0.191</v>
      </c>
      <c r="F544">
        <v>-1</v>
      </c>
    </row>
    <row r="545" spans="1:6">
      <c r="A545" t="s">
        <v>1612</v>
      </c>
      <c r="B545" t="s">
        <v>929</v>
      </c>
      <c r="C545" t="s">
        <v>725</v>
      </c>
      <c r="D545">
        <v>0.55032160600000002</v>
      </c>
      <c r="E545">
        <v>2E-3</v>
      </c>
      <c r="F545">
        <v>0</v>
      </c>
    </row>
    <row r="546" spans="1:6">
      <c r="A546" t="s">
        <v>1595</v>
      </c>
      <c r="B546" t="s">
        <v>929</v>
      </c>
      <c r="C546" t="s">
        <v>725</v>
      </c>
      <c r="D546">
        <v>1</v>
      </c>
      <c r="E546">
        <v>0.14000000000000001</v>
      </c>
      <c r="F546">
        <v>0.8</v>
      </c>
    </row>
    <row r="547" spans="1:6">
      <c r="A547" t="s">
        <v>1601</v>
      </c>
      <c r="B547" t="s">
        <v>937</v>
      </c>
      <c r="C547" t="s">
        <v>17</v>
      </c>
      <c r="D547">
        <v>1</v>
      </c>
      <c r="E547">
        <v>0.995</v>
      </c>
      <c r="F547">
        <v>-14.8</v>
      </c>
    </row>
    <row r="548" spans="1:6">
      <c r="A548" t="s">
        <v>1606</v>
      </c>
      <c r="B548" t="s">
        <v>937</v>
      </c>
      <c r="C548" t="s">
        <v>17</v>
      </c>
      <c r="D548">
        <v>1</v>
      </c>
      <c r="E548">
        <v>0.995</v>
      </c>
      <c r="F548">
        <v>-14.8</v>
      </c>
    </row>
    <row r="549" spans="1:6">
      <c r="A549" t="s">
        <v>1609</v>
      </c>
      <c r="B549" t="s">
        <v>937</v>
      </c>
      <c r="C549" t="s">
        <v>17</v>
      </c>
      <c r="D549">
        <v>0.98076997700000002</v>
      </c>
      <c r="E549">
        <v>0.98699999999999999</v>
      </c>
      <c r="F549">
        <v>-12.5</v>
      </c>
    </row>
    <row r="550" spans="1:6">
      <c r="A550" t="s">
        <v>1612</v>
      </c>
      <c r="B550" t="s">
        <v>937</v>
      </c>
      <c r="C550" t="s">
        <v>17</v>
      </c>
      <c r="D550">
        <v>0.69014177200000004</v>
      </c>
      <c r="E550">
        <v>0.23200000000000001</v>
      </c>
      <c r="F550">
        <v>1.3</v>
      </c>
    </row>
    <row r="551" spans="1:6">
      <c r="A551" t="s">
        <v>1595</v>
      </c>
      <c r="B551" t="s">
        <v>937</v>
      </c>
      <c r="C551" t="s">
        <v>17</v>
      </c>
      <c r="D551">
        <v>1</v>
      </c>
      <c r="E551">
        <v>0.245</v>
      </c>
      <c r="F551">
        <v>-1.3</v>
      </c>
    </row>
    <row r="552" spans="1:6">
      <c r="A552" t="s">
        <v>1601</v>
      </c>
      <c r="B552" t="s">
        <v>945</v>
      </c>
      <c r="C552" t="s">
        <v>17</v>
      </c>
      <c r="D552">
        <v>0.21585374900000001</v>
      </c>
      <c r="E552">
        <v>0.995</v>
      </c>
      <c r="F552">
        <v>14.8</v>
      </c>
    </row>
    <row r="553" spans="1:6">
      <c r="A553" t="s">
        <v>1606</v>
      </c>
      <c r="B553" t="s">
        <v>945</v>
      </c>
      <c r="C553" t="s">
        <v>17</v>
      </c>
      <c r="D553">
        <v>8.5734813000000007E-2</v>
      </c>
      <c r="E553">
        <v>0.995</v>
      </c>
      <c r="F553">
        <v>14.8</v>
      </c>
    </row>
    <row r="554" spans="1:6">
      <c r="A554" t="s">
        <v>1609</v>
      </c>
      <c r="B554" t="s">
        <v>945</v>
      </c>
      <c r="C554" t="s">
        <v>17</v>
      </c>
      <c r="D554">
        <v>0.98132298100000004</v>
      </c>
      <c r="E554">
        <v>0.94099999999999995</v>
      </c>
      <c r="F554">
        <v>8.6999999999999993</v>
      </c>
    </row>
    <row r="555" spans="1:6">
      <c r="A555" t="s">
        <v>1612</v>
      </c>
      <c r="B555" t="s">
        <v>945</v>
      </c>
      <c r="C555" t="s">
        <v>17</v>
      </c>
      <c r="D555">
        <v>0.37140337000000001</v>
      </c>
      <c r="E555">
        <v>5.8000000000000003E-2</v>
      </c>
      <c r="F555">
        <v>0.3</v>
      </c>
    </row>
    <row r="556" spans="1:6">
      <c r="A556" t="s">
        <v>1595</v>
      </c>
      <c r="B556" t="s">
        <v>945</v>
      </c>
      <c r="C556" t="s">
        <v>17</v>
      </c>
      <c r="D556">
        <v>0.91690296199999999</v>
      </c>
      <c r="E556">
        <v>0.05</v>
      </c>
      <c r="F556">
        <v>0.3</v>
      </c>
    </row>
    <row r="557" spans="1:6">
      <c r="A557" t="s">
        <v>1601</v>
      </c>
      <c r="B557" t="s">
        <v>953</v>
      </c>
      <c r="C557" t="s">
        <v>17</v>
      </c>
      <c r="D557">
        <v>0.26460626700000001</v>
      </c>
      <c r="E557">
        <v>2.4E-2</v>
      </c>
      <c r="F557">
        <v>-0.1</v>
      </c>
    </row>
    <row r="558" spans="1:6">
      <c r="A558" t="s">
        <v>1606</v>
      </c>
      <c r="B558" t="s">
        <v>953</v>
      </c>
      <c r="C558" t="s">
        <v>17</v>
      </c>
      <c r="D558">
        <v>0.99712372199999999</v>
      </c>
      <c r="E558">
        <v>0.115</v>
      </c>
      <c r="F558">
        <v>0.6</v>
      </c>
    </row>
    <row r="559" spans="1:6">
      <c r="A559" t="s">
        <v>1609</v>
      </c>
      <c r="B559" t="s">
        <v>953</v>
      </c>
      <c r="C559" t="s">
        <v>17</v>
      </c>
      <c r="D559">
        <v>1</v>
      </c>
      <c r="E559">
        <v>6.8000000000000005E-2</v>
      </c>
      <c r="F559">
        <v>-0.3</v>
      </c>
    </row>
    <row r="560" spans="1:6">
      <c r="A560" t="s">
        <v>1612</v>
      </c>
      <c r="B560" t="s">
        <v>953</v>
      </c>
      <c r="C560" t="s">
        <v>17</v>
      </c>
      <c r="D560">
        <v>1</v>
      </c>
      <c r="E560">
        <v>0.22500000000000001</v>
      </c>
      <c r="F560">
        <v>1.2</v>
      </c>
    </row>
    <row r="561" spans="1:6">
      <c r="A561" t="s">
        <v>1595</v>
      </c>
      <c r="B561" t="s">
        <v>953</v>
      </c>
      <c r="C561" t="s">
        <v>17</v>
      </c>
      <c r="D561">
        <v>1</v>
      </c>
      <c r="E561">
        <v>0.109</v>
      </c>
      <c r="F561">
        <v>-0.6</v>
      </c>
    </row>
    <row r="562" spans="1:6">
      <c r="A562" t="s">
        <v>1601</v>
      </c>
      <c r="B562" t="s">
        <v>961</v>
      </c>
      <c r="C562" t="s">
        <v>17</v>
      </c>
      <c r="D562">
        <v>0.89387458799999997</v>
      </c>
      <c r="E562">
        <v>0.98399999999999999</v>
      </c>
      <c r="F562">
        <v>11.9</v>
      </c>
    </row>
    <row r="563" spans="1:6">
      <c r="A563" t="s">
        <v>1606</v>
      </c>
      <c r="B563" t="s">
        <v>961</v>
      </c>
      <c r="C563" t="s">
        <v>17</v>
      </c>
      <c r="D563">
        <v>0.67262754499999999</v>
      </c>
      <c r="E563">
        <v>0.995</v>
      </c>
      <c r="F563">
        <v>14.8</v>
      </c>
    </row>
    <row r="564" spans="1:6">
      <c r="A564" t="s">
        <v>1609</v>
      </c>
      <c r="B564" t="s">
        <v>961</v>
      </c>
      <c r="C564" t="s">
        <v>17</v>
      </c>
      <c r="D564">
        <v>1</v>
      </c>
      <c r="E564">
        <v>0.92100000000000004</v>
      </c>
      <c r="F564">
        <v>7.9</v>
      </c>
    </row>
    <row r="565" spans="1:6">
      <c r="A565" t="s">
        <v>1612</v>
      </c>
      <c r="B565" t="s">
        <v>961</v>
      </c>
      <c r="C565" t="s">
        <v>17</v>
      </c>
      <c r="D565">
        <v>0.12646616199999999</v>
      </c>
      <c r="E565">
        <v>0.124</v>
      </c>
      <c r="F565">
        <v>-0.7</v>
      </c>
    </row>
    <row r="566" spans="1:6">
      <c r="A566" t="s">
        <v>1595</v>
      </c>
      <c r="B566" t="s">
        <v>961</v>
      </c>
      <c r="C566" t="s">
        <v>17</v>
      </c>
      <c r="D566">
        <v>0.77064756400000001</v>
      </c>
      <c r="E566">
        <v>0.50600000000000001</v>
      </c>
      <c r="F566">
        <v>-3</v>
      </c>
    </row>
    <row r="567" spans="1:6">
      <c r="A567" t="s">
        <v>1601</v>
      </c>
      <c r="B567" t="s">
        <v>969</v>
      </c>
      <c r="C567" t="s">
        <v>498</v>
      </c>
      <c r="D567">
        <v>0</v>
      </c>
      <c r="E567">
        <v>0</v>
      </c>
      <c r="F567">
        <v>0</v>
      </c>
    </row>
    <row r="568" spans="1:6">
      <c r="A568" t="s">
        <v>1606</v>
      </c>
      <c r="B568" t="s">
        <v>969</v>
      </c>
      <c r="C568" t="s">
        <v>498</v>
      </c>
      <c r="D568">
        <v>0.63543523499999999</v>
      </c>
      <c r="E568">
        <v>0.70299999999999996</v>
      </c>
      <c r="F568">
        <v>4.3</v>
      </c>
    </row>
    <row r="569" spans="1:6">
      <c r="A569" t="s">
        <v>1609</v>
      </c>
      <c r="B569" t="s">
        <v>969</v>
      </c>
      <c r="C569" t="s">
        <v>498</v>
      </c>
      <c r="D569">
        <v>7.4160265000000003E-2</v>
      </c>
      <c r="E569">
        <v>0.32700000000000001</v>
      </c>
      <c r="F569">
        <v>1.7</v>
      </c>
    </row>
    <row r="570" spans="1:6">
      <c r="A570" t="s">
        <v>1612</v>
      </c>
      <c r="B570" t="s">
        <v>969</v>
      </c>
      <c r="C570" t="s">
        <v>498</v>
      </c>
      <c r="D570">
        <v>0.75562691000000004</v>
      </c>
      <c r="E570">
        <v>8.1000000000000003E-2</v>
      </c>
      <c r="F570">
        <v>-0.4</v>
      </c>
    </row>
    <row r="571" spans="1:6">
      <c r="A571" t="s">
        <v>1595</v>
      </c>
      <c r="B571" t="s">
        <v>969</v>
      </c>
      <c r="C571" t="s">
        <v>498</v>
      </c>
      <c r="D571">
        <v>0.64750382500000003</v>
      </c>
      <c r="E571">
        <v>9.4E-2</v>
      </c>
      <c r="F571">
        <v>-0.5</v>
      </c>
    </row>
    <row r="572" spans="1:6">
      <c r="A572" t="s">
        <v>1601</v>
      </c>
      <c r="B572" t="s">
        <v>975</v>
      </c>
      <c r="C572" t="s">
        <v>498</v>
      </c>
      <c r="D572">
        <v>0</v>
      </c>
      <c r="E572">
        <v>0</v>
      </c>
      <c r="F572">
        <v>0</v>
      </c>
    </row>
    <row r="573" spans="1:6">
      <c r="A573" t="s">
        <v>1606</v>
      </c>
      <c r="B573" t="s">
        <v>975</v>
      </c>
      <c r="C573" t="s">
        <v>498</v>
      </c>
      <c r="D573">
        <v>0.13229160100000001</v>
      </c>
      <c r="E573">
        <v>0.56000000000000005</v>
      </c>
      <c r="F573">
        <v>-3.1</v>
      </c>
    </row>
    <row r="574" spans="1:6">
      <c r="A574" t="s">
        <v>1609</v>
      </c>
      <c r="B574" t="s">
        <v>975</v>
      </c>
      <c r="C574" t="s">
        <v>498</v>
      </c>
      <c r="D574">
        <v>8.5762823000000002E-2</v>
      </c>
      <c r="E574">
        <v>0.23300000000000001</v>
      </c>
      <c r="F574">
        <v>-1.2</v>
      </c>
    </row>
    <row r="575" spans="1:6">
      <c r="A575" t="s">
        <v>1612</v>
      </c>
      <c r="B575" t="s">
        <v>975</v>
      </c>
      <c r="C575" t="s">
        <v>498</v>
      </c>
      <c r="D575">
        <v>0.95111967600000002</v>
      </c>
      <c r="E575">
        <v>0.13900000000000001</v>
      </c>
      <c r="F575">
        <v>0.8</v>
      </c>
    </row>
    <row r="576" spans="1:6">
      <c r="A576" t="s">
        <v>1595</v>
      </c>
      <c r="B576" t="s">
        <v>975</v>
      </c>
      <c r="C576" t="s">
        <v>498</v>
      </c>
      <c r="D576">
        <v>1</v>
      </c>
      <c r="E576">
        <v>4.2999999999999997E-2</v>
      </c>
      <c r="F576">
        <v>0.2</v>
      </c>
    </row>
    <row r="577" spans="1:6">
      <c r="A577" t="s">
        <v>1601</v>
      </c>
      <c r="B577" t="s">
        <v>983</v>
      </c>
      <c r="C577" t="s">
        <v>987</v>
      </c>
      <c r="D577">
        <v>0</v>
      </c>
      <c r="E577">
        <v>0</v>
      </c>
      <c r="F577">
        <v>0</v>
      </c>
    </row>
    <row r="578" spans="1:6">
      <c r="A578" t="s">
        <v>1606</v>
      </c>
      <c r="B578" t="s">
        <v>983</v>
      </c>
      <c r="C578" t="s">
        <v>987</v>
      </c>
      <c r="D578">
        <v>1</v>
      </c>
      <c r="E578">
        <v>3.7999999999999999E-2</v>
      </c>
      <c r="F578">
        <v>-0.2</v>
      </c>
    </row>
    <row r="579" spans="1:6">
      <c r="A579" t="s">
        <v>1609</v>
      </c>
      <c r="B579" t="s">
        <v>983</v>
      </c>
      <c r="C579" t="s">
        <v>987</v>
      </c>
      <c r="D579">
        <v>1.3179000999999999E-2</v>
      </c>
      <c r="E579">
        <v>0.16300000000000001</v>
      </c>
      <c r="F579">
        <v>-0.8</v>
      </c>
    </row>
    <row r="580" spans="1:6">
      <c r="A580" t="s">
        <v>1612</v>
      </c>
      <c r="B580" t="s">
        <v>983</v>
      </c>
      <c r="C580" t="s">
        <v>987</v>
      </c>
      <c r="D580">
        <v>0.99326981800000003</v>
      </c>
      <c r="E580">
        <v>6.4000000000000001E-2</v>
      </c>
      <c r="F580">
        <v>0.3</v>
      </c>
    </row>
    <row r="581" spans="1:6">
      <c r="A581" t="s">
        <v>1595</v>
      </c>
      <c r="B581" t="s">
        <v>983</v>
      </c>
      <c r="C581" t="s">
        <v>987</v>
      </c>
      <c r="D581">
        <v>1</v>
      </c>
      <c r="E581">
        <v>1.2E-2</v>
      </c>
      <c r="F581">
        <v>0.1</v>
      </c>
    </row>
    <row r="582" spans="1:6">
      <c r="A582" t="s">
        <v>1601</v>
      </c>
      <c r="B582" t="s">
        <v>992</v>
      </c>
      <c r="C582" t="s">
        <v>725</v>
      </c>
      <c r="D582">
        <v>0.56266364899999999</v>
      </c>
      <c r="E582">
        <v>0.50600000000000001</v>
      </c>
      <c r="F582">
        <v>2.8</v>
      </c>
    </row>
    <row r="583" spans="1:6">
      <c r="A583" t="s">
        <v>1606</v>
      </c>
      <c r="B583" t="s">
        <v>992</v>
      </c>
      <c r="C583" t="s">
        <v>725</v>
      </c>
      <c r="D583">
        <v>1</v>
      </c>
      <c r="E583">
        <v>0.62</v>
      </c>
      <c r="F583">
        <v>3.6</v>
      </c>
    </row>
    <row r="584" spans="1:6">
      <c r="A584" t="s">
        <v>1609</v>
      </c>
      <c r="B584" t="s">
        <v>992</v>
      </c>
      <c r="C584" t="s">
        <v>725</v>
      </c>
      <c r="D584">
        <v>0.98065374699999996</v>
      </c>
      <c r="E584">
        <v>0.5</v>
      </c>
      <c r="F584">
        <v>2.7</v>
      </c>
    </row>
    <row r="585" spans="1:6">
      <c r="A585" t="s">
        <v>1612</v>
      </c>
      <c r="B585" t="s">
        <v>992</v>
      </c>
      <c r="C585" t="s">
        <v>725</v>
      </c>
      <c r="D585">
        <v>1</v>
      </c>
      <c r="E585">
        <v>0.23100000000000001</v>
      </c>
      <c r="F585">
        <v>1.3</v>
      </c>
    </row>
    <row r="586" spans="1:6">
      <c r="A586" t="s">
        <v>1595</v>
      </c>
      <c r="B586" t="s">
        <v>992</v>
      </c>
      <c r="C586" t="s">
        <v>725</v>
      </c>
      <c r="D586">
        <v>1</v>
      </c>
      <c r="E586">
        <v>0.17799999999999999</v>
      </c>
      <c r="F586">
        <v>-1</v>
      </c>
    </row>
    <row r="587" spans="1:6">
      <c r="A587" t="s">
        <v>1601</v>
      </c>
      <c r="B587" t="s">
        <v>999</v>
      </c>
      <c r="C587" t="s">
        <v>17</v>
      </c>
      <c r="D587">
        <v>1</v>
      </c>
      <c r="E587">
        <v>0.187</v>
      </c>
      <c r="F587">
        <v>-0.9</v>
      </c>
    </row>
    <row r="588" spans="1:6">
      <c r="A588" t="s">
        <v>1606</v>
      </c>
      <c r="B588" t="s">
        <v>999</v>
      </c>
      <c r="C588" t="s">
        <v>17</v>
      </c>
      <c r="D588">
        <v>1</v>
      </c>
      <c r="E588">
        <v>5.1999999999999998E-2</v>
      </c>
      <c r="F588">
        <v>-0.3</v>
      </c>
    </row>
    <row r="589" spans="1:6">
      <c r="A589" t="s">
        <v>1609</v>
      </c>
      <c r="B589" t="s">
        <v>999</v>
      </c>
      <c r="C589" t="s">
        <v>17</v>
      </c>
      <c r="D589">
        <v>1</v>
      </c>
      <c r="E589">
        <v>0.49199999999999999</v>
      </c>
      <c r="F589">
        <v>-2.7</v>
      </c>
    </row>
    <row r="590" spans="1:6">
      <c r="A590" t="s">
        <v>1612</v>
      </c>
      <c r="B590" t="s">
        <v>999</v>
      </c>
      <c r="C590" t="s">
        <v>17</v>
      </c>
      <c r="D590">
        <v>1</v>
      </c>
      <c r="E590">
        <v>0.47899999999999998</v>
      </c>
      <c r="F590">
        <v>2.8</v>
      </c>
    </row>
    <row r="591" spans="1:6">
      <c r="A591" t="s">
        <v>1595</v>
      </c>
      <c r="B591" t="s">
        <v>999</v>
      </c>
      <c r="C591" t="s">
        <v>17</v>
      </c>
      <c r="D591">
        <v>1</v>
      </c>
      <c r="E591">
        <v>0.34100000000000003</v>
      </c>
      <c r="F591">
        <v>1.9</v>
      </c>
    </row>
    <row r="592" spans="1:6">
      <c r="A592" t="s">
        <v>1601</v>
      </c>
      <c r="B592" t="s">
        <v>1006</v>
      </c>
      <c r="C592" t="s">
        <v>17</v>
      </c>
      <c r="D592">
        <v>9.6466811999999999E-2</v>
      </c>
      <c r="E592">
        <v>0.43099999999999999</v>
      </c>
      <c r="F592">
        <v>-2.2999999999999998</v>
      </c>
    </row>
    <row r="593" spans="1:6">
      <c r="A593" t="s">
        <v>1606</v>
      </c>
      <c r="B593" t="s">
        <v>1006</v>
      </c>
      <c r="C593" t="s">
        <v>17</v>
      </c>
      <c r="D593">
        <v>1</v>
      </c>
      <c r="E593">
        <v>0.30499999999999999</v>
      </c>
      <c r="F593">
        <v>-1.6</v>
      </c>
    </row>
    <row r="594" spans="1:6">
      <c r="A594" t="s">
        <v>1609</v>
      </c>
      <c r="B594" t="s">
        <v>1006</v>
      </c>
      <c r="C594" t="s">
        <v>17</v>
      </c>
      <c r="D594">
        <v>0.99061787599999995</v>
      </c>
      <c r="E594">
        <v>0.64</v>
      </c>
      <c r="F594">
        <v>-3.8</v>
      </c>
    </row>
    <row r="595" spans="1:6">
      <c r="A595" t="s">
        <v>1612</v>
      </c>
      <c r="B595" t="s">
        <v>1006</v>
      </c>
      <c r="C595" t="s">
        <v>17</v>
      </c>
      <c r="D595">
        <v>1</v>
      </c>
      <c r="E595">
        <v>0.40600000000000003</v>
      </c>
      <c r="F595">
        <v>2.2999999999999998</v>
      </c>
    </row>
    <row r="596" spans="1:6">
      <c r="A596" t="s">
        <v>1595</v>
      </c>
      <c r="B596" t="s">
        <v>1006</v>
      </c>
      <c r="C596" t="s">
        <v>17</v>
      </c>
      <c r="D596">
        <v>1</v>
      </c>
      <c r="E596">
        <v>0.184</v>
      </c>
      <c r="F596">
        <v>1</v>
      </c>
    </row>
    <row r="597" spans="1:6">
      <c r="A597" t="s">
        <v>1601</v>
      </c>
      <c r="B597" t="s">
        <v>1014</v>
      </c>
      <c r="C597" t="s">
        <v>17</v>
      </c>
      <c r="D597">
        <v>2.6558676E-2</v>
      </c>
      <c r="E597">
        <v>0.214</v>
      </c>
      <c r="F597">
        <v>1.1000000000000001</v>
      </c>
    </row>
    <row r="598" spans="1:6">
      <c r="A598" t="s">
        <v>1606</v>
      </c>
      <c r="B598" t="s">
        <v>1014</v>
      </c>
      <c r="C598" t="s">
        <v>17</v>
      </c>
      <c r="D598">
        <v>1</v>
      </c>
      <c r="E598">
        <v>0.63800000000000001</v>
      </c>
      <c r="F598">
        <v>3.7</v>
      </c>
    </row>
    <row r="599" spans="1:6">
      <c r="A599" t="s">
        <v>1609</v>
      </c>
      <c r="B599" t="s">
        <v>1014</v>
      </c>
      <c r="C599" t="s">
        <v>17</v>
      </c>
      <c r="D599">
        <v>0.71306301999999999</v>
      </c>
      <c r="E599">
        <v>0.53800000000000003</v>
      </c>
      <c r="F599">
        <v>3</v>
      </c>
    </row>
    <row r="600" spans="1:6">
      <c r="A600" t="s">
        <v>1612</v>
      </c>
      <c r="B600" t="s">
        <v>1014</v>
      </c>
      <c r="C600" t="s">
        <v>17</v>
      </c>
      <c r="D600">
        <v>0.315148394</v>
      </c>
      <c r="E600">
        <v>3.5000000000000003E-2</v>
      </c>
      <c r="F600">
        <v>-0.2</v>
      </c>
    </row>
    <row r="601" spans="1:6">
      <c r="A601" t="s">
        <v>1595</v>
      </c>
      <c r="B601" t="s">
        <v>1014</v>
      </c>
      <c r="C601" t="s">
        <v>17</v>
      </c>
      <c r="D601">
        <v>0.37288370700000001</v>
      </c>
      <c r="E601">
        <v>2.1999999999999999E-2</v>
      </c>
      <c r="F601">
        <v>0.1</v>
      </c>
    </row>
    <row r="602" spans="1:6">
      <c r="A602" t="s">
        <v>1601</v>
      </c>
      <c r="B602" t="s">
        <v>1021</v>
      </c>
      <c r="C602" t="s">
        <v>17</v>
      </c>
      <c r="D602">
        <v>0.832989431</v>
      </c>
      <c r="E602">
        <v>0.83399999999999996</v>
      </c>
      <c r="F602">
        <v>6</v>
      </c>
    </row>
    <row r="603" spans="1:6">
      <c r="A603" t="s">
        <v>1606</v>
      </c>
      <c r="B603" t="s">
        <v>1021</v>
      </c>
      <c r="C603" t="s">
        <v>17</v>
      </c>
      <c r="D603">
        <v>0.99772766700000004</v>
      </c>
      <c r="E603">
        <v>0.93300000000000005</v>
      </c>
      <c r="F603">
        <v>8.3000000000000007</v>
      </c>
    </row>
    <row r="604" spans="1:6">
      <c r="A604" t="s">
        <v>1609</v>
      </c>
      <c r="B604" t="s">
        <v>1021</v>
      </c>
      <c r="C604" t="s">
        <v>17</v>
      </c>
      <c r="D604">
        <v>1</v>
      </c>
      <c r="E604">
        <v>0.63700000000000001</v>
      </c>
      <c r="F604">
        <v>3.7</v>
      </c>
    </row>
    <row r="605" spans="1:6">
      <c r="A605" t="s">
        <v>1612</v>
      </c>
      <c r="B605" t="s">
        <v>1021</v>
      </c>
      <c r="C605" t="s">
        <v>17</v>
      </c>
      <c r="D605">
        <v>0.41387853499999999</v>
      </c>
      <c r="E605">
        <v>4.5999999999999999E-2</v>
      </c>
      <c r="F605">
        <v>-0.2</v>
      </c>
    </row>
    <row r="606" spans="1:6">
      <c r="A606" t="s">
        <v>1595</v>
      </c>
      <c r="B606" t="s">
        <v>1021</v>
      </c>
      <c r="C606" t="s">
        <v>17</v>
      </c>
      <c r="D606">
        <v>1</v>
      </c>
      <c r="E606">
        <v>0.27200000000000002</v>
      </c>
      <c r="F606">
        <v>-1.5</v>
      </c>
    </row>
    <row r="607" spans="1:6">
      <c r="A607" t="s">
        <v>1601</v>
      </c>
      <c r="B607" t="s">
        <v>1029</v>
      </c>
      <c r="C607" t="s">
        <v>17</v>
      </c>
      <c r="D607">
        <v>0.34183034899999998</v>
      </c>
      <c r="E607">
        <v>0.46100000000000002</v>
      </c>
      <c r="F607">
        <v>2.5</v>
      </c>
    </row>
    <row r="608" spans="1:6">
      <c r="A608" t="s">
        <v>1606</v>
      </c>
      <c r="B608" t="s">
        <v>1029</v>
      </c>
      <c r="C608" t="s">
        <v>17</v>
      </c>
      <c r="D608">
        <v>1</v>
      </c>
      <c r="E608">
        <v>0.44800000000000001</v>
      </c>
      <c r="F608">
        <v>2.4</v>
      </c>
    </row>
    <row r="609" spans="1:6">
      <c r="A609" t="s">
        <v>1609</v>
      </c>
      <c r="B609" t="s">
        <v>1029</v>
      </c>
      <c r="C609" t="s">
        <v>17</v>
      </c>
      <c r="D609">
        <v>1</v>
      </c>
      <c r="E609">
        <v>0.35299999999999998</v>
      </c>
      <c r="F609">
        <v>1.8</v>
      </c>
    </row>
    <row r="610" spans="1:6">
      <c r="A610" t="s">
        <v>1612</v>
      </c>
      <c r="B610" t="s">
        <v>1029</v>
      </c>
      <c r="C610" t="s">
        <v>17</v>
      </c>
      <c r="D610">
        <v>0.85393807300000002</v>
      </c>
      <c r="E610">
        <v>0.20100000000000001</v>
      </c>
      <c r="F610">
        <v>1.1000000000000001</v>
      </c>
    </row>
    <row r="611" spans="1:6">
      <c r="A611" t="s">
        <v>1595</v>
      </c>
      <c r="B611" t="s">
        <v>1029</v>
      </c>
      <c r="C611" t="s">
        <v>17</v>
      </c>
      <c r="D611">
        <v>0.96839448500000003</v>
      </c>
      <c r="E611">
        <v>0.25</v>
      </c>
      <c r="F611">
        <v>1.4</v>
      </c>
    </row>
    <row r="612" spans="1:6">
      <c r="A612" t="s">
        <v>1601</v>
      </c>
      <c r="B612" t="s">
        <v>1036</v>
      </c>
      <c r="C612" t="s">
        <v>525</v>
      </c>
      <c r="D612">
        <v>0.179393842</v>
      </c>
      <c r="E612">
        <v>0.93400000000000005</v>
      </c>
      <c r="F612">
        <v>8.4</v>
      </c>
    </row>
    <row r="613" spans="1:6">
      <c r="A613" t="s">
        <v>1606</v>
      </c>
      <c r="B613" t="s">
        <v>1036</v>
      </c>
      <c r="C613" t="s">
        <v>525</v>
      </c>
      <c r="D613">
        <v>1</v>
      </c>
      <c r="E613">
        <v>0.97099999999999997</v>
      </c>
      <c r="F613">
        <v>10.5</v>
      </c>
    </row>
    <row r="614" spans="1:6">
      <c r="A614" t="s">
        <v>1609</v>
      </c>
      <c r="B614" t="s">
        <v>1036</v>
      </c>
      <c r="C614" t="s">
        <v>525</v>
      </c>
      <c r="D614">
        <v>0.86753883799999998</v>
      </c>
      <c r="E614">
        <v>0.85299999999999998</v>
      </c>
      <c r="F614">
        <v>6.3</v>
      </c>
    </row>
    <row r="615" spans="1:6">
      <c r="A615" t="s">
        <v>1612</v>
      </c>
      <c r="B615" t="s">
        <v>1036</v>
      </c>
      <c r="C615" t="s">
        <v>525</v>
      </c>
      <c r="D615">
        <v>0.62287479599999995</v>
      </c>
      <c r="E615">
        <v>2.3E-2</v>
      </c>
      <c r="F615">
        <v>0.1</v>
      </c>
    </row>
    <row r="616" spans="1:6">
      <c r="A616" t="s">
        <v>1595</v>
      </c>
      <c r="B616" t="s">
        <v>1036</v>
      </c>
      <c r="C616" t="s">
        <v>525</v>
      </c>
      <c r="D616">
        <v>8.4661273999999995E-2</v>
      </c>
      <c r="E616">
        <v>3.0000000000000001E-3</v>
      </c>
      <c r="F616">
        <v>0</v>
      </c>
    </row>
    <row r="617" spans="1:6">
      <c r="A617" t="s">
        <v>1601</v>
      </c>
      <c r="B617" t="s">
        <v>1043</v>
      </c>
      <c r="C617" t="s">
        <v>525</v>
      </c>
      <c r="D617">
        <v>0</v>
      </c>
      <c r="E617">
        <v>0</v>
      </c>
      <c r="F617">
        <v>0</v>
      </c>
    </row>
    <row r="618" spans="1:6">
      <c r="A618" t="s">
        <v>1606</v>
      </c>
      <c r="B618" t="s">
        <v>1043</v>
      </c>
      <c r="C618" t="s">
        <v>525</v>
      </c>
      <c r="D618">
        <v>8.7447617000000005E-2</v>
      </c>
      <c r="E618">
        <v>0.312</v>
      </c>
      <c r="F618">
        <v>1.6</v>
      </c>
    </row>
    <row r="619" spans="1:6">
      <c r="A619" t="s">
        <v>1609</v>
      </c>
      <c r="B619" t="s">
        <v>1043</v>
      </c>
      <c r="C619" t="s">
        <v>525</v>
      </c>
      <c r="D619">
        <v>0.79504211199999997</v>
      </c>
      <c r="E619">
        <v>0.23300000000000001</v>
      </c>
      <c r="F619">
        <v>-1.2</v>
      </c>
    </row>
    <row r="620" spans="1:6">
      <c r="A620" t="s">
        <v>1612</v>
      </c>
      <c r="B620" t="s">
        <v>1043</v>
      </c>
      <c r="C620" t="s">
        <v>525</v>
      </c>
      <c r="D620">
        <v>0.92013977199999997</v>
      </c>
      <c r="E620">
        <v>0.26</v>
      </c>
      <c r="F620">
        <v>-1.4</v>
      </c>
    </row>
    <row r="621" spans="1:6">
      <c r="A621" t="s">
        <v>1595</v>
      </c>
      <c r="B621" t="s">
        <v>1043</v>
      </c>
      <c r="C621" t="s">
        <v>525</v>
      </c>
      <c r="D621">
        <v>0.369397951</v>
      </c>
      <c r="E621">
        <v>7.0000000000000007E-2</v>
      </c>
      <c r="F621">
        <v>-0.4</v>
      </c>
    </row>
    <row r="622" spans="1:6">
      <c r="A622" t="s">
        <v>1601</v>
      </c>
      <c r="B622" t="s">
        <v>1051</v>
      </c>
      <c r="C622" t="s">
        <v>17</v>
      </c>
      <c r="D622">
        <v>0</v>
      </c>
      <c r="E622">
        <v>0</v>
      </c>
      <c r="F622">
        <v>0</v>
      </c>
    </row>
    <row r="623" spans="1:6">
      <c r="A623" t="s">
        <v>1606</v>
      </c>
      <c r="B623" t="s">
        <v>1051</v>
      </c>
      <c r="C623" t="s">
        <v>17</v>
      </c>
      <c r="D623">
        <v>1</v>
      </c>
      <c r="E623">
        <v>0.32700000000000001</v>
      </c>
      <c r="F623">
        <v>-1.7</v>
      </c>
    </row>
    <row r="624" spans="1:6">
      <c r="A624" t="s">
        <v>1609</v>
      </c>
      <c r="B624" t="s">
        <v>1051</v>
      </c>
      <c r="C624" t="s">
        <v>17</v>
      </c>
      <c r="D624">
        <v>0.80232798400000005</v>
      </c>
      <c r="E624">
        <v>7.2999999999999995E-2</v>
      </c>
      <c r="F624">
        <v>-0.4</v>
      </c>
    </row>
    <row r="625" spans="1:6">
      <c r="A625" t="s">
        <v>1612</v>
      </c>
      <c r="B625" t="s">
        <v>1051</v>
      </c>
      <c r="C625" t="s">
        <v>17</v>
      </c>
      <c r="D625">
        <v>0.38440900500000003</v>
      </c>
      <c r="E625">
        <v>2.5000000000000001E-2</v>
      </c>
      <c r="F625">
        <v>-0.1</v>
      </c>
    </row>
    <row r="626" spans="1:6">
      <c r="A626" t="s">
        <v>1595</v>
      </c>
      <c r="B626" t="s">
        <v>1051</v>
      </c>
      <c r="C626" t="s">
        <v>17</v>
      </c>
      <c r="D626">
        <v>1</v>
      </c>
      <c r="E626">
        <v>0.216</v>
      </c>
      <c r="F626">
        <v>-1.2</v>
      </c>
    </row>
    <row r="627" spans="1:6">
      <c r="A627" t="s">
        <v>1601</v>
      </c>
      <c r="B627" t="s">
        <v>1058</v>
      </c>
      <c r="C627" t="s">
        <v>17</v>
      </c>
      <c r="D627">
        <v>2.9042921999999999E-2</v>
      </c>
      <c r="E627">
        <v>0.30399999999999999</v>
      </c>
      <c r="F627">
        <v>1.6</v>
      </c>
    </row>
    <row r="628" spans="1:6">
      <c r="A628" t="s">
        <v>1606</v>
      </c>
      <c r="B628" t="s">
        <v>1058</v>
      </c>
      <c r="C628" t="s">
        <v>17</v>
      </c>
      <c r="D628">
        <v>0.53597686899999997</v>
      </c>
      <c r="E628">
        <v>0.47499999999999998</v>
      </c>
      <c r="F628">
        <v>-2.6</v>
      </c>
    </row>
    <row r="629" spans="1:6">
      <c r="A629" t="s">
        <v>1609</v>
      </c>
      <c r="B629" t="s">
        <v>1058</v>
      </c>
      <c r="C629" t="s">
        <v>17</v>
      </c>
      <c r="D629">
        <v>0.34629877599999997</v>
      </c>
      <c r="E629">
        <v>1.6E-2</v>
      </c>
      <c r="F629">
        <v>-0.1</v>
      </c>
    </row>
    <row r="630" spans="1:6">
      <c r="A630" t="s">
        <v>1612</v>
      </c>
      <c r="B630" t="s">
        <v>1058</v>
      </c>
      <c r="C630" t="s">
        <v>17</v>
      </c>
      <c r="D630">
        <v>0.99827084600000004</v>
      </c>
      <c r="E630">
        <v>0.27400000000000002</v>
      </c>
      <c r="F630">
        <v>-1.5</v>
      </c>
    </row>
    <row r="631" spans="1:6">
      <c r="A631" t="s">
        <v>1595</v>
      </c>
      <c r="B631" t="s">
        <v>1058</v>
      </c>
      <c r="C631" t="s">
        <v>17</v>
      </c>
      <c r="D631">
        <v>1</v>
      </c>
      <c r="E631">
        <v>0.32500000000000001</v>
      </c>
      <c r="F631">
        <v>1.8</v>
      </c>
    </row>
    <row r="632" spans="1:6">
      <c r="A632" t="s">
        <v>1601</v>
      </c>
      <c r="B632" t="s">
        <v>1066</v>
      </c>
      <c r="C632" t="s">
        <v>498</v>
      </c>
      <c r="D632">
        <v>0</v>
      </c>
      <c r="E632">
        <v>0</v>
      </c>
      <c r="F632">
        <v>0</v>
      </c>
    </row>
    <row r="633" spans="1:6">
      <c r="A633" t="s">
        <v>1606</v>
      </c>
      <c r="B633" t="s">
        <v>1066</v>
      </c>
      <c r="C633" t="s">
        <v>498</v>
      </c>
      <c r="D633">
        <v>0</v>
      </c>
      <c r="E633">
        <v>0</v>
      </c>
      <c r="F633">
        <v>0</v>
      </c>
    </row>
    <row r="634" spans="1:6">
      <c r="A634" t="s">
        <v>1609</v>
      </c>
      <c r="B634" t="s">
        <v>1066</v>
      </c>
      <c r="C634" t="s">
        <v>498</v>
      </c>
      <c r="D634">
        <v>0</v>
      </c>
      <c r="E634">
        <v>0</v>
      </c>
      <c r="F634">
        <v>0</v>
      </c>
    </row>
    <row r="635" spans="1:6">
      <c r="A635" t="s">
        <v>1612</v>
      </c>
      <c r="B635" t="s">
        <v>1066</v>
      </c>
      <c r="C635" t="s">
        <v>498</v>
      </c>
      <c r="D635">
        <v>0.72980414199999999</v>
      </c>
      <c r="E635">
        <v>0.316</v>
      </c>
      <c r="F635">
        <v>1.8</v>
      </c>
    </row>
    <row r="636" spans="1:6">
      <c r="A636" t="s">
        <v>1595</v>
      </c>
      <c r="B636" t="s">
        <v>1066</v>
      </c>
      <c r="C636" t="s">
        <v>498</v>
      </c>
      <c r="D636">
        <v>0.22203462099999999</v>
      </c>
      <c r="E636">
        <v>0.13</v>
      </c>
      <c r="F636">
        <v>-0.7</v>
      </c>
    </row>
    <row r="637" spans="1:6">
      <c r="A637" t="s">
        <v>1601</v>
      </c>
      <c r="B637" t="s">
        <v>1074</v>
      </c>
      <c r="C637" t="s">
        <v>17</v>
      </c>
      <c r="D637">
        <v>1</v>
      </c>
      <c r="E637">
        <v>1.7000000000000001E-2</v>
      </c>
      <c r="F637">
        <v>-0.1</v>
      </c>
    </row>
    <row r="638" spans="1:6">
      <c r="A638" t="s">
        <v>1606</v>
      </c>
      <c r="B638" t="s">
        <v>1074</v>
      </c>
      <c r="C638" t="s">
        <v>17</v>
      </c>
      <c r="D638">
        <v>1</v>
      </c>
      <c r="E638">
        <v>0.68300000000000005</v>
      </c>
      <c r="F638">
        <v>-4.0999999999999996</v>
      </c>
    </row>
    <row r="639" spans="1:6">
      <c r="A639" t="s">
        <v>1609</v>
      </c>
      <c r="B639" t="s">
        <v>1074</v>
      </c>
      <c r="C639" t="s">
        <v>17</v>
      </c>
      <c r="D639">
        <v>0.98854411200000003</v>
      </c>
      <c r="E639">
        <v>0.14599999999999999</v>
      </c>
      <c r="F639">
        <v>-0.7</v>
      </c>
    </row>
    <row r="640" spans="1:6">
      <c r="A640" t="s">
        <v>1612</v>
      </c>
      <c r="B640" t="s">
        <v>1074</v>
      </c>
      <c r="C640" t="s">
        <v>17</v>
      </c>
      <c r="D640">
        <v>1</v>
      </c>
      <c r="E640">
        <v>0.627</v>
      </c>
      <c r="F640">
        <v>-4</v>
      </c>
    </row>
    <row r="641" spans="1:6">
      <c r="A641" t="s">
        <v>1595</v>
      </c>
      <c r="B641" t="s">
        <v>1074</v>
      </c>
      <c r="C641" t="s">
        <v>17</v>
      </c>
      <c r="D641">
        <v>1</v>
      </c>
      <c r="E641">
        <v>0.44900000000000001</v>
      </c>
      <c r="F641">
        <v>-2.6</v>
      </c>
    </row>
    <row r="642" spans="1:6">
      <c r="A642" t="s">
        <v>1601</v>
      </c>
      <c r="B642" t="s">
        <v>1082</v>
      </c>
      <c r="C642" t="s">
        <v>17</v>
      </c>
      <c r="D642">
        <v>0</v>
      </c>
      <c r="E642">
        <v>0</v>
      </c>
      <c r="F642">
        <v>0</v>
      </c>
    </row>
    <row r="643" spans="1:6">
      <c r="A643" t="s">
        <v>1606</v>
      </c>
      <c r="B643" t="s">
        <v>1082</v>
      </c>
      <c r="C643" t="s">
        <v>17</v>
      </c>
      <c r="D643">
        <v>1</v>
      </c>
      <c r="E643">
        <v>0.57299999999999995</v>
      </c>
      <c r="F643">
        <v>-3.2</v>
      </c>
    </row>
    <row r="644" spans="1:6">
      <c r="A644" t="s">
        <v>1609</v>
      </c>
      <c r="B644" t="s">
        <v>1082</v>
      </c>
      <c r="C644" t="s">
        <v>17</v>
      </c>
      <c r="D644">
        <v>1</v>
      </c>
      <c r="E644">
        <v>0.28999999999999998</v>
      </c>
      <c r="F644">
        <v>-1.5</v>
      </c>
    </row>
    <row r="645" spans="1:6">
      <c r="A645" t="s">
        <v>1612</v>
      </c>
      <c r="B645" t="s">
        <v>1082</v>
      </c>
      <c r="C645" t="s">
        <v>17</v>
      </c>
      <c r="D645">
        <v>0.41733313799999999</v>
      </c>
      <c r="E645">
        <v>4.7E-2</v>
      </c>
      <c r="F645">
        <v>-0.3</v>
      </c>
    </row>
    <row r="646" spans="1:6">
      <c r="A646" t="s">
        <v>1595</v>
      </c>
      <c r="B646" t="s">
        <v>1082</v>
      </c>
      <c r="C646" t="s">
        <v>17</v>
      </c>
      <c r="D646">
        <v>1</v>
      </c>
      <c r="E646">
        <v>7.3999999999999996E-2</v>
      </c>
      <c r="F646">
        <v>-0.4</v>
      </c>
    </row>
    <row r="647" spans="1:6">
      <c r="A647" t="s">
        <v>1601</v>
      </c>
      <c r="B647" t="s">
        <v>1089</v>
      </c>
      <c r="C647" t="s">
        <v>17</v>
      </c>
      <c r="D647">
        <v>1</v>
      </c>
      <c r="E647">
        <v>0.877</v>
      </c>
      <c r="F647">
        <v>6.8</v>
      </c>
    </row>
    <row r="648" spans="1:6">
      <c r="A648" t="s">
        <v>1606</v>
      </c>
      <c r="B648" t="s">
        <v>1089</v>
      </c>
      <c r="C648" t="s">
        <v>17</v>
      </c>
      <c r="D648">
        <v>1</v>
      </c>
      <c r="E648">
        <v>0.86799999999999999</v>
      </c>
      <c r="F648">
        <v>6.6</v>
      </c>
    </row>
    <row r="649" spans="1:6">
      <c r="A649" t="s">
        <v>1609</v>
      </c>
      <c r="B649" t="s">
        <v>1089</v>
      </c>
      <c r="C649" t="s">
        <v>17</v>
      </c>
      <c r="D649">
        <v>1</v>
      </c>
      <c r="E649">
        <v>0.76400000000000001</v>
      </c>
      <c r="F649">
        <v>5</v>
      </c>
    </row>
    <row r="650" spans="1:6">
      <c r="A650" t="s">
        <v>1612</v>
      </c>
      <c r="B650" t="s">
        <v>1089</v>
      </c>
      <c r="C650" t="s">
        <v>17</v>
      </c>
      <c r="D650">
        <v>0.86579027600000003</v>
      </c>
      <c r="E650">
        <v>0.104</v>
      </c>
      <c r="F650">
        <v>0.6</v>
      </c>
    </row>
    <row r="651" spans="1:6">
      <c r="A651" t="s">
        <v>1595</v>
      </c>
      <c r="B651" t="s">
        <v>1089</v>
      </c>
      <c r="C651" t="s">
        <v>17</v>
      </c>
      <c r="D651">
        <v>0.82829189299999995</v>
      </c>
      <c r="E651">
        <v>0.105</v>
      </c>
      <c r="F651">
        <v>0.6</v>
      </c>
    </row>
    <row r="652" spans="1:6">
      <c r="A652" t="s">
        <v>1601</v>
      </c>
      <c r="B652" t="s">
        <v>1096</v>
      </c>
      <c r="C652" t="s">
        <v>725</v>
      </c>
      <c r="D652">
        <v>6.2641832999999994E-2</v>
      </c>
      <c r="E652">
        <v>0.68500000000000005</v>
      </c>
      <c r="F652">
        <v>4.2</v>
      </c>
    </row>
    <row r="653" spans="1:6">
      <c r="A653" t="s">
        <v>1606</v>
      </c>
      <c r="B653" t="s">
        <v>1096</v>
      </c>
      <c r="C653" t="s">
        <v>725</v>
      </c>
      <c r="D653">
        <v>1.8883726E-2</v>
      </c>
      <c r="E653">
        <v>0.995</v>
      </c>
      <c r="F653">
        <v>14.8</v>
      </c>
    </row>
    <row r="654" spans="1:6">
      <c r="A654" t="s">
        <v>1609</v>
      </c>
      <c r="B654" t="s">
        <v>1096</v>
      </c>
      <c r="C654" t="s">
        <v>725</v>
      </c>
      <c r="D654">
        <v>4.0317233000000001E-2</v>
      </c>
      <c r="E654">
        <v>0.14699999999999999</v>
      </c>
      <c r="F654">
        <v>-0.7</v>
      </c>
    </row>
    <row r="655" spans="1:6">
      <c r="A655" t="s">
        <v>1612</v>
      </c>
      <c r="B655" t="s">
        <v>1096</v>
      </c>
      <c r="C655" t="s">
        <v>725</v>
      </c>
      <c r="D655">
        <v>0.79469827400000004</v>
      </c>
      <c r="E655">
        <v>0.45700000000000002</v>
      </c>
      <c r="F655">
        <v>-2.7</v>
      </c>
    </row>
    <row r="656" spans="1:6">
      <c r="A656" t="s">
        <v>1595</v>
      </c>
      <c r="B656" t="s">
        <v>1096</v>
      </c>
      <c r="C656" t="s">
        <v>725</v>
      </c>
      <c r="D656">
        <v>1</v>
      </c>
      <c r="E656">
        <v>0.47599999999999998</v>
      </c>
      <c r="F656">
        <v>2.8</v>
      </c>
    </row>
    <row r="657" spans="1:6">
      <c r="A657" t="s">
        <v>1601</v>
      </c>
      <c r="B657" t="s">
        <v>1104</v>
      </c>
      <c r="C657" t="s">
        <v>525</v>
      </c>
      <c r="D657">
        <v>7.4798716000000001E-2</v>
      </c>
      <c r="E657">
        <v>0.79600000000000004</v>
      </c>
      <c r="F657">
        <v>5.4</v>
      </c>
    </row>
    <row r="658" spans="1:6">
      <c r="A658" t="s">
        <v>1606</v>
      </c>
      <c r="B658" t="s">
        <v>1104</v>
      </c>
      <c r="C658" t="s">
        <v>525</v>
      </c>
      <c r="D658">
        <v>0.44849688799999998</v>
      </c>
      <c r="E658">
        <v>0.78200000000000003</v>
      </c>
      <c r="F658">
        <v>5.2</v>
      </c>
    </row>
    <row r="659" spans="1:6">
      <c r="A659" t="s">
        <v>1609</v>
      </c>
      <c r="B659" t="s">
        <v>1104</v>
      </c>
      <c r="C659" t="s">
        <v>525</v>
      </c>
      <c r="D659">
        <v>0.84952256000000004</v>
      </c>
      <c r="E659">
        <v>0.22900000000000001</v>
      </c>
      <c r="F659">
        <v>1.2</v>
      </c>
    </row>
    <row r="660" spans="1:6">
      <c r="A660" t="s">
        <v>1612</v>
      </c>
      <c r="B660" t="s">
        <v>1104</v>
      </c>
      <c r="C660" t="s">
        <v>525</v>
      </c>
      <c r="D660">
        <v>0.36253697499999998</v>
      </c>
      <c r="E660">
        <v>0.161</v>
      </c>
      <c r="F660">
        <v>-0.9</v>
      </c>
    </row>
    <row r="661" spans="1:6">
      <c r="A661" t="s">
        <v>1595</v>
      </c>
      <c r="B661" t="s">
        <v>1104</v>
      </c>
      <c r="C661" t="s">
        <v>525</v>
      </c>
      <c r="D661">
        <v>0.28209602</v>
      </c>
      <c r="E661">
        <v>0.24199999999999999</v>
      </c>
      <c r="F661">
        <v>1.3</v>
      </c>
    </row>
    <row r="662" spans="1:6">
      <c r="A662" t="s">
        <v>1601</v>
      </c>
      <c r="B662" t="s">
        <v>1111</v>
      </c>
      <c r="C662" t="s">
        <v>17</v>
      </c>
      <c r="D662">
        <v>1</v>
      </c>
      <c r="E662">
        <v>0.90300000000000002</v>
      </c>
      <c r="F662">
        <v>7.4</v>
      </c>
    </row>
    <row r="663" spans="1:6">
      <c r="A663" t="s">
        <v>1606</v>
      </c>
      <c r="B663" t="s">
        <v>1111</v>
      </c>
      <c r="C663" t="s">
        <v>17</v>
      </c>
      <c r="D663">
        <v>1</v>
      </c>
      <c r="E663">
        <v>0.98699999999999999</v>
      </c>
      <c r="F663">
        <v>12.5</v>
      </c>
    </row>
    <row r="664" spans="1:6">
      <c r="A664" t="s">
        <v>1609</v>
      </c>
      <c r="B664" t="s">
        <v>1111</v>
      </c>
      <c r="C664" t="s">
        <v>17</v>
      </c>
      <c r="D664">
        <v>1</v>
      </c>
      <c r="E664">
        <v>0.71799999999999997</v>
      </c>
      <c r="F664">
        <v>4.5</v>
      </c>
    </row>
    <row r="665" spans="1:6">
      <c r="A665" t="s">
        <v>1612</v>
      </c>
      <c r="B665" t="s">
        <v>1111</v>
      </c>
      <c r="C665" t="s">
        <v>17</v>
      </c>
      <c r="D665">
        <v>1</v>
      </c>
      <c r="E665">
        <v>0.52200000000000002</v>
      </c>
      <c r="F665">
        <v>-3.1</v>
      </c>
    </row>
    <row r="666" spans="1:6">
      <c r="A666" t="s">
        <v>1595</v>
      </c>
      <c r="B666" t="s">
        <v>1111</v>
      </c>
      <c r="C666" t="s">
        <v>17</v>
      </c>
      <c r="D666">
        <v>1</v>
      </c>
      <c r="E666">
        <v>1.0999999999999999E-2</v>
      </c>
      <c r="F666">
        <v>-0.1</v>
      </c>
    </row>
    <row r="667" spans="1:6">
      <c r="A667" t="s">
        <v>1601</v>
      </c>
      <c r="B667" t="s">
        <v>1118</v>
      </c>
      <c r="C667" t="s">
        <v>17</v>
      </c>
      <c r="D667">
        <v>0.45932748299999998</v>
      </c>
      <c r="E667">
        <v>0.755</v>
      </c>
      <c r="F667">
        <v>4.9000000000000004</v>
      </c>
    </row>
    <row r="668" spans="1:6">
      <c r="A668" t="s">
        <v>1606</v>
      </c>
      <c r="B668" t="s">
        <v>1118</v>
      </c>
      <c r="C668" t="s">
        <v>17</v>
      </c>
      <c r="D668">
        <v>0.99590317500000003</v>
      </c>
      <c r="E668">
        <v>0.98799999999999999</v>
      </c>
      <c r="F668">
        <v>12.7</v>
      </c>
    </row>
    <row r="669" spans="1:6">
      <c r="A669" t="s">
        <v>1609</v>
      </c>
      <c r="B669" t="s">
        <v>1118</v>
      </c>
      <c r="C669" t="s">
        <v>17</v>
      </c>
      <c r="D669">
        <v>0.99261282699999998</v>
      </c>
      <c r="E669">
        <v>0.66700000000000004</v>
      </c>
      <c r="F669">
        <v>4</v>
      </c>
    </row>
    <row r="670" spans="1:6">
      <c r="A670" t="s">
        <v>1612</v>
      </c>
      <c r="B670" t="s">
        <v>1118</v>
      </c>
      <c r="C670" t="s">
        <v>17</v>
      </c>
      <c r="D670">
        <v>0.99120523000000005</v>
      </c>
      <c r="E670">
        <v>0.224</v>
      </c>
      <c r="F670">
        <v>1.2</v>
      </c>
    </row>
    <row r="671" spans="1:6">
      <c r="A671" t="s">
        <v>1595</v>
      </c>
      <c r="B671" t="s">
        <v>1118</v>
      </c>
      <c r="C671" t="s">
        <v>17</v>
      </c>
      <c r="D671">
        <v>1</v>
      </c>
      <c r="E671">
        <v>0.29399999999999998</v>
      </c>
      <c r="F671">
        <v>1.6</v>
      </c>
    </row>
    <row r="672" spans="1:6">
      <c r="A672" t="s">
        <v>1601</v>
      </c>
      <c r="B672" t="s">
        <v>1124</v>
      </c>
      <c r="C672" t="s">
        <v>525</v>
      </c>
      <c r="D672">
        <v>3.5104086999999999E-2</v>
      </c>
      <c r="E672">
        <v>0.995</v>
      </c>
      <c r="F672">
        <v>-14.8</v>
      </c>
    </row>
    <row r="673" spans="1:6">
      <c r="A673" t="s">
        <v>1606</v>
      </c>
      <c r="B673" t="s">
        <v>1124</v>
      </c>
      <c r="C673" t="s">
        <v>525</v>
      </c>
      <c r="D673">
        <v>1</v>
      </c>
      <c r="E673">
        <v>0.97399999999999998</v>
      </c>
      <c r="F673">
        <v>-10.7</v>
      </c>
    </row>
    <row r="674" spans="1:6">
      <c r="A674" t="s">
        <v>1609</v>
      </c>
      <c r="B674" t="s">
        <v>1124</v>
      </c>
      <c r="C674" t="s">
        <v>525</v>
      </c>
      <c r="D674">
        <v>0.96327401099999999</v>
      </c>
      <c r="E674">
        <v>0.88</v>
      </c>
      <c r="F674">
        <v>-6.8</v>
      </c>
    </row>
    <row r="675" spans="1:6">
      <c r="A675" t="s">
        <v>1612</v>
      </c>
      <c r="B675" t="s">
        <v>1124</v>
      </c>
      <c r="C675" t="s">
        <v>525</v>
      </c>
      <c r="D675">
        <v>0.65152189000000005</v>
      </c>
      <c r="E675">
        <v>0.35799999999999998</v>
      </c>
      <c r="F675">
        <v>2</v>
      </c>
    </row>
    <row r="676" spans="1:6">
      <c r="A676" t="s">
        <v>1595</v>
      </c>
      <c r="B676" t="s">
        <v>1124</v>
      </c>
      <c r="C676" t="s">
        <v>525</v>
      </c>
      <c r="D676">
        <v>0.28258608400000002</v>
      </c>
      <c r="E676">
        <v>0.106</v>
      </c>
      <c r="F676">
        <v>-0.6</v>
      </c>
    </row>
    <row r="677" spans="1:6">
      <c r="A677" t="s">
        <v>1601</v>
      </c>
      <c r="B677" t="s">
        <v>1131</v>
      </c>
      <c r="C677" t="s">
        <v>17</v>
      </c>
      <c r="D677">
        <v>0.297752444</v>
      </c>
      <c r="E677">
        <v>0.59199999999999997</v>
      </c>
      <c r="F677">
        <v>3.4</v>
      </c>
    </row>
    <row r="678" spans="1:6">
      <c r="A678" t="s">
        <v>1606</v>
      </c>
      <c r="B678" t="s">
        <v>1131</v>
      </c>
      <c r="C678" t="s">
        <v>17</v>
      </c>
      <c r="D678">
        <v>0.99569359599999996</v>
      </c>
      <c r="E678">
        <v>0.65100000000000002</v>
      </c>
      <c r="F678">
        <v>3.9</v>
      </c>
    </row>
    <row r="679" spans="1:6">
      <c r="A679" t="s">
        <v>1609</v>
      </c>
      <c r="B679" t="s">
        <v>1131</v>
      </c>
      <c r="C679" t="s">
        <v>17</v>
      </c>
      <c r="D679">
        <v>1</v>
      </c>
      <c r="E679">
        <v>0.627</v>
      </c>
      <c r="F679">
        <v>3.7</v>
      </c>
    </row>
    <row r="680" spans="1:6">
      <c r="A680" t="s">
        <v>1612</v>
      </c>
      <c r="B680" t="s">
        <v>1131</v>
      </c>
      <c r="C680" t="s">
        <v>17</v>
      </c>
      <c r="D680">
        <v>1</v>
      </c>
      <c r="E680">
        <v>0.48599999999999999</v>
      </c>
      <c r="F680">
        <v>2.9</v>
      </c>
    </row>
    <row r="681" spans="1:6">
      <c r="A681" t="s">
        <v>1595</v>
      </c>
      <c r="B681" t="s">
        <v>1131</v>
      </c>
      <c r="C681" t="s">
        <v>17</v>
      </c>
      <c r="D681">
        <v>1</v>
      </c>
      <c r="E681">
        <v>5.8000000000000003E-2</v>
      </c>
      <c r="F681">
        <v>0.3</v>
      </c>
    </row>
    <row r="682" spans="1:6">
      <c r="A682" t="s">
        <v>1601</v>
      </c>
      <c r="B682" t="s">
        <v>1139</v>
      </c>
      <c r="C682" t="s">
        <v>17</v>
      </c>
      <c r="D682">
        <v>0.20121084</v>
      </c>
      <c r="E682">
        <v>0.39</v>
      </c>
      <c r="F682">
        <v>2</v>
      </c>
    </row>
    <row r="683" spans="1:6">
      <c r="A683" t="s">
        <v>1606</v>
      </c>
      <c r="B683" t="s">
        <v>1139</v>
      </c>
      <c r="C683" t="s">
        <v>17</v>
      </c>
      <c r="D683">
        <v>0.99811592900000001</v>
      </c>
      <c r="E683">
        <v>0.71099999999999997</v>
      </c>
      <c r="F683">
        <v>4.4000000000000004</v>
      </c>
    </row>
    <row r="684" spans="1:6">
      <c r="A684" t="s">
        <v>1609</v>
      </c>
      <c r="B684" t="s">
        <v>1139</v>
      </c>
      <c r="C684" t="s">
        <v>17</v>
      </c>
      <c r="D684">
        <v>1</v>
      </c>
      <c r="E684">
        <v>0.56599999999999995</v>
      </c>
      <c r="F684">
        <v>3.2</v>
      </c>
    </row>
    <row r="685" spans="1:6">
      <c r="A685" t="s">
        <v>1612</v>
      </c>
      <c r="B685" t="s">
        <v>1139</v>
      </c>
      <c r="C685" t="s">
        <v>17</v>
      </c>
      <c r="D685">
        <v>1</v>
      </c>
      <c r="E685">
        <v>0.44600000000000001</v>
      </c>
      <c r="F685">
        <v>2.6</v>
      </c>
    </row>
    <row r="686" spans="1:6">
      <c r="A686" t="s">
        <v>1595</v>
      </c>
      <c r="B686" t="s">
        <v>1139</v>
      </c>
      <c r="C686" t="s">
        <v>17</v>
      </c>
      <c r="D686">
        <v>1</v>
      </c>
      <c r="E686">
        <v>5.3999999999999999E-2</v>
      </c>
      <c r="F686">
        <v>0.3</v>
      </c>
    </row>
    <row r="687" spans="1:6">
      <c r="A687" t="s">
        <v>1601</v>
      </c>
      <c r="B687" t="s">
        <v>1147</v>
      </c>
      <c r="C687" t="s">
        <v>17</v>
      </c>
      <c r="D687">
        <v>0.70635547899999995</v>
      </c>
      <c r="E687">
        <v>0.89600000000000002</v>
      </c>
      <c r="F687">
        <v>7.2</v>
      </c>
    </row>
    <row r="688" spans="1:6">
      <c r="A688" t="s">
        <v>1606</v>
      </c>
      <c r="B688" t="s">
        <v>1147</v>
      </c>
      <c r="C688" t="s">
        <v>17</v>
      </c>
      <c r="D688">
        <v>1</v>
      </c>
      <c r="E688">
        <v>0.95199999999999996</v>
      </c>
      <c r="F688">
        <v>9.1999999999999993</v>
      </c>
    </row>
    <row r="689" spans="1:6">
      <c r="A689" t="s">
        <v>1609</v>
      </c>
      <c r="B689" t="s">
        <v>1147</v>
      </c>
      <c r="C689" t="s">
        <v>17</v>
      </c>
      <c r="D689">
        <v>0.99039132399999996</v>
      </c>
      <c r="E689">
        <v>0.89700000000000002</v>
      </c>
      <c r="F689">
        <v>7.2</v>
      </c>
    </row>
    <row r="690" spans="1:6">
      <c r="A690" t="s">
        <v>1612</v>
      </c>
      <c r="B690" t="s">
        <v>1147</v>
      </c>
      <c r="C690" t="s">
        <v>17</v>
      </c>
      <c r="D690">
        <v>0.99908035500000003</v>
      </c>
      <c r="E690">
        <v>0.31</v>
      </c>
      <c r="F690">
        <v>-1.7</v>
      </c>
    </row>
    <row r="691" spans="1:6">
      <c r="A691" t="s">
        <v>1595</v>
      </c>
      <c r="B691" t="s">
        <v>1147</v>
      </c>
      <c r="C691" t="s">
        <v>17</v>
      </c>
      <c r="D691">
        <v>1</v>
      </c>
      <c r="E691">
        <v>0.38200000000000001</v>
      </c>
      <c r="F691">
        <v>-2.2000000000000002</v>
      </c>
    </row>
    <row r="692" spans="1:6">
      <c r="A692" t="s">
        <v>1601</v>
      </c>
      <c r="B692" t="s">
        <v>1155</v>
      </c>
      <c r="C692" t="s">
        <v>17</v>
      </c>
      <c r="D692">
        <v>0.56855432500000003</v>
      </c>
      <c r="E692">
        <v>0.94799999999999995</v>
      </c>
      <c r="F692">
        <v>9</v>
      </c>
    </row>
    <row r="693" spans="1:6">
      <c r="A693" t="s">
        <v>1606</v>
      </c>
      <c r="B693" t="s">
        <v>1155</v>
      </c>
      <c r="C693" t="s">
        <v>17</v>
      </c>
      <c r="D693">
        <v>1</v>
      </c>
      <c r="E693">
        <v>0.95699999999999996</v>
      </c>
      <c r="F693">
        <v>9.5</v>
      </c>
    </row>
    <row r="694" spans="1:6">
      <c r="A694" t="s">
        <v>1609</v>
      </c>
      <c r="B694" t="s">
        <v>1155</v>
      </c>
      <c r="C694" t="s">
        <v>17</v>
      </c>
      <c r="D694">
        <v>1</v>
      </c>
      <c r="E694">
        <v>0.84399999999999997</v>
      </c>
      <c r="F694">
        <v>6.1</v>
      </c>
    </row>
    <row r="695" spans="1:6">
      <c r="A695" t="s">
        <v>1612</v>
      </c>
      <c r="B695" t="s">
        <v>1155</v>
      </c>
      <c r="C695" t="s">
        <v>17</v>
      </c>
      <c r="D695">
        <v>0.53811241200000004</v>
      </c>
      <c r="E695">
        <v>0.52100000000000002</v>
      </c>
      <c r="F695">
        <v>3.1</v>
      </c>
    </row>
    <row r="696" spans="1:6">
      <c r="A696" t="s">
        <v>1595</v>
      </c>
      <c r="B696" t="s">
        <v>1155</v>
      </c>
      <c r="C696" t="s">
        <v>17</v>
      </c>
      <c r="D696">
        <v>1</v>
      </c>
      <c r="E696">
        <v>0.193</v>
      </c>
      <c r="F696">
        <v>1.1000000000000001</v>
      </c>
    </row>
    <row r="697" spans="1:6">
      <c r="A697" t="s">
        <v>1601</v>
      </c>
      <c r="B697" t="s">
        <v>1162</v>
      </c>
      <c r="C697" t="s">
        <v>498</v>
      </c>
      <c r="D697">
        <v>0</v>
      </c>
      <c r="E697">
        <v>0</v>
      </c>
      <c r="F697">
        <v>0</v>
      </c>
    </row>
    <row r="698" spans="1:6">
      <c r="A698" t="s">
        <v>1606</v>
      </c>
      <c r="B698" t="s">
        <v>1162</v>
      </c>
      <c r="C698" t="s">
        <v>498</v>
      </c>
      <c r="D698">
        <v>0</v>
      </c>
      <c r="E698">
        <v>0</v>
      </c>
      <c r="F698">
        <v>0</v>
      </c>
    </row>
    <row r="699" spans="1:6">
      <c r="A699" t="s">
        <v>1609</v>
      </c>
      <c r="B699" t="s">
        <v>1162</v>
      </c>
      <c r="C699" t="s">
        <v>498</v>
      </c>
      <c r="D699">
        <v>1.7020961000000001E-2</v>
      </c>
      <c r="E699">
        <v>0.24099999999999999</v>
      </c>
      <c r="F699">
        <v>1.2</v>
      </c>
    </row>
    <row r="700" spans="1:6">
      <c r="A700" t="s">
        <v>1612</v>
      </c>
      <c r="B700" t="s">
        <v>1162</v>
      </c>
      <c r="C700" t="s">
        <v>498</v>
      </c>
      <c r="D700">
        <v>0.26294725800000002</v>
      </c>
      <c r="E700">
        <v>9.8000000000000004E-2</v>
      </c>
      <c r="F700">
        <v>0.5</v>
      </c>
    </row>
    <row r="701" spans="1:6">
      <c r="A701" t="s">
        <v>1595</v>
      </c>
      <c r="B701" t="s">
        <v>1162</v>
      </c>
      <c r="C701" t="s">
        <v>498</v>
      </c>
      <c r="D701">
        <v>0.357653938</v>
      </c>
      <c r="E701">
        <v>6.8000000000000005E-2</v>
      </c>
      <c r="F701">
        <v>-0.4</v>
      </c>
    </row>
    <row r="702" spans="1:6">
      <c r="A702" t="s">
        <v>1601</v>
      </c>
      <c r="B702" t="s">
        <v>1169</v>
      </c>
      <c r="C702" t="s">
        <v>17</v>
      </c>
      <c r="D702">
        <v>0.28848572700000003</v>
      </c>
      <c r="E702">
        <v>0.95699999999999996</v>
      </c>
      <c r="F702">
        <v>-9.5</v>
      </c>
    </row>
    <row r="703" spans="1:6">
      <c r="A703" t="s">
        <v>1606</v>
      </c>
      <c r="B703" t="s">
        <v>1169</v>
      </c>
      <c r="C703" t="s">
        <v>17</v>
      </c>
      <c r="D703">
        <v>1</v>
      </c>
      <c r="E703">
        <v>0.97499999999999998</v>
      </c>
      <c r="F703">
        <v>-10.8</v>
      </c>
    </row>
    <row r="704" spans="1:6">
      <c r="A704" t="s">
        <v>1609</v>
      </c>
      <c r="B704" t="s">
        <v>1169</v>
      </c>
      <c r="C704" t="s">
        <v>17</v>
      </c>
      <c r="D704">
        <v>0.989912346</v>
      </c>
      <c r="E704">
        <v>0.95199999999999996</v>
      </c>
      <c r="F704">
        <v>-9.1999999999999993</v>
      </c>
    </row>
    <row r="705" spans="1:6">
      <c r="A705" t="s">
        <v>1612</v>
      </c>
      <c r="B705" t="s">
        <v>1169</v>
      </c>
      <c r="C705" t="s">
        <v>17</v>
      </c>
      <c r="D705">
        <v>1</v>
      </c>
      <c r="E705">
        <v>0.17399999999999999</v>
      </c>
      <c r="F705">
        <v>-0.9</v>
      </c>
    </row>
    <row r="706" spans="1:6">
      <c r="A706" t="s">
        <v>1595</v>
      </c>
      <c r="B706" t="s">
        <v>1169</v>
      </c>
      <c r="C706" t="s">
        <v>17</v>
      </c>
      <c r="D706">
        <v>1</v>
      </c>
      <c r="E706">
        <v>0.24</v>
      </c>
      <c r="F706">
        <v>-1.3</v>
      </c>
    </row>
    <row r="707" spans="1:6">
      <c r="A707" t="s">
        <v>1601</v>
      </c>
      <c r="B707" t="s">
        <v>1178</v>
      </c>
      <c r="C707" t="s">
        <v>725</v>
      </c>
      <c r="D707">
        <v>0</v>
      </c>
      <c r="E707">
        <v>0</v>
      </c>
      <c r="F707">
        <v>0</v>
      </c>
    </row>
    <row r="708" spans="1:6">
      <c r="A708" t="s">
        <v>1606</v>
      </c>
      <c r="B708" t="s">
        <v>1178</v>
      </c>
      <c r="C708" t="s">
        <v>725</v>
      </c>
      <c r="D708">
        <v>0.20150886000000001</v>
      </c>
      <c r="E708">
        <v>0.42699999999999999</v>
      </c>
      <c r="F708">
        <v>2.2999999999999998</v>
      </c>
    </row>
    <row r="709" spans="1:6">
      <c r="A709" t="s">
        <v>1609</v>
      </c>
      <c r="B709" t="s">
        <v>1178</v>
      </c>
      <c r="C709" t="s">
        <v>725</v>
      </c>
      <c r="D709">
        <v>1.4131107E-2</v>
      </c>
      <c r="E709">
        <v>0.995</v>
      </c>
      <c r="F709">
        <v>-14.8</v>
      </c>
    </row>
    <row r="710" spans="1:6">
      <c r="A710" t="s">
        <v>1612</v>
      </c>
      <c r="B710" t="s">
        <v>1178</v>
      </c>
      <c r="C710" t="s">
        <v>725</v>
      </c>
      <c r="D710">
        <v>0.15340943300000001</v>
      </c>
      <c r="E710">
        <v>0.109</v>
      </c>
      <c r="F710">
        <v>0.6</v>
      </c>
    </row>
    <row r="711" spans="1:6">
      <c r="A711" t="s">
        <v>1595</v>
      </c>
      <c r="B711" t="s">
        <v>1178</v>
      </c>
      <c r="C711" t="s">
        <v>725</v>
      </c>
      <c r="D711">
        <v>0.122009533</v>
      </c>
      <c r="E711">
        <v>4.2999999999999997E-2</v>
      </c>
      <c r="F711">
        <v>-0.2</v>
      </c>
    </row>
    <row r="712" spans="1:6">
      <c r="A712" t="s">
        <v>1601</v>
      </c>
      <c r="B712" t="s">
        <v>1187</v>
      </c>
      <c r="C712" t="s">
        <v>17</v>
      </c>
      <c r="D712">
        <v>1</v>
      </c>
      <c r="E712">
        <v>0.88900000000000001</v>
      </c>
      <c r="F712">
        <v>-7</v>
      </c>
    </row>
    <row r="713" spans="1:6">
      <c r="A713" t="s">
        <v>1606</v>
      </c>
      <c r="B713" t="s">
        <v>1187</v>
      </c>
      <c r="C713" t="s">
        <v>17</v>
      </c>
      <c r="D713">
        <v>1</v>
      </c>
      <c r="E713">
        <v>0.55200000000000005</v>
      </c>
      <c r="F713">
        <v>-3.1</v>
      </c>
    </row>
    <row r="714" spans="1:6">
      <c r="A714" t="s">
        <v>1609</v>
      </c>
      <c r="B714" t="s">
        <v>1187</v>
      </c>
      <c r="C714" t="s">
        <v>17</v>
      </c>
      <c r="D714">
        <v>1</v>
      </c>
      <c r="E714">
        <v>0.91900000000000004</v>
      </c>
      <c r="F714">
        <v>-7.8</v>
      </c>
    </row>
    <row r="715" spans="1:6">
      <c r="A715" t="s">
        <v>1612</v>
      </c>
      <c r="B715" t="s">
        <v>1187</v>
      </c>
      <c r="C715" t="s">
        <v>17</v>
      </c>
      <c r="D715">
        <v>0.99881802500000005</v>
      </c>
      <c r="E715">
        <v>0.379</v>
      </c>
      <c r="F715">
        <v>2.1</v>
      </c>
    </row>
    <row r="716" spans="1:6">
      <c r="A716" t="s">
        <v>1595</v>
      </c>
      <c r="B716" t="s">
        <v>1187</v>
      </c>
      <c r="C716" t="s">
        <v>17</v>
      </c>
      <c r="D716">
        <v>1</v>
      </c>
      <c r="E716">
        <v>0.23200000000000001</v>
      </c>
      <c r="F716">
        <v>1.3</v>
      </c>
    </row>
    <row r="717" spans="1:6">
      <c r="A717" t="s">
        <v>1601</v>
      </c>
      <c r="B717" t="s">
        <v>1196</v>
      </c>
      <c r="C717" t="s">
        <v>525</v>
      </c>
      <c r="D717">
        <v>0.16879481599999999</v>
      </c>
      <c r="E717">
        <v>0.82399999999999995</v>
      </c>
      <c r="F717">
        <v>5.8</v>
      </c>
    </row>
    <row r="718" spans="1:6">
      <c r="A718" t="s">
        <v>1606</v>
      </c>
      <c r="B718" t="s">
        <v>1196</v>
      </c>
      <c r="C718" t="s">
        <v>525</v>
      </c>
      <c r="D718">
        <v>0.47601623900000001</v>
      </c>
      <c r="E718">
        <v>0.77100000000000002</v>
      </c>
      <c r="F718">
        <v>5.0999999999999996</v>
      </c>
    </row>
    <row r="719" spans="1:6">
      <c r="A719" t="s">
        <v>1609</v>
      </c>
      <c r="B719" t="s">
        <v>1196</v>
      </c>
      <c r="C719" t="s">
        <v>525</v>
      </c>
      <c r="D719">
        <v>0.64524551399999996</v>
      </c>
      <c r="E719">
        <v>0.32600000000000001</v>
      </c>
      <c r="F719">
        <v>1.7</v>
      </c>
    </row>
    <row r="720" spans="1:6">
      <c r="A720" t="s">
        <v>1612</v>
      </c>
      <c r="B720" t="s">
        <v>1196</v>
      </c>
      <c r="C720" t="s">
        <v>525</v>
      </c>
      <c r="D720">
        <v>0.163532437</v>
      </c>
      <c r="E720">
        <v>6.0999999999999999E-2</v>
      </c>
      <c r="F720">
        <v>-0.3</v>
      </c>
    </row>
    <row r="721" spans="1:6">
      <c r="A721" t="s">
        <v>1595</v>
      </c>
      <c r="B721" t="s">
        <v>1196</v>
      </c>
      <c r="C721" t="s">
        <v>525</v>
      </c>
      <c r="D721">
        <v>0.310722314</v>
      </c>
      <c r="E721">
        <v>0.28799999999999998</v>
      </c>
      <c r="F721">
        <v>1.6</v>
      </c>
    </row>
    <row r="722" spans="1:6">
      <c r="A722" t="s">
        <v>1601</v>
      </c>
      <c r="B722" t="s">
        <v>1204</v>
      </c>
      <c r="C722" t="s">
        <v>17</v>
      </c>
      <c r="D722">
        <v>1</v>
      </c>
      <c r="E722">
        <v>0.107</v>
      </c>
      <c r="F722">
        <v>-0.5</v>
      </c>
    </row>
    <row r="723" spans="1:6">
      <c r="A723" t="s">
        <v>1606</v>
      </c>
      <c r="B723" t="s">
        <v>1204</v>
      </c>
      <c r="C723" t="s">
        <v>17</v>
      </c>
      <c r="D723">
        <v>1</v>
      </c>
      <c r="E723">
        <v>8.3000000000000004E-2</v>
      </c>
      <c r="F723">
        <v>-0.4</v>
      </c>
    </row>
    <row r="724" spans="1:6">
      <c r="A724" t="s">
        <v>1609</v>
      </c>
      <c r="B724" t="s">
        <v>1204</v>
      </c>
      <c r="C724" t="s">
        <v>17</v>
      </c>
      <c r="D724">
        <v>1</v>
      </c>
      <c r="E724">
        <v>0.46899999999999997</v>
      </c>
      <c r="F724">
        <v>-2.5</v>
      </c>
    </row>
    <row r="725" spans="1:6">
      <c r="A725" t="s">
        <v>1612</v>
      </c>
      <c r="B725" t="s">
        <v>1204</v>
      </c>
      <c r="C725" t="s">
        <v>17</v>
      </c>
      <c r="D725">
        <v>1</v>
      </c>
      <c r="E725">
        <v>0.42399999999999999</v>
      </c>
      <c r="F725">
        <v>2.4</v>
      </c>
    </row>
    <row r="726" spans="1:6">
      <c r="A726" t="s">
        <v>1595</v>
      </c>
      <c r="B726" t="s">
        <v>1204</v>
      </c>
      <c r="C726" t="s">
        <v>17</v>
      </c>
      <c r="D726">
        <v>1</v>
      </c>
      <c r="E726">
        <v>0.26900000000000002</v>
      </c>
      <c r="F726">
        <v>1.5</v>
      </c>
    </row>
    <row r="727" spans="1:6">
      <c r="A727" t="s">
        <v>1601</v>
      </c>
      <c r="B727" t="s">
        <v>1212</v>
      </c>
      <c r="C727" t="s">
        <v>498</v>
      </c>
      <c r="D727">
        <v>0</v>
      </c>
      <c r="E727">
        <v>0</v>
      </c>
      <c r="F727">
        <v>0</v>
      </c>
    </row>
    <row r="728" spans="1:6">
      <c r="A728" t="s">
        <v>1606</v>
      </c>
      <c r="B728" t="s">
        <v>1212</v>
      </c>
      <c r="C728" t="s">
        <v>498</v>
      </c>
      <c r="D728">
        <v>0</v>
      </c>
      <c r="E728">
        <v>0</v>
      </c>
      <c r="F728">
        <v>0</v>
      </c>
    </row>
    <row r="729" spans="1:6">
      <c r="A729" t="s">
        <v>1609</v>
      </c>
      <c r="B729" t="s">
        <v>1212</v>
      </c>
      <c r="C729" t="s">
        <v>498</v>
      </c>
      <c r="D729">
        <v>5.4315549999999997E-2</v>
      </c>
      <c r="E729">
        <v>0.12</v>
      </c>
      <c r="F729">
        <v>-0.6</v>
      </c>
    </row>
    <row r="730" spans="1:6">
      <c r="A730" t="s">
        <v>1612</v>
      </c>
      <c r="B730" t="s">
        <v>1212</v>
      </c>
      <c r="C730" t="s">
        <v>498</v>
      </c>
      <c r="D730">
        <v>0.52983767800000003</v>
      </c>
      <c r="E730">
        <v>7.3999999999999996E-2</v>
      </c>
      <c r="F730">
        <v>0.4</v>
      </c>
    </row>
    <row r="731" spans="1:6">
      <c r="A731" t="s">
        <v>1595</v>
      </c>
      <c r="B731" t="s">
        <v>1212</v>
      </c>
      <c r="C731" t="s">
        <v>498</v>
      </c>
      <c r="D731">
        <v>1</v>
      </c>
      <c r="E731">
        <v>1.4E-2</v>
      </c>
      <c r="F731">
        <v>0.1</v>
      </c>
    </row>
    <row r="732" spans="1:6">
      <c r="A732" t="s">
        <v>1601</v>
      </c>
      <c r="B732" t="s">
        <v>1220</v>
      </c>
      <c r="C732" t="s">
        <v>17</v>
      </c>
      <c r="D732">
        <v>2.8976149999999999E-2</v>
      </c>
      <c r="E732">
        <v>0.154</v>
      </c>
      <c r="F732">
        <v>0.8</v>
      </c>
    </row>
    <row r="733" spans="1:6">
      <c r="A733" t="s">
        <v>1606</v>
      </c>
      <c r="B733" t="s">
        <v>1220</v>
      </c>
      <c r="C733" t="s">
        <v>17</v>
      </c>
      <c r="D733">
        <v>0.91457360300000001</v>
      </c>
      <c r="E733">
        <v>0.31</v>
      </c>
      <c r="F733">
        <v>1.6</v>
      </c>
    </row>
    <row r="734" spans="1:6">
      <c r="A734" t="s">
        <v>1609</v>
      </c>
      <c r="B734" t="s">
        <v>1220</v>
      </c>
      <c r="C734" t="s">
        <v>17</v>
      </c>
      <c r="D734">
        <v>0.98319969100000004</v>
      </c>
      <c r="E734">
        <v>0.53200000000000003</v>
      </c>
      <c r="F734">
        <v>2.9</v>
      </c>
    </row>
    <row r="735" spans="1:6">
      <c r="A735" t="s">
        <v>1612</v>
      </c>
      <c r="B735" t="s">
        <v>1220</v>
      </c>
      <c r="C735" t="s">
        <v>17</v>
      </c>
      <c r="D735">
        <v>0.607690375</v>
      </c>
      <c r="E735">
        <v>0.06</v>
      </c>
      <c r="F735">
        <v>0.3</v>
      </c>
    </row>
    <row r="736" spans="1:6">
      <c r="A736" t="s">
        <v>1595</v>
      </c>
      <c r="B736" t="s">
        <v>1220</v>
      </c>
      <c r="C736" t="s">
        <v>17</v>
      </c>
      <c r="D736">
        <v>0.451312928</v>
      </c>
      <c r="E736">
        <v>7.9000000000000001E-2</v>
      </c>
      <c r="F736">
        <v>0.4</v>
      </c>
    </row>
    <row r="737" spans="1:6">
      <c r="A737" t="s">
        <v>1601</v>
      </c>
      <c r="B737" t="s">
        <v>1227</v>
      </c>
      <c r="C737" t="s">
        <v>525</v>
      </c>
      <c r="D737">
        <v>0</v>
      </c>
      <c r="E737">
        <v>0</v>
      </c>
      <c r="F737">
        <v>0</v>
      </c>
    </row>
    <row r="738" spans="1:6">
      <c r="A738" t="s">
        <v>1606</v>
      </c>
      <c r="B738" t="s">
        <v>1227</v>
      </c>
      <c r="C738" t="s">
        <v>525</v>
      </c>
      <c r="D738">
        <v>0</v>
      </c>
      <c r="E738">
        <v>0</v>
      </c>
      <c r="F738">
        <v>0</v>
      </c>
    </row>
    <row r="739" spans="1:6">
      <c r="A739" t="s">
        <v>1609</v>
      </c>
      <c r="B739" t="s">
        <v>1227</v>
      </c>
      <c r="C739" t="s">
        <v>525</v>
      </c>
      <c r="D739">
        <v>3.0753358000000001E-2</v>
      </c>
      <c r="E739">
        <v>0.105</v>
      </c>
      <c r="F739">
        <v>0.5</v>
      </c>
    </row>
    <row r="740" spans="1:6">
      <c r="A740" t="s">
        <v>1612</v>
      </c>
      <c r="B740" t="s">
        <v>1227</v>
      </c>
      <c r="C740" t="s">
        <v>525</v>
      </c>
      <c r="D740">
        <v>0.107657375</v>
      </c>
      <c r="E740">
        <v>0.13200000000000001</v>
      </c>
      <c r="F740">
        <v>0.7</v>
      </c>
    </row>
    <row r="741" spans="1:6">
      <c r="A741" t="s">
        <v>1595</v>
      </c>
      <c r="B741" t="s">
        <v>1227</v>
      </c>
      <c r="C741" t="s">
        <v>525</v>
      </c>
      <c r="D741">
        <v>3.0137199E-2</v>
      </c>
      <c r="E741">
        <v>0.17899999999999999</v>
      </c>
      <c r="F741">
        <v>1</v>
      </c>
    </row>
    <row r="742" spans="1:6">
      <c r="A742" t="s">
        <v>1601</v>
      </c>
      <c r="B742" t="s">
        <v>1235</v>
      </c>
      <c r="C742" t="s">
        <v>17</v>
      </c>
      <c r="D742">
        <v>0.138992325</v>
      </c>
      <c r="E742">
        <v>0.42</v>
      </c>
      <c r="F742">
        <v>2.2000000000000002</v>
      </c>
    </row>
    <row r="743" spans="1:6">
      <c r="A743" t="s">
        <v>1606</v>
      </c>
      <c r="B743" t="s">
        <v>1235</v>
      </c>
      <c r="C743" t="s">
        <v>17</v>
      </c>
      <c r="D743">
        <v>0.99655688200000003</v>
      </c>
      <c r="E743">
        <v>0.54200000000000004</v>
      </c>
      <c r="F743">
        <v>3</v>
      </c>
    </row>
    <row r="744" spans="1:6">
      <c r="A744" t="s">
        <v>1609</v>
      </c>
      <c r="B744" t="s">
        <v>1235</v>
      </c>
      <c r="C744" t="s">
        <v>17</v>
      </c>
      <c r="D744">
        <v>0.99269496199999996</v>
      </c>
      <c r="E744">
        <v>0.58399999999999996</v>
      </c>
      <c r="F744">
        <v>3.3</v>
      </c>
    </row>
    <row r="745" spans="1:6">
      <c r="A745" t="s">
        <v>1612</v>
      </c>
      <c r="B745" t="s">
        <v>1235</v>
      </c>
      <c r="C745" t="s">
        <v>17</v>
      </c>
      <c r="D745">
        <v>0.69379880400000005</v>
      </c>
      <c r="E745">
        <v>0.153</v>
      </c>
      <c r="F745">
        <v>0.8</v>
      </c>
    </row>
    <row r="746" spans="1:6">
      <c r="A746" t="s">
        <v>1595</v>
      </c>
      <c r="B746" t="s">
        <v>1235</v>
      </c>
      <c r="C746" t="s">
        <v>17</v>
      </c>
      <c r="D746">
        <v>0.89669262800000005</v>
      </c>
      <c r="E746">
        <v>0.11899999999999999</v>
      </c>
      <c r="F746">
        <v>0.6</v>
      </c>
    </row>
    <row r="747" spans="1:6">
      <c r="A747" t="s">
        <v>1601</v>
      </c>
      <c r="B747" t="s">
        <v>1242</v>
      </c>
      <c r="C747" t="s">
        <v>1246</v>
      </c>
      <c r="D747">
        <v>0</v>
      </c>
      <c r="E747">
        <v>0</v>
      </c>
      <c r="F747">
        <v>0</v>
      </c>
    </row>
    <row r="748" spans="1:6">
      <c r="A748" t="s">
        <v>1606</v>
      </c>
      <c r="B748" t="s">
        <v>1242</v>
      </c>
      <c r="C748" t="s">
        <v>1246</v>
      </c>
      <c r="D748">
        <v>0</v>
      </c>
      <c r="E748">
        <v>0</v>
      </c>
      <c r="F748">
        <v>0</v>
      </c>
    </row>
    <row r="749" spans="1:6">
      <c r="A749" t="s">
        <v>1609</v>
      </c>
      <c r="B749" t="s">
        <v>1242</v>
      </c>
      <c r="C749" t="s">
        <v>1246</v>
      </c>
      <c r="D749">
        <v>2.4033305000000001E-2</v>
      </c>
      <c r="E749">
        <v>1.2E-2</v>
      </c>
      <c r="F749">
        <v>-0.1</v>
      </c>
    </row>
    <row r="750" spans="1:6">
      <c r="A750" t="s">
        <v>1612</v>
      </c>
      <c r="B750" t="s">
        <v>1242</v>
      </c>
      <c r="C750" t="s">
        <v>1246</v>
      </c>
      <c r="D750">
        <v>0.21465542500000001</v>
      </c>
      <c r="E750">
        <v>0.18</v>
      </c>
      <c r="F750">
        <v>1</v>
      </c>
    </row>
    <row r="751" spans="1:6">
      <c r="A751" t="s">
        <v>1595</v>
      </c>
      <c r="B751" t="s">
        <v>1242</v>
      </c>
      <c r="C751" t="s">
        <v>1246</v>
      </c>
      <c r="D751">
        <v>0.30503088699999997</v>
      </c>
      <c r="E751">
        <v>0.14599999999999999</v>
      </c>
      <c r="F751">
        <v>-0.8</v>
      </c>
    </row>
    <row r="752" spans="1:6">
      <c r="A752" t="s">
        <v>1601</v>
      </c>
      <c r="B752" t="s">
        <v>1251</v>
      </c>
      <c r="C752" t="s">
        <v>498</v>
      </c>
      <c r="D752">
        <v>0</v>
      </c>
      <c r="E752">
        <v>0</v>
      </c>
      <c r="F752">
        <v>0</v>
      </c>
    </row>
    <row r="753" spans="1:6">
      <c r="A753" t="s">
        <v>1606</v>
      </c>
      <c r="B753" t="s">
        <v>1251</v>
      </c>
      <c r="C753" t="s">
        <v>498</v>
      </c>
      <c r="D753">
        <v>0</v>
      </c>
      <c r="E753">
        <v>0</v>
      </c>
      <c r="F753">
        <v>0</v>
      </c>
    </row>
    <row r="754" spans="1:6">
      <c r="A754" t="s">
        <v>1609</v>
      </c>
      <c r="B754" t="s">
        <v>1251</v>
      </c>
      <c r="C754" t="s">
        <v>498</v>
      </c>
      <c r="D754">
        <v>0</v>
      </c>
      <c r="E754">
        <v>0</v>
      </c>
      <c r="F754">
        <v>0</v>
      </c>
    </row>
    <row r="755" spans="1:6">
      <c r="A755" t="s">
        <v>1612</v>
      </c>
      <c r="B755" t="s">
        <v>1251</v>
      </c>
      <c r="C755" t="s">
        <v>498</v>
      </c>
      <c r="D755">
        <v>0.55714544700000002</v>
      </c>
      <c r="E755">
        <v>0.26500000000000001</v>
      </c>
      <c r="F755">
        <v>-1.5</v>
      </c>
    </row>
    <row r="756" spans="1:6">
      <c r="A756" t="s">
        <v>1595</v>
      </c>
      <c r="B756" t="s">
        <v>1251</v>
      </c>
      <c r="C756" t="s">
        <v>498</v>
      </c>
      <c r="D756">
        <v>0.31034086300000002</v>
      </c>
      <c r="E756">
        <v>2.1000000000000001E-2</v>
      </c>
      <c r="F756">
        <v>-0.1</v>
      </c>
    </row>
    <row r="757" spans="1:6">
      <c r="A757" t="s">
        <v>1601</v>
      </c>
      <c r="B757" t="s">
        <v>1259</v>
      </c>
      <c r="C757" t="s">
        <v>498</v>
      </c>
      <c r="D757">
        <v>0</v>
      </c>
      <c r="E757">
        <v>0</v>
      </c>
      <c r="F757">
        <v>0</v>
      </c>
    </row>
    <row r="758" spans="1:6">
      <c r="A758" t="s">
        <v>1606</v>
      </c>
      <c r="B758" t="s">
        <v>1259</v>
      </c>
      <c r="C758" t="s">
        <v>498</v>
      </c>
      <c r="D758">
        <v>0</v>
      </c>
      <c r="E758">
        <v>0</v>
      </c>
      <c r="F758">
        <v>0</v>
      </c>
    </row>
    <row r="759" spans="1:6">
      <c r="A759" t="s">
        <v>1609</v>
      </c>
      <c r="B759" t="s">
        <v>1259</v>
      </c>
      <c r="C759" t="s">
        <v>498</v>
      </c>
      <c r="D759">
        <v>0</v>
      </c>
      <c r="E759">
        <v>0</v>
      </c>
      <c r="F759">
        <v>0</v>
      </c>
    </row>
    <row r="760" spans="1:6">
      <c r="A760" t="s">
        <v>1612</v>
      </c>
      <c r="B760" t="s">
        <v>1259</v>
      </c>
      <c r="C760" t="s">
        <v>498</v>
      </c>
      <c r="D760">
        <v>0.34825067599999998</v>
      </c>
      <c r="E760">
        <v>0.255</v>
      </c>
      <c r="F760">
        <v>1.4</v>
      </c>
    </row>
    <row r="761" spans="1:6">
      <c r="A761" t="s">
        <v>1595</v>
      </c>
      <c r="B761" t="s">
        <v>1259</v>
      </c>
      <c r="C761" t="s">
        <v>498</v>
      </c>
      <c r="D761">
        <v>7.876671E-3</v>
      </c>
      <c r="E761">
        <v>0.13500000000000001</v>
      </c>
      <c r="F761">
        <v>-0.7</v>
      </c>
    </row>
    <row r="762" spans="1:6">
      <c r="A762" t="s">
        <v>1601</v>
      </c>
      <c r="B762" t="s">
        <v>1267</v>
      </c>
      <c r="C762" t="s">
        <v>17</v>
      </c>
      <c r="D762">
        <v>0.72005697599999996</v>
      </c>
      <c r="E762">
        <v>0.95499999999999996</v>
      </c>
      <c r="F762">
        <v>9.3000000000000007</v>
      </c>
    </row>
    <row r="763" spans="1:6">
      <c r="A763" t="s">
        <v>1606</v>
      </c>
      <c r="B763" t="s">
        <v>1267</v>
      </c>
      <c r="C763" t="s">
        <v>17</v>
      </c>
      <c r="D763">
        <v>1</v>
      </c>
      <c r="E763">
        <v>0.95099999999999996</v>
      </c>
      <c r="F763">
        <v>9.1</v>
      </c>
    </row>
    <row r="764" spans="1:6">
      <c r="A764" t="s">
        <v>1609</v>
      </c>
      <c r="B764" t="s">
        <v>1267</v>
      </c>
      <c r="C764" t="s">
        <v>17</v>
      </c>
      <c r="D764">
        <v>0.97678127199999998</v>
      </c>
      <c r="E764">
        <v>0.93799999999999994</v>
      </c>
      <c r="F764">
        <v>8.5</v>
      </c>
    </row>
    <row r="765" spans="1:6">
      <c r="A765" t="s">
        <v>1612</v>
      </c>
      <c r="B765" t="s">
        <v>1267</v>
      </c>
      <c r="C765" t="s">
        <v>17</v>
      </c>
      <c r="D765">
        <v>0.90530985200000003</v>
      </c>
      <c r="E765">
        <v>0.32</v>
      </c>
      <c r="F765">
        <v>1.8</v>
      </c>
    </row>
    <row r="766" spans="1:6">
      <c r="A766" t="s">
        <v>1595</v>
      </c>
      <c r="B766" t="s">
        <v>1267</v>
      </c>
      <c r="C766" t="s">
        <v>17</v>
      </c>
      <c r="D766">
        <v>1</v>
      </c>
      <c r="E766">
        <v>0.121</v>
      </c>
      <c r="F766">
        <v>-0.7</v>
      </c>
    </row>
    <row r="767" spans="1:6">
      <c r="A767" t="s">
        <v>1601</v>
      </c>
      <c r="B767" t="s">
        <v>1274</v>
      </c>
      <c r="C767" t="s">
        <v>498</v>
      </c>
      <c r="D767">
        <v>0</v>
      </c>
      <c r="E767">
        <v>0</v>
      </c>
      <c r="F767">
        <v>0</v>
      </c>
    </row>
    <row r="768" spans="1:6">
      <c r="A768" t="s">
        <v>1606</v>
      </c>
      <c r="B768" t="s">
        <v>1274</v>
      </c>
      <c r="C768" t="s">
        <v>498</v>
      </c>
      <c r="D768">
        <v>0</v>
      </c>
      <c r="E768">
        <v>0</v>
      </c>
      <c r="F768">
        <v>0</v>
      </c>
    </row>
    <row r="769" spans="1:6">
      <c r="A769" t="s">
        <v>1609</v>
      </c>
      <c r="B769" t="s">
        <v>1274</v>
      </c>
      <c r="C769" t="s">
        <v>498</v>
      </c>
      <c r="D769">
        <v>3.0436924000000001E-2</v>
      </c>
      <c r="E769">
        <v>0.187</v>
      </c>
      <c r="F769">
        <v>-0.9</v>
      </c>
    </row>
    <row r="770" spans="1:6">
      <c r="A770" t="s">
        <v>1612</v>
      </c>
      <c r="B770" t="s">
        <v>1274</v>
      </c>
      <c r="C770" t="s">
        <v>498</v>
      </c>
      <c r="D770">
        <v>0.31787378700000002</v>
      </c>
      <c r="E770">
        <v>0.06</v>
      </c>
      <c r="F770">
        <v>0.3</v>
      </c>
    </row>
    <row r="771" spans="1:6">
      <c r="A771" t="s">
        <v>1595</v>
      </c>
      <c r="B771" t="s">
        <v>1274</v>
      </c>
      <c r="C771" t="s">
        <v>498</v>
      </c>
      <c r="D771">
        <v>0.301920878</v>
      </c>
      <c r="E771">
        <v>0</v>
      </c>
      <c r="F771">
        <v>0</v>
      </c>
    </row>
    <row r="772" spans="1:6">
      <c r="A772" t="s">
        <v>1601</v>
      </c>
      <c r="B772" t="s">
        <v>1282</v>
      </c>
      <c r="C772" t="s">
        <v>17</v>
      </c>
      <c r="D772">
        <v>0.96696691999999995</v>
      </c>
      <c r="E772">
        <v>0.40400000000000003</v>
      </c>
      <c r="F772">
        <v>2.1</v>
      </c>
    </row>
    <row r="773" spans="1:6">
      <c r="A773" t="s">
        <v>1606</v>
      </c>
      <c r="B773" t="s">
        <v>1282</v>
      </c>
      <c r="C773" t="s">
        <v>17</v>
      </c>
      <c r="D773">
        <v>1</v>
      </c>
      <c r="E773">
        <v>0.08</v>
      </c>
      <c r="F773">
        <v>0.4</v>
      </c>
    </row>
    <row r="774" spans="1:6">
      <c r="A774" t="s">
        <v>1609</v>
      </c>
      <c r="B774" t="s">
        <v>1282</v>
      </c>
      <c r="C774" t="s">
        <v>17</v>
      </c>
      <c r="D774">
        <v>0.98546513899999999</v>
      </c>
      <c r="E774">
        <v>0.68300000000000005</v>
      </c>
      <c r="F774">
        <v>4.0999999999999996</v>
      </c>
    </row>
    <row r="775" spans="1:6">
      <c r="A775" t="s">
        <v>1612</v>
      </c>
      <c r="B775" t="s">
        <v>1282</v>
      </c>
      <c r="C775" t="s">
        <v>17</v>
      </c>
      <c r="D775">
        <v>0.55153677700000003</v>
      </c>
      <c r="E775">
        <v>4.9000000000000002E-2</v>
      </c>
      <c r="F775">
        <v>0.3</v>
      </c>
    </row>
    <row r="776" spans="1:6">
      <c r="A776" t="s">
        <v>1595</v>
      </c>
      <c r="B776" t="s">
        <v>1282</v>
      </c>
      <c r="C776" t="s">
        <v>17</v>
      </c>
      <c r="D776">
        <v>1</v>
      </c>
      <c r="E776">
        <v>0.17499999999999999</v>
      </c>
      <c r="F776">
        <v>-1</v>
      </c>
    </row>
    <row r="777" spans="1:6">
      <c r="A777" t="s">
        <v>1601</v>
      </c>
      <c r="B777" t="s">
        <v>1289</v>
      </c>
      <c r="C777" t="s">
        <v>17</v>
      </c>
      <c r="D777">
        <v>0.46927748000000002</v>
      </c>
      <c r="E777">
        <v>0.32800000000000001</v>
      </c>
      <c r="F777">
        <v>-1.7</v>
      </c>
    </row>
    <row r="778" spans="1:6">
      <c r="A778" t="s">
        <v>1606</v>
      </c>
      <c r="B778" t="s">
        <v>1289</v>
      </c>
      <c r="C778" t="s">
        <v>17</v>
      </c>
      <c r="D778">
        <v>0.99682908400000003</v>
      </c>
      <c r="E778">
        <v>0.39100000000000001</v>
      </c>
      <c r="F778">
        <v>-2</v>
      </c>
    </row>
    <row r="779" spans="1:6">
      <c r="A779" t="s">
        <v>1609</v>
      </c>
      <c r="B779" t="s">
        <v>1289</v>
      </c>
      <c r="C779" t="s">
        <v>17</v>
      </c>
      <c r="D779">
        <v>1</v>
      </c>
      <c r="E779">
        <v>0.40300000000000002</v>
      </c>
      <c r="F779">
        <v>-2.1</v>
      </c>
    </row>
    <row r="780" spans="1:6">
      <c r="A780" t="s">
        <v>1612</v>
      </c>
      <c r="B780" t="s">
        <v>1289</v>
      </c>
      <c r="C780" t="s">
        <v>17</v>
      </c>
      <c r="D780">
        <v>0.99520361499999999</v>
      </c>
      <c r="E780">
        <v>0.27200000000000002</v>
      </c>
      <c r="F780">
        <v>1.5</v>
      </c>
    </row>
    <row r="781" spans="1:6">
      <c r="A781" t="s">
        <v>1595</v>
      </c>
      <c r="B781" t="s">
        <v>1289</v>
      </c>
      <c r="C781" t="s">
        <v>17</v>
      </c>
      <c r="D781">
        <v>1</v>
      </c>
      <c r="E781">
        <v>0.39700000000000002</v>
      </c>
      <c r="F781">
        <v>2.2999999999999998</v>
      </c>
    </row>
    <row r="782" spans="1:6">
      <c r="A782" t="s">
        <v>1601</v>
      </c>
      <c r="B782" t="s">
        <v>1296</v>
      </c>
      <c r="C782" t="s">
        <v>17</v>
      </c>
      <c r="D782">
        <v>7.4222287999999997E-2</v>
      </c>
      <c r="E782">
        <v>0.91100000000000003</v>
      </c>
      <c r="F782">
        <v>-7.6</v>
      </c>
    </row>
    <row r="783" spans="1:6">
      <c r="A783" t="s">
        <v>1606</v>
      </c>
      <c r="B783" t="s">
        <v>1296</v>
      </c>
      <c r="C783" t="s">
        <v>17</v>
      </c>
      <c r="D783">
        <v>0.99730904300000001</v>
      </c>
      <c r="E783">
        <v>0.96699999999999997</v>
      </c>
      <c r="F783">
        <v>-10.1</v>
      </c>
    </row>
    <row r="784" spans="1:6">
      <c r="A784" t="s">
        <v>1609</v>
      </c>
      <c r="B784" t="s">
        <v>1296</v>
      </c>
      <c r="C784" t="s">
        <v>17</v>
      </c>
      <c r="D784">
        <v>0.98920007300000001</v>
      </c>
      <c r="E784">
        <v>0.873</v>
      </c>
      <c r="F784">
        <v>-6.7</v>
      </c>
    </row>
    <row r="785" spans="1:6">
      <c r="A785" t="s">
        <v>1612</v>
      </c>
      <c r="B785" t="s">
        <v>1296</v>
      </c>
      <c r="C785" t="s">
        <v>17</v>
      </c>
      <c r="D785">
        <v>1</v>
      </c>
      <c r="E785">
        <v>1.2999999999999999E-2</v>
      </c>
      <c r="F785">
        <v>-0.1</v>
      </c>
    </row>
    <row r="786" spans="1:6">
      <c r="A786" t="s">
        <v>1595</v>
      </c>
      <c r="B786" t="s">
        <v>1296</v>
      </c>
      <c r="C786" t="s">
        <v>17</v>
      </c>
      <c r="D786">
        <v>1</v>
      </c>
      <c r="E786">
        <v>0.436</v>
      </c>
      <c r="F786">
        <v>-2.5</v>
      </c>
    </row>
    <row r="787" spans="1:6">
      <c r="A787" t="s">
        <v>1601</v>
      </c>
      <c r="B787" t="s">
        <v>1303</v>
      </c>
      <c r="C787" t="s">
        <v>1307</v>
      </c>
      <c r="D787">
        <v>0</v>
      </c>
      <c r="E787">
        <v>0</v>
      </c>
      <c r="F787">
        <v>0</v>
      </c>
    </row>
    <row r="788" spans="1:6">
      <c r="A788" t="s">
        <v>1606</v>
      </c>
      <c r="B788" t="s">
        <v>1303</v>
      </c>
      <c r="C788" t="s">
        <v>1307</v>
      </c>
      <c r="D788">
        <v>0</v>
      </c>
      <c r="E788">
        <v>0</v>
      </c>
      <c r="F788">
        <v>0</v>
      </c>
    </row>
    <row r="789" spans="1:6">
      <c r="A789" t="s">
        <v>1609</v>
      </c>
      <c r="B789" t="s">
        <v>1303</v>
      </c>
      <c r="C789" t="s">
        <v>1307</v>
      </c>
      <c r="D789">
        <v>1.2572414000000001E-2</v>
      </c>
      <c r="E789">
        <v>0.995</v>
      </c>
      <c r="F789">
        <v>-14.8</v>
      </c>
    </row>
    <row r="790" spans="1:6">
      <c r="A790" t="s">
        <v>1612</v>
      </c>
      <c r="B790" t="s">
        <v>1303</v>
      </c>
      <c r="C790" t="s">
        <v>1307</v>
      </c>
      <c r="D790">
        <v>8.0072062999999999E-2</v>
      </c>
      <c r="E790">
        <v>0.14799999999999999</v>
      </c>
      <c r="F790">
        <v>0.8</v>
      </c>
    </row>
    <row r="791" spans="1:6">
      <c r="A791" t="s">
        <v>1595</v>
      </c>
      <c r="B791" t="s">
        <v>1303</v>
      </c>
      <c r="C791" t="s">
        <v>1307</v>
      </c>
      <c r="D791">
        <v>3.4599809000000002E-2</v>
      </c>
      <c r="E791">
        <v>4.0000000000000001E-3</v>
      </c>
      <c r="F791">
        <v>0</v>
      </c>
    </row>
    <row r="792" spans="1:6">
      <c r="A792" t="s">
        <v>1601</v>
      </c>
      <c r="B792" t="s">
        <v>1312</v>
      </c>
      <c r="C792" t="s">
        <v>498</v>
      </c>
      <c r="D792">
        <v>0.95961977700000001</v>
      </c>
      <c r="E792">
        <v>0.79</v>
      </c>
      <c r="F792">
        <v>5.3</v>
      </c>
    </row>
    <row r="793" spans="1:6">
      <c r="A793" t="s">
        <v>1606</v>
      </c>
      <c r="B793" t="s">
        <v>1312</v>
      </c>
      <c r="C793" t="s">
        <v>498</v>
      </c>
      <c r="D793">
        <v>1</v>
      </c>
      <c r="E793">
        <v>0.81299999999999994</v>
      </c>
      <c r="F793">
        <v>5.6</v>
      </c>
    </row>
    <row r="794" spans="1:6">
      <c r="A794" t="s">
        <v>1609</v>
      </c>
      <c r="B794" t="s">
        <v>1312</v>
      </c>
      <c r="C794" t="s">
        <v>498</v>
      </c>
      <c r="D794">
        <v>0.99173421399999995</v>
      </c>
      <c r="E794">
        <v>0.72</v>
      </c>
      <c r="F794">
        <v>4.5</v>
      </c>
    </row>
    <row r="795" spans="1:6">
      <c r="A795" t="s">
        <v>1612</v>
      </c>
      <c r="B795" t="s">
        <v>1312</v>
      </c>
      <c r="C795" t="s">
        <v>498</v>
      </c>
      <c r="D795">
        <v>0.86934226400000003</v>
      </c>
      <c r="E795">
        <v>8.3000000000000004E-2</v>
      </c>
      <c r="F795">
        <v>0.4</v>
      </c>
    </row>
    <row r="796" spans="1:6">
      <c r="A796" t="s">
        <v>1595</v>
      </c>
      <c r="B796" t="s">
        <v>1312</v>
      </c>
      <c r="C796" t="s">
        <v>498</v>
      </c>
      <c r="D796">
        <v>1</v>
      </c>
      <c r="E796">
        <v>7.2999999999999995E-2</v>
      </c>
      <c r="F796">
        <v>-0.4</v>
      </c>
    </row>
    <row r="797" spans="1:6">
      <c r="A797" t="s">
        <v>1601</v>
      </c>
      <c r="B797" t="s">
        <v>1320</v>
      </c>
      <c r="C797" t="s">
        <v>498</v>
      </c>
      <c r="D797">
        <v>0.23934375699999999</v>
      </c>
      <c r="E797">
        <v>0.55500000000000005</v>
      </c>
      <c r="F797">
        <v>3.1</v>
      </c>
    </row>
    <row r="798" spans="1:6">
      <c r="A798" t="s">
        <v>1606</v>
      </c>
      <c r="B798" t="s">
        <v>1320</v>
      </c>
      <c r="C798" t="s">
        <v>498</v>
      </c>
      <c r="D798">
        <v>1</v>
      </c>
      <c r="E798">
        <v>0.32500000000000001</v>
      </c>
      <c r="F798">
        <v>1.7</v>
      </c>
    </row>
    <row r="799" spans="1:6">
      <c r="A799" t="s">
        <v>1609</v>
      </c>
      <c r="B799" t="s">
        <v>1320</v>
      </c>
      <c r="C799" t="s">
        <v>498</v>
      </c>
      <c r="D799">
        <v>1</v>
      </c>
      <c r="E799">
        <v>0.51300000000000001</v>
      </c>
      <c r="F799">
        <v>2.8</v>
      </c>
    </row>
    <row r="800" spans="1:6">
      <c r="A800" t="s">
        <v>1612</v>
      </c>
      <c r="B800" t="s">
        <v>1320</v>
      </c>
      <c r="C800" t="s">
        <v>498</v>
      </c>
      <c r="D800">
        <v>0.75255150299999996</v>
      </c>
      <c r="E800">
        <v>6.4000000000000001E-2</v>
      </c>
      <c r="F800">
        <v>0.3</v>
      </c>
    </row>
    <row r="801" spans="1:6">
      <c r="A801" t="s">
        <v>1595</v>
      </c>
      <c r="B801" t="s">
        <v>1320</v>
      </c>
      <c r="C801" t="s">
        <v>498</v>
      </c>
      <c r="D801">
        <v>1</v>
      </c>
      <c r="E801">
        <v>6.0000000000000001E-3</v>
      </c>
      <c r="F801">
        <v>0</v>
      </c>
    </row>
    <row r="802" spans="1:6">
      <c r="A802" t="s">
        <v>1601</v>
      </c>
      <c r="B802" t="s">
        <v>1326</v>
      </c>
      <c r="C802" t="s">
        <v>498</v>
      </c>
      <c r="D802">
        <v>0</v>
      </c>
      <c r="E802">
        <v>0</v>
      </c>
      <c r="F802">
        <v>0</v>
      </c>
    </row>
    <row r="803" spans="1:6">
      <c r="A803" t="s">
        <v>1606</v>
      </c>
      <c r="B803" t="s">
        <v>1326</v>
      </c>
      <c r="C803" t="s">
        <v>498</v>
      </c>
      <c r="D803">
        <v>0</v>
      </c>
      <c r="E803">
        <v>0</v>
      </c>
      <c r="F803">
        <v>0</v>
      </c>
    </row>
    <row r="804" spans="1:6">
      <c r="A804" t="s">
        <v>1609</v>
      </c>
      <c r="B804" t="s">
        <v>1326</v>
      </c>
      <c r="C804" t="s">
        <v>498</v>
      </c>
      <c r="D804">
        <v>3.5439211999999998E-2</v>
      </c>
      <c r="E804">
        <v>0.17299999999999999</v>
      </c>
      <c r="F804">
        <v>-0.9</v>
      </c>
    </row>
    <row r="805" spans="1:6">
      <c r="A805" t="s">
        <v>1612</v>
      </c>
      <c r="B805" t="s">
        <v>1326</v>
      </c>
      <c r="C805" t="s">
        <v>498</v>
      </c>
      <c r="D805">
        <v>0.36937877699999999</v>
      </c>
      <c r="E805">
        <v>0.105</v>
      </c>
      <c r="F805">
        <v>0.6</v>
      </c>
    </row>
    <row r="806" spans="1:6">
      <c r="A806" t="s">
        <v>1595</v>
      </c>
      <c r="B806" t="s">
        <v>1326</v>
      </c>
      <c r="C806" t="s">
        <v>498</v>
      </c>
      <c r="D806">
        <v>0.880955084</v>
      </c>
      <c r="E806">
        <v>1.0999999999999999E-2</v>
      </c>
      <c r="F806">
        <v>0.1</v>
      </c>
    </row>
    <row r="807" spans="1:6">
      <c r="A807" t="s">
        <v>1601</v>
      </c>
      <c r="B807" t="s">
        <v>1334</v>
      </c>
      <c r="C807" t="s">
        <v>498</v>
      </c>
      <c r="D807">
        <v>4.2607541999999998E-2</v>
      </c>
      <c r="E807">
        <v>9.9000000000000005E-2</v>
      </c>
      <c r="F807">
        <v>0.5</v>
      </c>
    </row>
    <row r="808" spans="1:6">
      <c r="A808" t="s">
        <v>1606</v>
      </c>
      <c r="B808" t="s">
        <v>1334</v>
      </c>
      <c r="C808" t="s">
        <v>498</v>
      </c>
      <c r="D808">
        <v>0.97838063799999997</v>
      </c>
      <c r="E808">
        <v>3.1E-2</v>
      </c>
      <c r="F808">
        <v>-0.2</v>
      </c>
    </row>
    <row r="809" spans="1:6">
      <c r="A809" t="s">
        <v>1609</v>
      </c>
      <c r="B809" t="s">
        <v>1334</v>
      </c>
      <c r="C809" t="s">
        <v>498</v>
      </c>
      <c r="D809">
        <v>8.5065351999999997E-2</v>
      </c>
      <c r="E809">
        <v>2.1999999999999999E-2</v>
      </c>
      <c r="F809">
        <v>-0.1</v>
      </c>
    </row>
    <row r="810" spans="1:6">
      <c r="A810" t="s">
        <v>1612</v>
      </c>
      <c r="B810" t="s">
        <v>1334</v>
      </c>
      <c r="C810" t="s">
        <v>498</v>
      </c>
      <c r="D810">
        <v>0.89170118099999995</v>
      </c>
      <c r="E810">
        <v>7.0999999999999994E-2</v>
      </c>
      <c r="F810">
        <v>0.4</v>
      </c>
    </row>
    <row r="811" spans="1:6">
      <c r="A811" t="s">
        <v>1595</v>
      </c>
      <c r="B811" t="s">
        <v>1334</v>
      </c>
      <c r="C811" t="s">
        <v>498</v>
      </c>
      <c r="D811">
        <v>1</v>
      </c>
      <c r="E811">
        <v>6.0000000000000001E-3</v>
      </c>
      <c r="F811">
        <v>0</v>
      </c>
    </row>
    <row r="812" spans="1:6">
      <c r="A812" t="s">
        <v>1601</v>
      </c>
      <c r="B812" t="s">
        <v>1342</v>
      </c>
      <c r="C812" t="s">
        <v>17</v>
      </c>
      <c r="D812">
        <v>0.95443316899999997</v>
      </c>
      <c r="E812">
        <v>0.76400000000000001</v>
      </c>
      <c r="F812">
        <v>5</v>
      </c>
    </row>
    <row r="813" spans="1:6">
      <c r="A813" t="s">
        <v>1606</v>
      </c>
      <c r="B813" t="s">
        <v>1342</v>
      </c>
      <c r="C813" t="s">
        <v>17</v>
      </c>
      <c r="D813">
        <v>1</v>
      </c>
      <c r="E813">
        <v>0.499</v>
      </c>
      <c r="F813">
        <v>2.7</v>
      </c>
    </row>
    <row r="814" spans="1:6">
      <c r="A814" t="s">
        <v>1609</v>
      </c>
      <c r="B814" t="s">
        <v>1342</v>
      </c>
      <c r="C814" t="s">
        <v>17</v>
      </c>
      <c r="D814">
        <v>0.98009897000000001</v>
      </c>
      <c r="E814">
        <v>0.85799999999999998</v>
      </c>
      <c r="F814">
        <v>6.4</v>
      </c>
    </row>
    <row r="815" spans="1:6">
      <c r="A815" t="s">
        <v>1612</v>
      </c>
      <c r="B815" t="s">
        <v>1342</v>
      </c>
      <c r="C815" t="s">
        <v>17</v>
      </c>
      <c r="D815">
        <v>0.95679832799999998</v>
      </c>
      <c r="E815">
        <v>0.38200000000000001</v>
      </c>
      <c r="F815">
        <v>-2.2000000000000002</v>
      </c>
    </row>
    <row r="816" spans="1:6">
      <c r="A816" t="s">
        <v>1595</v>
      </c>
      <c r="B816" t="s">
        <v>1342</v>
      </c>
      <c r="C816" t="s">
        <v>17</v>
      </c>
      <c r="D816">
        <v>1</v>
      </c>
      <c r="E816">
        <v>0.32900000000000001</v>
      </c>
      <c r="F816">
        <v>-1.8</v>
      </c>
    </row>
    <row r="817" spans="1:6">
      <c r="A817" t="s">
        <v>1601</v>
      </c>
      <c r="B817" t="s">
        <v>1350</v>
      </c>
      <c r="C817" t="s">
        <v>17</v>
      </c>
      <c r="D817">
        <v>0</v>
      </c>
      <c r="E817">
        <v>0</v>
      </c>
      <c r="F817">
        <v>0</v>
      </c>
    </row>
    <row r="818" spans="1:6">
      <c r="A818" t="s">
        <v>1606</v>
      </c>
      <c r="B818" t="s">
        <v>1350</v>
      </c>
      <c r="C818" t="s">
        <v>17</v>
      </c>
      <c r="D818">
        <v>1</v>
      </c>
      <c r="E818">
        <v>0.17399999999999999</v>
      </c>
      <c r="F818">
        <v>-0.9</v>
      </c>
    </row>
    <row r="819" spans="1:6">
      <c r="A819" t="s">
        <v>1609</v>
      </c>
      <c r="B819" t="s">
        <v>1350</v>
      </c>
      <c r="C819" t="s">
        <v>17</v>
      </c>
      <c r="D819">
        <v>4.7291637999999997E-2</v>
      </c>
      <c r="E819">
        <v>0.20399999999999999</v>
      </c>
      <c r="F819">
        <v>-1</v>
      </c>
    </row>
    <row r="820" spans="1:6">
      <c r="A820" t="s">
        <v>1612</v>
      </c>
      <c r="B820" t="s">
        <v>1350</v>
      </c>
      <c r="C820" t="s">
        <v>17</v>
      </c>
      <c r="D820">
        <v>1</v>
      </c>
      <c r="E820">
        <v>0.153</v>
      </c>
      <c r="F820">
        <v>-0.8</v>
      </c>
    </row>
    <row r="821" spans="1:6">
      <c r="A821" t="s">
        <v>1595</v>
      </c>
      <c r="B821" t="s">
        <v>1350</v>
      </c>
      <c r="C821" t="s">
        <v>17</v>
      </c>
      <c r="D821">
        <v>1</v>
      </c>
      <c r="E821">
        <v>0.28999999999999998</v>
      </c>
      <c r="F821">
        <v>1.6</v>
      </c>
    </row>
    <row r="822" spans="1:6">
      <c r="A822" t="s">
        <v>1601</v>
      </c>
      <c r="B822" t="s">
        <v>1357</v>
      </c>
      <c r="C822" t="s">
        <v>17</v>
      </c>
      <c r="D822">
        <v>5.8806083000000002E-2</v>
      </c>
      <c r="E822">
        <v>6.0000000000000001E-3</v>
      </c>
      <c r="F822">
        <v>0</v>
      </c>
    </row>
    <row r="823" spans="1:6">
      <c r="A823" t="s">
        <v>1606</v>
      </c>
      <c r="B823" t="s">
        <v>1357</v>
      </c>
      <c r="C823" t="s">
        <v>17</v>
      </c>
      <c r="D823">
        <v>0.99714072799999998</v>
      </c>
      <c r="E823">
        <v>8.8999999999999996E-2</v>
      </c>
      <c r="F823">
        <v>-0.4</v>
      </c>
    </row>
    <row r="824" spans="1:6">
      <c r="A824" t="s">
        <v>1609</v>
      </c>
      <c r="B824" t="s">
        <v>1357</v>
      </c>
      <c r="C824" t="s">
        <v>17</v>
      </c>
      <c r="D824">
        <v>0.98016357700000001</v>
      </c>
      <c r="E824">
        <v>0.28699999999999998</v>
      </c>
      <c r="F824">
        <v>-1.5</v>
      </c>
    </row>
    <row r="825" spans="1:6">
      <c r="A825" t="s">
        <v>1612</v>
      </c>
      <c r="B825" t="s">
        <v>1357</v>
      </c>
      <c r="C825" t="s">
        <v>17</v>
      </c>
      <c r="D825">
        <v>0.39956586100000002</v>
      </c>
      <c r="E825">
        <v>6.5000000000000002E-2</v>
      </c>
      <c r="F825">
        <v>0.3</v>
      </c>
    </row>
    <row r="826" spans="1:6">
      <c r="A826" t="s">
        <v>1595</v>
      </c>
      <c r="B826" t="s">
        <v>1357</v>
      </c>
      <c r="C826" t="s">
        <v>17</v>
      </c>
      <c r="D826">
        <v>1</v>
      </c>
      <c r="E826">
        <v>0.30199999999999999</v>
      </c>
      <c r="F826">
        <v>1.7</v>
      </c>
    </row>
    <row r="827" spans="1:6">
      <c r="A827" t="s">
        <v>1601</v>
      </c>
      <c r="B827" t="s">
        <v>1364</v>
      </c>
      <c r="C827" t="s">
        <v>498</v>
      </c>
      <c r="D827">
        <v>0</v>
      </c>
      <c r="E827">
        <v>0</v>
      </c>
      <c r="F827">
        <v>0</v>
      </c>
    </row>
    <row r="828" spans="1:6">
      <c r="A828" t="s">
        <v>1606</v>
      </c>
      <c r="B828" t="s">
        <v>1364</v>
      </c>
      <c r="C828" t="s">
        <v>498</v>
      </c>
      <c r="D828">
        <v>0.105434598</v>
      </c>
      <c r="E828">
        <v>6.8000000000000005E-2</v>
      </c>
      <c r="F828">
        <v>-0.3</v>
      </c>
    </row>
    <row r="829" spans="1:6">
      <c r="A829" t="s">
        <v>1609</v>
      </c>
      <c r="B829" t="s">
        <v>1364</v>
      </c>
      <c r="C829" t="s">
        <v>498</v>
      </c>
      <c r="D829">
        <v>3.0846209999999999E-2</v>
      </c>
      <c r="E829">
        <v>0.25600000000000001</v>
      </c>
      <c r="F829">
        <v>-1.3</v>
      </c>
    </row>
    <row r="830" spans="1:6">
      <c r="A830" t="s">
        <v>1612</v>
      </c>
      <c r="B830" t="s">
        <v>1364</v>
      </c>
      <c r="C830" t="s">
        <v>498</v>
      </c>
      <c r="D830">
        <v>0.18417420200000001</v>
      </c>
      <c r="E830">
        <v>2.4E-2</v>
      </c>
      <c r="F830">
        <v>0.1</v>
      </c>
    </row>
    <row r="831" spans="1:6">
      <c r="A831" t="s">
        <v>1595</v>
      </c>
      <c r="B831" t="s">
        <v>1364</v>
      </c>
      <c r="C831" t="s">
        <v>498</v>
      </c>
      <c r="D831">
        <v>0.18088465400000001</v>
      </c>
      <c r="E831">
        <v>0.109</v>
      </c>
      <c r="F831">
        <v>-0.6</v>
      </c>
    </row>
    <row r="832" spans="1:6">
      <c r="A832" t="s">
        <v>1601</v>
      </c>
      <c r="B832" t="s">
        <v>1372</v>
      </c>
      <c r="C832" t="s">
        <v>17</v>
      </c>
      <c r="D832">
        <v>0.83793166600000002</v>
      </c>
      <c r="E832">
        <v>0.95799999999999996</v>
      </c>
      <c r="F832">
        <v>-9.5</v>
      </c>
    </row>
    <row r="833" spans="1:6">
      <c r="A833" t="s">
        <v>1606</v>
      </c>
      <c r="B833" t="s">
        <v>1372</v>
      </c>
      <c r="C833" t="s">
        <v>17</v>
      </c>
      <c r="D833">
        <v>1</v>
      </c>
      <c r="E833">
        <v>0.98799999999999999</v>
      </c>
      <c r="F833">
        <v>-12.7</v>
      </c>
    </row>
    <row r="834" spans="1:6">
      <c r="A834" t="s">
        <v>1609</v>
      </c>
      <c r="B834" t="s">
        <v>1372</v>
      </c>
      <c r="C834" t="s">
        <v>17</v>
      </c>
      <c r="D834">
        <v>0.98602628400000003</v>
      </c>
      <c r="E834">
        <v>0.93200000000000005</v>
      </c>
      <c r="F834">
        <v>-8.3000000000000007</v>
      </c>
    </row>
    <row r="835" spans="1:6">
      <c r="A835" t="s">
        <v>1612</v>
      </c>
      <c r="B835" t="s">
        <v>1372</v>
      </c>
      <c r="C835" t="s">
        <v>17</v>
      </c>
      <c r="D835">
        <v>0.45018093100000001</v>
      </c>
      <c r="E835">
        <v>3.1E-2</v>
      </c>
      <c r="F835">
        <v>-0.2</v>
      </c>
    </row>
    <row r="836" spans="1:6">
      <c r="A836" t="s">
        <v>1595</v>
      </c>
      <c r="B836" t="s">
        <v>1372</v>
      </c>
      <c r="C836" t="s">
        <v>17</v>
      </c>
      <c r="D836">
        <v>0.195949653</v>
      </c>
      <c r="E836">
        <v>0.182</v>
      </c>
      <c r="F836">
        <v>1</v>
      </c>
    </row>
    <row r="837" spans="1:6">
      <c r="A837" t="s">
        <v>1601</v>
      </c>
      <c r="B837" t="s">
        <v>1380</v>
      </c>
      <c r="C837" t="s">
        <v>725</v>
      </c>
      <c r="D837">
        <v>5.5279367000000003E-2</v>
      </c>
      <c r="E837">
        <v>0.995</v>
      </c>
      <c r="F837">
        <v>14.8</v>
      </c>
    </row>
    <row r="838" spans="1:6">
      <c r="A838" t="s">
        <v>1606</v>
      </c>
      <c r="B838" t="s">
        <v>1380</v>
      </c>
      <c r="C838" t="s">
        <v>725</v>
      </c>
      <c r="D838">
        <v>0</v>
      </c>
      <c r="E838">
        <v>0</v>
      </c>
      <c r="F838">
        <v>0</v>
      </c>
    </row>
    <row r="839" spans="1:6">
      <c r="A839" t="s">
        <v>1609</v>
      </c>
      <c r="B839" t="s">
        <v>1380</v>
      </c>
      <c r="C839" t="s">
        <v>725</v>
      </c>
      <c r="D839">
        <v>2.6712733999999998E-2</v>
      </c>
      <c r="E839">
        <v>0.34599999999999997</v>
      </c>
      <c r="F839">
        <v>-1.8</v>
      </c>
    </row>
    <row r="840" spans="1:6">
      <c r="A840" t="s">
        <v>1612</v>
      </c>
      <c r="B840" t="s">
        <v>1380</v>
      </c>
      <c r="C840" t="s">
        <v>725</v>
      </c>
      <c r="D840">
        <v>1</v>
      </c>
      <c r="E840">
        <v>0.46100000000000002</v>
      </c>
      <c r="F840">
        <v>2.7</v>
      </c>
    </row>
    <row r="841" spans="1:6">
      <c r="A841" t="s">
        <v>1595</v>
      </c>
      <c r="B841" t="s">
        <v>1380</v>
      </c>
      <c r="C841" t="s">
        <v>725</v>
      </c>
      <c r="D841">
        <v>1</v>
      </c>
      <c r="E841">
        <v>0.54100000000000004</v>
      </c>
      <c r="F841">
        <v>3.3</v>
      </c>
    </row>
    <row r="842" spans="1:6">
      <c r="A842" t="s">
        <v>1601</v>
      </c>
      <c r="B842" t="s">
        <v>1388</v>
      </c>
      <c r="C842" t="s">
        <v>17</v>
      </c>
      <c r="D842">
        <v>1</v>
      </c>
      <c r="E842">
        <v>0.04</v>
      </c>
      <c r="F842">
        <v>-0.2</v>
      </c>
    </row>
    <row r="843" spans="1:6">
      <c r="A843" t="s">
        <v>1606</v>
      </c>
      <c r="B843" t="s">
        <v>1388</v>
      </c>
      <c r="C843" t="s">
        <v>17</v>
      </c>
      <c r="D843">
        <v>1</v>
      </c>
      <c r="E843">
        <v>5.0999999999999997E-2</v>
      </c>
      <c r="F843">
        <v>0.3</v>
      </c>
    </row>
    <row r="844" spans="1:6">
      <c r="A844" t="s">
        <v>1609</v>
      </c>
      <c r="B844" t="s">
        <v>1388</v>
      </c>
      <c r="C844" t="s">
        <v>17</v>
      </c>
      <c r="D844">
        <v>1</v>
      </c>
      <c r="E844">
        <v>0.28100000000000003</v>
      </c>
      <c r="F844">
        <v>-1.4</v>
      </c>
    </row>
    <row r="845" spans="1:6">
      <c r="A845" t="s">
        <v>1612</v>
      </c>
      <c r="B845" t="s">
        <v>1388</v>
      </c>
      <c r="C845" t="s">
        <v>17</v>
      </c>
      <c r="D845">
        <v>1</v>
      </c>
      <c r="E845">
        <v>3.6999999999999998E-2</v>
      </c>
      <c r="F845">
        <v>0.2</v>
      </c>
    </row>
    <row r="846" spans="1:6">
      <c r="A846" t="s">
        <v>1595</v>
      </c>
      <c r="B846" t="s">
        <v>1388</v>
      </c>
      <c r="C846" t="s">
        <v>17</v>
      </c>
      <c r="D846">
        <v>1</v>
      </c>
      <c r="E846">
        <v>0.113</v>
      </c>
      <c r="F846">
        <v>-0.6</v>
      </c>
    </row>
    <row r="847" spans="1:6">
      <c r="A847" t="s">
        <v>1601</v>
      </c>
      <c r="B847" t="s">
        <v>1396</v>
      </c>
      <c r="C847" t="s">
        <v>498</v>
      </c>
      <c r="D847">
        <v>2.4712623E-2</v>
      </c>
      <c r="E847">
        <v>0.995</v>
      </c>
      <c r="F847">
        <v>14.8</v>
      </c>
    </row>
    <row r="848" spans="1:6">
      <c r="A848" t="s">
        <v>1606</v>
      </c>
      <c r="B848" t="s">
        <v>1396</v>
      </c>
      <c r="C848" t="s">
        <v>498</v>
      </c>
      <c r="D848">
        <v>1</v>
      </c>
      <c r="E848">
        <v>0.97</v>
      </c>
      <c r="F848">
        <v>10.4</v>
      </c>
    </row>
    <row r="849" spans="1:6">
      <c r="A849" t="s">
        <v>1609</v>
      </c>
      <c r="B849" t="s">
        <v>1396</v>
      </c>
      <c r="C849" t="s">
        <v>498</v>
      </c>
      <c r="D849">
        <v>0.96974873800000005</v>
      </c>
      <c r="E849">
        <v>0.90600000000000003</v>
      </c>
      <c r="F849">
        <v>7.5</v>
      </c>
    </row>
    <row r="850" spans="1:6">
      <c r="A850" t="s">
        <v>1612</v>
      </c>
      <c r="B850" t="s">
        <v>1396</v>
      </c>
      <c r="C850" t="s">
        <v>498</v>
      </c>
      <c r="D850">
        <v>0.50427254700000002</v>
      </c>
      <c r="E850">
        <v>2.4E-2</v>
      </c>
      <c r="F850">
        <v>0.1</v>
      </c>
    </row>
    <row r="851" spans="1:6">
      <c r="A851" t="s">
        <v>1595</v>
      </c>
      <c r="B851" t="s">
        <v>1396</v>
      </c>
      <c r="C851" t="s">
        <v>498</v>
      </c>
      <c r="D851">
        <v>0.19700189100000001</v>
      </c>
      <c r="E851">
        <v>0.26900000000000002</v>
      </c>
      <c r="F851">
        <v>-1.5</v>
      </c>
    </row>
    <row r="852" spans="1:6">
      <c r="A852" t="s">
        <v>1601</v>
      </c>
      <c r="B852" t="s">
        <v>1403</v>
      </c>
      <c r="C852" t="s">
        <v>17</v>
      </c>
      <c r="D852">
        <v>0.36760126900000001</v>
      </c>
      <c r="E852">
        <v>0.20100000000000001</v>
      </c>
      <c r="F852">
        <v>1</v>
      </c>
    </row>
    <row r="853" spans="1:6">
      <c r="A853" t="s">
        <v>1606</v>
      </c>
      <c r="B853" t="s">
        <v>1403</v>
      </c>
      <c r="C853" t="s">
        <v>17</v>
      </c>
      <c r="D853">
        <v>0.99550879199999998</v>
      </c>
      <c r="E853">
        <v>0.745</v>
      </c>
      <c r="F853">
        <v>4.8</v>
      </c>
    </row>
    <row r="854" spans="1:6">
      <c r="A854" t="s">
        <v>1609</v>
      </c>
      <c r="B854" t="s">
        <v>1403</v>
      </c>
      <c r="C854" t="s">
        <v>17</v>
      </c>
      <c r="D854">
        <v>1</v>
      </c>
      <c r="E854">
        <v>0.28100000000000003</v>
      </c>
      <c r="F854">
        <v>1.4</v>
      </c>
    </row>
    <row r="855" spans="1:6">
      <c r="A855" t="s">
        <v>1612</v>
      </c>
      <c r="B855" t="s">
        <v>1403</v>
      </c>
      <c r="C855" t="s">
        <v>17</v>
      </c>
      <c r="D855">
        <v>1</v>
      </c>
      <c r="E855">
        <v>0.57899999999999996</v>
      </c>
      <c r="F855">
        <v>3.6</v>
      </c>
    </row>
    <row r="856" spans="1:6">
      <c r="A856" t="s">
        <v>1595</v>
      </c>
      <c r="B856" t="s">
        <v>1403</v>
      </c>
      <c r="C856" t="s">
        <v>17</v>
      </c>
      <c r="D856">
        <v>1</v>
      </c>
      <c r="E856">
        <v>0.35599999999999998</v>
      </c>
      <c r="F856">
        <v>2</v>
      </c>
    </row>
    <row r="857" spans="1:6">
      <c r="A857" t="s">
        <v>1601</v>
      </c>
      <c r="B857" t="s">
        <v>1411</v>
      </c>
      <c r="C857" t="s">
        <v>17</v>
      </c>
      <c r="D857">
        <v>5.5977522000000002E-2</v>
      </c>
      <c r="E857">
        <v>8.9999999999999993E-3</v>
      </c>
      <c r="F857">
        <v>0</v>
      </c>
    </row>
    <row r="858" spans="1:6">
      <c r="A858" t="s">
        <v>1606</v>
      </c>
      <c r="B858" t="s">
        <v>1411</v>
      </c>
      <c r="C858" t="s">
        <v>17</v>
      </c>
      <c r="D858">
        <v>5.9970493999999999E-2</v>
      </c>
      <c r="E858">
        <v>0.995</v>
      </c>
      <c r="F858">
        <v>-14.8</v>
      </c>
    </row>
    <row r="859" spans="1:6">
      <c r="A859" t="s">
        <v>1609</v>
      </c>
      <c r="B859" t="s">
        <v>1411</v>
      </c>
      <c r="C859" t="s">
        <v>17</v>
      </c>
      <c r="D859">
        <v>5.7246028999999997E-2</v>
      </c>
      <c r="E859">
        <v>0.13900000000000001</v>
      </c>
      <c r="F859">
        <v>-0.7</v>
      </c>
    </row>
    <row r="860" spans="1:6">
      <c r="A860" t="s">
        <v>1612</v>
      </c>
      <c r="B860" t="s">
        <v>1411</v>
      </c>
      <c r="C860" t="s">
        <v>17</v>
      </c>
      <c r="D860">
        <v>0.46881057500000001</v>
      </c>
      <c r="E860">
        <v>0.215</v>
      </c>
      <c r="F860">
        <v>-1.2</v>
      </c>
    </row>
    <row r="861" spans="1:6">
      <c r="A861" t="s">
        <v>1595</v>
      </c>
      <c r="B861" t="s">
        <v>1411</v>
      </c>
      <c r="C861" t="s">
        <v>17</v>
      </c>
      <c r="D861">
        <v>0.90498319199999999</v>
      </c>
      <c r="E861">
        <v>0.24399999999999999</v>
      </c>
      <c r="F861">
        <v>1.3</v>
      </c>
    </row>
    <row r="862" spans="1:6">
      <c r="A862" t="s">
        <v>1601</v>
      </c>
      <c r="B862" t="s">
        <v>1419</v>
      </c>
      <c r="C862" t="s">
        <v>498</v>
      </c>
      <c r="D862">
        <v>2.7954697000000001E-2</v>
      </c>
      <c r="E862">
        <v>0.995</v>
      </c>
      <c r="F862">
        <v>14.8</v>
      </c>
    </row>
    <row r="863" spans="1:6">
      <c r="A863" t="s">
        <v>1606</v>
      </c>
      <c r="B863" t="s">
        <v>1419</v>
      </c>
      <c r="C863" t="s">
        <v>498</v>
      </c>
      <c r="D863">
        <v>8.5384928999999998E-2</v>
      </c>
      <c r="E863">
        <v>9.4E-2</v>
      </c>
      <c r="F863">
        <v>-0.5</v>
      </c>
    </row>
    <row r="864" spans="1:6">
      <c r="A864" t="s">
        <v>1609</v>
      </c>
      <c r="B864" t="s">
        <v>1419</v>
      </c>
      <c r="C864" t="s">
        <v>498</v>
      </c>
      <c r="D864">
        <v>0.14661356</v>
      </c>
      <c r="E864">
        <v>0.73599999999999999</v>
      </c>
      <c r="F864">
        <v>4.7</v>
      </c>
    </row>
    <row r="865" spans="1:6">
      <c r="A865" t="s">
        <v>1612</v>
      </c>
      <c r="B865" t="s">
        <v>1419</v>
      </c>
      <c r="C865" t="s">
        <v>498</v>
      </c>
      <c r="D865">
        <v>0.42702484400000001</v>
      </c>
      <c r="E865">
        <v>0.13100000000000001</v>
      </c>
      <c r="F865">
        <v>0.7</v>
      </c>
    </row>
    <row r="866" spans="1:6">
      <c r="A866" t="s">
        <v>1595</v>
      </c>
      <c r="B866" t="s">
        <v>1419</v>
      </c>
      <c r="C866" t="s">
        <v>498</v>
      </c>
      <c r="D866">
        <v>0.10576292800000001</v>
      </c>
      <c r="E866">
        <v>7.0000000000000001E-3</v>
      </c>
      <c r="F866">
        <v>0</v>
      </c>
    </row>
    <row r="867" spans="1:6">
      <c r="A867" t="s">
        <v>1601</v>
      </c>
      <c r="B867" t="s">
        <v>1427</v>
      </c>
      <c r="C867" t="s">
        <v>987</v>
      </c>
      <c r="D867">
        <v>2.0518420999999998E-2</v>
      </c>
      <c r="E867">
        <v>0.25900000000000001</v>
      </c>
      <c r="F867">
        <v>1.3</v>
      </c>
    </row>
    <row r="868" spans="1:6">
      <c r="A868" t="s">
        <v>1606</v>
      </c>
      <c r="B868" t="s">
        <v>1427</v>
      </c>
      <c r="C868" t="s">
        <v>987</v>
      </c>
      <c r="D868">
        <v>0.74924865600000001</v>
      </c>
      <c r="E868">
        <v>8.9999999999999993E-3</v>
      </c>
      <c r="F868">
        <v>0</v>
      </c>
    </row>
    <row r="869" spans="1:6">
      <c r="A869" t="s">
        <v>1609</v>
      </c>
      <c r="B869" t="s">
        <v>1427</v>
      </c>
      <c r="C869" t="s">
        <v>987</v>
      </c>
      <c r="D869">
        <v>0.26929712099999997</v>
      </c>
      <c r="E869">
        <v>0.108</v>
      </c>
      <c r="F869">
        <v>-0.5</v>
      </c>
    </row>
    <row r="870" spans="1:6">
      <c r="A870" t="s">
        <v>1612</v>
      </c>
      <c r="B870" t="s">
        <v>1427</v>
      </c>
      <c r="C870" t="s">
        <v>987</v>
      </c>
      <c r="D870">
        <v>1</v>
      </c>
      <c r="E870">
        <v>8.4000000000000005E-2</v>
      </c>
      <c r="F870">
        <v>0.5</v>
      </c>
    </row>
    <row r="871" spans="1:6">
      <c r="A871" t="s">
        <v>1595</v>
      </c>
      <c r="B871" t="s">
        <v>1427</v>
      </c>
      <c r="C871" t="s">
        <v>987</v>
      </c>
      <c r="D871">
        <v>1</v>
      </c>
      <c r="E871">
        <v>0.217</v>
      </c>
      <c r="F871">
        <v>-1.2</v>
      </c>
    </row>
    <row r="872" spans="1:6">
      <c r="A872" t="s">
        <v>1601</v>
      </c>
      <c r="B872" t="s">
        <v>1435</v>
      </c>
      <c r="C872" t="s">
        <v>17</v>
      </c>
      <c r="D872">
        <v>0</v>
      </c>
      <c r="E872">
        <v>0</v>
      </c>
      <c r="F872">
        <v>0</v>
      </c>
    </row>
    <row r="873" spans="1:6">
      <c r="A873" t="s">
        <v>1606</v>
      </c>
      <c r="B873" t="s">
        <v>1435</v>
      </c>
      <c r="C873" t="s">
        <v>17</v>
      </c>
      <c r="D873">
        <v>0</v>
      </c>
      <c r="E873">
        <v>0</v>
      </c>
      <c r="F873">
        <v>0</v>
      </c>
    </row>
    <row r="874" spans="1:6">
      <c r="A874" t="s">
        <v>1609</v>
      </c>
      <c r="B874" t="s">
        <v>1435</v>
      </c>
      <c r="C874" t="s">
        <v>17</v>
      </c>
      <c r="D874">
        <v>3.1089985000000001E-2</v>
      </c>
      <c r="E874">
        <v>0.65100000000000002</v>
      </c>
      <c r="F874">
        <v>-3.9</v>
      </c>
    </row>
    <row r="875" spans="1:6">
      <c r="A875" t="s">
        <v>1612</v>
      </c>
      <c r="B875" t="s">
        <v>1435</v>
      </c>
      <c r="C875" t="s">
        <v>17</v>
      </c>
      <c r="D875">
        <v>1</v>
      </c>
      <c r="E875">
        <v>6.2E-2</v>
      </c>
      <c r="F875">
        <v>-0.3</v>
      </c>
    </row>
    <row r="876" spans="1:6">
      <c r="A876" t="s">
        <v>1595</v>
      </c>
      <c r="B876" t="s">
        <v>1435</v>
      </c>
      <c r="C876" t="s">
        <v>17</v>
      </c>
      <c r="D876">
        <v>1</v>
      </c>
      <c r="E876">
        <v>5.6000000000000001E-2</v>
      </c>
      <c r="F876">
        <v>-0.3</v>
      </c>
    </row>
    <row r="877" spans="1:6">
      <c r="A877" t="s">
        <v>1601</v>
      </c>
      <c r="B877" t="s">
        <v>1443</v>
      </c>
      <c r="C877" t="s">
        <v>17</v>
      </c>
      <c r="D877">
        <v>0</v>
      </c>
      <c r="E877">
        <v>0</v>
      </c>
      <c r="F877">
        <v>0</v>
      </c>
    </row>
    <row r="878" spans="1:6">
      <c r="A878" t="s">
        <v>1606</v>
      </c>
      <c r="B878" t="s">
        <v>1443</v>
      </c>
      <c r="C878" t="s">
        <v>17</v>
      </c>
      <c r="D878">
        <v>0</v>
      </c>
      <c r="E878">
        <v>0</v>
      </c>
      <c r="F878">
        <v>0</v>
      </c>
    </row>
    <row r="879" spans="1:6">
      <c r="A879" t="s">
        <v>1609</v>
      </c>
      <c r="B879" t="s">
        <v>1443</v>
      </c>
      <c r="C879" t="s">
        <v>17</v>
      </c>
      <c r="D879">
        <v>0</v>
      </c>
      <c r="E879">
        <v>0</v>
      </c>
      <c r="F879">
        <v>0</v>
      </c>
    </row>
    <row r="880" spans="1:6">
      <c r="A880" t="s">
        <v>1612</v>
      </c>
      <c r="B880" t="s">
        <v>1443</v>
      </c>
      <c r="C880" t="s">
        <v>17</v>
      </c>
      <c r="D880">
        <v>0.99191014600000005</v>
      </c>
      <c r="E880">
        <v>0.57899999999999996</v>
      </c>
      <c r="F880">
        <v>3.6</v>
      </c>
    </row>
    <row r="881" spans="1:6">
      <c r="A881" t="s">
        <v>1595</v>
      </c>
      <c r="B881" t="s">
        <v>1443</v>
      </c>
      <c r="C881" t="s">
        <v>17</v>
      </c>
      <c r="D881">
        <v>0.26286196499999998</v>
      </c>
      <c r="E881">
        <v>0.38800000000000001</v>
      </c>
      <c r="F881">
        <v>2.2000000000000002</v>
      </c>
    </row>
    <row r="882" spans="1:6">
      <c r="A882" t="s">
        <v>1601</v>
      </c>
      <c r="B882" t="s">
        <v>1451</v>
      </c>
      <c r="C882" t="s">
        <v>525</v>
      </c>
      <c r="D882">
        <v>4.0042139999999997E-2</v>
      </c>
      <c r="E882">
        <v>0.46200000000000002</v>
      </c>
      <c r="F882">
        <v>-2.5</v>
      </c>
    </row>
    <row r="883" spans="1:6">
      <c r="A883" t="s">
        <v>1606</v>
      </c>
      <c r="B883" t="s">
        <v>1451</v>
      </c>
      <c r="C883" t="s">
        <v>525</v>
      </c>
      <c r="D883">
        <v>0.97618482600000001</v>
      </c>
      <c r="E883">
        <v>0.89400000000000002</v>
      </c>
      <c r="F883">
        <v>-7.1</v>
      </c>
    </row>
    <row r="884" spans="1:6">
      <c r="A884" t="s">
        <v>1609</v>
      </c>
      <c r="B884" t="s">
        <v>1451</v>
      </c>
      <c r="C884" t="s">
        <v>525</v>
      </c>
      <c r="D884">
        <v>0.48381797599999998</v>
      </c>
      <c r="E884">
        <v>0.34</v>
      </c>
      <c r="F884">
        <v>-1.8</v>
      </c>
    </row>
    <row r="885" spans="1:6">
      <c r="A885" t="s">
        <v>1612</v>
      </c>
      <c r="B885" t="s">
        <v>1451</v>
      </c>
      <c r="C885" t="s">
        <v>525</v>
      </c>
      <c r="D885">
        <v>0.44402460500000002</v>
      </c>
      <c r="E885">
        <v>0.06</v>
      </c>
      <c r="F885">
        <v>0.3</v>
      </c>
    </row>
    <row r="886" spans="1:6">
      <c r="A886" t="s">
        <v>1595</v>
      </c>
      <c r="B886" t="s">
        <v>1451</v>
      </c>
      <c r="C886" t="s">
        <v>525</v>
      </c>
      <c r="D886">
        <v>0.89940019999999998</v>
      </c>
      <c r="E886">
        <v>0.128</v>
      </c>
      <c r="F886">
        <v>-0.7</v>
      </c>
    </row>
    <row r="887" spans="1:6">
      <c r="A887" t="s">
        <v>1601</v>
      </c>
      <c r="B887" t="s">
        <v>1458</v>
      </c>
      <c r="C887" t="s">
        <v>17</v>
      </c>
      <c r="D887">
        <v>0.59981275000000001</v>
      </c>
      <c r="E887">
        <v>0.19800000000000001</v>
      </c>
      <c r="F887">
        <v>-1</v>
      </c>
    </row>
    <row r="888" spans="1:6">
      <c r="A888" t="s">
        <v>1606</v>
      </c>
      <c r="B888" t="s">
        <v>1458</v>
      </c>
      <c r="C888" t="s">
        <v>17</v>
      </c>
      <c r="D888">
        <v>0.998258592</v>
      </c>
      <c r="E888">
        <v>0.191</v>
      </c>
      <c r="F888">
        <v>-1</v>
      </c>
    </row>
    <row r="889" spans="1:6">
      <c r="A889" t="s">
        <v>1609</v>
      </c>
      <c r="B889" t="s">
        <v>1458</v>
      </c>
      <c r="C889" t="s">
        <v>17</v>
      </c>
      <c r="D889">
        <v>0.99119246900000002</v>
      </c>
      <c r="E889">
        <v>0.254</v>
      </c>
      <c r="F889">
        <v>-1.3</v>
      </c>
    </row>
    <row r="890" spans="1:6">
      <c r="A890" t="s">
        <v>1612</v>
      </c>
      <c r="B890" t="s">
        <v>1458</v>
      </c>
      <c r="C890" t="s">
        <v>17</v>
      </c>
      <c r="D890">
        <v>0.55819406100000002</v>
      </c>
      <c r="E890">
        <v>0.12</v>
      </c>
      <c r="F890">
        <v>0.6</v>
      </c>
    </row>
    <row r="891" spans="1:6">
      <c r="A891" t="s">
        <v>1595</v>
      </c>
      <c r="B891" t="s">
        <v>1458</v>
      </c>
      <c r="C891" t="s">
        <v>17</v>
      </c>
      <c r="D891">
        <v>0.81178817800000003</v>
      </c>
      <c r="E891">
        <v>0.107</v>
      </c>
      <c r="F891">
        <v>0.6</v>
      </c>
    </row>
    <row r="892" spans="1:6">
      <c r="A892" t="s">
        <v>1601</v>
      </c>
      <c r="B892" t="s">
        <v>1465</v>
      </c>
      <c r="C892" t="s">
        <v>498</v>
      </c>
      <c r="D892">
        <v>0</v>
      </c>
      <c r="E892">
        <v>0</v>
      </c>
      <c r="F892">
        <v>0</v>
      </c>
    </row>
    <row r="893" spans="1:6">
      <c r="A893" t="s">
        <v>1606</v>
      </c>
      <c r="B893" t="s">
        <v>1465</v>
      </c>
      <c r="C893" t="s">
        <v>498</v>
      </c>
      <c r="D893">
        <v>0</v>
      </c>
      <c r="E893">
        <v>0</v>
      </c>
      <c r="F893">
        <v>0</v>
      </c>
    </row>
    <row r="894" spans="1:6">
      <c r="A894" t="s">
        <v>1609</v>
      </c>
      <c r="B894" t="s">
        <v>1465</v>
      </c>
      <c r="C894" t="s">
        <v>498</v>
      </c>
      <c r="D894">
        <v>3.5519665999999998E-2</v>
      </c>
      <c r="E894">
        <v>0.08</v>
      </c>
      <c r="F894">
        <v>-0.4</v>
      </c>
    </row>
    <row r="895" spans="1:6">
      <c r="A895" t="s">
        <v>1612</v>
      </c>
      <c r="B895" t="s">
        <v>1465</v>
      </c>
      <c r="C895" t="s">
        <v>498</v>
      </c>
      <c r="D895">
        <v>0.34234857800000001</v>
      </c>
      <c r="E895">
        <v>6.9000000000000006E-2</v>
      </c>
      <c r="F895">
        <v>0.4</v>
      </c>
    </row>
    <row r="896" spans="1:6">
      <c r="A896" t="s">
        <v>1595</v>
      </c>
      <c r="B896" t="s">
        <v>1465</v>
      </c>
      <c r="C896" t="s">
        <v>498</v>
      </c>
      <c r="D896">
        <v>0.89375893200000001</v>
      </c>
      <c r="E896">
        <v>6.0000000000000001E-3</v>
      </c>
      <c r="F896">
        <v>0</v>
      </c>
    </row>
    <row r="897" spans="1:6">
      <c r="A897" t="s">
        <v>1601</v>
      </c>
      <c r="B897" t="s">
        <v>1472</v>
      </c>
      <c r="C897" t="s">
        <v>17</v>
      </c>
      <c r="D897">
        <v>0.355501293</v>
      </c>
      <c r="E897">
        <v>0.38500000000000001</v>
      </c>
      <c r="F897">
        <v>2</v>
      </c>
    </row>
    <row r="898" spans="1:6">
      <c r="A898" t="s">
        <v>1606</v>
      </c>
      <c r="B898" t="s">
        <v>1472</v>
      </c>
      <c r="C898" t="s">
        <v>17</v>
      </c>
      <c r="D898">
        <v>0.99515349900000005</v>
      </c>
      <c r="E898">
        <v>0.54100000000000004</v>
      </c>
      <c r="F898">
        <v>3</v>
      </c>
    </row>
    <row r="899" spans="1:6">
      <c r="A899" t="s">
        <v>1609</v>
      </c>
      <c r="B899" t="s">
        <v>1472</v>
      </c>
      <c r="C899" t="s">
        <v>17</v>
      </c>
      <c r="D899">
        <v>0.98865647000000001</v>
      </c>
      <c r="E899">
        <v>0.21299999999999999</v>
      </c>
      <c r="F899">
        <v>1.1000000000000001</v>
      </c>
    </row>
    <row r="900" spans="1:6">
      <c r="A900" t="s">
        <v>1612</v>
      </c>
      <c r="B900" t="s">
        <v>1472</v>
      </c>
      <c r="C900" t="s">
        <v>17</v>
      </c>
      <c r="D900">
        <v>0.267751401</v>
      </c>
      <c r="E900">
        <v>6.9000000000000006E-2</v>
      </c>
      <c r="F900">
        <v>0.4</v>
      </c>
    </row>
    <row r="901" spans="1:6">
      <c r="A901" t="s">
        <v>1595</v>
      </c>
      <c r="B901" t="s">
        <v>1472</v>
      </c>
      <c r="C901" t="s">
        <v>17</v>
      </c>
      <c r="D901">
        <v>1</v>
      </c>
      <c r="E901">
        <v>0.3</v>
      </c>
      <c r="F901">
        <v>1.7</v>
      </c>
    </row>
    <row r="902" spans="1:6">
      <c r="A902" t="s">
        <v>1601</v>
      </c>
      <c r="B902" t="s">
        <v>1480</v>
      </c>
      <c r="C902" t="s">
        <v>17</v>
      </c>
      <c r="D902">
        <v>0.93930657799999995</v>
      </c>
      <c r="E902">
        <v>0.57799999999999996</v>
      </c>
      <c r="F902">
        <v>3.3</v>
      </c>
    </row>
    <row r="903" spans="1:6">
      <c r="A903" t="s">
        <v>1606</v>
      </c>
      <c r="B903" t="s">
        <v>1480</v>
      </c>
      <c r="C903" t="s">
        <v>17</v>
      </c>
      <c r="D903">
        <v>0.99444700100000005</v>
      </c>
      <c r="E903">
        <v>0.629</v>
      </c>
      <c r="F903">
        <v>3.7</v>
      </c>
    </row>
    <row r="904" spans="1:6">
      <c r="A904" t="s">
        <v>1609</v>
      </c>
      <c r="B904" t="s">
        <v>1480</v>
      </c>
      <c r="C904" t="s">
        <v>17</v>
      </c>
      <c r="D904">
        <v>1</v>
      </c>
      <c r="E904">
        <v>0.158</v>
      </c>
      <c r="F904">
        <v>0.8</v>
      </c>
    </row>
    <row r="905" spans="1:6">
      <c r="A905" t="s">
        <v>1612</v>
      </c>
      <c r="B905" t="s">
        <v>1480</v>
      </c>
      <c r="C905" t="s">
        <v>17</v>
      </c>
      <c r="D905">
        <v>0.44272520300000001</v>
      </c>
      <c r="E905">
        <v>7.4999999999999997E-2</v>
      </c>
      <c r="F905">
        <v>0.4</v>
      </c>
    </row>
    <row r="906" spans="1:6">
      <c r="A906" t="s">
        <v>1595</v>
      </c>
      <c r="B906" t="s">
        <v>1480</v>
      </c>
      <c r="C906" t="s">
        <v>17</v>
      </c>
      <c r="D906">
        <v>0.73883452000000005</v>
      </c>
      <c r="E906">
        <v>0.115</v>
      </c>
      <c r="F906">
        <v>-0.6</v>
      </c>
    </row>
    <row r="907" spans="1:6">
      <c r="A907" t="s">
        <v>1601</v>
      </c>
      <c r="B907" t="s">
        <v>1488</v>
      </c>
      <c r="C907" t="s">
        <v>17</v>
      </c>
      <c r="D907">
        <v>7.7961991999999994E-2</v>
      </c>
      <c r="E907">
        <v>0.23899999999999999</v>
      </c>
      <c r="F907">
        <v>1.2</v>
      </c>
    </row>
    <row r="908" spans="1:6">
      <c r="A908" t="s">
        <v>1606</v>
      </c>
      <c r="B908" t="s">
        <v>1488</v>
      </c>
      <c r="C908" t="s">
        <v>17</v>
      </c>
      <c r="D908">
        <v>0.99539453</v>
      </c>
      <c r="E908">
        <v>0.47799999999999998</v>
      </c>
      <c r="F908">
        <v>2.6</v>
      </c>
    </row>
    <row r="909" spans="1:6">
      <c r="A909" t="s">
        <v>1609</v>
      </c>
      <c r="B909" t="s">
        <v>1488</v>
      </c>
      <c r="C909" t="s">
        <v>17</v>
      </c>
      <c r="D909">
        <v>0.43867435700000001</v>
      </c>
      <c r="E909">
        <v>0.22500000000000001</v>
      </c>
      <c r="F909">
        <v>-1.1000000000000001</v>
      </c>
    </row>
    <row r="910" spans="1:6">
      <c r="A910" t="s">
        <v>1612</v>
      </c>
      <c r="B910" t="s">
        <v>1488</v>
      </c>
      <c r="C910" t="s">
        <v>17</v>
      </c>
      <c r="D910">
        <v>0.84184278899999998</v>
      </c>
      <c r="E910">
        <v>0.55100000000000005</v>
      </c>
      <c r="F910">
        <v>3.3</v>
      </c>
    </row>
    <row r="911" spans="1:6">
      <c r="A911" t="s">
        <v>1595</v>
      </c>
      <c r="B911" t="s">
        <v>1488</v>
      </c>
      <c r="C911" t="s">
        <v>17</v>
      </c>
      <c r="D911">
        <v>0.13406921199999999</v>
      </c>
      <c r="E911">
        <v>0.22600000000000001</v>
      </c>
      <c r="F911">
        <v>1.2</v>
      </c>
    </row>
    <row r="912" spans="1:6">
      <c r="A912" t="s">
        <v>1601</v>
      </c>
      <c r="B912" t="s">
        <v>1496</v>
      </c>
      <c r="C912" t="s">
        <v>17</v>
      </c>
      <c r="D912">
        <v>1</v>
      </c>
      <c r="E912">
        <v>0.03</v>
      </c>
      <c r="F912">
        <v>-0.1</v>
      </c>
    </row>
    <row r="913" spans="1:6">
      <c r="A913" t="s">
        <v>1606</v>
      </c>
      <c r="B913" t="s">
        <v>1496</v>
      </c>
      <c r="C913" t="s">
        <v>17</v>
      </c>
      <c r="D913">
        <v>1</v>
      </c>
      <c r="E913">
        <v>8.9999999999999993E-3</v>
      </c>
      <c r="F913">
        <v>0</v>
      </c>
    </row>
    <row r="914" spans="1:6">
      <c r="A914" t="s">
        <v>1609</v>
      </c>
      <c r="B914" t="s">
        <v>1496</v>
      </c>
      <c r="C914" t="s">
        <v>17</v>
      </c>
      <c r="D914">
        <v>0.98707361199999999</v>
      </c>
      <c r="E914">
        <v>0.128</v>
      </c>
      <c r="F914">
        <v>0.6</v>
      </c>
    </row>
    <row r="915" spans="1:6">
      <c r="A915" t="s">
        <v>1612</v>
      </c>
      <c r="B915" t="s">
        <v>1496</v>
      </c>
      <c r="C915" t="s">
        <v>17</v>
      </c>
      <c r="D915">
        <v>0.75806781599999995</v>
      </c>
      <c r="E915">
        <v>0.12</v>
      </c>
      <c r="F915">
        <v>0.6</v>
      </c>
    </row>
    <row r="916" spans="1:6">
      <c r="A916" t="s">
        <v>1595</v>
      </c>
      <c r="B916" t="s">
        <v>1496</v>
      </c>
      <c r="C916" t="s">
        <v>17</v>
      </c>
      <c r="D916">
        <v>1</v>
      </c>
      <c r="E916">
        <v>0.54800000000000004</v>
      </c>
      <c r="F916">
        <v>3.3</v>
      </c>
    </row>
    <row r="917" spans="1:6">
      <c r="A917" t="s">
        <v>1601</v>
      </c>
      <c r="B917" t="s">
        <v>1504</v>
      </c>
      <c r="C917" t="s">
        <v>498</v>
      </c>
      <c r="D917">
        <v>5.7322611000000002E-2</v>
      </c>
      <c r="E917">
        <v>9.1999999999999998E-2</v>
      </c>
      <c r="F917">
        <v>0.5</v>
      </c>
    </row>
    <row r="918" spans="1:6">
      <c r="A918" t="s">
        <v>1606</v>
      </c>
      <c r="B918" t="s">
        <v>1504</v>
      </c>
      <c r="C918" t="s">
        <v>498</v>
      </c>
      <c r="D918">
        <v>1</v>
      </c>
      <c r="E918">
        <v>4.2000000000000003E-2</v>
      </c>
      <c r="F918">
        <v>-0.2</v>
      </c>
    </row>
    <row r="919" spans="1:6">
      <c r="A919" t="s">
        <v>1609</v>
      </c>
      <c r="B919" t="s">
        <v>1504</v>
      </c>
      <c r="C919" t="s">
        <v>498</v>
      </c>
      <c r="D919">
        <v>0.38824651199999999</v>
      </c>
      <c r="E919">
        <v>0.11600000000000001</v>
      </c>
      <c r="F919">
        <v>0.6</v>
      </c>
    </row>
    <row r="920" spans="1:6">
      <c r="A920" t="s">
        <v>1612</v>
      </c>
      <c r="B920" t="s">
        <v>1504</v>
      </c>
      <c r="C920" t="s">
        <v>498</v>
      </c>
      <c r="D920">
        <v>0.853149092</v>
      </c>
      <c r="E920">
        <v>2.9000000000000001E-2</v>
      </c>
      <c r="F920">
        <v>-0.2</v>
      </c>
    </row>
    <row r="921" spans="1:6">
      <c r="A921" t="s">
        <v>1595</v>
      </c>
      <c r="B921" t="s">
        <v>1504</v>
      </c>
      <c r="C921" t="s">
        <v>498</v>
      </c>
      <c r="D921">
        <v>1</v>
      </c>
      <c r="E921">
        <v>0.12</v>
      </c>
      <c r="F921">
        <v>-0.6</v>
      </c>
    </row>
    <row r="922" spans="1:6">
      <c r="A922" t="s">
        <v>1601</v>
      </c>
      <c r="B922" t="s">
        <v>1512</v>
      </c>
      <c r="C922" t="s">
        <v>725</v>
      </c>
      <c r="D922">
        <v>9.4906889999999994E-2</v>
      </c>
      <c r="E922">
        <v>0.215</v>
      </c>
      <c r="F922">
        <v>-1.1000000000000001</v>
      </c>
    </row>
    <row r="923" spans="1:6">
      <c r="A923" t="s">
        <v>1606</v>
      </c>
      <c r="B923" t="s">
        <v>1512</v>
      </c>
      <c r="C923" t="s">
        <v>725</v>
      </c>
      <c r="D923">
        <v>0.16765439700000001</v>
      </c>
      <c r="E923">
        <v>0.33500000000000002</v>
      </c>
      <c r="F923">
        <v>1.7</v>
      </c>
    </row>
    <row r="924" spans="1:6">
      <c r="A924" t="s">
        <v>1609</v>
      </c>
      <c r="B924" t="s">
        <v>1512</v>
      </c>
      <c r="C924" t="s">
        <v>725</v>
      </c>
      <c r="D924">
        <v>4.5749979000000003E-2</v>
      </c>
      <c r="E924">
        <v>0.36</v>
      </c>
      <c r="F924">
        <v>-1.9</v>
      </c>
    </row>
    <row r="925" spans="1:6">
      <c r="A925" t="s">
        <v>1612</v>
      </c>
      <c r="B925" t="s">
        <v>1512</v>
      </c>
      <c r="C925" t="s">
        <v>725</v>
      </c>
      <c r="D925">
        <v>0.15995145699999999</v>
      </c>
      <c r="E925">
        <v>0.36599999999999999</v>
      </c>
      <c r="F925">
        <v>-2.1</v>
      </c>
    </row>
    <row r="926" spans="1:6">
      <c r="A926" t="s">
        <v>1595</v>
      </c>
      <c r="B926" t="s">
        <v>1512</v>
      </c>
      <c r="C926" t="s">
        <v>725</v>
      </c>
      <c r="D926">
        <v>0.19383672900000001</v>
      </c>
      <c r="E926">
        <v>0.38100000000000001</v>
      </c>
      <c r="F926">
        <v>2.2000000000000002</v>
      </c>
    </row>
    <row r="927" spans="1:6">
      <c r="A927" t="s">
        <v>1601</v>
      </c>
      <c r="B927" t="s">
        <v>1520</v>
      </c>
      <c r="C927" t="s">
        <v>725</v>
      </c>
      <c r="D927">
        <v>0</v>
      </c>
      <c r="E927">
        <v>0</v>
      </c>
      <c r="F927">
        <v>0</v>
      </c>
    </row>
    <row r="928" spans="1:6">
      <c r="A928" t="s">
        <v>1606</v>
      </c>
      <c r="B928" t="s">
        <v>1520</v>
      </c>
      <c r="C928" t="s">
        <v>725</v>
      </c>
      <c r="D928">
        <v>0</v>
      </c>
      <c r="E928">
        <v>0</v>
      </c>
      <c r="F928">
        <v>0</v>
      </c>
    </row>
    <row r="929" spans="1:6">
      <c r="A929" t="s">
        <v>1609</v>
      </c>
      <c r="B929" t="s">
        <v>1520</v>
      </c>
      <c r="C929" t="s">
        <v>725</v>
      </c>
      <c r="D929">
        <v>6.7264430000000004E-3</v>
      </c>
      <c r="E929">
        <v>0.245</v>
      </c>
      <c r="F929">
        <v>1.2</v>
      </c>
    </row>
    <row r="930" spans="1:6">
      <c r="A930" t="s">
        <v>1612</v>
      </c>
      <c r="B930" t="s">
        <v>1520</v>
      </c>
      <c r="C930" t="s">
        <v>725</v>
      </c>
      <c r="D930">
        <v>5.0371002999999998E-2</v>
      </c>
      <c r="E930">
        <v>6.2E-2</v>
      </c>
      <c r="F930">
        <v>-0.3</v>
      </c>
    </row>
    <row r="931" spans="1:6">
      <c r="A931" t="s">
        <v>1595</v>
      </c>
      <c r="B931" t="s">
        <v>1520</v>
      </c>
      <c r="C931" t="s">
        <v>725</v>
      </c>
      <c r="D931">
        <v>1.9954389999999999E-3</v>
      </c>
      <c r="E931">
        <v>0.995</v>
      </c>
      <c r="F931">
        <v>14.8</v>
      </c>
    </row>
    <row r="932" spans="1:6">
      <c r="A932" t="s">
        <v>1601</v>
      </c>
      <c r="B932" t="s">
        <v>1528</v>
      </c>
      <c r="C932" t="s">
        <v>17</v>
      </c>
      <c r="D932">
        <v>1</v>
      </c>
      <c r="E932">
        <v>0.81</v>
      </c>
      <c r="F932">
        <v>-5.6</v>
      </c>
    </row>
    <row r="933" spans="1:6">
      <c r="A933" t="s">
        <v>1606</v>
      </c>
      <c r="B933" t="s">
        <v>1528</v>
      </c>
      <c r="C933" t="s">
        <v>17</v>
      </c>
      <c r="D933">
        <v>1</v>
      </c>
      <c r="E933">
        <v>0.82899999999999996</v>
      </c>
      <c r="F933">
        <v>-5.9</v>
      </c>
    </row>
    <row r="934" spans="1:6">
      <c r="A934" t="s">
        <v>1609</v>
      </c>
      <c r="B934" t="s">
        <v>1528</v>
      </c>
      <c r="C934" t="s">
        <v>17</v>
      </c>
      <c r="D934">
        <v>0.98496336200000001</v>
      </c>
      <c r="E934">
        <v>0.81100000000000005</v>
      </c>
      <c r="F934">
        <v>-5.6</v>
      </c>
    </row>
    <row r="935" spans="1:6">
      <c r="A935" t="s">
        <v>1612</v>
      </c>
      <c r="B935" t="s">
        <v>1528</v>
      </c>
      <c r="C935" t="s">
        <v>17</v>
      </c>
      <c r="D935">
        <v>0.55530520500000002</v>
      </c>
      <c r="E935">
        <v>1.2E-2</v>
      </c>
      <c r="F935">
        <v>0.1</v>
      </c>
    </row>
    <row r="936" spans="1:6">
      <c r="A936" t="s">
        <v>1595</v>
      </c>
      <c r="B936" t="s">
        <v>1528</v>
      </c>
      <c r="C936" t="s">
        <v>17</v>
      </c>
      <c r="D936">
        <v>0.71122759400000002</v>
      </c>
      <c r="E936">
        <v>0.154</v>
      </c>
      <c r="F936">
        <v>-0.8</v>
      </c>
    </row>
    <row r="937" spans="1:6">
      <c r="A937" t="s">
        <v>1601</v>
      </c>
      <c r="B937" t="s">
        <v>1535</v>
      </c>
      <c r="C937" t="s">
        <v>17</v>
      </c>
      <c r="D937">
        <v>0.68090629999999996</v>
      </c>
      <c r="E937">
        <v>0.56000000000000005</v>
      </c>
      <c r="F937">
        <v>3.1</v>
      </c>
    </row>
    <row r="938" spans="1:6">
      <c r="A938" t="s">
        <v>1606</v>
      </c>
      <c r="B938" t="s">
        <v>1535</v>
      </c>
      <c r="C938" t="s">
        <v>17</v>
      </c>
      <c r="D938">
        <v>0.997765503</v>
      </c>
      <c r="E938">
        <v>0.27300000000000002</v>
      </c>
      <c r="F938">
        <v>1.4</v>
      </c>
    </row>
    <row r="939" spans="1:6">
      <c r="A939" t="s">
        <v>1609</v>
      </c>
      <c r="B939" t="s">
        <v>1535</v>
      </c>
      <c r="C939" t="s">
        <v>17</v>
      </c>
      <c r="D939">
        <v>0.98736967200000003</v>
      </c>
      <c r="E939">
        <v>0.33600000000000002</v>
      </c>
      <c r="F939">
        <v>1.7</v>
      </c>
    </row>
    <row r="940" spans="1:6">
      <c r="A940" t="s">
        <v>1612</v>
      </c>
      <c r="B940" t="s">
        <v>1535</v>
      </c>
      <c r="C940" t="s">
        <v>17</v>
      </c>
      <c r="D940">
        <v>1</v>
      </c>
      <c r="E940">
        <v>0.41399999999999998</v>
      </c>
      <c r="F940">
        <v>2.4</v>
      </c>
    </row>
    <row r="941" spans="1:6">
      <c r="A941" t="s">
        <v>1595</v>
      </c>
      <c r="B941" t="s">
        <v>1535</v>
      </c>
      <c r="C941" t="s">
        <v>17</v>
      </c>
      <c r="D941">
        <v>1</v>
      </c>
      <c r="E941">
        <v>0.155</v>
      </c>
      <c r="F941">
        <v>-0.8</v>
      </c>
    </row>
    <row r="942" spans="1:6">
      <c r="A942" t="s">
        <v>1601</v>
      </c>
      <c r="B942" t="s">
        <v>1543</v>
      </c>
      <c r="C942" t="s">
        <v>17</v>
      </c>
      <c r="D942">
        <v>1</v>
      </c>
      <c r="E942">
        <v>0.17799999999999999</v>
      </c>
      <c r="F942">
        <v>0.9</v>
      </c>
    </row>
    <row r="943" spans="1:6">
      <c r="A943" t="s">
        <v>1606</v>
      </c>
      <c r="B943" t="s">
        <v>1543</v>
      </c>
      <c r="C943" t="s">
        <v>17</v>
      </c>
      <c r="D943">
        <v>1</v>
      </c>
      <c r="E943">
        <v>3.6999999999999998E-2</v>
      </c>
      <c r="F943">
        <v>0.2</v>
      </c>
    </row>
    <row r="944" spans="1:6">
      <c r="A944" t="s">
        <v>1609</v>
      </c>
      <c r="B944" t="s">
        <v>1543</v>
      </c>
      <c r="C944" t="s">
        <v>17</v>
      </c>
      <c r="D944">
        <v>1</v>
      </c>
      <c r="E944">
        <v>0.30599999999999999</v>
      </c>
      <c r="F944">
        <v>-1.6</v>
      </c>
    </row>
    <row r="945" spans="1:6">
      <c r="A945" t="s">
        <v>1612</v>
      </c>
      <c r="B945" t="s">
        <v>1543</v>
      </c>
      <c r="C945" t="s">
        <v>17</v>
      </c>
      <c r="D945">
        <v>1</v>
      </c>
      <c r="E945">
        <v>0.17699999999999999</v>
      </c>
      <c r="F945">
        <v>1</v>
      </c>
    </row>
    <row r="946" spans="1:6">
      <c r="A946" t="s">
        <v>1595</v>
      </c>
      <c r="B946" t="s">
        <v>1543</v>
      </c>
      <c r="C946" t="s">
        <v>17</v>
      </c>
      <c r="D946">
        <v>1</v>
      </c>
      <c r="E946">
        <v>0.47699999999999998</v>
      </c>
      <c r="F946">
        <v>-2.8</v>
      </c>
    </row>
    <row r="947" spans="1:6">
      <c r="A947" t="s">
        <v>1601</v>
      </c>
      <c r="B947" t="s">
        <v>1551</v>
      </c>
      <c r="C947" t="s">
        <v>725</v>
      </c>
      <c r="D947">
        <v>7.0334279E-2</v>
      </c>
      <c r="E947">
        <v>0.14299999999999999</v>
      </c>
      <c r="F947">
        <v>0.7</v>
      </c>
    </row>
    <row r="948" spans="1:6">
      <c r="A948" t="s">
        <v>1606</v>
      </c>
      <c r="B948" t="s">
        <v>1551</v>
      </c>
      <c r="C948" t="s">
        <v>725</v>
      </c>
      <c r="D948">
        <v>1</v>
      </c>
      <c r="E948">
        <v>3.1E-2</v>
      </c>
      <c r="F948">
        <v>-0.2</v>
      </c>
    </row>
    <row r="949" spans="1:6">
      <c r="A949" t="s">
        <v>1609</v>
      </c>
      <c r="B949" t="s">
        <v>1551</v>
      </c>
      <c r="C949" t="s">
        <v>725</v>
      </c>
      <c r="D949">
        <v>0.101777045</v>
      </c>
      <c r="E949">
        <v>4.0000000000000001E-3</v>
      </c>
      <c r="F949">
        <v>0</v>
      </c>
    </row>
    <row r="950" spans="1:6">
      <c r="A950" t="s">
        <v>1612</v>
      </c>
      <c r="B950" t="s">
        <v>1551</v>
      </c>
      <c r="C950" t="s">
        <v>725</v>
      </c>
      <c r="D950">
        <v>0.97156985299999998</v>
      </c>
      <c r="E950">
        <v>9.0999999999999998E-2</v>
      </c>
      <c r="F950">
        <v>0.5</v>
      </c>
    </row>
    <row r="951" spans="1:6">
      <c r="A951" t="s">
        <v>1595</v>
      </c>
      <c r="B951" t="s">
        <v>1551</v>
      </c>
      <c r="C951" t="s">
        <v>725</v>
      </c>
      <c r="D951">
        <v>1</v>
      </c>
      <c r="E951">
        <v>0.04</v>
      </c>
      <c r="F951">
        <v>-0.2</v>
      </c>
    </row>
    <row r="952" spans="1:6">
      <c r="A952" t="s">
        <v>1601</v>
      </c>
      <c r="B952" t="s">
        <v>1559</v>
      </c>
      <c r="C952" t="s">
        <v>17</v>
      </c>
      <c r="D952">
        <v>0</v>
      </c>
      <c r="E952">
        <v>0</v>
      </c>
      <c r="F952">
        <v>0</v>
      </c>
    </row>
    <row r="953" spans="1:6">
      <c r="A953" t="s">
        <v>1606</v>
      </c>
      <c r="B953" t="s">
        <v>1559</v>
      </c>
      <c r="C953" t="s">
        <v>17</v>
      </c>
      <c r="D953">
        <v>0</v>
      </c>
      <c r="E953">
        <v>0</v>
      </c>
      <c r="F953">
        <v>0</v>
      </c>
    </row>
    <row r="954" spans="1:6">
      <c r="A954" t="s">
        <v>1609</v>
      </c>
      <c r="B954" t="s">
        <v>1559</v>
      </c>
      <c r="C954" t="s">
        <v>17</v>
      </c>
      <c r="D954">
        <v>4.4260115000000003E-2</v>
      </c>
      <c r="E954">
        <v>8.2000000000000003E-2</v>
      </c>
      <c r="F954">
        <v>-0.4</v>
      </c>
    </row>
    <row r="955" spans="1:6">
      <c r="A955" t="s">
        <v>1612</v>
      </c>
      <c r="B955" t="s">
        <v>1559</v>
      </c>
      <c r="C955" t="s">
        <v>17</v>
      </c>
      <c r="D955">
        <v>1</v>
      </c>
      <c r="E955">
        <v>0.35699999999999998</v>
      </c>
      <c r="F955">
        <v>-2</v>
      </c>
    </row>
    <row r="956" spans="1:6">
      <c r="A956" t="s">
        <v>1595</v>
      </c>
      <c r="B956" t="s">
        <v>1559</v>
      </c>
      <c r="C956" t="s">
        <v>17</v>
      </c>
      <c r="D956">
        <v>1</v>
      </c>
      <c r="E956">
        <v>0.45100000000000001</v>
      </c>
      <c r="F956">
        <v>-2.6</v>
      </c>
    </row>
    <row r="957" spans="1:6">
      <c r="A957" t="s">
        <v>1601</v>
      </c>
      <c r="B957" t="s">
        <v>1567</v>
      </c>
      <c r="C957" t="s">
        <v>725</v>
      </c>
      <c r="D957">
        <v>2.2588548E-2</v>
      </c>
      <c r="E957">
        <v>0.995</v>
      </c>
      <c r="F957">
        <v>14.8</v>
      </c>
    </row>
    <row r="958" spans="1:6">
      <c r="A958" t="s">
        <v>1606</v>
      </c>
      <c r="B958" t="s">
        <v>1567</v>
      </c>
      <c r="C958" t="s">
        <v>725</v>
      </c>
      <c r="D958">
        <v>0</v>
      </c>
      <c r="E958">
        <v>0</v>
      </c>
      <c r="F958">
        <v>0</v>
      </c>
    </row>
    <row r="959" spans="1:6">
      <c r="A959" t="s">
        <v>1609</v>
      </c>
      <c r="B959" t="s">
        <v>1567</v>
      </c>
      <c r="C959" t="s">
        <v>725</v>
      </c>
      <c r="D959">
        <v>5.7902185000000002E-2</v>
      </c>
      <c r="E959">
        <v>0.24199999999999999</v>
      </c>
      <c r="F959">
        <v>-1.2</v>
      </c>
    </row>
    <row r="960" spans="1:6">
      <c r="A960" t="s">
        <v>1612</v>
      </c>
      <c r="B960" t="s">
        <v>1567</v>
      </c>
      <c r="C960" t="s">
        <v>725</v>
      </c>
      <c r="D960">
        <v>1</v>
      </c>
      <c r="E960">
        <v>0.58599999999999997</v>
      </c>
      <c r="F960">
        <v>-3.6</v>
      </c>
    </row>
    <row r="961" spans="1:6">
      <c r="A961" t="s">
        <v>1595</v>
      </c>
      <c r="B961" t="s">
        <v>1567</v>
      </c>
      <c r="C961" t="s">
        <v>725</v>
      </c>
      <c r="D961">
        <v>1</v>
      </c>
      <c r="E961">
        <v>9.5000000000000001E-2</v>
      </c>
      <c r="F961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DE6E-CD27-4A11-B4CC-C860BFF54590}">
  <dimension ref="A1:T3361"/>
  <sheetViews>
    <sheetView workbookViewId="0">
      <selection sqref="A1:C1"/>
    </sheetView>
  </sheetViews>
  <sheetFormatPr defaultRowHeight="14.4"/>
  <cols>
    <col min="1" max="1" width="21.21875" customWidth="1"/>
    <col min="2" max="2" width="17.109375" customWidth="1"/>
    <col min="3" max="3" width="16" customWidth="1"/>
    <col min="4" max="4" width="20.21875" customWidth="1"/>
    <col min="5" max="5" width="13.88671875" customWidth="1"/>
    <col min="6" max="6" width="13.33203125" style="17" customWidth="1"/>
    <col min="8" max="8" width="14.77734375" style="362" customWidth="1"/>
    <col min="9" max="9" width="22.77734375" style="362" customWidth="1"/>
    <col min="14" max="14" width="20.21875" customWidth="1"/>
    <col min="15" max="15" width="16.109375" customWidth="1"/>
    <col min="16" max="16" width="23.5546875" customWidth="1"/>
    <col min="19" max="19" width="36.44140625" customWidth="1"/>
  </cols>
  <sheetData>
    <row r="1" spans="1:20">
      <c r="A1" s="1" t="s">
        <v>2980</v>
      </c>
      <c r="B1" s="1" t="s">
        <v>1577</v>
      </c>
      <c r="C1" s="1" t="s">
        <v>2981</v>
      </c>
      <c r="D1" s="1" t="s">
        <v>2982</v>
      </c>
      <c r="E1" s="1" t="s">
        <v>2983</v>
      </c>
      <c r="F1" s="364" t="s">
        <v>1578</v>
      </c>
      <c r="H1" s="1" t="s">
        <v>2973</v>
      </c>
      <c r="I1" s="1" t="s">
        <v>2984</v>
      </c>
      <c r="N1" s="1"/>
      <c r="O1" s="1"/>
      <c r="P1" s="1"/>
      <c r="Q1" s="1"/>
      <c r="R1" s="1"/>
      <c r="S1" s="1"/>
      <c r="T1" s="1"/>
    </row>
    <row r="2" spans="1:20">
      <c r="A2" s="3">
        <v>5</v>
      </c>
      <c r="B2" s="3">
        <v>2</v>
      </c>
      <c r="C2" s="2">
        <v>50</v>
      </c>
      <c r="D2" s="2">
        <v>5</v>
      </c>
      <c r="E2" s="2">
        <v>16</v>
      </c>
      <c r="F2" s="3">
        <v>1</v>
      </c>
      <c r="H2" s="360">
        <v>1</v>
      </c>
      <c r="I2" s="359">
        <v>0.60765763098913184</v>
      </c>
      <c r="K2" s="363"/>
      <c r="N2" s="10"/>
      <c r="O2" s="4"/>
      <c r="P2" s="4"/>
      <c r="Q2" s="3"/>
      <c r="R2" s="3"/>
      <c r="S2" s="3"/>
      <c r="T2" s="3"/>
    </row>
    <row r="3" spans="1:20">
      <c r="A3" s="3">
        <v>1</v>
      </c>
      <c r="B3" s="3">
        <v>1</v>
      </c>
      <c r="C3" s="2">
        <v>25</v>
      </c>
      <c r="D3" s="2">
        <v>5</v>
      </c>
      <c r="E3" s="2">
        <v>1</v>
      </c>
      <c r="F3" s="3">
        <v>1</v>
      </c>
      <c r="H3" s="360">
        <v>1</v>
      </c>
      <c r="I3" s="360">
        <v>0.55183730416136234</v>
      </c>
      <c r="K3" s="363"/>
      <c r="N3" s="10"/>
      <c r="O3" s="4"/>
      <c r="P3" s="4"/>
      <c r="Q3" s="3"/>
      <c r="R3" s="3"/>
      <c r="S3" s="3"/>
      <c r="T3" s="3"/>
    </row>
    <row r="4" spans="1:20">
      <c r="A4" s="3">
        <v>1</v>
      </c>
      <c r="B4" s="3">
        <v>1</v>
      </c>
      <c r="C4" s="2">
        <v>25</v>
      </c>
      <c r="D4" s="2">
        <v>5</v>
      </c>
      <c r="E4" s="2">
        <v>16</v>
      </c>
      <c r="F4" s="3">
        <v>1</v>
      </c>
      <c r="H4" s="360">
        <v>1</v>
      </c>
      <c r="I4" s="360">
        <v>0.53042280551138798</v>
      </c>
      <c r="K4" s="363"/>
      <c r="N4" s="10"/>
      <c r="O4" s="4"/>
      <c r="P4" s="4"/>
      <c r="Q4" s="3"/>
      <c r="R4" s="3"/>
      <c r="S4" s="3"/>
      <c r="T4" s="3"/>
    </row>
    <row r="5" spans="1:20">
      <c r="A5" s="3">
        <v>3</v>
      </c>
      <c r="B5" s="3">
        <v>2</v>
      </c>
      <c r="C5" s="2">
        <v>25</v>
      </c>
      <c r="D5" s="2">
        <v>5</v>
      </c>
      <c r="E5" s="2">
        <v>1</v>
      </c>
      <c r="F5" s="3">
        <v>1</v>
      </c>
      <c r="H5" s="361">
        <v>1</v>
      </c>
      <c r="I5" s="361">
        <v>0.42612949081309209</v>
      </c>
      <c r="K5" s="363"/>
      <c r="N5" s="10"/>
      <c r="O5" s="4"/>
      <c r="P5" s="4"/>
      <c r="Q5" s="3"/>
      <c r="R5" s="3"/>
      <c r="S5" s="3"/>
      <c r="T5" s="3"/>
    </row>
    <row r="6" spans="1:20">
      <c r="A6" s="3">
        <v>1</v>
      </c>
      <c r="B6" s="3">
        <v>2</v>
      </c>
      <c r="C6" s="2">
        <v>25</v>
      </c>
      <c r="D6" s="2">
        <v>5</v>
      </c>
      <c r="E6" s="2">
        <v>16</v>
      </c>
      <c r="F6" s="3">
        <v>1</v>
      </c>
      <c r="H6" s="361">
        <v>1</v>
      </c>
      <c r="I6" s="361">
        <v>0.38769955463367806</v>
      </c>
      <c r="K6" s="363"/>
      <c r="N6" s="10"/>
      <c r="O6" s="4"/>
      <c r="P6" s="4"/>
      <c r="Q6" s="3"/>
      <c r="R6" s="3"/>
      <c r="S6" s="3"/>
      <c r="T6" s="3"/>
    </row>
    <row r="7" spans="1:20">
      <c r="A7" s="3">
        <v>1</v>
      </c>
      <c r="B7" s="3">
        <v>2</v>
      </c>
      <c r="C7" s="2">
        <v>25</v>
      </c>
      <c r="D7" s="2">
        <v>5</v>
      </c>
      <c r="E7" s="2">
        <v>16</v>
      </c>
      <c r="F7" s="3">
        <v>1</v>
      </c>
      <c r="H7" s="360">
        <v>1</v>
      </c>
      <c r="I7" s="360">
        <v>0.35834848449836637</v>
      </c>
      <c r="K7" s="363"/>
      <c r="N7" s="10"/>
      <c r="O7" s="4"/>
      <c r="P7" s="4"/>
      <c r="Q7" s="3"/>
      <c r="R7" s="3"/>
      <c r="S7" s="3"/>
      <c r="T7" s="3"/>
    </row>
    <row r="8" spans="1:20">
      <c r="A8" s="3">
        <v>1</v>
      </c>
      <c r="B8" s="3">
        <v>2</v>
      </c>
      <c r="C8" s="2">
        <v>25</v>
      </c>
      <c r="D8" s="2">
        <v>5</v>
      </c>
      <c r="E8" s="2">
        <v>1</v>
      </c>
      <c r="F8" s="3">
        <v>1</v>
      </c>
      <c r="H8" s="360">
        <v>1</v>
      </c>
      <c r="I8" s="360">
        <v>0.34686857848498687</v>
      </c>
      <c r="K8" s="363"/>
      <c r="N8" s="10"/>
      <c r="O8" s="4"/>
      <c r="P8" s="4"/>
      <c r="Q8" s="3"/>
      <c r="R8" s="3"/>
      <c r="S8" s="3"/>
      <c r="T8" s="3"/>
    </row>
    <row r="9" spans="1:20">
      <c r="A9" s="3">
        <v>3</v>
      </c>
      <c r="B9" s="3">
        <v>2</v>
      </c>
      <c r="C9" s="2">
        <v>25</v>
      </c>
      <c r="D9" s="2">
        <v>5</v>
      </c>
      <c r="E9" s="2">
        <v>16</v>
      </c>
      <c r="F9" s="3">
        <v>1</v>
      </c>
      <c r="H9" s="360">
        <v>1</v>
      </c>
      <c r="I9" s="360">
        <v>0.31719967545776367</v>
      </c>
      <c r="K9" s="363"/>
      <c r="N9" s="10"/>
      <c r="O9" s="4"/>
      <c r="P9" s="4"/>
      <c r="Q9" s="3"/>
      <c r="R9" s="3"/>
      <c r="S9" s="3"/>
      <c r="T9" s="3"/>
    </row>
    <row r="10" spans="1:20">
      <c r="A10" s="3">
        <v>4</v>
      </c>
      <c r="B10" s="3">
        <v>2</v>
      </c>
      <c r="C10" s="2">
        <v>50</v>
      </c>
      <c r="D10" s="2">
        <v>5</v>
      </c>
      <c r="E10" s="2">
        <v>16</v>
      </c>
      <c r="F10" s="3">
        <v>1</v>
      </c>
      <c r="H10" s="360">
        <v>1</v>
      </c>
      <c r="I10" s="359">
        <v>0.28874282341578578</v>
      </c>
      <c r="K10" s="363"/>
      <c r="N10" s="10"/>
      <c r="O10" s="4"/>
      <c r="P10" s="4"/>
      <c r="Q10" s="3"/>
      <c r="R10" s="3"/>
      <c r="S10" s="3"/>
      <c r="T10" s="3"/>
    </row>
    <row r="11" spans="1:20">
      <c r="A11" s="3">
        <v>3</v>
      </c>
      <c r="B11" s="3">
        <v>1</v>
      </c>
      <c r="C11" s="2">
        <v>25</v>
      </c>
      <c r="D11" s="2">
        <v>5</v>
      </c>
      <c r="E11" s="2">
        <v>1</v>
      </c>
      <c r="F11" s="3">
        <v>1</v>
      </c>
      <c r="H11" s="360">
        <v>1</v>
      </c>
      <c r="I11" s="360">
        <v>0.22336630279207878</v>
      </c>
      <c r="K11" s="363"/>
      <c r="N11" s="10"/>
      <c r="O11" s="4"/>
      <c r="P11" s="4"/>
      <c r="Q11" s="3"/>
      <c r="R11" s="3"/>
      <c r="S11" s="3"/>
      <c r="T11" s="3"/>
    </row>
    <row r="12" spans="1:20">
      <c r="A12" s="3">
        <v>3</v>
      </c>
      <c r="B12" s="3">
        <v>1</v>
      </c>
      <c r="C12" s="2">
        <v>25</v>
      </c>
      <c r="D12" s="2">
        <v>5</v>
      </c>
      <c r="E12" s="2">
        <v>16</v>
      </c>
      <c r="F12" s="3">
        <v>1</v>
      </c>
      <c r="H12" s="361">
        <v>0.80662879902945817</v>
      </c>
      <c r="I12" s="361">
        <v>0.14599135167282951</v>
      </c>
      <c r="K12" s="363"/>
      <c r="N12" s="10"/>
      <c r="O12" s="4"/>
      <c r="P12" s="4"/>
      <c r="Q12" s="3"/>
      <c r="R12" s="3"/>
      <c r="S12" s="3"/>
      <c r="T12" s="3"/>
    </row>
    <row r="13" spans="1:20">
      <c r="A13" s="3">
        <v>1</v>
      </c>
      <c r="B13" s="3">
        <v>1</v>
      </c>
      <c r="C13" s="2">
        <v>25</v>
      </c>
      <c r="D13" s="2">
        <v>30</v>
      </c>
      <c r="E13" s="2">
        <v>16</v>
      </c>
      <c r="F13" s="3">
        <v>1</v>
      </c>
      <c r="H13" s="360">
        <v>1</v>
      </c>
      <c r="I13" s="360">
        <v>0.13974937406598101</v>
      </c>
      <c r="K13" s="363"/>
      <c r="N13" s="10"/>
      <c r="O13" s="4"/>
      <c r="P13" s="4"/>
      <c r="Q13" s="3"/>
      <c r="R13" s="3"/>
      <c r="S13" s="3"/>
      <c r="T13" s="3"/>
    </row>
    <row r="14" spans="1:20">
      <c r="A14" s="3">
        <v>2</v>
      </c>
      <c r="B14" s="3">
        <v>1</v>
      </c>
      <c r="C14" s="2">
        <v>25</v>
      </c>
      <c r="D14" s="2">
        <v>5</v>
      </c>
      <c r="E14" s="2">
        <v>16</v>
      </c>
      <c r="F14" s="3">
        <v>1</v>
      </c>
      <c r="H14" s="361">
        <v>1</v>
      </c>
      <c r="I14" s="361">
        <v>7.2587120603822067E-2</v>
      </c>
      <c r="K14" s="363"/>
      <c r="N14" s="10"/>
      <c r="O14" s="4"/>
      <c r="P14" s="4"/>
      <c r="Q14" s="3"/>
      <c r="R14" s="3"/>
      <c r="S14" s="3"/>
      <c r="T14" s="3"/>
    </row>
    <row r="15" spans="1:20">
      <c r="A15" s="3">
        <v>1</v>
      </c>
      <c r="B15" s="3">
        <v>2</v>
      </c>
      <c r="C15" s="2">
        <v>25</v>
      </c>
      <c r="D15" s="2">
        <v>30</v>
      </c>
      <c r="E15" s="2">
        <v>16</v>
      </c>
      <c r="F15" s="3">
        <v>1</v>
      </c>
      <c r="H15" s="360">
        <v>1</v>
      </c>
      <c r="I15" s="360">
        <v>5.9046064074960131E-2</v>
      </c>
      <c r="K15" s="363"/>
      <c r="N15" s="10"/>
      <c r="O15" s="4"/>
      <c r="P15" s="4"/>
      <c r="Q15" s="3"/>
      <c r="R15" s="3"/>
      <c r="S15" s="3"/>
      <c r="T15" s="3"/>
    </row>
    <row r="16" spans="1:20">
      <c r="A16" s="3">
        <v>2</v>
      </c>
      <c r="B16" s="3">
        <v>2</v>
      </c>
      <c r="C16" s="2">
        <v>25</v>
      </c>
      <c r="D16" s="2">
        <v>5</v>
      </c>
      <c r="E16" s="2">
        <v>16</v>
      </c>
      <c r="F16" s="3">
        <v>1</v>
      </c>
      <c r="H16" s="361">
        <v>1</v>
      </c>
      <c r="I16" s="361">
        <v>1.4509902606963875E-3</v>
      </c>
      <c r="K16" s="363"/>
      <c r="N16" s="10"/>
      <c r="O16" s="4"/>
      <c r="P16" s="4"/>
      <c r="Q16" s="3"/>
      <c r="R16" s="3"/>
      <c r="S16" s="3"/>
      <c r="T16" s="3"/>
    </row>
    <row r="17" spans="1:20">
      <c r="A17" s="3">
        <v>2</v>
      </c>
      <c r="B17" s="3">
        <v>1</v>
      </c>
      <c r="C17" s="2">
        <v>25</v>
      </c>
      <c r="D17" s="2">
        <v>5</v>
      </c>
      <c r="E17" s="2">
        <v>1</v>
      </c>
      <c r="F17" s="3">
        <v>1</v>
      </c>
      <c r="H17" s="360">
        <v>1</v>
      </c>
      <c r="I17" s="360">
        <v>-5.8636682045460258E-3</v>
      </c>
      <c r="K17" s="363"/>
      <c r="N17" s="10"/>
      <c r="O17" s="4"/>
      <c r="P17" s="4"/>
      <c r="Q17" s="3"/>
      <c r="R17" s="3"/>
      <c r="S17" s="3"/>
      <c r="T17" s="3"/>
    </row>
    <row r="18" spans="1:20">
      <c r="A18" s="3">
        <v>2</v>
      </c>
      <c r="B18" s="3">
        <v>2</v>
      </c>
      <c r="C18" s="2">
        <v>25</v>
      </c>
      <c r="D18" s="2">
        <v>5</v>
      </c>
      <c r="E18" s="2">
        <v>1</v>
      </c>
      <c r="F18" s="3">
        <v>1</v>
      </c>
      <c r="H18" s="361">
        <v>0.95592381136242977</v>
      </c>
      <c r="I18" s="361">
        <v>-2.5381193088332213E-2</v>
      </c>
      <c r="K18" s="363"/>
      <c r="N18" s="10"/>
      <c r="O18" s="4"/>
      <c r="P18" s="4"/>
      <c r="Q18" s="3"/>
      <c r="R18" s="3"/>
      <c r="S18" s="3"/>
      <c r="T18" s="3"/>
    </row>
    <row r="19" spans="1:20">
      <c r="A19" s="3">
        <v>2</v>
      </c>
      <c r="B19" s="3">
        <v>2</v>
      </c>
      <c r="C19" s="2">
        <v>25</v>
      </c>
      <c r="D19" s="2">
        <v>5</v>
      </c>
      <c r="E19" s="2">
        <v>16</v>
      </c>
      <c r="F19" s="17">
        <v>2</v>
      </c>
      <c r="H19" s="361">
        <v>1</v>
      </c>
      <c r="I19" s="361">
        <v>0.6036916753216065</v>
      </c>
      <c r="K19" s="363"/>
      <c r="N19" s="10"/>
      <c r="O19" s="4"/>
      <c r="P19" s="4"/>
      <c r="Q19" s="3"/>
      <c r="R19" s="3"/>
      <c r="S19" s="3"/>
      <c r="T19" s="3"/>
    </row>
    <row r="20" spans="1:20">
      <c r="A20" s="3">
        <v>2</v>
      </c>
      <c r="B20" s="3">
        <v>2</v>
      </c>
      <c r="C20" s="2">
        <v>25</v>
      </c>
      <c r="D20" s="2">
        <v>5</v>
      </c>
      <c r="E20" s="2">
        <v>1</v>
      </c>
      <c r="F20" s="17">
        <v>2</v>
      </c>
      <c r="H20" s="361">
        <v>0.98520596989107756</v>
      </c>
      <c r="I20" s="361">
        <v>0.58942588064191859</v>
      </c>
      <c r="K20" s="363"/>
      <c r="N20" s="10"/>
      <c r="O20" s="4"/>
      <c r="P20" s="4"/>
      <c r="Q20" s="3"/>
      <c r="R20" s="3"/>
      <c r="S20" s="3"/>
      <c r="T20" s="3"/>
    </row>
    <row r="21" spans="1:20">
      <c r="A21" s="3">
        <v>2</v>
      </c>
      <c r="B21" s="3">
        <v>1</v>
      </c>
      <c r="C21" s="2">
        <v>25</v>
      </c>
      <c r="D21" s="2">
        <v>5</v>
      </c>
      <c r="E21" s="2">
        <v>16</v>
      </c>
      <c r="F21" s="17">
        <v>2</v>
      </c>
      <c r="H21" s="361">
        <v>1</v>
      </c>
      <c r="I21" s="361">
        <v>0.54104224102595766</v>
      </c>
      <c r="K21" s="363"/>
      <c r="N21" s="10"/>
      <c r="O21" s="4"/>
      <c r="P21" s="4"/>
      <c r="Q21" s="3"/>
      <c r="R21" s="3"/>
      <c r="S21" s="3"/>
      <c r="T21" s="3"/>
    </row>
    <row r="22" spans="1:20">
      <c r="A22" s="3">
        <v>2</v>
      </c>
      <c r="B22" s="3">
        <v>1</v>
      </c>
      <c r="C22" s="2">
        <v>25</v>
      </c>
      <c r="D22" s="2">
        <v>5</v>
      </c>
      <c r="E22" s="2">
        <v>1</v>
      </c>
      <c r="F22" s="17">
        <v>2</v>
      </c>
      <c r="H22" s="360">
        <v>1</v>
      </c>
      <c r="I22" s="360">
        <v>0.54027095524668178</v>
      </c>
      <c r="K22" s="363"/>
      <c r="N22" s="10"/>
      <c r="O22" s="4"/>
      <c r="P22" s="4"/>
      <c r="Q22" s="3"/>
      <c r="R22" s="3"/>
      <c r="S22" s="3"/>
      <c r="T22" s="3"/>
    </row>
    <row r="23" spans="1:20">
      <c r="A23" s="3">
        <v>4</v>
      </c>
      <c r="B23" s="3">
        <v>2</v>
      </c>
      <c r="C23" s="2">
        <v>50</v>
      </c>
      <c r="D23" s="2">
        <v>5</v>
      </c>
      <c r="E23" s="2">
        <v>16</v>
      </c>
      <c r="F23" s="17">
        <v>2</v>
      </c>
      <c r="H23" s="360">
        <v>1</v>
      </c>
      <c r="I23" s="359">
        <v>0.26030922165284864</v>
      </c>
      <c r="K23" s="363"/>
      <c r="N23" s="10"/>
      <c r="O23" s="4"/>
      <c r="P23" s="4"/>
      <c r="Q23" s="3"/>
      <c r="R23" s="3"/>
      <c r="S23" s="3"/>
      <c r="T23" s="3"/>
    </row>
    <row r="24" spans="1:20">
      <c r="A24" s="3">
        <v>3</v>
      </c>
      <c r="B24" s="3">
        <v>2</v>
      </c>
      <c r="C24" s="2">
        <v>25</v>
      </c>
      <c r="D24" s="2">
        <v>5</v>
      </c>
      <c r="E24" s="2">
        <v>16</v>
      </c>
      <c r="F24" s="17">
        <v>2</v>
      </c>
      <c r="H24" s="360">
        <v>1</v>
      </c>
      <c r="I24" s="360">
        <v>7.2044894446588681E-2</v>
      </c>
      <c r="K24" s="363"/>
      <c r="N24" s="10"/>
      <c r="O24" s="4"/>
      <c r="P24" s="4"/>
      <c r="Q24" s="3"/>
      <c r="R24" s="3"/>
      <c r="S24" s="3"/>
      <c r="T24" s="3"/>
    </row>
    <row r="25" spans="1:20">
      <c r="A25" s="3">
        <v>3</v>
      </c>
      <c r="B25" s="3">
        <v>2</v>
      </c>
      <c r="C25" s="2">
        <v>25</v>
      </c>
      <c r="D25" s="2">
        <v>5</v>
      </c>
      <c r="E25" s="2">
        <v>1</v>
      </c>
      <c r="F25" s="17">
        <v>2</v>
      </c>
      <c r="H25" s="361">
        <v>1</v>
      </c>
      <c r="I25" s="361">
        <v>3.7972849529191062E-2</v>
      </c>
      <c r="K25" s="363"/>
      <c r="N25" s="10"/>
      <c r="O25" s="4"/>
      <c r="P25" s="4"/>
      <c r="Q25" s="3"/>
      <c r="R25" s="3"/>
      <c r="S25" s="3"/>
      <c r="T25" s="3"/>
    </row>
    <row r="26" spans="1:20">
      <c r="A26" s="3">
        <v>1</v>
      </c>
      <c r="B26" s="3">
        <v>2</v>
      </c>
      <c r="C26" s="2">
        <v>25</v>
      </c>
      <c r="D26" s="2">
        <v>5</v>
      </c>
      <c r="E26" s="2">
        <v>16</v>
      </c>
      <c r="F26" s="17">
        <v>2</v>
      </c>
      <c r="H26" s="361">
        <v>1</v>
      </c>
      <c r="I26" s="361">
        <v>3.3898429469343262E-3</v>
      </c>
      <c r="K26" s="363"/>
      <c r="N26" s="10"/>
      <c r="O26" s="4"/>
      <c r="P26" s="4"/>
      <c r="Q26" s="3"/>
      <c r="R26" s="3"/>
      <c r="S26" s="3"/>
      <c r="T26" s="3"/>
    </row>
    <row r="27" spans="1:20">
      <c r="A27" s="3">
        <v>1</v>
      </c>
      <c r="B27" s="3">
        <v>2</v>
      </c>
      <c r="C27" s="2">
        <v>25</v>
      </c>
      <c r="D27" s="2">
        <v>5</v>
      </c>
      <c r="E27" s="2">
        <v>16</v>
      </c>
      <c r="F27" s="17">
        <v>2</v>
      </c>
      <c r="H27" s="360">
        <v>1</v>
      </c>
      <c r="I27" s="360">
        <v>3.0826727300976844E-3</v>
      </c>
      <c r="K27" s="363"/>
      <c r="N27" s="10"/>
      <c r="O27" s="4"/>
      <c r="P27" s="4"/>
      <c r="Q27" s="3"/>
      <c r="R27" s="3"/>
      <c r="S27" s="3"/>
      <c r="T27" s="3"/>
    </row>
    <row r="28" spans="1:20">
      <c r="A28" s="3">
        <v>1</v>
      </c>
      <c r="B28" s="3">
        <v>2</v>
      </c>
      <c r="C28" s="2">
        <v>25</v>
      </c>
      <c r="D28" s="2">
        <v>30</v>
      </c>
      <c r="E28" s="2">
        <v>16</v>
      </c>
      <c r="F28" s="17">
        <v>2</v>
      </c>
      <c r="H28" s="360">
        <v>1</v>
      </c>
      <c r="I28" s="360">
        <v>2.5585175870572159E-3</v>
      </c>
      <c r="K28" s="363"/>
      <c r="N28" s="10"/>
      <c r="O28" s="4"/>
      <c r="P28" s="4"/>
      <c r="Q28" s="3"/>
      <c r="R28" s="3"/>
      <c r="S28" s="3"/>
      <c r="T28" s="3"/>
    </row>
    <row r="29" spans="1:20">
      <c r="A29" s="3">
        <v>1</v>
      </c>
      <c r="B29" s="3">
        <v>2</v>
      </c>
      <c r="C29" s="2">
        <v>25</v>
      </c>
      <c r="D29" s="2">
        <v>5</v>
      </c>
      <c r="E29" s="2">
        <v>1</v>
      </c>
      <c r="F29" s="17">
        <v>2</v>
      </c>
      <c r="H29" s="360">
        <v>1</v>
      </c>
      <c r="I29" s="360">
        <v>-2.885875098530738E-4</v>
      </c>
      <c r="K29" s="363"/>
      <c r="N29" s="10"/>
      <c r="O29" s="4"/>
      <c r="P29" s="4"/>
      <c r="Q29" s="3"/>
      <c r="R29" s="3"/>
      <c r="S29" s="3"/>
      <c r="T29" s="3"/>
    </row>
    <row r="30" spans="1:20">
      <c r="A30" s="3">
        <v>1</v>
      </c>
      <c r="B30" s="3">
        <v>1</v>
      </c>
      <c r="C30" s="2">
        <v>25</v>
      </c>
      <c r="D30" s="2">
        <v>5</v>
      </c>
      <c r="E30" s="2">
        <v>1</v>
      </c>
      <c r="F30" s="17">
        <v>2</v>
      </c>
      <c r="H30" s="360">
        <v>1</v>
      </c>
      <c r="I30" s="360">
        <v>-1.6369592987601683E-2</v>
      </c>
      <c r="K30" s="363"/>
      <c r="N30" s="10"/>
      <c r="O30" s="4"/>
      <c r="P30" s="4"/>
      <c r="Q30" s="3"/>
      <c r="R30" s="3"/>
      <c r="S30" s="3"/>
      <c r="T30" s="3"/>
    </row>
    <row r="31" spans="1:20">
      <c r="A31" s="3">
        <v>1</v>
      </c>
      <c r="B31" s="3">
        <v>1</v>
      </c>
      <c r="C31" s="2">
        <v>25</v>
      </c>
      <c r="D31" s="2">
        <v>30</v>
      </c>
      <c r="E31" s="2">
        <v>16</v>
      </c>
      <c r="F31" s="17">
        <v>2</v>
      </c>
      <c r="H31" s="360">
        <v>1</v>
      </c>
      <c r="I31" s="360">
        <v>-2.4394587295124084E-2</v>
      </c>
      <c r="K31" s="363"/>
      <c r="N31" s="10"/>
      <c r="O31" s="4"/>
      <c r="P31" s="4"/>
      <c r="Q31" s="3"/>
      <c r="R31" s="3"/>
      <c r="S31" s="3"/>
      <c r="T31" s="3"/>
    </row>
    <row r="32" spans="1:20">
      <c r="A32" s="3">
        <v>1</v>
      </c>
      <c r="B32" s="3">
        <v>1</v>
      </c>
      <c r="C32" s="2">
        <v>25</v>
      </c>
      <c r="D32" s="2">
        <v>5</v>
      </c>
      <c r="E32" s="2">
        <v>16</v>
      </c>
      <c r="F32" s="17">
        <v>2</v>
      </c>
      <c r="H32" s="360">
        <v>1</v>
      </c>
      <c r="I32" s="360">
        <v>-2.6826166539745941E-2</v>
      </c>
      <c r="K32" s="363"/>
      <c r="N32" s="10"/>
      <c r="O32" s="4"/>
      <c r="P32" s="4"/>
      <c r="Q32" s="3"/>
      <c r="R32" s="3"/>
      <c r="S32" s="3"/>
      <c r="T32" s="3"/>
    </row>
    <row r="33" spans="1:20">
      <c r="A33" s="3">
        <v>3</v>
      </c>
      <c r="B33" s="3">
        <v>1</v>
      </c>
      <c r="C33" s="2">
        <v>25</v>
      </c>
      <c r="D33" s="2">
        <v>5</v>
      </c>
      <c r="E33" s="2">
        <v>1</v>
      </c>
      <c r="F33" s="17">
        <v>2</v>
      </c>
      <c r="H33" s="360">
        <v>1</v>
      </c>
      <c r="I33" s="360">
        <v>-5.1380590481032551E-2</v>
      </c>
      <c r="K33" s="363"/>
      <c r="N33" s="10"/>
      <c r="O33" s="4"/>
      <c r="P33" s="4"/>
      <c r="Q33" s="3"/>
      <c r="R33" s="3"/>
      <c r="S33" s="3"/>
      <c r="T33" s="3"/>
    </row>
    <row r="34" spans="1:20">
      <c r="A34" s="3">
        <v>3</v>
      </c>
      <c r="B34" s="3">
        <v>1</v>
      </c>
      <c r="C34" s="2">
        <v>25</v>
      </c>
      <c r="D34" s="2">
        <v>5</v>
      </c>
      <c r="E34" s="2">
        <v>16</v>
      </c>
      <c r="F34" s="17">
        <v>2</v>
      </c>
      <c r="H34" s="361">
        <v>1</v>
      </c>
      <c r="I34" s="361">
        <v>-7.17374074600092E-2</v>
      </c>
      <c r="K34" s="363"/>
      <c r="N34" s="10"/>
      <c r="O34" s="4"/>
      <c r="P34" s="4"/>
      <c r="Q34" s="3"/>
      <c r="R34" s="3"/>
      <c r="S34" s="3"/>
      <c r="T34" s="3"/>
    </row>
    <row r="35" spans="1:20">
      <c r="A35" s="3">
        <v>5</v>
      </c>
      <c r="B35" s="3">
        <v>2</v>
      </c>
      <c r="C35" s="2">
        <v>50</v>
      </c>
      <c r="D35" s="2">
        <v>5</v>
      </c>
      <c r="E35" s="2">
        <v>16</v>
      </c>
      <c r="F35" s="17">
        <v>2</v>
      </c>
      <c r="H35" s="360">
        <v>1</v>
      </c>
      <c r="I35" s="359">
        <v>-0.15812046542756811</v>
      </c>
      <c r="K35" s="363"/>
      <c r="N35" s="10"/>
      <c r="O35" s="4"/>
      <c r="P35" s="4"/>
      <c r="Q35" s="3"/>
      <c r="R35" s="3"/>
      <c r="S35" s="3"/>
      <c r="T35" s="3"/>
    </row>
    <row r="36" spans="1:20">
      <c r="A36" s="3">
        <v>1</v>
      </c>
      <c r="B36" s="3">
        <v>1</v>
      </c>
      <c r="C36" s="2">
        <v>25</v>
      </c>
      <c r="D36" s="2">
        <v>5</v>
      </c>
      <c r="E36" s="2">
        <v>1</v>
      </c>
      <c r="F36" s="17">
        <v>3</v>
      </c>
      <c r="H36" s="360">
        <v>1</v>
      </c>
      <c r="I36" s="360">
        <v>0.73635959243887739</v>
      </c>
      <c r="K36" s="363"/>
      <c r="N36" s="10"/>
      <c r="O36" s="4"/>
      <c r="P36" s="4"/>
      <c r="Q36" s="3"/>
      <c r="R36" s="3"/>
      <c r="S36" s="3"/>
      <c r="T36" s="3"/>
    </row>
    <row r="37" spans="1:20">
      <c r="A37" s="3">
        <v>1</v>
      </c>
      <c r="B37" s="3">
        <v>1</v>
      </c>
      <c r="C37" s="2">
        <v>25</v>
      </c>
      <c r="D37" s="2">
        <v>5</v>
      </c>
      <c r="E37" s="2">
        <v>16</v>
      </c>
      <c r="F37" s="17">
        <v>3</v>
      </c>
      <c r="H37" s="360">
        <v>1</v>
      </c>
      <c r="I37" s="360">
        <v>0.72422633111959445</v>
      </c>
      <c r="K37" s="363"/>
      <c r="N37" s="10"/>
      <c r="O37" s="4"/>
      <c r="P37" s="4"/>
      <c r="Q37" s="3"/>
      <c r="R37" s="3"/>
      <c r="S37" s="3"/>
      <c r="T37" s="3"/>
    </row>
    <row r="38" spans="1:20">
      <c r="A38" s="3">
        <v>1</v>
      </c>
      <c r="B38" s="3">
        <v>2</v>
      </c>
      <c r="C38" s="2">
        <v>25</v>
      </c>
      <c r="D38" s="2">
        <v>5</v>
      </c>
      <c r="E38" s="2">
        <v>16</v>
      </c>
      <c r="F38" s="17">
        <v>3</v>
      </c>
      <c r="H38" s="361">
        <v>1</v>
      </c>
      <c r="I38" s="361">
        <v>0.6573928196341674</v>
      </c>
      <c r="K38" s="363"/>
      <c r="N38" s="10"/>
      <c r="O38" s="4"/>
      <c r="P38" s="4"/>
      <c r="Q38" s="3"/>
      <c r="R38" s="3"/>
      <c r="S38" s="3"/>
      <c r="T38" s="3"/>
    </row>
    <row r="39" spans="1:20">
      <c r="A39" s="3">
        <v>1</v>
      </c>
      <c r="B39" s="3">
        <v>2</v>
      </c>
      <c r="C39" s="2">
        <v>25</v>
      </c>
      <c r="D39" s="2">
        <v>5</v>
      </c>
      <c r="E39" s="2">
        <v>1</v>
      </c>
      <c r="F39" s="17">
        <v>3</v>
      </c>
      <c r="H39" s="360">
        <v>1</v>
      </c>
      <c r="I39" s="360">
        <v>0.63888329113146147</v>
      </c>
      <c r="K39" s="363"/>
      <c r="N39" s="10"/>
      <c r="O39" s="4"/>
      <c r="P39" s="4"/>
      <c r="Q39" s="3"/>
      <c r="R39" s="3"/>
      <c r="S39" s="3"/>
      <c r="T39" s="3"/>
    </row>
    <row r="40" spans="1:20">
      <c r="A40" s="3">
        <v>1</v>
      </c>
      <c r="B40" s="3">
        <v>2</v>
      </c>
      <c r="C40" s="2">
        <v>25</v>
      </c>
      <c r="D40" s="2">
        <v>5</v>
      </c>
      <c r="E40" s="2">
        <v>16</v>
      </c>
      <c r="F40" s="17">
        <v>3</v>
      </c>
      <c r="H40" s="360">
        <v>1</v>
      </c>
      <c r="I40" s="360">
        <v>0.62305108888087923</v>
      </c>
      <c r="K40" s="363"/>
      <c r="N40" s="10"/>
      <c r="O40" s="4"/>
      <c r="P40" s="4"/>
      <c r="Q40" s="3"/>
      <c r="R40" s="3"/>
      <c r="S40" s="3"/>
      <c r="T40" s="3"/>
    </row>
    <row r="41" spans="1:20">
      <c r="A41" s="3">
        <v>3</v>
      </c>
      <c r="B41" s="3">
        <v>2</v>
      </c>
      <c r="C41" s="2">
        <v>25</v>
      </c>
      <c r="D41" s="2">
        <v>5</v>
      </c>
      <c r="E41" s="2">
        <v>1</v>
      </c>
      <c r="F41" s="17">
        <v>3</v>
      </c>
      <c r="H41" s="361">
        <v>1</v>
      </c>
      <c r="I41" s="361">
        <v>0.60839949344131583</v>
      </c>
      <c r="K41" s="363"/>
      <c r="N41" s="10"/>
      <c r="O41" s="4"/>
      <c r="P41" s="4"/>
      <c r="Q41" s="3"/>
      <c r="R41" s="3"/>
      <c r="S41" s="3"/>
      <c r="T41" s="3"/>
    </row>
    <row r="42" spans="1:20">
      <c r="A42" s="3">
        <v>3</v>
      </c>
      <c r="B42" s="3">
        <v>2</v>
      </c>
      <c r="C42" s="2">
        <v>25</v>
      </c>
      <c r="D42" s="2">
        <v>5</v>
      </c>
      <c r="E42" s="2">
        <v>16</v>
      </c>
      <c r="F42" s="17">
        <v>3</v>
      </c>
      <c r="H42" s="360">
        <v>1</v>
      </c>
      <c r="I42" s="360">
        <v>0.55724733569352147</v>
      </c>
      <c r="K42" s="363"/>
      <c r="N42" s="10"/>
      <c r="O42" s="4"/>
      <c r="P42" s="4"/>
      <c r="Q42" s="3"/>
      <c r="R42" s="3"/>
      <c r="S42" s="3"/>
      <c r="T42" s="3"/>
    </row>
    <row r="43" spans="1:20">
      <c r="A43" s="3">
        <v>3</v>
      </c>
      <c r="B43" s="3">
        <v>1</v>
      </c>
      <c r="C43" s="2">
        <v>25</v>
      </c>
      <c r="D43" s="2">
        <v>5</v>
      </c>
      <c r="E43" s="2">
        <v>1</v>
      </c>
      <c r="F43" s="17">
        <v>3</v>
      </c>
      <c r="H43" s="360">
        <v>0.10152735047293326</v>
      </c>
      <c r="I43" s="360">
        <v>0.54381423202283108</v>
      </c>
      <c r="K43" s="363"/>
      <c r="N43" s="10"/>
      <c r="O43" s="4"/>
      <c r="P43" s="4"/>
      <c r="Q43" s="3"/>
      <c r="R43" s="3"/>
      <c r="S43" s="3"/>
      <c r="T43" s="3"/>
    </row>
    <row r="44" spans="1:20">
      <c r="A44" s="3">
        <v>1</v>
      </c>
      <c r="B44" s="3">
        <v>1</v>
      </c>
      <c r="C44" s="2">
        <v>25</v>
      </c>
      <c r="D44" s="2">
        <v>30</v>
      </c>
      <c r="E44" s="2">
        <v>16</v>
      </c>
      <c r="F44" s="17">
        <v>3</v>
      </c>
      <c r="H44" s="360">
        <v>1</v>
      </c>
      <c r="I44" s="360">
        <v>0.52616765345007777</v>
      </c>
      <c r="K44" s="363"/>
      <c r="N44" s="10"/>
      <c r="O44" s="4"/>
      <c r="P44" s="4"/>
      <c r="Q44" s="3"/>
      <c r="R44" s="3"/>
      <c r="S44" s="3"/>
      <c r="T44" s="3"/>
    </row>
    <row r="45" spans="1:20">
      <c r="A45" s="3">
        <v>1</v>
      </c>
      <c r="B45" s="3">
        <v>2</v>
      </c>
      <c r="C45" s="2">
        <v>25</v>
      </c>
      <c r="D45" s="2">
        <v>30</v>
      </c>
      <c r="E45" s="2">
        <v>16</v>
      </c>
      <c r="F45" s="17">
        <v>3</v>
      </c>
      <c r="H45" s="360">
        <v>1</v>
      </c>
      <c r="I45" s="360">
        <v>0.35277381687027903</v>
      </c>
      <c r="K45" s="363"/>
      <c r="N45" s="10"/>
      <c r="O45" s="4"/>
      <c r="P45" s="4"/>
      <c r="Q45" s="3"/>
      <c r="R45" s="3"/>
      <c r="S45" s="3"/>
      <c r="T45" s="3"/>
    </row>
    <row r="46" spans="1:20">
      <c r="A46" s="3">
        <v>2</v>
      </c>
      <c r="B46" s="3">
        <v>2</v>
      </c>
      <c r="C46" s="2">
        <v>25</v>
      </c>
      <c r="D46" s="2">
        <v>5</v>
      </c>
      <c r="E46" s="2">
        <v>16</v>
      </c>
      <c r="F46" s="17">
        <v>3</v>
      </c>
      <c r="H46" s="361">
        <v>1</v>
      </c>
      <c r="I46" s="361">
        <v>0.32530928915915286</v>
      </c>
      <c r="K46" s="363"/>
      <c r="N46" s="10"/>
      <c r="O46" s="4"/>
      <c r="P46" s="4"/>
      <c r="Q46" s="3"/>
      <c r="R46" s="3"/>
      <c r="S46" s="3"/>
      <c r="T46" s="3"/>
    </row>
    <row r="47" spans="1:20">
      <c r="A47" s="3">
        <v>2</v>
      </c>
      <c r="B47" s="3">
        <v>2</v>
      </c>
      <c r="C47" s="2">
        <v>25</v>
      </c>
      <c r="D47" s="2">
        <v>5</v>
      </c>
      <c r="E47" s="2">
        <v>1</v>
      </c>
      <c r="F47" s="17">
        <v>3</v>
      </c>
      <c r="H47" s="361">
        <v>1</v>
      </c>
      <c r="I47" s="361">
        <v>0.29964781558343279</v>
      </c>
      <c r="K47" s="363"/>
      <c r="N47" s="10"/>
      <c r="O47" s="4"/>
      <c r="P47" s="4"/>
      <c r="Q47" s="3"/>
      <c r="R47" s="3"/>
      <c r="S47" s="3"/>
      <c r="T47" s="3"/>
    </row>
    <row r="48" spans="1:20">
      <c r="A48" s="3">
        <v>3</v>
      </c>
      <c r="B48" s="3">
        <v>1</v>
      </c>
      <c r="C48" s="2">
        <v>25</v>
      </c>
      <c r="D48" s="2">
        <v>5</v>
      </c>
      <c r="E48" s="2">
        <v>16</v>
      </c>
      <c r="F48" s="17">
        <v>3</v>
      </c>
      <c r="H48" s="361">
        <v>0.16329230689500907</v>
      </c>
      <c r="I48" s="361">
        <v>0.28511951085303039</v>
      </c>
      <c r="K48" s="363"/>
      <c r="N48" s="10"/>
      <c r="O48" s="4"/>
      <c r="P48" s="4"/>
      <c r="Q48" s="3"/>
      <c r="R48" s="3"/>
      <c r="S48" s="3"/>
      <c r="T48" s="3"/>
    </row>
    <row r="49" spans="1:20">
      <c r="A49" s="3">
        <v>2</v>
      </c>
      <c r="B49" s="3">
        <v>1</v>
      </c>
      <c r="C49" s="2">
        <v>25</v>
      </c>
      <c r="D49" s="2">
        <v>5</v>
      </c>
      <c r="E49" s="2">
        <v>1</v>
      </c>
      <c r="F49" s="17">
        <v>3</v>
      </c>
      <c r="H49" s="360">
        <v>1</v>
      </c>
      <c r="I49" s="360">
        <v>0.21025742454234134</v>
      </c>
      <c r="K49" s="363"/>
      <c r="N49" s="10"/>
      <c r="O49" s="4"/>
      <c r="P49" s="4"/>
      <c r="Q49" s="3"/>
      <c r="R49" s="3"/>
      <c r="S49" s="3"/>
      <c r="T49" s="3"/>
    </row>
    <row r="50" spans="1:20">
      <c r="A50" s="3">
        <v>2</v>
      </c>
      <c r="B50" s="3">
        <v>1</v>
      </c>
      <c r="C50" s="2">
        <v>25</v>
      </c>
      <c r="D50" s="2">
        <v>5</v>
      </c>
      <c r="E50" s="2">
        <v>16</v>
      </c>
      <c r="F50" s="17">
        <v>3</v>
      </c>
      <c r="H50" s="361">
        <v>1</v>
      </c>
      <c r="I50" s="361">
        <v>0.18877276304344826</v>
      </c>
      <c r="K50" s="363"/>
      <c r="N50" s="10"/>
      <c r="O50" s="4"/>
      <c r="P50" s="4"/>
      <c r="Q50" s="3"/>
      <c r="R50" s="3"/>
      <c r="S50" s="3"/>
      <c r="T50" s="3"/>
    </row>
    <row r="51" spans="1:20">
      <c r="A51" s="3">
        <v>5</v>
      </c>
      <c r="B51" s="3">
        <v>2</v>
      </c>
      <c r="C51" s="2">
        <v>50</v>
      </c>
      <c r="D51" s="2">
        <v>5</v>
      </c>
      <c r="E51" s="2">
        <v>16</v>
      </c>
      <c r="F51" s="17">
        <v>3</v>
      </c>
      <c r="H51" s="360">
        <v>1</v>
      </c>
      <c r="I51" s="359">
        <v>7.9023861386465832E-2</v>
      </c>
      <c r="K51" s="363"/>
      <c r="N51" s="10"/>
      <c r="O51" s="4"/>
      <c r="P51" s="4"/>
      <c r="Q51" s="3"/>
      <c r="R51" s="3"/>
      <c r="S51" s="3"/>
      <c r="T51" s="3"/>
    </row>
    <row r="52" spans="1:20">
      <c r="A52" s="3">
        <v>4</v>
      </c>
      <c r="B52" s="3">
        <v>2</v>
      </c>
      <c r="C52" s="2">
        <v>50</v>
      </c>
      <c r="D52" s="2">
        <v>5</v>
      </c>
      <c r="E52" s="2">
        <v>16</v>
      </c>
      <c r="F52" s="17">
        <v>3</v>
      </c>
      <c r="H52" s="360">
        <v>1</v>
      </c>
      <c r="I52" s="359">
        <v>-0.11650069196101996</v>
      </c>
      <c r="K52" s="363"/>
      <c r="N52" s="10"/>
      <c r="O52" s="4"/>
      <c r="P52" s="4"/>
      <c r="Q52" s="3"/>
      <c r="R52" s="3"/>
      <c r="S52" s="3"/>
      <c r="T52" s="3"/>
    </row>
    <row r="53" spans="1:20">
      <c r="A53" s="3">
        <v>4</v>
      </c>
      <c r="B53" s="3">
        <v>2</v>
      </c>
      <c r="C53" s="2">
        <v>50</v>
      </c>
      <c r="D53" s="2">
        <v>5</v>
      </c>
      <c r="E53" s="2">
        <v>16</v>
      </c>
      <c r="F53" s="17">
        <v>4</v>
      </c>
      <c r="H53" s="360">
        <v>0.95275356720917359</v>
      </c>
      <c r="I53" s="359">
        <v>0.19883559735098399</v>
      </c>
      <c r="K53" s="363"/>
      <c r="N53" s="10"/>
      <c r="O53" s="4"/>
      <c r="P53" s="4"/>
      <c r="Q53" s="3"/>
      <c r="R53" s="3"/>
      <c r="S53" s="3"/>
      <c r="T53" s="3"/>
    </row>
    <row r="54" spans="1:20">
      <c r="A54" s="3">
        <v>1</v>
      </c>
      <c r="B54" s="3">
        <v>2</v>
      </c>
      <c r="C54" s="2">
        <v>25</v>
      </c>
      <c r="D54" s="2">
        <v>30</v>
      </c>
      <c r="E54" s="2">
        <v>16</v>
      </c>
      <c r="F54" s="17">
        <v>4</v>
      </c>
      <c r="H54" s="360">
        <v>1</v>
      </c>
      <c r="I54" s="360">
        <v>0.190045533034433</v>
      </c>
      <c r="K54" s="363"/>
      <c r="N54" s="10"/>
      <c r="O54" s="4"/>
      <c r="P54" s="4"/>
      <c r="Q54" s="3"/>
      <c r="R54" s="3"/>
      <c r="S54" s="3"/>
      <c r="T54" s="3"/>
    </row>
    <row r="55" spans="1:20">
      <c r="A55" s="3">
        <v>1</v>
      </c>
      <c r="B55" s="3">
        <v>2</v>
      </c>
      <c r="C55" s="2">
        <v>25</v>
      </c>
      <c r="D55" s="2">
        <v>5</v>
      </c>
      <c r="E55" s="2">
        <v>1</v>
      </c>
      <c r="F55" s="17">
        <v>4</v>
      </c>
      <c r="H55" s="360">
        <v>0.56116642637457281</v>
      </c>
      <c r="I55" s="360">
        <v>0.18878970375884552</v>
      </c>
      <c r="K55" s="363"/>
      <c r="N55" s="10"/>
      <c r="O55" s="4"/>
      <c r="P55" s="4"/>
      <c r="Q55" s="3"/>
      <c r="R55" s="3"/>
      <c r="S55" s="3"/>
      <c r="T55" s="3"/>
    </row>
    <row r="56" spans="1:20">
      <c r="A56" s="3">
        <v>1</v>
      </c>
      <c r="B56" s="3">
        <v>1</v>
      </c>
      <c r="C56" s="2">
        <v>25</v>
      </c>
      <c r="D56" s="2">
        <v>30</v>
      </c>
      <c r="E56" s="2">
        <v>16</v>
      </c>
      <c r="F56" s="17">
        <v>4</v>
      </c>
      <c r="H56" s="360">
        <v>1</v>
      </c>
      <c r="I56" s="360">
        <v>0.18120174251260751</v>
      </c>
      <c r="K56" s="363"/>
      <c r="N56" s="10"/>
      <c r="O56" s="4"/>
      <c r="P56" s="4"/>
      <c r="Q56" s="3"/>
      <c r="R56" s="3"/>
      <c r="S56" s="3"/>
      <c r="T56" s="3"/>
    </row>
    <row r="57" spans="1:20">
      <c r="A57" s="3">
        <v>1</v>
      </c>
      <c r="B57" s="3">
        <v>2</v>
      </c>
      <c r="C57" s="2">
        <v>25</v>
      </c>
      <c r="D57" s="2">
        <v>5</v>
      </c>
      <c r="E57" s="2">
        <v>16</v>
      </c>
      <c r="F57" s="17">
        <v>4</v>
      </c>
      <c r="H57" s="360">
        <v>1</v>
      </c>
      <c r="I57" s="360">
        <v>0.17848802315253237</v>
      </c>
      <c r="K57" s="363"/>
      <c r="N57" s="10"/>
      <c r="O57" s="4"/>
      <c r="P57" s="4"/>
      <c r="Q57" s="3"/>
      <c r="R57" s="3"/>
      <c r="S57" s="3"/>
      <c r="T57" s="3"/>
    </row>
    <row r="58" spans="1:20">
      <c r="A58" s="3">
        <v>1</v>
      </c>
      <c r="B58" s="3">
        <v>1</v>
      </c>
      <c r="C58" s="2">
        <v>25</v>
      </c>
      <c r="D58" s="2">
        <v>5</v>
      </c>
      <c r="E58" s="2">
        <v>1</v>
      </c>
      <c r="F58" s="17">
        <v>4</v>
      </c>
      <c r="H58" s="360">
        <v>0.98042413932178307</v>
      </c>
      <c r="I58" s="360">
        <v>0.17198243277049155</v>
      </c>
      <c r="K58" s="363"/>
      <c r="N58" s="10"/>
      <c r="O58" s="4"/>
      <c r="P58" s="4"/>
      <c r="Q58" s="3"/>
      <c r="R58" s="3"/>
      <c r="S58" s="3"/>
      <c r="T58" s="3"/>
    </row>
    <row r="59" spans="1:20">
      <c r="A59" s="3">
        <v>1</v>
      </c>
      <c r="B59" s="3">
        <v>2</v>
      </c>
      <c r="C59" s="2">
        <v>25</v>
      </c>
      <c r="D59" s="2">
        <v>5</v>
      </c>
      <c r="E59" s="2">
        <v>16</v>
      </c>
      <c r="F59" s="17">
        <v>4</v>
      </c>
      <c r="H59" s="361">
        <v>1</v>
      </c>
      <c r="I59" s="361">
        <v>0.17004894005335278</v>
      </c>
      <c r="K59" s="363"/>
      <c r="N59" s="10"/>
      <c r="O59" s="4"/>
      <c r="P59" s="4"/>
      <c r="Q59" s="3"/>
      <c r="R59" s="3"/>
      <c r="S59" s="3"/>
      <c r="T59" s="3"/>
    </row>
    <row r="60" spans="1:20">
      <c r="A60" s="3">
        <v>1</v>
      </c>
      <c r="B60" s="3">
        <v>1</v>
      </c>
      <c r="C60" s="2">
        <v>25</v>
      </c>
      <c r="D60" s="2">
        <v>5</v>
      </c>
      <c r="E60" s="2">
        <v>16</v>
      </c>
      <c r="F60" s="17">
        <v>4</v>
      </c>
      <c r="H60" s="360">
        <v>1</v>
      </c>
      <c r="I60" s="360">
        <v>0.15792084836653278</v>
      </c>
      <c r="K60" s="363"/>
      <c r="N60" s="10"/>
      <c r="O60" s="4"/>
      <c r="P60" s="4"/>
      <c r="Q60" s="3"/>
      <c r="R60" s="3"/>
      <c r="S60" s="3"/>
      <c r="T60" s="3"/>
    </row>
    <row r="61" spans="1:20">
      <c r="A61" s="3">
        <v>3</v>
      </c>
      <c r="B61" s="3">
        <v>1</v>
      </c>
      <c r="C61" s="2">
        <v>25</v>
      </c>
      <c r="D61" s="2">
        <v>5</v>
      </c>
      <c r="E61" s="2">
        <v>1</v>
      </c>
      <c r="F61" s="17">
        <v>4</v>
      </c>
      <c r="H61" s="360">
        <v>0.44673611196829255</v>
      </c>
      <c r="I61" s="360">
        <v>7.0857412926004185E-2</v>
      </c>
      <c r="K61" s="363"/>
      <c r="N61" s="10"/>
      <c r="O61" s="4"/>
      <c r="P61" s="4"/>
      <c r="Q61" s="3"/>
      <c r="R61" s="3"/>
      <c r="S61" s="3"/>
      <c r="T61" s="3"/>
    </row>
    <row r="62" spans="1:20">
      <c r="A62" s="3">
        <v>3</v>
      </c>
      <c r="B62" s="3">
        <v>1</v>
      </c>
      <c r="C62" s="2">
        <v>25</v>
      </c>
      <c r="D62" s="2">
        <v>5</v>
      </c>
      <c r="E62" s="2">
        <v>16</v>
      </c>
      <c r="F62" s="17">
        <v>4</v>
      </c>
      <c r="H62" s="361">
        <v>0.60795190006335886</v>
      </c>
      <c r="I62" s="361">
        <v>-3.7258569441025978E-3</v>
      </c>
      <c r="K62" s="363"/>
      <c r="N62" s="10"/>
      <c r="O62" s="4"/>
      <c r="P62" s="4"/>
      <c r="Q62" s="3"/>
      <c r="R62" s="3"/>
      <c r="S62" s="3"/>
      <c r="T62" s="3"/>
    </row>
    <row r="63" spans="1:20">
      <c r="A63" s="3">
        <v>2</v>
      </c>
      <c r="B63" s="3">
        <v>1</v>
      </c>
      <c r="C63" s="2">
        <v>25</v>
      </c>
      <c r="D63" s="2">
        <v>5</v>
      </c>
      <c r="E63" s="2">
        <v>1</v>
      </c>
      <c r="F63" s="17">
        <v>4</v>
      </c>
      <c r="H63" s="360">
        <v>1</v>
      </c>
      <c r="I63" s="360">
        <v>-9.8037540980375454E-2</v>
      </c>
      <c r="K63" s="363"/>
      <c r="N63" s="10"/>
      <c r="O63" s="4"/>
      <c r="P63" s="4"/>
      <c r="Q63" s="3"/>
      <c r="R63" s="3"/>
      <c r="S63" s="3"/>
      <c r="T63" s="3"/>
    </row>
    <row r="64" spans="1:20">
      <c r="A64" s="3">
        <v>2</v>
      </c>
      <c r="B64" s="3">
        <v>1</v>
      </c>
      <c r="C64" s="2">
        <v>25</v>
      </c>
      <c r="D64" s="2">
        <v>5</v>
      </c>
      <c r="E64" s="2">
        <v>16</v>
      </c>
      <c r="F64" s="17">
        <v>4</v>
      </c>
      <c r="H64" s="361">
        <v>1</v>
      </c>
      <c r="I64" s="361">
        <v>-0.12111286776158274</v>
      </c>
      <c r="K64" s="363"/>
      <c r="N64" s="10"/>
      <c r="O64" s="4"/>
      <c r="P64" s="4"/>
      <c r="Q64" s="3"/>
      <c r="R64" s="3"/>
      <c r="S64" s="3"/>
      <c r="T64" s="3"/>
    </row>
    <row r="65" spans="1:20">
      <c r="A65" s="3">
        <v>2</v>
      </c>
      <c r="B65" s="3">
        <v>2</v>
      </c>
      <c r="C65" s="2">
        <v>25</v>
      </c>
      <c r="D65" s="2">
        <v>5</v>
      </c>
      <c r="E65" s="2">
        <v>1</v>
      </c>
      <c r="F65" s="17">
        <v>4</v>
      </c>
      <c r="H65" s="361">
        <v>1</v>
      </c>
      <c r="I65" s="361">
        <v>-0.12556524368862809</v>
      </c>
      <c r="K65" s="363"/>
      <c r="N65" s="10"/>
      <c r="O65" s="4"/>
      <c r="P65" s="4"/>
      <c r="Q65" s="3"/>
      <c r="R65" s="3"/>
      <c r="S65" s="3"/>
      <c r="T65" s="3"/>
    </row>
    <row r="66" spans="1:20">
      <c r="A66" s="3">
        <v>2</v>
      </c>
      <c r="B66" s="3">
        <v>2</v>
      </c>
      <c r="C66" s="2">
        <v>25</v>
      </c>
      <c r="D66" s="2">
        <v>5</v>
      </c>
      <c r="E66" s="2">
        <v>16</v>
      </c>
      <c r="F66" s="17">
        <v>4</v>
      </c>
      <c r="H66" s="361">
        <v>1</v>
      </c>
      <c r="I66" s="361">
        <v>-0.16395879247603914</v>
      </c>
      <c r="K66" s="363"/>
      <c r="N66" s="10"/>
      <c r="O66" s="4"/>
      <c r="P66" s="4"/>
      <c r="Q66" s="3"/>
      <c r="R66" s="3"/>
      <c r="S66" s="3"/>
      <c r="T66" s="3"/>
    </row>
    <row r="67" spans="1:20">
      <c r="A67" s="3">
        <v>5</v>
      </c>
      <c r="B67" s="3">
        <v>2</v>
      </c>
      <c r="C67" s="2">
        <v>50</v>
      </c>
      <c r="D67" s="2">
        <v>5</v>
      </c>
      <c r="E67" s="2">
        <v>16</v>
      </c>
      <c r="F67" s="17">
        <v>4</v>
      </c>
      <c r="H67" s="360">
        <v>0.58488181104421555</v>
      </c>
      <c r="I67" s="359">
        <v>-0.16502301469422861</v>
      </c>
      <c r="K67" s="363"/>
      <c r="N67" s="10"/>
      <c r="O67" s="4"/>
      <c r="P67" s="4"/>
      <c r="Q67" s="3"/>
      <c r="R67" s="3"/>
      <c r="S67" s="3"/>
      <c r="T67" s="3"/>
    </row>
    <row r="68" spans="1:20">
      <c r="A68" s="3">
        <v>3</v>
      </c>
      <c r="B68" s="3">
        <v>2</v>
      </c>
      <c r="C68" s="2">
        <v>25</v>
      </c>
      <c r="D68" s="2">
        <v>5</v>
      </c>
      <c r="E68" s="2">
        <v>1</v>
      </c>
      <c r="F68" s="17">
        <v>4</v>
      </c>
      <c r="H68" s="361">
        <v>1</v>
      </c>
      <c r="I68" s="361">
        <v>-0.19218753902610447</v>
      </c>
      <c r="K68" s="363"/>
      <c r="N68" s="10"/>
      <c r="O68" s="4"/>
      <c r="P68" s="4"/>
      <c r="Q68" s="3"/>
      <c r="R68" s="3"/>
      <c r="S68" s="3"/>
      <c r="T68" s="3"/>
    </row>
    <row r="69" spans="1:20">
      <c r="A69" s="3">
        <v>3</v>
      </c>
      <c r="B69" s="3">
        <v>2</v>
      </c>
      <c r="C69" s="2">
        <v>25</v>
      </c>
      <c r="D69" s="2">
        <v>5</v>
      </c>
      <c r="E69" s="2">
        <v>16</v>
      </c>
      <c r="F69" s="17">
        <v>4</v>
      </c>
      <c r="H69" s="360">
        <v>1</v>
      </c>
      <c r="I69" s="360">
        <v>-0.27351526438264478</v>
      </c>
      <c r="K69" s="363"/>
      <c r="N69" s="10"/>
      <c r="O69" s="4"/>
      <c r="P69" s="4"/>
      <c r="Q69" s="3"/>
      <c r="R69" s="3"/>
      <c r="S69" s="3"/>
      <c r="T69" s="3"/>
    </row>
    <row r="70" spans="1:20">
      <c r="A70" s="3">
        <v>2</v>
      </c>
      <c r="B70" s="3">
        <v>1</v>
      </c>
      <c r="C70" s="2">
        <v>25</v>
      </c>
      <c r="D70" s="2">
        <v>5</v>
      </c>
      <c r="E70" s="2">
        <v>16</v>
      </c>
      <c r="F70" s="17">
        <v>5</v>
      </c>
      <c r="H70" s="361">
        <v>1</v>
      </c>
      <c r="I70" s="361">
        <v>0.40057188061374166</v>
      </c>
      <c r="K70" s="363"/>
      <c r="N70" s="10"/>
      <c r="O70" s="4"/>
      <c r="P70" s="4"/>
      <c r="Q70" s="3"/>
      <c r="R70" s="3"/>
      <c r="S70" s="3"/>
      <c r="T70" s="3"/>
    </row>
    <row r="71" spans="1:20">
      <c r="A71" s="3">
        <v>2</v>
      </c>
      <c r="B71" s="3">
        <v>1</v>
      </c>
      <c r="C71" s="2">
        <v>25</v>
      </c>
      <c r="D71" s="2">
        <v>5</v>
      </c>
      <c r="E71" s="2">
        <v>1</v>
      </c>
      <c r="F71" s="17">
        <v>5</v>
      </c>
      <c r="H71" s="360">
        <v>1</v>
      </c>
      <c r="I71" s="360">
        <v>0.3900637716787454</v>
      </c>
      <c r="K71" s="363"/>
      <c r="N71" s="10"/>
      <c r="O71" s="4"/>
      <c r="P71" s="4"/>
      <c r="Q71" s="3"/>
      <c r="R71" s="3"/>
      <c r="S71" s="3"/>
      <c r="T71" s="3"/>
    </row>
    <row r="72" spans="1:20">
      <c r="A72" s="3">
        <v>2</v>
      </c>
      <c r="B72" s="3">
        <v>2</v>
      </c>
      <c r="C72" s="2">
        <v>25</v>
      </c>
      <c r="D72" s="2">
        <v>5</v>
      </c>
      <c r="E72" s="2">
        <v>16</v>
      </c>
      <c r="F72" s="17">
        <v>5</v>
      </c>
      <c r="H72" s="361">
        <v>1</v>
      </c>
      <c r="I72" s="361">
        <v>0.19589173111562694</v>
      </c>
      <c r="K72" s="363"/>
      <c r="N72" s="10"/>
      <c r="O72" s="4"/>
      <c r="P72" s="4"/>
      <c r="Q72" s="3"/>
      <c r="R72" s="3"/>
      <c r="S72" s="3"/>
      <c r="T72" s="3"/>
    </row>
    <row r="73" spans="1:20">
      <c r="A73" s="3">
        <v>2</v>
      </c>
      <c r="B73" s="3">
        <v>2</v>
      </c>
      <c r="C73" s="2">
        <v>25</v>
      </c>
      <c r="D73" s="2">
        <v>5</v>
      </c>
      <c r="E73" s="2">
        <v>1</v>
      </c>
      <c r="F73" s="17">
        <v>5</v>
      </c>
      <c r="H73" s="361">
        <v>0.99332318292831978</v>
      </c>
      <c r="I73" s="361">
        <v>0.18498323353982252</v>
      </c>
      <c r="K73" s="363"/>
      <c r="N73" s="10"/>
      <c r="O73" s="4"/>
      <c r="P73" s="4"/>
      <c r="Q73" s="3"/>
      <c r="R73" s="3"/>
      <c r="S73" s="3"/>
      <c r="T73" s="3"/>
    </row>
    <row r="74" spans="1:20">
      <c r="A74" s="3">
        <v>1</v>
      </c>
      <c r="B74" s="3">
        <v>1</v>
      </c>
      <c r="C74" s="2">
        <v>25</v>
      </c>
      <c r="D74" s="2">
        <v>5</v>
      </c>
      <c r="E74" s="2">
        <v>1</v>
      </c>
      <c r="F74" s="17">
        <v>5</v>
      </c>
      <c r="H74" s="360">
        <v>1</v>
      </c>
      <c r="I74" s="360">
        <v>0.15536698815849992</v>
      </c>
      <c r="K74" s="363"/>
      <c r="N74" s="10"/>
      <c r="O74" s="4"/>
      <c r="P74" s="4"/>
      <c r="Q74" s="3"/>
      <c r="R74" s="3"/>
      <c r="S74" s="3"/>
      <c r="T74" s="3"/>
    </row>
    <row r="75" spans="1:20">
      <c r="A75" s="3">
        <v>1</v>
      </c>
      <c r="B75" s="3">
        <v>1</v>
      </c>
      <c r="C75" s="2">
        <v>25</v>
      </c>
      <c r="D75" s="2">
        <v>5</v>
      </c>
      <c r="E75" s="2">
        <v>16</v>
      </c>
      <c r="F75" s="17">
        <v>5</v>
      </c>
      <c r="H75" s="360">
        <v>1</v>
      </c>
      <c r="I75" s="360">
        <v>0.14898922903262776</v>
      </c>
      <c r="K75" s="363"/>
      <c r="N75" s="10"/>
      <c r="O75" s="4"/>
      <c r="P75" s="4"/>
      <c r="Q75" s="3"/>
      <c r="R75" s="3"/>
      <c r="S75" s="3"/>
      <c r="T75" s="3"/>
    </row>
    <row r="76" spans="1:20">
      <c r="A76" s="3">
        <v>1</v>
      </c>
      <c r="B76" s="3">
        <v>2</v>
      </c>
      <c r="C76" s="2">
        <v>25</v>
      </c>
      <c r="D76" s="2">
        <v>5</v>
      </c>
      <c r="E76" s="2">
        <v>1</v>
      </c>
      <c r="F76" s="17">
        <v>5</v>
      </c>
      <c r="H76" s="360">
        <v>0.27049069917237711</v>
      </c>
      <c r="I76" s="360">
        <v>9.3647304259120628E-2</v>
      </c>
      <c r="K76" s="363"/>
      <c r="N76" s="10"/>
      <c r="O76" s="4"/>
      <c r="P76" s="4"/>
      <c r="Q76" s="3"/>
      <c r="R76" s="3"/>
      <c r="S76" s="3"/>
      <c r="T76" s="3"/>
    </row>
    <row r="77" spans="1:20">
      <c r="A77" s="3">
        <v>1</v>
      </c>
      <c r="B77" s="3">
        <v>2</v>
      </c>
      <c r="C77" s="2">
        <v>25</v>
      </c>
      <c r="D77" s="2">
        <v>5</v>
      </c>
      <c r="E77" s="2">
        <v>16</v>
      </c>
      <c r="F77" s="17">
        <v>5</v>
      </c>
      <c r="H77" s="361">
        <v>1</v>
      </c>
      <c r="I77" s="361">
        <v>8.9791387750412122E-2</v>
      </c>
      <c r="K77" s="363"/>
      <c r="N77" s="10"/>
      <c r="O77" s="4"/>
      <c r="P77" s="4"/>
      <c r="Q77" s="3"/>
      <c r="R77" s="3"/>
      <c r="S77" s="3"/>
      <c r="T77" s="3"/>
    </row>
    <row r="78" spans="1:20">
      <c r="A78" s="3">
        <v>1</v>
      </c>
      <c r="B78" s="3">
        <v>2</v>
      </c>
      <c r="C78" s="2">
        <v>25</v>
      </c>
      <c r="D78" s="2">
        <v>5</v>
      </c>
      <c r="E78" s="2">
        <v>16</v>
      </c>
      <c r="F78" s="17">
        <v>5</v>
      </c>
      <c r="H78" s="360">
        <v>1</v>
      </c>
      <c r="I78" s="360">
        <v>5.4819872077781467E-2</v>
      </c>
      <c r="K78" s="363"/>
      <c r="N78" s="10"/>
      <c r="O78" s="4"/>
      <c r="P78" s="4"/>
      <c r="Q78" s="3"/>
      <c r="R78" s="3"/>
      <c r="S78" s="3"/>
      <c r="T78" s="3"/>
    </row>
    <row r="79" spans="1:20">
      <c r="A79" s="3">
        <v>1</v>
      </c>
      <c r="B79" s="3">
        <v>1</v>
      </c>
      <c r="C79" s="2">
        <v>25</v>
      </c>
      <c r="D79" s="2">
        <v>30</v>
      </c>
      <c r="E79" s="2">
        <v>16</v>
      </c>
      <c r="F79" s="17">
        <v>5</v>
      </c>
      <c r="H79" s="360">
        <v>1</v>
      </c>
      <c r="I79" s="360">
        <v>2.8657690906855493E-2</v>
      </c>
      <c r="K79" s="363"/>
      <c r="N79" s="10"/>
      <c r="O79" s="4"/>
      <c r="P79" s="4"/>
      <c r="Q79" s="3"/>
      <c r="R79" s="3"/>
      <c r="S79" s="3"/>
      <c r="T79" s="3"/>
    </row>
    <row r="80" spans="1:20">
      <c r="A80" s="3">
        <v>1</v>
      </c>
      <c r="B80" s="3">
        <v>2</v>
      </c>
      <c r="C80" s="2">
        <v>25</v>
      </c>
      <c r="D80" s="2">
        <v>30</v>
      </c>
      <c r="E80" s="2">
        <v>16</v>
      </c>
      <c r="F80" s="17">
        <v>5</v>
      </c>
      <c r="H80" s="360">
        <v>1</v>
      </c>
      <c r="I80" s="360">
        <v>-4.8351782327738048E-2</v>
      </c>
      <c r="K80" s="363"/>
      <c r="N80" s="10"/>
      <c r="O80" s="4"/>
      <c r="P80" s="4"/>
      <c r="Q80" s="3"/>
      <c r="R80" s="3"/>
      <c r="S80" s="3"/>
      <c r="T80" s="3"/>
    </row>
    <row r="81" spans="1:20">
      <c r="A81" s="3">
        <v>5</v>
      </c>
      <c r="B81" s="3">
        <v>2</v>
      </c>
      <c r="C81" s="2">
        <v>50</v>
      </c>
      <c r="D81" s="2">
        <v>5</v>
      </c>
      <c r="E81" s="2">
        <v>16</v>
      </c>
      <c r="F81" s="17">
        <v>5</v>
      </c>
      <c r="H81" s="360">
        <v>0.90690338953604399</v>
      </c>
      <c r="I81" s="359">
        <v>-0.10669722503439673</v>
      </c>
      <c r="K81" s="363"/>
      <c r="N81" s="10"/>
      <c r="O81" s="4"/>
      <c r="P81" s="4"/>
      <c r="Q81" s="3"/>
      <c r="R81" s="3"/>
      <c r="S81" s="3"/>
      <c r="T81" s="3"/>
    </row>
    <row r="82" spans="1:20">
      <c r="A82" s="3">
        <v>4</v>
      </c>
      <c r="B82" s="3">
        <v>2</v>
      </c>
      <c r="C82" s="2">
        <v>50</v>
      </c>
      <c r="D82" s="2">
        <v>5</v>
      </c>
      <c r="E82" s="2">
        <v>16</v>
      </c>
      <c r="F82" s="17">
        <v>5</v>
      </c>
      <c r="H82" s="360">
        <v>0.27838170803090262</v>
      </c>
      <c r="I82" s="359">
        <v>-0.11060981214351626</v>
      </c>
      <c r="K82" s="363"/>
      <c r="N82" s="10"/>
      <c r="O82" s="4"/>
      <c r="P82" s="4"/>
      <c r="Q82" s="3"/>
      <c r="R82" s="3"/>
      <c r="S82" s="3"/>
      <c r="T82" s="3"/>
    </row>
    <row r="83" spans="1:20">
      <c r="A83" s="3">
        <v>3</v>
      </c>
      <c r="B83" s="3">
        <v>1</v>
      </c>
      <c r="C83" s="2">
        <v>25</v>
      </c>
      <c r="D83" s="2">
        <v>5</v>
      </c>
      <c r="E83" s="2">
        <v>16</v>
      </c>
      <c r="F83" s="17">
        <v>5</v>
      </c>
      <c r="H83" s="361">
        <v>1</v>
      </c>
      <c r="I83" s="361">
        <v>-0.12038015880643226</v>
      </c>
      <c r="K83" s="363"/>
      <c r="N83" s="10"/>
      <c r="O83" s="4"/>
      <c r="P83" s="4"/>
      <c r="Q83" s="3"/>
      <c r="R83" s="3"/>
      <c r="S83" s="3"/>
      <c r="T83" s="3"/>
    </row>
    <row r="84" spans="1:20">
      <c r="A84" s="3">
        <v>3</v>
      </c>
      <c r="B84" s="3">
        <v>1</v>
      </c>
      <c r="C84" s="2">
        <v>25</v>
      </c>
      <c r="D84" s="2">
        <v>5</v>
      </c>
      <c r="E84" s="2">
        <v>1</v>
      </c>
      <c r="F84" s="17">
        <v>5</v>
      </c>
      <c r="H84" s="360">
        <v>0.94300700277727012</v>
      </c>
      <c r="I84" s="360">
        <v>-0.15339146520626001</v>
      </c>
      <c r="K84" s="363"/>
      <c r="N84" s="10"/>
      <c r="O84" s="4"/>
      <c r="P84" s="4"/>
      <c r="Q84" s="3"/>
      <c r="R84" s="3"/>
      <c r="S84" s="3"/>
      <c r="T84" s="3"/>
    </row>
    <row r="85" spans="1:20">
      <c r="A85" s="3">
        <v>3</v>
      </c>
      <c r="B85" s="3">
        <v>2</v>
      </c>
      <c r="C85" s="2">
        <v>25</v>
      </c>
      <c r="D85" s="2">
        <v>5</v>
      </c>
      <c r="E85" s="2">
        <v>16</v>
      </c>
      <c r="F85" s="17">
        <v>5</v>
      </c>
      <c r="H85" s="360">
        <v>1</v>
      </c>
      <c r="I85" s="360">
        <v>-0.49021996074952934</v>
      </c>
      <c r="K85" s="363"/>
      <c r="N85" s="10"/>
      <c r="O85" s="4"/>
      <c r="P85" s="4"/>
      <c r="Q85" s="3"/>
      <c r="R85" s="3"/>
      <c r="S85" s="3"/>
      <c r="T85" s="3"/>
    </row>
    <row r="86" spans="1:20">
      <c r="A86" s="3">
        <v>3</v>
      </c>
      <c r="B86" s="3">
        <v>2</v>
      </c>
      <c r="C86" s="2">
        <v>25</v>
      </c>
      <c r="D86" s="2">
        <v>5</v>
      </c>
      <c r="E86" s="2">
        <v>1</v>
      </c>
      <c r="F86" s="17">
        <v>5</v>
      </c>
      <c r="H86" s="361">
        <v>1</v>
      </c>
      <c r="I86" s="361">
        <v>-0.53192751120646042</v>
      </c>
      <c r="K86" s="363"/>
      <c r="N86" s="10"/>
      <c r="O86" s="4"/>
      <c r="P86" s="4"/>
      <c r="Q86" s="3"/>
      <c r="R86" s="3"/>
      <c r="S86" s="3"/>
      <c r="T86" s="3"/>
    </row>
    <row r="87" spans="1:20">
      <c r="A87" s="3">
        <v>1</v>
      </c>
      <c r="B87" s="3">
        <v>1</v>
      </c>
      <c r="C87" s="2">
        <v>25</v>
      </c>
      <c r="D87" s="2">
        <v>5</v>
      </c>
      <c r="E87" s="2">
        <v>1</v>
      </c>
      <c r="F87" s="17">
        <v>6</v>
      </c>
      <c r="H87" s="360">
        <v>1</v>
      </c>
      <c r="I87" s="360">
        <v>0.92791076813980122</v>
      </c>
      <c r="K87" s="363"/>
      <c r="N87" s="10"/>
      <c r="O87" s="4"/>
      <c r="P87" s="4"/>
      <c r="Q87" s="3"/>
      <c r="R87" s="3"/>
      <c r="S87" s="3"/>
      <c r="T87" s="3"/>
    </row>
    <row r="88" spans="1:20">
      <c r="A88" s="3">
        <v>2</v>
      </c>
      <c r="B88" s="3">
        <v>1</v>
      </c>
      <c r="C88" s="2">
        <v>25</v>
      </c>
      <c r="D88" s="2">
        <v>5</v>
      </c>
      <c r="E88" s="2">
        <v>16</v>
      </c>
      <c r="F88" s="17">
        <v>6</v>
      </c>
      <c r="H88" s="361">
        <v>1</v>
      </c>
      <c r="I88" s="361">
        <v>0.92240073607473994</v>
      </c>
      <c r="K88" s="363"/>
      <c r="N88" s="10"/>
      <c r="O88" s="4"/>
      <c r="P88" s="4"/>
      <c r="Q88" s="3"/>
      <c r="R88" s="3"/>
      <c r="S88" s="3"/>
      <c r="T88" s="3"/>
    </row>
    <row r="89" spans="1:20">
      <c r="A89" s="3">
        <v>3</v>
      </c>
      <c r="B89" s="3">
        <v>2</v>
      </c>
      <c r="C89" s="2">
        <v>25</v>
      </c>
      <c r="D89" s="2">
        <v>5</v>
      </c>
      <c r="E89" s="2">
        <v>1</v>
      </c>
      <c r="F89" s="17">
        <v>6</v>
      </c>
      <c r="H89" s="361">
        <v>1</v>
      </c>
      <c r="I89" s="361">
        <v>0.91474129081285749</v>
      </c>
      <c r="K89" s="363"/>
      <c r="N89" s="10"/>
      <c r="O89" s="4"/>
      <c r="P89" s="4"/>
      <c r="Q89" s="3"/>
      <c r="R89" s="3"/>
      <c r="S89" s="3"/>
      <c r="T89" s="3"/>
    </row>
    <row r="90" spans="1:20">
      <c r="A90" s="3">
        <v>1</v>
      </c>
      <c r="B90" s="3">
        <v>1</v>
      </c>
      <c r="C90" s="2">
        <v>25</v>
      </c>
      <c r="D90" s="2">
        <v>5</v>
      </c>
      <c r="E90" s="2">
        <v>16</v>
      </c>
      <c r="F90" s="17">
        <v>6</v>
      </c>
      <c r="H90" s="360">
        <v>1</v>
      </c>
      <c r="I90" s="360">
        <v>0.90896744367269433</v>
      </c>
      <c r="K90" s="363"/>
      <c r="N90" s="10"/>
      <c r="O90" s="4"/>
      <c r="P90" s="4"/>
      <c r="Q90" s="3"/>
      <c r="R90" s="3"/>
      <c r="S90" s="3"/>
      <c r="T90" s="3"/>
    </row>
    <row r="91" spans="1:20">
      <c r="A91" s="3">
        <v>2</v>
      </c>
      <c r="B91" s="3">
        <v>1</v>
      </c>
      <c r="C91" s="2">
        <v>25</v>
      </c>
      <c r="D91" s="2">
        <v>5</v>
      </c>
      <c r="E91" s="2">
        <v>1</v>
      </c>
      <c r="F91" s="17">
        <v>6</v>
      </c>
      <c r="H91" s="360">
        <v>1</v>
      </c>
      <c r="I91" s="360">
        <v>0.90544728686242582</v>
      </c>
      <c r="K91" s="363"/>
      <c r="N91" s="10"/>
      <c r="O91" s="4"/>
      <c r="P91" s="4"/>
      <c r="Q91" s="3"/>
      <c r="R91" s="3"/>
      <c r="S91" s="3"/>
      <c r="T91" s="3"/>
    </row>
    <row r="92" spans="1:20">
      <c r="A92" s="3">
        <v>1</v>
      </c>
      <c r="B92" s="3">
        <v>2</v>
      </c>
      <c r="C92" s="2">
        <v>25</v>
      </c>
      <c r="D92" s="2">
        <v>5</v>
      </c>
      <c r="E92" s="2">
        <v>16</v>
      </c>
      <c r="F92" s="17">
        <v>6</v>
      </c>
      <c r="H92" s="360">
        <v>1</v>
      </c>
      <c r="I92" s="360">
        <v>0.86639026725518886</v>
      </c>
      <c r="K92" s="363"/>
      <c r="N92" s="10"/>
      <c r="O92" s="4"/>
      <c r="P92" s="4"/>
      <c r="Q92" s="3"/>
      <c r="R92" s="3"/>
      <c r="S92" s="3"/>
      <c r="T92" s="3"/>
    </row>
    <row r="93" spans="1:20">
      <c r="A93" s="3">
        <v>2</v>
      </c>
      <c r="B93" s="3">
        <v>2</v>
      </c>
      <c r="C93" s="2">
        <v>25</v>
      </c>
      <c r="D93" s="2">
        <v>5</v>
      </c>
      <c r="E93" s="2">
        <v>16</v>
      </c>
      <c r="F93" s="17">
        <v>6</v>
      </c>
      <c r="H93" s="361">
        <v>1</v>
      </c>
      <c r="I93" s="361">
        <v>0.864869399854578</v>
      </c>
      <c r="K93" s="363"/>
      <c r="N93" s="10"/>
      <c r="O93" s="4"/>
      <c r="P93" s="4"/>
      <c r="Q93" s="3"/>
      <c r="R93" s="3"/>
      <c r="S93" s="3"/>
      <c r="T93" s="3"/>
    </row>
    <row r="94" spans="1:20">
      <c r="A94" s="3">
        <v>1</v>
      </c>
      <c r="B94" s="3">
        <v>2</v>
      </c>
      <c r="C94" s="2">
        <v>25</v>
      </c>
      <c r="D94" s="2">
        <v>5</v>
      </c>
      <c r="E94" s="2">
        <v>16</v>
      </c>
      <c r="F94" s="17">
        <v>6</v>
      </c>
      <c r="H94" s="361">
        <v>1</v>
      </c>
      <c r="I94" s="361">
        <v>0.86462954448885487</v>
      </c>
      <c r="K94" s="363"/>
      <c r="N94" s="10"/>
      <c r="O94" s="4"/>
      <c r="P94" s="4"/>
      <c r="Q94" s="3"/>
      <c r="R94" s="3"/>
      <c r="S94" s="3"/>
      <c r="T94" s="3"/>
    </row>
    <row r="95" spans="1:20">
      <c r="A95" s="3">
        <v>1</v>
      </c>
      <c r="B95" s="3">
        <v>2</v>
      </c>
      <c r="C95" s="2">
        <v>25</v>
      </c>
      <c r="D95" s="2">
        <v>5</v>
      </c>
      <c r="E95" s="2">
        <v>1</v>
      </c>
      <c r="F95" s="17">
        <v>6</v>
      </c>
      <c r="H95" s="360">
        <v>1</v>
      </c>
      <c r="I95" s="360">
        <v>0.85917575216044317</v>
      </c>
      <c r="K95" s="363"/>
      <c r="N95" s="10"/>
      <c r="O95" s="4"/>
      <c r="P95" s="4"/>
      <c r="Q95" s="3"/>
      <c r="R95" s="3"/>
      <c r="S95" s="3"/>
      <c r="T95" s="3"/>
    </row>
    <row r="96" spans="1:20">
      <c r="A96" s="3">
        <v>2</v>
      </c>
      <c r="B96" s="3">
        <v>2</v>
      </c>
      <c r="C96" s="2">
        <v>25</v>
      </c>
      <c r="D96" s="2">
        <v>5</v>
      </c>
      <c r="E96" s="2">
        <v>1</v>
      </c>
      <c r="F96" s="17">
        <v>6</v>
      </c>
      <c r="H96" s="361">
        <v>0.84199518443060883</v>
      </c>
      <c r="I96" s="361">
        <v>0.82651018294787715</v>
      </c>
      <c r="K96" s="363"/>
      <c r="N96" s="10"/>
      <c r="O96" s="4"/>
      <c r="P96" s="4"/>
      <c r="Q96" s="3"/>
      <c r="R96" s="3"/>
      <c r="S96" s="3"/>
      <c r="T96" s="3"/>
    </row>
    <row r="97" spans="1:20">
      <c r="A97" s="3">
        <v>3</v>
      </c>
      <c r="B97" s="3">
        <v>1</v>
      </c>
      <c r="C97" s="2">
        <v>25</v>
      </c>
      <c r="D97" s="2">
        <v>5</v>
      </c>
      <c r="E97" s="2">
        <v>1</v>
      </c>
      <c r="F97" s="17">
        <v>6</v>
      </c>
      <c r="H97" s="360">
        <v>1</v>
      </c>
      <c r="I97" s="360">
        <v>0.79978012432749979</v>
      </c>
      <c r="K97" s="363"/>
      <c r="N97" s="10"/>
      <c r="O97" s="4"/>
      <c r="P97" s="4"/>
      <c r="Q97" s="3"/>
      <c r="R97" s="3"/>
      <c r="S97" s="3"/>
      <c r="T97" s="3"/>
    </row>
    <row r="98" spans="1:20">
      <c r="A98" s="3">
        <v>3</v>
      </c>
      <c r="B98" s="3">
        <v>1</v>
      </c>
      <c r="C98" s="2">
        <v>25</v>
      </c>
      <c r="D98" s="2">
        <v>5</v>
      </c>
      <c r="E98" s="2">
        <v>16</v>
      </c>
      <c r="F98" s="17">
        <v>6</v>
      </c>
      <c r="H98" s="361">
        <v>1</v>
      </c>
      <c r="I98" s="361">
        <v>0.78522876997640445</v>
      </c>
      <c r="K98" s="363"/>
      <c r="N98" s="10"/>
      <c r="O98" s="4"/>
      <c r="P98" s="4"/>
      <c r="Q98" s="3"/>
      <c r="R98" s="3"/>
      <c r="S98" s="3"/>
      <c r="T98" s="3"/>
    </row>
    <row r="99" spans="1:20">
      <c r="A99" s="3">
        <v>5</v>
      </c>
      <c r="B99" s="3">
        <v>2</v>
      </c>
      <c r="C99" s="2">
        <v>50</v>
      </c>
      <c r="D99" s="2">
        <v>5</v>
      </c>
      <c r="E99" s="2">
        <v>16</v>
      </c>
      <c r="F99" s="17">
        <v>6</v>
      </c>
      <c r="H99" s="360">
        <v>1</v>
      </c>
      <c r="I99" s="359">
        <v>0.7640159951748976</v>
      </c>
      <c r="K99" s="363"/>
      <c r="N99" s="10"/>
      <c r="O99" s="4"/>
      <c r="P99" s="4"/>
      <c r="Q99" s="3"/>
      <c r="R99" s="3"/>
      <c r="S99" s="3"/>
      <c r="T99" s="3"/>
    </row>
    <row r="100" spans="1:20">
      <c r="A100" s="3">
        <v>1</v>
      </c>
      <c r="B100" s="3">
        <v>1</v>
      </c>
      <c r="C100" s="2">
        <v>25</v>
      </c>
      <c r="D100" s="2">
        <v>30</v>
      </c>
      <c r="E100" s="2">
        <v>16</v>
      </c>
      <c r="F100" s="17">
        <v>6</v>
      </c>
      <c r="H100" s="360">
        <v>1</v>
      </c>
      <c r="I100" s="360">
        <v>0.76197942851130285</v>
      </c>
      <c r="K100" s="363"/>
      <c r="N100" s="10"/>
      <c r="O100" s="4"/>
      <c r="P100" s="4"/>
      <c r="Q100" s="3"/>
      <c r="R100" s="3"/>
      <c r="S100" s="3"/>
      <c r="T100" s="3"/>
    </row>
    <row r="101" spans="1:20">
      <c r="A101" s="3">
        <v>1</v>
      </c>
      <c r="B101" s="3">
        <v>2</v>
      </c>
      <c r="C101" s="2">
        <v>25</v>
      </c>
      <c r="D101" s="2">
        <v>30</v>
      </c>
      <c r="E101" s="2">
        <v>16</v>
      </c>
      <c r="F101" s="17">
        <v>6</v>
      </c>
      <c r="H101" s="360">
        <v>1</v>
      </c>
      <c r="I101" s="360">
        <v>0.58756010240570944</v>
      </c>
      <c r="K101" s="363"/>
      <c r="N101" s="10"/>
      <c r="O101" s="4"/>
      <c r="P101" s="4"/>
      <c r="Q101" s="3"/>
      <c r="R101" s="3"/>
      <c r="S101" s="3"/>
      <c r="T101" s="3"/>
    </row>
    <row r="102" spans="1:20">
      <c r="A102" s="3">
        <v>3</v>
      </c>
      <c r="B102" s="3">
        <v>2</v>
      </c>
      <c r="C102" s="2">
        <v>25</v>
      </c>
      <c r="D102" s="2">
        <v>5</v>
      </c>
      <c r="E102" s="2">
        <v>16</v>
      </c>
      <c r="F102" s="17">
        <v>6</v>
      </c>
      <c r="H102" s="360">
        <v>1</v>
      </c>
      <c r="I102" s="360">
        <v>0.51191891305911641</v>
      </c>
      <c r="K102" s="363"/>
      <c r="N102" s="10"/>
      <c r="O102" s="4"/>
      <c r="P102" s="4"/>
      <c r="Q102" s="3"/>
      <c r="R102" s="3"/>
      <c r="S102" s="3"/>
      <c r="T102" s="3"/>
    </row>
    <row r="103" spans="1:20">
      <c r="A103" s="3">
        <v>4</v>
      </c>
      <c r="B103" s="3">
        <v>2</v>
      </c>
      <c r="C103" s="2">
        <v>50</v>
      </c>
      <c r="D103" s="2">
        <v>5</v>
      </c>
      <c r="E103" s="2">
        <v>16</v>
      </c>
      <c r="F103" s="17">
        <v>6</v>
      </c>
      <c r="H103" s="360">
        <v>0.87234822507174925</v>
      </c>
      <c r="I103" s="359">
        <v>7.5814489505544078E-2</v>
      </c>
      <c r="K103" s="363"/>
      <c r="N103" s="10"/>
      <c r="O103" s="4"/>
      <c r="P103" s="4"/>
      <c r="Q103" s="3"/>
      <c r="R103" s="3"/>
      <c r="S103" s="3"/>
      <c r="T103" s="3"/>
    </row>
    <row r="104" spans="1:20">
      <c r="A104" s="3">
        <v>5</v>
      </c>
      <c r="B104" s="3">
        <v>2</v>
      </c>
      <c r="C104" s="2">
        <v>50</v>
      </c>
      <c r="D104" s="2">
        <v>5</v>
      </c>
      <c r="E104" s="2">
        <v>16</v>
      </c>
      <c r="F104" s="17">
        <v>7</v>
      </c>
      <c r="H104" s="360">
        <v>1</v>
      </c>
      <c r="I104" s="359">
        <v>0.63063103955733535</v>
      </c>
      <c r="K104" s="363"/>
      <c r="N104" s="10"/>
      <c r="O104" s="4"/>
      <c r="P104" s="4"/>
      <c r="Q104" s="3"/>
      <c r="R104" s="3"/>
      <c r="S104" s="3"/>
      <c r="T104" s="3"/>
    </row>
    <row r="105" spans="1:20">
      <c r="A105" s="3">
        <v>4</v>
      </c>
      <c r="B105" s="3">
        <v>2</v>
      </c>
      <c r="C105" s="2">
        <v>50</v>
      </c>
      <c r="D105" s="2">
        <v>5</v>
      </c>
      <c r="E105" s="2">
        <v>16</v>
      </c>
      <c r="F105" s="17">
        <v>7</v>
      </c>
      <c r="H105" s="360">
        <v>0.99246016115156876</v>
      </c>
      <c r="I105" s="359">
        <v>0.17563168304131188</v>
      </c>
      <c r="K105" s="363"/>
      <c r="N105" s="10"/>
      <c r="O105" s="4"/>
      <c r="P105" s="4"/>
      <c r="Q105" s="3"/>
      <c r="R105" s="3"/>
      <c r="S105" s="3"/>
      <c r="T105" s="3"/>
    </row>
    <row r="106" spans="1:20">
      <c r="A106" s="3">
        <v>1</v>
      </c>
      <c r="B106" s="3">
        <v>1</v>
      </c>
      <c r="C106" s="2">
        <v>25</v>
      </c>
      <c r="D106" s="2">
        <v>5</v>
      </c>
      <c r="E106" s="2">
        <v>1</v>
      </c>
      <c r="F106" s="17">
        <v>7</v>
      </c>
      <c r="H106" s="360">
        <v>1</v>
      </c>
      <c r="I106" s="360">
        <v>0.14935253428306208</v>
      </c>
      <c r="K106" s="363"/>
      <c r="N106" s="10"/>
      <c r="O106" s="4"/>
      <c r="P106" s="4"/>
      <c r="Q106" s="3"/>
      <c r="R106" s="3"/>
      <c r="S106" s="3"/>
      <c r="T106" s="3"/>
    </row>
    <row r="107" spans="1:20">
      <c r="A107" s="3">
        <v>1</v>
      </c>
      <c r="B107" s="3">
        <v>1</v>
      </c>
      <c r="C107" s="2">
        <v>25</v>
      </c>
      <c r="D107" s="2">
        <v>5</v>
      </c>
      <c r="E107" s="2">
        <v>16</v>
      </c>
      <c r="F107" s="17">
        <v>7</v>
      </c>
      <c r="H107" s="360">
        <v>1</v>
      </c>
      <c r="I107" s="360">
        <v>0.12984831571260991</v>
      </c>
      <c r="K107" s="363"/>
      <c r="N107" s="10"/>
      <c r="O107" s="4"/>
      <c r="P107" s="4"/>
      <c r="Q107" s="3"/>
      <c r="R107" s="3"/>
      <c r="S107" s="3"/>
      <c r="T107" s="3"/>
    </row>
    <row r="108" spans="1:20">
      <c r="A108" s="3">
        <v>3</v>
      </c>
      <c r="B108" s="3">
        <v>1</v>
      </c>
      <c r="C108" s="2">
        <v>25</v>
      </c>
      <c r="D108" s="2">
        <v>5</v>
      </c>
      <c r="E108" s="2">
        <v>1</v>
      </c>
      <c r="F108" s="17">
        <v>7</v>
      </c>
      <c r="H108" s="360">
        <v>0.28611804390478024</v>
      </c>
      <c r="I108" s="360">
        <v>1.5964721238386433E-2</v>
      </c>
      <c r="K108" s="363"/>
      <c r="N108" s="10"/>
      <c r="O108" s="4"/>
      <c r="P108" s="4"/>
      <c r="Q108" s="3"/>
      <c r="R108" s="3"/>
      <c r="S108" s="3"/>
      <c r="T108" s="3"/>
    </row>
    <row r="109" spans="1:20">
      <c r="A109" s="3">
        <v>1</v>
      </c>
      <c r="B109" s="3">
        <v>2</v>
      </c>
      <c r="C109" s="2">
        <v>25</v>
      </c>
      <c r="D109" s="2">
        <v>5</v>
      </c>
      <c r="E109" s="2">
        <v>16</v>
      </c>
      <c r="F109" s="17">
        <v>7</v>
      </c>
      <c r="H109" s="361">
        <v>1</v>
      </c>
      <c r="I109" s="361">
        <v>-2.5102231899497181E-3</v>
      </c>
      <c r="K109" s="363"/>
      <c r="N109" s="10"/>
      <c r="O109" s="4"/>
      <c r="P109" s="4"/>
      <c r="Q109" s="3"/>
      <c r="R109" s="3"/>
      <c r="S109" s="3"/>
      <c r="T109" s="3"/>
    </row>
    <row r="110" spans="1:20">
      <c r="A110" s="3">
        <v>1</v>
      </c>
      <c r="B110" s="3">
        <v>2</v>
      </c>
      <c r="C110" s="2">
        <v>25</v>
      </c>
      <c r="D110" s="2">
        <v>5</v>
      </c>
      <c r="E110" s="2">
        <v>1</v>
      </c>
      <c r="F110" s="17">
        <v>7</v>
      </c>
      <c r="H110" s="360">
        <v>1</v>
      </c>
      <c r="I110" s="360">
        <v>-3.7448723936784872E-3</v>
      </c>
      <c r="K110" s="363"/>
      <c r="N110" s="10"/>
      <c r="O110" s="4"/>
      <c r="P110" s="4"/>
      <c r="Q110" s="3"/>
      <c r="R110" s="3"/>
      <c r="S110" s="3"/>
      <c r="T110" s="3"/>
    </row>
    <row r="111" spans="1:20">
      <c r="A111" s="3">
        <v>3</v>
      </c>
      <c r="B111" s="3">
        <v>1</v>
      </c>
      <c r="C111" s="2">
        <v>25</v>
      </c>
      <c r="D111" s="2">
        <v>5</v>
      </c>
      <c r="E111" s="2">
        <v>16</v>
      </c>
      <c r="F111" s="17">
        <v>7</v>
      </c>
      <c r="H111" s="361">
        <v>0.44564105231109086</v>
      </c>
      <c r="I111" s="361">
        <v>-4.9581682759759016E-3</v>
      </c>
      <c r="K111" s="363"/>
      <c r="N111" s="10"/>
      <c r="O111" s="4"/>
      <c r="P111" s="4"/>
      <c r="Q111" s="3"/>
      <c r="R111" s="3"/>
      <c r="S111" s="3"/>
      <c r="T111" s="3"/>
    </row>
    <row r="112" spans="1:20">
      <c r="A112" s="3">
        <v>1</v>
      </c>
      <c r="B112" s="3">
        <v>2</v>
      </c>
      <c r="C112" s="2">
        <v>25</v>
      </c>
      <c r="D112" s="2">
        <v>5</v>
      </c>
      <c r="E112" s="2">
        <v>16</v>
      </c>
      <c r="F112" s="17">
        <v>7</v>
      </c>
      <c r="H112" s="360">
        <v>1</v>
      </c>
      <c r="I112" s="360">
        <v>-9.0490294612770618E-3</v>
      </c>
      <c r="K112" s="363"/>
      <c r="N112" s="10"/>
      <c r="O112" s="4"/>
      <c r="P112" s="4"/>
      <c r="Q112" s="3"/>
      <c r="R112" s="3"/>
      <c r="S112" s="3"/>
      <c r="T112" s="3"/>
    </row>
    <row r="113" spans="1:20">
      <c r="A113" s="3">
        <v>2</v>
      </c>
      <c r="B113" s="3">
        <v>1</v>
      </c>
      <c r="C113" s="2">
        <v>25</v>
      </c>
      <c r="D113" s="2">
        <v>5</v>
      </c>
      <c r="E113" s="2">
        <v>16</v>
      </c>
      <c r="F113" s="17">
        <v>7</v>
      </c>
      <c r="H113" s="361">
        <v>1</v>
      </c>
      <c r="I113" s="361">
        <v>-2.9405838332001787E-2</v>
      </c>
      <c r="K113" s="363"/>
      <c r="N113" s="10"/>
      <c r="O113" s="4"/>
      <c r="P113" s="4"/>
      <c r="Q113" s="3"/>
      <c r="R113" s="3"/>
      <c r="S113" s="3"/>
      <c r="T113" s="3"/>
    </row>
    <row r="114" spans="1:20">
      <c r="A114" s="3">
        <v>2</v>
      </c>
      <c r="B114" s="3">
        <v>1</v>
      </c>
      <c r="C114" s="2">
        <v>25</v>
      </c>
      <c r="D114" s="2">
        <v>5</v>
      </c>
      <c r="E114" s="2">
        <v>1</v>
      </c>
      <c r="F114" s="17">
        <v>7</v>
      </c>
      <c r="H114" s="360">
        <v>1</v>
      </c>
      <c r="I114" s="360">
        <v>-3.8268440704849992E-2</v>
      </c>
      <c r="K114" s="363"/>
      <c r="N114" s="10"/>
      <c r="O114" s="4"/>
      <c r="P114" s="4"/>
      <c r="Q114" s="3"/>
      <c r="R114" s="3"/>
      <c r="S114" s="3"/>
      <c r="T114" s="3"/>
    </row>
    <row r="115" spans="1:20">
      <c r="A115" s="3">
        <v>1</v>
      </c>
      <c r="B115" s="3">
        <v>1</v>
      </c>
      <c r="C115" s="2">
        <v>25</v>
      </c>
      <c r="D115" s="2">
        <v>30</v>
      </c>
      <c r="E115" s="2">
        <v>16</v>
      </c>
      <c r="F115" s="17">
        <v>7</v>
      </c>
      <c r="H115" s="360">
        <v>1</v>
      </c>
      <c r="I115" s="360">
        <v>-4.6108332200311838E-2</v>
      </c>
      <c r="K115" s="363"/>
      <c r="N115" s="10"/>
      <c r="O115" s="4"/>
      <c r="P115" s="4"/>
      <c r="Q115" s="3"/>
      <c r="R115" s="3"/>
      <c r="S115" s="3"/>
      <c r="T115" s="3"/>
    </row>
    <row r="116" spans="1:20">
      <c r="A116" s="3">
        <v>3</v>
      </c>
      <c r="B116" s="3">
        <v>2</v>
      </c>
      <c r="C116" s="2">
        <v>25</v>
      </c>
      <c r="D116" s="2">
        <v>5</v>
      </c>
      <c r="E116" s="2">
        <v>1</v>
      </c>
      <c r="F116" s="17">
        <v>7</v>
      </c>
      <c r="H116" s="361">
        <v>0.29298390004733421</v>
      </c>
      <c r="I116" s="361">
        <v>-6.4359462486002272E-2</v>
      </c>
      <c r="K116" s="363"/>
      <c r="N116" s="10"/>
      <c r="O116" s="4"/>
      <c r="P116" s="4"/>
      <c r="Q116" s="3"/>
      <c r="R116" s="3"/>
      <c r="S116" s="3"/>
      <c r="T116" s="3"/>
    </row>
    <row r="117" spans="1:20">
      <c r="A117" s="3">
        <v>1</v>
      </c>
      <c r="B117" s="3">
        <v>2</v>
      </c>
      <c r="C117" s="2">
        <v>25</v>
      </c>
      <c r="D117" s="2">
        <v>30</v>
      </c>
      <c r="E117" s="2">
        <v>16</v>
      </c>
      <c r="F117" s="17">
        <v>7</v>
      </c>
      <c r="H117" s="360">
        <v>1</v>
      </c>
      <c r="I117" s="360">
        <v>-8.1335562162876032E-2</v>
      </c>
      <c r="K117" s="363"/>
      <c r="N117" s="10"/>
      <c r="O117" s="4"/>
      <c r="P117" s="4"/>
      <c r="Q117" s="3"/>
      <c r="R117" s="3"/>
      <c r="S117" s="3"/>
      <c r="T117" s="3"/>
    </row>
    <row r="118" spans="1:20">
      <c r="A118" s="3">
        <v>2</v>
      </c>
      <c r="B118" s="3">
        <v>2</v>
      </c>
      <c r="C118" s="2">
        <v>25</v>
      </c>
      <c r="D118" s="2">
        <v>5</v>
      </c>
      <c r="E118" s="2">
        <v>1</v>
      </c>
      <c r="F118" s="17">
        <v>7</v>
      </c>
      <c r="H118" s="361">
        <v>0.72338689161239689</v>
      </c>
      <c r="I118" s="361">
        <v>-0.12506333218490973</v>
      </c>
      <c r="K118" s="363"/>
      <c r="N118" s="10"/>
      <c r="O118" s="4"/>
      <c r="P118" s="4"/>
      <c r="Q118" s="3"/>
      <c r="R118" s="3"/>
      <c r="S118" s="3"/>
      <c r="T118" s="3"/>
    </row>
    <row r="119" spans="1:20">
      <c r="A119" s="3">
        <v>2</v>
      </c>
      <c r="B119" s="3">
        <v>2</v>
      </c>
      <c r="C119" s="2">
        <v>25</v>
      </c>
      <c r="D119" s="2">
        <v>5</v>
      </c>
      <c r="E119" s="2">
        <v>16</v>
      </c>
      <c r="F119" s="17">
        <v>7</v>
      </c>
      <c r="H119" s="361">
        <v>1</v>
      </c>
      <c r="I119" s="361">
        <v>-0.22329385591834064</v>
      </c>
      <c r="K119" s="363"/>
      <c r="N119" s="10"/>
      <c r="O119" s="4"/>
      <c r="P119" s="4"/>
      <c r="Q119" s="3"/>
      <c r="R119" s="3"/>
      <c r="S119" s="3"/>
      <c r="T119" s="3"/>
    </row>
    <row r="120" spans="1:20">
      <c r="A120" s="3">
        <v>3</v>
      </c>
      <c r="B120" s="3">
        <v>2</v>
      </c>
      <c r="C120" s="2">
        <v>25</v>
      </c>
      <c r="D120" s="2">
        <v>5</v>
      </c>
      <c r="E120" s="2">
        <v>16</v>
      </c>
      <c r="F120" s="17">
        <v>7</v>
      </c>
      <c r="H120" s="360">
        <v>1</v>
      </c>
      <c r="I120" s="360">
        <v>-0.24432241250930753</v>
      </c>
      <c r="K120" s="363"/>
      <c r="N120" s="10"/>
      <c r="O120" s="4"/>
      <c r="P120" s="4"/>
      <c r="Q120" s="3"/>
      <c r="R120" s="3"/>
      <c r="S120" s="3"/>
      <c r="T120" s="3"/>
    </row>
    <row r="121" spans="1:20">
      <c r="A121" s="3">
        <v>1</v>
      </c>
      <c r="B121" s="3">
        <v>2</v>
      </c>
      <c r="C121" s="2">
        <v>25</v>
      </c>
      <c r="D121" s="2">
        <v>30</v>
      </c>
      <c r="E121" s="2">
        <v>16</v>
      </c>
      <c r="F121" s="17">
        <v>8</v>
      </c>
      <c r="H121" s="360">
        <v>1</v>
      </c>
      <c r="I121" s="360">
        <v>0.15223265044745035</v>
      </c>
      <c r="K121" s="363"/>
      <c r="N121" s="10"/>
      <c r="O121" s="4"/>
      <c r="P121" s="4"/>
      <c r="Q121" s="3"/>
      <c r="R121" s="3"/>
      <c r="S121" s="3"/>
      <c r="T121" s="3"/>
    </row>
    <row r="122" spans="1:20">
      <c r="A122" s="3">
        <v>2</v>
      </c>
      <c r="B122" s="3">
        <v>1</v>
      </c>
      <c r="C122" s="2">
        <v>25</v>
      </c>
      <c r="D122" s="2">
        <v>5</v>
      </c>
      <c r="E122" s="2">
        <v>16</v>
      </c>
      <c r="F122" s="17">
        <v>8</v>
      </c>
      <c r="H122" s="361">
        <v>1</v>
      </c>
      <c r="I122" s="361">
        <v>0.14077700977414623</v>
      </c>
      <c r="K122" s="363"/>
      <c r="N122" s="10"/>
      <c r="O122" s="4"/>
      <c r="P122" s="4"/>
      <c r="Q122" s="3"/>
      <c r="R122" s="3"/>
      <c r="S122" s="3"/>
      <c r="T122" s="3"/>
    </row>
    <row r="123" spans="1:20">
      <c r="A123" s="3">
        <v>1</v>
      </c>
      <c r="B123" s="3">
        <v>2</v>
      </c>
      <c r="C123" s="2">
        <v>25</v>
      </c>
      <c r="D123" s="2">
        <v>5</v>
      </c>
      <c r="E123" s="2">
        <v>1</v>
      </c>
      <c r="F123" s="17">
        <v>8</v>
      </c>
      <c r="H123" s="360">
        <v>0.40197450267816248</v>
      </c>
      <c r="I123" s="360">
        <v>0.12079616653491247</v>
      </c>
      <c r="K123" s="363"/>
      <c r="N123" s="10"/>
      <c r="O123" s="4"/>
      <c r="P123" s="4"/>
      <c r="Q123" s="3"/>
      <c r="R123" s="3"/>
      <c r="S123" s="3"/>
      <c r="T123" s="3"/>
    </row>
    <row r="124" spans="1:20">
      <c r="A124" s="3">
        <v>1</v>
      </c>
      <c r="B124" s="3">
        <v>2</v>
      </c>
      <c r="C124" s="2">
        <v>25</v>
      </c>
      <c r="D124" s="2">
        <v>5</v>
      </c>
      <c r="E124" s="2">
        <v>16</v>
      </c>
      <c r="F124" s="17">
        <v>8</v>
      </c>
      <c r="H124" s="361">
        <v>1</v>
      </c>
      <c r="I124" s="361">
        <v>0.10791945460800767</v>
      </c>
      <c r="K124" s="363"/>
      <c r="N124" s="10"/>
      <c r="O124" s="4"/>
      <c r="P124" s="4"/>
      <c r="Q124" s="3"/>
      <c r="R124" s="3"/>
      <c r="S124" s="3"/>
      <c r="T124" s="3"/>
    </row>
    <row r="125" spans="1:20">
      <c r="A125" s="3">
        <v>2</v>
      </c>
      <c r="B125" s="3">
        <v>1</v>
      </c>
      <c r="C125" s="2">
        <v>25</v>
      </c>
      <c r="D125" s="2">
        <v>5</v>
      </c>
      <c r="E125" s="2">
        <v>1</v>
      </c>
      <c r="F125" s="17">
        <v>8</v>
      </c>
      <c r="H125" s="360">
        <v>1</v>
      </c>
      <c r="I125" s="360">
        <v>0.10247974166818985</v>
      </c>
      <c r="K125" s="363"/>
      <c r="N125" s="10"/>
      <c r="O125" s="4"/>
      <c r="P125" s="4"/>
      <c r="Q125" s="3"/>
      <c r="R125" s="3"/>
      <c r="S125" s="3"/>
      <c r="T125" s="3"/>
    </row>
    <row r="126" spans="1:20">
      <c r="A126" s="3">
        <v>1</v>
      </c>
      <c r="B126" s="3">
        <v>2</v>
      </c>
      <c r="C126" s="2">
        <v>25</v>
      </c>
      <c r="D126" s="2">
        <v>5</v>
      </c>
      <c r="E126" s="2">
        <v>16</v>
      </c>
      <c r="F126" s="17">
        <v>8</v>
      </c>
      <c r="H126" s="360">
        <v>1</v>
      </c>
      <c r="I126" s="360">
        <v>7.881866392826517E-2</v>
      </c>
      <c r="K126" s="363"/>
      <c r="N126" s="10"/>
      <c r="O126" s="4"/>
      <c r="P126" s="4"/>
      <c r="Q126" s="3"/>
      <c r="R126" s="3"/>
      <c r="S126" s="3"/>
      <c r="T126" s="3"/>
    </row>
    <row r="127" spans="1:20">
      <c r="A127" s="3">
        <v>1</v>
      </c>
      <c r="B127" s="3">
        <v>1</v>
      </c>
      <c r="C127" s="2">
        <v>25</v>
      </c>
      <c r="D127" s="2">
        <v>5</v>
      </c>
      <c r="E127" s="2">
        <v>1</v>
      </c>
      <c r="F127" s="17">
        <v>8</v>
      </c>
      <c r="H127" s="360">
        <v>0.96414436368461531</v>
      </c>
      <c r="I127" s="360">
        <v>2.778119010282502E-2</v>
      </c>
      <c r="K127" s="363"/>
      <c r="N127" s="10"/>
      <c r="O127" s="4"/>
      <c r="P127" s="4"/>
      <c r="Q127" s="3"/>
      <c r="R127" s="3"/>
      <c r="S127" s="3"/>
      <c r="T127" s="3"/>
    </row>
    <row r="128" spans="1:20">
      <c r="A128" s="3">
        <v>1</v>
      </c>
      <c r="B128" s="3">
        <v>1</v>
      </c>
      <c r="C128" s="2">
        <v>25</v>
      </c>
      <c r="D128" s="2">
        <v>5</v>
      </c>
      <c r="E128" s="2">
        <v>16</v>
      </c>
      <c r="F128" s="17">
        <v>8</v>
      </c>
      <c r="H128" s="360">
        <v>1</v>
      </c>
      <c r="I128" s="360">
        <v>1.4151435454757267E-2</v>
      </c>
      <c r="K128" s="363"/>
      <c r="N128" s="10"/>
      <c r="O128" s="4"/>
      <c r="P128" s="4"/>
      <c r="Q128" s="3"/>
      <c r="R128" s="3"/>
      <c r="S128" s="3"/>
      <c r="T128" s="3"/>
    </row>
    <row r="129" spans="1:20">
      <c r="A129" s="3">
        <v>3</v>
      </c>
      <c r="B129" s="3">
        <v>2</v>
      </c>
      <c r="C129" s="2">
        <v>25</v>
      </c>
      <c r="D129" s="2">
        <v>5</v>
      </c>
      <c r="E129" s="2">
        <v>16</v>
      </c>
      <c r="F129" s="17">
        <v>8</v>
      </c>
      <c r="H129" s="360">
        <v>0.4918810115290746</v>
      </c>
      <c r="I129" s="360">
        <v>-7.854714860307959E-3</v>
      </c>
      <c r="K129" s="363"/>
      <c r="N129" s="10"/>
      <c r="O129" s="4"/>
      <c r="P129" s="4"/>
      <c r="Q129" s="3"/>
      <c r="R129" s="3"/>
      <c r="S129" s="3"/>
      <c r="T129" s="3"/>
    </row>
    <row r="130" spans="1:20">
      <c r="A130" s="3">
        <v>2</v>
      </c>
      <c r="B130" s="3">
        <v>2</v>
      </c>
      <c r="C130" s="2">
        <v>25</v>
      </c>
      <c r="D130" s="2">
        <v>5</v>
      </c>
      <c r="E130" s="2">
        <v>16</v>
      </c>
      <c r="F130" s="17">
        <v>8</v>
      </c>
      <c r="H130" s="361">
        <v>1</v>
      </c>
      <c r="I130" s="361">
        <v>-2.2666905097327664E-2</v>
      </c>
      <c r="K130" s="363"/>
      <c r="N130" s="10"/>
      <c r="O130" s="4"/>
      <c r="P130" s="4"/>
      <c r="Q130" s="3"/>
      <c r="R130" s="3"/>
      <c r="S130" s="3"/>
      <c r="T130" s="3"/>
    </row>
    <row r="131" spans="1:20">
      <c r="A131" s="3">
        <v>1</v>
      </c>
      <c r="B131" s="3">
        <v>1</v>
      </c>
      <c r="C131" s="2">
        <v>25</v>
      </c>
      <c r="D131" s="2">
        <v>30</v>
      </c>
      <c r="E131" s="2">
        <v>16</v>
      </c>
      <c r="F131" s="17">
        <v>8</v>
      </c>
      <c r="H131" s="360">
        <v>0.95697495806304889</v>
      </c>
      <c r="I131" s="360">
        <v>-3.4899801796961248E-2</v>
      </c>
      <c r="K131" s="363"/>
      <c r="N131" s="10"/>
      <c r="O131" s="4"/>
      <c r="P131" s="4"/>
      <c r="Q131" s="3"/>
      <c r="R131" s="3"/>
      <c r="S131" s="3"/>
      <c r="T131" s="3"/>
    </row>
    <row r="132" spans="1:20">
      <c r="A132" s="3">
        <v>2</v>
      </c>
      <c r="B132" s="3">
        <v>2</v>
      </c>
      <c r="C132" s="2">
        <v>25</v>
      </c>
      <c r="D132" s="2">
        <v>5</v>
      </c>
      <c r="E132" s="2">
        <v>1</v>
      </c>
      <c r="F132" s="17">
        <v>8</v>
      </c>
      <c r="H132" s="361">
        <v>0.18051318946724593</v>
      </c>
      <c r="I132" s="361">
        <v>-6.6925136158035636E-2</v>
      </c>
      <c r="K132" s="363"/>
      <c r="N132" s="10"/>
      <c r="O132" s="4"/>
      <c r="P132" s="4"/>
      <c r="Q132" s="3"/>
      <c r="R132" s="3"/>
      <c r="S132" s="3"/>
      <c r="T132" s="3"/>
    </row>
    <row r="133" spans="1:20">
      <c r="A133" s="3">
        <v>4</v>
      </c>
      <c r="B133" s="3">
        <v>2</v>
      </c>
      <c r="C133" s="2">
        <v>50</v>
      </c>
      <c r="D133" s="2">
        <v>5</v>
      </c>
      <c r="E133" s="2">
        <v>16</v>
      </c>
      <c r="F133" s="17">
        <v>8</v>
      </c>
      <c r="H133" s="360">
        <v>0.31229412711706517</v>
      </c>
      <c r="I133" s="359">
        <v>-0.17016396338735065</v>
      </c>
      <c r="K133" s="363"/>
      <c r="N133" s="10"/>
      <c r="O133" s="4"/>
      <c r="P133" s="4"/>
      <c r="Q133" s="3"/>
      <c r="R133" s="3"/>
      <c r="S133" s="3"/>
      <c r="T133" s="3"/>
    </row>
    <row r="134" spans="1:20">
      <c r="A134" s="3">
        <v>5</v>
      </c>
      <c r="B134" s="3">
        <v>2</v>
      </c>
      <c r="C134" s="2">
        <v>50</v>
      </c>
      <c r="D134" s="2">
        <v>5</v>
      </c>
      <c r="E134" s="2">
        <v>16</v>
      </c>
      <c r="F134" s="17">
        <v>8</v>
      </c>
      <c r="H134" s="360">
        <v>1</v>
      </c>
      <c r="I134" s="359">
        <v>-0.2169058393912037</v>
      </c>
      <c r="K134" s="363"/>
      <c r="N134" s="10"/>
      <c r="O134" s="4"/>
      <c r="P134" s="4"/>
      <c r="Q134" s="3"/>
      <c r="R134" s="3"/>
      <c r="S134" s="3"/>
      <c r="T134" s="3"/>
    </row>
    <row r="135" spans="1:20">
      <c r="A135" s="3">
        <v>3</v>
      </c>
      <c r="B135" s="3">
        <v>2</v>
      </c>
      <c r="C135" s="2">
        <v>25</v>
      </c>
      <c r="D135" s="2">
        <v>5</v>
      </c>
      <c r="E135" s="2">
        <v>1</v>
      </c>
      <c r="F135" s="17">
        <v>8</v>
      </c>
      <c r="H135" s="361">
        <v>0.43183200208452255</v>
      </c>
      <c r="I135" s="361">
        <v>-0.2624598855173037</v>
      </c>
      <c r="K135" s="363"/>
      <c r="N135" s="10"/>
      <c r="O135" s="4"/>
      <c r="P135" s="4"/>
      <c r="Q135" s="3"/>
      <c r="R135" s="3"/>
      <c r="S135" s="3"/>
      <c r="T135" s="3"/>
    </row>
    <row r="136" spans="1:20">
      <c r="A136" s="3">
        <v>3</v>
      </c>
      <c r="B136" s="3">
        <v>1</v>
      </c>
      <c r="C136" s="2">
        <v>25</v>
      </c>
      <c r="D136" s="2">
        <v>5</v>
      </c>
      <c r="E136" s="2">
        <v>16</v>
      </c>
      <c r="F136" s="17">
        <v>8</v>
      </c>
      <c r="H136" s="361">
        <v>1</v>
      </c>
      <c r="I136" s="361">
        <v>-0.53541567311554161</v>
      </c>
      <c r="K136" s="363"/>
      <c r="N136" s="10"/>
      <c r="O136" s="4"/>
      <c r="P136" s="4"/>
      <c r="Q136" s="3"/>
      <c r="R136" s="3"/>
      <c r="S136" s="3"/>
      <c r="T136" s="3"/>
    </row>
    <row r="137" spans="1:20">
      <c r="A137" s="3">
        <v>3</v>
      </c>
      <c r="B137" s="3">
        <v>1</v>
      </c>
      <c r="C137" s="2">
        <v>25</v>
      </c>
      <c r="D137" s="2">
        <v>5</v>
      </c>
      <c r="E137" s="2">
        <v>1</v>
      </c>
      <c r="F137" s="17">
        <v>8</v>
      </c>
      <c r="H137" s="360">
        <v>1</v>
      </c>
      <c r="I137" s="360">
        <v>-0.541174234694488</v>
      </c>
      <c r="K137" s="363"/>
      <c r="N137" s="10"/>
      <c r="O137" s="4"/>
      <c r="P137" s="4"/>
      <c r="Q137" s="3"/>
      <c r="R137" s="3"/>
      <c r="S137" s="3"/>
      <c r="T137" s="3"/>
    </row>
    <row r="138" spans="1:20">
      <c r="A138" s="3">
        <v>2</v>
      </c>
      <c r="B138" s="3">
        <v>1</v>
      </c>
      <c r="C138" s="2">
        <v>25</v>
      </c>
      <c r="D138" s="2">
        <v>5</v>
      </c>
      <c r="E138" s="2">
        <v>16</v>
      </c>
      <c r="F138" s="17">
        <v>9</v>
      </c>
      <c r="H138" s="361">
        <v>1</v>
      </c>
      <c r="I138" s="361">
        <v>0.37942620058106602</v>
      </c>
      <c r="K138" s="363"/>
      <c r="N138" s="10"/>
      <c r="O138" s="4"/>
      <c r="P138" s="4"/>
      <c r="Q138" s="3"/>
      <c r="R138" s="3"/>
      <c r="S138" s="3"/>
      <c r="T138" s="3"/>
    </row>
    <row r="139" spans="1:20">
      <c r="A139" s="3">
        <v>2</v>
      </c>
      <c r="B139" s="3">
        <v>1</v>
      </c>
      <c r="C139" s="2">
        <v>25</v>
      </c>
      <c r="D139" s="2">
        <v>5</v>
      </c>
      <c r="E139" s="2">
        <v>1</v>
      </c>
      <c r="F139" s="17">
        <v>9</v>
      </c>
      <c r="H139" s="360">
        <v>1</v>
      </c>
      <c r="I139" s="360">
        <v>0.33292458820893839</v>
      </c>
      <c r="K139" s="363"/>
      <c r="N139" s="10"/>
      <c r="O139" s="4"/>
      <c r="P139" s="4"/>
      <c r="Q139" s="3"/>
      <c r="R139" s="3"/>
      <c r="S139" s="3"/>
      <c r="T139" s="3"/>
    </row>
    <row r="140" spans="1:20">
      <c r="A140" s="3">
        <v>1</v>
      </c>
      <c r="B140" s="3">
        <v>1</v>
      </c>
      <c r="C140" s="2">
        <v>25</v>
      </c>
      <c r="D140" s="2">
        <v>5</v>
      </c>
      <c r="E140" s="2">
        <v>1</v>
      </c>
      <c r="F140" s="17">
        <v>9</v>
      </c>
      <c r="H140" s="360">
        <v>1</v>
      </c>
      <c r="I140" s="360">
        <v>0.2948367633961006</v>
      </c>
      <c r="K140" s="363"/>
      <c r="N140" s="10"/>
      <c r="O140" s="4"/>
      <c r="P140" s="4"/>
      <c r="Q140" s="3"/>
      <c r="R140" s="3"/>
      <c r="S140" s="3"/>
      <c r="T140" s="3"/>
    </row>
    <row r="141" spans="1:20">
      <c r="A141" s="3">
        <v>1</v>
      </c>
      <c r="B141" s="3">
        <v>1</v>
      </c>
      <c r="C141" s="2">
        <v>25</v>
      </c>
      <c r="D141" s="2">
        <v>5</v>
      </c>
      <c r="E141" s="2">
        <v>16</v>
      </c>
      <c r="F141" s="17">
        <v>9</v>
      </c>
      <c r="H141" s="360">
        <v>1</v>
      </c>
      <c r="I141" s="360">
        <v>0.26811281785831159</v>
      </c>
      <c r="K141" s="363"/>
      <c r="N141" s="10"/>
      <c r="O141" s="4"/>
      <c r="P141" s="4"/>
      <c r="Q141" s="3"/>
      <c r="R141" s="3"/>
      <c r="S141" s="3"/>
      <c r="T141" s="3"/>
    </row>
    <row r="142" spans="1:20">
      <c r="A142" s="3">
        <v>1</v>
      </c>
      <c r="B142" s="3">
        <v>2</v>
      </c>
      <c r="C142" s="2">
        <v>25</v>
      </c>
      <c r="D142" s="2">
        <v>5</v>
      </c>
      <c r="E142" s="2">
        <v>16</v>
      </c>
      <c r="F142" s="17">
        <v>9</v>
      </c>
      <c r="H142" s="361">
        <v>1</v>
      </c>
      <c r="I142" s="361">
        <v>0.26658705535029315</v>
      </c>
      <c r="K142" s="363"/>
      <c r="N142" s="10"/>
      <c r="O142" s="4"/>
      <c r="P142" s="4"/>
      <c r="Q142" s="3"/>
      <c r="R142" s="3"/>
      <c r="S142" s="3"/>
      <c r="T142" s="3"/>
    </row>
    <row r="143" spans="1:20">
      <c r="A143" s="3">
        <v>1</v>
      </c>
      <c r="B143" s="3">
        <v>2</v>
      </c>
      <c r="C143" s="2">
        <v>25</v>
      </c>
      <c r="D143" s="2">
        <v>5</v>
      </c>
      <c r="E143" s="2">
        <v>1</v>
      </c>
      <c r="F143" s="17">
        <v>9</v>
      </c>
      <c r="H143" s="360">
        <v>1</v>
      </c>
      <c r="I143" s="360">
        <v>0.26093242387383148</v>
      </c>
      <c r="K143" s="363"/>
      <c r="N143" s="10"/>
      <c r="O143" s="4"/>
      <c r="P143" s="4"/>
      <c r="Q143" s="3"/>
      <c r="R143" s="3"/>
      <c r="S143" s="3"/>
      <c r="T143" s="3"/>
    </row>
    <row r="144" spans="1:20">
      <c r="A144" s="3">
        <v>3</v>
      </c>
      <c r="B144" s="3">
        <v>1</v>
      </c>
      <c r="C144" s="2">
        <v>25</v>
      </c>
      <c r="D144" s="2">
        <v>5</v>
      </c>
      <c r="E144" s="2">
        <v>1</v>
      </c>
      <c r="F144" s="17">
        <v>9</v>
      </c>
      <c r="H144" s="360">
        <v>1</v>
      </c>
      <c r="I144" s="360">
        <v>0.25596880722913712</v>
      </c>
      <c r="K144" s="363"/>
      <c r="N144" s="10"/>
      <c r="O144" s="4"/>
      <c r="P144" s="4"/>
      <c r="Q144" s="3"/>
      <c r="R144" s="3"/>
      <c r="S144" s="3"/>
      <c r="T144" s="3"/>
    </row>
    <row r="145" spans="1:20">
      <c r="A145" s="3">
        <v>3</v>
      </c>
      <c r="B145" s="3">
        <v>1</v>
      </c>
      <c r="C145" s="2">
        <v>25</v>
      </c>
      <c r="D145" s="2">
        <v>5</v>
      </c>
      <c r="E145" s="2">
        <v>16</v>
      </c>
      <c r="F145" s="17">
        <v>9</v>
      </c>
      <c r="H145" s="361">
        <v>1</v>
      </c>
      <c r="I145" s="361">
        <v>0.25386846795353646</v>
      </c>
      <c r="K145" s="363"/>
      <c r="N145" s="10"/>
      <c r="O145" s="4"/>
      <c r="P145" s="4"/>
      <c r="Q145" s="3"/>
      <c r="R145" s="3"/>
      <c r="S145" s="3"/>
      <c r="T145" s="3"/>
    </row>
    <row r="146" spans="1:20">
      <c r="A146" s="3">
        <v>1</v>
      </c>
      <c r="B146" s="3">
        <v>2</v>
      </c>
      <c r="C146" s="2">
        <v>25</v>
      </c>
      <c r="D146" s="2">
        <v>5</v>
      </c>
      <c r="E146" s="2">
        <v>16</v>
      </c>
      <c r="F146" s="17">
        <v>9</v>
      </c>
      <c r="H146" s="360">
        <v>1</v>
      </c>
      <c r="I146" s="360">
        <v>0.25323022313378579</v>
      </c>
      <c r="K146" s="363"/>
      <c r="N146" s="10"/>
      <c r="O146" s="4"/>
      <c r="P146" s="4"/>
      <c r="Q146" s="3"/>
      <c r="R146" s="3"/>
      <c r="S146" s="3"/>
      <c r="T146" s="3"/>
    </row>
    <row r="147" spans="1:20">
      <c r="A147" s="3">
        <v>2</v>
      </c>
      <c r="B147" s="3">
        <v>2</v>
      </c>
      <c r="C147" s="2">
        <v>25</v>
      </c>
      <c r="D147" s="2">
        <v>5</v>
      </c>
      <c r="E147" s="2">
        <v>1</v>
      </c>
      <c r="F147" s="17">
        <v>9</v>
      </c>
      <c r="H147" s="361">
        <v>0.81306903686570497</v>
      </c>
      <c r="I147" s="361">
        <v>0.23944270767177459</v>
      </c>
      <c r="K147" s="363"/>
      <c r="N147" s="10"/>
      <c r="O147" s="4"/>
      <c r="P147" s="4"/>
      <c r="Q147" s="3"/>
      <c r="R147" s="3"/>
      <c r="S147" s="3"/>
      <c r="T147" s="3"/>
    </row>
    <row r="148" spans="1:20">
      <c r="A148" s="3">
        <v>1</v>
      </c>
      <c r="B148" s="3">
        <v>2</v>
      </c>
      <c r="C148" s="2">
        <v>25</v>
      </c>
      <c r="D148" s="2">
        <v>30</v>
      </c>
      <c r="E148" s="2">
        <v>16</v>
      </c>
      <c r="F148" s="17">
        <v>9</v>
      </c>
      <c r="H148" s="360">
        <v>1</v>
      </c>
      <c r="I148" s="360">
        <v>0.21423434058095661</v>
      </c>
      <c r="K148" s="363"/>
      <c r="N148" s="10"/>
      <c r="O148" s="4"/>
      <c r="P148" s="4"/>
      <c r="Q148" s="3"/>
      <c r="R148" s="3"/>
      <c r="S148" s="3"/>
      <c r="T148" s="3"/>
    </row>
    <row r="149" spans="1:20">
      <c r="A149" s="3">
        <v>3</v>
      </c>
      <c r="B149" s="3">
        <v>2</v>
      </c>
      <c r="C149" s="2">
        <v>25</v>
      </c>
      <c r="D149" s="2">
        <v>5</v>
      </c>
      <c r="E149" s="2">
        <v>16</v>
      </c>
      <c r="F149" s="17">
        <v>9</v>
      </c>
      <c r="H149" s="360">
        <v>1</v>
      </c>
      <c r="I149" s="360">
        <v>0.20404856689170545</v>
      </c>
      <c r="K149" s="363"/>
      <c r="N149" s="10"/>
      <c r="O149" s="4"/>
      <c r="P149" s="4"/>
      <c r="Q149" s="3"/>
      <c r="R149" s="3"/>
      <c r="S149" s="3"/>
      <c r="T149" s="3"/>
    </row>
    <row r="150" spans="1:20">
      <c r="A150" s="3">
        <v>1</v>
      </c>
      <c r="B150" s="3">
        <v>1</v>
      </c>
      <c r="C150" s="2">
        <v>25</v>
      </c>
      <c r="D150" s="2">
        <v>30</v>
      </c>
      <c r="E150" s="2">
        <v>16</v>
      </c>
      <c r="F150" s="17">
        <v>9</v>
      </c>
      <c r="H150" s="360">
        <v>1</v>
      </c>
      <c r="I150" s="360">
        <v>0.17309119163047684</v>
      </c>
      <c r="K150" s="363"/>
      <c r="N150" s="10"/>
      <c r="O150" s="4"/>
      <c r="P150" s="4"/>
      <c r="Q150" s="3"/>
      <c r="R150" s="3"/>
      <c r="S150" s="3"/>
      <c r="T150" s="3"/>
    </row>
    <row r="151" spans="1:20">
      <c r="A151" s="3">
        <v>3</v>
      </c>
      <c r="B151" s="3">
        <v>2</v>
      </c>
      <c r="C151" s="2">
        <v>25</v>
      </c>
      <c r="D151" s="2">
        <v>5</v>
      </c>
      <c r="E151" s="2">
        <v>1</v>
      </c>
      <c r="F151" s="17">
        <v>9</v>
      </c>
      <c r="H151" s="361">
        <v>1</v>
      </c>
      <c r="I151" s="361">
        <v>0.16724693428017226</v>
      </c>
      <c r="K151" s="363"/>
      <c r="N151" s="10"/>
      <c r="O151" s="4"/>
      <c r="P151" s="4"/>
      <c r="Q151" s="3"/>
      <c r="R151" s="3"/>
      <c r="S151" s="3"/>
      <c r="T151" s="3"/>
    </row>
    <row r="152" spans="1:20">
      <c r="A152" s="3">
        <v>2</v>
      </c>
      <c r="B152" s="3">
        <v>2</v>
      </c>
      <c r="C152" s="2">
        <v>25</v>
      </c>
      <c r="D152" s="2">
        <v>5</v>
      </c>
      <c r="E152" s="2">
        <v>16</v>
      </c>
      <c r="F152" s="17">
        <v>9</v>
      </c>
      <c r="H152" s="361">
        <v>1</v>
      </c>
      <c r="I152" s="361">
        <v>0.13518282521321437</v>
      </c>
      <c r="K152" s="363"/>
      <c r="N152" s="10"/>
      <c r="O152" s="4"/>
      <c r="P152" s="4"/>
      <c r="Q152" s="3"/>
      <c r="R152" s="3"/>
      <c r="S152" s="3"/>
      <c r="T152" s="3"/>
    </row>
    <row r="153" spans="1:20">
      <c r="A153" s="3">
        <v>4</v>
      </c>
      <c r="B153" s="3">
        <v>2</v>
      </c>
      <c r="C153" s="2">
        <v>50</v>
      </c>
      <c r="D153" s="2">
        <v>5</v>
      </c>
      <c r="E153" s="2">
        <v>16</v>
      </c>
      <c r="F153" s="17">
        <v>9</v>
      </c>
      <c r="H153" s="360">
        <v>1</v>
      </c>
      <c r="I153" s="359">
        <v>-5.7344152009047916E-3</v>
      </c>
      <c r="K153" s="363"/>
      <c r="N153" s="10"/>
      <c r="O153" s="4"/>
      <c r="P153" s="4"/>
      <c r="Q153" s="3"/>
      <c r="R153" s="3"/>
      <c r="S153" s="3"/>
      <c r="T153" s="3"/>
    </row>
    <row r="154" spans="1:20">
      <c r="A154" s="3">
        <v>5</v>
      </c>
      <c r="B154" s="3">
        <v>2</v>
      </c>
      <c r="C154" s="2">
        <v>50</v>
      </c>
      <c r="D154" s="2">
        <v>5</v>
      </c>
      <c r="E154" s="2">
        <v>16</v>
      </c>
      <c r="F154" s="17">
        <v>9</v>
      </c>
      <c r="H154" s="360">
        <v>1</v>
      </c>
      <c r="I154" s="359">
        <v>-0.44292249323017935</v>
      </c>
      <c r="K154" s="363"/>
      <c r="N154" s="10"/>
      <c r="O154" s="4"/>
      <c r="P154" s="4"/>
      <c r="Q154" s="3"/>
      <c r="R154" s="3"/>
      <c r="S154" s="3"/>
      <c r="T154" s="3"/>
    </row>
    <row r="155" spans="1:20">
      <c r="A155" s="3">
        <v>2</v>
      </c>
      <c r="B155" s="3">
        <v>2</v>
      </c>
      <c r="C155" s="2">
        <v>25</v>
      </c>
      <c r="D155" s="2">
        <v>5</v>
      </c>
      <c r="E155" s="2">
        <v>16</v>
      </c>
      <c r="F155" s="17">
        <v>10</v>
      </c>
      <c r="H155" s="361">
        <v>1</v>
      </c>
      <c r="I155" s="361">
        <v>0.39635125350235589</v>
      </c>
      <c r="K155" s="363"/>
      <c r="N155" s="10"/>
      <c r="O155" s="4"/>
      <c r="P155" s="4"/>
      <c r="Q155" s="3"/>
      <c r="R155" s="3"/>
      <c r="S155" s="3"/>
      <c r="T155" s="3"/>
    </row>
    <row r="156" spans="1:20">
      <c r="A156" s="3">
        <v>2</v>
      </c>
      <c r="B156" s="3">
        <v>2</v>
      </c>
      <c r="C156" s="2">
        <v>25</v>
      </c>
      <c r="D156" s="2">
        <v>5</v>
      </c>
      <c r="E156" s="2">
        <v>1</v>
      </c>
      <c r="F156" s="17">
        <v>10</v>
      </c>
      <c r="H156" s="361">
        <v>0.61431170079017172</v>
      </c>
      <c r="I156" s="361">
        <v>0.37660990451978638</v>
      </c>
      <c r="K156" s="363"/>
      <c r="N156" s="10"/>
      <c r="O156" s="4"/>
      <c r="P156" s="4"/>
      <c r="Q156" s="3"/>
      <c r="R156" s="3"/>
      <c r="S156" s="3"/>
      <c r="T156" s="3"/>
    </row>
    <row r="157" spans="1:20">
      <c r="A157" s="3">
        <v>2</v>
      </c>
      <c r="B157" s="3">
        <v>1</v>
      </c>
      <c r="C157" s="2">
        <v>25</v>
      </c>
      <c r="D157" s="2">
        <v>5</v>
      </c>
      <c r="E157" s="2">
        <v>16</v>
      </c>
      <c r="F157" s="17">
        <v>10</v>
      </c>
      <c r="H157" s="361">
        <v>1</v>
      </c>
      <c r="I157" s="361">
        <v>0.35196028169774157</v>
      </c>
      <c r="K157" s="363"/>
      <c r="N157" s="10"/>
      <c r="O157" s="4"/>
      <c r="P157" s="4"/>
      <c r="Q157" s="3"/>
      <c r="R157" s="3"/>
      <c r="S157" s="3"/>
      <c r="T157" s="3"/>
    </row>
    <row r="158" spans="1:20">
      <c r="A158" s="3">
        <v>2</v>
      </c>
      <c r="B158" s="3">
        <v>1</v>
      </c>
      <c r="C158" s="2">
        <v>25</v>
      </c>
      <c r="D158" s="2">
        <v>5</v>
      </c>
      <c r="E158" s="2">
        <v>1</v>
      </c>
      <c r="F158" s="17">
        <v>10</v>
      </c>
      <c r="H158" s="360">
        <v>0.99324684989758971</v>
      </c>
      <c r="I158" s="360">
        <v>0.34288932460055899</v>
      </c>
      <c r="K158" s="363"/>
      <c r="N158" s="10"/>
      <c r="O158" s="4"/>
      <c r="P158" s="4"/>
      <c r="Q158" s="3"/>
      <c r="R158" s="3"/>
      <c r="S158" s="3"/>
      <c r="T158" s="3"/>
    </row>
    <row r="159" spans="1:20">
      <c r="A159" s="3">
        <v>4</v>
      </c>
      <c r="B159" s="3">
        <v>2</v>
      </c>
      <c r="C159" s="2">
        <v>50</v>
      </c>
      <c r="D159" s="2">
        <v>5</v>
      </c>
      <c r="E159" s="2">
        <v>16</v>
      </c>
      <c r="F159" s="17">
        <v>10</v>
      </c>
      <c r="H159" s="360">
        <v>1</v>
      </c>
      <c r="I159" s="359">
        <v>0.22721803895891304</v>
      </c>
      <c r="K159" s="363"/>
      <c r="N159" s="10"/>
      <c r="O159" s="4"/>
      <c r="P159" s="4"/>
      <c r="Q159" s="3"/>
      <c r="R159" s="3"/>
      <c r="S159" s="3"/>
      <c r="T159" s="3"/>
    </row>
    <row r="160" spans="1:20">
      <c r="A160" s="3">
        <v>5</v>
      </c>
      <c r="B160" s="3">
        <v>2</v>
      </c>
      <c r="C160" s="2">
        <v>50</v>
      </c>
      <c r="D160" s="2">
        <v>5</v>
      </c>
      <c r="E160" s="2">
        <v>16</v>
      </c>
      <c r="F160" s="17">
        <v>10</v>
      </c>
      <c r="H160" s="360">
        <v>1</v>
      </c>
      <c r="I160" s="359">
        <v>3.1909216694951441E-2</v>
      </c>
      <c r="K160" s="363"/>
      <c r="N160" s="10"/>
      <c r="O160" s="4"/>
      <c r="P160" s="4"/>
      <c r="Q160" s="3"/>
      <c r="R160" s="3"/>
      <c r="S160" s="3"/>
      <c r="T160" s="3"/>
    </row>
    <row r="161" spans="1:20">
      <c r="A161" s="3">
        <v>1</v>
      </c>
      <c r="B161" s="3">
        <v>1</v>
      </c>
      <c r="C161" s="2">
        <v>25</v>
      </c>
      <c r="D161" s="2">
        <v>5</v>
      </c>
      <c r="E161" s="2">
        <v>1</v>
      </c>
      <c r="F161" s="17">
        <v>10</v>
      </c>
      <c r="H161" s="360">
        <v>1</v>
      </c>
      <c r="I161" s="360">
        <v>2.8083395053484821E-2</v>
      </c>
      <c r="K161" s="363"/>
      <c r="N161" s="10"/>
      <c r="O161" s="4"/>
      <c r="P161" s="4"/>
      <c r="Q161" s="3"/>
      <c r="R161" s="3"/>
      <c r="S161" s="3"/>
      <c r="T161" s="3"/>
    </row>
    <row r="162" spans="1:20">
      <c r="A162" s="3">
        <v>1</v>
      </c>
      <c r="B162" s="3">
        <v>1</v>
      </c>
      <c r="C162" s="2">
        <v>25</v>
      </c>
      <c r="D162" s="2">
        <v>30</v>
      </c>
      <c r="E162" s="2">
        <v>16</v>
      </c>
      <c r="F162" s="17">
        <v>10</v>
      </c>
      <c r="H162" s="360">
        <v>1</v>
      </c>
      <c r="I162" s="360">
        <v>1.2921868158157612E-2</v>
      </c>
      <c r="K162" s="363"/>
      <c r="N162" s="10"/>
      <c r="O162" s="4"/>
      <c r="P162" s="4"/>
      <c r="Q162" s="3"/>
      <c r="R162" s="3"/>
      <c r="S162" s="3"/>
      <c r="T162" s="3"/>
    </row>
    <row r="163" spans="1:20">
      <c r="A163" s="3">
        <v>1</v>
      </c>
      <c r="B163" s="3">
        <v>1</v>
      </c>
      <c r="C163" s="2">
        <v>25</v>
      </c>
      <c r="D163" s="2">
        <v>5</v>
      </c>
      <c r="E163" s="2">
        <v>16</v>
      </c>
      <c r="F163" s="17">
        <v>10</v>
      </c>
      <c r="H163" s="360">
        <v>1</v>
      </c>
      <c r="I163" s="360">
        <v>1.136530899084371E-2</v>
      </c>
      <c r="K163" s="363"/>
      <c r="N163" s="10"/>
      <c r="O163" s="4"/>
      <c r="P163" s="4"/>
      <c r="Q163" s="3"/>
      <c r="R163" s="3"/>
      <c r="S163" s="3"/>
      <c r="T163" s="3"/>
    </row>
    <row r="164" spans="1:20">
      <c r="A164" s="3">
        <v>1</v>
      </c>
      <c r="B164" s="3">
        <v>2</v>
      </c>
      <c r="C164" s="2">
        <v>25</v>
      </c>
      <c r="D164" s="2">
        <v>5</v>
      </c>
      <c r="E164" s="2">
        <v>1</v>
      </c>
      <c r="F164" s="17">
        <v>10</v>
      </c>
      <c r="H164" s="360">
        <v>1</v>
      </c>
      <c r="I164" s="360">
        <v>-1.5460128743871727E-3</v>
      </c>
      <c r="K164" s="363"/>
      <c r="N164" s="10"/>
      <c r="O164" s="4"/>
      <c r="P164" s="4"/>
      <c r="Q164" s="3"/>
      <c r="R164" s="3"/>
      <c r="S164" s="3"/>
      <c r="T164" s="3"/>
    </row>
    <row r="165" spans="1:20">
      <c r="A165" s="3">
        <v>1</v>
      </c>
      <c r="B165" s="3">
        <v>2</v>
      </c>
      <c r="C165" s="2">
        <v>25</v>
      </c>
      <c r="D165" s="2">
        <v>5</v>
      </c>
      <c r="E165" s="2">
        <v>16</v>
      </c>
      <c r="F165" s="17">
        <v>10</v>
      </c>
      <c r="H165" s="360">
        <v>1</v>
      </c>
      <c r="I165" s="360">
        <v>-1.5483604996606331E-3</v>
      </c>
      <c r="K165" s="363"/>
      <c r="N165" s="10"/>
      <c r="O165" s="4"/>
      <c r="P165" s="4"/>
      <c r="Q165" s="3"/>
      <c r="R165" s="3"/>
      <c r="S165" s="3"/>
      <c r="T165" s="3"/>
    </row>
    <row r="166" spans="1:20">
      <c r="A166" s="3">
        <v>1</v>
      </c>
      <c r="B166" s="3">
        <v>2</v>
      </c>
      <c r="C166" s="2">
        <v>25</v>
      </c>
      <c r="D166" s="2">
        <v>30</v>
      </c>
      <c r="E166" s="2">
        <v>16</v>
      </c>
      <c r="F166" s="17">
        <v>10</v>
      </c>
      <c r="H166" s="360">
        <v>1</v>
      </c>
      <c r="I166" s="360">
        <v>-4.8983715476123455E-3</v>
      </c>
      <c r="K166" s="363"/>
      <c r="N166" s="10"/>
      <c r="O166" s="4"/>
      <c r="P166" s="4"/>
      <c r="Q166" s="3"/>
      <c r="R166" s="3"/>
      <c r="S166" s="3"/>
      <c r="T166" s="3"/>
    </row>
    <row r="167" spans="1:20">
      <c r="A167" s="3">
        <v>1</v>
      </c>
      <c r="B167" s="3">
        <v>2</v>
      </c>
      <c r="C167" s="2">
        <v>25</v>
      </c>
      <c r="D167" s="2">
        <v>5</v>
      </c>
      <c r="E167" s="2">
        <v>16</v>
      </c>
      <c r="F167" s="17">
        <v>10</v>
      </c>
      <c r="H167" s="361">
        <v>1</v>
      </c>
      <c r="I167" s="361">
        <v>-4.9001028141773479E-3</v>
      </c>
      <c r="K167" s="363"/>
      <c r="N167" s="10"/>
      <c r="O167" s="4"/>
      <c r="P167" s="4"/>
      <c r="Q167" s="3"/>
      <c r="R167" s="3"/>
      <c r="S167" s="3"/>
      <c r="T167" s="3"/>
    </row>
    <row r="168" spans="1:20">
      <c r="A168" s="3">
        <v>3</v>
      </c>
      <c r="B168" s="3">
        <v>1</v>
      </c>
      <c r="C168" s="2">
        <v>25</v>
      </c>
      <c r="D168" s="2">
        <v>5</v>
      </c>
      <c r="E168" s="2">
        <v>1</v>
      </c>
      <c r="F168" s="17">
        <v>10</v>
      </c>
      <c r="H168" s="360">
        <v>1</v>
      </c>
      <c r="I168" s="360">
        <v>-4.3477148675682288E-2</v>
      </c>
      <c r="K168" s="363"/>
      <c r="N168" s="10"/>
      <c r="O168" s="4"/>
      <c r="P168" s="4"/>
      <c r="Q168" s="3"/>
      <c r="R168" s="3"/>
      <c r="S168" s="3"/>
      <c r="T168" s="3"/>
    </row>
    <row r="169" spans="1:20">
      <c r="A169" s="3">
        <v>3</v>
      </c>
      <c r="B169" s="3">
        <v>1</v>
      </c>
      <c r="C169" s="2">
        <v>25</v>
      </c>
      <c r="D169" s="2">
        <v>5</v>
      </c>
      <c r="E169" s="2">
        <v>16</v>
      </c>
      <c r="F169" s="17">
        <v>10</v>
      </c>
      <c r="H169" s="361">
        <v>1</v>
      </c>
      <c r="I169" s="361">
        <v>-5.4784496005159222E-2</v>
      </c>
      <c r="K169" s="363"/>
      <c r="N169" s="10"/>
      <c r="O169" s="4"/>
      <c r="P169" s="4"/>
      <c r="Q169" s="3"/>
      <c r="R169" s="3"/>
      <c r="S169" s="3"/>
      <c r="T169" s="3"/>
    </row>
    <row r="170" spans="1:20">
      <c r="A170" s="3">
        <v>3</v>
      </c>
      <c r="B170" s="3">
        <v>2</v>
      </c>
      <c r="C170" s="2">
        <v>25</v>
      </c>
      <c r="D170" s="2">
        <v>5</v>
      </c>
      <c r="E170" s="2">
        <v>16</v>
      </c>
      <c r="F170" s="17">
        <v>10</v>
      </c>
      <c r="H170" s="360">
        <v>1</v>
      </c>
      <c r="I170" s="360">
        <v>-7.3145982816903987E-2</v>
      </c>
      <c r="K170" s="363"/>
      <c r="N170" s="10"/>
      <c r="O170" s="4"/>
      <c r="P170" s="4"/>
      <c r="Q170" s="3"/>
      <c r="R170" s="3"/>
      <c r="S170" s="3"/>
      <c r="T170" s="3"/>
    </row>
    <row r="171" spans="1:20">
      <c r="A171" s="3">
        <v>3</v>
      </c>
      <c r="B171" s="3">
        <v>2</v>
      </c>
      <c r="C171" s="2">
        <v>25</v>
      </c>
      <c r="D171" s="2">
        <v>5</v>
      </c>
      <c r="E171" s="2">
        <v>1</v>
      </c>
      <c r="F171" s="17">
        <v>10</v>
      </c>
      <c r="H171" s="361">
        <v>1</v>
      </c>
      <c r="I171" s="361">
        <v>-0.11317571005906536</v>
      </c>
      <c r="K171" s="363"/>
      <c r="N171" s="10"/>
      <c r="O171" s="4"/>
      <c r="P171" s="4"/>
      <c r="Q171" s="3"/>
      <c r="R171" s="3"/>
      <c r="S171" s="3"/>
      <c r="T171" s="3"/>
    </row>
    <row r="172" spans="1:20">
      <c r="A172" s="3">
        <v>2</v>
      </c>
      <c r="B172" s="3">
        <v>2</v>
      </c>
      <c r="C172" s="2">
        <v>25</v>
      </c>
      <c r="D172" s="2">
        <v>5</v>
      </c>
      <c r="E172" s="2">
        <v>16</v>
      </c>
      <c r="F172" s="17">
        <v>11</v>
      </c>
      <c r="H172" s="361">
        <v>1</v>
      </c>
      <c r="I172" s="361">
        <v>0.55544079870766139</v>
      </c>
      <c r="K172" s="363"/>
      <c r="N172" s="10"/>
      <c r="O172" s="4"/>
      <c r="P172" s="4"/>
      <c r="Q172" s="3"/>
      <c r="R172" s="3"/>
      <c r="S172" s="3"/>
      <c r="T172" s="3"/>
    </row>
    <row r="173" spans="1:20">
      <c r="A173" s="3">
        <v>2</v>
      </c>
      <c r="B173" s="3">
        <v>2</v>
      </c>
      <c r="C173" s="2">
        <v>25</v>
      </c>
      <c r="D173" s="2">
        <v>5</v>
      </c>
      <c r="E173" s="2">
        <v>1</v>
      </c>
      <c r="F173" s="17">
        <v>11</v>
      </c>
      <c r="H173" s="361">
        <v>0.78042049472854291</v>
      </c>
      <c r="I173" s="361">
        <v>0.53527531070343515</v>
      </c>
      <c r="K173" s="363"/>
      <c r="N173" s="10"/>
      <c r="O173" s="4"/>
      <c r="P173" s="4"/>
      <c r="Q173" s="3"/>
      <c r="R173" s="3"/>
      <c r="S173" s="3"/>
      <c r="T173" s="3"/>
    </row>
    <row r="174" spans="1:20">
      <c r="A174" s="3">
        <v>2</v>
      </c>
      <c r="B174" s="3">
        <v>1</v>
      </c>
      <c r="C174" s="2">
        <v>25</v>
      </c>
      <c r="D174" s="2">
        <v>5</v>
      </c>
      <c r="E174" s="2">
        <v>16</v>
      </c>
      <c r="F174" s="17">
        <v>11</v>
      </c>
      <c r="H174" s="361">
        <v>1</v>
      </c>
      <c r="I174" s="361">
        <v>0.35902711691772898</v>
      </c>
      <c r="K174" s="363"/>
      <c r="N174" s="10"/>
      <c r="O174" s="4"/>
      <c r="P174" s="4"/>
      <c r="Q174" s="3"/>
      <c r="R174" s="3"/>
      <c r="S174" s="3"/>
      <c r="T174" s="3"/>
    </row>
    <row r="175" spans="1:20">
      <c r="A175" s="3">
        <v>2</v>
      </c>
      <c r="B175" s="3">
        <v>1</v>
      </c>
      <c r="C175" s="2">
        <v>25</v>
      </c>
      <c r="D175" s="2">
        <v>5</v>
      </c>
      <c r="E175" s="2">
        <v>1</v>
      </c>
      <c r="F175" s="17">
        <v>11</v>
      </c>
      <c r="H175" s="360">
        <v>1</v>
      </c>
      <c r="I175" s="360">
        <v>0.32517751426374059</v>
      </c>
      <c r="K175" s="363"/>
      <c r="N175" s="10"/>
      <c r="O175" s="4"/>
      <c r="P175" s="4"/>
      <c r="Q175" s="3"/>
      <c r="R175" s="3"/>
      <c r="S175" s="3"/>
      <c r="T175" s="3"/>
    </row>
    <row r="176" spans="1:20">
      <c r="A176" s="3">
        <v>4</v>
      </c>
      <c r="B176" s="3">
        <v>2</v>
      </c>
      <c r="C176" s="2">
        <v>50</v>
      </c>
      <c r="D176" s="2">
        <v>5</v>
      </c>
      <c r="E176" s="2">
        <v>16</v>
      </c>
      <c r="F176" s="17">
        <v>11</v>
      </c>
      <c r="H176" s="360">
        <v>1</v>
      </c>
      <c r="I176" s="359">
        <v>0.27345750552151354</v>
      </c>
      <c r="K176" s="363"/>
      <c r="N176" s="10"/>
      <c r="O176" s="4"/>
      <c r="P176" s="4"/>
      <c r="Q176" s="3"/>
      <c r="R176" s="3"/>
      <c r="S176" s="3"/>
      <c r="T176" s="3"/>
    </row>
    <row r="177" spans="1:20">
      <c r="A177" s="3">
        <v>3</v>
      </c>
      <c r="B177" s="3">
        <v>1</v>
      </c>
      <c r="C177" s="2">
        <v>25</v>
      </c>
      <c r="D177" s="2">
        <v>5</v>
      </c>
      <c r="E177" s="2">
        <v>1</v>
      </c>
      <c r="F177" s="17">
        <v>11</v>
      </c>
      <c r="H177" s="360">
        <v>0.84678441843811925</v>
      </c>
      <c r="I177" s="360">
        <v>8.4381266762706839E-2</v>
      </c>
      <c r="K177" s="363"/>
      <c r="N177" s="10"/>
      <c r="O177" s="4"/>
      <c r="P177" s="4"/>
      <c r="Q177" s="3"/>
      <c r="R177" s="3"/>
      <c r="S177" s="3"/>
      <c r="T177" s="3"/>
    </row>
    <row r="178" spans="1:20">
      <c r="A178" s="3">
        <v>3</v>
      </c>
      <c r="B178" s="3">
        <v>1</v>
      </c>
      <c r="C178" s="2">
        <v>25</v>
      </c>
      <c r="D178" s="2">
        <v>5</v>
      </c>
      <c r="E178" s="2">
        <v>16</v>
      </c>
      <c r="F178" s="17">
        <v>11</v>
      </c>
      <c r="H178" s="361">
        <v>1</v>
      </c>
      <c r="I178" s="361">
        <v>5.6235143992195279E-2</v>
      </c>
      <c r="K178" s="363"/>
      <c r="N178" s="10"/>
      <c r="O178" s="4"/>
      <c r="P178" s="4"/>
      <c r="Q178" s="3"/>
      <c r="R178" s="3"/>
      <c r="S178" s="3"/>
      <c r="T178" s="3"/>
    </row>
    <row r="179" spans="1:20">
      <c r="A179" s="3">
        <v>3</v>
      </c>
      <c r="B179" s="3">
        <v>2</v>
      </c>
      <c r="C179" s="2">
        <v>25</v>
      </c>
      <c r="D179" s="2">
        <v>5</v>
      </c>
      <c r="E179" s="2">
        <v>16</v>
      </c>
      <c r="F179" s="17">
        <v>11</v>
      </c>
      <c r="H179" s="360">
        <v>1</v>
      </c>
      <c r="I179" s="360">
        <v>-2.1621751008415437E-2</v>
      </c>
      <c r="K179" s="363"/>
      <c r="N179" s="10"/>
      <c r="O179" s="4"/>
      <c r="P179" s="4"/>
      <c r="Q179" s="3"/>
      <c r="R179" s="3"/>
      <c r="S179" s="3"/>
      <c r="T179" s="3"/>
    </row>
    <row r="180" spans="1:20">
      <c r="A180" s="3">
        <v>3</v>
      </c>
      <c r="B180" s="3">
        <v>2</v>
      </c>
      <c r="C180" s="2">
        <v>25</v>
      </c>
      <c r="D180" s="2">
        <v>5</v>
      </c>
      <c r="E180" s="2">
        <v>1</v>
      </c>
      <c r="F180" s="17">
        <v>11</v>
      </c>
      <c r="H180" s="361">
        <v>1</v>
      </c>
      <c r="I180" s="361">
        <v>-5.1803630518540859E-2</v>
      </c>
      <c r="K180" s="363"/>
      <c r="N180" s="10"/>
      <c r="O180" s="4"/>
      <c r="P180" s="4"/>
      <c r="Q180" s="3"/>
      <c r="R180" s="3"/>
      <c r="S180" s="3"/>
      <c r="T180" s="3"/>
    </row>
    <row r="181" spans="1:20">
      <c r="A181" s="3">
        <v>1</v>
      </c>
      <c r="B181" s="3">
        <v>1</v>
      </c>
      <c r="C181" s="2">
        <v>25</v>
      </c>
      <c r="D181" s="2">
        <v>30</v>
      </c>
      <c r="E181" s="2">
        <v>16</v>
      </c>
      <c r="F181" s="17">
        <v>11</v>
      </c>
      <c r="H181" s="360">
        <v>1</v>
      </c>
      <c r="I181" s="360">
        <v>-0.11153218120006742</v>
      </c>
      <c r="K181" s="363"/>
      <c r="N181" s="10"/>
      <c r="O181" s="4"/>
      <c r="P181" s="4"/>
      <c r="Q181" s="3"/>
      <c r="R181" s="3"/>
      <c r="S181" s="3"/>
      <c r="T181" s="3"/>
    </row>
    <row r="182" spans="1:20">
      <c r="A182" s="3">
        <v>1</v>
      </c>
      <c r="B182" s="3">
        <v>1</v>
      </c>
      <c r="C182" s="2">
        <v>25</v>
      </c>
      <c r="D182" s="2">
        <v>5</v>
      </c>
      <c r="E182" s="2">
        <v>1</v>
      </c>
      <c r="F182" s="17">
        <v>11</v>
      </c>
      <c r="H182" s="360">
        <v>1</v>
      </c>
      <c r="I182" s="360">
        <v>-0.12622579909182366</v>
      </c>
      <c r="K182" s="363"/>
      <c r="N182" s="10"/>
      <c r="O182" s="4"/>
      <c r="P182" s="4"/>
      <c r="Q182" s="3"/>
      <c r="R182" s="3"/>
      <c r="S182" s="3"/>
      <c r="T182" s="3"/>
    </row>
    <row r="183" spans="1:20">
      <c r="A183" s="3">
        <v>1</v>
      </c>
      <c r="B183" s="3">
        <v>1</v>
      </c>
      <c r="C183" s="2">
        <v>25</v>
      </c>
      <c r="D183" s="2">
        <v>5</v>
      </c>
      <c r="E183" s="2">
        <v>16</v>
      </c>
      <c r="F183" s="17">
        <v>11</v>
      </c>
      <c r="H183" s="360">
        <v>1</v>
      </c>
      <c r="I183" s="360">
        <v>-0.13099967037519331</v>
      </c>
      <c r="K183" s="363"/>
      <c r="N183" s="10"/>
      <c r="O183" s="4"/>
      <c r="P183" s="4"/>
      <c r="Q183" s="3"/>
      <c r="R183" s="3"/>
      <c r="S183" s="3"/>
      <c r="T183" s="3"/>
    </row>
    <row r="184" spans="1:20">
      <c r="A184" s="3">
        <v>1</v>
      </c>
      <c r="B184" s="3">
        <v>2</v>
      </c>
      <c r="C184" s="2">
        <v>25</v>
      </c>
      <c r="D184" s="2">
        <v>5</v>
      </c>
      <c r="E184" s="2">
        <v>16</v>
      </c>
      <c r="F184" s="17">
        <v>11</v>
      </c>
      <c r="H184" s="360">
        <v>1</v>
      </c>
      <c r="I184" s="360">
        <v>-0.14822728455594705</v>
      </c>
      <c r="K184" s="363"/>
      <c r="N184" s="10"/>
      <c r="O184" s="4"/>
      <c r="P184" s="4"/>
      <c r="Q184" s="3"/>
      <c r="R184" s="3"/>
      <c r="S184" s="3"/>
      <c r="T184" s="3"/>
    </row>
    <row r="185" spans="1:20">
      <c r="A185" s="3">
        <v>1</v>
      </c>
      <c r="B185" s="3">
        <v>2</v>
      </c>
      <c r="C185" s="2">
        <v>25</v>
      </c>
      <c r="D185" s="2">
        <v>5</v>
      </c>
      <c r="E185" s="2">
        <v>1</v>
      </c>
      <c r="F185" s="17">
        <v>11</v>
      </c>
      <c r="H185" s="360">
        <v>1</v>
      </c>
      <c r="I185" s="360">
        <v>-0.14962707547105047</v>
      </c>
      <c r="K185" s="363"/>
      <c r="N185" s="10"/>
      <c r="O185" s="4"/>
      <c r="P185" s="4"/>
      <c r="Q185" s="3"/>
      <c r="R185" s="3"/>
      <c r="S185" s="3"/>
      <c r="T185" s="3"/>
    </row>
    <row r="186" spans="1:20">
      <c r="A186" s="3">
        <v>1</v>
      </c>
      <c r="B186" s="3">
        <v>2</v>
      </c>
      <c r="C186" s="2">
        <v>25</v>
      </c>
      <c r="D186" s="2">
        <v>5</v>
      </c>
      <c r="E186" s="2">
        <v>16</v>
      </c>
      <c r="F186" s="17">
        <v>11</v>
      </c>
      <c r="H186" s="361">
        <v>1</v>
      </c>
      <c r="I186" s="361">
        <v>-0.15083129117749172</v>
      </c>
      <c r="K186" s="363"/>
      <c r="N186" s="10"/>
      <c r="O186" s="4"/>
      <c r="P186" s="4"/>
      <c r="Q186" s="3"/>
      <c r="R186" s="3"/>
      <c r="S186" s="3"/>
      <c r="T186" s="3"/>
    </row>
    <row r="187" spans="1:20">
      <c r="A187" s="3">
        <v>1</v>
      </c>
      <c r="B187" s="3">
        <v>2</v>
      </c>
      <c r="C187" s="2">
        <v>25</v>
      </c>
      <c r="D187" s="2">
        <v>30</v>
      </c>
      <c r="E187" s="2">
        <v>16</v>
      </c>
      <c r="F187" s="17">
        <v>11</v>
      </c>
      <c r="H187" s="360">
        <v>1</v>
      </c>
      <c r="I187" s="360">
        <v>-0.15149036190192153</v>
      </c>
      <c r="K187" s="363"/>
      <c r="N187" s="10"/>
      <c r="O187" s="4"/>
      <c r="P187" s="4"/>
      <c r="Q187" s="3"/>
      <c r="R187" s="3"/>
      <c r="S187" s="3"/>
      <c r="T187" s="3"/>
    </row>
    <row r="188" spans="1:20">
      <c r="A188" s="3">
        <v>5</v>
      </c>
      <c r="B188" s="3">
        <v>2</v>
      </c>
      <c r="C188" s="2">
        <v>50</v>
      </c>
      <c r="D188" s="2">
        <v>5</v>
      </c>
      <c r="E188" s="2">
        <v>16</v>
      </c>
      <c r="F188" s="17">
        <v>11</v>
      </c>
      <c r="H188" s="360">
        <v>1</v>
      </c>
      <c r="I188" s="359">
        <v>-0.25097848587404642</v>
      </c>
      <c r="K188" s="363"/>
      <c r="N188" s="10"/>
      <c r="O188" s="4"/>
      <c r="P188" s="4"/>
      <c r="Q188" s="3"/>
      <c r="R188" s="3"/>
      <c r="S188" s="3"/>
      <c r="T188" s="3"/>
    </row>
    <row r="189" spans="1:20">
      <c r="A189" s="3">
        <v>3</v>
      </c>
      <c r="B189" s="3">
        <v>1</v>
      </c>
      <c r="C189" s="2">
        <v>25</v>
      </c>
      <c r="D189" s="2">
        <v>5</v>
      </c>
      <c r="E189" s="2">
        <v>1</v>
      </c>
      <c r="F189" s="17">
        <v>12</v>
      </c>
      <c r="H189" s="360">
        <v>0.80722497858945652</v>
      </c>
      <c r="I189" s="360">
        <v>0.79905041593959369</v>
      </c>
      <c r="K189" s="363"/>
      <c r="N189" s="10"/>
      <c r="O189" s="4"/>
      <c r="P189" s="4"/>
      <c r="Q189" s="3"/>
      <c r="R189" s="3"/>
      <c r="S189" s="3"/>
      <c r="T189" s="3"/>
    </row>
    <row r="190" spans="1:20">
      <c r="A190" s="3">
        <v>3</v>
      </c>
      <c r="B190" s="3">
        <v>1</v>
      </c>
      <c r="C190" s="2">
        <v>25</v>
      </c>
      <c r="D190" s="2">
        <v>5</v>
      </c>
      <c r="E190" s="2">
        <v>16</v>
      </c>
      <c r="F190" s="17">
        <v>12</v>
      </c>
      <c r="H190" s="361">
        <v>1</v>
      </c>
      <c r="I190" s="361">
        <v>0.76467107123273448</v>
      </c>
      <c r="K190" s="363"/>
      <c r="N190" s="10"/>
      <c r="O190" s="4"/>
      <c r="P190" s="4"/>
      <c r="Q190" s="3"/>
      <c r="R190" s="3"/>
      <c r="S190" s="3"/>
      <c r="T190" s="3"/>
    </row>
    <row r="191" spans="1:20">
      <c r="A191" s="3">
        <v>2</v>
      </c>
      <c r="B191" s="3">
        <v>2</v>
      </c>
      <c r="C191" s="2">
        <v>25</v>
      </c>
      <c r="D191" s="2">
        <v>5</v>
      </c>
      <c r="E191" s="2">
        <v>16</v>
      </c>
      <c r="F191" s="17">
        <v>12</v>
      </c>
      <c r="H191" s="361">
        <v>1</v>
      </c>
      <c r="I191" s="361">
        <v>0.64685629749176254</v>
      </c>
      <c r="K191" s="363"/>
      <c r="N191" s="10"/>
      <c r="O191" s="4"/>
      <c r="P191" s="4"/>
      <c r="Q191" s="3"/>
      <c r="R191" s="3"/>
      <c r="S191" s="3"/>
      <c r="T191" s="3"/>
    </row>
    <row r="192" spans="1:20">
      <c r="A192" s="3">
        <v>1</v>
      </c>
      <c r="B192" s="3">
        <v>1</v>
      </c>
      <c r="C192" s="2">
        <v>25</v>
      </c>
      <c r="D192" s="2">
        <v>5</v>
      </c>
      <c r="E192" s="2">
        <v>1</v>
      </c>
      <c r="F192" s="17">
        <v>12</v>
      </c>
      <c r="H192" s="360">
        <v>0.61775365433419416</v>
      </c>
      <c r="I192" s="360">
        <v>0.64036048661490941</v>
      </c>
      <c r="K192" s="363"/>
      <c r="N192" s="10"/>
      <c r="O192" s="4"/>
      <c r="P192" s="4"/>
      <c r="Q192" s="3"/>
      <c r="R192" s="3"/>
      <c r="S192" s="3"/>
      <c r="T192" s="3"/>
    </row>
    <row r="193" spans="1:20">
      <c r="A193" s="3">
        <v>2</v>
      </c>
      <c r="B193" s="3">
        <v>2</v>
      </c>
      <c r="C193" s="2">
        <v>25</v>
      </c>
      <c r="D193" s="2">
        <v>5</v>
      </c>
      <c r="E193" s="2">
        <v>1</v>
      </c>
      <c r="F193" s="17">
        <v>12</v>
      </c>
      <c r="H193" s="361">
        <v>0.83582480322432762</v>
      </c>
      <c r="I193" s="361">
        <v>0.63009645313760909</v>
      </c>
      <c r="K193" s="363"/>
      <c r="N193" s="10"/>
      <c r="O193" s="4"/>
      <c r="P193" s="4"/>
      <c r="Q193" s="3"/>
      <c r="R193" s="3"/>
      <c r="S193" s="3"/>
      <c r="T193" s="3"/>
    </row>
    <row r="194" spans="1:20">
      <c r="A194" s="3">
        <v>3</v>
      </c>
      <c r="B194" s="3">
        <v>2</v>
      </c>
      <c r="C194" s="2">
        <v>25</v>
      </c>
      <c r="D194" s="2">
        <v>5</v>
      </c>
      <c r="E194" s="2">
        <v>16</v>
      </c>
      <c r="F194" s="17">
        <v>12</v>
      </c>
      <c r="H194" s="360">
        <v>1</v>
      </c>
      <c r="I194" s="360">
        <v>0.62232511057260254</v>
      </c>
      <c r="K194" s="363"/>
      <c r="N194" s="10"/>
      <c r="O194" s="4"/>
      <c r="P194" s="4"/>
      <c r="Q194" s="3"/>
      <c r="R194" s="3"/>
      <c r="S194" s="3"/>
      <c r="T194" s="3"/>
    </row>
    <row r="195" spans="1:20">
      <c r="A195" s="3">
        <v>1</v>
      </c>
      <c r="B195" s="3">
        <v>1</v>
      </c>
      <c r="C195" s="2">
        <v>25</v>
      </c>
      <c r="D195" s="2">
        <v>5</v>
      </c>
      <c r="E195" s="2">
        <v>16</v>
      </c>
      <c r="F195" s="17">
        <v>12</v>
      </c>
      <c r="H195" s="360">
        <v>1</v>
      </c>
      <c r="I195" s="360">
        <v>0.58728650803083693</v>
      </c>
      <c r="K195" s="363"/>
      <c r="N195" s="10"/>
      <c r="O195" s="4"/>
      <c r="P195" s="4"/>
      <c r="Q195" s="3"/>
      <c r="R195" s="3"/>
      <c r="S195" s="3"/>
      <c r="T195" s="3"/>
    </row>
    <row r="196" spans="1:20">
      <c r="A196" s="3">
        <v>1</v>
      </c>
      <c r="B196" s="3">
        <v>2</v>
      </c>
      <c r="C196" s="2">
        <v>25</v>
      </c>
      <c r="D196" s="2">
        <v>5</v>
      </c>
      <c r="E196" s="2">
        <v>1</v>
      </c>
      <c r="F196" s="17">
        <v>12</v>
      </c>
      <c r="H196" s="360">
        <v>0.8316946397342464</v>
      </c>
      <c r="I196" s="360">
        <v>0.58417646121400046</v>
      </c>
      <c r="K196" s="363"/>
      <c r="N196" s="10"/>
      <c r="O196" s="4"/>
      <c r="P196" s="4"/>
      <c r="Q196" s="3"/>
      <c r="R196" s="3"/>
      <c r="S196" s="3"/>
      <c r="T196" s="3"/>
    </row>
    <row r="197" spans="1:20">
      <c r="A197" s="3">
        <v>3</v>
      </c>
      <c r="B197" s="3">
        <v>2</v>
      </c>
      <c r="C197" s="2">
        <v>25</v>
      </c>
      <c r="D197" s="2">
        <v>5</v>
      </c>
      <c r="E197" s="2">
        <v>1</v>
      </c>
      <c r="F197" s="17">
        <v>12</v>
      </c>
      <c r="H197" s="361">
        <v>1</v>
      </c>
      <c r="I197" s="361">
        <v>0.57546523276501915</v>
      </c>
      <c r="K197" s="363"/>
      <c r="N197" s="10"/>
      <c r="O197" s="4"/>
      <c r="P197" s="4"/>
      <c r="Q197" s="3"/>
      <c r="R197" s="3"/>
      <c r="S197" s="3"/>
      <c r="T197" s="3"/>
    </row>
    <row r="198" spans="1:20">
      <c r="A198" s="3">
        <v>1</v>
      </c>
      <c r="B198" s="3">
        <v>2</v>
      </c>
      <c r="C198" s="2">
        <v>25</v>
      </c>
      <c r="D198" s="2">
        <v>5</v>
      </c>
      <c r="E198" s="2">
        <v>16</v>
      </c>
      <c r="F198" s="17">
        <v>12</v>
      </c>
      <c r="H198" s="360">
        <v>1</v>
      </c>
      <c r="I198" s="360">
        <v>0.57263346824085881</v>
      </c>
      <c r="K198" s="363"/>
      <c r="N198" s="10"/>
      <c r="O198" s="4"/>
      <c r="P198" s="4"/>
      <c r="Q198" s="3"/>
      <c r="R198" s="3"/>
      <c r="S198" s="3"/>
      <c r="T198" s="3"/>
    </row>
    <row r="199" spans="1:20">
      <c r="A199" s="3">
        <v>1</v>
      </c>
      <c r="B199" s="3">
        <v>2</v>
      </c>
      <c r="C199" s="2">
        <v>25</v>
      </c>
      <c r="D199" s="2">
        <v>5</v>
      </c>
      <c r="E199" s="2">
        <v>16</v>
      </c>
      <c r="F199" s="17">
        <v>12</v>
      </c>
      <c r="H199" s="361">
        <v>1</v>
      </c>
      <c r="I199" s="361">
        <v>0.55035307601440964</v>
      </c>
      <c r="K199" s="363"/>
      <c r="N199" s="10"/>
      <c r="O199" s="4"/>
      <c r="P199" s="4"/>
      <c r="Q199" s="3"/>
      <c r="R199" s="3"/>
      <c r="S199" s="3"/>
      <c r="T199" s="3"/>
    </row>
    <row r="200" spans="1:20">
      <c r="A200" s="3">
        <v>1</v>
      </c>
      <c r="B200" s="3">
        <v>1</v>
      </c>
      <c r="C200" s="2">
        <v>25</v>
      </c>
      <c r="D200" s="2">
        <v>30</v>
      </c>
      <c r="E200" s="2">
        <v>16</v>
      </c>
      <c r="F200" s="17">
        <v>12</v>
      </c>
      <c r="H200" s="360">
        <v>1</v>
      </c>
      <c r="I200" s="360">
        <v>0.4435188206419779</v>
      </c>
      <c r="K200" s="363"/>
      <c r="N200" s="10"/>
      <c r="O200" s="4"/>
      <c r="P200" s="4"/>
      <c r="Q200" s="3"/>
      <c r="R200" s="3"/>
      <c r="S200" s="3"/>
      <c r="T200" s="3"/>
    </row>
    <row r="201" spans="1:20">
      <c r="A201" s="3">
        <v>1</v>
      </c>
      <c r="B201" s="3">
        <v>2</v>
      </c>
      <c r="C201" s="2">
        <v>25</v>
      </c>
      <c r="D201" s="2">
        <v>30</v>
      </c>
      <c r="E201" s="2">
        <v>16</v>
      </c>
      <c r="F201" s="17">
        <v>12</v>
      </c>
      <c r="H201" s="360">
        <v>1</v>
      </c>
      <c r="I201" s="360">
        <v>0.43887803372534184</v>
      </c>
      <c r="K201" s="363"/>
      <c r="N201" s="10"/>
      <c r="O201" s="4"/>
      <c r="P201" s="4"/>
      <c r="Q201" s="3"/>
      <c r="R201" s="3"/>
      <c r="S201" s="3"/>
      <c r="T201" s="3"/>
    </row>
    <row r="202" spans="1:20">
      <c r="A202" s="3">
        <v>2</v>
      </c>
      <c r="B202" s="3">
        <v>1</v>
      </c>
      <c r="C202" s="2">
        <v>25</v>
      </c>
      <c r="D202" s="2">
        <v>5</v>
      </c>
      <c r="E202" s="2">
        <v>1</v>
      </c>
      <c r="F202" s="17">
        <v>12</v>
      </c>
      <c r="H202" s="360">
        <v>0.69785123739893873</v>
      </c>
      <c r="I202" s="360">
        <v>0.3171554538807364</v>
      </c>
      <c r="K202" s="363"/>
      <c r="N202" s="10"/>
      <c r="O202" s="4"/>
      <c r="P202" s="4"/>
      <c r="Q202" s="3"/>
      <c r="R202" s="3"/>
      <c r="S202" s="3"/>
      <c r="T202" s="3"/>
    </row>
    <row r="203" spans="1:20">
      <c r="A203" s="3">
        <v>2</v>
      </c>
      <c r="B203" s="3">
        <v>1</v>
      </c>
      <c r="C203" s="2">
        <v>25</v>
      </c>
      <c r="D203" s="2">
        <v>5</v>
      </c>
      <c r="E203" s="2">
        <v>16</v>
      </c>
      <c r="F203" s="17">
        <v>12</v>
      </c>
      <c r="H203" s="361">
        <v>1</v>
      </c>
      <c r="I203" s="361">
        <v>0.31053157547183885</v>
      </c>
      <c r="K203" s="363"/>
      <c r="N203" s="10"/>
      <c r="O203" s="4"/>
      <c r="P203" s="4"/>
      <c r="Q203" s="3"/>
      <c r="R203" s="3"/>
      <c r="S203" s="3"/>
      <c r="T203" s="3"/>
    </row>
    <row r="204" spans="1:20">
      <c r="A204" s="3">
        <v>5</v>
      </c>
      <c r="B204" s="3">
        <v>2</v>
      </c>
      <c r="C204" s="2">
        <v>50</v>
      </c>
      <c r="D204" s="2">
        <v>5</v>
      </c>
      <c r="E204" s="2">
        <v>16</v>
      </c>
      <c r="F204" s="17">
        <v>12</v>
      </c>
      <c r="H204" s="360">
        <v>1</v>
      </c>
      <c r="I204" s="359">
        <v>0.28401341178340794</v>
      </c>
      <c r="K204" s="363"/>
      <c r="N204" s="10"/>
      <c r="O204" s="4"/>
      <c r="P204" s="4"/>
      <c r="Q204" s="3"/>
      <c r="R204" s="3"/>
      <c r="S204" s="3"/>
      <c r="T204" s="3"/>
    </row>
    <row r="205" spans="1:20">
      <c r="A205" s="3">
        <v>4</v>
      </c>
      <c r="B205" s="3">
        <v>2</v>
      </c>
      <c r="C205" s="2">
        <v>50</v>
      </c>
      <c r="D205" s="2">
        <v>5</v>
      </c>
      <c r="E205" s="2">
        <v>16</v>
      </c>
      <c r="F205" s="17">
        <v>12</v>
      </c>
      <c r="H205" s="360">
        <v>1</v>
      </c>
      <c r="I205" s="359">
        <v>-0.30443732768808113</v>
      </c>
      <c r="K205" s="363"/>
      <c r="N205" s="10"/>
      <c r="O205" s="4"/>
      <c r="P205" s="4"/>
      <c r="Q205" s="3"/>
      <c r="R205" s="3"/>
      <c r="S205" s="3"/>
      <c r="T205" s="3"/>
    </row>
    <row r="206" spans="1:20">
      <c r="A206" s="3">
        <v>4</v>
      </c>
      <c r="B206" s="3">
        <v>2</v>
      </c>
      <c r="C206" s="2">
        <v>50</v>
      </c>
      <c r="D206" s="2">
        <v>5</v>
      </c>
      <c r="E206" s="2">
        <v>16</v>
      </c>
      <c r="F206" s="17">
        <v>13</v>
      </c>
      <c r="H206" s="360">
        <v>0.90929046742270037</v>
      </c>
      <c r="I206" s="359">
        <v>0.1036836626850389</v>
      </c>
      <c r="K206" s="363"/>
      <c r="N206" s="10"/>
      <c r="O206" s="4"/>
      <c r="P206" s="4"/>
      <c r="Q206" s="3"/>
      <c r="R206" s="3"/>
      <c r="S206" s="3"/>
      <c r="T206" s="3"/>
    </row>
    <row r="207" spans="1:20">
      <c r="A207" s="3">
        <v>5</v>
      </c>
      <c r="B207" s="3">
        <v>2</v>
      </c>
      <c r="C207" s="2">
        <v>50</v>
      </c>
      <c r="D207" s="2">
        <v>5</v>
      </c>
      <c r="E207" s="2">
        <v>16</v>
      </c>
      <c r="F207" s="17">
        <v>13</v>
      </c>
      <c r="H207" s="360">
        <v>9.7523028538236259E-2</v>
      </c>
      <c r="I207" s="359">
        <v>9.0123117313669759E-2</v>
      </c>
      <c r="K207" s="363"/>
      <c r="N207" s="10"/>
      <c r="O207" s="4"/>
      <c r="P207" s="4"/>
      <c r="Q207" s="3"/>
      <c r="R207" s="3"/>
      <c r="S207" s="3"/>
      <c r="T207" s="3"/>
    </row>
    <row r="208" spans="1:20">
      <c r="A208" s="3">
        <v>2</v>
      </c>
      <c r="B208" s="3">
        <v>1</v>
      </c>
      <c r="C208" s="2">
        <v>25</v>
      </c>
      <c r="D208" s="2">
        <v>5</v>
      </c>
      <c r="E208" s="2">
        <v>1</v>
      </c>
      <c r="F208" s="17">
        <v>13</v>
      </c>
      <c r="H208" s="360">
        <v>0.54102086866118548</v>
      </c>
      <c r="I208" s="360">
        <v>7.0810265194384117E-2</v>
      </c>
      <c r="K208" s="363"/>
      <c r="N208" s="10"/>
      <c r="O208" s="4"/>
      <c r="P208" s="4"/>
      <c r="Q208" s="3"/>
      <c r="R208" s="3"/>
      <c r="S208" s="3"/>
      <c r="T208" s="3"/>
    </row>
    <row r="209" spans="1:20">
      <c r="A209" s="3">
        <v>2</v>
      </c>
      <c r="B209" s="3">
        <v>1</v>
      </c>
      <c r="C209" s="2">
        <v>25</v>
      </c>
      <c r="D209" s="2">
        <v>5</v>
      </c>
      <c r="E209" s="2">
        <v>16</v>
      </c>
      <c r="F209" s="17">
        <v>13</v>
      </c>
      <c r="H209" s="361">
        <v>0.51897774760739668</v>
      </c>
      <c r="I209" s="361">
        <v>6.4084245510452026E-2</v>
      </c>
      <c r="K209" s="363"/>
      <c r="N209" s="10"/>
      <c r="O209" s="4"/>
      <c r="P209" s="4"/>
      <c r="Q209" s="3"/>
      <c r="R209" s="3"/>
      <c r="S209" s="3"/>
      <c r="T209" s="3"/>
    </row>
    <row r="210" spans="1:20">
      <c r="A210" s="3">
        <v>2</v>
      </c>
      <c r="B210" s="3">
        <v>2</v>
      </c>
      <c r="C210" s="2">
        <v>25</v>
      </c>
      <c r="D210" s="2">
        <v>5</v>
      </c>
      <c r="E210" s="2">
        <v>16</v>
      </c>
      <c r="F210" s="17">
        <v>13</v>
      </c>
      <c r="H210" s="361">
        <v>0.94647956475305439</v>
      </c>
      <c r="I210" s="361">
        <v>-0.25074053137365743</v>
      </c>
      <c r="K210" s="363"/>
      <c r="N210" s="10"/>
      <c r="O210" s="4"/>
      <c r="P210" s="4"/>
      <c r="Q210" s="3"/>
      <c r="R210" s="3"/>
      <c r="S210" s="3"/>
      <c r="T210" s="3"/>
    </row>
    <row r="211" spans="1:20">
      <c r="A211" s="3">
        <v>2</v>
      </c>
      <c r="B211" s="3">
        <v>2</v>
      </c>
      <c r="C211" s="2">
        <v>25</v>
      </c>
      <c r="D211" s="2">
        <v>5</v>
      </c>
      <c r="E211" s="2">
        <v>1</v>
      </c>
      <c r="F211" s="17">
        <v>13</v>
      </c>
      <c r="H211" s="361">
        <v>0.56735757927982933</v>
      </c>
      <c r="I211" s="361">
        <v>-0.31179496236120008</v>
      </c>
      <c r="K211" s="363"/>
      <c r="N211" s="10"/>
      <c r="O211" s="4"/>
      <c r="P211" s="4"/>
      <c r="Q211" s="3"/>
      <c r="R211" s="3"/>
      <c r="S211" s="3"/>
      <c r="T211" s="3"/>
    </row>
    <row r="212" spans="1:20">
      <c r="A212" s="3">
        <v>1</v>
      </c>
      <c r="B212" s="3">
        <v>1</v>
      </c>
      <c r="C212" s="2">
        <v>25</v>
      </c>
      <c r="D212" s="2">
        <v>30</v>
      </c>
      <c r="E212" s="2">
        <v>16</v>
      </c>
      <c r="F212" s="17">
        <v>13</v>
      </c>
      <c r="H212" s="360">
        <v>1</v>
      </c>
      <c r="I212" s="360">
        <v>-0.41369904667124052</v>
      </c>
      <c r="K212" s="363"/>
      <c r="N212" s="10"/>
      <c r="O212" s="4"/>
      <c r="P212" s="4"/>
      <c r="Q212" s="3"/>
      <c r="R212" s="3"/>
      <c r="S212" s="3"/>
      <c r="T212" s="3"/>
    </row>
    <row r="213" spans="1:20">
      <c r="A213" s="3">
        <v>1</v>
      </c>
      <c r="B213" s="3">
        <v>1</v>
      </c>
      <c r="C213" s="2">
        <v>25</v>
      </c>
      <c r="D213" s="2">
        <v>5</v>
      </c>
      <c r="E213" s="2">
        <v>16</v>
      </c>
      <c r="F213" s="17">
        <v>13</v>
      </c>
      <c r="H213" s="360">
        <v>0.60510201961666099</v>
      </c>
      <c r="I213" s="360">
        <v>-0.43682763040485273</v>
      </c>
      <c r="K213" s="363"/>
      <c r="N213" s="10"/>
      <c r="O213" s="4"/>
      <c r="P213" s="4"/>
      <c r="Q213" s="3"/>
      <c r="R213" s="3"/>
      <c r="S213" s="3"/>
      <c r="T213" s="3"/>
    </row>
    <row r="214" spans="1:20">
      <c r="A214" s="3">
        <v>3</v>
      </c>
      <c r="B214" s="3">
        <v>2</v>
      </c>
      <c r="C214" s="2">
        <v>25</v>
      </c>
      <c r="D214" s="2">
        <v>5</v>
      </c>
      <c r="E214" s="2">
        <v>16</v>
      </c>
      <c r="F214" s="17">
        <v>13</v>
      </c>
      <c r="H214" s="360">
        <v>0.87109561042108319</v>
      </c>
      <c r="I214" s="360">
        <v>-0.44329090655847292</v>
      </c>
      <c r="K214" s="363"/>
      <c r="N214" s="10"/>
      <c r="O214" s="4"/>
      <c r="P214" s="4"/>
      <c r="Q214" s="3"/>
      <c r="R214" s="3"/>
      <c r="S214" s="3"/>
      <c r="T214" s="3"/>
    </row>
    <row r="215" spans="1:20">
      <c r="A215" s="3">
        <v>1</v>
      </c>
      <c r="B215" s="3">
        <v>1</v>
      </c>
      <c r="C215" s="2">
        <v>25</v>
      </c>
      <c r="D215" s="2">
        <v>5</v>
      </c>
      <c r="E215" s="2">
        <v>1</v>
      </c>
      <c r="F215" s="17">
        <v>13</v>
      </c>
      <c r="H215" s="360">
        <v>0.436027599023179</v>
      </c>
      <c r="I215" s="360">
        <v>-0.45105247616314226</v>
      </c>
      <c r="K215" s="363"/>
      <c r="N215" s="10"/>
      <c r="O215" s="4"/>
      <c r="P215" s="4"/>
      <c r="Q215" s="3"/>
      <c r="R215" s="3"/>
      <c r="S215" s="3"/>
      <c r="T215" s="3"/>
    </row>
    <row r="216" spans="1:20">
      <c r="A216" s="3">
        <v>1</v>
      </c>
      <c r="B216" s="3">
        <v>2</v>
      </c>
      <c r="C216" s="2">
        <v>25</v>
      </c>
      <c r="D216" s="2">
        <v>30</v>
      </c>
      <c r="E216" s="2">
        <v>16</v>
      </c>
      <c r="F216" s="17">
        <v>13</v>
      </c>
      <c r="H216" s="360">
        <v>1</v>
      </c>
      <c r="I216" s="360">
        <v>-0.49202815400269245</v>
      </c>
      <c r="K216" s="363"/>
      <c r="N216" s="10"/>
      <c r="O216" s="4"/>
      <c r="P216" s="4"/>
      <c r="Q216" s="3"/>
      <c r="R216" s="3"/>
      <c r="S216" s="3"/>
      <c r="T216" s="3"/>
    </row>
    <row r="217" spans="1:20">
      <c r="A217" s="3">
        <v>1</v>
      </c>
      <c r="B217" s="3">
        <v>2</v>
      </c>
      <c r="C217" s="2">
        <v>25</v>
      </c>
      <c r="D217" s="2">
        <v>5</v>
      </c>
      <c r="E217" s="2">
        <v>16</v>
      </c>
      <c r="F217" s="17">
        <v>13</v>
      </c>
      <c r="H217" s="360">
        <v>0.80656402174263553</v>
      </c>
      <c r="I217" s="360">
        <v>-0.51135074450272944</v>
      </c>
      <c r="K217" s="363"/>
      <c r="N217" s="10"/>
      <c r="O217" s="4"/>
      <c r="P217" s="4"/>
      <c r="Q217" s="3"/>
      <c r="R217" s="3"/>
      <c r="S217" s="3"/>
      <c r="T217" s="3"/>
    </row>
    <row r="218" spans="1:20">
      <c r="A218" s="3">
        <v>1</v>
      </c>
      <c r="B218" s="3">
        <v>2</v>
      </c>
      <c r="C218" s="2">
        <v>25</v>
      </c>
      <c r="D218" s="2">
        <v>5</v>
      </c>
      <c r="E218" s="2">
        <v>16</v>
      </c>
      <c r="F218" s="17">
        <v>13</v>
      </c>
      <c r="H218" s="361">
        <v>1</v>
      </c>
      <c r="I218" s="361">
        <v>-0.52129451909756563</v>
      </c>
      <c r="K218" s="363"/>
      <c r="N218" s="10"/>
      <c r="O218" s="4"/>
      <c r="P218" s="4"/>
      <c r="Q218" s="3"/>
      <c r="R218" s="3"/>
      <c r="S218" s="3"/>
      <c r="T218" s="3"/>
    </row>
    <row r="219" spans="1:20">
      <c r="A219" s="3">
        <v>1</v>
      </c>
      <c r="B219" s="3">
        <v>2</v>
      </c>
      <c r="C219" s="2">
        <v>25</v>
      </c>
      <c r="D219" s="2">
        <v>5</v>
      </c>
      <c r="E219" s="2">
        <v>1</v>
      </c>
      <c r="F219" s="17">
        <v>13</v>
      </c>
      <c r="H219" s="360">
        <v>0.15779691841377541</v>
      </c>
      <c r="I219" s="360">
        <v>-0.5576546751262984</v>
      </c>
      <c r="K219" s="363"/>
      <c r="N219" s="10"/>
      <c r="O219" s="4"/>
      <c r="P219" s="4"/>
      <c r="Q219" s="3"/>
      <c r="R219" s="3"/>
      <c r="S219" s="3"/>
      <c r="T219" s="3"/>
    </row>
    <row r="220" spans="1:20">
      <c r="A220" s="3">
        <v>3</v>
      </c>
      <c r="B220" s="3">
        <v>1</v>
      </c>
      <c r="C220" s="2">
        <v>25</v>
      </c>
      <c r="D220" s="2">
        <v>5</v>
      </c>
      <c r="E220" s="2">
        <v>1</v>
      </c>
      <c r="F220" s="17">
        <v>13</v>
      </c>
      <c r="H220" s="360">
        <v>0.37760283678769235</v>
      </c>
      <c r="I220" s="360">
        <v>-0.70969791233104773</v>
      </c>
      <c r="K220" s="363"/>
      <c r="N220" s="10"/>
      <c r="O220" s="4"/>
      <c r="P220" s="4"/>
      <c r="Q220" s="3"/>
      <c r="R220" s="3"/>
      <c r="S220" s="3"/>
      <c r="T220" s="3"/>
    </row>
    <row r="221" spans="1:20">
      <c r="A221" s="3">
        <v>3</v>
      </c>
      <c r="B221" s="3">
        <v>2</v>
      </c>
      <c r="C221" s="2">
        <v>25</v>
      </c>
      <c r="D221" s="2">
        <v>5</v>
      </c>
      <c r="E221" s="2">
        <v>1</v>
      </c>
      <c r="F221" s="17">
        <v>13</v>
      </c>
      <c r="H221" s="361">
        <v>0.29772028485039304</v>
      </c>
      <c r="I221" s="361">
        <v>-0.72857737860797589</v>
      </c>
      <c r="K221" s="363"/>
      <c r="N221" s="10"/>
      <c r="O221" s="4"/>
      <c r="P221" s="4"/>
      <c r="Q221" s="3"/>
      <c r="R221" s="3"/>
      <c r="S221" s="3"/>
      <c r="T221" s="3"/>
    </row>
    <row r="222" spans="1:20">
      <c r="A222" s="3">
        <v>3</v>
      </c>
      <c r="B222" s="3">
        <v>1</v>
      </c>
      <c r="C222" s="2">
        <v>25</v>
      </c>
      <c r="D222" s="2">
        <v>5</v>
      </c>
      <c r="E222" s="2">
        <v>16</v>
      </c>
      <c r="F222" s="17">
        <v>13</v>
      </c>
      <c r="H222" s="361">
        <v>0.88196267698537867</v>
      </c>
      <c r="I222" s="361">
        <v>-0.76933918020064085</v>
      </c>
      <c r="K222" s="363"/>
      <c r="N222" s="10"/>
      <c r="O222" s="4"/>
      <c r="P222" s="4"/>
      <c r="Q222" s="3"/>
      <c r="R222" s="3"/>
      <c r="S222" s="3"/>
      <c r="T222" s="3"/>
    </row>
    <row r="223" spans="1:20">
      <c r="A223" s="3">
        <v>2</v>
      </c>
      <c r="B223" s="3">
        <v>1</v>
      </c>
      <c r="C223" s="2">
        <v>25</v>
      </c>
      <c r="D223" s="2">
        <v>5</v>
      </c>
      <c r="E223" s="2">
        <v>16</v>
      </c>
      <c r="F223" s="17">
        <v>14</v>
      </c>
      <c r="H223" s="361">
        <v>1</v>
      </c>
      <c r="I223" s="361">
        <v>0.15765902458878467</v>
      </c>
      <c r="K223" s="363"/>
      <c r="N223" s="10"/>
      <c r="O223" s="4"/>
      <c r="P223" s="4"/>
      <c r="Q223" s="3"/>
      <c r="R223" s="3"/>
      <c r="S223" s="3"/>
      <c r="T223" s="3"/>
    </row>
    <row r="224" spans="1:20">
      <c r="A224" s="3">
        <v>2</v>
      </c>
      <c r="B224" s="3">
        <v>1</v>
      </c>
      <c r="C224" s="2">
        <v>25</v>
      </c>
      <c r="D224" s="2">
        <v>5</v>
      </c>
      <c r="E224" s="2">
        <v>1</v>
      </c>
      <c r="F224" s="17">
        <v>14</v>
      </c>
      <c r="H224" s="360">
        <v>1</v>
      </c>
      <c r="I224" s="360">
        <v>0.12717030934229581</v>
      </c>
      <c r="K224" s="363"/>
      <c r="N224" s="10"/>
      <c r="O224" s="4"/>
      <c r="P224" s="4"/>
      <c r="Q224" s="3"/>
      <c r="R224" s="3"/>
      <c r="S224" s="3"/>
      <c r="T224" s="3"/>
    </row>
    <row r="225" spans="1:20">
      <c r="A225" s="3">
        <v>5</v>
      </c>
      <c r="B225" s="3">
        <v>2</v>
      </c>
      <c r="C225" s="2">
        <v>50</v>
      </c>
      <c r="D225" s="2">
        <v>5</v>
      </c>
      <c r="E225" s="2">
        <v>16</v>
      </c>
      <c r="F225" s="17">
        <v>14</v>
      </c>
      <c r="H225" s="360">
        <v>0.92870110100309622</v>
      </c>
      <c r="I225" s="359">
        <v>-2.1238541535862344E-2</v>
      </c>
      <c r="K225" s="363"/>
      <c r="N225" s="10"/>
      <c r="O225" s="4"/>
      <c r="P225" s="4"/>
      <c r="Q225" s="3"/>
      <c r="R225" s="3"/>
      <c r="S225" s="3"/>
      <c r="T225" s="3"/>
    </row>
    <row r="226" spans="1:20">
      <c r="A226" s="3">
        <v>3</v>
      </c>
      <c r="B226" s="3">
        <v>1</v>
      </c>
      <c r="C226" s="2">
        <v>25</v>
      </c>
      <c r="D226" s="2">
        <v>5</v>
      </c>
      <c r="E226" s="2">
        <v>16</v>
      </c>
      <c r="F226" s="17">
        <v>14</v>
      </c>
      <c r="H226" s="361">
        <v>0.64346801068021753</v>
      </c>
      <c r="I226" s="361">
        <v>-2.3305451867801981E-2</v>
      </c>
      <c r="K226" s="363"/>
      <c r="N226" s="10"/>
      <c r="O226" s="4"/>
      <c r="P226" s="4"/>
      <c r="Q226" s="3"/>
      <c r="R226" s="3"/>
      <c r="S226" s="3"/>
      <c r="T226" s="3"/>
    </row>
    <row r="227" spans="1:20">
      <c r="A227" s="3">
        <v>3</v>
      </c>
      <c r="B227" s="3">
        <v>1</v>
      </c>
      <c r="C227" s="2">
        <v>25</v>
      </c>
      <c r="D227" s="2">
        <v>5</v>
      </c>
      <c r="E227" s="2">
        <v>1</v>
      </c>
      <c r="F227" s="17">
        <v>14</v>
      </c>
      <c r="H227" s="360">
        <v>0.7867533207232642</v>
      </c>
      <c r="I227" s="360">
        <v>-5.579080875042166E-2</v>
      </c>
      <c r="K227" s="363"/>
      <c r="N227" s="10"/>
      <c r="O227" s="4"/>
      <c r="P227" s="4"/>
      <c r="Q227" s="3"/>
      <c r="R227" s="3"/>
      <c r="S227" s="3"/>
      <c r="T227" s="3"/>
    </row>
    <row r="228" spans="1:20">
      <c r="A228" s="3">
        <v>1</v>
      </c>
      <c r="B228" s="3">
        <v>1</v>
      </c>
      <c r="C228" s="2">
        <v>25</v>
      </c>
      <c r="D228" s="2">
        <v>5</v>
      </c>
      <c r="E228" s="2">
        <v>1</v>
      </c>
      <c r="F228" s="17">
        <v>14</v>
      </c>
      <c r="H228" s="360">
        <v>0.99437773502125915</v>
      </c>
      <c r="I228" s="360">
        <v>-6.1750463632023848E-2</v>
      </c>
      <c r="K228" s="363"/>
      <c r="N228" s="10"/>
      <c r="O228" s="4"/>
      <c r="P228" s="4"/>
      <c r="Q228" s="3"/>
      <c r="R228" s="3"/>
      <c r="S228" s="3"/>
      <c r="T228" s="3"/>
    </row>
    <row r="229" spans="1:20">
      <c r="A229" s="3">
        <v>1</v>
      </c>
      <c r="B229" s="3">
        <v>1</v>
      </c>
      <c r="C229" s="2">
        <v>25</v>
      </c>
      <c r="D229" s="2">
        <v>5</v>
      </c>
      <c r="E229" s="2">
        <v>16</v>
      </c>
      <c r="F229" s="17">
        <v>14</v>
      </c>
      <c r="H229" s="360">
        <v>1</v>
      </c>
      <c r="I229" s="360">
        <v>-7.0300214334340236E-2</v>
      </c>
      <c r="K229" s="363"/>
      <c r="N229" s="10"/>
      <c r="O229" s="4"/>
      <c r="P229" s="4"/>
      <c r="Q229" s="3"/>
      <c r="R229" s="3"/>
      <c r="S229" s="3"/>
      <c r="T229" s="3"/>
    </row>
    <row r="230" spans="1:20">
      <c r="A230" s="3">
        <v>2</v>
      </c>
      <c r="B230" s="3">
        <v>2</v>
      </c>
      <c r="C230" s="2">
        <v>25</v>
      </c>
      <c r="D230" s="2">
        <v>5</v>
      </c>
      <c r="E230" s="2">
        <v>1</v>
      </c>
      <c r="F230" s="17">
        <v>14</v>
      </c>
      <c r="H230" s="361">
        <v>1</v>
      </c>
      <c r="I230" s="361">
        <v>-0.1429625649393011</v>
      </c>
      <c r="K230" s="363"/>
      <c r="N230" s="10"/>
      <c r="O230" s="4"/>
      <c r="P230" s="4"/>
      <c r="Q230" s="3"/>
      <c r="R230" s="3"/>
      <c r="S230" s="3"/>
      <c r="T230" s="3"/>
    </row>
    <row r="231" spans="1:20">
      <c r="A231" s="3">
        <v>1</v>
      </c>
      <c r="B231" s="3">
        <v>1</v>
      </c>
      <c r="C231" s="2">
        <v>25</v>
      </c>
      <c r="D231" s="2">
        <v>30</v>
      </c>
      <c r="E231" s="2">
        <v>16</v>
      </c>
      <c r="F231" s="17">
        <v>14</v>
      </c>
      <c r="H231" s="360">
        <v>0.9897991114906981</v>
      </c>
      <c r="I231" s="360">
        <v>-0.15260559127177761</v>
      </c>
      <c r="K231" s="363"/>
      <c r="N231" s="10"/>
      <c r="O231" s="4"/>
      <c r="P231" s="4"/>
      <c r="Q231" s="3"/>
      <c r="R231" s="3"/>
      <c r="S231" s="3"/>
      <c r="T231" s="3"/>
    </row>
    <row r="232" spans="1:20">
      <c r="A232" s="3">
        <v>2</v>
      </c>
      <c r="B232" s="3">
        <v>2</v>
      </c>
      <c r="C232" s="2">
        <v>25</v>
      </c>
      <c r="D232" s="2">
        <v>5</v>
      </c>
      <c r="E232" s="2">
        <v>16</v>
      </c>
      <c r="F232" s="17">
        <v>14</v>
      </c>
      <c r="H232" s="361">
        <v>1</v>
      </c>
      <c r="I232" s="361">
        <v>-0.16523117112098451</v>
      </c>
      <c r="K232" s="363"/>
      <c r="N232" s="10"/>
      <c r="O232" s="4"/>
      <c r="P232" s="4"/>
      <c r="Q232" s="3"/>
      <c r="R232" s="3"/>
      <c r="S232" s="3"/>
      <c r="T232" s="3"/>
    </row>
    <row r="233" spans="1:20">
      <c r="A233" s="3">
        <v>3</v>
      </c>
      <c r="B233" s="3">
        <v>2</v>
      </c>
      <c r="C233" s="2">
        <v>25</v>
      </c>
      <c r="D233" s="2">
        <v>5</v>
      </c>
      <c r="E233" s="2">
        <v>16</v>
      </c>
      <c r="F233" s="17">
        <v>14</v>
      </c>
      <c r="H233" s="360">
        <v>0.84579976752208696</v>
      </c>
      <c r="I233" s="360">
        <v>-0.316450911839743</v>
      </c>
      <c r="K233" s="363"/>
      <c r="N233" s="10"/>
      <c r="O233" s="4"/>
      <c r="P233" s="4"/>
      <c r="Q233" s="3"/>
      <c r="R233" s="3"/>
      <c r="S233" s="3"/>
      <c r="T233" s="3"/>
    </row>
    <row r="234" spans="1:20">
      <c r="A234" s="3">
        <v>1</v>
      </c>
      <c r="B234" s="3">
        <v>2</v>
      </c>
      <c r="C234" s="2">
        <v>25</v>
      </c>
      <c r="D234" s="2">
        <v>5</v>
      </c>
      <c r="E234" s="2">
        <v>16</v>
      </c>
      <c r="F234" s="17">
        <v>14</v>
      </c>
      <c r="H234" s="360">
        <v>0.54944175355003311</v>
      </c>
      <c r="I234" s="360">
        <v>-0.33184914191179193</v>
      </c>
      <c r="K234" s="363"/>
      <c r="N234" s="10"/>
      <c r="O234" s="4"/>
      <c r="P234" s="4"/>
      <c r="Q234" s="3"/>
      <c r="R234" s="3"/>
      <c r="S234" s="3"/>
      <c r="T234" s="3"/>
    </row>
    <row r="235" spans="1:20">
      <c r="A235" s="3">
        <v>1</v>
      </c>
      <c r="B235" s="3">
        <v>2</v>
      </c>
      <c r="C235" s="2">
        <v>25</v>
      </c>
      <c r="D235" s="2">
        <v>5</v>
      </c>
      <c r="E235" s="2">
        <v>16</v>
      </c>
      <c r="F235" s="17">
        <v>14</v>
      </c>
      <c r="H235" s="361">
        <v>1</v>
      </c>
      <c r="I235" s="361">
        <v>-0.33531227824327614</v>
      </c>
      <c r="K235" s="363"/>
      <c r="N235" s="10"/>
      <c r="O235" s="4"/>
      <c r="P235" s="4"/>
      <c r="Q235" s="3"/>
      <c r="R235" s="3"/>
      <c r="S235" s="3"/>
      <c r="T235" s="3"/>
    </row>
    <row r="236" spans="1:20">
      <c r="A236" s="3">
        <v>1</v>
      </c>
      <c r="B236" s="3">
        <v>2</v>
      </c>
      <c r="C236" s="2">
        <v>25</v>
      </c>
      <c r="D236" s="2">
        <v>5</v>
      </c>
      <c r="E236" s="2">
        <v>1</v>
      </c>
      <c r="F236" s="17">
        <v>14</v>
      </c>
      <c r="H236" s="360">
        <v>0.58842911793624431</v>
      </c>
      <c r="I236" s="360">
        <v>-0.33954829088480726</v>
      </c>
      <c r="K236" s="363"/>
      <c r="N236" s="10"/>
      <c r="O236" s="4"/>
      <c r="P236" s="4"/>
      <c r="Q236" s="3"/>
      <c r="R236" s="3"/>
      <c r="S236" s="3"/>
      <c r="T236" s="3"/>
    </row>
    <row r="237" spans="1:20">
      <c r="A237" s="3">
        <v>1</v>
      </c>
      <c r="B237" s="3">
        <v>2</v>
      </c>
      <c r="C237" s="2">
        <v>25</v>
      </c>
      <c r="D237" s="2">
        <v>30</v>
      </c>
      <c r="E237" s="2">
        <v>16</v>
      </c>
      <c r="F237" s="17">
        <v>14</v>
      </c>
      <c r="H237" s="360">
        <v>1</v>
      </c>
      <c r="I237" s="360">
        <v>-0.34910800994185903</v>
      </c>
      <c r="K237" s="363"/>
      <c r="N237" s="10"/>
      <c r="O237" s="4"/>
      <c r="P237" s="4"/>
      <c r="Q237" s="3"/>
      <c r="R237" s="3"/>
      <c r="S237" s="3"/>
      <c r="T237" s="3"/>
    </row>
    <row r="238" spans="1:20">
      <c r="A238" s="3">
        <v>4</v>
      </c>
      <c r="B238" s="3">
        <v>2</v>
      </c>
      <c r="C238" s="2">
        <v>50</v>
      </c>
      <c r="D238" s="2">
        <v>5</v>
      </c>
      <c r="E238" s="2">
        <v>16</v>
      </c>
      <c r="F238" s="17">
        <v>14</v>
      </c>
      <c r="H238" s="360">
        <v>0.72338573583624977</v>
      </c>
      <c r="I238" s="359">
        <v>-0.43655898632239731</v>
      </c>
      <c r="K238" s="363"/>
      <c r="N238" s="10"/>
      <c r="O238" s="4"/>
      <c r="P238" s="4"/>
      <c r="Q238" s="3"/>
      <c r="R238" s="3"/>
      <c r="S238" s="3"/>
      <c r="T238" s="3"/>
    </row>
    <row r="239" spans="1:20">
      <c r="A239" s="3">
        <v>3</v>
      </c>
      <c r="B239" s="3">
        <v>2</v>
      </c>
      <c r="C239" s="2">
        <v>25</v>
      </c>
      <c r="D239" s="2">
        <v>5</v>
      </c>
      <c r="E239" s="2">
        <v>1</v>
      </c>
      <c r="F239" s="17">
        <v>14</v>
      </c>
      <c r="H239" s="361">
        <v>1</v>
      </c>
      <c r="I239" s="361">
        <v>-0.73402922427440997</v>
      </c>
      <c r="K239" s="363"/>
      <c r="N239" s="10"/>
      <c r="O239" s="4"/>
      <c r="P239" s="4"/>
      <c r="Q239" s="3"/>
      <c r="R239" s="3"/>
      <c r="S239" s="3"/>
      <c r="T239" s="3"/>
    </row>
    <row r="240" spans="1:20">
      <c r="A240" s="3">
        <v>4</v>
      </c>
      <c r="B240" s="3">
        <v>2</v>
      </c>
      <c r="C240" s="2">
        <v>50</v>
      </c>
      <c r="D240" s="2">
        <v>5</v>
      </c>
      <c r="E240" s="2">
        <v>16</v>
      </c>
      <c r="F240" s="17">
        <v>15</v>
      </c>
      <c r="H240" s="360">
        <v>1</v>
      </c>
      <c r="I240" s="359">
        <v>0.53795949987493952</v>
      </c>
      <c r="K240" s="363"/>
      <c r="N240" s="10"/>
      <c r="O240" s="4"/>
      <c r="P240" s="4"/>
      <c r="Q240" s="3"/>
      <c r="R240" s="3"/>
      <c r="S240" s="3"/>
      <c r="T240" s="3"/>
    </row>
    <row r="241" spans="1:20">
      <c r="A241" s="3">
        <v>3</v>
      </c>
      <c r="B241" s="3">
        <v>1</v>
      </c>
      <c r="C241" s="2">
        <v>25</v>
      </c>
      <c r="D241" s="2">
        <v>5</v>
      </c>
      <c r="E241" s="2">
        <v>1</v>
      </c>
      <c r="F241" s="17">
        <v>15</v>
      </c>
      <c r="H241" s="360">
        <v>0.1205941002396701</v>
      </c>
      <c r="I241" s="360">
        <v>0.29983993455101643</v>
      </c>
      <c r="K241" s="363"/>
      <c r="N241" s="10"/>
      <c r="O241" s="4"/>
      <c r="P241" s="4"/>
      <c r="Q241" s="3"/>
      <c r="R241" s="3"/>
      <c r="S241" s="3"/>
      <c r="T241" s="3"/>
    </row>
    <row r="242" spans="1:20">
      <c r="A242" s="3">
        <v>2</v>
      </c>
      <c r="B242" s="3">
        <v>1</v>
      </c>
      <c r="C242" s="2">
        <v>25</v>
      </c>
      <c r="D242" s="2">
        <v>5</v>
      </c>
      <c r="E242" s="2">
        <v>16</v>
      </c>
      <c r="F242" s="17">
        <v>15</v>
      </c>
      <c r="H242" s="361">
        <v>1</v>
      </c>
      <c r="I242" s="361">
        <v>0.24193552746447849</v>
      </c>
      <c r="K242" s="363"/>
      <c r="N242" s="10"/>
      <c r="O242" s="4"/>
      <c r="P242" s="4"/>
      <c r="Q242" s="3"/>
      <c r="R242" s="3"/>
      <c r="S242" s="3"/>
      <c r="T242" s="3"/>
    </row>
    <row r="243" spans="1:20">
      <c r="A243" s="3">
        <v>2</v>
      </c>
      <c r="B243" s="3">
        <v>1</v>
      </c>
      <c r="C243" s="2">
        <v>25</v>
      </c>
      <c r="D243" s="2">
        <v>5</v>
      </c>
      <c r="E243" s="2">
        <v>1</v>
      </c>
      <c r="F243" s="17">
        <v>15</v>
      </c>
      <c r="H243" s="360">
        <v>1</v>
      </c>
      <c r="I243" s="360">
        <v>0.22800605119145523</v>
      </c>
      <c r="K243" s="363"/>
      <c r="N243" s="10"/>
      <c r="O243" s="4"/>
      <c r="P243" s="4"/>
      <c r="Q243" s="3"/>
      <c r="R243" s="3"/>
      <c r="S243" s="3"/>
      <c r="T243" s="3"/>
    </row>
    <row r="244" spans="1:20">
      <c r="A244" s="3">
        <v>3</v>
      </c>
      <c r="B244" s="3">
        <v>2</v>
      </c>
      <c r="C244" s="2">
        <v>25</v>
      </c>
      <c r="D244" s="2">
        <v>5</v>
      </c>
      <c r="E244" s="2">
        <v>16</v>
      </c>
      <c r="F244" s="17">
        <v>15</v>
      </c>
      <c r="H244" s="360">
        <v>1</v>
      </c>
      <c r="I244" s="360">
        <v>0.18769832202784714</v>
      </c>
      <c r="K244" s="363"/>
      <c r="N244" s="10"/>
      <c r="O244" s="4"/>
      <c r="P244" s="4"/>
      <c r="Q244" s="3"/>
      <c r="R244" s="3"/>
      <c r="S244" s="3"/>
      <c r="T244" s="3"/>
    </row>
    <row r="245" spans="1:20">
      <c r="A245" s="3">
        <v>3</v>
      </c>
      <c r="B245" s="3">
        <v>1</v>
      </c>
      <c r="C245" s="2">
        <v>25</v>
      </c>
      <c r="D245" s="2">
        <v>5</v>
      </c>
      <c r="E245" s="2">
        <v>16</v>
      </c>
      <c r="F245" s="17">
        <v>15</v>
      </c>
      <c r="H245" s="361">
        <v>0.96165717799914674</v>
      </c>
      <c r="I245" s="361">
        <v>0.14533979963825569</v>
      </c>
      <c r="K245" s="363"/>
      <c r="N245" s="10"/>
      <c r="O245" s="4"/>
      <c r="P245" s="4"/>
      <c r="Q245" s="3"/>
      <c r="R245" s="3"/>
      <c r="S245" s="3"/>
      <c r="T245" s="3"/>
    </row>
    <row r="246" spans="1:20">
      <c r="A246" s="3">
        <v>3</v>
      </c>
      <c r="B246" s="3">
        <v>2</v>
      </c>
      <c r="C246" s="2">
        <v>25</v>
      </c>
      <c r="D246" s="2">
        <v>5</v>
      </c>
      <c r="E246" s="2">
        <v>1</v>
      </c>
      <c r="F246" s="17">
        <v>15</v>
      </c>
      <c r="H246" s="361">
        <v>0.20522242627445408</v>
      </c>
      <c r="I246" s="361">
        <v>0.13600330578808079</v>
      </c>
      <c r="K246" s="363"/>
      <c r="N246" s="10"/>
      <c r="O246" s="4"/>
      <c r="P246" s="4"/>
      <c r="Q246" s="3"/>
      <c r="R246" s="3"/>
      <c r="S246" s="3"/>
      <c r="T246" s="3"/>
    </row>
    <row r="247" spans="1:20">
      <c r="A247" s="3">
        <v>1</v>
      </c>
      <c r="B247" s="3">
        <v>1</v>
      </c>
      <c r="C247" s="2">
        <v>25</v>
      </c>
      <c r="D247" s="2">
        <v>5</v>
      </c>
      <c r="E247" s="2">
        <v>16</v>
      </c>
      <c r="F247" s="17">
        <v>15</v>
      </c>
      <c r="H247" s="360">
        <v>0.60409916111012307</v>
      </c>
      <c r="I247" s="360">
        <v>1.4103083088249399E-4</v>
      </c>
      <c r="K247" s="363"/>
      <c r="N247" s="10"/>
      <c r="O247" s="4"/>
      <c r="P247" s="4"/>
      <c r="Q247" s="3"/>
      <c r="R247" s="3"/>
      <c r="S247" s="3"/>
      <c r="T247" s="3"/>
    </row>
    <row r="248" spans="1:20">
      <c r="A248" s="3">
        <v>1</v>
      </c>
      <c r="B248" s="3">
        <v>1</v>
      </c>
      <c r="C248" s="2">
        <v>25</v>
      </c>
      <c r="D248" s="2">
        <v>5</v>
      </c>
      <c r="E248" s="2">
        <v>1</v>
      </c>
      <c r="F248" s="17">
        <v>15</v>
      </c>
      <c r="H248" s="360">
        <v>0.1155660298567579</v>
      </c>
      <c r="I248" s="360">
        <v>-3.2216522951219607E-2</v>
      </c>
      <c r="K248" s="363"/>
      <c r="N248" s="10"/>
      <c r="O248" s="4"/>
      <c r="P248" s="4"/>
      <c r="Q248" s="3"/>
      <c r="R248" s="3"/>
      <c r="S248" s="3"/>
      <c r="T248" s="3"/>
    </row>
    <row r="249" spans="1:20">
      <c r="A249" s="3">
        <v>2</v>
      </c>
      <c r="B249" s="3">
        <v>2</v>
      </c>
      <c r="C249" s="2">
        <v>25</v>
      </c>
      <c r="D249" s="2">
        <v>5</v>
      </c>
      <c r="E249" s="2">
        <v>1</v>
      </c>
      <c r="F249" s="17">
        <v>15</v>
      </c>
      <c r="H249" s="361">
        <v>0.85200970659305331</v>
      </c>
      <c r="I249" s="361">
        <v>-6.5124759290367498E-2</v>
      </c>
      <c r="K249" s="363"/>
      <c r="N249" s="10"/>
      <c r="O249" s="4"/>
      <c r="P249" s="4"/>
      <c r="Q249" s="3"/>
      <c r="R249" s="3"/>
      <c r="S249" s="3"/>
      <c r="T249" s="3"/>
    </row>
    <row r="250" spans="1:20">
      <c r="A250" s="3">
        <v>1</v>
      </c>
      <c r="B250" s="3">
        <v>1</v>
      </c>
      <c r="C250" s="2">
        <v>25</v>
      </c>
      <c r="D250" s="2">
        <v>30</v>
      </c>
      <c r="E250" s="2">
        <v>16</v>
      </c>
      <c r="F250" s="17">
        <v>15</v>
      </c>
      <c r="H250" s="360">
        <v>1</v>
      </c>
      <c r="I250" s="360">
        <v>-6.919692337831472E-2</v>
      </c>
      <c r="K250" s="363"/>
      <c r="N250" s="10"/>
      <c r="O250" s="4"/>
      <c r="P250" s="4"/>
      <c r="Q250" s="3"/>
      <c r="R250" s="3"/>
      <c r="S250" s="3"/>
      <c r="T250" s="3"/>
    </row>
    <row r="251" spans="1:20">
      <c r="A251" s="3">
        <v>2</v>
      </c>
      <c r="B251" s="3">
        <v>2</v>
      </c>
      <c r="C251" s="2">
        <v>25</v>
      </c>
      <c r="D251" s="2">
        <v>5</v>
      </c>
      <c r="E251" s="2">
        <v>16</v>
      </c>
      <c r="F251" s="17">
        <v>15</v>
      </c>
      <c r="H251" s="361">
        <v>1</v>
      </c>
      <c r="I251" s="361">
        <v>-7.2871939927962398E-2</v>
      </c>
      <c r="K251" s="363"/>
      <c r="N251" s="10"/>
      <c r="O251" s="4"/>
      <c r="P251" s="4"/>
      <c r="Q251" s="3"/>
      <c r="R251" s="3"/>
      <c r="S251" s="3"/>
      <c r="T251" s="3"/>
    </row>
    <row r="252" spans="1:20">
      <c r="A252" s="3">
        <v>1</v>
      </c>
      <c r="B252" s="3">
        <v>2</v>
      </c>
      <c r="C252" s="2">
        <v>25</v>
      </c>
      <c r="D252" s="2">
        <v>30</v>
      </c>
      <c r="E252" s="2">
        <v>16</v>
      </c>
      <c r="F252" s="17">
        <v>15</v>
      </c>
      <c r="H252" s="360">
        <v>1</v>
      </c>
      <c r="I252" s="360">
        <v>-9.5172661542450895E-2</v>
      </c>
      <c r="K252" s="363"/>
      <c r="N252" s="10"/>
      <c r="O252" s="4"/>
      <c r="P252" s="4"/>
      <c r="Q252" s="3"/>
      <c r="R252" s="3"/>
      <c r="S252" s="3"/>
      <c r="T252" s="3"/>
    </row>
    <row r="253" spans="1:20">
      <c r="A253" s="3">
        <v>1</v>
      </c>
      <c r="B253" s="3">
        <v>2</v>
      </c>
      <c r="C253" s="2">
        <v>25</v>
      </c>
      <c r="D253" s="2">
        <v>5</v>
      </c>
      <c r="E253" s="2">
        <v>1</v>
      </c>
      <c r="F253" s="17">
        <v>15</v>
      </c>
      <c r="H253" s="360">
        <v>6.5025282793148675E-2</v>
      </c>
      <c r="I253" s="360">
        <v>-0.1530895874300868</v>
      </c>
      <c r="K253" s="363"/>
      <c r="N253" s="10"/>
      <c r="O253" s="4"/>
      <c r="P253" s="4"/>
      <c r="Q253" s="3"/>
      <c r="R253" s="3"/>
      <c r="S253" s="3"/>
      <c r="T253" s="3"/>
    </row>
    <row r="254" spans="1:20">
      <c r="A254" s="3">
        <v>1</v>
      </c>
      <c r="B254" s="3">
        <v>2</v>
      </c>
      <c r="C254" s="2">
        <v>25</v>
      </c>
      <c r="D254" s="2">
        <v>5</v>
      </c>
      <c r="E254" s="2">
        <v>16</v>
      </c>
      <c r="F254" s="17">
        <v>15</v>
      </c>
      <c r="H254" s="360">
        <v>0.97049337806198366</v>
      </c>
      <c r="I254" s="360">
        <v>-0.19167515284022751</v>
      </c>
      <c r="K254" s="363"/>
      <c r="N254" s="10"/>
      <c r="O254" s="4"/>
      <c r="P254" s="4"/>
      <c r="Q254" s="3"/>
      <c r="R254" s="3"/>
      <c r="S254" s="3"/>
      <c r="T254" s="3"/>
    </row>
    <row r="255" spans="1:20">
      <c r="A255" s="3">
        <v>1</v>
      </c>
      <c r="B255" s="3">
        <v>2</v>
      </c>
      <c r="C255" s="2">
        <v>25</v>
      </c>
      <c r="D255" s="2">
        <v>5</v>
      </c>
      <c r="E255" s="2">
        <v>16</v>
      </c>
      <c r="F255" s="17">
        <v>15</v>
      </c>
      <c r="H255" s="361">
        <v>1</v>
      </c>
      <c r="I255" s="361">
        <v>-0.22257448682296746</v>
      </c>
      <c r="K255" s="363"/>
      <c r="N255" s="10"/>
      <c r="O255" s="4"/>
      <c r="P255" s="4"/>
      <c r="Q255" s="3"/>
      <c r="R255" s="3"/>
      <c r="S255" s="3"/>
      <c r="T255" s="3"/>
    </row>
    <row r="256" spans="1:20">
      <c r="A256" s="3">
        <v>5</v>
      </c>
      <c r="B256" s="3">
        <v>2</v>
      </c>
      <c r="C256" s="2">
        <v>50</v>
      </c>
      <c r="D256" s="2">
        <v>5</v>
      </c>
      <c r="E256" s="2">
        <v>16</v>
      </c>
      <c r="F256" s="17">
        <v>15</v>
      </c>
      <c r="H256" s="360">
        <v>1</v>
      </c>
      <c r="I256" s="359">
        <v>-0.60764413879441548</v>
      </c>
      <c r="K256" s="363"/>
      <c r="N256" s="10"/>
      <c r="O256" s="4"/>
      <c r="P256" s="4"/>
      <c r="Q256" s="3"/>
      <c r="R256" s="3"/>
      <c r="S256" s="3"/>
      <c r="T256" s="3"/>
    </row>
    <row r="257" spans="1:20">
      <c r="A257" s="3">
        <v>2</v>
      </c>
      <c r="B257" s="3">
        <v>1</v>
      </c>
      <c r="C257" s="2">
        <v>25</v>
      </c>
      <c r="D257" s="2">
        <v>5</v>
      </c>
      <c r="E257" s="2">
        <v>1</v>
      </c>
      <c r="F257" s="17">
        <v>16</v>
      </c>
      <c r="H257" s="360">
        <v>1</v>
      </c>
      <c r="I257" s="360">
        <v>0.60294650967031427</v>
      </c>
      <c r="K257" s="363"/>
      <c r="N257" s="10"/>
      <c r="O257" s="4"/>
      <c r="P257" s="4"/>
      <c r="Q257" s="3"/>
      <c r="R257" s="3"/>
      <c r="S257" s="3"/>
      <c r="T257" s="3"/>
    </row>
    <row r="258" spans="1:20">
      <c r="A258" s="3">
        <v>2</v>
      </c>
      <c r="B258" s="3">
        <v>1</v>
      </c>
      <c r="C258" s="2">
        <v>25</v>
      </c>
      <c r="D258" s="2">
        <v>5</v>
      </c>
      <c r="E258" s="2">
        <v>16</v>
      </c>
      <c r="F258" s="17">
        <v>16</v>
      </c>
      <c r="H258" s="361">
        <v>1</v>
      </c>
      <c r="I258" s="361">
        <v>0.57234630929589447</v>
      </c>
      <c r="K258" s="363"/>
      <c r="N258" s="10"/>
      <c r="O258" s="4"/>
      <c r="P258" s="4"/>
      <c r="Q258" s="3"/>
      <c r="R258" s="3"/>
      <c r="S258" s="3"/>
      <c r="T258" s="3"/>
    </row>
    <row r="259" spans="1:20">
      <c r="A259" s="3">
        <v>2</v>
      </c>
      <c r="B259" s="3">
        <v>2</v>
      </c>
      <c r="C259" s="2">
        <v>25</v>
      </c>
      <c r="D259" s="2">
        <v>5</v>
      </c>
      <c r="E259" s="2">
        <v>16</v>
      </c>
      <c r="F259" s="17">
        <v>16</v>
      </c>
      <c r="H259" s="361">
        <v>1</v>
      </c>
      <c r="I259" s="361">
        <v>0.20267566786476879</v>
      </c>
      <c r="K259" s="363"/>
      <c r="N259" s="10"/>
      <c r="O259" s="4"/>
      <c r="P259" s="4"/>
      <c r="Q259" s="3"/>
      <c r="R259" s="3"/>
      <c r="S259" s="3"/>
      <c r="T259" s="3"/>
    </row>
    <row r="260" spans="1:20">
      <c r="A260" s="3">
        <v>4</v>
      </c>
      <c r="B260" s="3">
        <v>2</v>
      </c>
      <c r="C260" s="2">
        <v>50</v>
      </c>
      <c r="D260" s="2">
        <v>5</v>
      </c>
      <c r="E260" s="2">
        <v>16</v>
      </c>
      <c r="F260" s="17">
        <v>16</v>
      </c>
      <c r="H260" s="360">
        <v>1</v>
      </c>
      <c r="I260" s="359">
        <v>0.17869425762801955</v>
      </c>
      <c r="K260" s="363"/>
      <c r="N260" s="10"/>
      <c r="O260" s="4"/>
      <c r="P260" s="4"/>
      <c r="Q260" s="3"/>
      <c r="R260" s="3"/>
      <c r="S260" s="3"/>
      <c r="T260" s="3"/>
    </row>
    <row r="261" spans="1:20">
      <c r="A261" s="3">
        <v>2</v>
      </c>
      <c r="B261" s="3">
        <v>2</v>
      </c>
      <c r="C261" s="2">
        <v>25</v>
      </c>
      <c r="D261" s="2">
        <v>5</v>
      </c>
      <c r="E261" s="2">
        <v>1</v>
      </c>
      <c r="F261" s="17">
        <v>16</v>
      </c>
      <c r="H261" s="361">
        <v>0.44189895679894853</v>
      </c>
      <c r="I261" s="361">
        <v>0.12705996470843178</v>
      </c>
      <c r="K261" s="363"/>
      <c r="N261" s="10"/>
      <c r="O261" s="4"/>
      <c r="P261" s="4"/>
      <c r="Q261" s="3"/>
      <c r="R261" s="3"/>
      <c r="S261" s="3"/>
      <c r="T261" s="3"/>
    </row>
    <row r="262" spans="1:20">
      <c r="A262" s="3">
        <v>3</v>
      </c>
      <c r="B262" s="3">
        <v>1</v>
      </c>
      <c r="C262" s="2">
        <v>25</v>
      </c>
      <c r="D262" s="2">
        <v>5</v>
      </c>
      <c r="E262" s="2">
        <v>1</v>
      </c>
      <c r="F262" s="17">
        <v>16</v>
      </c>
      <c r="H262" s="360">
        <v>1</v>
      </c>
      <c r="I262" s="360">
        <v>4.0550079459288804E-2</v>
      </c>
      <c r="K262" s="363"/>
      <c r="N262" s="10"/>
      <c r="O262" s="4"/>
      <c r="P262" s="4"/>
      <c r="Q262" s="3"/>
      <c r="R262" s="3"/>
      <c r="S262" s="3"/>
      <c r="T262" s="3"/>
    </row>
    <row r="263" spans="1:20">
      <c r="A263" s="3">
        <v>3</v>
      </c>
      <c r="B263" s="3">
        <v>1</v>
      </c>
      <c r="C263" s="2">
        <v>25</v>
      </c>
      <c r="D263" s="2">
        <v>5</v>
      </c>
      <c r="E263" s="2">
        <v>16</v>
      </c>
      <c r="F263" s="17">
        <v>16</v>
      </c>
      <c r="H263" s="361">
        <v>1</v>
      </c>
      <c r="I263" s="361">
        <v>2.4173747565800936E-2</v>
      </c>
      <c r="K263" s="363"/>
      <c r="N263" s="10"/>
      <c r="O263" s="4"/>
      <c r="P263" s="4"/>
      <c r="Q263" s="3"/>
      <c r="R263" s="3"/>
      <c r="S263" s="3"/>
      <c r="T263" s="3"/>
    </row>
    <row r="264" spans="1:20">
      <c r="A264" s="3">
        <v>1</v>
      </c>
      <c r="B264" s="3">
        <v>1</v>
      </c>
      <c r="C264" s="2">
        <v>25</v>
      </c>
      <c r="D264" s="2">
        <v>5</v>
      </c>
      <c r="E264" s="2">
        <v>1</v>
      </c>
      <c r="F264" s="17">
        <v>16</v>
      </c>
      <c r="H264" s="360">
        <v>1</v>
      </c>
      <c r="I264" s="360">
        <v>-2.4798448221473736E-2</v>
      </c>
      <c r="K264" s="363"/>
      <c r="N264" s="10"/>
      <c r="O264" s="4"/>
      <c r="P264" s="4"/>
      <c r="Q264" s="3"/>
      <c r="R264" s="3"/>
      <c r="S264" s="3"/>
      <c r="T264" s="3"/>
    </row>
    <row r="265" spans="1:20">
      <c r="A265" s="3">
        <v>1</v>
      </c>
      <c r="B265" s="3">
        <v>1</v>
      </c>
      <c r="C265" s="2">
        <v>25</v>
      </c>
      <c r="D265" s="2">
        <v>30</v>
      </c>
      <c r="E265" s="2">
        <v>16</v>
      </c>
      <c r="F265" s="17">
        <v>16</v>
      </c>
      <c r="H265" s="360">
        <v>1</v>
      </c>
      <c r="I265" s="360">
        <v>-3.5677067050373684E-2</v>
      </c>
      <c r="K265" s="363"/>
      <c r="N265" s="10"/>
      <c r="O265" s="4"/>
      <c r="P265" s="4"/>
      <c r="Q265" s="3"/>
      <c r="R265" s="3"/>
      <c r="S265" s="3"/>
      <c r="T265" s="3"/>
    </row>
    <row r="266" spans="1:20">
      <c r="A266" s="3">
        <v>1</v>
      </c>
      <c r="B266" s="3">
        <v>1</v>
      </c>
      <c r="C266" s="2">
        <v>25</v>
      </c>
      <c r="D266" s="2">
        <v>5</v>
      </c>
      <c r="E266" s="2">
        <v>16</v>
      </c>
      <c r="F266" s="17">
        <v>16</v>
      </c>
      <c r="H266" s="360">
        <v>1</v>
      </c>
      <c r="I266" s="360">
        <v>-4.5667445558547091E-2</v>
      </c>
      <c r="K266" s="363"/>
      <c r="N266" s="10"/>
      <c r="O266" s="4"/>
      <c r="P266" s="4"/>
      <c r="Q266" s="3"/>
      <c r="R266" s="3"/>
      <c r="S266" s="3"/>
      <c r="T266" s="3"/>
    </row>
    <row r="267" spans="1:20">
      <c r="A267" s="3">
        <v>1</v>
      </c>
      <c r="B267" s="3">
        <v>2</v>
      </c>
      <c r="C267" s="2">
        <v>25</v>
      </c>
      <c r="D267" s="2">
        <v>5</v>
      </c>
      <c r="E267" s="2">
        <v>16</v>
      </c>
      <c r="F267" s="17">
        <v>16</v>
      </c>
      <c r="H267" s="360">
        <v>1</v>
      </c>
      <c r="I267" s="360">
        <v>-8.0609116832936104E-2</v>
      </c>
      <c r="K267" s="363"/>
      <c r="N267" s="10"/>
      <c r="O267" s="4"/>
      <c r="P267" s="4"/>
      <c r="Q267" s="3"/>
      <c r="R267" s="3"/>
      <c r="S267" s="3"/>
      <c r="T267" s="3"/>
    </row>
    <row r="268" spans="1:20">
      <c r="A268" s="3">
        <v>1</v>
      </c>
      <c r="B268" s="3">
        <v>2</v>
      </c>
      <c r="C268" s="2">
        <v>25</v>
      </c>
      <c r="D268" s="2">
        <v>5</v>
      </c>
      <c r="E268" s="2">
        <v>1</v>
      </c>
      <c r="F268" s="17">
        <v>16</v>
      </c>
      <c r="H268" s="360">
        <v>1</v>
      </c>
      <c r="I268" s="360">
        <v>-8.2627193113573555E-2</v>
      </c>
      <c r="K268" s="363"/>
      <c r="N268" s="10"/>
      <c r="O268" s="4"/>
      <c r="P268" s="4"/>
      <c r="Q268" s="3"/>
      <c r="R268" s="3"/>
      <c r="S268" s="3"/>
      <c r="T268" s="3"/>
    </row>
    <row r="269" spans="1:20">
      <c r="A269" s="3">
        <v>1</v>
      </c>
      <c r="B269" s="3">
        <v>2</v>
      </c>
      <c r="C269" s="2">
        <v>25</v>
      </c>
      <c r="D269" s="2">
        <v>5</v>
      </c>
      <c r="E269" s="2">
        <v>16</v>
      </c>
      <c r="F269" s="17">
        <v>16</v>
      </c>
      <c r="H269" s="361">
        <v>1</v>
      </c>
      <c r="I269" s="361">
        <v>-8.4198385114466492E-2</v>
      </c>
      <c r="K269" s="363"/>
      <c r="N269" s="10"/>
      <c r="O269" s="4"/>
      <c r="P269" s="4"/>
      <c r="Q269" s="3"/>
      <c r="R269" s="3"/>
      <c r="S269" s="3"/>
      <c r="T269" s="3"/>
    </row>
    <row r="270" spans="1:20">
      <c r="A270" s="3">
        <v>1</v>
      </c>
      <c r="B270" s="3">
        <v>2</v>
      </c>
      <c r="C270" s="2">
        <v>25</v>
      </c>
      <c r="D270" s="2">
        <v>30</v>
      </c>
      <c r="E270" s="2">
        <v>16</v>
      </c>
      <c r="F270" s="17">
        <v>16</v>
      </c>
      <c r="H270" s="360">
        <v>1</v>
      </c>
      <c r="I270" s="360">
        <v>-9.0948470617291277E-2</v>
      </c>
      <c r="K270" s="363"/>
      <c r="N270" s="10"/>
      <c r="O270" s="4"/>
      <c r="P270" s="4"/>
      <c r="Q270" s="3"/>
      <c r="R270" s="3"/>
      <c r="S270" s="3"/>
      <c r="T270" s="3"/>
    </row>
    <row r="271" spans="1:20">
      <c r="A271" s="3">
        <v>3</v>
      </c>
      <c r="B271" s="3">
        <v>2</v>
      </c>
      <c r="C271" s="2">
        <v>25</v>
      </c>
      <c r="D271" s="2">
        <v>5</v>
      </c>
      <c r="E271" s="2">
        <v>16</v>
      </c>
      <c r="F271" s="17">
        <v>16</v>
      </c>
      <c r="H271" s="360">
        <v>1</v>
      </c>
      <c r="I271" s="360">
        <v>-0.10034150099290348</v>
      </c>
      <c r="K271" s="363"/>
      <c r="N271" s="10"/>
      <c r="O271" s="4"/>
      <c r="P271" s="4"/>
      <c r="Q271" s="3"/>
      <c r="R271" s="3"/>
      <c r="S271" s="3"/>
      <c r="T271" s="3"/>
    </row>
    <row r="272" spans="1:20">
      <c r="A272" s="3">
        <v>3</v>
      </c>
      <c r="B272" s="3">
        <v>2</v>
      </c>
      <c r="C272" s="2">
        <v>25</v>
      </c>
      <c r="D272" s="2">
        <v>5</v>
      </c>
      <c r="E272" s="2">
        <v>1</v>
      </c>
      <c r="F272" s="17">
        <v>16</v>
      </c>
      <c r="H272" s="361">
        <v>1</v>
      </c>
      <c r="I272" s="361">
        <v>-0.13852007626016055</v>
      </c>
      <c r="K272" s="363"/>
      <c r="N272" s="10"/>
      <c r="O272" s="4"/>
      <c r="P272" s="4"/>
      <c r="Q272" s="3"/>
      <c r="R272" s="3"/>
      <c r="S272" s="3"/>
      <c r="T272" s="3"/>
    </row>
    <row r="273" spans="1:20">
      <c r="A273" s="3">
        <v>5</v>
      </c>
      <c r="B273" s="3">
        <v>2</v>
      </c>
      <c r="C273" s="2">
        <v>50</v>
      </c>
      <c r="D273" s="2">
        <v>5</v>
      </c>
      <c r="E273" s="2">
        <v>16</v>
      </c>
      <c r="F273" s="17">
        <v>16</v>
      </c>
      <c r="H273" s="360">
        <v>1</v>
      </c>
      <c r="I273" s="359">
        <v>-0.41856896718534187</v>
      </c>
      <c r="K273" s="363"/>
      <c r="N273" s="10"/>
      <c r="O273" s="4"/>
      <c r="P273" s="4"/>
      <c r="Q273" s="3"/>
      <c r="R273" s="3"/>
      <c r="S273" s="3"/>
      <c r="T273" s="3"/>
    </row>
    <row r="274" spans="1:20">
      <c r="A274" s="3">
        <v>2</v>
      </c>
      <c r="B274" s="3">
        <v>1</v>
      </c>
      <c r="C274" s="2">
        <v>25</v>
      </c>
      <c r="D274" s="2">
        <v>5</v>
      </c>
      <c r="E274" s="2">
        <v>1</v>
      </c>
      <c r="F274" s="17">
        <v>17</v>
      </c>
      <c r="H274" s="360">
        <v>0.27079102815974243</v>
      </c>
      <c r="I274" s="360">
        <v>0.64865238424326188</v>
      </c>
      <c r="K274" s="363"/>
      <c r="N274" s="10"/>
      <c r="O274" s="4"/>
      <c r="P274" s="4"/>
      <c r="Q274" s="3"/>
      <c r="R274" s="3"/>
      <c r="S274" s="3"/>
      <c r="T274" s="3"/>
    </row>
    <row r="275" spans="1:20">
      <c r="A275" s="3">
        <v>4</v>
      </c>
      <c r="B275" s="3">
        <v>2</v>
      </c>
      <c r="C275" s="2">
        <v>50</v>
      </c>
      <c r="D275" s="2">
        <v>5</v>
      </c>
      <c r="E275" s="2">
        <v>16</v>
      </c>
      <c r="F275" s="17">
        <v>17</v>
      </c>
      <c r="H275" s="360">
        <v>6.9776132388873369E-2</v>
      </c>
      <c r="I275" s="359">
        <v>0.18615199618762615</v>
      </c>
      <c r="K275" s="363"/>
      <c r="N275" s="10"/>
      <c r="O275" s="4"/>
      <c r="P275" s="4"/>
      <c r="Q275" s="3"/>
      <c r="R275" s="3"/>
      <c r="S275" s="3"/>
      <c r="T275" s="3"/>
    </row>
    <row r="276" spans="1:20">
      <c r="A276" s="3">
        <v>1</v>
      </c>
      <c r="B276" s="3">
        <v>2</v>
      </c>
      <c r="C276" s="2">
        <v>25</v>
      </c>
      <c r="D276" s="2">
        <v>5</v>
      </c>
      <c r="E276" s="2">
        <v>16</v>
      </c>
      <c r="F276" s="17">
        <v>17</v>
      </c>
      <c r="H276" s="360">
        <v>1</v>
      </c>
      <c r="I276" s="360">
        <v>0.18413679062648977</v>
      </c>
      <c r="K276" s="363"/>
      <c r="N276" s="10"/>
      <c r="O276" s="4"/>
      <c r="P276" s="4"/>
      <c r="Q276" s="3"/>
      <c r="R276" s="3"/>
      <c r="S276" s="3"/>
      <c r="T276" s="3"/>
    </row>
    <row r="277" spans="1:20">
      <c r="A277" s="3">
        <v>2</v>
      </c>
      <c r="B277" s="3">
        <v>1</v>
      </c>
      <c r="C277" s="2">
        <v>25</v>
      </c>
      <c r="D277" s="2">
        <v>5</v>
      </c>
      <c r="E277" s="2">
        <v>16</v>
      </c>
      <c r="F277" s="17">
        <v>17</v>
      </c>
      <c r="H277" s="361">
        <v>0.50190219702008554</v>
      </c>
      <c r="I277" s="361">
        <v>0.15476120021305556</v>
      </c>
      <c r="K277" s="363"/>
      <c r="N277" s="10"/>
      <c r="O277" s="4"/>
      <c r="P277" s="4"/>
      <c r="Q277" s="3"/>
      <c r="R277" s="3"/>
      <c r="S277" s="3"/>
      <c r="T277" s="3"/>
    </row>
    <row r="278" spans="1:20">
      <c r="A278" s="3">
        <v>3</v>
      </c>
      <c r="B278" s="3">
        <v>1</v>
      </c>
      <c r="C278" s="2">
        <v>25</v>
      </c>
      <c r="D278" s="2">
        <v>5</v>
      </c>
      <c r="E278" s="2">
        <v>16</v>
      </c>
      <c r="F278" s="17">
        <v>17</v>
      </c>
      <c r="H278" s="361">
        <v>1.8096417405632281E-2</v>
      </c>
      <c r="I278" s="361">
        <v>0.13144412423951329</v>
      </c>
      <c r="K278" s="363"/>
      <c r="N278" s="10"/>
      <c r="O278" s="4"/>
      <c r="P278" s="4"/>
      <c r="Q278" s="3"/>
      <c r="R278" s="3"/>
      <c r="S278" s="3"/>
      <c r="T278" s="3"/>
    </row>
    <row r="279" spans="1:20">
      <c r="A279" s="3">
        <v>1</v>
      </c>
      <c r="B279" s="3">
        <v>2</v>
      </c>
      <c r="C279" s="2">
        <v>25</v>
      </c>
      <c r="D279" s="2">
        <v>5</v>
      </c>
      <c r="E279" s="2">
        <v>1</v>
      </c>
      <c r="F279" s="17">
        <v>17</v>
      </c>
      <c r="H279" s="360">
        <v>6.8114148963647203E-2</v>
      </c>
      <c r="I279" s="360">
        <v>0.11631011788894338</v>
      </c>
      <c r="K279" s="363"/>
      <c r="N279" s="10"/>
      <c r="O279" s="4"/>
      <c r="P279" s="4"/>
      <c r="Q279" s="3"/>
      <c r="R279" s="3"/>
      <c r="S279" s="3"/>
      <c r="T279" s="3"/>
    </row>
    <row r="280" spans="1:20">
      <c r="A280" s="3">
        <v>1</v>
      </c>
      <c r="B280" s="3">
        <v>1</v>
      </c>
      <c r="C280" s="2">
        <v>25</v>
      </c>
      <c r="D280" s="2">
        <v>5</v>
      </c>
      <c r="E280" s="2">
        <v>1</v>
      </c>
      <c r="F280" s="17">
        <v>17</v>
      </c>
      <c r="H280" s="360">
        <v>0.21997565674019715</v>
      </c>
      <c r="I280" s="360">
        <v>0.10892849168916842</v>
      </c>
      <c r="K280" s="363"/>
      <c r="N280" s="10"/>
      <c r="O280" s="4"/>
      <c r="P280" s="4"/>
      <c r="Q280" s="3"/>
      <c r="R280" s="3"/>
      <c r="S280" s="3"/>
      <c r="T280" s="3"/>
    </row>
    <row r="281" spans="1:20">
      <c r="A281" s="3">
        <v>1</v>
      </c>
      <c r="B281" s="3">
        <v>1</v>
      </c>
      <c r="C281" s="2">
        <v>25</v>
      </c>
      <c r="D281" s="2">
        <v>30</v>
      </c>
      <c r="E281" s="2">
        <v>16</v>
      </c>
      <c r="F281" s="17">
        <v>17</v>
      </c>
      <c r="H281" s="360">
        <v>0.44985502274085465</v>
      </c>
      <c r="I281" s="360">
        <v>9.1965335784828003E-2</v>
      </c>
      <c r="K281" s="363"/>
      <c r="N281" s="10"/>
      <c r="O281" s="4"/>
      <c r="P281" s="4"/>
      <c r="Q281" s="3"/>
      <c r="R281" s="3"/>
      <c r="S281" s="3"/>
      <c r="T281" s="3"/>
    </row>
    <row r="282" spans="1:20">
      <c r="A282" s="3">
        <v>3</v>
      </c>
      <c r="B282" s="3">
        <v>2</v>
      </c>
      <c r="C282" s="2">
        <v>25</v>
      </c>
      <c r="D282" s="2">
        <v>5</v>
      </c>
      <c r="E282" s="2">
        <v>1</v>
      </c>
      <c r="F282" s="17">
        <v>17</v>
      </c>
      <c r="H282" s="361">
        <v>0.10750920503908201</v>
      </c>
      <c r="I282" s="361">
        <v>6.9057436445612061E-2</v>
      </c>
      <c r="K282" s="363"/>
      <c r="N282" s="10"/>
      <c r="O282" s="4"/>
      <c r="P282" s="4"/>
      <c r="Q282" s="3"/>
      <c r="R282" s="3"/>
      <c r="S282" s="3"/>
      <c r="T282" s="3"/>
    </row>
    <row r="283" spans="1:20">
      <c r="A283" s="3">
        <v>1</v>
      </c>
      <c r="B283" s="3">
        <v>1</v>
      </c>
      <c r="C283" s="2">
        <v>25</v>
      </c>
      <c r="D283" s="2">
        <v>5</v>
      </c>
      <c r="E283" s="2">
        <v>16</v>
      </c>
      <c r="F283" s="17">
        <v>17</v>
      </c>
      <c r="H283" s="360">
        <v>0.22378480434045211</v>
      </c>
      <c r="I283" s="360">
        <v>5.2316210471140094E-2</v>
      </c>
      <c r="K283" s="363"/>
      <c r="N283" s="10"/>
      <c r="O283" s="4"/>
      <c r="P283" s="4"/>
      <c r="Q283" s="3"/>
      <c r="R283" s="3"/>
      <c r="S283" s="3"/>
      <c r="T283" s="3"/>
    </row>
    <row r="284" spans="1:20">
      <c r="A284" s="3">
        <v>1</v>
      </c>
      <c r="B284" s="3">
        <v>2</v>
      </c>
      <c r="C284" s="2">
        <v>25</v>
      </c>
      <c r="D284" s="2">
        <v>5</v>
      </c>
      <c r="E284" s="2">
        <v>16</v>
      </c>
      <c r="F284" s="17">
        <v>17</v>
      </c>
      <c r="H284" s="361">
        <v>0.45864952923254954</v>
      </c>
      <c r="I284" s="361">
        <v>4.9234905347331277E-2</v>
      </c>
      <c r="K284" s="363"/>
      <c r="N284" s="10"/>
      <c r="O284" s="4"/>
      <c r="P284" s="4"/>
      <c r="Q284" s="3"/>
      <c r="R284" s="3"/>
      <c r="S284" s="3"/>
      <c r="T284" s="3"/>
    </row>
    <row r="285" spans="1:20">
      <c r="A285" s="3">
        <v>1</v>
      </c>
      <c r="B285" s="3">
        <v>2</v>
      </c>
      <c r="C285" s="2">
        <v>25</v>
      </c>
      <c r="D285" s="2">
        <v>30</v>
      </c>
      <c r="E285" s="2">
        <v>16</v>
      </c>
      <c r="F285" s="17">
        <v>17</v>
      </c>
      <c r="H285" s="360">
        <v>0.96688699656366295</v>
      </c>
      <c r="I285" s="360">
        <v>9.7652656594049512E-3</v>
      </c>
      <c r="K285" s="363"/>
      <c r="N285" s="10"/>
      <c r="O285" s="4"/>
      <c r="P285" s="4"/>
      <c r="Q285" s="3"/>
      <c r="R285" s="3"/>
      <c r="S285" s="3"/>
      <c r="T285" s="3"/>
    </row>
    <row r="286" spans="1:20">
      <c r="A286" s="3">
        <v>2</v>
      </c>
      <c r="B286" s="3">
        <v>2</v>
      </c>
      <c r="C286" s="2">
        <v>25</v>
      </c>
      <c r="D286" s="2">
        <v>5</v>
      </c>
      <c r="E286" s="2">
        <v>1</v>
      </c>
      <c r="F286" s="17">
        <v>17</v>
      </c>
      <c r="H286" s="361">
        <v>0</v>
      </c>
      <c r="I286" s="361">
        <v>0</v>
      </c>
      <c r="K286" s="363"/>
      <c r="N286" s="10"/>
      <c r="O286" s="4"/>
      <c r="P286" s="4"/>
      <c r="Q286" s="3"/>
      <c r="R286" s="3"/>
      <c r="S286" s="3"/>
      <c r="T286" s="3"/>
    </row>
    <row r="287" spans="1:20">
      <c r="A287" s="3">
        <v>3</v>
      </c>
      <c r="B287" s="3">
        <v>1</v>
      </c>
      <c r="C287" s="2">
        <v>25</v>
      </c>
      <c r="D287" s="2">
        <v>5</v>
      </c>
      <c r="E287" s="2">
        <v>1</v>
      </c>
      <c r="F287" s="17">
        <v>17</v>
      </c>
      <c r="H287" s="360">
        <v>0</v>
      </c>
      <c r="I287" s="360">
        <v>0</v>
      </c>
      <c r="K287" s="363"/>
      <c r="N287" s="10"/>
      <c r="O287" s="4"/>
      <c r="P287" s="4"/>
      <c r="Q287" s="3"/>
      <c r="R287" s="3"/>
      <c r="S287" s="3"/>
      <c r="T287" s="3"/>
    </row>
    <row r="288" spans="1:20">
      <c r="A288" s="3">
        <v>3</v>
      </c>
      <c r="B288" s="3">
        <v>2</v>
      </c>
      <c r="C288" s="2">
        <v>25</v>
      </c>
      <c r="D288" s="2">
        <v>5</v>
      </c>
      <c r="E288" s="2">
        <v>16</v>
      </c>
      <c r="F288" s="17">
        <v>17</v>
      </c>
      <c r="H288" s="360">
        <v>1</v>
      </c>
      <c r="I288" s="360">
        <v>-1.0444824821381113E-2</v>
      </c>
      <c r="K288" s="363"/>
      <c r="N288" s="10"/>
      <c r="O288" s="4"/>
      <c r="P288" s="4"/>
      <c r="Q288" s="3"/>
      <c r="R288" s="3"/>
      <c r="S288" s="3"/>
      <c r="T288" s="3"/>
    </row>
    <row r="289" spans="1:20">
      <c r="A289" s="3">
        <v>2</v>
      </c>
      <c r="B289" s="3">
        <v>2</v>
      </c>
      <c r="C289" s="2">
        <v>25</v>
      </c>
      <c r="D289" s="2">
        <v>5</v>
      </c>
      <c r="E289" s="2">
        <v>16</v>
      </c>
      <c r="F289" s="17">
        <v>17</v>
      </c>
      <c r="H289" s="361">
        <v>0.53767933361524456</v>
      </c>
      <c r="I289" s="361">
        <v>-6.0615438435973681E-2</v>
      </c>
      <c r="K289" s="363"/>
      <c r="N289" s="10"/>
      <c r="O289" s="4"/>
      <c r="P289" s="4"/>
      <c r="Q289" s="3"/>
      <c r="R289" s="3"/>
      <c r="S289" s="3"/>
      <c r="T289" s="3"/>
    </row>
    <row r="290" spans="1:20">
      <c r="A290" s="3">
        <v>5</v>
      </c>
      <c r="B290" s="3">
        <v>2</v>
      </c>
      <c r="C290" s="2">
        <v>50</v>
      </c>
      <c r="D290" s="2">
        <v>5</v>
      </c>
      <c r="E290" s="2">
        <v>16</v>
      </c>
      <c r="F290" s="17">
        <v>17</v>
      </c>
      <c r="H290" s="360">
        <v>0.84268701153703018</v>
      </c>
      <c r="I290" s="359">
        <v>-6.8337451410179856E-2</v>
      </c>
      <c r="K290" s="363"/>
      <c r="N290" s="10"/>
      <c r="O290" s="4"/>
      <c r="P290" s="4"/>
      <c r="Q290" s="3"/>
      <c r="R290" s="3"/>
      <c r="S290" s="3"/>
      <c r="T290" s="3"/>
    </row>
    <row r="291" spans="1:20">
      <c r="A291" s="3">
        <v>4</v>
      </c>
      <c r="B291" s="3">
        <v>2</v>
      </c>
      <c r="C291" s="2">
        <v>50</v>
      </c>
      <c r="D291" s="2">
        <v>5</v>
      </c>
      <c r="E291" s="2">
        <v>16</v>
      </c>
      <c r="F291" s="17">
        <v>18</v>
      </c>
      <c r="H291" s="360">
        <v>1</v>
      </c>
      <c r="I291" s="359">
        <v>0.9151881125750837</v>
      </c>
      <c r="K291" s="363"/>
      <c r="N291" s="10"/>
      <c r="O291" s="4"/>
      <c r="P291" s="4"/>
      <c r="Q291" s="3"/>
      <c r="R291" s="3"/>
      <c r="S291" s="3"/>
      <c r="T291" s="3"/>
    </row>
    <row r="292" spans="1:20">
      <c r="A292" s="3">
        <v>1</v>
      </c>
      <c r="B292" s="3">
        <v>2</v>
      </c>
      <c r="C292" s="2">
        <v>25</v>
      </c>
      <c r="D292" s="2">
        <v>5</v>
      </c>
      <c r="E292" s="2">
        <v>16</v>
      </c>
      <c r="F292" s="17">
        <v>18</v>
      </c>
      <c r="H292" s="361">
        <v>1</v>
      </c>
      <c r="I292" s="361">
        <v>0.32420900675985626</v>
      </c>
      <c r="K292" s="363"/>
      <c r="N292" s="10"/>
      <c r="O292" s="4"/>
      <c r="P292" s="4"/>
      <c r="Q292" s="3"/>
      <c r="R292" s="3"/>
      <c r="S292" s="3"/>
      <c r="T292" s="3"/>
    </row>
    <row r="293" spans="1:20">
      <c r="A293" s="3">
        <v>1</v>
      </c>
      <c r="B293" s="3">
        <v>2</v>
      </c>
      <c r="C293" s="2">
        <v>25</v>
      </c>
      <c r="D293" s="2">
        <v>30</v>
      </c>
      <c r="E293" s="2">
        <v>16</v>
      </c>
      <c r="F293" s="17">
        <v>18</v>
      </c>
      <c r="H293" s="360">
        <v>1</v>
      </c>
      <c r="I293" s="360">
        <v>0.32069308070111657</v>
      </c>
      <c r="K293" s="363"/>
      <c r="N293" s="10"/>
      <c r="O293" s="4"/>
      <c r="P293" s="4"/>
      <c r="Q293" s="3"/>
      <c r="R293" s="3"/>
      <c r="S293" s="3"/>
      <c r="T293" s="3"/>
    </row>
    <row r="294" spans="1:20">
      <c r="A294" s="3">
        <v>1</v>
      </c>
      <c r="B294" s="3">
        <v>2</v>
      </c>
      <c r="C294" s="2">
        <v>25</v>
      </c>
      <c r="D294" s="2">
        <v>5</v>
      </c>
      <c r="E294" s="2">
        <v>16</v>
      </c>
      <c r="F294" s="17">
        <v>18</v>
      </c>
      <c r="H294" s="360">
        <v>1</v>
      </c>
      <c r="I294" s="360">
        <v>0.30669953562532754</v>
      </c>
      <c r="K294" s="363"/>
      <c r="N294" s="10"/>
      <c r="O294" s="4"/>
      <c r="P294" s="4"/>
      <c r="Q294" s="3"/>
      <c r="R294" s="3"/>
      <c r="S294" s="3"/>
      <c r="T294" s="3"/>
    </row>
    <row r="295" spans="1:20">
      <c r="A295" s="3">
        <v>1</v>
      </c>
      <c r="B295" s="3">
        <v>2</v>
      </c>
      <c r="C295" s="2">
        <v>25</v>
      </c>
      <c r="D295" s="2">
        <v>5</v>
      </c>
      <c r="E295" s="2">
        <v>1</v>
      </c>
      <c r="F295" s="17">
        <v>18</v>
      </c>
      <c r="H295" s="360">
        <v>1</v>
      </c>
      <c r="I295" s="360">
        <v>0.30469526990658025</v>
      </c>
      <c r="K295" s="363"/>
      <c r="N295" s="10"/>
      <c r="O295" s="4"/>
      <c r="P295" s="4"/>
      <c r="Q295" s="3"/>
      <c r="R295" s="3"/>
      <c r="S295" s="3"/>
      <c r="T295" s="3"/>
    </row>
    <row r="296" spans="1:20">
      <c r="A296" s="3">
        <v>1</v>
      </c>
      <c r="B296" s="3">
        <v>1</v>
      </c>
      <c r="C296" s="2">
        <v>25</v>
      </c>
      <c r="D296" s="2">
        <v>5</v>
      </c>
      <c r="E296" s="2">
        <v>1</v>
      </c>
      <c r="F296" s="17">
        <v>18</v>
      </c>
      <c r="H296" s="360">
        <v>1</v>
      </c>
      <c r="I296" s="360">
        <v>0.23091729932532568</v>
      </c>
      <c r="K296" s="363"/>
      <c r="N296" s="10"/>
      <c r="O296" s="4"/>
      <c r="P296" s="4"/>
      <c r="Q296" s="3"/>
      <c r="R296" s="3"/>
      <c r="S296" s="3"/>
      <c r="T296" s="3"/>
    </row>
    <row r="297" spans="1:20">
      <c r="A297" s="3">
        <v>1</v>
      </c>
      <c r="B297" s="3">
        <v>1</v>
      </c>
      <c r="C297" s="2">
        <v>25</v>
      </c>
      <c r="D297" s="2">
        <v>30</v>
      </c>
      <c r="E297" s="2">
        <v>16</v>
      </c>
      <c r="F297" s="17">
        <v>18</v>
      </c>
      <c r="H297" s="360">
        <v>1</v>
      </c>
      <c r="I297" s="360">
        <v>0.21021005975223503</v>
      </c>
      <c r="K297" s="363"/>
      <c r="N297" s="10"/>
      <c r="O297" s="4"/>
      <c r="P297" s="4"/>
      <c r="Q297" s="3"/>
      <c r="R297" s="3"/>
      <c r="S297" s="3"/>
      <c r="T297" s="3"/>
    </row>
    <row r="298" spans="1:20">
      <c r="A298" s="3">
        <v>1</v>
      </c>
      <c r="B298" s="3">
        <v>1</v>
      </c>
      <c r="C298" s="2">
        <v>25</v>
      </c>
      <c r="D298" s="2">
        <v>5</v>
      </c>
      <c r="E298" s="2">
        <v>16</v>
      </c>
      <c r="F298" s="17">
        <v>18</v>
      </c>
      <c r="H298" s="360">
        <v>1</v>
      </c>
      <c r="I298" s="360">
        <v>0.19292848964675816</v>
      </c>
      <c r="K298" s="363"/>
      <c r="N298" s="10"/>
      <c r="O298" s="4"/>
      <c r="P298" s="4"/>
      <c r="Q298" s="3"/>
      <c r="R298" s="3"/>
      <c r="S298" s="3"/>
      <c r="T298" s="3"/>
    </row>
    <row r="299" spans="1:20">
      <c r="A299" s="3">
        <v>3</v>
      </c>
      <c r="B299" s="3">
        <v>1</v>
      </c>
      <c r="C299" s="2">
        <v>25</v>
      </c>
      <c r="D299" s="2">
        <v>5</v>
      </c>
      <c r="E299" s="2">
        <v>1</v>
      </c>
      <c r="F299" s="17">
        <v>18</v>
      </c>
      <c r="H299" s="360">
        <v>1</v>
      </c>
      <c r="I299" s="360">
        <v>-8.4151362450630152E-2</v>
      </c>
      <c r="K299" s="363"/>
      <c r="N299" s="10"/>
      <c r="O299" s="4"/>
      <c r="P299" s="4"/>
      <c r="Q299" s="3"/>
      <c r="R299" s="3"/>
      <c r="S299" s="3"/>
      <c r="T299" s="3"/>
    </row>
    <row r="300" spans="1:20">
      <c r="A300" s="3">
        <v>3</v>
      </c>
      <c r="B300" s="3">
        <v>1</v>
      </c>
      <c r="C300" s="2">
        <v>25</v>
      </c>
      <c r="D300" s="2">
        <v>5</v>
      </c>
      <c r="E300" s="2">
        <v>16</v>
      </c>
      <c r="F300" s="17">
        <v>18</v>
      </c>
      <c r="H300" s="361">
        <v>1</v>
      </c>
      <c r="I300" s="361">
        <v>-0.13752001661630406</v>
      </c>
      <c r="K300" s="363"/>
      <c r="N300" s="10"/>
      <c r="O300" s="4"/>
      <c r="P300" s="4"/>
      <c r="Q300" s="3"/>
      <c r="R300" s="3"/>
      <c r="S300" s="3"/>
      <c r="T300" s="3"/>
    </row>
    <row r="301" spans="1:20">
      <c r="A301" s="3">
        <v>3</v>
      </c>
      <c r="B301" s="3">
        <v>2</v>
      </c>
      <c r="C301" s="2">
        <v>25</v>
      </c>
      <c r="D301" s="2">
        <v>5</v>
      </c>
      <c r="E301" s="2">
        <v>16</v>
      </c>
      <c r="F301" s="17">
        <v>18</v>
      </c>
      <c r="H301" s="360">
        <v>1</v>
      </c>
      <c r="I301" s="360">
        <v>-0.17681958502010059</v>
      </c>
      <c r="K301" s="363"/>
      <c r="N301" s="10"/>
      <c r="O301" s="4"/>
      <c r="P301" s="4"/>
      <c r="Q301" s="3"/>
      <c r="R301" s="3"/>
      <c r="S301" s="3"/>
      <c r="T301" s="3"/>
    </row>
    <row r="302" spans="1:20">
      <c r="A302" s="3">
        <v>3</v>
      </c>
      <c r="B302" s="3">
        <v>2</v>
      </c>
      <c r="C302" s="2">
        <v>25</v>
      </c>
      <c r="D302" s="2">
        <v>5</v>
      </c>
      <c r="E302" s="2">
        <v>1</v>
      </c>
      <c r="F302" s="17">
        <v>18</v>
      </c>
      <c r="H302" s="361">
        <v>1</v>
      </c>
      <c r="I302" s="361">
        <v>-0.29388769845392143</v>
      </c>
      <c r="K302" s="363"/>
      <c r="N302" s="10"/>
      <c r="O302" s="4"/>
      <c r="P302" s="4"/>
      <c r="Q302" s="3"/>
      <c r="R302" s="3"/>
      <c r="S302" s="3"/>
      <c r="T302" s="3"/>
    </row>
    <row r="303" spans="1:20">
      <c r="A303" s="3">
        <v>2</v>
      </c>
      <c r="B303" s="3">
        <v>1</v>
      </c>
      <c r="C303" s="2">
        <v>25</v>
      </c>
      <c r="D303" s="2">
        <v>5</v>
      </c>
      <c r="E303" s="2">
        <v>16</v>
      </c>
      <c r="F303" s="17">
        <v>18</v>
      </c>
      <c r="H303" s="361">
        <v>1</v>
      </c>
      <c r="I303" s="361">
        <v>-0.31113922825357976</v>
      </c>
      <c r="K303" s="363"/>
      <c r="N303" s="10"/>
      <c r="O303" s="4"/>
      <c r="P303" s="4"/>
      <c r="Q303" s="3"/>
      <c r="R303" s="3"/>
      <c r="S303" s="3"/>
      <c r="T303" s="3"/>
    </row>
    <row r="304" spans="1:20">
      <c r="A304" s="3">
        <v>2</v>
      </c>
      <c r="B304" s="3">
        <v>1</v>
      </c>
      <c r="C304" s="2">
        <v>25</v>
      </c>
      <c r="D304" s="2">
        <v>5</v>
      </c>
      <c r="E304" s="2">
        <v>1</v>
      </c>
      <c r="F304" s="17">
        <v>18</v>
      </c>
      <c r="H304" s="360">
        <v>1</v>
      </c>
      <c r="I304" s="360">
        <v>-0.32517347151493492</v>
      </c>
      <c r="K304" s="363"/>
      <c r="N304" s="10"/>
      <c r="O304" s="4"/>
      <c r="P304" s="4"/>
      <c r="Q304" s="3"/>
      <c r="R304" s="3"/>
      <c r="S304" s="3"/>
      <c r="T304" s="3"/>
    </row>
    <row r="305" spans="1:20">
      <c r="A305" s="3">
        <v>2</v>
      </c>
      <c r="B305" s="3">
        <v>2</v>
      </c>
      <c r="C305" s="2">
        <v>25</v>
      </c>
      <c r="D305" s="2">
        <v>5</v>
      </c>
      <c r="E305" s="2">
        <v>1</v>
      </c>
      <c r="F305" s="17">
        <v>18</v>
      </c>
      <c r="H305" s="361">
        <v>0.45069577894023016</v>
      </c>
      <c r="I305" s="361">
        <v>-0.37981458441503307</v>
      </c>
      <c r="K305" s="363"/>
      <c r="N305" s="10"/>
      <c r="O305" s="4"/>
      <c r="P305" s="4"/>
      <c r="Q305" s="3"/>
      <c r="R305" s="3"/>
      <c r="S305" s="3"/>
      <c r="T305" s="3"/>
    </row>
    <row r="306" spans="1:20">
      <c r="A306" s="3">
        <v>2</v>
      </c>
      <c r="B306" s="3">
        <v>2</v>
      </c>
      <c r="C306" s="2">
        <v>25</v>
      </c>
      <c r="D306" s="2">
        <v>5</v>
      </c>
      <c r="E306" s="2">
        <v>16</v>
      </c>
      <c r="F306" s="17">
        <v>18</v>
      </c>
      <c r="H306" s="361">
        <v>1</v>
      </c>
      <c r="I306" s="361">
        <v>-0.52621527132327328</v>
      </c>
      <c r="K306" s="363"/>
      <c r="N306" s="10"/>
      <c r="O306" s="4"/>
      <c r="P306" s="4"/>
      <c r="Q306" s="3"/>
      <c r="R306" s="3"/>
      <c r="S306" s="3"/>
      <c r="T306" s="3"/>
    </row>
    <row r="307" spans="1:20">
      <c r="A307" s="3">
        <v>5</v>
      </c>
      <c r="B307" s="3">
        <v>2</v>
      </c>
      <c r="C307" s="2">
        <v>50</v>
      </c>
      <c r="D307" s="2">
        <v>5</v>
      </c>
      <c r="E307" s="2">
        <v>16</v>
      </c>
      <c r="F307" s="17">
        <v>18</v>
      </c>
      <c r="H307" s="360">
        <v>1</v>
      </c>
      <c r="I307" s="359">
        <v>-0.89873806530650047</v>
      </c>
      <c r="K307" s="363"/>
      <c r="N307" s="10"/>
      <c r="O307" s="4"/>
      <c r="P307" s="4"/>
      <c r="Q307" s="3"/>
      <c r="R307" s="3"/>
      <c r="S307" s="3"/>
      <c r="T307" s="3"/>
    </row>
    <row r="308" spans="1:20">
      <c r="A308" s="3">
        <v>2</v>
      </c>
      <c r="B308" s="3">
        <v>2</v>
      </c>
      <c r="C308" s="2">
        <v>25</v>
      </c>
      <c r="D308" s="2">
        <v>5</v>
      </c>
      <c r="E308" s="2">
        <v>1</v>
      </c>
      <c r="F308" s="17">
        <v>19</v>
      </c>
      <c r="H308" s="361">
        <v>0</v>
      </c>
      <c r="I308" s="361">
        <v>0</v>
      </c>
      <c r="K308" s="363"/>
      <c r="N308" s="10"/>
      <c r="O308" s="4"/>
      <c r="P308" s="4"/>
      <c r="Q308" s="3"/>
      <c r="R308" s="3"/>
      <c r="S308" s="3"/>
      <c r="T308" s="3"/>
    </row>
    <row r="309" spans="1:20">
      <c r="A309" s="3">
        <v>4</v>
      </c>
      <c r="B309" s="3">
        <v>2</v>
      </c>
      <c r="C309" s="2">
        <v>50</v>
      </c>
      <c r="D309" s="2">
        <v>5</v>
      </c>
      <c r="E309" s="2">
        <v>16</v>
      </c>
      <c r="F309" s="17">
        <v>19</v>
      </c>
      <c r="H309" s="360">
        <v>1</v>
      </c>
      <c r="I309" s="359">
        <v>-0.18550446485434344</v>
      </c>
      <c r="K309" s="363"/>
      <c r="N309" s="10"/>
      <c r="O309" s="4"/>
      <c r="P309" s="4"/>
      <c r="Q309" s="3"/>
      <c r="R309" s="3"/>
      <c r="S309" s="3"/>
      <c r="T309" s="3"/>
    </row>
    <row r="310" spans="1:20">
      <c r="A310" s="3">
        <v>1</v>
      </c>
      <c r="B310" s="3">
        <v>2</v>
      </c>
      <c r="C310" s="2">
        <v>25</v>
      </c>
      <c r="D310" s="2">
        <v>30</v>
      </c>
      <c r="E310" s="2">
        <v>16</v>
      </c>
      <c r="F310" s="17">
        <v>19</v>
      </c>
      <c r="H310" s="360">
        <v>1</v>
      </c>
      <c r="I310" s="360">
        <v>-0.34552046244686691</v>
      </c>
      <c r="K310" s="363"/>
      <c r="N310" s="10"/>
      <c r="O310" s="4"/>
      <c r="P310" s="4"/>
      <c r="Q310" s="3"/>
      <c r="R310" s="3"/>
      <c r="S310" s="3"/>
      <c r="T310" s="3"/>
    </row>
    <row r="311" spans="1:20">
      <c r="A311" s="3">
        <v>1</v>
      </c>
      <c r="B311" s="3">
        <v>2</v>
      </c>
      <c r="C311" s="2">
        <v>25</v>
      </c>
      <c r="D311" s="2">
        <v>5</v>
      </c>
      <c r="E311" s="2">
        <v>16</v>
      </c>
      <c r="F311" s="17">
        <v>19</v>
      </c>
      <c r="H311" s="361">
        <v>1</v>
      </c>
      <c r="I311" s="361">
        <v>-0.39237620865935668</v>
      </c>
      <c r="K311" s="363"/>
      <c r="N311" s="10"/>
      <c r="O311" s="4"/>
      <c r="P311" s="4"/>
      <c r="Q311" s="3"/>
      <c r="R311" s="3"/>
      <c r="S311" s="3"/>
      <c r="T311" s="3"/>
    </row>
    <row r="312" spans="1:20">
      <c r="A312" s="3">
        <v>2</v>
      </c>
      <c r="B312" s="3">
        <v>2</v>
      </c>
      <c r="C312" s="2">
        <v>25</v>
      </c>
      <c r="D312" s="2">
        <v>5</v>
      </c>
      <c r="E312" s="2">
        <v>16</v>
      </c>
      <c r="F312" s="17">
        <v>19</v>
      </c>
      <c r="H312" s="361">
        <v>0.84598506328280565</v>
      </c>
      <c r="I312" s="361">
        <v>-0.39554226796220704</v>
      </c>
      <c r="K312" s="363"/>
      <c r="N312" s="10"/>
      <c r="O312" s="4"/>
      <c r="P312" s="4"/>
      <c r="Q312" s="3"/>
      <c r="R312" s="3"/>
      <c r="S312" s="3"/>
      <c r="T312" s="3"/>
    </row>
    <row r="313" spans="1:20">
      <c r="A313" s="3">
        <v>2</v>
      </c>
      <c r="B313" s="3">
        <v>1</v>
      </c>
      <c r="C313" s="2">
        <v>25</v>
      </c>
      <c r="D313" s="2">
        <v>5</v>
      </c>
      <c r="E313" s="2">
        <v>16</v>
      </c>
      <c r="F313" s="17">
        <v>19</v>
      </c>
      <c r="H313" s="361">
        <v>0.98039020867103488</v>
      </c>
      <c r="I313" s="361">
        <v>-0.42208296118423944</v>
      </c>
      <c r="K313" s="363"/>
      <c r="N313" s="10"/>
      <c r="O313" s="4"/>
      <c r="P313" s="4"/>
      <c r="Q313" s="3"/>
      <c r="R313" s="3"/>
      <c r="S313" s="3"/>
      <c r="T313" s="3"/>
    </row>
    <row r="314" spans="1:20">
      <c r="A314" s="3">
        <v>5</v>
      </c>
      <c r="B314" s="3">
        <v>2</v>
      </c>
      <c r="C314" s="2">
        <v>50</v>
      </c>
      <c r="D314" s="2">
        <v>5</v>
      </c>
      <c r="E314" s="2">
        <v>16</v>
      </c>
      <c r="F314" s="17">
        <v>19</v>
      </c>
      <c r="H314" s="360">
        <v>1</v>
      </c>
      <c r="I314" s="359">
        <v>-0.49249891031315568</v>
      </c>
      <c r="K314" s="363"/>
      <c r="N314" s="10"/>
      <c r="O314" s="4"/>
      <c r="P314" s="4"/>
      <c r="Q314" s="3"/>
      <c r="R314" s="3"/>
      <c r="S314" s="3"/>
      <c r="T314" s="3"/>
    </row>
    <row r="315" spans="1:20">
      <c r="A315" s="3">
        <v>3</v>
      </c>
      <c r="B315" s="3">
        <v>2</v>
      </c>
      <c r="C315" s="2">
        <v>25</v>
      </c>
      <c r="D315" s="2">
        <v>5</v>
      </c>
      <c r="E315" s="2">
        <v>16</v>
      </c>
      <c r="F315" s="17">
        <v>19</v>
      </c>
      <c r="H315" s="360">
        <v>0.88579447184930726</v>
      </c>
      <c r="I315" s="360">
        <v>-0.50256918119018434</v>
      </c>
      <c r="K315" s="363"/>
      <c r="N315" s="10"/>
      <c r="O315" s="4"/>
      <c r="P315" s="4"/>
      <c r="Q315" s="3"/>
      <c r="R315" s="3"/>
      <c r="S315" s="3"/>
      <c r="T315" s="3"/>
    </row>
    <row r="316" spans="1:20">
      <c r="A316" s="3">
        <v>1</v>
      </c>
      <c r="B316" s="3">
        <v>2</v>
      </c>
      <c r="C316" s="2">
        <v>25</v>
      </c>
      <c r="D316" s="2">
        <v>5</v>
      </c>
      <c r="E316" s="2">
        <v>1</v>
      </c>
      <c r="F316" s="17">
        <v>19</v>
      </c>
      <c r="H316" s="360">
        <v>1</v>
      </c>
      <c r="I316" s="360">
        <v>-0.50284405682608369</v>
      </c>
      <c r="K316" s="363"/>
      <c r="N316" s="10"/>
      <c r="O316" s="4"/>
      <c r="P316" s="4"/>
      <c r="Q316" s="3"/>
      <c r="R316" s="3"/>
      <c r="S316" s="3"/>
      <c r="T316" s="3"/>
    </row>
    <row r="317" spans="1:20">
      <c r="A317" s="3">
        <v>1</v>
      </c>
      <c r="B317" s="3">
        <v>2</v>
      </c>
      <c r="C317" s="2">
        <v>25</v>
      </c>
      <c r="D317" s="2">
        <v>5</v>
      </c>
      <c r="E317" s="2">
        <v>16</v>
      </c>
      <c r="F317" s="17">
        <v>19</v>
      </c>
      <c r="H317" s="360">
        <v>1</v>
      </c>
      <c r="I317" s="360">
        <v>-0.52392884734128553</v>
      </c>
      <c r="K317" s="363"/>
      <c r="N317" s="10"/>
      <c r="O317" s="4"/>
      <c r="P317" s="4"/>
      <c r="Q317" s="3"/>
      <c r="R317" s="3"/>
      <c r="S317" s="3"/>
      <c r="T317" s="3"/>
    </row>
    <row r="318" spans="1:20">
      <c r="A318" s="3">
        <v>1</v>
      </c>
      <c r="B318" s="3">
        <v>1</v>
      </c>
      <c r="C318" s="2">
        <v>25</v>
      </c>
      <c r="D318" s="2">
        <v>5</v>
      </c>
      <c r="E318" s="2">
        <v>16</v>
      </c>
      <c r="F318" s="17">
        <v>19</v>
      </c>
      <c r="H318" s="360">
        <v>1</v>
      </c>
      <c r="I318" s="360">
        <v>-0.52959592352238127</v>
      </c>
      <c r="K318" s="363"/>
      <c r="N318" s="10"/>
      <c r="O318" s="4"/>
      <c r="P318" s="4"/>
      <c r="Q318" s="3"/>
      <c r="R318" s="3"/>
      <c r="S318" s="3"/>
      <c r="T318" s="3"/>
    </row>
    <row r="319" spans="1:20">
      <c r="A319" s="3">
        <v>1</v>
      </c>
      <c r="B319" s="3">
        <v>1</v>
      </c>
      <c r="C319" s="2">
        <v>25</v>
      </c>
      <c r="D319" s="2">
        <v>5</v>
      </c>
      <c r="E319" s="2">
        <v>1</v>
      </c>
      <c r="F319" s="17">
        <v>19</v>
      </c>
      <c r="H319" s="360">
        <v>1</v>
      </c>
      <c r="I319" s="360">
        <v>-0.52986997132183333</v>
      </c>
      <c r="K319" s="363"/>
      <c r="N319" s="10"/>
      <c r="O319" s="4"/>
      <c r="P319" s="4"/>
      <c r="Q319" s="3"/>
      <c r="R319" s="3"/>
      <c r="S319" s="3"/>
      <c r="T319" s="3"/>
    </row>
    <row r="320" spans="1:20">
      <c r="A320" s="3">
        <v>1</v>
      </c>
      <c r="B320" s="3">
        <v>1</v>
      </c>
      <c r="C320" s="2">
        <v>25</v>
      </c>
      <c r="D320" s="2">
        <v>30</v>
      </c>
      <c r="E320" s="2">
        <v>16</v>
      </c>
      <c r="F320" s="17">
        <v>19</v>
      </c>
      <c r="H320" s="360">
        <v>1</v>
      </c>
      <c r="I320" s="360">
        <v>-0.53302776654147022</v>
      </c>
      <c r="K320" s="363"/>
      <c r="N320" s="10"/>
      <c r="O320" s="4"/>
      <c r="P320" s="4"/>
      <c r="Q320" s="3"/>
      <c r="R320" s="3"/>
      <c r="S320" s="3"/>
      <c r="T320" s="3"/>
    </row>
    <row r="321" spans="1:20">
      <c r="A321" s="3">
        <v>3</v>
      </c>
      <c r="B321" s="3">
        <v>1</v>
      </c>
      <c r="C321" s="2">
        <v>25</v>
      </c>
      <c r="D321" s="2">
        <v>5</v>
      </c>
      <c r="E321" s="2">
        <v>16</v>
      </c>
      <c r="F321" s="17">
        <v>19</v>
      </c>
      <c r="H321" s="361">
        <v>0.594357247989582</v>
      </c>
      <c r="I321" s="361">
        <v>-0.54579903550901854</v>
      </c>
      <c r="K321" s="363"/>
      <c r="N321" s="10"/>
      <c r="O321" s="4"/>
      <c r="P321" s="4"/>
      <c r="Q321" s="3"/>
      <c r="R321" s="3"/>
      <c r="S321" s="3"/>
      <c r="T321" s="3"/>
    </row>
    <row r="322" spans="1:20">
      <c r="A322" s="3">
        <v>3</v>
      </c>
      <c r="B322" s="3">
        <v>2</v>
      </c>
      <c r="C322" s="2">
        <v>25</v>
      </c>
      <c r="D322" s="2">
        <v>5</v>
      </c>
      <c r="E322" s="2">
        <v>1</v>
      </c>
      <c r="F322" s="17">
        <v>19</v>
      </c>
      <c r="H322" s="361">
        <v>0.25651515217354448</v>
      </c>
      <c r="I322" s="361">
        <v>-0.58408141154620019</v>
      </c>
      <c r="K322" s="363"/>
      <c r="N322" s="10"/>
      <c r="O322" s="4"/>
      <c r="P322" s="4"/>
      <c r="Q322" s="3"/>
      <c r="R322" s="3"/>
      <c r="S322" s="3"/>
      <c r="T322" s="3"/>
    </row>
    <row r="323" spans="1:20">
      <c r="A323" s="3">
        <v>2</v>
      </c>
      <c r="B323" s="3">
        <v>1</v>
      </c>
      <c r="C323" s="2">
        <v>25</v>
      </c>
      <c r="D323" s="2">
        <v>5</v>
      </c>
      <c r="E323" s="2">
        <v>1</v>
      </c>
      <c r="F323" s="17">
        <v>19</v>
      </c>
      <c r="H323" s="360">
        <v>0.99770315799701093</v>
      </c>
      <c r="I323" s="360">
        <v>-0.65237556147975018</v>
      </c>
      <c r="K323" s="363"/>
      <c r="N323" s="10"/>
      <c r="O323" s="4"/>
      <c r="P323" s="4"/>
      <c r="Q323" s="3"/>
      <c r="R323" s="3"/>
      <c r="S323" s="3"/>
      <c r="T323" s="3"/>
    </row>
    <row r="324" spans="1:20">
      <c r="A324" s="3">
        <v>3</v>
      </c>
      <c r="B324" s="3">
        <v>1</v>
      </c>
      <c r="C324" s="2">
        <v>25</v>
      </c>
      <c r="D324" s="2">
        <v>5</v>
      </c>
      <c r="E324" s="2">
        <v>1</v>
      </c>
      <c r="F324" s="17">
        <v>19</v>
      </c>
      <c r="H324" s="360">
        <v>0.21634557811312716</v>
      </c>
      <c r="I324" s="360">
        <v>-0.66608526345677999</v>
      </c>
      <c r="K324" s="363"/>
      <c r="N324" s="10"/>
      <c r="O324" s="4"/>
      <c r="P324" s="4"/>
      <c r="Q324" s="3"/>
      <c r="R324" s="3"/>
      <c r="S324" s="3"/>
      <c r="T324" s="3"/>
    </row>
    <row r="325" spans="1:20">
      <c r="A325" s="3">
        <v>1</v>
      </c>
      <c r="B325" s="3">
        <v>2</v>
      </c>
      <c r="C325" s="2">
        <v>25</v>
      </c>
      <c r="D325" s="2">
        <v>5</v>
      </c>
      <c r="E325" s="2">
        <v>16</v>
      </c>
      <c r="F325" s="17">
        <v>20</v>
      </c>
      <c r="H325" s="360">
        <v>1</v>
      </c>
      <c r="I325" s="360">
        <v>0.94792336201900163</v>
      </c>
      <c r="K325" s="363"/>
      <c r="N325" s="10"/>
      <c r="O325" s="4"/>
      <c r="P325" s="4"/>
      <c r="Q325" s="3"/>
      <c r="R325" s="3"/>
      <c r="S325" s="3"/>
      <c r="T325" s="3"/>
    </row>
    <row r="326" spans="1:20">
      <c r="A326" s="3">
        <v>1</v>
      </c>
      <c r="B326" s="3">
        <v>2</v>
      </c>
      <c r="C326" s="2">
        <v>25</v>
      </c>
      <c r="D326" s="2">
        <v>5</v>
      </c>
      <c r="E326" s="2">
        <v>1</v>
      </c>
      <c r="F326" s="17">
        <v>20</v>
      </c>
      <c r="H326" s="360">
        <v>1</v>
      </c>
      <c r="I326" s="360">
        <v>0.94102182051402372</v>
      </c>
      <c r="K326" s="363"/>
      <c r="N326" s="10"/>
      <c r="O326" s="4"/>
      <c r="P326" s="4"/>
      <c r="Q326" s="3"/>
      <c r="R326" s="3"/>
      <c r="S326" s="3"/>
      <c r="T326" s="3"/>
    </row>
    <row r="327" spans="1:20">
      <c r="A327" s="3">
        <v>1</v>
      </c>
      <c r="B327" s="3">
        <v>2</v>
      </c>
      <c r="C327" s="2">
        <v>25</v>
      </c>
      <c r="D327" s="2">
        <v>5</v>
      </c>
      <c r="E327" s="2">
        <v>16</v>
      </c>
      <c r="F327" s="17">
        <v>20</v>
      </c>
      <c r="H327" s="361">
        <v>1</v>
      </c>
      <c r="I327" s="361">
        <v>0.93326390541150772</v>
      </c>
      <c r="K327" s="363"/>
      <c r="N327" s="10"/>
      <c r="O327" s="4"/>
      <c r="P327" s="4"/>
      <c r="Q327" s="3"/>
      <c r="R327" s="3"/>
      <c r="S327" s="3"/>
      <c r="T327" s="3"/>
    </row>
    <row r="328" spans="1:20">
      <c r="A328" s="3">
        <v>3</v>
      </c>
      <c r="B328" s="3">
        <v>1</v>
      </c>
      <c r="C328" s="2">
        <v>25</v>
      </c>
      <c r="D328" s="2">
        <v>5</v>
      </c>
      <c r="E328" s="2">
        <v>1</v>
      </c>
      <c r="F328" s="17">
        <v>20</v>
      </c>
      <c r="H328" s="360">
        <v>0.5918787406074929</v>
      </c>
      <c r="I328" s="360">
        <v>0.9085166239536584</v>
      </c>
      <c r="K328" s="363"/>
      <c r="N328" s="10"/>
      <c r="O328" s="4"/>
      <c r="P328" s="4"/>
      <c r="Q328" s="3"/>
      <c r="R328" s="3"/>
      <c r="S328" s="3"/>
      <c r="T328" s="3"/>
    </row>
    <row r="329" spans="1:20">
      <c r="A329" s="3">
        <v>2</v>
      </c>
      <c r="B329" s="3">
        <v>2</v>
      </c>
      <c r="C329" s="2">
        <v>25</v>
      </c>
      <c r="D329" s="2">
        <v>5</v>
      </c>
      <c r="E329" s="2">
        <v>16</v>
      </c>
      <c r="F329" s="17">
        <v>20</v>
      </c>
      <c r="H329" s="361">
        <v>1</v>
      </c>
      <c r="I329" s="361">
        <v>0.89695508260068602</v>
      </c>
      <c r="K329" s="363"/>
      <c r="N329" s="10"/>
      <c r="O329" s="4"/>
      <c r="P329" s="4"/>
      <c r="Q329" s="3"/>
      <c r="R329" s="3"/>
      <c r="S329" s="3"/>
      <c r="T329" s="3"/>
    </row>
    <row r="330" spans="1:20">
      <c r="A330" s="3">
        <v>1</v>
      </c>
      <c r="B330" s="3">
        <v>1</v>
      </c>
      <c r="C330" s="2">
        <v>25</v>
      </c>
      <c r="D330" s="2">
        <v>5</v>
      </c>
      <c r="E330" s="2">
        <v>1</v>
      </c>
      <c r="F330" s="17">
        <v>20</v>
      </c>
      <c r="H330" s="360">
        <v>1</v>
      </c>
      <c r="I330" s="360">
        <v>0.88733591241055398</v>
      </c>
      <c r="K330" s="363"/>
      <c r="N330" s="10"/>
      <c r="O330" s="4"/>
      <c r="P330" s="4"/>
      <c r="Q330" s="3"/>
      <c r="R330" s="3"/>
      <c r="S330" s="3"/>
      <c r="T330" s="3"/>
    </row>
    <row r="331" spans="1:20">
      <c r="A331" s="3">
        <v>2</v>
      </c>
      <c r="B331" s="3">
        <v>2</v>
      </c>
      <c r="C331" s="2">
        <v>25</v>
      </c>
      <c r="D331" s="2">
        <v>5</v>
      </c>
      <c r="E331" s="2">
        <v>1</v>
      </c>
      <c r="F331" s="17">
        <v>20</v>
      </c>
      <c r="H331" s="361">
        <v>1</v>
      </c>
      <c r="I331" s="361">
        <v>0.88432226082419019</v>
      </c>
      <c r="K331" s="363"/>
      <c r="N331" s="10"/>
      <c r="O331" s="4"/>
      <c r="P331" s="4"/>
      <c r="Q331" s="3"/>
      <c r="R331" s="3"/>
      <c r="S331" s="3"/>
      <c r="T331" s="3"/>
    </row>
    <row r="332" spans="1:20">
      <c r="A332" s="3">
        <v>3</v>
      </c>
      <c r="B332" s="3">
        <v>1</v>
      </c>
      <c r="C332" s="2">
        <v>25</v>
      </c>
      <c r="D332" s="2">
        <v>5</v>
      </c>
      <c r="E332" s="2">
        <v>16</v>
      </c>
      <c r="F332" s="17">
        <v>20</v>
      </c>
      <c r="H332" s="361">
        <v>0.68183936618147944</v>
      </c>
      <c r="I332" s="361">
        <v>0.88330074419548099</v>
      </c>
      <c r="K332" s="363"/>
      <c r="N332" s="10"/>
      <c r="O332" s="4"/>
      <c r="P332" s="4"/>
      <c r="Q332" s="3"/>
      <c r="R332" s="3"/>
      <c r="S332" s="3"/>
      <c r="T332" s="3"/>
    </row>
    <row r="333" spans="1:20">
      <c r="A333" s="3">
        <v>1</v>
      </c>
      <c r="B333" s="3">
        <v>1</v>
      </c>
      <c r="C333" s="2">
        <v>25</v>
      </c>
      <c r="D333" s="2">
        <v>5</v>
      </c>
      <c r="E333" s="2">
        <v>16</v>
      </c>
      <c r="F333" s="17">
        <v>20</v>
      </c>
      <c r="H333" s="360">
        <v>1</v>
      </c>
      <c r="I333" s="360">
        <v>0.87605443436156905</v>
      </c>
      <c r="K333" s="363"/>
      <c r="N333" s="10"/>
      <c r="O333" s="4"/>
      <c r="P333" s="4"/>
      <c r="Q333" s="3"/>
      <c r="R333" s="3"/>
      <c r="S333" s="3"/>
      <c r="T333" s="3"/>
    </row>
    <row r="334" spans="1:20">
      <c r="A334" s="3">
        <v>1</v>
      </c>
      <c r="B334" s="3">
        <v>2</v>
      </c>
      <c r="C334" s="2">
        <v>25</v>
      </c>
      <c r="D334" s="2">
        <v>30</v>
      </c>
      <c r="E334" s="2">
        <v>16</v>
      </c>
      <c r="F334" s="17">
        <v>20</v>
      </c>
      <c r="H334" s="360">
        <v>1</v>
      </c>
      <c r="I334" s="360">
        <v>0.86651017975496536</v>
      </c>
      <c r="K334" s="363"/>
      <c r="N334" s="10"/>
      <c r="O334" s="4"/>
      <c r="P334" s="4"/>
      <c r="Q334" s="3"/>
      <c r="R334" s="3"/>
      <c r="S334" s="3"/>
      <c r="T334" s="3"/>
    </row>
    <row r="335" spans="1:20">
      <c r="A335" s="3">
        <v>2</v>
      </c>
      <c r="B335" s="3">
        <v>1</v>
      </c>
      <c r="C335" s="2">
        <v>25</v>
      </c>
      <c r="D335" s="2">
        <v>5</v>
      </c>
      <c r="E335" s="2">
        <v>1</v>
      </c>
      <c r="F335" s="17">
        <v>20</v>
      </c>
      <c r="H335" s="360">
        <v>1</v>
      </c>
      <c r="I335" s="360">
        <v>0.81790863234715416</v>
      </c>
      <c r="K335" s="363"/>
      <c r="N335" s="10"/>
      <c r="O335" s="4"/>
      <c r="P335" s="4"/>
      <c r="Q335" s="3"/>
      <c r="R335" s="3"/>
      <c r="S335" s="3"/>
      <c r="T335" s="3"/>
    </row>
    <row r="336" spans="1:20">
      <c r="A336" s="3">
        <v>2</v>
      </c>
      <c r="B336" s="3">
        <v>1</v>
      </c>
      <c r="C336" s="2">
        <v>25</v>
      </c>
      <c r="D336" s="2">
        <v>5</v>
      </c>
      <c r="E336" s="2">
        <v>16</v>
      </c>
      <c r="F336" s="17">
        <v>20</v>
      </c>
      <c r="H336" s="361">
        <v>1</v>
      </c>
      <c r="I336" s="361">
        <v>0.79336526626429194</v>
      </c>
      <c r="K336" s="363"/>
      <c r="N336" s="10"/>
      <c r="O336" s="4"/>
      <c r="P336" s="4"/>
      <c r="Q336" s="3"/>
      <c r="R336" s="3"/>
      <c r="S336" s="3"/>
      <c r="T336" s="3"/>
    </row>
    <row r="337" spans="1:20">
      <c r="A337" s="3">
        <v>1</v>
      </c>
      <c r="B337" s="3">
        <v>1</v>
      </c>
      <c r="C337" s="2">
        <v>25</v>
      </c>
      <c r="D337" s="2">
        <v>30</v>
      </c>
      <c r="E337" s="2">
        <v>16</v>
      </c>
      <c r="F337" s="17">
        <v>20</v>
      </c>
      <c r="H337" s="360">
        <v>1</v>
      </c>
      <c r="I337" s="360">
        <v>0.6669000765263825</v>
      </c>
      <c r="K337" s="363"/>
      <c r="N337" s="10"/>
      <c r="O337" s="4"/>
      <c r="P337" s="4"/>
      <c r="Q337" s="3"/>
      <c r="R337" s="3"/>
      <c r="S337" s="3"/>
      <c r="T337" s="3"/>
    </row>
    <row r="338" spans="1:20">
      <c r="A338" s="3">
        <v>3</v>
      </c>
      <c r="B338" s="3">
        <v>2</v>
      </c>
      <c r="C338" s="2">
        <v>25</v>
      </c>
      <c r="D338" s="2">
        <v>5</v>
      </c>
      <c r="E338" s="2">
        <v>16</v>
      </c>
      <c r="F338" s="17">
        <v>20</v>
      </c>
      <c r="H338" s="360">
        <v>0.45007187911721458</v>
      </c>
      <c r="I338" s="360">
        <v>0.60457886781405346</v>
      </c>
      <c r="K338" s="363"/>
      <c r="N338" s="10"/>
      <c r="O338" s="4"/>
      <c r="P338" s="4"/>
      <c r="Q338" s="3"/>
      <c r="R338" s="3"/>
      <c r="S338" s="3"/>
      <c r="T338" s="3"/>
    </row>
    <row r="339" spans="1:20">
      <c r="A339" s="3">
        <v>3</v>
      </c>
      <c r="B339" s="3">
        <v>2</v>
      </c>
      <c r="C339" s="2">
        <v>25</v>
      </c>
      <c r="D339" s="2">
        <v>5</v>
      </c>
      <c r="E339" s="2">
        <v>1</v>
      </c>
      <c r="F339" s="17">
        <v>20</v>
      </c>
      <c r="H339" s="361">
        <v>0.77287991504455444</v>
      </c>
      <c r="I339" s="361">
        <v>0.5804277338520395</v>
      </c>
      <c r="K339" s="363"/>
      <c r="N339" s="10"/>
      <c r="O339" s="4"/>
      <c r="P339" s="4"/>
      <c r="Q339" s="3"/>
      <c r="R339" s="3"/>
      <c r="S339" s="3"/>
      <c r="T339" s="3"/>
    </row>
    <row r="340" spans="1:20">
      <c r="A340" s="3">
        <v>5</v>
      </c>
      <c r="B340" s="3">
        <v>2</v>
      </c>
      <c r="C340" s="2">
        <v>50</v>
      </c>
      <c r="D340" s="2">
        <v>5</v>
      </c>
      <c r="E340" s="2">
        <v>16</v>
      </c>
      <c r="F340" s="17">
        <v>20</v>
      </c>
      <c r="H340" s="360">
        <v>1</v>
      </c>
      <c r="I340" s="359">
        <v>0.19931137730427684</v>
      </c>
      <c r="K340" s="363"/>
      <c r="N340" s="10"/>
      <c r="O340" s="4"/>
      <c r="P340" s="4"/>
      <c r="Q340" s="3"/>
      <c r="R340" s="3"/>
      <c r="S340" s="3"/>
      <c r="T340" s="3"/>
    </row>
    <row r="341" spans="1:20">
      <c r="A341" s="3">
        <v>4</v>
      </c>
      <c r="B341" s="3">
        <v>2</v>
      </c>
      <c r="C341" s="2">
        <v>50</v>
      </c>
      <c r="D341" s="2">
        <v>5</v>
      </c>
      <c r="E341" s="2">
        <v>16</v>
      </c>
      <c r="F341" s="17">
        <v>20</v>
      </c>
      <c r="H341" s="360">
        <v>1</v>
      </c>
      <c r="I341" s="359">
        <v>-0.49529682288586846</v>
      </c>
      <c r="K341" s="363"/>
      <c r="N341" s="10"/>
      <c r="O341" s="4"/>
      <c r="P341" s="4"/>
      <c r="Q341" s="3"/>
      <c r="R341" s="3"/>
      <c r="S341" s="3"/>
      <c r="T341" s="3"/>
    </row>
    <row r="342" spans="1:20">
      <c r="A342" s="3">
        <v>3</v>
      </c>
      <c r="B342" s="3">
        <v>1</v>
      </c>
      <c r="C342" s="2">
        <v>25</v>
      </c>
      <c r="D342" s="2">
        <v>5</v>
      </c>
      <c r="E342" s="2">
        <v>16</v>
      </c>
      <c r="F342" s="17">
        <v>21</v>
      </c>
      <c r="H342" s="361">
        <v>1.3651103026930511E-2</v>
      </c>
      <c r="I342" s="361">
        <v>0.20254429804634258</v>
      </c>
      <c r="K342" s="363"/>
      <c r="N342" s="10"/>
      <c r="O342" s="4"/>
      <c r="P342" s="4"/>
      <c r="Q342" s="3"/>
      <c r="R342" s="3"/>
      <c r="S342" s="3"/>
      <c r="T342" s="3"/>
    </row>
    <row r="343" spans="1:20">
      <c r="A343" s="3">
        <v>3</v>
      </c>
      <c r="B343" s="3">
        <v>2</v>
      </c>
      <c r="C343" s="2">
        <v>25</v>
      </c>
      <c r="D343" s="2">
        <v>5</v>
      </c>
      <c r="E343" s="2">
        <v>1</v>
      </c>
      <c r="F343" s="17">
        <v>21</v>
      </c>
      <c r="H343" s="361">
        <v>0</v>
      </c>
      <c r="I343" s="361">
        <v>0</v>
      </c>
      <c r="K343" s="363"/>
      <c r="N343" s="10"/>
      <c r="O343" s="4"/>
      <c r="P343" s="4"/>
      <c r="Q343" s="3"/>
      <c r="R343" s="3"/>
      <c r="S343" s="3"/>
      <c r="T343" s="3"/>
    </row>
    <row r="344" spans="1:20">
      <c r="A344" s="3">
        <v>3</v>
      </c>
      <c r="B344" s="3">
        <v>1</v>
      </c>
      <c r="C344" s="2">
        <v>25</v>
      </c>
      <c r="D344" s="2">
        <v>5</v>
      </c>
      <c r="E344" s="2">
        <v>1</v>
      </c>
      <c r="F344" s="17">
        <v>21</v>
      </c>
      <c r="H344" s="360">
        <v>0</v>
      </c>
      <c r="I344" s="360">
        <v>0</v>
      </c>
      <c r="K344" s="363"/>
      <c r="N344" s="10"/>
      <c r="O344" s="4"/>
      <c r="P344" s="4"/>
      <c r="Q344" s="3"/>
      <c r="R344" s="3"/>
      <c r="S344" s="3"/>
      <c r="T344" s="3"/>
    </row>
    <row r="345" spans="1:20">
      <c r="A345" s="3">
        <v>5</v>
      </c>
      <c r="B345" s="3">
        <v>2</v>
      </c>
      <c r="C345" s="2">
        <v>50</v>
      </c>
      <c r="D345" s="2">
        <v>5</v>
      </c>
      <c r="E345" s="2">
        <v>16</v>
      </c>
      <c r="F345" s="17">
        <v>21</v>
      </c>
      <c r="H345" s="360">
        <v>0.1453929295162949</v>
      </c>
      <c r="I345" s="359">
        <v>-7.9913572049582396E-2</v>
      </c>
      <c r="K345" s="363"/>
      <c r="N345" s="10"/>
      <c r="O345" s="4"/>
      <c r="P345" s="4"/>
      <c r="Q345" s="3"/>
      <c r="R345" s="3"/>
      <c r="S345" s="3"/>
      <c r="T345" s="3"/>
    </row>
    <row r="346" spans="1:20">
      <c r="A346" s="3">
        <v>1</v>
      </c>
      <c r="B346" s="3">
        <v>2</v>
      </c>
      <c r="C346" s="2">
        <v>25</v>
      </c>
      <c r="D346" s="2">
        <v>30</v>
      </c>
      <c r="E346" s="2">
        <v>16</v>
      </c>
      <c r="F346" s="17">
        <v>21</v>
      </c>
      <c r="H346" s="360">
        <v>0.29096352874326481</v>
      </c>
      <c r="I346" s="360">
        <v>-8.0284285211762355E-2</v>
      </c>
      <c r="K346" s="363"/>
      <c r="N346" s="10"/>
      <c r="O346" s="4"/>
      <c r="P346" s="4"/>
      <c r="Q346" s="3"/>
      <c r="R346" s="3"/>
      <c r="S346" s="3"/>
      <c r="T346" s="3"/>
    </row>
    <row r="347" spans="1:20">
      <c r="A347" s="3">
        <v>4</v>
      </c>
      <c r="B347" s="3">
        <v>2</v>
      </c>
      <c r="C347" s="2">
        <v>50</v>
      </c>
      <c r="D347" s="2">
        <v>5</v>
      </c>
      <c r="E347" s="2">
        <v>16</v>
      </c>
      <c r="F347" s="17">
        <v>21</v>
      </c>
      <c r="H347" s="360">
        <v>0.63043434732912207</v>
      </c>
      <c r="I347" s="359">
        <v>-0.16509112291691339</v>
      </c>
      <c r="K347" s="363"/>
      <c r="N347" s="10"/>
      <c r="O347" s="4"/>
      <c r="P347" s="4"/>
      <c r="Q347" s="3"/>
      <c r="R347" s="3"/>
      <c r="S347" s="3"/>
      <c r="T347" s="3"/>
    </row>
    <row r="348" spans="1:20">
      <c r="A348" s="3">
        <v>1</v>
      </c>
      <c r="B348" s="3">
        <v>1</v>
      </c>
      <c r="C348" s="2">
        <v>25</v>
      </c>
      <c r="D348" s="2">
        <v>5</v>
      </c>
      <c r="E348" s="2">
        <v>16</v>
      </c>
      <c r="F348" s="17">
        <v>21</v>
      </c>
      <c r="H348" s="360">
        <v>0.11821916899990803</v>
      </c>
      <c r="I348" s="360">
        <v>-0.22591818748802855</v>
      </c>
      <c r="K348" s="363"/>
      <c r="N348" s="10"/>
      <c r="O348" s="4"/>
      <c r="P348" s="4"/>
      <c r="Q348" s="3"/>
      <c r="R348" s="3"/>
      <c r="S348" s="3"/>
      <c r="T348" s="3"/>
    </row>
    <row r="349" spans="1:20">
      <c r="A349" s="3">
        <v>3</v>
      </c>
      <c r="B349" s="3">
        <v>2</v>
      </c>
      <c r="C349" s="2">
        <v>25</v>
      </c>
      <c r="D349" s="2">
        <v>5</v>
      </c>
      <c r="E349" s="2">
        <v>16</v>
      </c>
      <c r="F349" s="17">
        <v>21</v>
      </c>
      <c r="H349" s="360">
        <v>3.517774028966647E-2</v>
      </c>
      <c r="I349" s="360">
        <v>-0.24864508939877425</v>
      </c>
      <c r="K349" s="363"/>
      <c r="N349" s="10"/>
      <c r="O349" s="4"/>
      <c r="P349" s="4"/>
      <c r="Q349" s="3"/>
      <c r="R349" s="3"/>
      <c r="S349" s="3"/>
      <c r="T349" s="3"/>
    </row>
    <row r="350" spans="1:20">
      <c r="A350" s="3">
        <v>1</v>
      </c>
      <c r="B350" s="3">
        <v>1</v>
      </c>
      <c r="C350" s="2">
        <v>25</v>
      </c>
      <c r="D350" s="2">
        <v>5</v>
      </c>
      <c r="E350" s="2">
        <v>1</v>
      </c>
      <c r="F350" s="17">
        <v>21</v>
      </c>
      <c r="H350" s="360">
        <v>3.3347017212401076E-2</v>
      </c>
      <c r="I350" s="360">
        <v>-0.26791574044670263</v>
      </c>
      <c r="K350" s="363"/>
      <c r="N350" s="10"/>
      <c r="O350" s="4"/>
      <c r="P350" s="4"/>
      <c r="Q350" s="3"/>
      <c r="R350" s="3"/>
      <c r="S350" s="3"/>
      <c r="T350" s="3"/>
    </row>
    <row r="351" spans="1:20">
      <c r="A351" s="3">
        <v>1</v>
      </c>
      <c r="B351" s="3">
        <v>1</v>
      </c>
      <c r="C351" s="2">
        <v>25</v>
      </c>
      <c r="D351" s="2">
        <v>30</v>
      </c>
      <c r="E351" s="2">
        <v>16</v>
      </c>
      <c r="F351" s="17">
        <v>21</v>
      </c>
      <c r="H351" s="360">
        <v>0.2830495235870113</v>
      </c>
      <c r="I351" s="360">
        <v>-0.34280603235876256</v>
      </c>
      <c r="K351" s="363"/>
      <c r="N351" s="10"/>
      <c r="O351" s="4"/>
      <c r="P351" s="4"/>
      <c r="Q351" s="3"/>
      <c r="R351" s="3"/>
      <c r="S351" s="3"/>
      <c r="T351" s="3"/>
    </row>
    <row r="352" spans="1:20">
      <c r="A352" s="3">
        <v>1</v>
      </c>
      <c r="B352" s="3">
        <v>2</v>
      </c>
      <c r="C352" s="2">
        <v>25</v>
      </c>
      <c r="D352" s="2">
        <v>5</v>
      </c>
      <c r="E352" s="2">
        <v>16</v>
      </c>
      <c r="F352" s="17">
        <v>21</v>
      </c>
      <c r="H352" s="361">
        <v>0.30788760439565843</v>
      </c>
      <c r="I352" s="361">
        <v>-0.40842619276293884</v>
      </c>
      <c r="K352" s="363"/>
      <c r="N352" s="10"/>
      <c r="O352" s="4"/>
      <c r="P352" s="4"/>
      <c r="Q352" s="3"/>
      <c r="R352" s="3"/>
      <c r="S352" s="3"/>
      <c r="T352" s="3"/>
    </row>
    <row r="353" spans="1:20">
      <c r="A353" s="3">
        <v>1</v>
      </c>
      <c r="B353" s="3">
        <v>2</v>
      </c>
      <c r="C353" s="2">
        <v>25</v>
      </c>
      <c r="D353" s="2">
        <v>5</v>
      </c>
      <c r="E353" s="2">
        <v>1</v>
      </c>
      <c r="F353" s="17">
        <v>21</v>
      </c>
      <c r="H353" s="360">
        <v>1.4427291475751725E-2</v>
      </c>
      <c r="I353" s="360">
        <v>-0.42052117263843647</v>
      </c>
      <c r="K353" s="363"/>
      <c r="N353" s="10"/>
      <c r="O353" s="4"/>
      <c r="P353" s="4"/>
      <c r="Q353" s="3"/>
      <c r="R353" s="3"/>
      <c r="S353" s="3"/>
      <c r="T353" s="3"/>
    </row>
    <row r="354" spans="1:20">
      <c r="A354" s="3">
        <v>1</v>
      </c>
      <c r="B354" s="3">
        <v>2</v>
      </c>
      <c r="C354" s="2">
        <v>25</v>
      </c>
      <c r="D354" s="2">
        <v>5</v>
      </c>
      <c r="E354" s="2">
        <v>16</v>
      </c>
      <c r="F354" s="17">
        <v>21</v>
      </c>
      <c r="H354" s="360">
        <v>1</v>
      </c>
      <c r="I354" s="360">
        <v>-0.42675576193850479</v>
      </c>
      <c r="K354" s="363"/>
      <c r="N354" s="10"/>
      <c r="O354" s="4"/>
      <c r="P354" s="4"/>
      <c r="Q354" s="3"/>
      <c r="R354" s="3"/>
      <c r="S354" s="3"/>
      <c r="T354" s="3"/>
    </row>
    <row r="355" spans="1:20">
      <c r="A355" s="3">
        <v>2</v>
      </c>
      <c r="B355" s="3">
        <v>1</v>
      </c>
      <c r="C355" s="2">
        <v>25</v>
      </c>
      <c r="D355" s="2">
        <v>5</v>
      </c>
      <c r="E355" s="2">
        <v>16</v>
      </c>
      <c r="F355" s="17">
        <v>21</v>
      </c>
      <c r="H355" s="361">
        <v>0.90607129479176685</v>
      </c>
      <c r="I355" s="361">
        <v>-0.44849428100011918</v>
      </c>
      <c r="K355" s="363"/>
      <c r="N355" s="10"/>
      <c r="O355" s="4"/>
      <c r="P355" s="4"/>
      <c r="Q355" s="3"/>
      <c r="R355" s="3"/>
      <c r="S355" s="3"/>
      <c r="T355" s="3"/>
    </row>
    <row r="356" spans="1:20">
      <c r="A356" s="3">
        <v>2</v>
      </c>
      <c r="B356" s="3">
        <v>2</v>
      </c>
      <c r="C356" s="2">
        <v>25</v>
      </c>
      <c r="D356" s="2">
        <v>5</v>
      </c>
      <c r="E356" s="2">
        <v>16</v>
      </c>
      <c r="F356" s="17">
        <v>21</v>
      </c>
      <c r="H356" s="361">
        <v>1</v>
      </c>
      <c r="I356" s="361">
        <v>-0.61751446039607505</v>
      </c>
      <c r="K356" s="363"/>
      <c r="N356" s="10"/>
      <c r="O356" s="4"/>
      <c r="P356" s="4"/>
      <c r="Q356" s="3"/>
      <c r="R356" s="3"/>
      <c r="S356" s="3"/>
      <c r="T356" s="3"/>
    </row>
    <row r="357" spans="1:20">
      <c r="A357" s="3">
        <v>2</v>
      </c>
      <c r="B357" s="3">
        <v>1</v>
      </c>
      <c r="C357" s="2">
        <v>25</v>
      </c>
      <c r="D357" s="2">
        <v>5</v>
      </c>
      <c r="E357" s="2">
        <v>1</v>
      </c>
      <c r="F357" s="17">
        <v>21</v>
      </c>
      <c r="H357" s="360">
        <v>0.19155265146930367</v>
      </c>
      <c r="I357" s="360">
        <v>-0.61927566596827299</v>
      </c>
      <c r="K357" s="363"/>
      <c r="N357" s="10"/>
      <c r="O357" s="4"/>
      <c r="P357" s="4"/>
      <c r="Q357" s="3"/>
      <c r="R357" s="3"/>
      <c r="S357" s="3"/>
      <c r="T357" s="3"/>
    </row>
    <row r="358" spans="1:20">
      <c r="A358" s="3">
        <v>2</v>
      </c>
      <c r="B358" s="3">
        <v>2</v>
      </c>
      <c r="C358" s="2">
        <v>25</v>
      </c>
      <c r="D358" s="2">
        <v>5</v>
      </c>
      <c r="E358" s="2">
        <v>1</v>
      </c>
      <c r="F358" s="17">
        <v>21</v>
      </c>
      <c r="H358" s="361">
        <v>4.1748024113322346E-2</v>
      </c>
      <c r="I358" s="361">
        <v>-1</v>
      </c>
      <c r="K358" s="363"/>
      <c r="N358" s="10"/>
      <c r="O358" s="4"/>
      <c r="P358" s="4"/>
      <c r="Q358" s="3"/>
      <c r="R358" s="3"/>
      <c r="S358" s="3"/>
      <c r="T358" s="3"/>
    </row>
    <row r="359" spans="1:20">
      <c r="A359" s="3">
        <v>1</v>
      </c>
      <c r="B359" s="3">
        <v>2</v>
      </c>
      <c r="C359" s="2">
        <v>25</v>
      </c>
      <c r="D359" s="2">
        <v>5</v>
      </c>
      <c r="E359" s="2">
        <v>16</v>
      </c>
      <c r="F359" s="17">
        <v>22</v>
      </c>
      <c r="H359" s="360">
        <v>1</v>
      </c>
      <c r="I359" s="360">
        <v>0.9643043660861661</v>
      </c>
      <c r="K359" s="363"/>
      <c r="N359" s="10"/>
      <c r="O359" s="4"/>
      <c r="P359" s="4"/>
      <c r="Q359" s="3"/>
      <c r="R359" s="3"/>
      <c r="S359" s="3"/>
      <c r="T359" s="3"/>
    </row>
    <row r="360" spans="1:20">
      <c r="A360" s="3">
        <v>1</v>
      </c>
      <c r="B360" s="3">
        <v>2</v>
      </c>
      <c r="C360" s="2">
        <v>25</v>
      </c>
      <c r="D360" s="2">
        <v>5</v>
      </c>
      <c r="E360" s="2">
        <v>1</v>
      </c>
      <c r="F360" s="17">
        <v>22</v>
      </c>
      <c r="H360" s="360">
        <v>1</v>
      </c>
      <c r="I360" s="360">
        <v>0.96389739061964919</v>
      </c>
      <c r="K360" s="363"/>
      <c r="N360" s="10"/>
      <c r="O360" s="4"/>
      <c r="P360" s="4"/>
      <c r="Q360" s="3"/>
      <c r="R360" s="3"/>
      <c r="S360" s="3"/>
      <c r="T360" s="3"/>
    </row>
    <row r="361" spans="1:20">
      <c r="A361" s="3">
        <v>1</v>
      </c>
      <c r="B361" s="3">
        <v>2</v>
      </c>
      <c r="C361" s="2">
        <v>25</v>
      </c>
      <c r="D361" s="2">
        <v>5</v>
      </c>
      <c r="E361" s="2">
        <v>16</v>
      </c>
      <c r="F361" s="17">
        <v>22</v>
      </c>
      <c r="H361" s="361">
        <v>1</v>
      </c>
      <c r="I361" s="361">
        <v>0.96311465341930758</v>
      </c>
      <c r="K361" s="363"/>
      <c r="N361" s="10"/>
      <c r="O361" s="4"/>
      <c r="P361" s="4"/>
      <c r="Q361" s="3"/>
      <c r="R361" s="3"/>
      <c r="S361" s="3"/>
      <c r="T361" s="3"/>
    </row>
    <row r="362" spans="1:20">
      <c r="A362" s="3">
        <v>1</v>
      </c>
      <c r="B362" s="3">
        <v>1</v>
      </c>
      <c r="C362" s="2">
        <v>25</v>
      </c>
      <c r="D362" s="2">
        <v>5</v>
      </c>
      <c r="E362" s="2">
        <v>1</v>
      </c>
      <c r="F362" s="17">
        <v>22</v>
      </c>
      <c r="H362" s="360">
        <v>1</v>
      </c>
      <c r="I362" s="360">
        <v>0.95143227824596022</v>
      </c>
      <c r="K362" s="363"/>
      <c r="N362" s="10"/>
      <c r="O362" s="4"/>
      <c r="P362" s="4"/>
      <c r="Q362" s="3"/>
      <c r="R362" s="3"/>
      <c r="S362" s="3"/>
      <c r="T362" s="3"/>
    </row>
    <row r="363" spans="1:20">
      <c r="A363" s="3">
        <v>3</v>
      </c>
      <c r="B363" s="3">
        <v>1</v>
      </c>
      <c r="C363" s="2">
        <v>25</v>
      </c>
      <c r="D363" s="2">
        <v>5</v>
      </c>
      <c r="E363" s="2">
        <v>1</v>
      </c>
      <c r="F363" s="17">
        <v>22</v>
      </c>
      <c r="H363" s="360">
        <v>0.97726602314858946</v>
      </c>
      <c r="I363" s="360">
        <v>0.93624785629865115</v>
      </c>
      <c r="K363" s="363"/>
      <c r="N363" s="10"/>
      <c r="O363" s="4"/>
      <c r="P363" s="4"/>
      <c r="Q363" s="3"/>
      <c r="R363" s="3"/>
      <c r="S363" s="3"/>
      <c r="T363" s="3"/>
    </row>
    <row r="364" spans="1:20">
      <c r="A364" s="3">
        <v>1</v>
      </c>
      <c r="B364" s="3">
        <v>1</v>
      </c>
      <c r="C364" s="2">
        <v>25</v>
      </c>
      <c r="D364" s="2">
        <v>5</v>
      </c>
      <c r="E364" s="2">
        <v>16</v>
      </c>
      <c r="F364" s="17">
        <v>22</v>
      </c>
      <c r="H364" s="360">
        <v>1</v>
      </c>
      <c r="I364" s="360">
        <v>0.91922104032244811</v>
      </c>
      <c r="K364" s="363"/>
      <c r="N364" s="10"/>
      <c r="O364" s="4"/>
      <c r="P364" s="4"/>
      <c r="Q364" s="3"/>
      <c r="R364" s="3"/>
      <c r="S364" s="3"/>
      <c r="T364" s="3"/>
    </row>
    <row r="365" spans="1:20">
      <c r="A365" s="3">
        <v>3</v>
      </c>
      <c r="B365" s="3">
        <v>1</v>
      </c>
      <c r="C365" s="2">
        <v>25</v>
      </c>
      <c r="D365" s="2">
        <v>5</v>
      </c>
      <c r="E365" s="2">
        <v>16</v>
      </c>
      <c r="F365" s="17">
        <v>22</v>
      </c>
      <c r="H365" s="361">
        <v>1</v>
      </c>
      <c r="I365" s="361">
        <v>0.90705075269306523</v>
      </c>
      <c r="K365" s="363"/>
      <c r="N365" s="10"/>
      <c r="O365" s="4"/>
      <c r="P365" s="4"/>
      <c r="Q365" s="3"/>
      <c r="R365" s="3"/>
      <c r="S365" s="3"/>
      <c r="T365" s="3"/>
    </row>
    <row r="366" spans="1:20">
      <c r="A366" s="3">
        <v>1</v>
      </c>
      <c r="B366" s="3">
        <v>1</v>
      </c>
      <c r="C366" s="2">
        <v>25</v>
      </c>
      <c r="D366" s="2">
        <v>30</v>
      </c>
      <c r="E366" s="2">
        <v>16</v>
      </c>
      <c r="F366" s="17">
        <v>22</v>
      </c>
      <c r="H366" s="360">
        <v>1</v>
      </c>
      <c r="I366" s="360">
        <v>0.89212601021941695</v>
      </c>
      <c r="K366" s="363"/>
      <c r="N366" s="10"/>
      <c r="O366" s="4"/>
      <c r="P366" s="4"/>
      <c r="Q366" s="3"/>
      <c r="R366" s="3"/>
      <c r="S366" s="3"/>
      <c r="T366" s="3"/>
    </row>
    <row r="367" spans="1:20">
      <c r="A367" s="3">
        <v>3</v>
      </c>
      <c r="B367" s="3">
        <v>2</v>
      </c>
      <c r="C367" s="2">
        <v>25</v>
      </c>
      <c r="D367" s="2">
        <v>5</v>
      </c>
      <c r="E367" s="2">
        <v>16</v>
      </c>
      <c r="F367" s="17">
        <v>22</v>
      </c>
      <c r="H367" s="360">
        <v>0.96490937040917524</v>
      </c>
      <c r="I367" s="360">
        <v>0.87697594711230198</v>
      </c>
      <c r="K367" s="363"/>
      <c r="N367" s="10"/>
      <c r="O367" s="4"/>
      <c r="P367" s="4"/>
      <c r="Q367" s="3"/>
      <c r="R367" s="3"/>
      <c r="S367" s="3"/>
      <c r="T367" s="3"/>
    </row>
    <row r="368" spans="1:20">
      <c r="A368" s="3">
        <v>3</v>
      </c>
      <c r="B368" s="3">
        <v>2</v>
      </c>
      <c r="C368" s="2">
        <v>25</v>
      </c>
      <c r="D368" s="2">
        <v>5</v>
      </c>
      <c r="E368" s="2">
        <v>1</v>
      </c>
      <c r="F368" s="17">
        <v>22</v>
      </c>
      <c r="H368" s="361">
        <v>0.75138033747873256</v>
      </c>
      <c r="I368" s="361">
        <v>0.87318477352802304</v>
      </c>
      <c r="K368" s="363"/>
      <c r="N368" s="10"/>
      <c r="O368" s="4"/>
      <c r="P368" s="4"/>
      <c r="Q368" s="3"/>
      <c r="R368" s="3"/>
      <c r="S368" s="3"/>
      <c r="T368" s="3"/>
    </row>
    <row r="369" spans="1:20">
      <c r="A369" s="3">
        <v>1</v>
      </c>
      <c r="B369" s="3">
        <v>2</v>
      </c>
      <c r="C369" s="2">
        <v>25</v>
      </c>
      <c r="D369" s="2">
        <v>30</v>
      </c>
      <c r="E369" s="2">
        <v>16</v>
      </c>
      <c r="F369" s="17">
        <v>22</v>
      </c>
      <c r="H369" s="360">
        <v>1</v>
      </c>
      <c r="I369" s="360">
        <v>0.86982066206705411</v>
      </c>
      <c r="K369" s="363"/>
      <c r="N369" s="10"/>
      <c r="O369" s="4"/>
      <c r="P369" s="4"/>
      <c r="Q369" s="3"/>
      <c r="R369" s="3"/>
      <c r="S369" s="3"/>
      <c r="T369" s="3"/>
    </row>
    <row r="370" spans="1:20">
      <c r="A370" s="3">
        <v>2</v>
      </c>
      <c r="B370" s="3">
        <v>2</v>
      </c>
      <c r="C370" s="2">
        <v>25</v>
      </c>
      <c r="D370" s="2">
        <v>5</v>
      </c>
      <c r="E370" s="2">
        <v>16</v>
      </c>
      <c r="F370" s="17">
        <v>22</v>
      </c>
      <c r="H370" s="361">
        <v>1</v>
      </c>
      <c r="I370" s="361">
        <v>0.82121573301549466</v>
      </c>
      <c r="K370" s="363"/>
      <c r="N370" s="10"/>
      <c r="O370" s="4"/>
      <c r="P370" s="4"/>
      <c r="Q370" s="3"/>
      <c r="R370" s="3"/>
      <c r="S370" s="3"/>
      <c r="T370" s="3"/>
    </row>
    <row r="371" spans="1:20">
      <c r="A371" s="3">
        <v>2</v>
      </c>
      <c r="B371" s="3">
        <v>2</v>
      </c>
      <c r="C371" s="2">
        <v>25</v>
      </c>
      <c r="D371" s="2">
        <v>5</v>
      </c>
      <c r="E371" s="2">
        <v>1</v>
      </c>
      <c r="F371" s="17">
        <v>22</v>
      </c>
      <c r="H371" s="361">
        <v>1</v>
      </c>
      <c r="I371" s="361">
        <v>0.78322075437862393</v>
      </c>
      <c r="K371" s="363"/>
      <c r="N371" s="10"/>
      <c r="O371" s="4"/>
      <c r="P371" s="4"/>
      <c r="Q371" s="3"/>
      <c r="R371" s="3"/>
      <c r="S371" s="3"/>
      <c r="T371" s="3"/>
    </row>
    <row r="372" spans="1:20">
      <c r="A372" s="3">
        <v>2</v>
      </c>
      <c r="B372" s="3">
        <v>1</v>
      </c>
      <c r="C372" s="2">
        <v>25</v>
      </c>
      <c r="D372" s="2">
        <v>5</v>
      </c>
      <c r="E372" s="2">
        <v>1</v>
      </c>
      <c r="F372" s="17">
        <v>22</v>
      </c>
      <c r="H372" s="360">
        <v>1</v>
      </c>
      <c r="I372" s="360">
        <v>0.72903042365652548</v>
      </c>
      <c r="K372" s="363"/>
      <c r="N372" s="10"/>
      <c r="O372" s="4"/>
      <c r="P372" s="4"/>
      <c r="Q372" s="3"/>
      <c r="R372" s="3"/>
      <c r="S372" s="3"/>
      <c r="T372" s="3"/>
    </row>
    <row r="373" spans="1:20">
      <c r="A373" s="3">
        <v>2</v>
      </c>
      <c r="B373" s="3">
        <v>1</v>
      </c>
      <c r="C373" s="2">
        <v>25</v>
      </c>
      <c r="D373" s="2">
        <v>5</v>
      </c>
      <c r="E373" s="2">
        <v>16</v>
      </c>
      <c r="F373" s="17">
        <v>22</v>
      </c>
      <c r="H373" s="361">
        <v>1</v>
      </c>
      <c r="I373" s="361">
        <v>0.72271028400258275</v>
      </c>
      <c r="K373" s="363"/>
      <c r="N373" s="10"/>
      <c r="O373" s="4"/>
      <c r="P373" s="4"/>
      <c r="Q373" s="3"/>
      <c r="R373" s="3"/>
      <c r="S373" s="3"/>
      <c r="T373" s="3"/>
    </row>
    <row r="374" spans="1:20">
      <c r="A374" s="3">
        <v>5</v>
      </c>
      <c r="B374" s="3">
        <v>2</v>
      </c>
      <c r="C374" s="2">
        <v>50</v>
      </c>
      <c r="D374" s="2">
        <v>5</v>
      </c>
      <c r="E374" s="2">
        <v>16</v>
      </c>
      <c r="F374" s="17">
        <v>22</v>
      </c>
      <c r="H374" s="360">
        <v>0.66861588835193464</v>
      </c>
      <c r="I374" s="359">
        <v>0.46475267746756349</v>
      </c>
      <c r="K374" s="363"/>
      <c r="N374" s="10"/>
      <c r="O374" s="4"/>
      <c r="P374" s="4"/>
      <c r="Q374" s="3"/>
      <c r="R374" s="3"/>
      <c r="S374" s="3"/>
      <c r="T374" s="3"/>
    </row>
    <row r="375" spans="1:20">
      <c r="A375" s="3">
        <v>4</v>
      </c>
      <c r="B375" s="3">
        <v>2</v>
      </c>
      <c r="C375" s="2">
        <v>50</v>
      </c>
      <c r="D375" s="2">
        <v>5</v>
      </c>
      <c r="E375" s="2">
        <v>16</v>
      </c>
      <c r="F375" s="17">
        <v>22</v>
      </c>
      <c r="H375" s="360">
        <v>1</v>
      </c>
      <c r="I375" s="359">
        <v>-0.79837116871943825</v>
      </c>
      <c r="K375" s="363"/>
      <c r="N375" s="10"/>
      <c r="O375" s="4"/>
      <c r="P375" s="4"/>
      <c r="Q375" s="3"/>
      <c r="R375" s="3"/>
      <c r="S375" s="3"/>
      <c r="T375" s="3"/>
    </row>
    <row r="376" spans="1:20">
      <c r="A376" s="3">
        <v>1</v>
      </c>
      <c r="B376" s="3">
        <v>1</v>
      </c>
      <c r="C376" s="2">
        <v>25</v>
      </c>
      <c r="D376" s="2">
        <v>5</v>
      </c>
      <c r="E376" s="2">
        <v>1</v>
      </c>
      <c r="F376" s="17">
        <v>23</v>
      </c>
      <c r="H376" s="360">
        <v>1</v>
      </c>
      <c r="I376" s="360">
        <v>0.96794742325879624</v>
      </c>
      <c r="K376" s="363"/>
      <c r="N376" s="10"/>
      <c r="O376" s="4"/>
      <c r="P376" s="4"/>
      <c r="Q376" s="3"/>
      <c r="R376" s="3"/>
      <c r="S376" s="3"/>
      <c r="T376" s="3"/>
    </row>
    <row r="377" spans="1:20">
      <c r="A377" s="3">
        <v>1</v>
      </c>
      <c r="B377" s="3">
        <v>2</v>
      </c>
      <c r="C377" s="2">
        <v>25</v>
      </c>
      <c r="D377" s="2">
        <v>5</v>
      </c>
      <c r="E377" s="2">
        <v>1</v>
      </c>
      <c r="F377" s="17">
        <v>23</v>
      </c>
      <c r="H377" s="360">
        <v>1</v>
      </c>
      <c r="I377" s="360">
        <v>0.96740689234761279</v>
      </c>
      <c r="K377" s="363"/>
      <c r="N377" s="10"/>
      <c r="O377" s="4"/>
      <c r="P377" s="4"/>
      <c r="Q377" s="3"/>
      <c r="R377" s="3"/>
      <c r="S377" s="3"/>
      <c r="T377" s="3"/>
    </row>
    <row r="378" spans="1:20">
      <c r="A378" s="3">
        <v>1</v>
      </c>
      <c r="B378" s="3">
        <v>2</v>
      </c>
      <c r="C378" s="2">
        <v>25</v>
      </c>
      <c r="D378" s="2">
        <v>5</v>
      </c>
      <c r="E378" s="2">
        <v>16</v>
      </c>
      <c r="F378" s="17">
        <v>23</v>
      </c>
      <c r="H378" s="361">
        <v>1</v>
      </c>
      <c r="I378" s="361">
        <v>0.96397609795361683</v>
      </c>
      <c r="K378" s="363"/>
      <c r="N378" s="10"/>
      <c r="O378" s="4"/>
      <c r="P378" s="4"/>
      <c r="Q378" s="3"/>
      <c r="R378" s="3"/>
      <c r="S378" s="3"/>
      <c r="T378" s="3"/>
    </row>
    <row r="379" spans="1:20">
      <c r="A379" s="3">
        <v>1</v>
      </c>
      <c r="B379" s="3">
        <v>2</v>
      </c>
      <c r="C379" s="2">
        <v>25</v>
      </c>
      <c r="D379" s="2">
        <v>5</v>
      </c>
      <c r="E379" s="2">
        <v>16</v>
      </c>
      <c r="F379" s="17">
        <v>23</v>
      </c>
      <c r="H379" s="360">
        <v>1</v>
      </c>
      <c r="I379" s="360">
        <v>0.95374808773765007</v>
      </c>
      <c r="K379" s="363"/>
      <c r="N379" s="10"/>
      <c r="O379" s="4"/>
      <c r="P379" s="4"/>
      <c r="Q379" s="3"/>
      <c r="R379" s="3"/>
      <c r="S379" s="3"/>
      <c r="T379" s="3"/>
    </row>
    <row r="380" spans="1:20">
      <c r="A380" s="3">
        <v>1</v>
      </c>
      <c r="B380" s="3">
        <v>1</v>
      </c>
      <c r="C380" s="2">
        <v>25</v>
      </c>
      <c r="D380" s="2">
        <v>5</v>
      </c>
      <c r="E380" s="2">
        <v>16</v>
      </c>
      <c r="F380" s="17">
        <v>23</v>
      </c>
      <c r="H380" s="360">
        <v>1</v>
      </c>
      <c r="I380" s="360">
        <v>0.94067175220289034</v>
      </c>
      <c r="K380" s="363"/>
      <c r="N380" s="10"/>
      <c r="O380" s="4"/>
      <c r="P380" s="4"/>
      <c r="Q380" s="3"/>
      <c r="R380" s="3"/>
      <c r="S380" s="3"/>
      <c r="T380" s="3"/>
    </row>
    <row r="381" spans="1:20">
      <c r="A381" s="3">
        <v>1</v>
      </c>
      <c r="B381" s="3">
        <v>1</v>
      </c>
      <c r="C381" s="2">
        <v>25</v>
      </c>
      <c r="D381" s="2">
        <v>30</v>
      </c>
      <c r="E381" s="2">
        <v>16</v>
      </c>
      <c r="F381" s="17">
        <v>23</v>
      </c>
      <c r="H381" s="360">
        <v>1</v>
      </c>
      <c r="I381" s="360">
        <v>0.93502652979261303</v>
      </c>
      <c r="K381" s="363"/>
      <c r="N381" s="10"/>
      <c r="O381" s="4"/>
      <c r="P381" s="4"/>
      <c r="Q381" s="3"/>
      <c r="R381" s="3"/>
      <c r="S381" s="3"/>
      <c r="T381" s="3"/>
    </row>
    <row r="382" spans="1:20">
      <c r="A382" s="3">
        <v>3</v>
      </c>
      <c r="B382" s="3">
        <v>1</v>
      </c>
      <c r="C382" s="2">
        <v>25</v>
      </c>
      <c r="D382" s="2">
        <v>5</v>
      </c>
      <c r="E382" s="2">
        <v>16</v>
      </c>
      <c r="F382" s="17">
        <v>23</v>
      </c>
      <c r="H382" s="361">
        <v>1</v>
      </c>
      <c r="I382" s="361">
        <v>0.92667103189267741</v>
      </c>
      <c r="K382" s="363"/>
      <c r="N382" s="10"/>
      <c r="O382" s="4"/>
      <c r="P382" s="4"/>
      <c r="Q382" s="3"/>
      <c r="R382" s="3"/>
      <c r="S382" s="3"/>
      <c r="T382" s="3"/>
    </row>
    <row r="383" spans="1:20">
      <c r="A383" s="3">
        <v>3</v>
      </c>
      <c r="B383" s="3">
        <v>1</v>
      </c>
      <c r="C383" s="2">
        <v>25</v>
      </c>
      <c r="D383" s="2">
        <v>5</v>
      </c>
      <c r="E383" s="2">
        <v>1</v>
      </c>
      <c r="F383" s="17">
        <v>23</v>
      </c>
      <c r="H383" s="360">
        <v>0.98281511211917905</v>
      </c>
      <c r="I383" s="360">
        <v>0.9266413689628954</v>
      </c>
      <c r="K383" s="363"/>
      <c r="N383" s="10"/>
      <c r="O383" s="4"/>
      <c r="P383" s="4"/>
      <c r="Q383" s="3"/>
      <c r="R383" s="3"/>
      <c r="S383" s="3"/>
      <c r="T383" s="3"/>
    </row>
    <row r="384" spans="1:20">
      <c r="A384" s="3">
        <v>3</v>
      </c>
      <c r="B384" s="3">
        <v>2</v>
      </c>
      <c r="C384" s="2">
        <v>25</v>
      </c>
      <c r="D384" s="2">
        <v>5</v>
      </c>
      <c r="E384" s="2">
        <v>1</v>
      </c>
      <c r="F384" s="17">
        <v>23</v>
      </c>
      <c r="H384" s="361">
        <v>0.26229184071791534</v>
      </c>
      <c r="I384" s="361">
        <v>0.89912656748204489</v>
      </c>
      <c r="K384" s="363"/>
      <c r="N384" s="10"/>
      <c r="O384" s="4"/>
      <c r="P384" s="4"/>
      <c r="Q384" s="3"/>
      <c r="R384" s="3"/>
      <c r="S384" s="3"/>
      <c r="T384" s="3"/>
    </row>
    <row r="385" spans="1:20">
      <c r="A385" s="3">
        <v>1</v>
      </c>
      <c r="B385" s="3">
        <v>2</v>
      </c>
      <c r="C385" s="2">
        <v>25</v>
      </c>
      <c r="D385" s="2">
        <v>30</v>
      </c>
      <c r="E385" s="2">
        <v>16</v>
      </c>
      <c r="F385" s="17">
        <v>23</v>
      </c>
      <c r="H385" s="360">
        <v>1</v>
      </c>
      <c r="I385" s="360">
        <v>0.88298840437608561</v>
      </c>
      <c r="K385" s="363"/>
      <c r="N385" s="10"/>
      <c r="O385" s="4"/>
      <c r="P385" s="4"/>
      <c r="Q385" s="3"/>
      <c r="R385" s="3"/>
      <c r="S385" s="3"/>
      <c r="T385" s="3"/>
    </row>
    <row r="386" spans="1:20">
      <c r="A386" s="3">
        <v>2</v>
      </c>
      <c r="B386" s="3">
        <v>2</v>
      </c>
      <c r="C386" s="2">
        <v>25</v>
      </c>
      <c r="D386" s="2">
        <v>5</v>
      </c>
      <c r="E386" s="2">
        <v>16</v>
      </c>
      <c r="F386" s="17">
        <v>23</v>
      </c>
      <c r="H386" s="361">
        <v>1</v>
      </c>
      <c r="I386" s="361">
        <v>0.87972444072153777</v>
      </c>
      <c r="K386" s="363"/>
      <c r="N386" s="10"/>
      <c r="O386" s="4"/>
      <c r="P386" s="4"/>
      <c r="Q386" s="3"/>
      <c r="R386" s="3"/>
      <c r="S386" s="3"/>
      <c r="T386" s="3"/>
    </row>
    <row r="387" spans="1:20">
      <c r="A387" s="3">
        <v>2</v>
      </c>
      <c r="B387" s="3">
        <v>2</v>
      </c>
      <c r="C387" s="2">
        <v>25</v>
      </c>
      <c r="D387" s="2">
        <v>5</v>
      </c>
      <c r="E387" s="2">
        <v>1</v>
      </c>
      <c r="F387" s="17">
        <v>23</v>
      </c>
      <c r="H387" s="361">
        <v>1</v>
      </c>
      <c r="I387" s="361">
        <v>0.86494600669611277</v>
      </c>
      <c r="K387" s="363"/>
      <c r="N387" s="10"/>
      <c r="O387" s="4"/>
      <c r="P387" s="4"/>
      <c r="Q387" s="3"/>
      <c r="R387" s="3"/>
      <c r="S387" s="3"/>
      <c r="T387" s="3"/>
    </row>
    <row r="388" spans="1:20">
      <c r="A388" s="3">
        <v>2</v>
      </c>
      <c r="B388" s="3">
        <v>1</v>
      </c>
      <c r="C388" s="2">
        <v>25</v>
      </c>
      <c r="D388" s="2">
        <v>5</v>
      </c>
      <c r="E388" s="2">
        <v>1</v>
      </c>
      <c r="F388" s="17">
        <v>23</v>
      </c>
      <c r="H388" s="360">
        <v>1</v>
      </c>
      <c r="I388" s="360">
        <v>0.85559161894404134</v>
      </c>
      <c r="K388" s="363"/>
      <c r="N388" s="10"/>
      <c r="O388" s="4"/>
      <c r="P388" s="4"/>
      <c r="Q388" s="3"/>
      <c r="R388" s="3"/>
      <c r="S388" s="3"/>
      <c r="T388" s="3"/>
    </row>
    <row r="389" spans="1:20">
      <c r="A389" s="3">
        <v>2</v>
      </c>
      <c r="B389" s="3">
        <v>1</v>
      </c>
      <c r="C389" s="2">
        <v>25</v>
      </c>
      <c r="D389" s="2">
        <v>5</v>
      </c>
      <c r="E389" s="2">
        <v>16</v>
      </c>
      <c r="F389" s="17">
        <v>23</v>
      </c>
      <c r="H389" s="361">
        <v>1</v>
      </c>
      <c r="I389" s="361">
        <v>0.80649449834526066</v>
      </c>
      <c r="K389" s="363"/>
      <c r="N389" s="10"/>
      <c r="O389" s="4"/>
      <c r="P389" s="4"/>
      <c r="Q389" s="3"/>
      <c r="R389" s="3"/>
      <c r="S389" s="3"/>
      <c r="T389" s="3"/>
    </row>
    <row r="390" spans="1:20">
      <c r="A390" s="3">
        <v>3</v>
      </c>
      <c r="B390" s="3">
        <v>2</v>
      </c>
      <c r="C390" s="2">
        <v>25</v>
      </c>
      <c r="D390" s="2">
        <v>5</v>
      </c>
      <c r="E390" s="2">
        <v>16</v>
      </c>
      <c r="F390" s="17">
        <v>23</v>
      </c>
      <c r="H390" s="360">
        <v>0.23081797284566841</v>
      </c>
      <c r="I390" s="360">
        <v>0.79438600407377447</v>
      </c>
      <c r="K390" s="363"/>
      <c r="N390" s="10"/>
      <c r="O390" s="4"/>
      <c r="P390" s="4"/>
      <c r="Q390" s="3"/>
      <c r="R390" s="3"/>
      <c r="S390" s="3"/>
      <c r="T390" s="3"/>
    </row>
    <row r="391" spans="1:20">
      <c r="A391" s="3">
        <v>5</v>
      </c>
      <c r="B391" s="3">
        <v>2</v>
      </c>
      <c r="C391" s="2">
        <v>50</v>
      </c>
      <c r="D391" s="2">
        <v>5</v>
      </c>
      <c r="E391" s="2">
        <v>16</v>
      </c>
      <c r="F391" s="17">
        <v>23</v>
      </c>
      <c r="H391" s="360">
        <v>0.52174243892154182</v>
      </c>
      <c r="I391" s="359">
        <v>0.43493664377917113</v>
      </c>
      <c r="K391" s="363"/>
      <c r="N391" s="10"/>
      <c r="O391" s="4"/>
      <c r="P391" s="4"/>
      <c r="Q391" s="3"/>
      <c r="R391" s="3"/>
      <c r="S391" s="3"/>
      <c r="T391" s="3"/>
    </row>
    <row r="392" spans="1:20">
      <c r="A392" s="3">
        <v>4</v>
      </c>
      <c r="B392" s="3">
        <v>2</v>
      </c>
      <c r="C392" s="2">
        <v>50</v>
      </c>
      <c r="D392" s="2">
        <v>5</v>
      </c>
      <c r="E392" s="2">
        <v>16</v>
      </c>
      <c r="F392" s="17">
        <v>23</v>
      </c>
      <c r="H392" s="360">
        <v>1</v>
      </c>
      <c r="I392" s="359">
        <v>-0.77552627818168329</v>
      </c>
      <c r="K392" s="363"/>
      <c r="N392" s="10"/>
      <c r="O392" s="4"/>
      <c r="P392" s="4"/>
      <c r="Q392" s="3"/>
      <c r="R392" s="3"/>
      <c r="S392" s="3"/>
      <c r="T392" s="3"/>
    </row>
    <row r="393" spans="1:20">
      <c r="A393" s="3">
        <v>5</v>
      </c>
      <c r="B393" s="3">
        <v>2</v>
      </c>
      <c r="C393" s="2">
        <v>50</v>
      </c>
      <c r="D393" s="2">
        <v>5</v>
      </c>
      <c r="E393" s="2">
        <v>16</v>
      </c>
      <c r="F393" s="17">
        <v>24</v>
      </c>
      <c r="H393" s="360">
        <v>1</v>
      </c>
      <c r="I393" s="359">
        <v>0.12530602139091659</v>
      </c>
      <c r="K393" s="363"/>
      <c r="N393" s="10"/>
      <c r="O393" s="4"/>
      <c r="P393" s="4"/>
      <c r="Q393" s="3"/>
      <c r="R393" s="3"/>
      <c r="S393" s="3"/>
      <c r="T393" s="3"/>
    </row>
    <row r="394" spans="1:20">
      <c r="A394" s="3">
        <v>3</v>
      </c>
      <c r="B394" s="3">
        <v>1</v>
      </c>
      <c r="C394" s="2">
        <v>25</v>
      </c>
      <c r="D394" s="2">
        <v>5</v>
      </c>
      <c r="E394" s="2">
        <v>16</v>
      </c>
      <c r="F394" s="17">
        <v>24</v>
      </c>
      <c r="H394" s="361">
        <v>1.141737716874125E-2</v>
      </c>
      <c r="I394" s="361">
        <v>0.1012136974425661</v>
      </c>
      <c r="K394" s="363"/>
      <c r="N394" s="10"/>
      <c r="O394" s="4"/>
      <c r="P394" s="4"/>
      <c r="Q394" s="3"/>
      <c r="R394" s="3"/>
      <c r="S394" s="3"/>
      <c r="T394" s="3"/>
    </row>
    <row r="395" spans="1:20">
      <c r="A395" s="3">
        <v>1</v>
      </c>
      <c r="B395" s="3">
        <v>2</v>
      </c>
      <c r="C395" s="2">
        <v>25</v>
      </c>
      <c r="D395" s="2">
        <v>5</v>
      </c>
      <c r="E395" s="2">
        <v>1</v>
      </c>
      <c r="F395" s="17">
        <v>24</v>
      </c>
      <c r="H395" s="360">
        <v>0</v>
      </c>
      <c r="I395" s="360">
        <v>0</v>
      </c>
      <c r="K395" s="363"/>
      <c r="N395" s="10"/>
      <c r="O395" s="4"/>
      <c r="P395" s="4"/>
      <c r="Q395" s="3"/>
      <c r="R395" s="3"/>
      <c r="S395" s="3"/>
      <c r="T395" s="3"/>
    </row>
    <row r="396" spans="1:20">
      <c r="A396" s="3">
        <v>2</v>
      </c>
      <c r="B396" s="3">
        <v>2</v>
      </c>
      <c r="C396" s="2">
        <v>25</v>
      </c>
      <c r="D396" s="2">
        <v>5</v>
      </c>
      <c r="E396" s="2">
        <v>1</v>
      </c>
      <c r="F396" s="17">
        <v>24</v>
      </c>
      <c r="H396" s="361">
        <v>0</v>
      </c>
      <c r="I396" s="361">
        <v>0</v>
      </c>
      <c r="K396" s="363"/>
      <c r="N396" s="10"/>
      <c r="O396" s="4"/>
      <c r="P396" s="4"/>
      <c r="Q396" s="3"/>
      <c r="R396" s="3"/>
      <c r="S396" s="3"/>
      <c r="T396" s="3"/>
    </row>
    <row r="397" spans="1:20">
      <c r="A397" s="3">
        <v>2</v>
      </c>
      <c r="B397" s="3">
        <v>2</v>
      </c>
      <c r="C397" s="2">
        <v>25</v>
      </c>
      <c r="D397" s="2">
        <v>5</v>
      </c>
      <c r="E397" s="2">
        <v>16</v>
      </c>
      <c r="F397" s="17">
        <v>24</v>
      </c>
      <c r="H397" s="361">
        <v>0</v>
      </c>
      <c r="I397" s="361">
        <v>0</v>
      </c>
      <c r="K397" s="363"/>
      <c r="N397" s="10"/>
      <c r="O397" s="4"/>
      <c r="P397" s="4"/>
      <c r="Q397" s="3"/>
      <c r="R397" s="3"/>
      <c r="S397" s="3"/>
      <c r="T397" s="3"/>
    </row>
    <row r="398" spans="1:20">
      <c r="A398" s="3">
        <v>3</v>
      </c>
      <c r="B398" s="3">
        <v>2</v>
      </c>
      <c r="C398" s="2">
        <v>25</v>
      </c>
      <c r="D398" s="2">
        <v>5</v>
      </c>
      <c r="E398" s="2">
        <v>1</v>
      </c>
      <c r="F398" s="17">
        <v>24</v>
      </c>
      <c r="H398" s="361">
        <v>0</v>
      </c>
      <c r="I398" s="361">
        <v>0</v>
      </c>
      <c r="K398" s="363"/>
      <c r="N398" s="10"/>
      <c r="O398" s="4"/>
      <c r="P398" s="4"/>
      <c r="Q398" s="3"/>
      <c r="R398" s="3"/>
      <c r="S398" s="3"/>
      <c r="T398" s="3"/>
    </row>
    <row r="399" spans="1:20">
      <c r="A399" s="3">
        <v>2</v>
      </c>
      <c r="B399" s="3">
        <v>1</v>
      </c>
      <c r="C399" s="2">
        <v>25</v>
      </c>
      <c r="D399" s="2">
        <v>5</v>
      </c>
      <c r="E399" s="2">
        <v>1</v>
      </c>
      <c r="F399" s="17">
        <v>24</v>
      </c>
      <c r="H399" s="360">
        <v>0</v>
      </c>
      <c r="I399" s="360">
        <v>0</v>
      </c>
      <c r="K399" s="363"/>
      <c r="N399" s="10"/>
      <c r="O399" s="4"/>
      <c r="P399" s="4"/>
      <c r="Q399" s="3"/>
      <c r="R399" s="3"/>
      <c r="S399" s="3"/>
      <c r="T399" s="3"/>
    </row>
    <row r="400" spans="1:20">
      <c r="A400" s="3">
        <v>2</v>
      </c>
      <c r="B400" s="3">
        <v>1</v>
      </c>
      <c r="C400" s="2">
        <v>25</v>
      </c>
      <c r="D400" s="2">
        <v>5</v>
      </c>
      <c r="E400" s="2">
        <v>16</v>
      </c>
      <c r="F400" s="17">
        <v>24</v>
      </c>
      <c r="H400" s="361">
        <v>0</v>
      </c>
      <c r="I400" s="361">
        <v>0</v>
      </c>
      <c r="K400" s="363"/>
      <c r="N400" s="10"/>
      <c r="O400" s="4"/>
      <c r="P400" s="4"/>
      <c r="Q400" s="3"/>
      <c r="R400" s="3"/>
      <c r="S400" s="3"/>
      <c r="T400" s="3"/>
    </row>
    <row r="401" spans="1:20">
      <c r="A401" s="3">
        <v>3</v>
      </c>
      <c r="B401" s="3">
        <v>1</v>
      </c>
      <c r="C401" s="2">
        <v>25</v>
      </c>
      <c r="D401" s="2">
        <v>5</v>
      </c>
      <c r="E401" s="2">
        <v>1</v>
      </c>
      <c r="F401" s="17">
        <v>24</v>
      </c>
      <c r="H401" s="360">
        <v>0</v>
      </c>
      <c r="I401" s="360">
        <v>0</v>
      </c>
      <c r="K401" s="363"/>
      <c r="N401" s="10"/>
      <c r="O401" s="4"/>
      <c r="P401" s="4"/>
      <c r="Q401" s="3"/>
      <c r="R401" s="3"/>
      <c r="S401" s="3"/>
      <c r="T401" s="3"/>
    </row>
    <row r="402" spans="1:20">
      <c r="A402" s="3">
        <v>4</v>
      </c>
      <c r="B402" s="3">
        <v>2</v>
      </c>
      <c r="C402" s="2">
        <v>50</v>
      </c>
      <c r="D402" s="2">
        <v>5</v>
      </c>
      <c r="E402" s="2">
        <v>16</v>
      </c>
      <c r="F402" s="17">
        <v>24</v>
      </c>
      <c r="H402" s="360">
        <v>1</v>
      </c>
      <c r="I402" s="359">
        <v>-0.11207701885475153</v>
      </c>
      <c r="K402" s="363"/>
      <c r="N402" s="10"/>
      <c r="O402" s="4"/>
      <c r="P402" s="4"/>
      <c r="Q402" s="3"/>
      <c r="R402" s="3"/>
      <c r="S402" s="3"/>
      <c r="T402" s="3"/>
    </row>
    <row r="403" spans="1:20">
      <c r="A403" s="3">
        <v>1</v>
      </c>
      <c r="B403" s="3">
        <v>1</v>
      </c>
      <c r="C403" s="2">
        <v>25</v>
      </c>
      <c r="D403" s="2">
        <v>5</v>
      </c>
      <c r="E403" s="2">
        <v>1</v>
      </c>
      <c r="F403" s="17">
        <v>24</v>
      </c>
      <c r="H403" s="360">
        <v>1.6808470932134334E-2</v>
      </c>
      <c r="I403" s="360">
        <v>-0.40757042253521125</v>
      </c>
      <c r="K403" s="363"/>
      <c r="N403" s="10"/>
      <c r="O403" s="4"/>
      <c r="P403" s="4"/>
      <c r="Q403" s="3"/>
      <c r="R403" s="3"/>
      <c r="S403" s="3"/>
      <c r="T403" s="3"/>
    </row>
    <row r="404" spans="1:20">
      <c r="A404" s="3">
        <v>1</v>
      </c>
      <c r="B404" s="3">
        <v>1</v>
      </c>
      <c r="C404" s="2">
        <v>25</v>
      </c>
      <c r="D404" s="2">
        <v>30</v>
      </c>
      <c r="E404" s="2">
        <v>16</v>
      </c>
      <c r="F404" s="17">
        <v>24</v>
      </c>
      <c r="H404" s="360">
        <v>0.46247922511789463</v>
      </c>
      <c r="I404" s="360">
        <v>-0.4874738816090235</v>
      </c>
      <c r="K404" s="363"/>
      <c r="N404" s="10"/>
      <c r="O404" s="4"/>
      <c r="P404" s="4"/>
      <c r="Q404" s="3"/>
      <c r="R404" s="3"/>
      <c r="S404" s="3"/>
      <c r="T404" s="3"/>
    </row>
    <row r="405" spans="1:20">
      <c r="A405" s="3">
        <v>1</v>
      </c>
      <c r="B405" s="3">
        <v>2</v>
      </c>
      <c r="C405" s="2">
        <v>25</v>
      </c>
      <c r="D405" s="2">
        <v>30</v>
      </c>
      <c r="E405" s="2">
        <v>16</v>
      </c>
      <c r="F405" s="17">
        <v>24</v>
      </c>
      <c r="H405" s="360">
        <v>0.99316155187815569</v>
      </c>
      <c r="I405" s="360">
        <v>-0.63178403128730842</v>
      </c>
      <c r="K405" s="363"/>
      <c r="N405" s="10"/>
      <c r="O405" s="4"/>
      <c r="P405" s="4"/>
      <c r="Q405" s="3"/>
      <c r="R405" s="3"/>
      <c r="S405" s="3"/>
      <c r="T405" s="3"/>
    </row>
    <row r="406" spans="1:20">
      <c r="A406" s="3">
        <v>3</v>
      </c>
      <c r="B406" s="3">
        <v>2</v>
      </c>
      <c r="C406" s="2">
        <v>25</v>
      </c>
      <c r="D406" s="2">
        <v>5</v>
      </c>
      <c r="E406" s="2">
        <v>16</v>
      </c>
      <c r="F406" s="17">
        <v>24</v>
      </c>
      <c r="H406" s="360">
        <v>0.2603555594117164</v>
      </c>
      <c r="I406" s="360">
        <v>-0.67230843744401914</v>
      </c>
      <c r="K406" s="363"/>
      <c r="N406" s="10"/>
      <c r="O406" s="4"/>
      <c r="P406" s="4"/>
      <c r="Q406" s="3"/>
      <c r="R406" s="3"/>
      <c r="S406" s="3"/>
      <c r="T406" s="3"/>
    </row>
    <row r="407" spans="1:20">
      <c r="A407" s="3">
        <v>1</v>
      </c>
      <c r="B407" s="3">
        <v>1</v>
      </c>
      <c r="C407" s="2">
        <v>25</v>
      </c>
      <c r="D407" s="2">
        <v>5</v>
      </c>
      <c r="E407" s="2">
        <v>16</v>
      </c>
      <c r="F407" s="17">
        <v>24</v>
      </c>
      <c r="H407" s="360">
        <v>0.29621797990723808</v>
      </c>
      <c r="I407" s="360">
        <v>-0.67826422136502706</v>
      </c>
      <c r="K407" s="363"/>
      <c r="N407" s="10"/>
      <c r="O407" s="4"/>
      <c r="P407" s="4"/>
      <c r="Q407" s="3"/>
      <c r="R407" s="3"/>
      <c r="S407" s="3"/>
      <c r="T407" s="3"/>
    </row>
    <row r="408" spans="1:20">
      <c r="A408" s="3">
        <v>1</v>
      </c>
      <c r="B408" s="3">
        <v>2</v>
      </c>
      <c r="C408" s="2">
        <v>25</v>
      </c>
      <c r="D408" s="2">
        <v>5</v>
      </c>
      <c r="E408" s="2">
        <v>16</v>
      </c>
      <c r="F408" s="17">
        <v>24</v>
      </c>
      <c r="H408" s="360">
        <v>0.35925289630667712</v>
      </c>
      <c r="I408" s="360">
        <v>-0.83104785694877381</v>
      </c>
      <c r="K408" s="363"/>
      <c r="N408" s="10"/>
      <c r="O408" s="4"/>
      <c r="P408" s="4"/>
      <c r="Q408" s="3"/>
      <c r="R408" s="3"/>
      <c r="S408" s="3"/>
      <c r="T408" s="3"/>
    </row>
    <row r="409" spans="1:20">
      <c r="A409" s="3">
        <v>1</v>
      </c>
      <c r="B409" s="3">
        <v>2</v>
      </c>
      <c r="C409" s="2">
        <v>25</v>
      </c>
      <c r="D409" s="2">
        <v>5</v>
      </c>
      <c r="E409" s="2">
        <v>16</v>
      </c>
      <c r="F409" s="17">
        <v>24</v>
      </c>
      <c r="H409" s="361">
        <v>0.46307973083630216</v>
      </c>
      <c r="I409" s="361">
        <v>-0.84560036901537605</v>
      </c>
      <c r="K409" s="363"/>
      <c r="N409" s="10"/>
      <c r="O409" s="4"/>
      <c r="P409" s="4"/>
      <c r="Q409" s="3"/>
      <c r="R409" s="3"/>
      <c r="S409" s="3"/>
      <c r="T409" s="3"/>
    </row>
    <row r="410" spans="1:20">
      <c r="A410" s="3">
        <v>5</v>
      </c>
      <c r="B410" s="3">
        <v>2</v>
      </c>
      <c r="C410" s="2">
        <v>50</v>
      </c>
      <c r="D410" s="2">
        <v>5</v>
      </c>
      <c r="E410" s="2">
        <v>16</v>
      </c>
      <c r="F410" s="17">
        <v>25</v>
      </c>
      <c r="H410" s="360">
        <v>1</v>
      </c>
      <c r="I410" s="359">
        <v>0.32792171696176031</v>
      </c>
      <c r="K410" s="363"/>
      <c r="N410" s="10"/>
      <c r="O410" s="4"/>
      <c r="P410" s="4"/>
      <c r="Q410" s="3"/>
      <c r="R410" s="3"/>
      <c r="S410" s="3"/>
      <c r="T410" s="3"/>
    </row>
    <row r="411" spans="1:20">
      <c r="A411" s="3">
        <v>1</v>
      </c>
      <c r="B411" s="3">
        <v>2</v>
      </c>
      <c r="C411" s="2">
        <v>25</v>
      </c>
      <c r="D411" s="2">
        <v>30</v>
      </c>
      <c r="E411" s="2">
        <v>16</v>
      </c>
      <c r="F411" s="17">
        <v>25</v>
      </c>
      <c r="H411" s="360">
        <v>1</v>
      </c>
      <c r="I411" s="360">
        <v>-0.47011025859277233</v>
      </c>
      <c r="K411" s="363"/>
      <c r="N411" s="10"/>
      <c r="O411" s="4"/>
      <c r="P411" s="4"/>
      <c r="Q411" s="3"/>
      <c r="R411" s="3"/>
      <c r="S411" s="3"/>
      <c r="T411" s="3"/>
    </row>
    <row r="412" spans="1:20">
      <c r="A412" s="3">
        <v>1</v>
      </c>
      <c r="B412" s="3">
        <v>2</v>
      </c>
      <c r="C412" s="2">
        <v>25</v>
      </c>
      <c r="D412" s="2">
        <v>5</v>
      </c>
      <c r="E412" s="2">
        <v>16</v>
      </c>
      <c r="F412" s="17">
        <v>25</v>
      </c>
      <c r="H412" s="360">
        <v>1</v>
      </c>
      <c r="I412" s="360">
        <v>-0.52598092306458677</v>
      </c>
      <c r="K412" s="363"/>
      <c r="N412" s="10"/>
      <c r="O412" s="4"/>
      <c r="P412" s="4"/>
      <c r="Q412" s="3"/>
      <c r="R412" s="3"/>
      <c r="S412" s="3"/>
      <c r="T412" s="3"/>
    </row>
    <row r="413" spans="1:20">
      <c r="A413" s="3">
        <v>1</v>
      </c>
      <c r="B413" s="3">
        <v>2</v>
      </c>
      <c r="C413" s="2">
        <v>25</v>
      </c>
      <c r="D413" s="2">
        <v>5</v>
      </c>
      <c r="E413" s="2">
        <v>1</v>
      </c>
      <c r="F413" s="17">
        <v>25</v>
      </c>
      <c r="H413" s="360">
        <v>0.96114907765523849</v>
      </c>
      <c r="I413" s="360">
        <v>-0.537949317548301</v>
      </c>
      <c r="K413" s="363"/>
      <c r="N413" s="10"/>
      <c r="O413" s="4"/>
      <c r="P413" s="4"/>
      <c r="Q413" s="3"/>
      <c r="R413" s="3"/>
      <c r="S413" s="3"/>
      <c r="T413" s="3"/>
    </row>
    <row r="414" spans="1:20">
      <c r="A414" s="3">
        <v>1</v>
      </c>
      <c r="B414" s="3">
        <v>2</v>
      </c>
      <c r="C414" s="2">
        <v>25</v>
      </c>
      <c r="D414" s="2">
        <v>5</v>
      </c>
      <c r="E414" s="2">
        <v>16</v>
      </c>
      <c r="F414" s="17">
        <v>25</v>
      </c>
      <c r="H414" s="361">
        <v>1</v>
      </c>
      <c r="I414" s="361">
        <v>-0.55970104822089939</v>
      </c>
      <c r="K414" s="363"/>
      <c r="N414" s="10"/>
      <c r="O414" s="4"/>
      <c r="P414" s="4"/>
      <c r="Q414" s="3"/>
      <c r="R414" s="3"/>
      <c r="S414" s="3"/>
      <c r="T414" s="3"/>
    </row>
    <row r="415" spans="1:20">
      <c r="A415" s="3">
        <v>1</v>
      </c>
      <c r="B415" s="3">
        <v>1</v>
      </c>
      <c r="C415" s="2">
        <v>25</v>
      </c>
      <c r="D415" s="2">
        <v>30</v>
      </c>
      <c r="E415" s="2">
        <v>16</v>
      </c>
      <c r="F415" s="17">
        <v>25</v>
      </c>
      <c r="H415" s="360">
        <v>1</v>
      </c>
      <c r="I415" s="360">
        <v>-0.62197544942826521</v>
      </c>
      <c r="K415" s="363"/>
      <c r="N415" s="10"/>
      <c r="O415" s="4"/>
      <c r="P415" s="4"/>
      <c r="Q415" s="3"/>
      <c r="R415" s="3"/>
      <c r="S415" s="3"/>
      <c r="T415" s="3"/>
    </row>
    <row r="416" spans="1:20">
      <c r="A416" s="3">
        <v>3</v>
      </c>
      <c r="B416" s="3">
        <v>2</v>
      </c>
      <c r="C416" s="2">
        <v>25</v>
      </c>
      <c r="D416" s="2">
        <v>5</v>
      </c>
      <c r="E416" s="2">
        <v>16</v>
      </c>
      <c r="F416" s="17">
        <v>25</v>
      </c>
      <c r="H416" s="360">
        <v>1</v>
      </c>
      <c r="I416" s="360">
        <v>-0.69851721358162644</v>
      </c>
      <c r="K416" s="363"/>
      <c r="N416" s="10"/>
      <c r="O416" s="4"/>
      <c r="P416" s="4"/>
      <c r="Q416" s="3"/>
      <c r="R416" s="3"/>
      <c r="S416" s="3"/>
      <c r="T416" s="3"/>
    </row>
    <row r="417" spans="1:20">
      <c r="A417" s="3">
        <v>3</v>
      </c>
      <c r="B417" s="3">
        <v>2</v>
      </c>
      <c r="C417" s="2">
        <v>25</v>
      </c>
      <c r="D417" s="2">
        <v>5</v>
      </c>
      <c r="E417" s="2">
        <v>1</v>
      </c>
      <c r="F417" s="17">
        <v>25</v>
      </c>
      <c r="H417" s="361">
        <v>1</v>
      </c>
      <c r="I417" s="361">
        <v>-0.73846785536442816</v>
      </c>
      <c r="K417" s="363"/>
      <c r="N417" s="10"/>
      <c r="O417" s="4"/>
      <c r="P417" s="4"/>
      <c r="Q417" s="3"/>
      <c r="R417" s="3"/>
      <c r="S417" s="3"/>
      <c r="T417" s="3"/>
    </row>
    <row r="418" spans="1:20">
      <c r="A418" s="3">
        <v>1</v>
      </c>
      <c r="B418" s="3">
        <v>1</v>
      </c>
      <c r="C418" s="2">
        <v>25</v>
      </c>
      <c r="D418" s="2">
        <v>5</v>
      </c>
      <c r="E418" s="2">
        <v>1</v>
      </c>
      <c r="F418" s="17">
        <v>25</v>
      </c>
      <c r="H418" s="360">
        <v>1</v>
      </c>
      <c r="I418" s="360">
        <v>-0.7395085154574027</v>
      </c>
      <c r="K418" s="363"/>
      <c r="N418" s="10"/>
      <c r="O418" s="4"/>
      <c r="P418" s="4"/>
      <c r="Q418" s="3"/>
      <c r="R418" s="3"/>
      <c r="S418" s="3"/>
      <c r="T418" s="3"/>
    </row>
    <row r="419" spans="1:20">
      <c r="A419" s="3">
        <v>1</v>
      </c>
      <c r="B419" s="3">
        <v>1</v>
      </c>
      <c r="C419" s="2">
        <v>25</v>
      </c>
      <c r="D419" s="2">
        <v>5</v>
      </c>
      <c r="E419" s="2">
        <v>16</v>
      </c>
      <c r="F419" s="17">
        <v>25</v>
      </c>
      <c r="H419" s="360">
        <v>1</v>
      </c>
      <c r="I419" s="360">
        <v>-0.74142082425133438</v>
      </c>
      <c r="K419" s="363"/>
      <c r="N419" s="10"/>
      <c r="O419" s="4"/>
      <c r="P419" s="4"/>
      <c r="Q419" s="3"/>
      <c r="R419" s="3"/>
      <c r="S419" s="3"/>
      <c r="T419" s="3"/>
    </row>
    <row r="420" spans="1:20">
      <c r="A420" s="3">
        <v>3</v>
      </c>
      <c r="B420" s="3">
        <v>1</v>
      </c>
      <c r="C420" s="2">
        <v>25</v>
      </c>
      <c r="D420" s="2">
        <v>5</v>
      </c>
      <c r="E420" s="2">
        <v>1</v>
      </c>
      <c r="F420" s="17">
        <v>25</v>
      </c>
      <c r="H420" s="360">
        <v>0.98558401989591349</v>
      </c>
      <c r="I420" s="360">
        <v>-0.84060937389382095</v>
      </c>
      <c r="K420" s="363"/>
      <c r="N420" s="10"/>
      <c r="O420" s="4"/>
      <c r="P420" s="4"/>
      <c r="Q420" s="3"/>
      <c r="R420" s="3"/>
      <c r="S420" s="3"/>
      <c r="T420" s="3"/>
    </row>
    <row r="421" spans="1:20">
      <c r="A421" s="3">
        <v>4</v>
      </c>
      <c r="B421" s="3">
        <v>2</v>
      </c>
      <c r="C421" s="2">
        <v>50</v>
      </c>
      <c r="D421" s="2">
        <v>5</v>
      </c>
      <c r="E421" s="2">
        <v>16</v>
      </c>
      <c r="F421" s="17">
        <v>25</v>
      </c>
      <c r="H421" s="360">
        <v>1</v>
      </c>
      <c r="I421" s="359">
        <v>-0.84063084254688747</v>
      </c>
      <c r="K421" s="363"/>
      <c r="N421" s="10"/>
      <c r="O421" s="4"/>
      <c r="P421" s="4"/>
      <c r="Q421" s="3"/>
      <c r="R421" s="3"/>
      <c r="S421" s="3"/>
      <c r="T421" s="3"/>
    </row>
    <row r="422" spans="1:20">
      <c r="A422" s="3">
        <v>3</v>
      </c>
      <c r="B422" s="3">
        <v>1</v>
      </c>
      <c r="C422" s="2">
        <v>25</v>
      </c>
      <c r="D422" s="2">
        <v>5</v>
      </c>
      <c r="E422" s="2">
        <v>16</v>
      </c>
      <c r="F422" s="17">
        <v>25</v>
      </c>
      <c r="H422" s="361">
        <v>1</v>
      </c>
      <c r="I422" s="361">
        <v>-0.86456833269276678</v>
      </c>
      <c r="K422" s="363"/>
      <c r="N422" s="10"/>
      <c r="O422" s="4"/>
      <c r="P422" s="4"/>
      <c r="Q422" s="3"/>
      <c r="R422" s="3"/>
      <c r="S422" s="3"/>
      <c r="T422" s="3"/>
    </row>
    <row r="423" spans="1:20">
      <c r="A423" s="3">
        <v>2</v>
      </c>
      <c r="B423" s="3">
        <v>1</v>
      </c>
      <c r="C423" s="2">
        <v>25</v>
      </c>
      <c r="D423" s="2">
        <v>5</v>
      </c>
      <c r="E423" s="2">
        <v>1</v>
      </c>
      <c r="F423" s="17">
        <v>25</v>
      </c>
      <c r="H423" s="360">
        <v>1</v>
      </c>
      <c r="I423" s="360">
        <v>-1</v>
      </c>
      <c r="K423" s="363"/>
      <c r="N423" s="10"/>
      <c r="O423" s="4"/>
      <c r="P423" s="4"/>
      <c r="Q423" s="3"/>
      <c r="R423" s="3"/>
      <c r="S423" s="3"/>
      <c r="T423" s="3"/>
    </row>
    <row r="424" spans="1:20">
      <c r="A424" s="3">
        <v>2</v>
      </c>
      <c r="B424" s="3">
        <v>1</v>
      </c>
      <c r="C424" s="2">
        <v>25</v>
      </c>
      <c r="D424" s="2">
        <v>5</v>
      </c>
      <c r="E424" s="2">
        <v>16</v>
      </c>
      <c r="F424" s="17">
        <v>25</v>
      </c>
      <c r="H424" s="361">
        <v>1</v>
      </c>
      <c r="I424" s="361">
        <v>-1</v>
      </c>
      <c r="K424" s="363"/>
      <c r="N424" s="10"/>
      <c r="O424" s="4"/>
      <c r="P424" s="4"/>
      <c r="Q424" s="3"/>
      <c r="R424" s="3"/>
      <c r="S424" s="3"/>
      <c r="T424" s="3"/>
    </row>
    <row r="425" spans="1:20">
      <c r="A425" s="3">
        <v>2</v>
      </c>
      <c r="B425" s="3">
        <v>2</v>
      </c>
      <c r="C425" s="2">
        <v>25</v>
      </c>
      <c r="D425" s="2">
        <v>5</v>
      </c>
      <c r="E425" s="2">
        <v>1</v>
      </c>
      <c r="F425" s="17">
        <v>25</v>
      </c>
      <c r="H425" s="361">
        <v>0.71028746535311282</v>
      </c>
      <c r="I425" s="361">
        <v>-1</v>
      </c>
      <c r="K425" s="363"/>
      <c r="N425" s="10"/>
      <c r="O425" s="4"/>
      <c r="P425" s="4"/>
      <c r="Q425" s="3"/>
      <c r="R425" s="3"/>
      <c r="S425" s="3"/>
      <c r="T425" s="3"/>
    </row>
    <row r="426" spans="1:20">
      <c r="A426" s="3">
        <v>2</v>
      </c>
      <c r="B426" s="3">
        <v>2</v>
      </c>
      <c r="C426" s="2">
        <v>25</v>
      </c>
      <c r="D426" s="2">
        <v>5</v>
      </c>
      <c r="E426" s="2">
        <v>16</v>
      </c>
      <c r="F426" s="17">
        <v>25</v>
      </c>
      <c r="H426" s="361">
        <v>1</v>
      </c>
      <c r="I426" s="361">
        <v>-1</v>
      </c>
      <c r="K426" s="363"/>
      <c r="N426" s="10"/>
      <c r="O426" s="4"/>
      <c r="P426" s="4"/>
      <c r="Q426" s="3"/>
      <c r="R426" s="3"/>
      <c r="S426" s="3"/>
      <c r="T426" s="3"/>
    </row>
    <row r="427" spans="1:20">
      <c r="A427" s="3">
        <v>5</v>
      </c>
      <c r="B427" s="3">
        <v>2</v>
      </c>
      <c r="C427" s="2">
        <v>50</v>
      </c>
      <c r="D427" s="2">
        <v>5</v>
      </c>
      <c r="E427" s="2">
        <v>16</v>
      </c>
      <c r="F427" s="17">
        <v>26</v>
      </c>
      <c r="H427" s="360">
        <v>1</v>
      </c>
      <c r="I427" s="359">
        <v>0.56589294442999061</v>
      </c>
      <c r="K427" s="363"/>
      <c r="N427" s="10"/>
      <c r="O427" s="4"/>
      <c r="P427" s="4"/>
      <c r="Q427" s="3"/>
      <c r="R427" s="3"/>
      <c r="S427" s="3"/>
      <c r="T427" s="3"/>
    </row>
    <row r="428" spans="1:20">
      <c r="A428" s="3">
        <v>1</v>
      </c>
      <c r="B428" s="3">
        <v>2</v>
      </c>
      <c r="C428" s="2">
        <v>25</v>
      </c>
      <c r="D428" s="2">
        <v>30</v>
      </c>
      <c r="E428" s="2">
        <v>16</v>
      </c>
      <c r="F428" s="17">
        <v>26</v>
      </c>
      <c r="H428" s="360">
        <v>1</v>
      </c>
      <c r="I428" s="360">
        <v>-0.61058041869640212</v>
      </c>
      <c r="K428" s="363"/>
      <c r="N428" s="10"/>
      <c r="O428" s="4"/>
      <c r="P428" s="4"/>
      <c r="Q428" s="3"/>
      <c r="R428" s="3"/>
      <c r="S428" s="3"/>
      <c r="T428" s="3"/>
    </row>
    <row r="429" spans="1:20">
      <c r="A429" s="3">
        <v>4</v>
      </c>
      <c r="B429" s="3">
        <v>2</v>
      </c>
      <c r="C429" s="2">
        <v>50</v>
      </c>
      <c r="D429" s="2">
        <v>5</v>
      </c>
      <c r="E429" s="2">
        <v>16</v>
      </c>
      <c r="F429" s="17">
        <v>26</v>
      </c>
      <c r="H429" s="360">
        <v>1</v>
      </c>
      <c r="I429" s="359">
        <v>-0.66979646073745003</v>
      </c>
      <c r="K429" s="363"/>
      <c r="N429" s="10"/>
      <c r="O429" s="4"/>
      <c r="P429" s="4"/>
      <c r="Q429" s="3"/>
      <c r="R429" s="3"/>
      <c r="S429" s="3"/>
      <c r="T429" s="3"/>
    </row>
    <row r="430" spans="1:20">
      <c r="A430" s="3">
        <v>3</v>
      </c>
      <c r="B430" s="3">
        <v>2</v>
      </c>
      <c r="C430" s="2">
        <v>25</v>
      </c>
      <c r="D430" s="2">
        <v>5</v>
      </c>
      <c r="E430" s="2">
        <v>16</v>
      </c>
      <c r="F430" s="17">
        <v>26</v>
      </c>
      <c r="H430" s="360">
        <v>1</v>
      </c>
      <c r="I430" s="360">
        <v>-0.76471336026246783</v>
      </c>
      <c r="K430" s="363"/>
      <c r="N430" s="10"/>
      <c r="O430" s="4"/>
      <c r="P430" s="4"/>
      <c r="Q430" s="3"/>
      <c r="R430" s="3"/>
      <c r="S430" s="3"/>
      <c r="T430" s="3"/>
    </row>
    <row r="431" spans="1:20">
      <c r="A431" s="3">
        <v>3</v>
      </c>
      <c r="B431" s="3">
        <v>2</v>
      </c>
      <c r="C431" s="2">
        <v>25</v>
      </c>
      <c r="D431" s="2">
        <v>5</v>
      </c>
      <c r="E431" s="2">
        <v>1</v>
      </c>
      <c r="F431" s="17">
        <v>26</v>
      </c>
      <c r="H431" s="361">
        <v>1</v>
      </c>
      <c r="I431" s="361">
        <v>-0.79347118852734311</v>
      </c>
      <c r="K431" s="363"/>
      <c r="N431" s="10"/>
      <c r="O431" s="4"/>
      <c r="P431" s="4"/>
      <c r="Q431" s="3"/>
      <c r="R431" s="3"/>
      <c r="S431" s="3"/>
      <c r="T431" s="3"/>
    </row>
    <row r="432" spans="1:20">
      <c r="A432" s="3">
        <v>1</v>
      </c>
      <c r="B432" s="3">
        <v>2</v>
      </c>
      <c r="C432" s="2">
        <v>25</v>
      </c>
      <c r="D432" s="2">
        <v>5</v>
      </c>
      <c r="E432" s="2">
        <v>16</v>
      </c>
      <c r="F432" s="17">
        <v>26</v>
      </c>
      <c r="H432" s="360">
        <v>1</v>
      </c>
      <c r="I432" s="360">
        <v>-0.82048355757030822</v>
      </c>
      <c r="K432" s="363"/>
      <c r="N432" s="10"/>
      <c r="O432" s="4"/>
      <c r="P432" s="4"/>
      <c r="Q432" s="3"/>
      <c r="R432" s="3"/>
      <c r="S432" s="3"/>
      <c r="T432" s="3"/>
    </row>
    <row r="433" spans="1:20">
      <c r="A433" s="3">
        <v>1</v>
      </c>
      <c r="B433" s="3">
        <v>2</v>
      </c>
      <c r="C433" s="2">
        <v>25</v>
      </c>
      <c r="D433" s="2">
        <v>5</v>
      </c>
      <c r="E433" s="2">
        <v>16</v>
      </c>
      <c r="F433" s="17">
        <v>26</v>
      </c>
      <c r="H433" s="361">
        <v>1</v>
      </c>
      <c r="I433" s="361">
        <v>-0.82467284295136434</v>
      </c>
      <c r="K433" s="363"/>
      <c r="N433" s="10"/>
      <c r="O433" s="4"/>
      <c r="P433" s="4"/>
      <c r="Q433" s="3"/>
      <c r="R433" s="3"/>
      <c r="S433" s="3"/>
      <c r="T433" s="3"/>
    </row>
    <row r="434" spans="1:20">
      <c r="A434" s="3">
        <v>1</v>
      </c>
      <c r="B434" s="3">
        <v>2</v>
      </c>
      <c r="C434" s="2">
        <v>25</v>
      </c>
      <c r="D434" s="2">
        <v>5</v>
      </c>
      <c r="E434" s="2">
        <v>1</v>
      </c>
      <c r="F434" s="17">
        <v>26</v>
      </c>
      <c r="H434" s="360">
        <v>1</v>
      </c>
      <c r="I434" s="360">
        <v>-0.82771622923285937</v>
      </c>
      <c r="K434" s="363"/>
      <c r="N434" s="10"/>
      <c r="O434" s="4"/>
      <c r="P434" s="4"/>
      <c r="Q434" s="3"/>
      <c r="R434" s="3"/>
      <c r="S434" s="3"/>
      <c r="T434" s="3"/>
    </row>
    <row r="435" spans="1:20">
      <c r="A435" s="3">
        <v>1</v>
      </c>
      <c r="B435" s="3">
        <v>1</v>
      </c>
      <c r="C435" s="2">
        <v>25</v>
      </c>
      <c r="D435" s="2">
        <v>30</v>
      </c>
      <c r="E435" s="2">
        <v>16</v>
      </c>
      <c r="F435" s="17">
        <v>26</v>
      </c>
      <c r="H435" s="360">
        <v>1</v>
      </c>
      <c r="I435" s="360">
        <v>-0.87563104400028269</v>
      </c>
      <c r="K435" s="363"/>
      <c r="N435" s="10"/>
      <c r="O435" s="4"/>
      <c r="P435" s="4"/>
      <c r="Q435" s="3"/>
      <c r="R435" s="3"/>
      <c r="S435" s="3"/>
      <c r="T435" s="3"/>
    </row>
    <row r="436" spans="1:20">
      <c r="A436" s="3">
        <v>3</v>
      </c>
      <c r="B436" s="3">
        <v>1</v>
      </c>
      <c r="C436" s="2">
        <v>25</v>
      </c>
      <c r="D436" s="2">
        <v>5</v>
      </c>
      <c r="E436" s="2">
        <v>1</v>
      </c>
      <c r="F436" s="17">
        <v>26</v>
      </c>
      <c r="H436" s="360">
        <v>0.97529131396111135</v>
      </c>
      <c r="I436" s="360">
        <v>-0.88337672277649315</v>
      </c>
      <c r="K436" s="363"/>
      <c r="N436" s="10"/>
      <c r="O436" s="4"/>
      <c r="P436" s="4"/>
      <c r="Q436" s="3"/>
      <c r="R436" s="3"/>
      <c r="S436" s="3"/>
      <c r="T436" s="3"/>
    </row>
    <row r="437" spans="1:20">
      <c r="A437" s="3">
        <v>3</v>
      </c>
      <c r="B437" s="3">
        <v>1</v>
      </c>
      <c r="C437" s="2">
        <v>25</v>
      </c>
      <c r="D437" s="2">
        <v>5</v>
      </c>
      <c r="E437" s="2">
        <v>16</v>
      </c>
      <c r="F437" s="17">
        <v>26</v>
      </c>
      <c r="H437" s="361">
        <v>1</v>
      </c>
      <c r="I437" s="361">
        <v>-0.91775145769588984</v>
      </c>
      <c r="K437" s="363"/>
      <c r="N437" s="10"/>
      <c r="O437" s="4"/>
      <c r="P437" s="4"/>
      <c r="Q437" s="3"/>
      <c r="R437" s="3"/>
      <c r="S437" s="3"/>
      <c r="T437" s="3"/>
    </row>
    <row r="438" spans="1:20">
      <c r="A438" s="3">
        <v>1</v>
      </c>
      <c r="B438" s="3">
        <v>1</v>
      </c>
      <c r="C438" s="2">
        <v>25</v>
      </c>
      <c r="D438" s="2">
        <v>5</v>
      </c>
      <c r="E438" s="2">
        <v>16</v>
      </c>
      <c r="F438" s="17">
        <v>26</v>
      </c>
      <c r="H438" s="360">
        <v>1</v>
      </c>
      <c r="I438" s="360">
        <v>-0.92501617016158655</v>
      </c>
      <c r="K438" s="363"/>
      <c r="N438" s="10"/>
      <c r="O438" s="4"/>
      <c r="P438" s="4"/>
      <c r="Q438" s="3"/>
      <c r="R438" s="3"/>
      <c r="S438" s="3"/>
      <c r="T438" s="3"/>
    </row>
    <row r="439" spans="1:20">
      <c r="A439" s="3">
        <v>1</v>
      </c>
      <c r="B439" s="3">
        <v>1</v>
      </c>
      <c r="C439" s="2">
        <v>25</v>
      </c>
      <c r="D439" s="2">
        <v>5</v>
      </c>
      <c r="E439" s="2">
        <v>1</v>
      </c>
      <c r="F439" s="17">
        <v>26</v>
      </c>
      <c r="H439" s="360">
        <v>1</v>
      </c>
      <c r="I439" s="360">
        <v>-0.93714687809353692</v>
      </c>
      <c r="K439" s="363"/>
      <c r="N439" s="10"/>
      <c r="O439" s="4"/>
      <c r="P439" s="4"/>
      <c r="Q439" s="3"/>
      <c r="R439" s="3"/>
      <c r="S439" s="3"/>
      <c r="T439" s="3"/>
    </row>
    <row r="440" spans="1:20">
      <c r="A440" s="3">
        <v>2</v>
      </c>
      <c r="B440" s="3">
        <v>1</v>
      </c>
      <c r="C440" s="2">
        <v>25</v>
      </c>
      <c r="D440" s="2">
        <v>5</v>
      </c>
      <c r="E440" s="2">
        <v>1</v>
      </c>
      <c r="F440" s="17">
        <v>26</v>
      </c>
      <c r="H440" s="360">
        <v>1</v>
      </c>
      <c r="I440" s="360">
        <v>-1</v>
      </c>
      <c r="K440" s="363"/>
      <c r="N440" s="10"/>
      <c r="O440" s="4"/>
      <c r="P440" s="4"/>
      <c r="Q440" s="3"/>
      <c r="R440" s="3"/>
      <c r="S440" s="3"/>
      <c r="T440" s="3"/>
    </row>
    <row r="441" spans="1:20">
      <c r="A441" s="3">
        <v>2</v>
      </c>
      <c r="B441" s="3">
        <v>1</v>
      </c>
      <c r="C441" s="2">
        <v>25</v>
      </c>
      <c r="D441" s="2">
        <v>5</v>
      </c>
      <c r="E441" s="2">
        <v>16</v>
      </c>
      <c r="F441" s="17">
        <v>26</v>
      </c>
      <c r="H441" s="361">
        <v>1</v>
      </c>
      <c r="I441" s="361">
        <v>-1</v>
      </c>
      <c r="K441" s="363"/>
      <c r="N441" s="10"/>
      <c r="O441" s="4"/>
      <c r="P441" s="4"/>
      <c r="Q441" s="3"/>
      <c r="R441" s="3"/>
      <c r="S441" s="3"/>
      <c r="T441" s="3"/>
    </row>
    <row r="442" spans="1:20">
      <c r="A442" s="3">
        <v>2</v>
      </c>
      <c r="B442" s="3">
        <v>2</v>
      </c>
      <c r="C442" s="2">
        <v>25</v>
      </c>
      <c r="D442" s="2">
        <v>5</v>
      </c>
      <c r="E442" s="2">
        <v>1</v>
      </c>
      <c r="F442" s="17">
        <v>26</v>
      </c>
      <c r="H442" s="361">
        <v>1</v>
      </c>
      <c r="I442" s="361">
        <v>-1</v>
      </c>
      <c r="K442" s="363"/>
      <c r="N442" s="10"/>
      <c r="O442" s="4"/>
      <c r="P442" s="4"/>
      <c r="Q442" s="3"/>
      <c r="R442" s="3"/>
      <c r="S442" s="3"/>
      <c r="T442" s="3"/>
    </row>
    <row r="443" spans="1:20">
      <c r="A443" s="3">
        <v>2</v>
      </c>
      <c r="B443" s="3">
        <v>2</v>
      </c>
      <c r="C443" s="2">
        <v>25</v>
      </c>
      <c r="D443" s="2">
        <v>5</v>
      </c>
      <c r="E443" s="2">
        <v>16</v>
      </c>
      <c r="F443" s="17">
        <v>26</v>
      </c>
      <c r="H443" s="361">
        <v>1</v>
      </c>
      <c r="I443" s="361">
        <v>-1</v>
      </c>
      <c r="K443" s="363"/>
      <c r="N443" s="10"/>
      <c r="O443" s="4"/>
      <c r="P443" s="4"/>
      <c r="Q443" s="3"/>
      <c r="R443" s="3"/>
      <c r="S443" s="3"/>
      <c r="T443" s="3"/>
    </row>
    <row r="444" spans="1:20">
      <c r="A444" s="3">
        <v>4</v>
      </c>
      <c r="B444" s="3">
        <v>2</v>
      </c>
      <c r="C444" s="2">
        <v>50</v>
      </c>
      <c r="D444" s="2">
        <v>5</v>
      </c>
      <c r="E444" s="2">
        <v>16</v>
      </c>
      <c r="F444" s="17">
        <v>27</v>
      </c>
      <c r="H444" s="360">
        <v>1</v>
      </c>
      <c r="I444" s="359">
        <v>0.66618238202891378</v>
      </c>
      <c r="K444" s="363"/>
      <c r="N444" s="10"/>
      <c r="O444" s="4"/>
      <c r="P444" s="4"/>
      <c r="Q444" s="3"/>
      <c r="R444" s="3"/>
      <c r="S444" s="3"/>
      <c r="T444" s="3"/>
    </row>
    <row r="445" spans="1:20">
      <c r="A445" s="3">
        <v>2</v>
      </c>
      <c r="B445" s="3">
        <v>2</v>
      </c>
      <c r="C445" s="2">
        <v>25</v>
      </c>
      <c r="D445" s="2">
        <v>5</v>
      </c>
      <c r="E445" s="2">
        <v>1</v>
      </c>
      <c r="F445" s="17">
        <v>27</v>
      </c>
      <c r="H445" s="361">
        <v>0.4892746008023654</v>
      </c>
      <c r="I445" s="361">
        <v>0.27765259196040992</v>
      </c>
      <c r="K445" s="363"/>
      <c r="N445" s="10"/>
      <c r="O445" s="4"/>
      <c r="P445" s="4"/>
      <c r="Q445" s="3"/>
      <c r="R445" s="3"/>
      <c r="S445" s="3"/>
      <c r="T445" s="3"/>
    </row>
    <row r="446" spans="1:20">
      <c r="A446" s="3">
        <v>1</v>
      </c>
      <c r="B446" s="3">
        <v>1</v>
      </c>
      <c r="C446" s="2">
        <v>25</v>
      </c>
      <c r="D446" s="2">
        <v>30</v>
      </c>
      <c r="E446" s="2">
        <v>16</v>
      </c>
      <c r="F446" s="17">
        <v>27</v>
      </c>
      <c r="H446" s="360">
        <v>0.88175300939343304</v>
      </c>
      <c r="I446" s="360">
        <v>0.26142217542174317</v>
      </c>
      <c r="K446" s="363"/>
      <c r="N446" s="10"/>
      <c r="O446" s="4"/>
      <c r="P446" s="4"/>
      <c r="Q446" s="3"/>
      <c r="R446" s="3"/>
      <c r="S446" s="3"/>
      <c r="T446" s="3"/>
    </row>
    <row r="447" spans="1:20">
      <c r="A447" s="3">
        <v>3</v>
      </c>
      <c r="B447" s="3">
        <v>1</v>
      </c>
      <c r="C447" s="2">
        <v>25</v>
      </c>
      <c r="D447" s="2">
        <v>5</v>
      </c>
      <c r="E447" s="2">
        <v>1</v>
      </c>
      <c r="F447" s="17">
        <v>27</v>
      </c>
      <c r="H447" s="360">
        <v>0.58955953586091914</v>
      </c>
      <c r="I447" s="360">
        <v>0.18771473191046331</v>
      </c>
      <c r="K447" s="363"/>
      <c r="N447" s="10"/>
      <c r="O447" s="4"/>
      <c r="P447" s="4"/>
      <c r="Q447" s="3"/>
      <c r="R447" s="3"/>
      <c r="S447" s="3"/>
      <c r="T447" s="3"/>
    </row>
    <row r="448" spans="1:20">
      <c r="A448" s="3">
        <v>2</v>
      </c>
      <c r="B448" s="3">
        <v>2</v>
      </c>
      <c r="C448" s="2">
        <v>25</v>
      </c>
      <c r="D448" s="2">
        <v>5</v>
      </c>
      <c r="E448" s="2">
        <v>16</v>
      </c>
      <c r="F448" s="17">
        <v>27</v>
      </c>
      <c r="H448" s="361">
        <v>1</v>
      </c>
      <c r="I448" s="361">
        <v>0.18456395519324381</v>
      </c>
      <c r="K448" s="363"/>
      <c r="N448" s="10"/>
      <c r="O448" s="4"/>
      <c r="P448" s="4"/>
      <c r="Q448" s="3"/>
      <c r="R448" s="3"/>
      <c r="S448" s="3"/>
      <c r="T448" s="3"/>
    </row>
    <row r="449" spans="1:20">
      <c r="A449" s="3">
        <v>1</v>
      </c>
      <c r="B449" s="3">
        <v>1</v>
      </c>
      <c r="C449" s="2">
        <v>25</v>
      </c>
      <c r="D449" s="2">
        <v>5</v>
      </c>
      <c r="E449" s="2">
        <v>16</v>
      </c>
      <c r="F449" s="17">
        <v>27</v>
      </c>
      <c r="H449" s="360">
        <v>1</v>
      </c>
      <c r="I449" s="360">
        <v>0.14945303260515233</v>
      </c>
      <c r="K449" s="363"/>
      <c r="N449" s="10"/>
      <c r="O449" s="4"/>
      <c r="P449" s="4"/>
      <c r="Q449" s="3"/>
      <c r="R449" s="3"/>
      <c r="S449" s="3"/>
      <c r="T449" s="3"/>
    </row>
    <row r="450" spans="1:20">
      <c r="A450" s="3">
        <v>1</v>
      </c>
      <c r="B450" s="3">
        <v>1</v>
      </c>
      <c r="C450" s="2">
        <v>25</v>
      </c>
      <c r="D450" s="2">
        <v>5</v>
      </c>
      <c r="E450" s="2">
        <v>1</v>
      </c>
      <c r="F450" s="17">
        <v>27</v>
      </c>
      <c r="H450" s="360">
        <v>1</v>
      </c>
      <c r="I450" s="360">
        <v>0.14822313621255256</v>
      </c>
      <c r="K450" s="363"/>
      <c r="N450" s="10"/>
      <c r="O450" s="4"/>
      <c r="P450" s="4"/>
      <c r="Q450" s="3"/>
      <c r="R450" s="3"/>
      <c r="S450" s="3"/>
      <c r="T450" s="3"/>
    </row>
    <row r="451" spans="1:20">
      <c r="A451" s="3">
        <v>3</v>
      </c>
      <c r="B451" s="3">
        <v>2</v>
      </c>
      <c r="C451" s="2">
        <v>25</v>
      </c>
      <c r="D451" s="2">
        <v>5</v>
      </c>
      <c r="E451" s="2">
        <v>16</v>
      </c>
      <c r="F451" s="17">
        <v>27</v>
      </c>
      <c r="H451" s="360">
        <v>1</v>
      </c>
      <c r="I451" s="360">
        <v>0.14016749658533595</v>
      </c>
      <c r="K451" s="363"/>
      <c r="N451" s="10"/>
      <c r="O451" s="4"/>
      <c r="P451" s="4"/>
      <c r="Q451" s="3"/>
      <c r="R451" s="3"/>
      <c r="S451" s="3"/>
      <c r="T451" s="3"/>
    </row>
    <row r="452" spans="1:20">
      <c r="A452" s="3">
        <v>3</v>
      </c>
      <c r="B452" s="3">
        <v>1</v>
      </c>
      <c r="C452" s="2">
        <v>25</v>
      </c>
      <c r="D452" s="2">
        <v>5</v>
      </c>
      <c r="E452" s="2">
        <v>16</v>
      </c>
      <c r="F452" s="17">
        <v>27</v>
      </c>
      <c r="H452" s="361">
        <v>1</v>
      </c>
      <c r="I452" s="361">
        <v>0.10735385278710195</v>
      </c>
      <c r="K452" s="363"/>
      <c r="N452" s="10"/>
      <c r="O452" s="4"/>
      <c r="P452" s="4"/>
      <c r="Q452" s="3"/>
      <c r="R452" s="3"/>
      <c r="S452" s="3"/>
      <c r="T452" s="3"/>
    </row>
    <row r="453" spans="1:20">
      <c r="A453" s="3">
        <v>3</v>
      </c>
      <c r="B453" s="3">
        <v>2</v>
      </c>
      <c r="C453" s="2">
        <v>25</v>
      </c>
      <c r="D453" s="2">
        <v>5</v>
      </c>
      <c r="E453" s="2">
        <v>1</v>
      </c>
      <c r="F453" s="17">
        <v>27</v>
      </c>
      <c r="H453" s="361">
        <v>1</v>
      </c>
      <c r="I453" s="361">
        <v>0.10126540192510608</v>
      </c>
      <c r="K453" s="363"/>
      <c r="N453" s="10"/>
      <c r="O453" s="4"/>
      <c r="P453" s="4"/>
      <c r="Q453" s="3"/>
      <c r="R453" s="3"/>
      <c r="S453" s="3"/>
      <c r="T453" s="3"/>
    </row>
    <row r="454" spans="1:20">
      <c r="A454" s="3">
        <v>1</v>
      </c>
      <c r="B454" s="3">
        <v>2</v>
      </c>
      <c r="C454" s="2">
        <v>25</v>
      </c>
      <c r="D454" s="2">
        <v>5</v>
      </c>
      <c r="E454" s="2">
        <v>1</v>
      </c>
      <c r="F454" s="17">
        <v>27</v>
      </c>
      <c r="H454" s="360">
        <v>1</v>
      </c>
      <c r="I454" s="360">
        <v>7.247714728254008E-2</v>
      </c>
      <c r="K454" s="363"/>
      <c r="N454" s="10"/>
      <c r="O454" s="4"/>
      <c r="P454" s="4"/>
      <c r="Q454" s="3"/>
      <c r="R454" s="3"/>
      <c r="S454" s="3"/>
      <c r="T454" s="3"/>
    </row>
    <row r="455" spans="1:20">
      <c r="A455" s="3">
        <v>1</v>
      </c>
      <c r="B455" s="3">
        <v>2</v>
      </c>
      <c r="C455" s="2">
        <v>25</v>
      </c>
      <c r="D455" s="2">
        <v>5</v>
      </c>
      <c r="E455" s="2">
        <v>16</v>
      </c>
      <c r="F455" s="17">
        <v>27</v>
      </c>
      <c r="H455" s="361">
        <v>1</v>
      </c>
      <c r="I455" s="361">
        <v>7.1389003491404063E-2</v>
      </c>
      <c r="K455" s="363"/>
      <c r="N455" s="10"/>
      <c r="O455" s="4"/>
      <c r="P455" s="4"/>
      <c r="Q455" s="3"/>
      <c r="R455" s="3"/>
      <c r="S455" s="3"/>
      <c r="T455" s="3"/>
    </row>
    <row r="456" spans="1:20">
      <c r="A456" s="3">
        <v>1</v>
      </c>
      <c r="B456" s="3">
        <v>2</v>
      </c>
      <c r="C456" s="2">
        <v>25</v>
      </c>
      <c r="D456" s="2">
        <v>5</v>
      </c>
      <c r="E456" s="2">
        <v>16</v>
      </c>
      <c r="F456" s="17">
        <v>27</v>
      </c>
      <c r="H456" s="360">
        <v>1</v>
      </c>
      <c r="I456" s="360">
        <v>6.2841894777605947E-2</v>
      </c>
      <c r="K456" s="363"/>
      <c r="N456" s="10"/>
      <c r="O456" s="4"/>
      <c r="P456" s="4"/>
      <c r="Q456" s="3"/>
      <c r="R456" s="3"/>
      <c r="S456" s="3"/>
      <c r="T456" s="3"/>
    </row>
    <row r="457" spans="1:20">
      <c r="A457" s="3">
        <v>1</v>
      </c>
      <c r="B457" s="3">
        <v>2</v>
      </c>
      <c r="C457" s="2">
        <v>25</v>
      </c>
      <c r="D457" s="2">
        <v>30</v>
      </c>
      <c r="E457" s="2">
        <v>16</v>
      </c>
      <c r="F457" s="17">
        <v>27</v>
      </c>
      <c r="H457" s="360">
        <v>1</v>
      </c>
      <c r="I457" s="360">
        <v>-7.3561195399492966E-3</v>
      </c>
      <c r="K457" s="363"/>
      <c r="N457" s="10"/>
      <c r="O457" s="4"/>
      <c r="P457" s="4"/>
      <c r="Q457" s="3"/>
      <c r="R457" s="3"/>
      <c r="S457" s="3"/>
      <c r="T457" s="3"/>
    </row>
    <row r="458" spans="1:20">
      <c r="A458" s="3">
        <v>2</v>
      </c>
      <c r="B458" s="3">
        <v>1</v>
      </c>
      <c r="C458" s="2">
        <v>25</v>
      </c>
      <c r="D458" s="2">
        <v>5</v>
      </c>
      <c r="E458" s="2">
        <v>16</v>
      </c>
      <c r="F458" s="17">
        <v>27</v>
      </c>
      <c r="H458" s="361">
        <v>1</v>
      </c>
      <c r="I458" s="361">
        <v>-0.2515650235587768</v>
      </c>
      <c r="K458" s="363"/>
      <c r="N458" s="10"/>
      <c r="O458" s="4"/>
      <c r="P458" s="4"/>
      <c r="Q458" s="3"/>
      <c r="R458" s="3"/>
      <c r="S458" s="3"/>
      <c r="T458" s="3"/>
    </row>
    <row r="459" spans="1:20">
      <c r="A459" s="3">
        <v>2</v>
      </c>
      <c r="B459" s="3">
        <v>1</v>
      </c>
      <c r="C459" s="2">
        <v>25</v>
      </c>
      <c r="D459" s="2">
        <v>5</v>
      </c>
      <c r="E459" s="2">
        <v>1</v>
      </c>
      <c r="F459" s="17">
        <v>27</v>
      </c>
      <c r="H459" s="360">
        <v>1</v>
      </c>
      <c r="I459" s="360">
        <v>-0.29811433933852688</v>
      </c>
      <c r="K459" s="363"/>
      <c r="N459" s="10"/>
      <c r="O459" s="4"/>
      <c r="P459" s="4"/>
      <c r="Q459" s="3"/>
      <c r="R459" s="3"/>
      <c r="S459" s="3"/>
      <c r="T459" s="3"/>
    </row>
    <row r="460" spans="1:20">
      <c r="A460" s="3">
        <v>5</v>
      </c>
      <c r="B460" s="3">
        <v>2</v>
      </c>
      <c r="C460" s="2">
        <v>50</v>
      </c>
      <c r="D460" s="2">
        <v>5</v>
      </c>
      <c r="E460" s="2">
        <v>16</v>
      </c>
      <c r="F460" s="17">
        <v>27</v>
      </c>
      <c r="H460" s="360">
        <v>1</v>
      </c>
      <c r="I460" s="359">
        <v>-0.5943026962542477</v>
      </c>
      <c r="K460" s="363"/>
      <c r="N460" s="10"/>
      <c r="O460" s="4"/>
      <c r="P460" s="4"/>
      <c r="Q460" s="3"/>
      <c r="R460" s="3"/>
      <c r="S460" s="3"/>
      <c r="T460" s="3"/>
    </row>
    <row r="461" spans="1:20">
      <c r="A461" s="3">
        <v>2</v>
      </c>
      <c r="B461" s="3">
        <v>2</v>
      </c>
      <c r="C461" s="2">
        <v>25</v>
      </c>
      <c r="D461" s="2">
        <v>5</v>
      </c>
      <c r="E461" s="2">
        <v>1</v>
      </c>
      <c r="F461" s="17">
        <v>28</v>
      </c>
      <c r="H461" s="361">
        <v>0.27226844978049325</v>
      </c>
      <c r="I461" s="361">
        <v>1</v>
      </c>
      <c r="K461" s="363"/>
      <c r="N461" s="10"/>
      <c r="O461" s="4"/>
      <c r="P461" s="4"/>
      <c r="Q461" s="3"/>
      <c r="R461" s="3"/>
      <c r="S461" s="3"/>
      <c r="T461" s="3"/>
    </row>
    <row r="462" spans="1:20">
      <c r="A462" s="3">
        <v>2</v>
      </c>
      <c r="B462" s="3">
        <v>2</v>
      </c>
      <c r="C462" s="2">
        <v>25</v>
      </c>
      <c r="D462" s="2">
        <v>5</v>
      </c>
      <c r="E462" s="2">
        <v>16</v>
      </c>
      <c r="F462" s="17">
        <v>28</v>
      </c>
      <c r="H462" s="361">
        <v>1</v>
      </c>
      <c r="I462" s="361">
        <v>0.92649327902806544</v>
      </c>
      <c r="K462" s="363"/>
      <c r="N462" s="10"/>
      <c r="O462" s="4"/>
      <c r="P462" s="4"/>
      <c r="Q462" s="3"/>
      <c r="R462" s="3"/>
      <c r="S462" s="3"/>
      <c r="T462" s="3"/>
    </row>
    <row r="463" spans="1:20">
      <c r="A463" s="3">
        <v>2</v>
      </c>
      <c r="B463" s="3">
        <v>1</v>
      </c>
      <c r="C463" s="2">
        <v>25</v>
      </c>
      <c r="D463" s="2">
        <v>5</v>
      </c>
      <c r="E463" s="2">
        <v>16</v>
      </c>
      <c r="F463" s="17">
        <v>28</v>
      </c>
      <c r="H463" s="361">
        <v>1</v>
      </c>
      <c r="I463" s="361">
        <v>0.90564985023785749</v>
      </c>
      <c r="K463" s="363"/>
      <c r="N463" s="10"/>
      <c r="O463" s="4"/>
      <c r="P463" s="4"/>
      <c r="Q463" s="3"/>
      <c r="R463" s="3"/>
      <c r="S463" s="3"/>
      <c r="T463" s="3"/>
    </row>
    <row r="464" spans="1:20">
      <c r="A464" s="3">
        <v>2</v>
      </c>
      <c r="B464" s="3">
        <v>1</v>
      </c>
      <c r="C464" s="2">
        <v>25</v>
      </c>
      <c r="D464" s="2">
        <v>5</v>
      </c>
      <c r="E464" s="2">
        <v>1</v>
      </c>
      <c r="F464" s="17">
        <v>28</v>
      </c>
      <c r="H464" s="360">
        <v>1</v>
      </c>
      <c r="I464" s="360">
        <v>0.8863016350740095</v>
      </c>
      <c r="K464" s="363"/>
      <c r="N464" s="10"/>
      <c r="O464" s="4"/>
      <c r="P464" s="4"/>
      <c r="Q464" s="3"/>
      <c r="R464" s="3"/>
      <c r="S464" s="3"/>
      <c r="T464" s="3"/>
    </row>
    <row r="465" spans="1:20">
      <c r="A465" s="3">
        <v>4</v>
      </c>
      <c r="B465" s="3">
        <v>2</v>
      </c>
      <c r="C465" s="2">
        <v>50</v>
      </c>
      <c r="D465" s="2">
        <v>5</v>
      </c>
      <c r="E465" s="2">
        <v>16</v>
      </c>
      <c r="F465" s="17">
        <v>28</v>
      </c>
      <c r="H465" s="360">
        <v>1</v>
      </c>
      <c r="I465" s="359">
        <v>0.78396495282826062</v>
      </c>
      <c r="K465" s="363"/>
      <c r="N465" s="10"/>
      <c r="O465" s="4"/>
      <c r="P465" s="4"/>
      <c r="Q465" s="3"/>
      <c r="R465" s="3"/>
      <c r="S465" s="3"/>
      <c r="T465" s="3"/>
    </row>
    <row r="466" spans="1:20">
      <c r="A466" s="3">
        <v>3</v>
      </c>
      <c r="B466" s="3">
        <v>1</v>
      </c>
      <c r="C466" s="2">
        <v>25</v>
      </c>
      <c r="D466" s="2">
        <v>5</v>
      </c>
      <c r="E466" s="2">
        <v>1</v>
      </c>
      <c r="F466" s="17">
        <v>28</v>
      </c>
      <c r="H466" s="360">
        <v>1</v>
      </c>
      <c r="I466" s="360">
        <v>0.74633357374959586</v>
      </c>
      <c r="K466" s="363"/>
      <c r="N466" s="10"/>
      <c r="O466" s="4"/>
      <c r="P466" s="4"/>
      <c r="Q466" s="3"/>
      <c r="R466" s="3"/>
      <c r="S466" s="3"/>
      <c r="T466" s="3"/>
    </row>
    <row r="467" spans="1:20">
      <c r="A467" s="3">
        <v>3</v>
      </c>
      <c r="B467" s="3">
        <v>1</v>
      </c>
      <c r="C467" s="2">
        <v>25</v>
      </c>
      <c r="D467" s="2">
        <v>5</v>
      </c>
      <c r="E467" s="2">
        <v>16</v>
      </c>
      <c r="F467" s="17">
        <v>28</v>
      </c>
      <c r="H467" s="361">
        <v>1</v>
      </c>
      <c r="I467" s="361">
        <v>0.72051993949064486</v>
      </c>
      <c r="K467" s="363"/>
      <c r="N467" s="10"/>
      <c r="O467" s="4"/>
      <c r="P467" s="4"/>
      <c r="Q467" s="3"/>
      <c r="R467" s="3"/>
      <c r="S467" s="3"/>
      <c r="T467" s="3"/>
    </row>
    <row r="468" spans="1:20">
      <c r="A468" s="3">
        <v>3</v>
      </c>
      <c r="B468" s="3">
        <v>2</v>
      </c>
      <c r="C468" s="2">
        <v>25</v>
      </c>
      <c r="D468" s="2">
        <v>5</v>
      </c>
      <c r="E468" s="2">
        <v>1</v>
      </c>
      <c r="F468" s="17">
        <v>28</v>
      </c>
      <c r="H468" s="361">
        <v>0.55441712984294589</v>
      </c>
      <c r="I468" s="361">
        <v>0.56902080782950604</v>
      </c>
      <c r="K468" s="363"/>
      <c r="N468" s="10"/>
      <c r="O468" s="4"/>
      <c r="P468" s="4"/>
      <c r="Q468" s="3"/>
      <c r="R468" s="3"/>
      <c r="S468" s="3"/>
      <c r="T468" s="3"/>
    </row>
    <row r="469" spans="1:20">
      <c r="A469" s="3">
        <v>1</v>
      </c>
      <c r="B469" s="3">
        <v>1</v>
      </c>
      <c r="C469" s="2">
        <v>25</v>
      </c>
      <c r="D469" s="2">
        <v>5</v>
      </c>
      <c r="E469" s="2">
        <v>1</v>
      </c>
      <c r="F469" s="17">
        <v>28</v>
      </c>
      <c r="H469" s="360">
        <v>0.99662270790645135</v>
      </c>
      <c r="I469" s="360">
        <v>0.54599943626194469</v>
      </c>
      <c r="K469" s="363"/>
      <c r="N469" s="10"/>
      <c r="O469" s="4"/>
      <c r="P469" s="4"/>
      <c r="Q469" s="3"/>
      <c r="R469" s="3"/>
      <c r="S469" s="3"/>
      <c r="T469" s="3"/>
    </row>
    <row r="470" spans="1:20">
      <c r="A470" s="3">
        <v>1</v>
      </c>
      <c r="B470" s="3">
        <v>1</v>
      </c>
      <c r="C470" s="2">
        <v>25</v>
      </c>
      <c r="D470" s="2">
        <v>5</v>
      </c>
      <c r="E470" s="2">
        <v>16</v>
      </c>
      <c r="F470" s="17">
        <v>28</v>
      </c>
      <c r="H470" s="360">
        <v>1</v>
      </c>
      <c r="I470" s="360">
        <v>0.53608285466013694</v>
      </c>
      <c r="K470" s="363"/>
      <c r="N470" s="10"/>
      <c r="O470" s="4"/>
      <c r="P470" s="4"/>
      <c r="Q470" s="3"/>
      <c r="R470" s="3"/>
      <c r="S470" s="3"/>
      <c r="T470" s="3"/>
    </row>
    <row r="471" spans="1:20">
      <c r="A471" s="3">
        <v>1</v>
      </c>
      <c r="B471" s="3">
        <v>1</v>
      </c>
      <c r="C471" s="2">
        <v>25</v>
      </c>
      <c r="D471" s="2">
        <v>30</v>
      </c>
      <c r="E471" s="2">
        <v>16</v>
      </c>
      <c r="F471" s="17">
        <v>28</v>
      </c>
      <c r="H471" s="360">
        <v>1</v>
      </c>
      <c r="I471" s="360">
        <v>0.3984432134873922</v>
      </c>
      <c r="K471" s="363"/>
      <c r="N471" s="10"/>
      <c r="O471" s="4"/>
      <c r="P471" s="4"/>
      <c r="Q471" s="3"/>
      <c r="R471" s="3"/>
      <c r="S471" s="3"/>
      <c r="T471" s="3"/>
    </row>
    <row r="472" spans="1:20">
      <c r="A472" s="3">
        <v>3</v>
      </c>
      <c r="B472" s="3">
        <v>2</v>
      </c>
      <c r="C472" s="2">
        <v>25</v>
      </c>
      <c r="D472" s="2">
        <v>5</v>
      </c>
      <c r="E472" s="2">
        <v>16</v>
      </c>
      <c r="F472" s="17">
        <v>28</v>
      </c>
      <c r="H472" s="360">
        <v>0.67944892485726194</v>
      </c>
      <c r="I472" s="360">
        <v>0.32936882751532459</v>
      </c>
      <c r="K472" s="363"/>
      <c r="N472" s="10"/>
      <c r="O472" s="4"/>
      <c r="P472" s="4"/>
      <c r="Q472" s="3"/>
      <c r="R472" s="3"/>
      <c r="S472" s="3"/>
      <c r="T472" s="3"/>
    </row>
    <row r="473" spans="1:20">
      <c r="A473" s="3">
        <v>1</v>
      </c>
      <c r="B473" s="3">
        <v>2</v>
      </c>
      <c r="C473" s="2">
        <v>25</v>
      </c>
      <c r="D473" s="2">
        <v>5</v>
      </c>
      <c r="E473" s="2">
        <v>1</v>
      </c>
      <c r="F473" s="17">
        <v>28</v>
      </c>
      <c r="H473" s="360">
        <v>0.38573768214270188</v>
      </c>
      <c r="I473" s="360">
        <v>0.3236252387251552</v>
      </c>
      <c r="K473" s="363"/>
      <c r="N473" s="10"/>
      <c r="O473" s="4"/>
      <c r="P473" s="4"/>
      <c r="Q473" s="3"/>
      <c r="R473" s="3"/>
      <c r="S473" s="3"/>
      <c r="T473" s="3"/>
    </row>
    <row r="474" spans="1:20">
      <c r="A474" s="3">
        <v>1</v>
      </c>
      <c r="B474" s="3">
        <v>2</v>
      </c>
      <c r="C474" s="2">
        <v>25</v>
      </c>
      <c r="D474" s="2">
        <v>30</v>
      </c>
      <c r="E474" s="2">
        <v>16</v>
      </c>
      <c r="F474" s="17">
        <v>28</v>
      </c>
      <c r="H474" s="360">
        <v>1</v>
      </c>
      <c r="I474" s="360">
        <v>0.30313680736943988</v>
      </c>
      <c r="K474" s="363"/>
      <c r="N474" s="10"/>
      <c r="O474" s="4"/>
      <c r="P474" s="4"/>
      <c r="Q474" s="3"/>
      <c r="R474" s="3"/>
      <c r="S474" s="3"/>
      <c r="T474" s="3"/>
    </row>
    <row r="475" spans="1:20">
      <c r="A475" s="3">
        <v>1</v>
      </c>
      <c r="B475" s="3">
        <v>2</v>
      </c>
      <c r="C475" s="2">
        <v>25</v>
      </c>
      <c r="D475" s="2">
        <v>5</v>
      </c>
      <c r="E475" s="2">
        <v>16</v>
      </c>
      <c r="F475" s="17">
        <v>28</v>
      </c>
      <c r="H475" s="361">
        <v>1</v>
      </c>
      <c r="I475" s="361">
        <v>0.28735980244103859</v>
      </c>
      <c r="K475" s="363"/>
      <c r="N475" s="10"/>
      <c r="O475" s="4"/>
      <c r="P475" s="4"/>
      <c r="Q475" s="3"/>
      <c r="R475" s="3"/>
      <c r="S475" s="3"/>
      <c r="T475" s="3"/>
    </row>
    <row r="476" spans="1:20">
      <c r="A476" s="3">
        <v>1</v>
      </c>
      <c r="B476" s="3">
        <v>2</v>
      </c>
      <c r="C476" s="2">
        <v>25</v>
      </c>
      <c r="D476" s="2">
        <v>5</v>
      </c>
      <c r="E476" s="2">
        <v>16</v>
      </c>
      <c r="F476" s="17">
        <v>28</v>
      </c>
      <c r="H476" s="360">
        <v>0.56066771119937686</v>
      </c>
      <c r="I476" s="360">
        <v>0.11764037005015945</v>
      </c>
      <c r="K476" s="363"/>
      <c r="N476" s="10"/>
      <c r="O476" s="4"/>
      <c r="P476" s="4"/>
      <c r="Q476" s="3"/>
      <c r="R476" s="3"/>
      <c r="S476" s="3"/>
      <c r="T476" s="3"/>
    </row>
    <row r="477" spans="1:20">
      <c r="A477" s="3">
        <v>5</v>
      </c>
      <c r="B477" s="3">
        <v>2</v>
      </c>
      <c r="C477" s="2">
        <v>50</v>
      </c>
      <c r="D477" s="2">
        <v>5</v>
      </c>
      <c r="E477" s="2">
        <v>16</v>
      </c>
      <c r="F477" s="17">
        <v>28</v>
      </c>
      <c r="H477" s="360">
        <v>1</v>
      </c>
      <c r="I477" s="359">
        <v>-0.48568569652159871</v>
      </c>
      <c r="K477" s="363"/>
      <c r="N477" s="10"/>
      <c r="O477" s="4"/>
      <c r="P477" s="4"/>
      <c r="Q477" s="3"/>
      <c r="R477" s="3"/>
      <c r="S477" s="3"/>
      <c r="T477" s="3"/>
    </row>
    <row r="478" spans="1:20">
      <c r="A478" s="3">
        <v>4</v>
      </c>
      <c r="B478" s="3">
        <v>2</v>
      </c>
      <c r="C478" s="2">
        <v>50</v>
      </c>
      <c r="D478" s="2">
        <v>5</v>
      </c>
      <c r="E478" s="2">
        <v>16</v>
      </c>
      <c r="F478" s="17">
        <v>29</v>
      </c>
      <c r="H478" s="360">
        <v>1</v>
      </c>
      <c r="I478" s="359">
        <v>0.82965891186394713</v>
      </c>
      <c r="K478" s="363"/>
      <c r="N478" s="10"/>
      <c r="O478" s="4"/>
      <c r="P478" s="4"/>
      <c r="Q478" s="3"/>
      <c r="R478" s="3"/>
      <c r="S478" s="3"/>
      <c r="T478" s="3"/>
    </row>
    <row r="479" spans="1:20">
      <c r="A479" s="3">
        <v>2</v>
      </c>
      <c r="B479" s="3">
        <v>1</v>
      </c>
      <c r="C479" s="2">
        <v>25</v>
      </c>
      <c r="D479" s="2">
        <v>5</v>
      </c>
      <c r="E479" s="2">
        <v>16</v>
      </c>
      <c r="F479" s="17">
        <v>29</v>
      </c>
      <c r="H479" s="361">
        <v>1</v>
      </c>
      <c r="I479" s="361">
        <v>0.42436234177011162</v>
      </c>
      <c r="K479" s="363"/>
      <c r="N479" s="10"/>
      <c r="O479" s="4"/>
      <c r="P479" s="4"/>
      <c r="Q479" s="3"/>
      <c r="R479" s="3"/>
      <c r="S479" s="3"/>
      <c r="T479" s="3"/>
    </row>
    <row r="480" spans="1:20">
      <c r="A480" s="3">
        <v>2</v>
      </c>
      <c r="B480" s="3">
        <v>1</v>
      </c>
      <c r="C480" s="2">
        <v>25</v>
      </c>
      <c r="D480" s="2">
        <v>5</v>
      </c>
      <c r="E480" s="2">
        <v>1</v>
      </c>
      <c r="F480" s="17">
        <v>29</v>
      </c>
      <c r="H480" s="360">
        <v>1</v>
      </c>
      <c r="I480" s="360">
        <v>0.41356776360871089</v>
      </c>
      <c r="K480" s="363"/>
      <c r="N480" s="10"/>
      <c r="O480" s="4"/>
      <c r="P480" s="4"/>
      <c r="Q480" s="3"/>
      <c r="R480" s="3"/>
      <c r="S480" s="3"/>
      <c r="T480" s="3"/>
    </row>
    <row r="481" spans="1:20">
      <c r="A481" s="3">
        <v>3</v>
      </c>
      <c r="B481" s="3">
        <v>1</v>
      </c>
      <c r="C481" s="2">
        <v>25</v>
      </c>
      <c r="D481" s="2">
        <v>5</v>
      </c>
      <c r="E481" s="2">
        <v>1</v>
      </c>
      <c r="F481" s="17">
        <v>29</v>
      </c>
      <c r="H481" s="360">
        <v>0.78511118282245895</v>
      </c>
      <c r="I481" s="360">
        <v>0.28944449195660443</v>
      </c>
      <c r="K481" s="363"/>
      <c r="N481" s="10"/>
      <c r="O481" s="4"/>
      <c r="P481" s="4"/>
      <c r="Q481" s="3"/>
      <c r="R481" s="3"/>
      <c r="S481" s="3"/>
      <c r="T481" s="3"/>
    </row>
    <row r="482" spans="1:20">
      <c r="A482" s="3">
        <v>3</v>
      </c>
      <c r="B482" s="3">
        <v>1</v>
      </c>
      <c r="C482" s="2">
        <v>25</v>
      </c>
      <c r="D482" s="2">
        <v>5</v>
      </c>
      <c r="E482" s="2">
        <v>16</v>
      </c>
      <c r="F482" s="17">
        <v>29</v>
      </c>
      <c r="H482" s="361">
        <v>1</v>
      </c>
      <c r="I482" s="361">
        <v>0.24885072350782086</v>
      </c>
      <c r="K482" s="363"/>
      <c r="N482" s="10"/>
      <c r="O482" s="4"/>
      <c r="P482" s="4"/>
      <c r="Q482" s="3"/>
      <c r="R482" s="3"/>
      <c r="S482" s="3"/>
      <c r="T482" s="3"/>
    </row>
    <row r="483" spans="1:20">
      <c r="A483" s="3">
        <v>2</v>
      </c>
      <c r="B483" s="3">
        <v>2</v>
      </c>
      <c r="C483" s="2">
        <v>25</v>
      </c>
      <c r="D483" s="2">
        <v>5</v>
      </c>
      <c r="E483" s="2">
        <v>16</v>
      </c>
      <c r="F483" s="17">
        <v>29</v>
      </c>
      <c r="H483" s="361">
        <v>1</v>
      </c>
      <c r="I483" s="361">
        <v>0.12041672472137191</v>
      </c>
      <c r="K483" s="363"/>
      <c r="N483" s="10"/>
      <c r="O483" s="4"/>
      <c r="P483" s="4"/>
      <c r="Q483" s="3"/>
      <c r="R483" s="3"/>
      <c r="S483" s="3"/>
      <c r="T483" s="3"/>
    </row>
    <row r="484" spans="1:20">
      <c r="A484" s="3">
        <v>2</v>
      </c>
      <c r="B484" s="3">
        <v>2</v>
      </c>
      <c r="C484" s="2">
        <v>25</v>
      </c>
      <c r="D484" s="2">
        <v>5</v>
      </c>
      <c r="E484" s="2">
        <v>1</v>
      </c>
      <c r="F484" s="17">
        <v>29</v>
      </c>
      <c r="H484" s="361">
        <v>0.36480991220798653</v>
      </c>
      <c r="I484" s="361">
        <v>1.1887079396468032E-2</v>
      </c>
      <c r="K484" s="363"/>
      <c r="N484" s="10"/>
      <c r="O484" s="4"/>
      <c r="P484" s="4"/>
      <c r="Q484" s="3"/>
      <c r="R484" s="3"/>
      <c r="S484" s="3"/>
      <c r="T484" s="3"/>
    </row>
    <row r="485" spans="1:20">
      <c r="A485" s="3">
        <v>1</v>
      </c>
      <c r="B485" s="3">
        <v>1</v>
      </c>
      <c r="C485" s="2">
        <v>25</v>
      </c>
      <c r="D485" s="2">
        <v>5</v>
      </c>
      <c r="E485" s="2">
        <v>1</v>
      </c>
      <c r="F485" s="17">
        <v>29</v>
      </c>
      <c r="H485" s="360">
        <v>1</v>
      </c>
      <c r="I485" s="360">
        <v>-1.1760923300519911E-2</v>
      </c>
      <c r="K485" s="363"/>
      <c r="N485" s="10"/>
      <c r="O485" s="4"/>
      <c r="P485" s="4"/>
      <c r="Q485" s="3"/>
      <c r="R485" s="3"/>
      <c r="S485" s="3"/>
      <c r="T485" s="3"/>
    </row>
    <row r="486" spans="1:20">
      <c r="A486" s="3">
        <v>1</v>
      </c>
      <c r="B486" s="3">
        <v>1</v>
      </c>
      <c r="C486" s="2">
        <v>25</v>
      </c>
      <c r="D486" s="2">
        <v>5</v>
      </c>
      <c r="E486" s="2">
        <v>16</v>
      </c>
      <c r="F486" s="17">
        <v>29</v>
      </c>
      <c r="H486" s="360">
        <v>1</v>
      </c>
      <c r="I486" s="360">
        <v>-2.7361191044046884E-2</v>
      </c>
      <c r="K486" s="363"/>
      <c r="N486" s="10"/>
      <c r="O486" s="4"/>
      <c r="P486" s="4"/>
      <c r="Q486" s="3"/>
      <c r="R486" s="3"/>
      <c r="S486" s="3"/>
      <c r="T486" s="3"/>
    </row>
    <row r="487" spans="1:20">
      <c r="A487" s="3">
        <v>1</v>
      </c>
      <c r="B487" s="3">
        <v>1</v>
      </c>
      <c r="C487" s="2">
        <v>25</v>
      </c>
      <c r="D487" s="2">
        <v>30</v>
      </c>
      <c r="E487" s="2">
        <v>16</v>
      </c>
      <c r="F487" s="17">
        <v>29</v>
      </c>
      <c r="H487" s="360">
        <v>1</v>
      </c>
      <c r="I487" s="360">
        <v>-6.3552970440652237E-2</v>
      </c>
      <c r="K487" s="363"/>
      <c r="N487" s="10"/>
      <c r="O487" s="4"/>
      <c r="P487" s="4"/>
      <c r="Q487" s="3"/>
      <c r="R487" s="3"/>
      <c r="S487" s="3"/>
      <c r="T487" s="3"/>
    </row>
    <row r="488" spans="1:20">
      <c r="A488" s="3">
        <v>3</v>
      </c>
      <c r="B488" s="3">
        <v>2</v>
      </c>
      <c r="C488" s="2">
        <v>25</v>
      </c>
      <c r="D488" s="2">
        <v>5</v>
      </c>
      <c r="E488" s="2">
        <v>1</v>
      </c>
      <c r="F488" s="17">
        <v>29</v>
      </c>
      <c r="H488" s="361">
        <v>1</v>
      </c>
      <c r="I488" s="361">
        <v>-7.5345861090609992E-2</v>
      </c>
      <c r="K488" s="363"/>
      <c r="N488" s="10"/>
      <c r="O488" s="4"/>
      <c r="P488" s="4"/>
      <c r="Q488" s="3"/>
      <c r="R488" s="3"/>
      <c r="S488" s="3"/>
      <c r="T488" s="3"/>
    </row>
    <row r="489" spans="1:20">
      <c r="A489" s="3">
        <v>1</v>
      </c>
      <c r="B489" s="3">
        <v>2</v>
      </c>
      <c r="C489" s="2">
        <v>25</v>
      </c>
      <c r="D489" s="2">
        <v>30</v>
      </c>
      <c r="E489" s="2">
        <v>16</v>
      </c>
      <c r="F489" s="17">
        <v>29</v>
      </c>
      <c r="H489" s="360">
        <v>1</v>
      </c>
      <c r="I489" s="360">
        <v>-0.13880605610861893</v>
      </c>
      <c r="K489" s="363"/>
      <c r="N489" s="10"/>
      <c r="O489" s="4"/>
      <c r="P489" s="4"/>
      <c r="Q489" s="3"/>
      <c r="R489" s="3"/>
      <c r="S489" s="3"/>
      <c r="T489" s="3"/>
    </row>
    <row r="490" spans="1:20">
      <c r="A490" s="3">
        <v>1</v>
      </c>
      <c r="B490" s="3">
        <v>2</v>
      </c>
      <c r="C490" s="2">
        <v>25</v>
      </c>
      <c r="D490" s="2">
        <v>5</v>
      </c>
      <c r="E490" s="2">
        <v>1</v>
      </c>
      <c r="F490" s="17">
        <v>29</v>
      </c>
      <c r="H490" s="360">
        <v>1</v>
      </c>
      <c r="I490" s="360">
        <v>-0.14277914010065004</v>
      </c>
      <c r="K490" s="363"/>
      <c r="N490" s="10"/>
      <c r="O490" s="4"/>
      <c r="P490" s="4"/>
      <c r="Q490" s="3"/>
      <c r="R490" s="3"/>
      <c r="S490" s="3"/>
      <c r="T490" s="3"/>
    </row>
    <row r="491" spans="1:20">
      <c r="A491" s="3">
        <v>1</v>
      </c>
      <c r="B491" s="3">
        <v>2</v>
      </c>
      <c r="C491" s="2">
        <v>25</v>
      </c>
      <c r="D491" s="2">
        <v>5</v>
      </c>
      <c r="E491" s="2">
        <v>16</v>
      </c>
      <c r="F491" s="17">
        <v>29</v>
      </c>
      <c r="H491" s="360">
        <v>1</v>
      </c>
      <c r="I491" s="360">
        <v>-0.14425405452077456</v>
      </c>
      <c r="K491" s="363"/>
      <c r="N491" s="10"/>
      <c r="O491" s="4"/>
      <c r="P491" s="4"/>
      <c r="Q491" s="3"/>
      <c r="R491" s="3"/>
      <c r="S491" s="3"/>
      <c r="T491" s="3"/>
    </row>
    <row r="492" spans="1:20">
      <c r="A492" s="3">
        <v>1</v>
      </c>
      <c r="B492" s="3">
        <v>2</v>
      </c>
      <c r="C492" s="2">
        <v>25</v>
      </c>
      <c r="D492" s="2">
        <v>5</v>
      </c>
      <c r="E492" s="2">
        <v>16</v>
      </c>
      <c r="F492" s="17">
        <v>29</v>
      </c>
      <c r="H492" s="361">
        <v>1</v>
      </c>
      <c r="I492" s="361">
        <v>-0.14502991226260614</v>
      </c>
      <c r="K492" s="363"/>
      <c r="N492" s="10"/>
      <c r="O492" s="4"/>
      <c r="P492" s="4"/>
      <c r="Q492" s="3"/>
      <c r="R492" s="3"/>
      <c r="S492" s="3"/>
      <c r="T492" s="3"/>
    </row>
    <row r="493" spans="1:20">
      <c r="A493" s="3">
        <v>3</v>
      </c>
      <c r="B493" s="3">
        <v>2</v>
      </c>
      <c r="C493" s="2">
        <v>25</v>
      </c>
      <c r="D493" s="2">
        <v>5</v>
      </c>
      <c r="E493" s="2">
        <v>16</v>
      </c>
      <c r="F493" s="17">
        <v>29</v>
      </c>
      <c r="H493" s="360">
        <v>1</v>
      </c>
      <c r="I493" s="360">
        <v>-0.22026675934376619</v>
      </c>
      <c r="K493" s="363"/>
      <c r="N493" s="10"/>
      <c r="O493" s="4"/>
      <c r="P493" s="4"/>
      <c r="Q493" s="3"/>
      <c r="R493" s="3"/>
      <c r="S493" s="3"/>
      <c r="T493" s="3"/>
    </row>
    <row r="494" spans="1:20">
      <c r="A494" s="3">
        <v>5</v>
      </c>
      <c r="B494" s="3">
        <v>2</v>
      </c>
      <c r="C494" s="2">
        <v>50</v>
      </c>
      <c r="D494" s="2">
        <v>5</v>
      </c>
      <c r="E494" s="2">
        <v>16</v>
      </c>
      <c r="F494" s="17">
        <v>29</v>
      </c>
      <c r="H494" s="360">
        <v>1</v>
      </c>
      <c r="I494" s="359">
        <v>-0.39726668918880959</v>
      </c>
      <c r="K494" s="363"/>
      <c r="N494" s="10"/>
      <c r="O494" s="4"/>
      <c r="P494" s="4"/>
      <c r="Q494" s="3"/>
      <c r="R494" s="3"/>
      <c r="S494" s="3"/>
      <c r="T494" s="3"/>
    </row>
    <row r="495" spans="1:20">
      <c r="A495" s="3">
        <v>5</v>
      </c>
      <c r="B495" s="3">
        <v>2</v>
      </c>
      <c r="C495" s="2">
        <v>50</v>
      </c>
      <c r="D495" s="2">
        <v>5</v>
      </c>
      <c r="E495" s="2">
        <v>16</v>
      </c>
      <c r="F495" s="17">
        <v>30</v>
      </c>
      <c r="H495" s="360">
        <v>1</v>
      </c>
      <c r="I495" s="359">
        <v>-0.11195104352907732</v>
      </c>
      <c r="K495" s="363"/>
      <c r="N495" s="10"/>
      <c r="O495" s="4"/>
      <c r="P495" s="4"/>
      <c r="Q495" s="3"/>
      <c r="R495" s="3"/>
      <c r="S495" s="3"/>
      <c r="T495" s="3"/>
    </row>
    <row r="496" spans="1:20">
      <c r="A496" s="3">
        <v>1</v>
      </c>
      <c r="B496" s="3">
        <v>2</v>
      </c>
      <c r="C496" s="2">
        <v>25</v>
      </c>
      <c r="D496" s="2">
        <v>30</v>
      </c>
      <c r="E496" s="2">
        <v>16</v>
      </c>
      <c r="F496" s="17">
        <v>30</v>
      </c>
      <c r="H496" s="360">
        <v>1</v>
      </c>
      <c r="I496" s="360">
        <v>-0.58750923989401627</v>
      </c>
      <c r="K496" s="363"/>
      <c r="N496" s="10"/>
      <c r="O496" s="4"/>
      <c r="P496" s="4"/>
      <c r="Q496" s="3"/>
      <c r="R496" s="3"/>
      <c r="S496" s="3"/>
      <c r="T496" s="3"/>
    </row>
    <row r="497" spans="1:20">
      <c r="A497" s="3">
        <v>4</v>
      </c>
      <c r="B497" s="3">
        <v>2</v>
      </c>
      <c r="C497" s="2">
        <v>50</v>
      </c>
      <c r="D497" s="2">
        <v>5</v>
      </c>
      <c r="E497" s="2">
        <v>16</v>
      </c>
      <c r="F497" s="17">
        <v>30</v>
      </c>
      <c r="H497" s="360">
        <v>1</v>
      </c>
      <c r="I497" s="359">
        <v>-0.65272445497561371</v>
      </c>
      <c r="K497" s="363"/>
      <c r="N497" s="10"/>
      <c r="O497" s="4"/>
      <c r="P497" s="4"/>
      <c r="Q497" s="3"/>
      <c r="R497" s="3"/>
      <c r="S497" s="3"/>
      <c r="T497" s="3"/>
    </row>
    <row r="498" spans="1:20">
      <c r="A498" s="3">
        <v>3</v>
      </c>
      <c r="B498" s="3">
        <v>2</v>
      </c>
      <c r="C498" s="2">
        <v>25</v>
      </c>
      <c r="D498" s="2">
        <v>5</v>
      </c>
      <c r="E498" s="2">
        <v>16</v>
      </c>
      <c r="F498" s="17">
        <v>30</v>
      </c>
      <c r="H498" s="360">
        <v>1</v>
      </c>
      <c r="I498" s="360">
        <v>-0.73976546625773443</v>
      </c>
      <c r="K498" s="363"/>
      <c r="N498" s="10"/>
      <c r="O498" s="4"/>
      <c r="P498" s="4"/>
      <c r="Q498" s="3"/>
      <c r="R498" s="3"/>
      <c r="S498" s="3"/>
      <c r="T498" s="3"/>
    </row>
    <row r="499" spans="1:20">
      <c r="A499" s="3">
        <v>3</v>
      </c>
      <c r="B499" s="3">
        <v>2</v>
      </c>
      <c r="C499" s="2">
        <v>25</v>
      </c>
      <c r="D499" s="2">
        <v>5</v>
      </c>
      <c r="E499" s="2">
        <v>1</v>
      </c>
      <c r="F499" s="17">
        <v>30</v>
      </c>
      <c r="H499" s="361">
        <v>1</v>
      </c>
      <c r="I499" s="361">
        <v>-0.80567042804798283</v>
      </c>
      <c r="K499" s="363"/>
      <c r="N499" s="10"/>
      <c r="O499" s="4"/>
      <c r="P499" s="4"/>
      <c r="Q499" s="3"/>
      <c r="R499" s="3"/>
      <c r="S499" s="3"/>
      <c r="T499" s="3"/>
    </row>
    <row r="500" spans="1:20">
      <c r="A500" s="3">
        <v>3</v>
      </c>
      <c r="B500" s="3">
        <v>1</v>
      </c>
      <c r="C500" s="2">
        <v>25</v>
      </c>
      <c r="D500" s="2">
        <v>5</v>
      </c>
      <c r="E500" s="2">
        <v>1</v>
      </c>
      <c r="F500" s="17">
        <v>30</v>
      </c>
      <c r="H500" s="360">
        <v>0.98279083347824669</v>
      </c>
      <c r="I500" s="360">
        <v>-0.82532474791105481</v>
      </c>
      <c r="K500" s="363"/>
      <c r="N500" s="10"/>
      <c r="O500" s="4"/>
      <c r="P500" s="4"/>
      <c r="Q500" s="3"/>
      <c r="R500" s="3"/>
      <c r="S500" s="3"/>
      <c r="T500" s="3"/>
    </row>
    <row r="501" spans="1:20">
      <c r="A501" s="3">
        <v>1</v>
      </c>
      <c r="B501" s="3">
        <v>1</v>
      </c>
      <c r="C501" s="2">
        <v>25</v>
      </c>
      <c r="D501" s="2">
        <v>30</v>
      </c>
      <c r="E501" s="2">
        <v>16</v>
      </c>
      <c r="F501" s="17">
        <v>30</v>
      </c>
      <c r="H501" s="360">
        <v>1</v>
      </c>
      <c r="I501" s="360">
        <v>-0.83127931401758215</v>
      </c>
      <c r="K501" s="363"/>
      <c r="N501" s="10"/>
      <c r="O501" s="4"/>
      <c r="P501" s="4"/>
      <c r="Q501" s="3"/>
      <c r="R501" s="3"/>
      <c r="S501" s="3"/>
      <c r="T501" s="3"/>
    </row>
    <row r="502" spans="1:20">
      <c r="A502" s="3">
        <v>1</v>
      </c>
      <c r="B502" s="3">
        <v>2</v>
      </c>
      <c r="C502" s="2">
        <v>25</v>
      </c>
      <c r="D502" s="2">
        <v>5</v>
      </c>
      <c r="E502" s="2">
        <v>16</v>
      </c>
      <c r="F502" s="17">
        <v>30</v>
      </c>
      <c r="H502" s="360">
        <v>1</v>
      </c>
      <c r="I502" s="360">
        <v>-0.84545159623278632</v>
      </c>
      <c r="K502" s="363"/>
      <c r="N502" s="10"/>
      <c r="O502" s="4"/>
      <c r="P502" s="4"/>
      <c r="Q502" s="3"/>
      <c r="R502" s="3"/>
      <c r="S502" s="3"/>
      <c r="T502" s="3"/>
    </row>
    <row r="503" spans="1:20">
      <c r="A503" s="3">
        <v>3</v>
      </c>
      <c r="B503" s="3">
        <v>1</v>
      </c>
      <c r="C503" s="2">
        <v>25</v>
      </c>
      <c r="D503" s="2">
        <v>5</v>
      </c>
      <c r="E503" s="2">
        <v>16</v>
      </c>
      <c r="F503" s="17">
        <v>30</v>
      </c>
      <c r="H503" s="361">
        <v>1</v>
      </c>
      <c r="I503" s="361">
        <v>-0.85248430037653522</v>
      </c>
      <c r="K503" s="363"/>
      <c r="N503" s="10"/>
      <c r="O503" s="4"/>
      <c r="P503" s="4"/>
      <c r="Q503" s="3"/>
      <c r="R503" s="3"/>
      <c r="S503" s="3"/>
      <c r="T503" s="3"/>
    </row>
    <row r="504" spans="1:20">
      <c r="A504" s="3">
        <v>1</v>
      </c>
      <c r="B504" s="3">
        <v>2</v>
      </c>
      <c r="C504" s="2">
        <v>25</v>
      </c>
      <c r="D504" s="2">
        <v>5</v>
      </c>
      <c r="E504" s="2">
        <v>1</v>
      </c>
      <c r="F504" s="17">
        <v>30</v>
      </c>
      <c r="H504" s="360">
        <v>1</v>
      </c>
      <c r="I504" s="360">
        <v>-0.85333538194216874</v>
      </c>
      <c r="K504" s="363"/>
      <c r="N504" s="10"/>
      <c r="O504" s="4"/>
      <c r="P504" s="4"/>
      <c r="Q504" s="3"/>
      <c r="R504" s="3"/>
      <c r="S504" s="3"/>
      <c r="T504" s="3"/>
    </row>
    <row r="505" spans="1:20">
      <c r="A505" s="3">
        <v>1</v>
      </c>
      <c r="B505" s="3">
        <v>2</v>
      </c>
      <c r="C505" s="2">
        <v>25</v>
      </c>
      <c r="D505" s="2">
        <v>5</v>
      </c>
      <c r="E505" s="2">
        <v>16</v>
      </c>
      <c r="F505" s="17">
        <v>30</v>
      </c>
      <c r="H505" s="361">
        <v>1</v>
      </c>
      <c r="I505" s="361">
        <v>-0.86117470815167685</v>
      </c>
      <c r="K505" s="363"/>
      <c r="N505" s="10"/>
      <c r="O505" s="4"/>
      <c r="P505" s="4"/>
      <c r="Q505" s="3"/>
      <c r="R505" s="3"/>
      <c r="S505" s="3"/>
      <c r="T505" s="3"/>
    </row>
    <row r="506" spans="1:20">
      <c r="A506" s="3">
        <v>1</v>
      </c>
      <c r="B506" s="3">
        <v>1</v>
      </c>
      <c r="C506" s="2">
        <v>25</v>
      </c>
      <c r="D506" s="2">
        <v>5</v>
      </c>
      <c r="E506" s="2">
        <v>1</v>
      </c>
      <c r="F506" s="17">
        <v>30</v>
      </c>
      <c r="H506" s="360">
        <v>0.99647509958503211</v>
      </c>
      <c r="I506" s="360">
        <v>-0.93044879874126629</v>
      </c>
      <c r="K506" s="363"/>
      <c r="N506" s="10"/>
      <c r="O506" s="4"/>
      <c r="P506" s="4"/>
      <c r="Q506" s="3"/>
      <c r="R506" s="3"/>
      <c r="S506" s="3"/>
      <c r="T506" s="3"/>
    </row>
    <row r="507" spans="1:20">
      <c r="A507" s="3">
        <v>1</v>
      </c>
      <c r="B507" s="3">
        <v>1</v>
      </c>
      <c r="C507" s="2">
        <v>25</v>
      </c>
      <c r="D507" s="2">
        <v>5</v>
      </c>
      <c r="E507" s="2">
        <v>16</v>
      </c>
      <c r="F507" s="17">
        <v>30</v>
      </c>
      <c r="H507" s="360">
        <v>1</v>
      </c>
      <c r="I507" s="360">
        <v>-0.95143468420538979</v>
      </c>
      <c r="K507" s="363"/>
      <c r="N507" s="10"/>
      <c r="O507" s="4"/>
      <c r="P507" s="4"/>
      <c r="Q507" s="3"/>
      <c r="R507" s="3"/>
      <c r="S507" s="3"/>
      <c r="T507" s="3"/>
    </row>
    <row r="508" spans="1:20">
      <c r="A508" s="3">
        <v>2</v>
      </c>
      <c r="B508" s="3">
        <v>1</v>
      </c>
      <c r="C508" s="2">
        <v>25</v>
      </c>
      <c r="D508" s="2">
        <v>5</v>
      </c>
      <c r="E508" s="2">
        <v>1</v>
      </c>
      <c r="F508" s="17">
        <v>30</v>
      </c>
      <c r="H508" s="360">
        <v>1</v>
      </c>
      <c r="I508" s="360">
        <v>-1</v>
      </c>
      <c r="K508" s="363"/>
      <c r="N508" s="10"/>
      <c r="O508" s="4"/>
      <c r="P508" s="4"/>
      <c r="Q508" s="3"/>
      <c r="R508" s="3"/>
      <c r="S508" s="3"/>
      <c r="T508" s="3"/>
    </row>
    <row r="509" spans="1:20">
      <c r="A509" s="3">
        <v>2</v>
      </c>
      <c r="B509" s="3">
        <v>1</v>
      </c>
      <c r="C509" s="2">
        <v>25</v>
      </c>
      <c r="D509" s="2">
        <v>5</v>
      </c>
      <c r="E509" s="2">
        <v>16</v>
      </c>
      <c r="F509" s="17">
        <v>30</v>
      </c>
      <c r="H509" s="361">
        <v>1</v>
      </c>
      <c r="I509" s="361">
        <v>-1</v>
      </c>
      <c r="K509" s="363"/>
      <c r="N509" s="10"/>
      <c r="O509" s="4"/>
      <c r="P509" s="4"/>
      <c r="Q509" s="3"/>
      <c r="R509" s="3"/>
      <c r="S509" s="3"/>
      <c r="T509" s="3"/>
    </row>
    <row r="510" spans="1:20">
      <c r="A510" s="3">
        <v>2</v>
      </c>
      <c r="B510" s="3">
        <v>2</v>
      </c>
      <c r="C510" s="2">
        <v>25</v>
      </c>
      <c r="D510" s="2">
        <v>5</v>
      </c>
      <c r="E510" s="2">
        <v>1</v>
      </c>
      <c r="F510" s="17">
        <v>30</v>
      </c>
      <c r="H510" s="361">
        <v>1</v>
      </c>
      <c r="I510" s="361">
        <v>-1</v>
      </c>
      <c r="K510" s="363"/>
      <c r="N510" s="10"/>
      <c r="O510" s="4"/>
      <c r="P510" s="4"/>
      <c r="Q510" s="3"/>
      <c r="R510" s="3"/>
      <c r="S510" s="3"/>
      <c r="T510" s="3"/>
    </row>
    <row r="511" spans="1:20">
      <c r="A511" s="3">
        <v>2</v>
      </c>
      <c r="B511" s="3">
        <v>2</v>
      </c>
      <c r="C511" s="2">
        <v>25</v>
      </c>
      <c r="D511" s="2">
        <v>5</v>
      </c>
      <c r="E511" s="2">
        <v>16</v>
      </c>
      <c r="F511" s="17">
        <v>30</v>
      </c>
      <c r="H511" s="361">
        <v>1</v>
      </c>
      <c r="I511" s="361">
        <v>-1</v>
      </c>
      <c r="K511" s="363"/>
      <c r="N511" s="10"/>
      <c r="O511" s="4"/>
      <c r="P511" s="4"/>
      <c r="Q511" s="3"/>
      <c r="R511" s="3"/>
      <c r="S511" s="3"/>
      <c r="T511" s="3"/>
    </row>
    <row r="512" spans="1:20">
      <c r="A512" s="3">
        <v>1</v>
      </c>
      <c r="B512" s="3">
        <v>2</v>
      </c>
      <c r="C512" s="2">
        <v>25</v>
      </c>
      <c r="D512" s="2">
        <v>30</v>
      </c>
      <c r="E512" s="2">
        <v>16</v>
      </c>
      <c r="F512" s="17">
        <v>31</v>
      </c>
      <c r="H512" s="360">
        <v>0.92063402980265718</v>
      </c>
      <c r="I512" s="360">
        <v>0.58510099592584441</v>
      </c>
      <c r="K512" s="363"/>
      <c r="N512" s="10"/>
      <c r="O512" s="4"/>
      <c r="P512" s="4"/>
      <c r="Q512" s="3"/>
      <c r="R512" s="3"/>
      <c r="S512" s="3"/>
      <c r="T512" s="3"/>
    </row>
    <row r="513" spans="1:20">
      <c r="A513" s="3">
        <v>1</v>
      </c>
      <c r="B513" s="3">
        <v>2</v>
      </c>
      <c r="C513" s="2">
        <v>25</v>
      </c>
      <c r="D513" s="2">
        <v>5</v>
      </c>
      <c r="E513" s="2">
        <v>16</v>
      </c>
      <c r="F513" s="17">
        <v>31</v>
      </c>
      <c r="H513" s="360">
        <v>0.85712183604288361</v>
      </c>
      <c r="I513" s="360">
        <v>0.48591735517954321</v>
      </c>
      <c r="K513" s="363"/>
      <c r="N513" s="10"/>
      <c r="O513" s="4"/>
      <c r="P513" s="4"/>
      <c r="Q513" s="3"/>
      <c r="R513" s="3"/>
      <c r="S513" s="3"/>
      <c r="T513" s="3"/>
    </row>
    <row r="514" spans="1:20">
      <c r="A514" s="3">
        <v>1</v>
      </c>
      <c r="B514" s="3">
        <v>1</v>
      </c>
      <c r="C514" s="2">
        <v>25</v>
      </c>
      <c r="D514" s="2">
        <v>30</v>
      </c>
      <c r="E514" s="2">
        <v>16</v>
      </c>
      <c r="F514" s="17">
        <v>31</v>
      </c>
      <c r="H514" s="360">
        <v>0.42009871622881423</v>
      </c>
      <c r="I514" s="360">
        <v>0.16592804441643741</v>
      </c>
      <c r="K514" s="363"/>
      <c r="N514" s="10"/>
      <c r="O514" s="4"/>
      <c r="P514" s="4"/>
      <c r="Q514" s="3"/>
      <c r="R514" s="3"/>
      <c r="S514" s="3"/>
      <c r="T514" s="3"/>
    </row>
    <row r="515" spans="1:20">
      <c r="A515" s="3">
        <v>1</v>
      </c>
      <c r="B515" s="3">
        <v>2</v>
      </c>
      <c r="C515" s="2">
        <v>25</v>
      </c>
      <c r="D515" s="2">
        <v>5</v>
      </c>
      <c r="E515" s="2">
        <v>16</v>
      </c>
      <c r="F515" s="17">
        <v>31</v>
      </c>
      <c r="H515" s="361">
        <v>1</v>
      </c>
      <c r="I515" s="361">
        <v>0.125624993352977</v>
      </c>
      <c r="K515" s="363"/>
      <c r="N515" s="10"/>
      <c r="O515" s="4"/>
      <c r="P515" s="4"/>
      <c r="Q515" s="3"/>
      <c r="R515" s="3"/>
      <c r="S515" s="3"/>
      <c r="T515" s="3"/>
    </row>
    <row r="516" spans="1:20">
      <c r="A516" s="3">
        <v>2</v>
      </c>
      <c r="B516" s="3">
        <v>2</v>
      </c>
      <c r="C516" s="2">
        <v>25</v>
      </c>
      <c r="D516" s="2">
        <v>5</v>
      </c>
      <c r="E516" s="2">
        <v>16</v>
      </c>
      <c r="F516" s="17">
        <v>31</v>
      </c>
      <c r="H516" s="361">
        <v>1</v>
      </c>
      <c r="I516" s="361">
        <v>7.6081493795183072E-2</v>
      </c>
      <c r="K516" s="363"/>
      <c r="N516" s="10"/>
      <c r="O516" s="4"/>
      <c r="P516" s="4"/>
      <c r="Q516" s="3"/>
      <c r="R516" s="3"/>
      <c r="S516" s="3"/>
      <c r="T516" s="3"/>
    </row>
    <row r="517" spans="1:20">
      <c r="A517" s="3">
        <v>5</v>
      </c>
      <c r="B517" s="3">
        <v>2</v>
      </c>
      <c r="C517" s="2">
        <v>50</v>
      </c>
      <c r="D517" s="2">
        <v>5</v>
      </c>
      <c r="E517" s="2">
        <v>16</v>
      </c>
      <c r="F517" s="17">
        <v>31</v>
      </c>
      <c r="H517" s="360">
        <v>1</v>
      </c>
      <c r="I517" s="359">
        <v>-5.4082345176744796E-2</v>
      </c>
      <c r="K517" s="363"/>
      <c r="N517" s="10"/>
      <c r="O517" s="4"/>
      <c r="P517" s="4"/>
      <c r="Q517" s="3"/>
      <c r="R517" s="3"/>
      <c r="S517" s="3"/>
      <c r="T517" s="3"/>
    </row>
    <row r="518" spans="1:20">
      <c r="A518" s="3">
        <v>1</v>
      </c>
      <c r="B518" s="3">
        <v>2</v>
      </c>
      <c r="C518" s="2">
        <v>25</v>
      </c>
      <c r="D518" s="2">
        <v>5</v>
      </c>
      <c r="E518" s="2">
        <v>1</v>
      </c>
      <c r="F518" s="17">
        <v>31</v>
      </c>
      <c r="H518" s="360">
        <v>0.10346689733498471</v>
      </c>
      <c r="I518" s="360">
        <v>-6.7820780463624469E-2</v>
      </c>
      <c r="K518" s="363"/>
      <c r="N518" s="10"/>
      <c r="O518" s="4"/>
      <c r="P518" s="4"/>
      <c r="Q518" s="3"/>
      <c r="R518" s="3"/>
      <c r="S518" s="3"/>
      <c r="T518" s="3"/>
    </row>
    <row r="519" spans="1:20">
      <c r="A519" s="3">
        <v>1</v>
      </c>
      <c r="B519" s="3">
        <v>1</v>
      </c>
      <c r="C519" s="2">
        <v>25</v>
      </c>
      <c r="D519" s="2">
        <v>5</v>
      </c>
      <c r="E519" s="2">
        <v>16</v>
      </c>
      <c r="F519" s="17">
        <v>31</v>
      </c>
      <c r="H519" s="360">
        <v>0.27486273094059455</v>
      </c>
      <c r="I519" s="360">
        <v>-0.11042508885431446</v>
      </c>
      <c r="K519" s="363"/>
      <c r="N519" s="10"/>
      <c r="O519" s="4"/>
      <c r="P519" s="4"/>
      <c r="Q519" s="3"/>
      <c r="R519" s="3"/>
      <c r="S519" s="3"/>
      <c r="T519" s="3"/>
    </row>
    <row r="520" spans="1:20">
      <c r="A520" s="3">
        <v>2</v>
      </c>
      <c r="B520" s="3">
        <v>1</v>
      </c>
      <c r="C520" s="2">
        <v>25</v>
      </c>
      <c r="D520" s="2">
        <v>5</v>
      </c>
      <c r="E520" s="2">
        <v>16</v>
      </c>
      <c r="F520" s="17">
        <v>31</v>
      </c>
      <c r="H520" s="361">
        <v>0.89242634725898629</v>
      </c>
      <c r="I520" s="361">
        <v>-0.11429430578715724</v>
      </c>
      <c r="K520" s="363"/>
      <c r="N520" s="10"/>
      <c r="O520" s="4"/>
      <c r="P520" s="4"/>
      <c r="Q520" s="3"/>
      <c r="R520" s="3"/>
      <c r="S520" s="3"/>
      <c r="T520" s="3"/>
    </row>
    <row r="521" spans="1:20">
      <c r="A521" s="3">
        <v>2</v>
      </c>
      <c r="B521" s="3">
        <v>1</v>
      </c>
      <c r="C521" s="2">
        <v>25</v>
      </c>
      <c r="D521" s="2">
        <v>5</v>
      </c>
      <c r="E521" s="2">
        <v>1</v>
      </c>
      <c r="F521" s="17">
        <v>31</v>
      </c>
      <c r="H521" s="360">
        <v>0.7457951472455544</v>
      </c>
      <c r="I521" s="360">
        <v>-0.14156998570978757</v>
      </c>
      <c r="K521" s="363"/>
      <c r="N521" s="10"/>
      <c r="O521" s="4"/>
      <c r="P521" s="4"/>
      <c r="Q521" s="3"/>
      <c r="R521" s="3"/>
      <c r="S521" s="3"/>
      <c r="T521" s="3"/>
    </row>
    <row r="522" spans="1:20">
      <c r="A522" s="3">
        <v>2</v>
      </c>
      <c r="B522" s="3">
        <v>2</v>
      </c>
      <c r="C522" s="2">
        <v>25</v>
      </c>
      <c r="D522" s="2">
        <v>5</v>
      </c>
      <c r="E522" s="2">
        <v>1</v>
      </c>
      <c r="F522" s="17">
        <v>31</v>
      </c>
      <c r="H522" s="361">
        <v>0.98206613863370462</v>
      </c>
      <c r="I522" s="361">
        <v>-0.14236645794595751</v>
      </c>
      <c r="K522" s="363"/>
      <c r="N522" s="10"/>
      <c r="O522" s="4"/>
      <c r="P522" s="4"/>
      <c r="Q522" s="3"/>
      <c r="R522" s="3"/>
      <c r="S522" s="3"/>
      <c r="T522" s="3"/>
    </row>
    <row r="523" spans="1:20">
      <c r="A523" s="3">
        <v>3</v>
      </c>
      <c r="B523" s="3">
        <v>2</v>
      </c>
      <c r="C523" s="2">
        <v>25</v>
      </c>
      <c r="D523" s="2">
        <v>5</v>
      </c>
      <c r="E523" s="2">
        <v>16</v>
      </c>
      <c r="F523" s="17">
        <v>31</v>
      </c>
      <c r="H523" s="360">
        <v>0.18383888533076909</v>
      </c>
      <c r="I523" s="360">
        <v>-0.30698154488930646</v>
      </c>
      <c r="K523" s="363"/>
      <c r="N523" s="10"/>
      <c r="O523" s="4"/>
      <c r="P523" s="4"/>
      <c r="Q523" s="3"/>
      <c r="R523" s="3"/>
      <c r="S523" s="3"/>
      <c r="T523" s="3"/>
    </row>
    <row r="524" spans="1:20">
      <c r="A524" s="3">
        <v>1</v>
      </c>
      <c r="B524" s="3">
        <v>1</v>
      </c>
      <c r="C524" s="2">
        <v>25</v>
      </c>
      <c r="D524" s="2">
        <v>5</v>
      </c>
      <c r="E524" s="2">
        <v>1</v>
      </c>
      <c r="F524" s="17">
        <v>31</v>
      </c>
      <c r="H524" s="360">
        <v>8.6992625695323511E-2</v>
      </c>
      <c r="I524" s="360">
        <v>-0.44210343781159234</v>
      </c>
      <c r="K524" s="363"/>
      <c r="N524" s="10"/>
      <c r="O524" s="4"/>
      <c r="P524" s="4"/>
      <c r="Q524" s="3"/>
      <c r="R524" s="3"/>
      <c r="S524" s="3"/>
      <c r="T524" s="3"/>
    </row>
    <row r="525" spans="1:20">
      <c r="A525" s="3">
        <v>3</v>
      </c>
      <c r="B525" s="3">
        <v>2</v>
      </c>
      <c r="C525" s="2">
        <v>25</v>
      </c>
      <c r="D525" s="2">
        <v>5</v>
      </c>
      <c r="E525" s="2">
        <v>1</v>
      </c>
      <c r="F525" s="17">
        <v>31</v>
      </c>
      <c r="H525" s="361">
        <v>0.35884661233218207</v>
      </c>
      <c r="I525" s="361">
        <v>-0.7087454111416478</v>
      </c>
      <c r="K525" s="363"/>
      <c r="N525" s="10"/>
      <c r="O525" s="4"/>
      <c r="P525" s="4"/>
      <c r="Q525" s="3"/>
      <c r="R525" s="3"/>
      <c r="S525" s="3"/>
      <c r="T525" s="3"/>
    </row>
    <row r="526" spans="1:20">
      <c r="A526" s="3">
        <v>3</v>
      </c>
      <c r="B526" s="3">
        <v>1</v>
      </c>
      <c r="C526" s="2">
        <v>25</v>
      </c>
      <c r="D526" s="2">
        <v>5</v>
      </c>
      <c r="E526" s="2">
        <v>1</v>
      </c>
      <c r="F526" s="17">
        <v>31</v>
      </c>
      <c r="H526" s="360">
        <v>0.28727683243710056</v>
      </c>
      <c r="I526" s="360">
        <v>-0.80047696949420988</v>
      </c>
      <c r="K526" s="363"/>
      <c r="N526" s="10"/>
      <c r="O526" s="4"/>
      <c r="P526" s="4"/>
      <c r="Q526" s="3"/>
      <c r="R526" s="3"/>
      <c r="S526" s="3"/>
      <c r="T526" s="3"/>
    </row>
    <row r="527" spans="1:20">
      <c r="A527" s="3">
        <v>4</v>
      </c>
      <c r="B527" s="3">
        <v>2</v>
      </c>
      <c r="C527" s="2">
        <v>50</v>
      </c>
      <c r="D527" s="2">
        <v>5</v>
      </c>
      <c r="E527" s="2">
        <v>16</v>
      </c>
      <c r="F527" s="17">
        <v>31</v>
      </c>
      <c r="H527" s="360">
        <v>1</v>
      </c>
      <c r="I527" s="359">
        <v>-0.82075129994190155</v>
      </c>
      <c r="K527" s="363"/>
      <c r="N527" s="10"/>
      <c r="O527" s="4"/>
      <c r="P527" s="4"/>
      <c r="Q527" s="3"/>
      <c r="R527" s="3"/>
      <c r="S527" s="3"/>
      <c r="T527" s="3"/>
    </row>
    <row r="528" spans="1:20">
      <c r="A528" s="3">
        <v>3</v>
      </c>
      <c r="B528" s="3">
        <v>1</v>
      </c>
      <c r="C528" s="2">
        <v>25</v>
      </c>
      <c r="D528" s="2">
        <v>5</v>
      </c>
      <c r="E528" s="2">
        <v>16</v>
      </c>
      <c r="F528" s="17">
        <v>31</v>
      </c>
      <c r="H528" s="361">
        <v>0.7770081662265147</v>
      </c>
      <c r="I528" s="361">
        <v>-0.89875754607931102</v>
      </c>
      <c r="K528" s="363"/>
      <c r="N528" s="10"/>
      <c r="O528" s="4"/>
      <c r="P528" s="4"/>
      <c r="Q528" s="3"/>
      <c r="R528" s="3"/>
      <c r="S528" s="3"/>
      <c r="T528" s="3"/>
    </row>
    <row r="529" spans="1:20">
      <c r="A529" s="3">
        <v>5</v>
      </c>
      <c r="B529" s="3">
        <v>2</v>
      </c>
      <c r="C529" s="2">
        <v>50</v>
      </c>
      <c r="D529" s="2">
        <v>5</v>
      </c>
      <c r="E529" s="2">
        <v>16</v>
      </c>
      <c r="F529" s="17">
        <v>32</v>
      </c>
      <c r="H529" s="360">
        <v>1</v>
      </c>
      <c r="I529" s="359">
        <v>3.7958103929547168E-2</v>
      </c>
      <c r="K529" s="363"/>
      <c r="N529" s="10"/>
      <c r="O529" s="4"/>
      <c r="P529" s="4"/>
      <c r="Q529" s="3"/>
      <c r="R529" s="3"/>
      <c r="S529" s="3"/>
      <c r="T529" s="3"/>
    </row>
    <row r="530" spans="1:20">
      <c r="A530" s="3">
        <v>1</v>
      </c>
      <c r="B530" s="3">
        <v>2</v>
      </c>
      <c r="C530" s="2">
        <v>25</v>
      </c>
      <c r="D530" s="2">
        <v>30</v>
      </c>
      <c r="E530" s="2">
        <v>16</v>
      </c>
      <c r="F530" s="17">
        <v>32</v>
      </c>
      <c r="H530" s="360">
        <v>1</v>
      </c>
      <c r="I530" s="360">
        <v>-0.16330971343069722</v>
      </c>
      <c r="K530" s="363"/>
      <c r="N530" s="10"/>
      <c r="O530" s="4"/>
      <c r="P530" s="4"/>
      <c r="Q530" s="3"/>
      <c r="R530" s="3"/>
      <c r="S530" s="3"/>
      <c r="T530" s="3"/>
    </row>
    <row r="531" spans="1:20">
      <c r="A531" s="3">
        <v>1</v>
      </c>
      <c r="B531" s="3">
        <v>2</v>
      </c>
      <c r="C531" s="2">
        <v>25</v>
      </c>
      <c r="D531" s="2">
        <v>5</v>
      </c>
      <c r="E531" s="2">
        <v>16</v>
      </c>
      <c r="F531" s="17">
        <v>32</v>
      </c>
      <c r="H531" s="361">
        <v>1</v>
      </c>
      <c r="I531" s="361">
        <v>-0.16412149828073033</v>
      </c>
      <c r="K531" s="363"/>
      <c r="N531" s="10"/>
      <c r="O531" s="4"/>
      <c r="P531" s="4"/>
      <c r="Q531" s="3"/>
      <c r="R531" s="3"/>
      <c r="S531" s="3"/>
      <c r="T531" s="3"/>
    </row>
    <row r="532" spans="1:20">
      <c r="A532" s="3">
        <v>3</v>
      </c>
      <c r="B532" s="3">
        <v>1</v>
      </c>
      <c r="C532" s="2">
        <v>25</v>
      </c>
      <c r="D532" s="2">
        <v>5</v>
      </c>
      <c r="E532" s="2">
        <v>1</v>
      </c>
      <c r="F532" s="17">
        <v>32</v>
      </c>
      <c r="H532" s="360">
        <v>1</v>
      </c>
      <c r="I532" s="360">
        <v>-0.18085950844965143</v>
      </c>
      <c r="K532" s="363"/>
      <c r="N532" s="10"/>
      <c r="O532" s="4"/>
      <c r="P532" s="4"/>
      <c r="Q532" s="3"/>
      <c r="R532" s="3"/>
      <c r="S532" s="3"/>
      <c r="T532" s="3"/>
    </row>
    <row r="533" spans="1:20">
      <c r="A533" s="3">
        <v>1</v>
      </c>
      <c r="B533" s="3">
        <v>2</v>
      </c>
      <c r="C533" s="2">
        <v>25</v>
      </c>
      <c r="D533" s="2">
        <v>5</v>
      </c>
      <c r="E533" s="2">
        <v>1</v>
      </c>
      <c r="F533" s="17">
        <v>32</v>
      </c>
      <c r="H533" s="360">
        <v>0.71208149707556734</v>
      </c>
      <c r="I533" s="360">
        <v>-0.19163952771032644</v>
      </c>
      <c r="K533" s="363"/>
      <c r="N533" s="10"/>
      <c r="O533" s="4"/>
      <c r="P533" s="4"/>
      <c r="Q533" s="3"/>
      <c r="R533" s="3"/>
      <c r="S533" s="3"/>
      <c r="T533" s="3"/>
    </row>
    <row r="534" spans="1:20">
      <c r="A534" s="3">
        <v>1</v>
      </c>
      <c r="B534" s="3">
        <v>2</v>
      </c>
      <c r="C534" s="2">
        <v>25</v>
      </c>
      <c r="D534" s="2">
        <v>5</v>
      </c>
      <c r="E534" s="2">
        <v>16</v>
      </c>
      <c r="F534" s="17">
        <v>32</v>
      </c>
      <c r="H534" s="360">
        <v>1</v>
      </c>
      <c r="I534" s="360">
        <v>-0.19407686305625216</v>
      </c>
      <c r="K534" s="363"/>
      <c r="N534" s="10"/>
      <c r="O534" s="4"/>
      <c r="P534" s="4"/>
      <c r="Q534" s="3"/>
      <c r="R534" s="3"/>
      <c r="S534" s="3"/>
      <c r="T534" s="3"/>
    </row>
    <row r="535" spans="1:20">
      <c r="A535" s="3">
        <v>3</v>
      </c>
      <c r="B535" s="3">
        <v>2</v>
      </c>
      <c r="C535" s="2">
        <v>25</v>
      </c>
      <c r="D535" s="2">
        <v>5</v>
      </c>
      <c r="E535" s="2">
        <v>16</v>
      </c>
      <c r="F535" s="17">
        <v>32</v>
      </c>
      <c r="H535" s="360">
        <v>0.83631504265965595</v>
      </c>
      <c r="I535" s="360">
        <v>-0.21587416436086293</v>
      </c>
      <c r="K535" s="363"/>
      <c r="N535" s="10"/>
      <c r="O535" s="4"/>
      <c r="P535" s="4"/>
      <c r="Q535" s="3"/>
      <c r="R535" s="3"/>
      <c r="S535" s="3"/>
      <c r="T535" s="3"/>
    </row>
    <row r="536" spans="1:20">
      <c r="A536" s="3">
        <v>4</v>
      </c>
      <c r="B536" s="3">
        <v>2</v>
      </c>
      <c r="C536" s="2">
        <v>50</v>
      </c>
      <c r="D536" s="2">
        <v>5</v>
      </c>
      <c r="E536" s="2">
        <v>16</v>
      </c>
      <c r="F536" s="17">
        <v>32</v>
      </c>
      <c r="H536" s="360">
        <v>0.61812421196369927</v>
      </c>
      <c r="I536" s="359">
        <v>-0.21762189195519338</v>
      </c>
      <c r="K536" s="363"/>
      <c r="N536" s="10"/>
      <c r="O536" s="4"/>
      <c r="P536" s="4"/>
      <c r="Q536" s="3"/>
      <c r="R536" s="3"/>
      <c r="S536" s="3"/>
      <c r="T536" s="3"/>
    </row>
    <row r="537" spans="1:20">
      <c r="A537" s="3">
        <v>2</v>
      </c>
      <c r="B537" s="3">
        <v>2</v>
      </c>
      <c r="C537" s="2">
        <v>25</v>
      </c>
      <c r="D537" s="2">
        <v>5</v>
      </c>
      <c r="E537" s="2">
        <v>16</v>
      </c>
      <c r="F537" s="17">
        <v>32</v>
      </c>
      <c r="H537" s="361">
        <v>1</v>
      </c>
      <c r="I537" s="361">
        <v>-0.23213892490116275</v>
      </c>
      <c r="K537" s="363"/>
      <c r="N537" s="10"/>
      <c r="O537" s="4"/>
      <c r="P537" s="4"/>
      <c r="Q537" s="3"/>
      <c r="R537" s="3"/>
      <c r="S537" s="3"/>
      <c r="T537" s="3"/>
    </row>
    <row r="538" spans="1:20">
      <c r="A538" s="3">
        <v>1</v>
      </c>
      <c r="B538" s="3">
        <v>1</v>
      </c>
      <c r="C538" s="2">
        <v>25</v>
      </c>
      <c r="D538" s="2">
        <v>30</v>
      </c>
      <c r="E538" s="2">
        <v>16</v>
      </c>
      <c r="F538" s="17">
        <v>32</v>
      </c>
      <c r="H538" s="360">
        <v>1</v>
      </c>
      <c r="I538" s="360">
        <v>-0.23298560199064516</v>
      </c>
      <c r="K538" s="363"/>
      <c r="N538" s="10"/>
      <c r="O538" s="4"/>
      <c r="P538" s="4"/>
      <c r="Q538" s="3"/>
      <c r="R538" s="3"/>
      <c r="S538" s="3"/>
      <c r="T538" s="3"/>
    </row>
    <row r="539" spans="1:20">
      <c r="A539" s="3">
        <v>3</v>
      </c>
      <c r="B539" s="3">
        <v>1</v>
      </c>
      <c r="C539" s="2">
        <v>25</v>
      </c>
      <c r="D539" s="2">
        <v>5</v>
      </c>
      <c r="E539" s="2">
        <v>16</v>
      </c>
      <c r="F539" s="17">
        <v>32</v>
      </c>
      <c r="H539" s="361">
        <v>1</v>
      </c>
      <c r="I539" s="361">
        <v>-0.23441585763810774</v>
      </c>
      <c r="K539" s="363"/>
      <c r="N539" s="10"/>
      <c r="O539" s="4"/>
      <c r="P539" s="4"/>
      <c r="Q539" s="3"/>
      <c r="R539" s="3"/>
      <c r="S539" s="3"/>
      <c r="T539" s="3"/>
    </row>
    <row r="540" spans="1:20">
      <c r="A540" s="3">
        <v>2</v>
      </c>
      <c r="B540" s="3">
        <v>2</v>
      </c>
      <c r="C540" s="2">
        <v>25</v>
      </c>
      <c r="D540" s="2">
        <v>5</v>
      </c>
      <c r="E540" s="2">
        <v>1</v>
      </c>
      <c r="F540" s="17">
        <v>32</v>
      </c>
      <c r="H540" s="361">
        <v>1</v>
      </c>
      <c r="I540" s="361">
        <v>-0.24251005720558919</v>
      </c>
      <c r="K540" s="363"/>
      <c r="N540" s="10"/>
      <c r="O540" s="4"/>
      <c r="P540" s="4"/>
      <c r="Q540" s="3"/>
      <c r="R540" s="3"/>
      <c r="S540" s="3"/>
      <c r="T540" s="3"/>
    </row>
    <row r="541" spans="1:20">
      <c r="A541" s="3">
        <v>1</v>
      </c>
      <c r="B541" s="3">
        <v>1</v>
      </c>
      <c r="C541" s="2">
        <v>25</v>
      </c>
      <c r="D541" s="2">
        <v>5</v>
      </c>
      <c r="E541" s="2">
        <v>1</v>
      </c>
      <c r="F541" s="17">
        <v>32</v>
      </c>
      <c r="H541" s="360">
        <v>1</v>
      </c>
      <c r="I541" s="360">
        <v>-0.24857936237583028</v>
      </c>
      <c r="K541" s="363"/>
      <c r="N541" s="10"/>
      <c r="O541" s="4"/>
      <c r="P541" s="4"/>
      <c r="Q541" s="3"/>
      <c r="R541" s="3"/>
      <c r="S541" s="3"/>
      <c r="T541" s="3"/>
    </row>
    <row r="542" spans="1:20">
      <c r="A542" s="3">
        <v>2</v>
      </c>
      <c r="B542" s="3">
        <v>1</v>
      </c>
      <c r="C542" s="2">
        <v>25</v>
      </c>
      <c r="D542" s="2">
        <v>5</v>
      </c>
      <c r="E542" s="2">
        <v>1</v>
      </c>
      <c r="F542" s="17">
        <v>32</v>
      </c>
      <c r="H542" s="360">
        <v>1</v>
      </c>
      <c r="I542" s="360">
        <v>-0.25952278415438679</v>
      </c>
      <c r="K542" s="363"/>
      <c r="N542" s="10"/>
      <c r="O542" s="4"/>
      <c r="P542" s="4"/>
      <c r="Q542" s="3"/>
      <c r="R542" s="3"/>
      <c r="S542" s="3"/>
      <c r="T542" s="3"/>
    </row>
    <row r="543" spans="1:20">
      <c r="A543" s="3">
        <v>3</v>
      </c>
      <c r="B543" s="3">
        <v>2</v>
      </c>
      <c r="C543" s="2">
        <v>25</v>
      </c>
      <c r="D543" s="2">
        <v>5</v>
      </c>
      <c r="E543" s="2">
        <v>1</v>
      </c>
      <c r="F543" s="17">
        <v>32</v>
      </c>
      <c r="H543" s="361">
        <v>0.2945876560181192</v>
      </c>
      <c r="I543" s="361">
        <v>-0.26344838358219852</v>
      </c>
      <c r="K543" s="363"/>
      <c r="N543" s="10"/>
      <c r="O543" s="4"/>
      <c r="P543" s="4"/>
      <c r="Q543" s="3"/>
      <c r="R543" s="3"/>
      <c r="S543" s="3"/>
      <c r="T543" s="3"/>
    </row>
    <row r="544" spans="1:20">
      <c r="A544" s="3">
        <v>1</v>
      </c>
      <c r="B544" s="3">
        <v>1</v>
      </c>
      <c r="C544" s="2">
        <v>25</v>
      </c>
      <c r="D544" s="2">
        <v>5</v>
      </c>
      <c r="E544" s="2">
        <v>16</v>
      </c>
      <c r="F544" s="17">
        <v>32</v>
      </c>
      <c r="H544" s="360">
        <v>1</v>
      </c>
      <c r="I544" s="360">
        <v>-0.26855174232592971</v>
      </c>
      <c r="K544" s="363"/>
      <c r="N544" s="10"/>
      <c r="O544" s="4"/>
      <c r="P544" s="4"/>
      <c r="Q544" s="3"/>
      <c r="R544" s="3"/>
      <c r="S544" s="3"/>
      <c r="T544" s="3"/>
    </row>
    <row r="545" spans="1:20">
      <c r="A545" s="3">
        <v>2</v>
      </c>
      <c r="B545" s="3">
        <v>1</v>
      </c>
      <c r="C545" s="2">
        <v>25</v>
      </c>
      <c r="D545" s="2">
        <v>5</v>
      </c>
      <c r="E545" s="2">
        <v>16</v>
      </c>
      <c r="F545" s="17">
        <v>32</v>
      </c>
      <c r="H545" s="361">
        <v>1</v>
      </c>
      <c r="I545" s="361">
        <v>-0.27540974984001565</v>
      </c>
      <c r="K545" s="363"/>
      <c r="N545" s="10"/>
      <c r="O545" s="4"/>
      <c r="P545" s="4"/>
      <c r="Q545" s="3"/>
      <c r="R545" s="3"/>
      <c r="S545" s="3"/>
      <c r="T545" s="3"/>
    </row>
    <row r="546" spans="1:20">
      <c r="A546" s="3">
        <v>1</v>
      </c>
      <c r="B546" s="3">
        <v>2</v>
      </c>
      <c r="C546" s="2">
        <v>25</v>
      </c>
      <c r="D546" s="2">
        <v>5</v>
      </c>
      <c r="E546" s="2">
        <v>16</v>
      </c>
      <c r="F546" s="17">
        <v>33</v>
      </c>
      <c r="H546" s="360">
        <v>1</v>
      </c>
      <c r="I546" s="360">
        <v>0.14587165310487973</v>
      </c>
      <c r="K546" s="363"/>
      <c r="N546" s="10"/>
      <c r="O546" s="4"/>
      <c r="P546" s="4"/>
      <c r="Q546" s="3"/>
      <c r="R546" s="3"/>
      <c r="S546" s="3"/>
      <c r="T546" s="3"/>
    </row>
    <row r="547" spans="1:20">
      <c r="A547" s="3">
        <v>1</v>
      </c>
      <c r="B547" s="3">
        <v>2</v>
      </c>
      <c r="C547" s="2">
        <v>25</v>
      </c>
      <c r="D547" s="2">
        <v>30</v>
      </c>
      <c r="E547" s="2">
        <v>16</v>
      </c>
      <c r="F547" s="17">
        <v>33</v>
      </c>
      <c r="H547" s="360">
        <v>1</v>
      </c>
      <c r="I547" s="360">
        <v>2.8588822011161217E-3</v>
      </c>
      <c r="K547" s="363"/>
      <c r="N547" s="10"/>
      <c r="O547" s="4"/>
      <c r="P547" s="4"/>
      <c r="Q547" s="3"/>
      <c r="R547" s="3"/>
      <c r="S547" s="3"/>
      <c r="T547" s="3"/>
    </row>
    <row r="548" spans="1:20">
      <c r="A548" s="3">
        <v>1</v>
      </c>
      <c r="B548" s="3">
        <v>2</v>
      </c>
      <c r="C548" s="2">
        <v>25</v>
      </c>
      <c r="D548" s="2">
        <v>5</v>
      </c>
      <c r="E548" s="2">
        <v>16</v>
      </c>
      <c r="F548" s="17">
        <v>33</v>
      </c>
      <c r="H548" s="361">
        <v>1</v>
      </c>
      <c r="I548" s="361">
        <v>-6.332841356129687E-3</v>
      </c>
      <c r="K548" s="363"/>
      <c r="N548" s="10"/>
      <c r="O548" s="4"/>
      <c r="P548" s="4"/>
      <c r="Q548" s="3"/>
      <c r="R548" s="3"/>
      <c r="S548" s="3"/>
      <c r="T548" s="3"/>
    </row>
    <row r="549" spans="1:20">
      <c r="A549" s="3">
        <v>3</v>
      </c>
      <c r="B549" s="3">
        <v>2</v>
      </c>
      <c r="C549" s="2">
        <v>25</v>
      </c>
      <c r="D549" s="2">
        <v>5</v>
      </c>
      <c r="E549" s="2">
        <v>16</v>
      </c>
      <c r="F549" s="17">
        <v>33</v>
      </c>
      <c r="H549" s="360">
        <v>1</v>
      </c>
      <c r="I549" s="360">
        <v>-4.8554607531850043E-2</v>
      </c>
      <c r="K549" s="363"/>
      <c r="N549" s="10"/>
      <c r="O549" s="4"/>
      <c r="P549" s="4"/>
      <c r="Q549" s="3"/>
      <c r="R549" s="3"/>
      <c r="S549" s="3"/>
      <c r="T549" s="3"/>
    </row>
    <row r="550" spans="1:20">
      <c r="A550" s="3">
        <v>2</v>
      </c>
      <c r="B550" s="3">
        <v>2</v>
      </c>
      <c r="C550" s="2">
        <v>25</v>
      </c>
      <c r="D550" s="2">
        <v>5</v>
      </c>
      <c r="E550" s="2">
        <v>16</v>
      </c>
      <c r="F550" s="17">
        <v>33</v>
      </c>
      <c r="H550" s="361">
        <v>0.98552746972649075</v>
      </c>
      <c r="I550" s="361">
        <v>-7.2152211514702219E-2</v>
      </c>
      <c r="K550" s="363"/>
      <c r="N550" s="10"/>
      <c r="O550" s="4"/>
      <c r="P550" s="4"/>
      <c r="Q550" s="3"/>
      <c r="R550" s="3"/>
      <c r="S550" s="3"/>
      <c r="T550" s="3"/>
    </row>
    <row r="551" spans="1:20">
      <c r="A551" s="3">
        <v>3</v>
      </c>
      <c r="B551" s="3">
        <v>1</v>
      </c>
      <c r="C551" s="2">
        <v>25</v>
      </c>
      <c r="D551" s="2">
        <v>5</v>
      </c>
      <c r="E551" s="2">
        <v>1</v>
      </c>
      <c r="F551" s="17">
        <v>33</v>
      </c>
      <c r="H551" s="360">
        <v>0.15029296624747079</v>
      </c>
      <c r="I551" s="360">
        <v>-9.4852561046194883E-2</v>
      </c>
      <c r="K551" s="363"/>
      <c r="N551" s="10"/>
      <c r="O551" s="4"/>
      <c r="P551" s="4"/>
      <c r="Q551" s="3"/>
      <c r="R551" s="3"/>
      <c r="S551" s="3"/>
      <c r="T551" s="3"/>
    </row>
    <row r="552" spans="1:20">
      <c r="A552" s="3">
        <v>3</v>
      </c>
      <c r="B552" s="3">
        <v>2</v>
      </c>
      <c r="C552" s="2">
        <v>25</v>
      </c>
      <c r="D552" s="2">
        <v>5</v>
      </c>
      <c r="E552" s="2">
        <v>1</v>
      </c>
      <c r="F552" s="17">
        <v>33</v>
      </c>
      <c r="H552" s="361">
        <v>1.6008525547692942E-2</v>
      </c>
      <c r="I552" s="361">
        <v>-0.13932027909070449</v>
      </c>
      <c r="K552" s="363"/>
      <c r="N552" s="10"/>
      <c r="O552" s="4"/>
      <c r="P552" s="4"/>
      <c r="Q552" s="3"/>
      <c r="R552" s="3"/>
      <c r="S552" s="3"/>
      <c r="T552" s="3"/>
    </row>
    <row r="553" spans="1:20">
      <c r="A553" s="3">
        <v>5</v>
      </c>
      <c r="B553" s="3">
        <v>2</v>
      </c>
      <c r="C553" s="2">
        <v>50</v>
      </c>
      <c r="D553" s="2">
        <v>5</v>
      </c>
      <c r="E553" s="2">
        <v>16</v>
      </c>
      <c r="F553" s="17">
        <v>33</v>
      </c>
      <c r="H553" s="360">
        <v>0.24307582598885399</v>
      </c>
      <c r="I553" s="359">
        <v>-0.20052819629070814</v>
      </c>
      <c r="K553" s="363"/>
      <c r="N553" s="10"/>
      <c r="O553" s="4"/>
      <c r="P553" s="4"/>
      <c r="Q553" s="3"/>
      <c r="R553" s="3"/>
      <c r="S553" s="3"/>
      <c r="T553" s="3"/>
    </row>
    <row r="554" spans="1:20">
      <c r="A554" s="3">
        <v>3</v>
      </c>
      <c r="B554" s="3">
        <v>1</v>
      </c>
      <c r="C554" s="2">
        <v>25</v>
      </c>
      <c r="D554" s="2">
        <v>5</v>
      </c>
      <c r="E554" s="2">
        <v>16</v>
      </c>
      <c r="F554" s="17">
        <v>33</v>
      </c>
      <c r="H554" s="361">
        <v>0.37172394480423177</v>
      </c>
      <c r="I554" s="361">
        <v>-0.21681887579587233</v>
      </c>
      <c r="K554" s="363"/>
      <c r="N554" s="10"/>
      <c r="O554" s="4"/>
      <c r="P554" s="4"/>
      <c r="Q554" s="3"/>
      <c r="R554" s="3"/>
      <c r="S554" s="3"/>
      <c r="T554" s="3"/>
    </row>
    <row r="555" spans="1:20">
      <c r="A555" s="3">
        <v>4</v>
      </c>
      <c r="B555" s="3">
        <v>2</v>
      </c>
      <c r="C555" s="2">
        <v>50</v>
      </c>
      <c r="D555" s="2">
        <v>5</v>
      </c>
      <c r="E555" s="2">
        <v>16</v>
      </c>
      <c r="F555" s="17">
        <v>33</v>
      </c>
      <c r="H555" s="360">
        <v>0.11753635635381957</v>
      </c>
      <c r="I555" s="359">
        <v>-0.23580289762483223</v>
      </c>
      <c r="K555" s="363"/>
      <c r="N555" s="10"/>
      <c r="O555" s="4"/>
      <c r="P555" s="4"/>
      <c r="Q555" s="3"/>
      <c r="R555" s="3"/>
      <c r="S555" s="3"/>
      <c r="T555" s="3"/>
    </row>
    <row r="556" spans="1:20">
      <c r="A556" s="3">
        <v>1</v>
      </c>
      <c r="B556" s="3">
        <v>1</v>
      </c>
      <c r="C556" s="2">
        <v>25</v>
      </c>
      <c r="D556" s="2">
        <v>5</v>
      </c>
      <c r="E556" s="2">
        <v>16</v>
      </c>
      <c r="F556" s="17">
        <v>33</v>
      </c>
      <c r="H556" s="360">
        <v>1</v>
      </c>
      <c r="I556" s="360">
        <v>-0.29469372190268278</v>
      </c>
      <c r="K556" s="363"/>
      <c r="N556" s="10"/>
      <c r="O556" s="4"/>
      <c r="P556" s="4"/>
      <c r="Q556" s="3"/>
      <c r="R556" s="3"/>
      <c r="S556" s="3"/>
      <c r="T556" s="3"/>
    </row>
    <row r="557" spans="1:20">
      <c r="A557" s="3">
        <v>1</v>
      </c>
      <c r="B557" s="3">
        <v>1</v>
      </c>
      <c r="C557" s="2">
        <v>25</v>
      </c>
      <c r="D557" s="2">
        <v>30</v>
      </c>
      <c r="E557" s="2">
        <v>16</v>
      </c>
      <c r="F557" s="17">
        <v>33</v>
      </c>
      <c r="H557" s="360">
        <v>1</v>
      </c>
      <c r="I557" s="360">
        <v>-0.29963813966528513</v>
      </c>
      <c r="K557" s="363"/>
      <c r="N557" s="10"/>
      <c r="O557" s="4"/>
      <c r="P557" s="4"/>
      <c r="Q557" s="3"/>
      <c r="R557" s="3"/>
      <c r="S557" s="3"/>
      <c r="T557" s="3"/>
    </row>
    <row r="558" spans="1:20">
      <c r="A558" s="3">
        <v>1</v>
      </c>
      <c r="B558" s="3">
        <v>2</v>
      </c>
      <c r="C558" s="2">
        <v>25</v>
      </c>
      <c r="D558" s="2">
        <v>5</v>
      </c>
      <c r="E558" s="2">
        <v>1</v>
      </c>
      <c r="F558" s="17">
        <v>33</v>
      </c>
      <c r="H558" s="360">
        <v>5.7250913682432847E-2</v>
      </c>
      <c r="I558" s="360">
        <v>-0.36213875657459516</v>
      </c>
      <c r="K558" s="363"/>
      <c r="N558" s="10"/>
      <c r="O558" s="4"/>
      <c r="P558" s="4"/>
      <c r="Q558" s="3"/>
      <c r="R558" s="3"/>
      <c r="S558" s="3"/>
      <c r="T558" s="3"/>
    </row>
    <row r="559" spans="1:20">
      <c r="A559" s="3">
        <v>1</v>
      </c>
      <c r="B559" s="3">
        <v>1</v>
      </c>
      <c r="C559" s="2">
        <v>25</v>
      </c>
      <c r="D559" s="2">
        <v>5</v>
      </c>
      <c r="E559" s="2">
        <v>1</v>
      </c>
      <c r="F559" s="17">
        <v>33</v>
      </c>
      <c r="H559" s="360">
        <v>0.44960864301088654</v>
      </c>
      <c r="I559" s="360">
        <v>-0.37061144151641501</v>
      </c>
      <c r="K559" s="363"/>
      <c r="N559" s="10"/>
      <c r="O559" s="4"/>
      <c r="P559" s="4"/>
      <c r="Q559" s="3"/>
      <c r="R559" s="3"/>
      <c r="S559" s="3"/>
      <c r="T559" s="3"/>
    </row>
    <row r="560" spans="1:20">
      <c r="A560" s="3">
        <v>2</v>
      </c>
      <c r="B560" s="3">
        <v>1</v>
      </c>
      <c r="C560" s="2">
        <v>25</v>
      </c>
      <c r="D560" s="2">
        <v>5</v>
      </c>
      <c r="E560" s="2">
        <v>16</v>
      </c>
      <c r="F560" s="17">
        <v>33</v>
      </c>
      <c r="H560" s="361">
        <v>1</v>
      </c>
      <c r="I560" s="361">
        <v>-0.37486395298215064</v>
      </c>
      <c r="K560" s="363"/>
      <c r="N560" s="10"/>
      <c r="O560" s="4"/>
      <c r="P560" s="4"/>
      <c r="Q560" s="3"/>
      <c r="R560" s="3"/>
      <c r="S560" s="3"/>
      <c r="T560" s="3"/>
    </row>
    <row r="561" spans="1:20">
      <c r="A561" s="3">
        <v>2</v>
      </c>
      <c r="B561" s="3">
        <v>1</v>
      </c>
      <c r="C561" s="2">
        <v>25</v>
      </c>
      <c r="D561" s="2">
        <v>5</v>
      </c>
      <c r="E561" s="2">
        <v>1</v>
      </c>
      <c r="F561" s="17">
        <v>33</v>
      </c>
      <c r="H561" s="360">
        <v>1</v>
      </c>
      <c r="I561" s="360">
        <v>-0.38791467261909524</v>
      </c>
      <c r="K561" s="363"/>
      <c r="N561" s="10"/>
      <c r="O561" s="4"/>
      <c r="P561" s="4"/>
      <c r="Q561" s="3"/>
      <c r="R561" s="3"/>
      <c r="S561" s="3"/>
      <c r="T561" s="3"/>
    </row>
    <row r="562" spans="1:20">
      <c r="A562" s="3">
        <v>2</v>
      </c>
      <c r="B562" s="3">
        <v>2</v>
      </c>
      <c r="C562" s="2">
        <v>25</v>
      </c>
      <c r="D562" s="2">
        <v>5</v>
      </c>
      <c r="E562" s="2">
        <v>1</v>
      </c>
      <c r="F562" s="17">
        <v>33</v>
      </c>
      <c r="H562" s="361">
        <v>7.2306770195721515E-2</v>
      </c>
      <c r="I562" s="361">
        <v>-1</v>
      </c>
      <c r="K562" s="363"/>
      <c r="N562" s="10"/>
      <c r="O562" s="4"/>
      <c r="P562" s="4"/>
      <c r="Q562" s="3"/>
      <c r="R562" s="3"/>
      <c r="S562" s="3"/>
      <c r="T562" s="3"/>
    </row>
    <row r="563" spans="1:20">
      <c r="A563" s="3">
        <v>5</v>
      </c>
      <c r="B563" s="3">
        <v>2</v>
      </c>
      <c r="C563" s="2">
        <v>50</v>
      </c>
      <c r="D563" s="2">
        <v>5</v>
      </c>
      <c r="E563" s="2">
        <v>16</v>
      </c>
      <c r="F563" s="17">
        <v>34</v>
      </c>
      <c r="H563" s="360">
        <v>1</v>
      </c>
      <c r="I563" s="359">
        <v>2.690998914209819E-2</v>
      </c>
      <c r="K563" s="363"/>
      <c r="N563" s="10"/>
      <c r="O563" s="4"/>
      <c r="P563" s="4"/>
      <c r="Q563" s="3"/>
      <c r="R563" s="3"/>
      <c r="S563" s="3"/>
      <c r="T563" s="3"/>
    </row>
    <row r="564" spans="1:20">
      <c r="A564" s="3">
        <v>1</v>
      </c>
      <c r="B564" s="3">
        <v>2</v>
      </c>
      <c r="C564" s="2">
        <v>25</v>
      </c>
      <c r="D564" s="2">
        <v>5</v>
      </c>
      <c r="E564" s="2">
        <v>16</v>
      </c>
      <c r="F564" s="17">
        <v>34</v>
      </c>
      <c r="H564" s="360">
        <v>1</v>
      </c>
      <c r="I564" s="360">
        <v>-6.7545282663739381E-2</v>
      </c>
      <c r="K564" s="363"/>
      <c r="N564" s="10"/>
      <c r="O564" s="4"/>
      <c r="P564" s="4"/>
      <c r="Q564" s="3"/>
      <c r="R564" s="3"/>
      <c r="S564" s="3"/>
      <c r="T564" s="3"/>
    </row>
    <row r="565" spans="1:20">
      <c r="A565" s="3">
        <v>1</v>
      </c>
      <c r="B565" s="3">
        <v>2</v>
      </c>
      <c r="C565" s="2">
        <v>25</v>
      </c>
      <c r="D565" s="2">
        <v>30</v>
      </c>
      <c r="E565" s="2">
        <v>16</v>
      </c>
      <c r="F565" s="17">
        <v>34</v>
      </c>
      <c r="H565" s="360">
        <v>1</v>
      </c>
      <c r="I565" s="360">
        <v>-7.4510794580924453E-2</v>
      </c>
      <c r="K565" s="363"/>
      <c r="N565" s="10"/>
      <c r="O565" s="4"/>
      <c r="P565" s="4"/>
      <c r="Q565" s="3"/>
      <c r="R565" s="3"/>
      <c r="S565" s="3"/>
      <c r="T565" s="3"/>
    </row>
    <row r="566" spans="1:20">
      <c r="A566" s="3">
        <v>1</v>
      </c>
      <c r="B566" s="3">
        <v>2</v>
      </c>
      <c r="C566" s="2">
        <v>25</v>
      </c>
      <c r="D566" s="2">
        <v>5</v>
      </c>
      <c r="E566" s="2">
        <v>16</v>
      </c>
      <c r="F566" s="17">
        <v>34</v>
      </c>
      <c r="H566" s="361">
        <v>1</v>
      </c>
      <c r="I566" s="361">
        <v>-7.963794333550786E-2</v>
      </c>
      <c r="K566" s="363"/>
      <c r="N566" s="10"/>
      <c r="O566" s="4"/>
      <c r="P566" s="4"/>
      <c r="Q566" s="3"/>
      <c r="R566" s="3"/>
      <c r="S566" s="3"/>
      <c r="T566" s="3"/>
    </row>
    <row r="567" spans="1:20">
      <c r="A567" s="3">
        <v>2</v>
      </c>
      <c r="B567" s="3">
        <v>2</v>
      </c>
      <c r="C567" s="2">
        <v>25</v>
      </c>
      <c r="D567" s="2">
        <v>5</v>
      </c>
      <c r="E567" s="2">
        <v>1</v>
      </c>
      <c r="F567" s="17">
        <v>34</v>
      </c>
      <c r="H567" s="361">
        <v>1</v>
      </c>
      <c r="I567" s="361">
        <v>-8.0181621846662207E-2</v>
      </c>
      <c r="K567" s="363"/>
      <c r="N567" s="10"/>
      <c r="O567" s="4"/>
      <c r="P567" s="4"/>
      <c r="Q567" s="3"/>
      <c r="R567" s="3"/>
      <c r="S567" s="3"/>
      <c r="T567" s="3"/>
    </row>
    <row r="568" spans="1:20">
      <c r="A568" s="3">
        <v>2</v>
      </c>
      <c r="B568" s="3">
        <v>2</v>
      </c>
      <c r="C568" s="2">
        <v>25</v>
      </c>
      <c r="D568" s="2">
        <v>5</v>
      </c>
      <c r="E568" s="2">
        <v>16</v>
      </c>
      <c r="F568" s="17">
        <v>34</v>
      </c>
      <c r="H568" s="361">
        <v>1</v>
      </c>
      <c r="I568" s="361">
        <v>-0.10879710652199277</v>
      </c>
      <c r="K568" s="363"/>
      <c r="N568" s="10"/>
      <c r="O568" s="4"/>
      <c r="P568" s="4"/>
      <c r="Q568" s="3"/>
      <c r="R568" s="3"/>
      <c r="S568" s="3"/>
      <c r="T568" s="3"/>
    </row>
    <row r="569" spans="1:20">
      <c r="A569" s="3">
        <v>4</v>
      </c>
      <c r="B569" s="3">
        <v>2</v>
      </c>
      <c r="C569" s="2">
        <v>50</v>
      </c>
      <c r="D569" s="2">
        <v>5</v>
      </c>
      <c r="E569" s="2">
        <v>16</v>
      </c>
      <c r="F569" s="17">
        <v>34</v>
      </c>
      <c r="H569" s="360">
        <v>0.66689363458694051</v>
      </c>
      <c r="I569" s="359">
        <v>-0.17406555109667163</v>
      </c>
      <c r="K569" s="363"/>
      <c r="N569" s="10"/>
      <c r="O569" s="4"/>
      <c r="P569" s="4"/>
      <c r="Q569" s="3"/>
      <c r="R569" s="3"/>
      <c r="S569" s="3"/>
      <c r="T569" s="3"/>
    </row>
    <row r="570" spans="1:20">
      <c r="A570" s="3">
        <v>2</v>
      </c>
      <c r="B570" s="3">
        <v>1</v>
      </c>
      <c r="C570" s="2">
        <v>25</v>
      </c>
      <c r="D570" s="2">
        <v>5</v>
      </c>
      <c r="E570" s="2">
        <v>16</v>
      </c>
      <c r="F570" s="17">
        <v>34</v>
      </c>
      <c r="H570" s="361">
        <v>1</v>
      </c>
      <c r="I570" s="361">
        <v>-0.17606585210808537</v>
      </c>
      <c r="K570" s="363"/>
      <c r="N570" s="10"/>
      <c r="O570" s="4"/>
      <c r="P570" s="4"/>
      <c r="Q570" s="3"/>
      <c r="R570" s="3"/>
      <c r="S570" s="3"/>
      <c r="T570" s="3"/>
    </row>
    <row r="571" spans="1:20">
      <c r="A571" s="3">
        <v>1</v>
      </c>
      <c r="B571" s="3">
        <v>2</v>
      </c>
      <c r="C571" s="2">
        <v>25</v>
      </c>
      <c r="D571" s="2">
        <v>5</v>
      </c>
      <c r="E571" s="2">
        <v>1</v>
      </c>
      <c r="F571" s="17">
        <v>34</v>
      </c>
      <c r="H571" s="360">
        <v>0.50507473095148581</v>
      </c>
      <c r="I571" s="360">
        <v>-0.18122442977431236</v>
      </c>
      <c r="K571" s="363"/>
      <c r="N571" s="10"/>
      <c r="O571" s="4"/>
      <c r="P571" s="4"/>
      <c r="Q571" s="3"/>
      <c r="R571" s="3"/>
      <c r="S571" s="3"/>
      <c r="T571" s="3"/>
    </row>
    <row r="572" spans="1:20">
      <c r="A572" s="3">
        <v>3</v>
      </c>
      <c r="B572" s="3">
        <v>2</v>
      </c>
      <c r="C572" s="2">
        <v>25</v>
      </c>
      <c r="D572" s="2">
        <v>5</v>
      </c>
      <c r="E572" s="2">
        <v>16</v>
      </c>
      <c r="F572" s="17">
        <v>34</v>
      </c>
      <c r="H572" s="360">
        <v>1</v>
      </c>
      <c r="I572" s="360">
        <v>-0.18465213641288844</v>
      </c>
      <c r="K572" s="363"/>
      <c r="N572" s="10"/>
      <c r="O572" s="4"/>
      <c r="P572" s="4"/>
      <c r="Q572" s="3"/>
      <c r="R572" s="3"/>
      <c r="S572" s="3"/>
      <c r="T572" s="3"/>
    </row>
    <row r="573" spans="1:20">
      <c r="A573" s="3">
        <v>2</v>
      </c>
      <c r="B573" s="3">
        <v>1</v>
      </c>
      <c r="C573" s="2">
        <v>25</v>
      </c>
      <c r="D573" s="2">
        <v>5</v>
      </c>
      <c r="E573" s="2">
        <v>1</v>
      </c>
      <c r="F573" s="17">
        <v>34</v>
      </c>
      <c r="H573" s="360">
        <v>1</v>
      </c>
      <c r="I573" s="360">
        <v>-0.19017719743651343</v>
      </c>
      <c r="K573" s="363"/>
      <c r="N573" s="10"/>
      <c r="O573" s="4"/>
      <c r="P573" s="4"/>
      <c r="Q573" s="3"/>
      <c r="R573" s="3"/>
      <c r="S573" s="3"/>
      <c r="T573" s="3"/>
    </row>
    <row r="574" spans="1:20">
      <c r="A574" s="3">
        <v>3</v>
      </c>
      <c r="B574" s="3">
        <v>1</v>
      </c>
      <c r="C574" s="2">
        <v>25</v>
      </c>
      <c r="D574" s="2">
        <v>5</v>
      </c>
      <c r="E574" s="2">
        <v>1</v>
      </c>
      <c r="F574" s="17">
        <v>34</v>
      </c>
      <c r="H574" s="360">
        <v>1</v>
      </c>
      <c r="I574" s="360">
        <v>-0.20888240407734149</v>
      </c>
      <c r="K574" s="363"/>
      <c r="N574" s="10"/>
      <c r="O574" s="4"/>
      <c r="P574" s="4"/>
      <c r="Q574" s="3"/>
      <c r="R574" s="3"/>
      <c r="S574" s="3"/>
      <c r="T574" s="3"/>
    </row>
    <row r="575" spans="1:20">
      <c r="A575" s="3">
        <v>3</v>
      </c>
      <c r="B575" s="3">
        <v>2</v>
      </c>
      <c r="C575" s="2">
        <v>25</v>
      </c>
      <c r="D575" s="2">
        <v>5</v>
      </c>
      <c r="E575" s="2">
        <v>1</v>
      </c>
      <c r="F575" s="17">
        <v>34</v>
      </c>
      <c r="H575" s="361">
        <v>1</v>
      </c>
      <c r="I575" s="361">
        <v>-0.22640858068151082</v>
      </c>
      <c r="K575" s="363"/>
      <c r="N575" s="10"/>
      <c r="O575" s="4"/>
      <c r="P575" s="4"/>
      <c r="Q575" s="3"/>
      <c r="R575" s="3"/>
      <c r="S575" s="3"/>
      <c r="T575" s="3"/>
    </row>
    <row r="576" spans="1:20">
      <c r="A576" s="3">
        <v>3</v>
      </c>
      <c r="B576" s="3">
        <v>1</v>
      </c>
      <c r="C576" s="2">
        <v>25</v>
      </c>
      <c r="D576" s="2">
        <v>5</v>
      </c>
      <c r="E576" s="2">
        <v>16</v>
      </c>
      <c r="F576" s="17">
        <v>34</v>
      </c>
      <c r="H576" s="361">
        <v>1</v>
      </c>
      <c r="I576" s="361">
        <v>-0.25590895960474674</v>
      </c>
      <c r="K576" s="363"/>
      <c r="N576" s="10"/>
      <c r="O576" s="4"/>
      <c r="P576" s="4"/>
      <c r="Q576" s="3"/>
      <c r="R576" s="3"/>
      <c r="S576" s="3"/>
      <c r="T576" s="3"/>
    </row>
    <row r="577" spans="1:20">
      <c r="A577" s="3">
        <v>1</v>
      </c>
      <c r="B577" s="3">
        <v>1</v>
      </c>
      <c r="C577" s="2">
        <v>25</v>
      </c>
      <c r="D577" s="2">
        <v>30</v>
      </c>
      <c r="E577" s="2">
        <v>16</v>
      </c>
      <c r="F577" s="17">
        <v>34</v>
      </c>
      <c r="H577" s="360">
        <v>1</v>
      </c>
      <c r="I577" s="360">
        <v>-0.26198824416156979</v>
      </c>
      <c r="K577" s="363"/>
      <c r="N577" s="10"/>
      <c r="O577" s="4"/>
      <c r="P577" s="4"/>
      <c r="Q577" s="3"/>
      <c r="R577" s="3"/>
      <c r="S577" s="3"/>
      <c r="T577" s="3"/>
    </row>
    <row r="578" spans="1:20">
      <c r="A578" s="3">
        <v>1</v>
      </c>
      <c r="B578" s="3">
        <v>1</v>
      </c>
      <c r="C578" s="2">
        <v>25</v>
      </c>
      <c r="D578" s="2">
        <v>5</v>
      </c>
      <c r="E578" s="2">
        <v>16</v>
      </c>
      <c r="F578" s="17">
        <v>34</v>
      </c>
      <c r="H578" s="360">
        <v>1</v>
      </c>
      <c r="I578" s="360">
        <v>-0.27522555857892572</v>
      </c>
      <c r="K578" s="363"/>
      <c r="N578" s="10"/>
      <c r="O578" s="4"/>
      <c r="P578" s="4"/>
      <c r="Q578" s="3"/>
      <c r="R578" s="3"/>
      <c r="S578" s="3"/>
      <c r="T578" s="3"/>
    </row>
    <row r="579" spans="1:20">
      <c r="A579" s="3">
        <v>1</v>
      </c>
      <c r="B579" s="3">
        <v>1</v>
      </c>
      <c r="C579" s="2">
        <v>25</v>
      </c>
      <c r="D579" s="2">
        <v>5</v>
      </c>
      <c r="E579" s="2">
        <v>1</v>
      </c>
      <c r="F579" s="17">
        <v>34</v>
      </c>
      <c r="H579" s="360">
        <v>1</v>
      </c>
      <c r="I579" s="360">
        <v>-0.27552284414002493</v>
      </c>
      <c r="K579" s="363"/>
      <c r="N579" s="10"/>
      <c r="O579" s="4"/>
      <c r="P579" s="4"/>
      <c r="Q579" s="3"/>
      <c r="R579" s="3"/>
      <c r="S579" s="3"/>
      <c r="T579" s="3"/>
    </row>
    <row r="580" spans="1:20">
      <c r="A580" s="3">
        <v>1</v>
      </c>
      <c r="B580" s="3">
        <v>2</v>
      </c>
      <c r="C580" s="2">
        <v>25</v>
      </c>
      <c r="D580" s="2">
        <v>5</v>
      </c>
      <c r="E580" s="2">
        <v>16</v>
      </c>
      <c r="F580" s="17">
        <v>35</v>
      </c>
      <c r="H580" s="361">
        <v>1</v>
      </c>
      <c r="I580" s="361">
        <v>0.66672886644181295</v>
      </c>
      <c r="K580" s="363"/>
      <c r="N580" s="10"/>
      <c r="O580" s="4"/>
      <c r="P580" s="4"/>
      <c r="Q580" s="3"/>
      <c r="R580" s="3"/>
      <c r="S580" s="3"/>
      <c r="T580" s="3"/>
    </row>
    <row r="581" spans="1:20">
      <c r="A581" s="3">
        <v>1</v>
      </c>
      <c r="B581" s="3">
        <v>2</v>
      </c>
      <c r="C581" s="2">
        <v>25</v>
      </c>
      <c r="D581" s="2">
        <v>5</v>
      </c>
      <c r="E581" s="2">
        <v>1</v>
      </c>
      <c r="F581" s="17">
        <v>35</v>
      </c>
      <c r="H581" s="360">
        <v>1</v>
      </c>
      <c r="I581" s="360">
        <v>0.65874834294924367</v>
      </c>
      <c r="K581" s="363"/>
      <c r="N581" s="10"/>
      <c r="O581" s="4"/>
      <c r="P581" s="4"/>
      <c r="Q581" s="3"/>
      <c r="R581" s="3"/>
      <c r="S581" s="3"/>
      <c r="T581" s="3"/>
    </row>
    <row r="582" spans="1:20">
      <c r="A582" s="3">
        <v>1</v>
      </c>
      <c r="B582" s="3">
        <v>2</v>
      </c>
      <c r="C582" s="2">
        <v>25</v>
      </c>
      <c r="D582" s="2">
        <v>5</v>
      </c>
      <c r="E582" s="2">
        <v>16</v>
      </c>
      <c r="F582" s="17">
        <v>35</v>
      </c>
      <c r="H582" s="360">
        <v>1</v>
      </c>
      <c r="I582" s="360">
        <v>0.63760108407765881</v>
      </c>
      <c r="K582" s="363"/>
      <c r="N582" s="10"/>
      <c r="O582" s="4"/>
      <c r="P582" s="4"/>
      <c r="Q582" s="3"/>
      <c r="R582" s="3"/>
      <c r="S582" s="3"/>
      <c r="T582" s="3"/>
    </row>
    <row r="583" spans="1:20">
      <c r="A583" s="3">
        <v>1</v>
      </c>
      <c r="B583" s="3">
        <v>2</v>
      </c>
      <c r="C583" s="2">
        <v>25</v>
      </c>
      <c r="D583" s="2">
        <v>30</v>
      </c>
      <c r="E583" s="2">
        <v>16</v>
      </c>
      <c r="F583" s="17">
        <v>35</v>
      </c>
      <c r="H583" s="360">
        <v>1</v>
      </c>
      <c r="I583" s="360">
        <v>0.63310736059541184</v>
      </c>
      <c r="K583" s="363"/>
      <c r="N583" s="10"/>
      <c r="O583" s="4"/>
      <c r="P583" s="4"/>
      <c r="Q583" s="3"/>
      <c r="R583" s="3"/>
      <c r="S583" s="3"/>
      <c r="T583" s="3"/>
    </row>
    <row r="584" spans="1:20">
      <c r="A584" s="3">
        <v>1</v>
      </c>
      <c r="B584" s="3">
        <v>1</v>
      </c>
      <c r="C584" s="2">
        <v>25</v>
      </c>
      <c r="D584" s="2">
        <v>5</v>
      </c>
      <c r="E584" s="2">
        <v>1</v>
      </c>
      <c r="F584" s="17">
        <v>35</v>
      </c>
      <c r="H584" s="360">
        <v>1</v>
      </c>
      <c r="I584" s="360">
        <v>0.56846185388775872</v>
      </c>
      <c r="K584" s="363"/>
      <c r="N584" s="10"/>
      <c r="O584" s="4"/>
      <c r="P584" s="4"/>
      <c r="Q584" s="3"/>
      <c r="R584" s="3"/>
      <c r="S584" s="3"/>
      <c r="T584" s="3"/>
    </row>
    <row r="585" spans="1:20">
      <c r="A585" s="3">
        <v>1</v>
      </c>
      <c r="B585" s="3">
        <v>1</v>
      </c>
      <c r="C585" s="2">
        <v>25</v>
      </c>
      <c r="D585" s="2">
        <v>30</v>
      </c>
      <c r="E585" s="2">
        <v>16</v>
      </c>
      <c r="F585" s="17">
        <v>35</v>
      </c>
      <c r="H585" s="360">
        <v>1</v>
      </c>
      <c r="I585" s="360">
        <v>0.5624338108103647</v>
      </c>
      <c r="K585" s="363"/>
      <c r="N585" s="10"/>
      <c r="O585" s="4"/>
      <c r="P585" s="4"/>
      <c r="Q585" s="3"/>
      <c r="R585" s="3"/>
      <c r="S585" s="3"/>
      <c r="T585" s="3"/>
    </row>
    <row r="586" spans="1:20">
      <c r="A586" s="3">
        <v>1</v>
      </c>
      <c r="B586" s="3">
        <v>1</v>
      </c>
      <c r="C586" s="2">
        <v>25</v>
      </c>
      <c r="D586" s="2">
        <v>5</v>
      </c>
      <c r="E586" s="2">
        <v>16</v>
      </c>
      <c r="F586" s="17">
        <v>35</v>
      </c>
      <c r="H586" s="360">
        <v>1</v>
      </c>
      <c r="I586" s="360">
        <v>0.55092033653390582</v>
      </c>
      <c r="K586" s="363"/>
      <c r="N586" s="10"/>
      <c r="O586" s="4"/>
      <c r="P586" s="4"/>
      <c r="Q586" s="3"/>
      <c r="R586" s="3"/>
      <c r="S586" s="3"/>
      <c r="T586" s="3"/>
    </row>
    <row r="587" spans="1:20">
      <c r="A587" s="3">
        <v>2</v>
      </c>
      <c r="B587" s="3">
        <v>2</v>
      </c>
      <c r="C587" s="2">
        <v>25</v>
      </c>
      <c r="D587" s="2">
        <v>5</v>
      </c>
      <c r="E587" s="2">
        <v>16</v>
      </c>
      <c r="F587" s="17">
        <v>35</v>
      </c>
      <c r="H587" s="361">
        <v>1</v>
      </c>
      <c r="I587" s="361">
        <v>0.5018057844601389</v>
      </c>
      <c r="K587" s="363"/>
      <c r="N587" s="10"/>
      <c r="O587" s="4"/>
      <c r="P587" s="4"/>
      <c r="Q587" s="3"/>
      <c r="R587" s="3"/>
      <c r="S587" s="3"/>
      <c r="T587" s="3"/>
    </row>
    <row r="588" spans="1:20">
      <c r="A588" s="3">
        <v>2</v>
      </c>
      <c r="B588" s="3">
        <v>2</v>
      </c>
      <c r="C588" s="2">
        <v>25</v>
      </c>
      <c r="D588" s="2">
        <v>5</v>
      </c>
      <c r="E588" s="2">
        <v>1</v>
      </c>
      <c r="F588" s="17">
        <v>35</v>
      </c>
      <c r="H588" s="361">
        <v>1</v>
      </c>
      <c r="I588" s="361">
        <v>0.48268431800577422</v>
      </c>
      <c r="K588" s="363"/>
      <c r="N588" s="10"/>
      <c r="O588" s="4"/>
      <c r="P588" s="4"/>
      <c r="Q588" s="3"/>
      <c r="R588" s="3"/>
      <c r="S588" s="3"/>
      <c r="T588" s="3"/>
    </row>
    <row r="589" spans="1:20">
      <c r="A589" s="3">
        <v>3</v>
      </c>
      <c r="B589" s="3">
        <v>2</v>
      </c>
      <c r="C589" s="2">
        <v>25</v>
      </c>
      <c r="D589" s="2">
        <v>5</v>
      </c>
      <c r="E589" s="2">
        <v>16</v>
      </c>
      <c r="F589" s="17">
        <v>35</v>
      </c>
      <c r="H589" s="360">
        <v>1</v>
      </c>
      <c r="I589" s="360">
        <v>0.32341566950332035</v>
      </c>
      <c r="K589" s="363"/>
      <c r="N589" s="10"/>
      <c r="O589" s="4"/>
      <c r="P589" s="4"/>
      <c r="Q589" s="3"/>
      <c r="R589" s="3"/>
      <c r="S589" s="3"/>
      <c r="T589" s="3"/>
    </row>
    <row r="590" spans="1:20">
      <c r="A590" s="3">
        <v>3</v>
      </c>
      <c r="B590" s="3">
        <v>2</v>
      </c>
      <c r="C590" s="2">
        <v>25</v>
      </c>
      <c r="D590" s="2">
        <v>5</v>
      </c>
      <c r="E590" s="2">
        <v>1</v>
      </c>
      <c r="F590" s="17">
        <v>35</v>
      </c>
      <c r="H590" s="361">
        <v>1</v>
      </c>
      <c r="I590" s="361">
        <v>0.29415016154687995</v>
      </c>
      <c r="K590" s="363"/>
      <c r="N590" s="10"/>
      <c r="O590" s="4"/>
      <c r="P590" s="4"/>
      <c r="Q590" s="3"/>
      <c r="R590" s="3"/>
      <c r="S590" s="3"/>
      <c r="T590" s="3"/>
    </row>
    <row r="591" spans="1:20">
      <c r="A591" s="3">
        <v>2</v>
      </c>
      <c r="B591" s="3">
        <v>1</v>
      </c>
      <c r="C591" s="2">
        <v>25</v>
      </c>
      <c r="D591" s="2">
        <v>5</v>
      </c>
      <c r="E591" s="2">
        <v>1</v>
      </c>
      <c r="F591" s="17">
        <v>35</v>
      </c>
      <c r="H591" s="360">
        <v>1</v>
      </c>
      <c r="I591" s="360">
        <v>0.27794477409952112</v>
      </c>
      <c r="K591" s="363"/>
      <c r="N591" s="10"/>
      <c r="O591" s="4"/>
      <c r="P591" s="4"/>
      <c r="Q591" s="3"/>
      <c r="R591" s="3"/>
      <c r="S591" s="3"/>
      <c r="T591" s="3"/>
    </row>
    <row r="592" spans="1:20">
      <c r="A592" s="3">
        <v>2</v>
      </c>
      <c r="B592" s="3">
        <v>1</v>
      </c>
      <c r="C592" s="2">
        <v>25</v>
      </c>
      <c r="D592" s="2">
        <v>5</v>
      </c>
      <c r="E592" s="2">
        <v>16</v>
      </c>
      <c r="F592" s="17">
        <v>35</v>
      </c>
      <c r="H592" s="361">
        <v>1</v>
      </c>
      <c r="I592" s="361">
        <v>0.27008403524031699</v>
      </c>
      <c r="K592" s="363"/>
      <c r="N592" s="10"/>
      <c r="O592" s="4"/>
      <c r="P592" s="4"/>
      <c r="Q592" s="3"/>
      <c r="R592" s="3"/>
      <c r="S592" s="3"/>
      <c r="T592" s="3"/>
    </row>
    <row r="593" spans="1:20">
      <c r="A593" s="3">
        <v>3</v>
      </c>
      <c r="B593" s="3">
        <v>1</v>
      </c>
      <c r="C593" s="2">
        <v>25</v>
      </c>
      <c r="D593" s="2">
        <v>5</v>
      </c>
      <c r="E593" s="2">
        <v>1</v>
      </c>
      <c r="F593" s="17">
        <v>35</v>
      </c>
      <c r="H593" s="360">
        <v>1</v>
      </c>
      <c r="I593" s="360">
        <v>0.23159615520059901</v>
      </c>
      <c r="K593" s="363"/>
      <c r="N593" s="10"/>
      <c r="O593" s="4"/>
      <c r="P593" s="4"/>
      <c r="Q593" s="3"/>
      <c r="R593" s="3"/>
      <c r="S593" s="3"/>
      <c r="T593" s="3"/>
    </row>
    <row r="594" spans="1:20">
      <c r="A594" s="3">
        <v>3</v>
      </c>
      <c r="B594" s="3">
        <v>1</v>
      </c>
      <c r="C594" s="2">
        <v>25</v>
      </c>
      <c r="D594" s="2">
        <v>5</v>
      </c>
      <c r="E594" s="2">
        <v>16</v>
      </c>
      <c r="F594" s="17">
        <v>35</v>
      </c>
      <c r="H594" s="361">
        <v>1</v>
      </c>
      <c r="I594" s="361">
        <v>0.1816243215125464</v>
      </c>
      <c r="K594" s="363"/>
      <c r="N594" s="10"/>
      <c r="O594" s="4"/>
      <c r="P594" s="4"/>
      <c r="Q594" s="3"/>
      <c r="R594" s="3"/>
      <c r="S594" s="3"/>
      <c r="T594" s="3"/>
    </row>
    <row r="595" spans="1:20">
      <c r="A595" s="3">
        <v>4</v>
      </c>
      <c r="B595" s="3">
        <v>2</v>
      </c>
      <c r="C595" s="2">
        <v>50</v>
      </c>
      <c r="D595" s="2">
        <v>5</v>
      </c>
      <c r="E595" s="2">
        <v>16</v>
      </c>
      <c r="F595" s="17">
        <v>35</v>
      </c>
      <c r="H595" s="360">
        <v>0.75248961793266933</v>
      </c>
      <c r="I595" s="359">
        <v>6.5026144432931823E-2</v>
      </c>
      <c r="K595" s="363"/>
      <c r="N595" s="10"/>
      <c r="O595" s="4"/>
      <c r="P595" s="4"/>
      <c r="Q595" s="3"/>
      <c r="R595" s="3"/>
      <c r="S595" s="3"/>
      <c r="T595" s="3"/>
    </row>
    <row r="596" spans="1:20">
      <c r="A596" s="3">
        <v>5</v>
      </c>
      <c r="B596" s="3">
        <v>2</v>
      </c>
      <c r="C596" s="2">
        <v>50</v>
      </c>
      <c r="D596" s="2">
        <v>5</v>
      </c>
      <c r="E596" s="2">
        <v>16</v>
      </c>
      <c r="F596" s="17">
        <v>35</v>
      </c>
      <c r="H596" s="360">
        <v>0.37262786550349314</v>
      </c>
      <c r="I596" s="359">
        <v>-0.11395783858994633</v>
      </c>
      <c r="K596" s="363"/>
      <c r="N596" s="10"/>
      <c r="O596" s="4"/>
      <c r="P596" s="4"/>
      <c r="Q596" s="3"/>
      <c r="R596" s="3"/>
      <c r="S596" s="3"/>
      <c r="T596" s="3"/>
    </row>
    <row r="597" spans="1:20">
      <c r="A597" s="3">
        <v>1</v>
      </c>
      <c r="B597" s="3">
        <v>2</v>
      </c>
      <c r="C597" s="2">
        <v>25</v>
      </c>
      <c r="D597" s="2">
        <v>5</v>
      </c>
      <c r="E597" s="2">
        <v>16</v>
      </c>
      <c r="F597" s="17">
        <v>36</v>
      </c>
      <c r="H597" s="361">
        <v>1</v>
      </c>
      <c r="I597" s="361">
        <v>0.4557327985895418</v>
      </c>
      <c r="K597" s="363"/>
      <c r="N597" s="10"/>
      <c r="O597" s="4"/>
      <c r="P597" s="4"/>
      <c r="Q597" s="3"/>
      <c r="R597" s="3"/>
      <c r="S597" s="3"/>
      <c r="T597" s="3"/>
    </row>
    <row r="598" spans="1:20">
      <c r="A598" s="3">
        <v>1</v>
      </c>
      <c r="B598" s="3">
        <v>2</v>
      </c>
      <c r="C598" s="2">
        <v>25</v>
      </c>
      <c r="D598" s="2">
        <v>5</v>
      </c>
      <c r="E598" s="2">
        <v>16</v>
      </c>
      <c r="F598" s="17">
        <v>36</v>
      </c>
      <c r="H598" s="360">
        <v>1</v>
      </c>
      <c r="I598" s="360">
        <v>0.44786771089695249</v>
      </c>
      <c r="K598" s="363"/>
      <c r="N598" s="10"/>
      <c r="O598" s="4"/>
      <c r="P598" s="4"/>
      <c r="Q598" s="3"/>
      <c r="R598" s="3"/>
      <c r="S598" s="3"/>
      <c r="T598" s="3"/>
    </row>
    <row r="599" spans="1:20">
      <c r="A599" s="3">
        <v>1</v>
      </c>
      <c r="B599" s="3">
        <v>2</v>
      </c>
      <c r="C599" s="2">
        <v>25</v>
      </c>
      <c r="D599" s="2">
        <v>5</v>
      </c>
      <c r="E599" s="2">
        <v>1</v>
      </c>
      <c r="F599" s="17">
        <v>36</v>
      </c>
      <c r="H599" s="360">
        <v>1</v>
      </c>
      <c r="I599" s="360">
        <v>0.44325080308555537</v>
      </c>
      <c r="K599" s="363"/>
      <c r="N599" s="10"/>
      <c r="O599" s="4"/>
      <c r="P599" s="4"/>
      <c r="Q599" s="3"/>
      <c r="R599" s="3"/>
      <c r="S599" s="3"/>
      <c r="T599" s="3"/>
    </row>
    <row r="600" spans="1:20">
      <c r="A600" s="3">
        <v>1</v>
      </c>
      <c r="B600" s="3">
        <v>2</v>
      </c>
      <c r="C600" s="2">
        <v>25</v>
      </c>
      <c r="D600" s="2">
        <v>30</v>
      </c>
      <c r="E600" s="2">
        <v>16</v>
      </c>
      <c r="F600" s="17">
        <v>36</v>
      </c>
      <c r="H600" s="360">
        <v>1</v>
      </c>
      <c r="I600" s="360">
        <v>0.43097798006011961</v>
      </c>
      <c r="K600" s="363"/>
      <c r="N600" s="10"/>
      <c r="O600" s="4"/>
      <c r="P600" s="4"/>
      <c r="Q600" s="3"/>
      <c r="R600" s="3"/>
      <c r="S600" s="3"/>
      <c r="T600" s="3"/>
    </row>
    <row r="601" spans="1:20">
      <c r="A601" s="3">
        <v>1</v>
      </c>
      <c r="B601" s="3">
        <v>1</v>
      </c>
      <c r="C601" s="2">
        <v>25</v>
      </c>
      <c r="D601" s="2">
        <v>30</v>
      </c>
      <c r="E601" s="2">
        <v>16</v>
      </c>
      <c r="F601" s="17">
        <v>36</v>
      </c>
      <c r="H601" s="360">
        <v>1</v>
      </c>
      <c r="I601" s="360">
        <v>0.41138162467019435</v>
      </c>
      <c r="K601" s="363"/>
      <c r="N601" s="10"/>
      <c r="O601" s="4"/>
      <c r="P601" s="4"/>
      <c r="Q601" s="3"/>
      <c r="R601" s="3"/>
      <c r="S601" s="3"/>
      <c r="T601" s="3"/>
    </row>
    <row r="602" spans="1:20">
      <c r="A602" s="3">
        <v>3</v>
      </c>
      <c r="B602" s="3">
        <v>1</v>
      </c>
      <c r="C602" s="2">
        <v>25</v>
      </c>
      <c r="D602" s="2">
        <v>5</v>
      </c>
      <c r="E602" s="2">
        <v>1</v>
      </c>
      <c r="F602" s="17">
        <v>36</v>
      </c>
      <c r="H602" s="360">
        <v>1</v>
      </c>
      <c r="I602" s="360">
        <v>0.39672312675759358</v>
      </c>
      <c r="K602" s="363"/>
      <c r="N602" s="10"/>
      <c r="O602" s="4"/>
      <c r="P602" s="4"/>
      <c r="Q602" s="3"/>
      <c r="R602" s="3"/>
      <c r="S602" s="3"/>
      <c r="T602" s="3"/>
    </row>
    <row r="603" spans="1:20">
      <c r="A603" s="3">
        <v>1</v>
      </c>
      <c r="B603" s="3">
        <v>1</v>
      </c>
      <c r="C603" s="2">
        <v>25</v>
      </c>
      <c r="D603" s="2">
        <v>5</v>
      </c>
      <c r="E603" s="2">
        <v>1</v>
      </c>
      <c r="F603" s="17">
        <v>36</v>
      </c>
      <c r="H603" s="360">
        <v>1</v>
      </c>
      <c r="I603" s="360">
        <v>0.39671551609709965</v>
      </c>
      <c r="K603" s="363"/>
      <c r="N603" s="10"/>
      <c r="O603" s="4"/>
      <c r="P603" s="4"/>
      <c r="Q603" s="3"/>
      <c r="R603" s="3"/>
      <c r="S603" s="3"/>
      <c r="T603" s="3"/>
    </row>
    <row r="604" spans="1:20">
      <c r="A604" s="3">
        <v>1</v>
      </c>
      <c r="B604" s="3">
        <v>1</v>
      </c>
      <c r="C604" s="2">
        <v>25</v>
      </c>
      <c r="D604" s="2">
        <v>5</v>
      </c>
      <c r="E604" s="2">
        <v>16</v>
      </c>
      <c r="F604" s="17">
        <v>36</v>
      </c>
      <c r="H604" s="360">
        <v>1</v>
      </c>
      <c r="I604" s="360">
        <v>0.38121917373022152</v>
      </c>
      <c r="K604" s="363"/>
      <c r="N604" s="10"/>
      <c r="O604" s="4"/>
      <c r="P604" s="4"/>
      <c r="Q604" s="3"/>
      <c r="R604" s="3"/>
      <c r="S604" s="3"/>
      <c r="T604" s="3"/>
    </row>
    <row r="605" spans="1:20">
      <c r="A605" s="3">
        <v>3</v>
      </c>
      <c r="B605" s="3">
        <v>1</v>
      </c>
      <c r="C605" s="2">
        <v>25</v>
      </c>
      <c r="D605" s="2">
        <v>5</v>
      </c>
      <c r="E605" s="2">
        <v>16</v>
      </c>
      <c r="F605" s="17">
        <v>36</v>
      </c>
      <c r="H605" s="361">
        <v>1</v>
      </c>
      <c r="I605" s="361">
        <v>0.3711341752193808</v>
      </c>
      <c r="K605" s="363"/>
      <c r="N605" s="10"/>
      <c r="O605" s="4"/>
      <c r="P605" s="4"/>
      <c r="Q605" s="3"/>
      <c r="R605" s="3"/>
      <c r="S605" s="3"/>
      <c r="T605" s="3"/>
    </row>
    <row r="606" spans="1:20">
      <c r="A606" s="3">
        <v>2</v>
      </c>
      <c r="B606" s="3">
        <v>2</v>
      </c>
      <c r="C606" s="2">
        <v>25</v>
      </c>
      <c r="D606" s="2">
        <v>5</v>
      </c>
      <c r="E606" s="2">
        <v>16</v>
      </c>
      <c r="F606" s="17">
        <v>36</v>
      </c>
      <c r="H606" s="361">
        <v>1</v>
      </c>
      <c r="I606" s="361">
        <v>0.32309216343294916</v>
      </c>
      <c r="K606" s="363"/>
      <c r="N606" s="10"/>
      <c r="O606" s="4"/>
      <c r="P606" s="4"/>
      <c r="Q606" s="3"/>
      <c r="R606" s="3"/>
      <c r="S606" s="3"/>
      <c r="T606" s="3"/>
    </row>
    <row r="607" spans="1:20">
      <c r="A607" s="3">
        <v>2</v>
      </c>
      <c r="B607" s="3">
        <v>2</v>
      </c>
      <c r="C607" s="2">
        <v>25</v>
      </c>
      <c r="D607" s="2">
        <v>5</v>
      </c>
      <c r="E607" s="2">
        <v>1</v>
      </c>
      <c r="F607" s="17">
        <v>36</v>
      </c>
      <c r="H607" s="361">
        <v>1</v>
      </c>
      <c r="I607" s="361">
        <v>0.31378364224236077</v>
      </c>
      <c r="K607" s="363"/>
      <c r="N607" s="10"/>
      <c r="O607" s="4"/>
      <c r="P607" s="4"/>
      <c r="Q607" s="3"/>
      <c r="R607" s="3"/>
      <c r="S607" s="3"/>
      <c r="T607" s="3"/>
    </row>
    <row r="608" spans="1:20">
      <c r="A608" s="3">
        <v>3</v>
      </c>
      <c r="B608" s="3">
        <v>2</v>
      </c>
      <c r="C608" s="2">
        <v>25</v>
      </c>
      <c r="D608" s="2">
        <v>5</v>
      </c>
      <c r="E608" s="2">
        <v>16</v>
      </c>
      <c r="F608" s="17">
        <v>36</v>
      </c>
      <c r="H608" s="360">
        <v>1</v>
      </c>
      <c r="I608" s="360">
        <v>0.31283741153257849</v>
      </c>
      <c r="K608" s="363"/>
      <c r="N608" s="10"/>
      <c r="O608" s="4"/>
      <c r="P608" s="4"/>
      <c r="Q608" s="3"/>
      <c r="R608" s="3"/>
      <c r="S608" s="3"/>
      <c r="T608" s="3"/>
    </row>
    <row r="609" spans="1:20">
      <c r="A609" s="3">
        <v>3</v>
      </c>
      <c r="B609" s="3">
        <v>2</v>
      </c>
      <c r="C609" s="2">
        <v>25</v>
      </c>
      <c r="D609" s="2">
        <v>5</v>
      </c>
      <c r="E609" s="2">
        <v>1</v>
      </c>
      <c r="F609" s="17">
        <v>36</v>
      </c>
      <c r="H609" s="361">
        <v>1</v>
      </c>
      <c r="I609" s="361">
        <v>0.2938915044842047</v>
      </c>
      <c r="K609" s="363"/>
      <c r="N609" s="10"/>
      <c r="O609" s="4"/>
      <c r="P609" s="4"/>
      <c r="Q609" s="3"/>
      <c r="R609" s="3"/>
      <c r="S609" s="3"/>
      <c r="T609" s="3"/>
    </row>
    <row r="610" spans="1:20">
      <c r="A610" s="3">
        <v>4</v>
      </c>
      <c r="B610" s="3">
        <v>2</v>
      </c>
      <c r="C610" s="2">
        <v>50</v>
      </c>
      <c r="D610" s="2">
        <v>5</v>
      </c>
      <c r="E610" s="2">
        <v>16</v>
      </c>
      <c r="F610" s="17">
        <v>36</v>
      </c>
      <c r="H610" s="360">
        <v>0.81744696545328011</v>
      </c>
      <c r="I610" s="359">
        <v>0.23462686522082871</v>
      </c>
      <c r="K610" s="363"/>
      <c r="N610" s="10"/>
      <c r="O610" s="4"/>
      <c r="P610" s="4"/>
      <c r="Q610" s="3"/>
      <c r="R610" s="3"/>
      <c r="S610" s="3"/>
      <c r="T610" s="3"/>
    </row>
    <row r="611" spans="1:20">
      <c r="A611" s="3">
        <v>2</v>
      </c>
      <c r="B611" s="3">
        <v>1</v>
      </c>
      <c r="C611" s="2">
        <v>25</v>
      </c>
      <c r="D611" s="2">
        <v>5</v>
      </c>
      <c r="E611" s="2">
        <v>16</v>
      </c>
      <c r="F611" s="17">
        <v>36</v>
      </c>
      <c r="H611" s="361">
        <v>1</v>
      </c>
      <c r="I611" s="361">
        <v>0.19954322593840368</v>
      </c>
      <c r="K611" s="363"/>
      <c r="N611" s="10"/>
      <c r="O611" s="4"/>
      <c r="P611" s="4"/>
      <c r="Q611" s="3"/>
      <c r="R611" s="3"/>
      <c r="S611" s="3"/>
      <c r="T611" s="3"/>
    </row>
    <row r="612" spans="1:20">
      <c r="A612" s="3">
        <v>2</v>
      </c>
      <c r="B612" s="3">
        <v>1</v>
      </c>
      <c r="C612" s="2">
        <v>25</v>
      </c>
      <c r="D612" s="2">
        <v>5</v>
      </c>
      <c r="E612" s="2">
        <v>1</v>
      </c>
      <c r="F612" s="17">
        <v>36</v>
      </c>
      <c r="H612" s="360">
        <v>1</v>
      </c>
      <c r="I612" s="360">
        <v>0.17317615471745607</v>
      </c>
      <c r="K612" s="363"/>
      <c r="N612" s="10"/>
      <c r="O612" s="4"/>
      <c r="P612" s="4"/>
      <c r="Q612" s="3"/>
      <c r="R612" s="3"/>
      <c r="S612" s="3"/>
      <c r="T612" s="3"/>
    </row>
    <row r="613" spans="1:20">
      <c r="A613" s="3">
        <v>5</v>
      </c>
      <c r="B613" s="3">
        <v>2</v>
      </c>
      <c r="C613" s="2">
        <v>50</v>
      </c>
      <c r="D613" s="2">
        <v>5</v>
      </c>
      <c r="E613" s="2">
        <v>16</v>
      </c>
      <c r="F613" s="17">
        <v>36</v>
      </c>
      <c r="H613" s="360">
        <v>0.53922510202577689</v>
      </c>
      <c r="I613" s="359">
        <v>-0.30918068536746091</v>
      </c>
      <c r="K613" s="363"/>
      <c r="N613" s="10"/>
      <c r="O613" s="4"/>
      <c r="P613" s="4"/>
      <c r="Q613" s="3"/>
      <c r="R613" s="3"/>
      <c r="S613" s="3"/>
      <c r="T613" s="3"/>
    </row>
    <row r="614" spans="1:20">
      <c r="A614" s="3">
        <v>5</v>
      </c>
      <c r="B614" s="3">
        <v>2</v>
      </c>
      <c r="C614" s="2">
        <v>50</v>
      </c>
      <c r="D614" s="2">
        <v>5</v>
      </c>
      <c r="E614" s="2">
        <v>16</v>
      </c>
      <c r="F614" s="17">
        <v>37</v>
      </c>
      <c r="H614" s="360">
        <v>0.99373985985689994</v>
      </c>
      <c r="I614" s="359">
        <v>9.543940426131696E-2</v>
      </c>
      <c r="K614" s="363"/>
      <c r="N614" s="10"/>
      <c r="O614" s="4"/>
      <c r="P614" s="4"/>
      <c r="Q614" s="3"/>
      <c r="R614" s="3"/>
      <c r="S614" s="3"/>
      <c r="T614" s="3"/>
    </row>
    <row r="615" spans="1:20">
      <c r="A615" s="3">
        <v>4</v>
      </c>
      <c r="B615" s="3">
        <v>2</v>
      </c>
      <c r="C615" s="2">
        <v>50</v>
      </c>
      <c r="D615" s="2">
        <v>5</v>
      </c>
      <c r="E615" s="2">
        <v>16</v>
      </c>
      <c r="F615" s="17">
        <v>37</v>
      </c>
      <c r="H615" s="360">
        <v>0.57865305118675558</v>
      </c>
      <c r="I615" s="359">
        <v>-2.2547002632617382E-2</v>
      </c>
      <c r="K615" s="363"/>
      <c r="N615" s="10"/>
      <c r="O615" s="4"/>
      <c r="P615" s="4"/>
      <c r="Q615" s="3"/>
      <c r="R615" s="3"/>
      <c r="S615" s="3"/>
      <c r="T615" s="3"/>
    </row>
    <row r="616" spans="1:20">
      <c r="A616" s="3">
        <v>1</v>
      </c>
      <c r="B616" s="3">
        <v>1</v>
      </c>
      <c r="C616" s="2">
        <v>25</v>
      </c>
      <c r="D616" s="2">
        <v>5</v>
      </c>
      <c r="E616" s="2">
        <v>1</v>
      </c>
      <c r="F616" s="17">
        <v>37</v>
      </c>
      <c r="H616" s="360">
        <v>1</v>
      </c>
      <c r="I616" s="360">
        <v>-0.55291089300092011</v>
      </c>
      <c r="K616" s="363"/>
      <c r="N616" s="10"/>
      <c r="O616" s="4"/>
      <c r="P616" s="4"/>
      <c r="Q616" s="3"/>
      <c r="R616" s="3"/>
      <c r="S616" s="3"/>
      <c r="T616" s="3"/>
    </row>
    <row r="617" spans="1:20">
      <c r="A617" s="3">
        <v>1</v>
      </c>
      <c r="B617" s="3">
        <v>1</v>
      </c>
      <c r="C617" s="2">
        <v>25</v>
      </c>
      <c r="D617" s="2">
        <v>5</v>
      </c>
      <c r="E617" s="2">
        <v>16</v>
      </c>
      <c r="F617" s="17">
        <v>37</v>
      </c>
      <c r="H617" s="360">
        <v>1</v>
      </c>
      <c r="I617" s="360">
        <v>-0.55869048995044512</v>
      </c>
      <c r="K617" s="363"/>
      <c r="N617" s="10"/>
      <c r="O617" s="4"/>
      <c r="P617" s="4"/>
      <c r="Q617" s="3"/>
      <c r="R617" s="3"/>
      <c r="S617" s="3"/>
      <c r="T617" s="3"/>
    </row>
    <row r="618" spans="1:20">
      <c r="A618" s="3">
        <v>1</v>
      </c>
      <c r="B618" s="3">
        <v>1</v>
      </c>
      <c r="C618" s="2">
        <v>25</v>
      </c>
      <c r="D618" s="2">
        <v>30</v>
      </c>
      <c r="E618" s="2">
        <v>16</v>
      </c>
      <c r="F618" s="17">
        <v>37</v>
      </c>
      <c r="H618" s="360">
        <v>1</v>
      </c>
      <c r="I618" s="360">
        <v>-0.56086295627353799</v>
      </c>
      <c r="K618" s="363"/>
      <c r="N618" s="10"/>
      <c r="O618" s="4"/>
      <c r="P618" s="4"/>
      <c r="Q618" s="3"/>
      <c r="R618" s="3"/>
      <c r="S618" s="3"/>
      <c r="T618" s="3"/>
    </row>
    <row r="619" spans="1:20">
      <c r="A619" s="3">
        <v>1</v>
      </c>
      <c r="B619" s="3">
        <v>2</v>
      </c>
      <c r="C619" s="2">
        <v>25</v>
      </c>
      <c r="D619" s="2">
        <v>30</v>
      </c>
      <c r="E619" s="2">
        <v>16</v>
      </c>
      <c r="F619" s="17">
        <v>37</v>
      </c>
      <c r="H619" s="360">
        <v>1</v>
      </c>
      <c r="I619" s="360">
        <v>-0.56700804575189001</v>
      </c>
      <c r="K619" s="363"/>
      <c r="N619" s="10"/>
      <c r="O619" s="4"/>
      <c r="P619" s="4"/>
      <c r="Q619" s="3"/>
      <c r="R619" s="3"/>
      <c r="S619" s="3"/>
      <c r="T619" s="3"/>
    </row>
    <row r="620" spans="1:20">
      <c r="A620" s="3">
        <v>1</v>
      </c>
      <c r="B620" s="3">
        <v>2</v>
      </c>
      <c r="C620" s="2">
        <v>25</v>
      </c>
      <c r="D620" s="2">
        <v>5</v>
      </c>
      <c r="E620" s="2">
        <v>1</v>
      </c>
      <c r="F620" s="17">
        <v>37</v>
      </c>
      <c r="H620" s="360">
        <v>0.96110572264896188</v>
      </c>
      <c r="I620" s="360">
        <v>-0.5712799401294244</v>
      </c>
      <c r="K620" s="363"/>
      <c r="N620" s="10"/>
      <c r="O620" s="4"/>
      <c r="P620" s="4"/>
      <c r="Q620" s="3"/>
      <c r="R620" s="3"/>
      <c r="S620" s="3"/>
      <c r="T620" s="3"/>
    </row>
    <row r="621" spans="1:20">
      <c r="A621" s="3">
        <v>3</v>
      </c>
      <c r="B621" s="3">
        <v>2</v>
      </c>
      <c r="C621" s="2">
        <v>25</v>
      </c>
      <c r="D621" s="2">
        <v>5</v>
      </c>
      <c r="E621" s="2">
        <v>16</v>
      </c>
      <c r="F621" s="17">
        <v>37</v>
      </c>
      <c r="H621" s="360">
        <v>1</v>
      </c>
      <c r="I621" s="360">
        <v>-0.57216924005016989</v>
      </c>
      <c r="K621" s="363"/>
      <c r="N621" s="10"/>
      <c r="O621" s="4"/>
      <c r="P621" s="4"/>
      <c r="Q621" s="3"/>
      <c r="R621" s="3"/>
      <c r="S621" s="3"/>
      <c r="T621" s="3"/>
    </row>
    <row r="622" spans="1:20">
      <c r="A622" s="3">
        <v>3</v>
      </c>
      <c r="B622" s="3">
        <v>1</v>
      </c>
      <c r="C622" s="2">
        <v>25</v>
      </c>
      <c r="D622" s="2">
        <v>5</v>
      </c>
      <c r="E622" s="2">
        <v>1</v>
      </c>
      <c r="F622" s="17">
        <v>37</v>
      </c>
      <c r="H622" s="360">
        <v>1</v>
      </c>
      <c r="I622" s="360">
        <v>-0.59065012082321966</v>
      </c>
      <c r="K622" s="363"/>
      <c r="N622" s="10"/>
      <c r="O622" s="4"/>
      <c r="P622" s="4"/>
      <c r="Q622" s="3"/>
      <c r="R622" s="3"/>
      <c r="S622" s="3"/>
      <c r="T622" s="3"/>
    </row>
    <row r="623" spans="1:20">
      <c r="A623" s="3">
        <v>1</v>
      </c>
      <c r="B623" s="3">
        <v>2</v>
      </c>
      <c r="C623" s="2">
        <v>25</v>
      </c>
      <c r="D623" s="2">
        <v>5</v>
      </c>
      <c r="E623" s="2">
        <v>16</v>
      </c>
      <c r="F623" s="17">
        <v>37</v>
      </c>
      <c r="H623" s="360">
        <v>1</v>
      </c>
      <c r="I623" s="360">
        <v>-0.59089755515804721</v>
      </c>
      <c r="K623" s="363"/>
      <c r="N623" s="10"/>
      <c r="O623" s="4"/>
      <c r="P623" s="4"/>
      <c r="Q623" s="3"/>
      <c r="R623" s="3"/>
      <c r="S623" s="3"/>
      <c r="T623" s="3"/>
    </row>
    <row r="624" spans="1:20">
      <c r="A624" s="3">
        <v>3</v>
      </c>
      <c r="B624" s="3">
        <v>2</v>
      </c>
      <c r="C624" s="2">
        <v>25</v>
      </c>
      <c r="D624" s="2">
        <v>5</v>
      </c>
      <c r="E624" s="2">
        <v>1</v>
      </c>
      <c r="F624" s="17">
        <v>37</v>
      </c>
      <c r="H624" s="361">
        <v>1</v>
      </c>
      <c r="I624" s="361">
        <v>-0.59579823898689366</v>
      </c>
      <c r="K624" s="363"/>
      <c r="N624" s="10"/>
      <c r="O624" s="4"/>
      <c r="P624" s="4"/>
      <c r="Q624" s="3"/>
      <c r="R624" s="3"/>
      <c r="S624" s="3"/>
      <c r="T624" s="3"/>
    </row>
    <row r="625" spans="1:20">
      <c r="A625" s="3">
        <v>1</v>
      </c>
      <c r="B625" s="3">
        <v>2</v>
      </c>
      <c r="C625" s="2">
        <v>25</v>
      </c>
      <c r="D625" s="2">
        <v>5</v>
      </c>
      <c r="E625" s="2">
        <v>16</v>
      </c>
      <c r="F625" s="17">
        <v>37</v>
      </c>
      <c r="H625" s="361">
        <v>1</v>
      </c>
      <c r="I625" s="361">
        <v>-0.59580689383749852</v>
      </c>
      <c r="K625" s="363"/>
      <c r="N625" s="10"/>
      <c r="O625" s="4"/>
      <c r="P625" s="4"/>
      <c r="Q625" s="3"/>
      <c r="R625" s="3"/>
      <c r="S625" s="3"/>
      <c r="T625" s="3"/>
    </row>
    <row r="626" spans="1:20">
      <c r="A626" s="3">
        <v>3</v>
      </c>
      <c r="B626" s="3">
        <v>1</v>
      </c>
      <c r="C626" s="2">
        <v>25</v>
      </c>
      <c r="D626" s="2">
        <v>5</v>
      </c>
      <c r="E626" s="2">
        <v>16</v>
      </c>
      <c r="F626" s="17">
        <v>37</v>
      </c>
      <c r="H626" s="361">
        <v>1</v>
      </c>
      <c r="I626" s="361">
        <v>-0.62014436386754335</v>
      </c>
      <c r="K626" s="363"/>
      <c r="N626" s="10"/>
      <c r="O626" s="4"/>
      <c r="P626" s="4"/>
      <c r="Q626" s="3"/>
      <c r="R626" s="3"/>
      <c r="S626" s="3"/>
      <c r="T626" s="3"/>
    </row>
    <row r="627" spans="1:20">
      <c r="A627" s="3">
        <v>2</v>
      </c>
      <c r="B627" s="3">
        <v>2</v>
      </c>
      <c r="C627" s="2">
        <v>25</v>
      </c>
      <c r="D627" s="2">
        <v>5</v>
      </c>
      <c r="E627" s="2">
        <v>1</v>
      </c>
      <c r="F627" s="17">
        <v>37</v>
      </c>
      <c r="H627" s="361">
        <v>1</v>
      </c>
      <c r="I627" s="361">
        <v>-0.64357218424016283</v>
      </c>
      <c r="K627" s="363"/>
      <c r="N627" s="10"/>
      <c r="O627" s="4"/>
      <c r="P627" s="4"/>
      <c r="Q627" s="3"/>
      <c r="R627" s="3"/>
      <c r="S627" s="3"/>
      <c r="T627" s="3"/>
    </row>
    <row r="628" spans="1:20">
      <c r="A628" s="3">
        <v>2</v>
      </c>
      <c r="B628" s="3">
        <v>1</v>
      </c>
      <c r="C628" s="2">
        <v>25</v>
      </c>
      <c r="D628" s="2">
        <v>5</v>
      </c>
      <c r="E628" s="2">
        <v>1</v>
      </c>
      <c r="F628" s="17">
        <v>37</v>
      </c>
      <c r="H628" s="360">
        <v>1</v>
      </c>
      <c r="I628" s="360">
        <v>-0.64862785739760709</v>
      </c>
      <c r="K628" s="363"/>
      <c r="N628" s="10"/>
      <c r="O628" s="4"/>
      <c r="P628" s="4"/>
      <c r="Q628" s="3"/>
      <c r="R628" s="3"/>
      <c r="S628" s="3"/>
      <c r="T628" s="3"/>
    </row>
    <row r="629" spans="1:20">
      <c r="A629" s="3">
        <v>2</v>
      </c>
      <c r="B629" s="3">
        <v>1</v>
      </c>
      <c r="C629" s="2">
        <v>25</v>
      </c>
      <c r="D629" s="2">
        <v>5</v>
      </c>
      <c r="E629" s="2">
        <v>16</v>
      </c>
      <c r="F629" s="17">
        <v>37</v>
      </c>
      <c r="H629" s="361">
        <v>1</v>
      </c>
      <c r="I629" s="361">
        <v>-0.66107650888605429</v>
      </c>
      <c r="K629" s="363"/>
      <c r="N629" s="10"/>
      <c r="O629" s="4"/>
      <c r="P629" s="4"/>
      <c r="Q629" s="3"/>
      <c r="R629" s="3"/>
      <c r="S629" s="3"/>
      <c r="T629" s="3"/>
    </row>
    <row r="630" spans="1:20">
      <c r="A630" s="3">
        <v>2</v>
      </c>
      <c r="B630" s="3">
        <v>2</v>
      </c>
      <c r="C630" s="2">
        <v>25</v>
      </c>
      <c r="D630" s="2">
        <v>5</v>
      </c>
      <c r="E630" s="2">
        <v>16</v>
      </c>
      <c r="F630" s="17">
        <v>37</v>
      </c>
      <c r="H630" s="361">
        <v>1</v>
      </c>
      <c r="I630" s="361">
        <v>-0.70635463723033887</v>
      </c>
      <c r="K630" s="363"/>
      <c r="N630" s="10"/>
      <c r="O630" s="4"/>
      <c r="P630" s="4"/>
      <c r="Q630" s="3"/>
      <c r="R630" s="3"/>
      <c r="S630" s="3"/>
      <c r="T630" s="3"/>
    </row>
    <row r="631" spans="1:20">
      <c r="A631" s="3">
        <v>5</v>
      </c>
      <c r="B631" s="3">
        <v>2</v>
      </c>
      <c r="C631" s="2">
        <v>50</v>
      </c>
      <c r="D631" s="2">
        <v>5</v>
      </c>
      <c r="E631" s="2">
        <v>16</v>
      </c>
      <c r="F631" s="17">
        <v>38</v>
      </c>
      <c r="H631" s="360">
        <v>0.65878287369395805</v>
      </c>
      <c r="I631" s="359">
        <v>0.1578827082309385</v>
      </c>
      <c r="K631" s="363"/>
      <c r="N631" s="10"/>
      <c r="O631" s="4"/>
      <c r="P631" s="4"/>
      <c r="Q631" s="3"/>
      <c r="R631" s="3"/>
      <c r="S631" s="3"/>
      <c r="T631" s="3"/>
    </row>
    <row r="632" spans="1:20">
      <c r="A632" s="3">
        <v>4</v>
      </c>
      <c r="B632" s="3">
        <v>2</v>
      </c>
      <c r="C632" s="2">
        <v>50</v>
      </c>
      <c r="D632" s="2">
        <v>5</v>
      </c>
      <c r="E632" s="2">
        <v>16</v>
      </c>
      <c r="F632" s="17">
        <v>38</v>
      </c>
      <c r="H632" s="360">
        <v>0.63457405675989376</v>
      </c>
      <c r="I632" s="359">
        <v>-9.8135687529067844E-2</v>
      </c>
      <c r="K632" s="363"/>
      <c r="N632" s="10"/>
      <c r="O632" s="4"/>
      <c r="P632" s="4"/>
      <c r="Q632" s="3"/>
      <c r="R632" s="3"/>
      <c r="S632" s="3"/>
      <c r="T632" s="3"/>
    </row>
    <row r="633" spans="1:20">
      <c r="A633" s="3">
        <v>3</v>
      </c>
      <c r="B633" s="3">
        <v>1</v>
      </c>
      <c r="C633" s="2">
        <v>25</v>
      </c>
      <c r="D633" s="2">
        <v>5</v>
      </c>
      <c r="E633" s="2">
        <v>1</v>
      </c>
      <c r="F633" s="17">
        <v>38</v>
      </c>
      <c r="H633" s="360">
        <v>1</v>
      </c>
      <c r="I633" s="360">
        <v>-0.76921442413180852</v>
      </c>
      <c r="K633" s="363"/>
      <c r="N633" s="10"/>
      <c r="O633" s="4"/>
      <c r="P633" s="4"/>
      <c r="Q633" s="3"/>
      <c r="R633" s="3"/>
      <c r="S633" s="3"/>
      <c r="T633" s="3"/>
    </row>
    <row r="634" spans="1:20">
      <c r="A634" s="3">
        <v>3</v>
      </c>
      <c r="B634" s="3">
        <v>1</v>
      </c>
      <c r="C634" s="2">
        <v>25</v>
      </c>
      <c r="D634" s="2">
        <v>5</v>
      </c>
      <c r="E634" s="2">
        <v>16</v>
      </c>
      <c r="F634" s="17">
        <v>38</v>
      </c>
      <c r="H634" s="361">
        <v>0.97438048709105574</v>
      </c>
      <c r="I634" s="361">
        <v>-0.79007746758310393</v>
      </c>
      <c r="K634" s="363"/>
      <c r="N634" s="10"/>
      <c r="O634" s="4"/>
      <c r="P634" s="4"/>
      <c r="Q634" s="3"/>
      <c r="R634" s="3"/>
      <c r="S634" s="3"/>
      <c r="T634" s="3"/>
    </row>
    <row r="635" spans="1:20">
      <c r="A635" s="3">
        <v>2</v>
      </c>
      <c r="B635" s="3">
        <v>1</v>
      </c>
      <c r="C635" s="2">
        <v>25</v>
      </c>
      <c r="D635" s="2">
        <v>5</v>
      </c>
      <c r="E635" s="2">
        <v>16</v>
      </c>
      <c r="F635" s="17">
        <v>38</v>
      </c>
      <c r="H635" s="361">
        <v>1</v>
      </c>
      <c r="I635" s="361">
        <v>-0.84988691257364646</v>
      </c>
      <c r="K635" s="363"/>
      <c r="N635" s="10"/>
      <c r="O635" s="4"/>
      <c r="P635" s="4"/>
      <c r="Q635" s="3"/>
      <c r="R635" s="3"/>
      <c r="S635" s="3"/>
      <c r="T635" s="3"/>
    </row>
    <row r="636" spans="1:20">
      <c r="A636" s="3">
        <v>3</v>
      </c>
      <c r="B636" s="3">
        <v>2</v>
      </c>
      <c r="C636" s="2">
        <v>25</v>
      </c>
      <c r="D636" s="2">
        <v>5</v>
      </c>
      <c r="E636" s="2">
        <v>16</v>
      </c>
      <c r="F636" s="17">
        <v>38</v>
      </c>
      <c r="H636" s="360">
        <v>1</v>
      </c>
      <c r="I636" s="360">
        <v>-0.87665177257798133</v>
      </c>
      <c r="K636" s="363"/>
      <c r="N636" s="10"/>
      <c r="O636" s="4"/>
      <c r="P636" s="4"/>
      <c r="Q636" s="3"/>
      <c r="R636" s="3"/>
      <c r="S636" s="3"/>
      <c r="T636" s="3"/>
    </row>
    <row r="637" spans="1:20">
      <c r="A637" s="3">
        <v>1</v>
      </c>
      <c r="B637" s="3">
        <v>2</v>
      </c>
      <c r="C637" s="2">
        <v>25</v>
      </c>
      <c r="D637" s="2">
        <v>30</v>
      </c>
      <c r="E637" s="2">
        <v>16</v>
      </c>
      <c r="F637" s="17">
        <v>38</v>
      </c>
      <c r="H637" s="360">
        <v>1</v>
      </c>
      <c r="I637" s="360">
        <v>-0.88402023226016935</v>
      </c>
      <c r="K637" s="363"/>
      <c r="N637" s="10"/>
      <c r="O637" s="4"/>
      <c r="P637" s="4"/>
      <c r="Q637" s="3"/>
      <c r="R637" s="3"/>
      <c r="S637" s="3"/>
      <c r="T637" s="3"/>
    </row>
    <row r="638" spans="1:20">
      <c r="A638" s="3">
        <v>3</v>
      </c>
      <c r="B638" s="3">
        <v>2</v>
      </c>
      <c r="C638" s="2">
        <v>25</v>
      </c>
      <c r="D638" s="2">
        <v>5</v>
      </c>
      <c r="E638" s="2">
        <v>1</v>
      </c>
      <c r="F638" s="17">
        <v>38</v>
      </c>
      <c r="H638" s="361">
        <v>1</v>
      </c>
      <c r="I638" s="361">
        <v>-0.90326875824621478</v>
      </c>
      <c r="K638" s="363"/>
      <c r="N638" s="10"/>
      <c r="O638" s="4"/>
      <c r="P638" s="4"/>
      <c r="Q638" s="3"/>
      <c r="R638" s="3"/>
      <c r="S638" s="3"/>
      <c r="T638" s="3"/>
    </row>
    <row r="639" spans="1:20">
      <c r="A639" s="3">
        <v>2</v>
      </c>
      <c r="B639" s="3">
        <v>1</v>
      </c>
      <c r="C639" s="2">
        <v>25</v>
      </c>
      <c r="D639" s="2">
        <v>5</v>
      </c>
      <c r="E639" s="2">
        <v>1</v>
      </c>
      <c r="F639" s="17">
        <v>38</v>
      </c>
      <c r="H639" s="360">
        <v>1</v>
      </c>
      <c r="I639" s="360">
        <v>-0.91419529139328448</v>
      </c>
      <c r="K639" s="363"/>
      <c r="N639" s="10"/>
      <c r="O639" s="4"/>
      <c r="P639" s="4"/>
      <c r="Q639" s="3"/>
      <c r="R639" s="3"/>
      <c r="S639" s="3"/>
      <c r="T639" s="3"/>
    </row>
    <row r="640" spans="1:20">
      <c r="A640" s="3">
        <v>1</v>
      </c>
      <c r="B640" s="3">
        <v>1</v>
      </c>
      <c r="C640" s="2">
        <v>25</v>
      </c>
      <c r="D640" s="2">
        <v>30</v>
      </c>
      <c r="E640" s="2">
        <v>16</v>
      </c>
      <c r="F640" s="17">
        <v>38</v>
      </c>
      <c r="H640" s="360">
        <v>1</v>
      </c>
      <c r="I640" s="360">
        <v>-0.91590521928203728</v>
      </c>
      <c r="K640" s="363"/>
      <c r="N640" s="10"/>
      <c r="O640" s="4"/>
      <c r="P640" s="4"/>
      <c r="Q640" s="3"/>
      <c r="R640" s="3"/>
      <c r="S640" s="3"/>
      <c r="T640" s="3"/>
    </row>
    <row r="641" spans="1:20">
      <c r="A641" s="3">
        <v>1</v>
      </c>
      <c r="B641" s="3">
        <v>2</v>
      </c>
      <c r="C641" s="2">
        <v>25</v>
      </c>
      <c r="D641" s="2">
        <v>5</v>
      </c>
      <c r="E641" s="2">
        <v>1</v>
      </c>
      <c r="F641" s="17">
        <v>38</v>
      </c>
      <c r="H641" s="360">
        <v>0.88318209860270658</v>
      </c>
      <c r="I641" s="360">
        <v>-0.93221650868338124</v>
      </c>
      <c r="K641" s="363"/>
      <c r="N641" s="10"/>
      <c r="O641" s="4"/>
      <c r="P641" s="4"/>
      <c r="Q641" s="3"/>
      <c r="R641" s="3"/>
      <c r="S641" s="3"/>
      <c r="T641" s="3"/>
    </row>
    <row r="642" spans="1:20">
      <c r="A642" s="3">
        <v>1</v>
      </c>
      <c r="B642" s="3">
        <v>1</v>
      </c>
      <c r="C642" s="2">
        <v>25</v>
      </c>
      <c r="D642" s="2">
        <v>5</v>
      </c>
      <c r="E642" s="2">
        <v>16</v>
      </c>
      <c r="F642" s="17">
        <v>38</v>
      </c>
      <c r="H642" s="360">
        <v>1</v>
      </c>
      <c r="I642" s="360">
        <v>-0.93795085700923386</v>
      </c>
      <c r="K642" s="363"/>
      <c r="N642" s="10"/>
      <c r="O642" s="4"/>
      <c r="P642" s="4"/>
      <c r="Q642" s="3"/>
      <c r="R642" s="3"/>
      <c r="S642" s="3"/>
      <c r="T642" s="3"/>
    </row>
    <row r="643" spans="1:20">
      <c r="A643" s="3">
        <v>1</v>
      </c>
      <c r="B643" s="3">
        <v>2</v>
      </c>
      <c r="C643" s="2">
        <v>25</v>
      </c>
      <c r="D643" s="2">
        <v>5</v>
      </c>
      <c r="E643" s="2">
        <v>16</v>
      </c>
      <c r="F643" s="17">
        <v>38</v>
      </c>
      <c r="H643" s="361">
        <v>1</v>
      </c>
      <c r="I643" s="361">
        <v>-0.93907298603088285</v>
      </c>
      <c r="K643" s="363"/>
      <c r="N643" s="10"/>
      <c r="O643" s="4"/>
      <c r="P643" s="4"/>
      <c r="Q643" s="3"/>
      <c r="R643" s="3"/>
      <c r="S643" s="3"/>
      <c r="T643" s="3"/>
    </row>
    <row r="644" spans="1:20">
      <c r="A644" s="3">
        <v>1</v>
      </c>
      <c r="B644" s="3">
        <v>1</v>
      </c>
      <c r="C644" s="2">
        <v>25</v>
      </c>
      <c r="D644" s="2">
        <v>5</v>
      </c>
      <c r="E644" s="2">
        <v>1</v>
      </c>
      <c r="F644" s="17">
        <v>38</v>
      </c>
      <c r="H644" s="360">
        <v>1</v>
      </c>
      <c r="I644" s="360">
        <v>-0.93911516964614594</v>
      </c>
      <c r="K644" s="363"/>
      <c r="N644" s="10"/>
      <c r="O644" s="4"/>
      <c r="P644" s="4"/>
      <c r="Q644" s="3"/>
      <c r="R644" s="3"/>
      <c r="S644" s="3"/>
      <c r="T644" s="3"/>
    </row>
    <row r="645" spans="1:20">
      <c r="A645" s="3">
        <v>1</v>
      </c>
      <c r="B645" s="3">
        <v>2</v>
      </c>
      <c r="C645" s="2">
        <v>25</v>
      </c>
      <c r="D645" s="2">
        <v>5</v>
      </c>
      <c r="E645" s="2">
        <v>16</v>
      </c>
      <c r="F645" s="17">
        <v>38</v>
      </c>
      <c r="H645" s="360">
        <v>1</v>
      </c>
      <c r="I645" s="360">
        <v>-0.94614717179143715</v>
      </c>
      <c r="K645" s="363"/>
      <c r="N645" s="10"/>
      <c r="O645" s="4"/>
      <c r="P645" s="4"/>
      <c r="Q645" s="3"/>
      <c r="R645" s="3"/>
      <c r="S645" s="3"/>
      <c r="T645" s="3"/>
    </row>
    <row r="646" spans="1:20">
      <c r="A646" s="3">
        <v>2</v>
      </c>
      <c r="B646" s="3">
        <v>2</v>
      </c>
      <c r="C646" s="2">
        <v>25</v>
      </c>
      <c r="D646" s="2">
        <v>5</v>
      </c>
      <c r="E646" s="2">
        <v>16</v>
      </c>
      <c r="F646" s="17">
        <v>38</v>
      </c>
      <c r="H646" s="361">
        <v>1</v>
      </c>
      <c r="I646" s="361">
        <v>-0.96287992662607325</v>
      </c>
      <c r="K646" s="363"/>
      <c r="N646" s="10"/>
      <c r="O646" s="4"/>
      <c r="P646" s="4"/>
      <c r="Q646" s="3"/>
      <c r="R646" s="3"/>
      <c r="S646" s="3"/>
      <c r="T646" s="3"/>
    </row>
    <row r="647" spans="1:20">
      <c r="A647" s="3">
        <v>2</v>
      </c>
      <c r="B647" s="3">
        <v>2</v>
      </c>
      <c r="C647" s="2">
        <v>25</v>
      </c>
      <c r="D647" s="2">
        <v>5</v>
      </c>
      <c r="E647" s="2">
        <v>1</v>
      </c>
      <c r="F647" s="17">
        <v>38</v>
      </c>
      <c r="H647" s="361">
        <v>1</v>
      </c>
      <c r="I647" s="361">
        <v>-1</v>
      </c>
      <c r="K647" s="363"/>
      <c r="N647" s="10"/>
      <c r="O647" s="4"/>
      <c r="P647" s="4"/>
      <c r="Q647" s="3"/>
      <c r="R647" s="3"/>
      <c r="S647" s="3"/>
      <c r="T647" s="3"/>
    </row>
    <row r="648" spans="1:20">
      <c r="A648" s="3">
        <v>2</v>
      </c>
      <c r="B648" s="3">
        <v>2</v>
      </c>
      <c r="C648" s="2">
        <v>25</v>
      </c>
      <c r="D648" s="2">
        <v>5</v>
      </c>
      <c r="E648" s="2">
        <v>1</v>
      </c>
      <c r="F648" s="17">
        <v>39</v>
      </c>
      <c r="H648" s="361">
        <v>1</v>
      </c>
      <c r="I648" s="361">
        <v>0.73065533088924373</v>
      </c>
      <c r="K648" s="363"/>
      <c r="N648" s="10"/>
      <c r="O648" s="4"/>
      <c r="P648" s="4"/>
      <c r="Q648" s="3"/>
      <c r="R648" s="3"/>
      <c r="S648" s="3"/>
      <c r="T648" s="3"/>
    </row>
    <row r="649" spans="1:20">
      <c r="A649" s="3">
        <v>1</v>
      </c>
      <c r="B649" s="3">
        <v>2</v>
      </c>
      <c r="C649" s="2">
        <v>25</v>
      </c>
      <c r="D649" s="2">
        <v>30</v>
      </c>
      <c r="E649" s="2">
        <v>16</v>
      </c>
      <c r="F649" s="17">
        <v>39</v>
      </c>
      <c r="H649" s="360">
        <v>1</v>
      </c>
      <c r="I649" s="360">
        <v>0.71015377789389045</v>
      </c>
      <c r="K649" s="363"/>
      <c r="N649" s="10"/>
      <c r="O649" s="4"/>
      <c r="P649" s="4"/>
      <c r="Q649" s="3"/>
      <c r="R649" s="3"/>
      <c r="S649" s="3"/>
      <c r="T649" s="3"/>
    </row>
    <row r="650" spans="1:20">
      <c r="A650" s="3">
        <v>1</v>
      </c>
      <c r="B650" s="3">
        <v>2</v>
      </c>
      <c r="C650" s="2">
        <v>25</v>
      </c>
      <c r="D650" s="2">
        <v>5</v>
      </c>
      <c r="E650" s="2">
        <v>16</v>
      </c>
      <c r="F650" s="17">
        <v>39</v>
      </c>
      <c r="H650" s="361">
        <v>1</v>
      </c>
      <c r="I650" s="361">
        <v>0.70062090744151406</v>
      </c>
      <c r="K650" s="363"/>
      <c r="N650" s="10"/>
      <c r="O650" s="4"/>
      <c r="P650" s="4"/>
      <c r="Q650" s="3"/>
      <c r="R650" s="3"/>
      <c r="S650" s="3"/>
      <c r="T650" s="3"/>
    </row>
    <row r="651" spans="1:20">
      <c r="A651" s="3">
        <v>2</v>
      </c>
      <c r="B651" s="3">
        <v>2</v>
      </c>
      <c r="C651" s="2">
        <v>25</v>
      </c>
      <c r="D651" s="2">
        <v>5</v>
      </c>
      <c r="E651" s="2">
        <v>16</v>
      </c>
      <c r="F651" s="17">
        <v>39</v>
      </c>
      <c r="H651" s="361">
        <v>1</v>
      </c>
      <c r="I651" s="361">
        <v>0.69665021380998393</v>
      </c>
      <c r="K651" s="363"/>
      <c r="N651" s="10"/>
      <c r="O651" s="4"/>
      <c r="P651" s="4"/>
      <c r="Q651" s="3"/>
      <c r="R651" s="3"/>
      <c r="S651" s="3"/>
      <c r="T651" s="3"/>
    </row>
    <row r="652" spans="1:20">
      <c r="A652" s="3">
        <v>1</v>
      </c>
      <c r="B652" s="3">
        <v>2</v>
      </c>
      <c r="C652" s="2">
        <v>25</v>
      </c>
      <c r="D652" s="2">
        <v>5</v>
      </c>
      <c r="E652" s="2">
        <v>1</v>
      </c>
      <c r="F652" s="17">
        <v>39</v>
      </c>
      <c r="H652" s="360">
        <v>0.14847261807364875</v>
      </c>
      <c r="I652" s="360">
        <v>0.65666234814276503</v>
      </c>
      <c r="K652" s="363"/>
      <c r="N652" s="10"/>
      <c r="O652" s="4"/>
      <c r="P652" s="4"/>
      <c r="Q652" s="3"/>
      <c r="R652" s="3"/>
      <c r="S652" s="3"/>
      <c r="T652" s="3"/>
    </row>
    <row r="653" spans="1:20">
      <c r="A653" s="3">
        <v>3</v>
      </c>
      <c r="B653" s="3">
        <v>2</v>
      </c>
      <c r="C653" s="2">
        <v>25</v>
      </c>
      <c r="D653" s="2">
        <v>5</v>
      </c>
      <c r="E653" s="2">
        <v>1</v>
      </c>
      <c r="F653" s="17">
        <v>39</v>
      </c>
      <c r="H653" s="361">
        <v>1</v>
      </c>
      <c r="I653" s="361">
        <v>0.65526876775784093</v>
      </c>
      <c r="K653" s="363"/>
      <c r="N653" s="10"/>
      <c r="O653" s="4"/>
      <c r="P653" s="4"/>
      <c r="Q653" s="3"/>
      <c r="R653" s="3"/>
      <c r="S653" s="3"/>
      <c r="T653" s="3"/>
    </row>
    <row r="654" spans="1:20">
      <c r="A654" s="3">
        <v>2</v>
      </c>
      <c r="B654" s="3">
        <v>1</v>
      </c>
      <c r="C654" s="2">
        <v>25</v>
      </c>
      <c r="D654" s="2">
        <v>5</v>
      </c>
      <c r="E654" s="2">
        <v>1</v>
      </c>
      <c r="F654" s="17">
        <v>39</v>
      </c>
      <c r="H654" s="360">
        <v>1</v>
      </c>
      <c r="I654" s="360">
        <v>0.52528395506614645</v>
      </c>
      <c r="K654" s="363"/>
      <c r="N654" s="10"/>
      <c r="O654" s="4"/>
      <c r="P654" s="4"/>
      <c r="Q654" s="3"/>
      <c r="R654" s="3"/>
      <c r="S654" s="3"/>
      <c r="T654" s="3"/>
    </row>
    <row r="655" spans="1:20">
      <c r="A655" s="3">
        <v>2</v>
      </c>
      <c r="B655" s="3">
        <v>1</v>
      </c>
      <c r="C655" s="2">
        <v>25</v>
      </c>
      <c r="D655" s="2">
        <v>5</v>
      </c>
      <c r="E655" s="2">
        <v>16</v>
      </c>
      <c r="F655" s="17">
        <v>39</v>
      </c>
      <c r="H655" s="361">
        <v>1</v>
      </c>
      <c r="I655" s="361">
        <v>0.45835682210043194</v>
      </c>
      <c r="K655" s="363"/>
      <c r="N655" s="10"/>
      <c r="O655" s="4"/>
      <c r="P655" s="4"/>
      <c r="Q655" s="3"/>
      <c r="R655" s="3"/>
      <c r="S655" s="3"/>
      <c r="T655" s="3"/>
    </row>
    <row r="656" spans="1:20">
      <c r="A656" s="3">
        <v>1</v>
      </c>
      <c r="B656" s="3">
        <v>1</v>
      </c>
      <c r="C656" s="2">
        <v>25</v>
      </c>
      <c r="D656" s="2">
        <v>30</v>
      </c>
      <c r="E656" s="2">
        <v>16</v>
      </c>
      <c r="F656" s="17">
        <v>39</v>
      </c>
      <c r="H656" s="360">
        <v>1</v>
      </c>
      <c r="I656" s="360">
        <v>0.40978665000889181</v>
      </c>
      <c r="K656" s="363"/>
      <c r="N656" s="10"/>
      <c r="O656" s="4"/>
      <c r="P656" s="4"/>
      <c r="Q656" s="3"/>
      <c r="R656" s="3"/>
      <c r="S656" s="3"/>
      <c r="T656" s="3"/>
    </row>
    <row r="657" spans="1:20">
      <c r="A657" s="3">
        <v>1</v>
      </c>
      <c r="B657" s="3">
        <v>1</v>
      </c>
      <c r="C657" s="2">
        <v>25</v>
      </c>
      <c r="D657" s="2">
        <v>5</v>
      </c>
      <c r="E657" s="2">
        <v>1</v>
      </c>
      <c r="F657" s="17">
        <v>39</v>
      </c>
      <c r="H657" s="360">
        <v>0.97680017688118093</v>
      </c>
      <c r="I657" s="360">
        <v>0.40339360011325137</v>
      </c>
      <c r="K657" s="363"/>
      <c r="N657" s="10"/>
      <c r="O657" s="4"/>
      <c r="P657" s="4"/>
      <c r="Q657" s="3"/>
      <c r="R657" s="3"/>
      <c r="S657" s="3"/>
      <c r="T657" s="3"/>
    </row>
    <row r="658" spans="1:20">
      <c r="A658" s="3">
        <v>1</v>
      </c>
      <c r="B658" s="3">
        <v>1</v>
      </c>
      <c r="C658" s="2">
        <v>25</v>
      </c>
      <c r="D658" s="2">
        <v>5</v>
      </c>
      <c r="E658" s="2">
        <v>16</v>
      </c>
      <c r="F658" s="17">
        <v>39</v>
      </c>
      <c r="H658" s="360">
        <v>1</v>
      </c>
      <c r="I658" s="360">
        <v>0.36816664116236386</v>
      </c>
      <c r="K658" s="363"/>
      <c r="N658" s="10"/>
      <c r="O658" s="4"/>
      <c r="P658" s="4"/>
      <c r="Q658" s="3"/>
      <c r="R658" s="3"/>
      <c r="S658" s="3"/>
      <c r="T658" s="3"/>
    </row>
    <row r="659" spans="1:20">
      <c r="A659" s="3">
        <v>3</v>
      </c>
      <c r="B659" s="3">
        <v>1</v>
      </c>
      <c r="C659" s="2">
        <v>25</v>
      </c>
      <c r="D659" s="2">
        <v>5</v>
      </c>
      <c r="E659" s="2">
        <v>1</v>
      </c>
      <c r="F659" s="17">
        <v>39</v>
      </c>
      <c r="H659" s="360">
        <v>0.45117428085983424</v>
      </c>
      <c r="I659" s="360">
        <v>0.33030146967385082</v>
      </c>
      <c r="K659" s="363"/>
      <c r="N659" s="10"/>
      <c r="O659" s="4"/>
      <c r="P659" s="4"/>
      <c r="Q659" s="3"/>
      <c r="R659" s="3"/>
      <c r="S659" s="3"/>
      <c r="T659" s="3"/>
    </row>
    <row r="660" spans="1:20">
      <c r="A660" s="3">
        <v>1</v>
      </c>
      <c r="B660" s="3">
        <v>2</v>
      </c>
      <c r="C660" s="2">
        <v>25</v>
      </c>
      <c r="D660" s="2">
        <v>5</v>
      </c>
      <c r="E660" s="2">
        <v>16</v>
      </c>
      <c r="F660" s="17">
        <v>39</v>
      </c>
      <c r="H660" s="360">
        <v>0.87090245982756587</v>
      </c>
      <c r="I660" s="360">
        <v>0.30828972688593953</v>
      </c>
      <c r="K660" s="363"/>
      <c r="N660" s="10"/>
      <c r="O660" s="4"/>
      <c r="P660" s="4"/>
      <c r="Q660" s="3"/>
      <c r="R660" s="3"/>
      <c r="S660" s="3"/>
      <c r="T660" s="3"/>
    </row>
    <row r="661" spans="1:20">
      <c r="A661" s="3">
        <v>3</v>
      </c>
      <c r="B661" s="3">
        <v>1</v>
      </c>
      <c r="C661" s="2">
        <v>25</v>
      </c>
      <c r="D661" s="2">
        <v>5</v>
      </c>
      <c r="E661" s="2">
        <v>16</v>
      </c>
      <c r="F661" s="17">
        <v>39</v>
      </c>
      <c r="H661" s="361">
        <v>1</v>
      </c>
      <c r="I661" s="361">
        <v>0.28027609697594319</v>
      </c>
      <c r="K661" s="363"/>
      <c r="N661" s="10"/>
      <c r="O661" s="4"/>
      <c r="P661" s="4"/>
      <c r="Q661" s="3"/>
      <c r="R661" s="3"/>
      <c r="S661" s="3"/>
      <c r="T661" s="3"/>
    </row>
    <row r="662" spans="1:20">
      <c r="A662" s="3">
        <v>3</v>
      </c>
      <c r="B662" s="3">
        <v>2</v>
      </c>
      <c r="C662" s="2">
        <v>25</v>
      </c>
      <c r="D662" s="2">
        <v>5</v>
      </c>
      <c r="E662" s="2">
        <v>16</v>
      </c>
      <c r="F662" s="17">
        <v>39</v>
      </c>
      <c r="H662" s="360">
        <v>0.85064483513995293</v>
      </c>
      <c r="I662" s="360">
        <v>0.25733723955508536</v>
      </c>
      <c r="K662" s="363"/>
      <c r="N662" s="10"/>
      <c r="O662" s="4"/>
      <c r="P662" s="4"/>
      <c r="Q662" s="3"/>
      <c r="R662" s="3"/>
      <c r="S662" s="3"/>
      <c r="T662" s="3"/>
    </row>
    <row r="663" spans="1:20">
      <c r="A663" s="3">
        <v>4</v>
      </c>
      <c r="B663" s="3">
        <v>2</v>
      </c>
      <c r="C663" s="2">
        <v>50</v>
      </c>
      <c r="D663" s="2">
        <v>5</v>
      </c>
      <c r="E663" s="2">
        <v>16</v>
      </c>
      <c r="F663" s="17">
        <v>39</v>
      </c>
      <c r="H663" s="360">
        <v>0.91141778160459486</v>
      </c>
      <c r="I663" s="359">
        <v>0.23138878905149871</v>
      </c>
      <c r="K663" s="363"/>
      <c r="N663" s="10"/>
      <c r="O663" s="4"/>
      <c r="P663" s="4"/>
      <c r="Q663" s="3"/>
      <c r="R663" s="3"/>
      <c r="S663" s="3"/>
      <c r="T663" s="3"/>
    </row>
    <row r="664" spans="1:20">
      <c r="A664" s="3">
        <v>5</v>
      </c>
      <c r="B664" s="3">
        <v>2</v>
      </c>
      <c r="C664" s="2">
        <v>50</v>
      </c>
      <c r="D664" s="2">
        <v>5</v>
      </c>
      <c r="E664" s="2">
        <v>16</v>
      </c>
      <c r="F664" s="17">
        <v>39</v>
      </c>
      <c r="H664" s="360">
        <v>0.88166497940693433</v>
      </c>
      <c r="I664" s="359">
        <v>-0.14908651717279561</v>
      </c>
      <c r="K664" s="363"/>
      <c r="N664" s="10"/>
      <c r="O664" s="4"/>
      <c r="P664" s="4"/>
      <c r="Q664" s="3"/>
      <c r="R664" s="3"/>
      <c r="S664" s="3"/>
      <c r="T664" s="3"/>
    </row>
    <row r="665" spans="1:20">
      <c r="A665" s="3">
        <v>1</v>
      </c>
      <c r="B665" s="3">
        <v>2</v>
      </c>
      <c r="C665" s="2">
        <v>25</v>
      </c>
      <c r="D665" s="2">
        <v>30</v>
      </c>
      <c r="E665" s="2">
        <v>16</v>
      </c>
      <c r="F665" s="17">
        <v>40</v>
      </c>
      <c r="H665" s="360">
        <v>1</v>
      </c>
      <c r="I665" s="360">
        <v>0.27355000946060271</v>
      </c>
      <c r="K665" s="363"/>
      <c r="N665" s="10"/>
      <c r="O665" s="4"/>
      <c r="P665" s="4"/>
      <c r="Q665" s="3"/>
      <c r="R665" s="3"/>
      <c r="S665" s="3"/>
      <c r="T665" s="3"/>
    </row>
    <row r="666" spans="1:20">
      <c r="A666" s="3">
        <v>1</v>
      </c>
      <c r="B666" s="3">
        <v>2</v>
      </c>
      <c r="C666" s="2">
        <v>25</v>
      </c>
      <c r="D666" s="2">
        <v>5</v>
      </c>
      <c r="E666" s="2">
        <v>16</v>
      </c>
      <c r="F666" s="17">
        <v>40</v>
      </c>
      <c r="H666" s="361">
        <v>1</v>
      </c>
      <c r="I666" s="361">
        <v>0.23704867489497877</v>
      </c>
      <c r="K666" s="363"/>
      <c r="N666" s="10"/>
      <c r="O666" s="4"/>
      <c r="P666" s="4"/>
      <c r="Q666" s="3"/>
      <c r="R666" s="3"/>
      <c r="S666" s="3"/>
      <c r="T666" s="3"/>
    </row>
    <row r="667" spans="1:20">
      <c r="A667" s="3">
        <v>1</v>
      </c>
      <c r="B667" s="3">
        <v>2</v>
      </c>
      <c r="C667" s="2">
        <v>25</v>
      </c>
      <c r="D667" s="2">
        <v>5</v>
      </c>
      <c r="E667" s="2">
        <v>1</v>
      </c>
      <c r="F667" s="17">
        <v>40</v>
      </c>
      <c r="H667" s="360">
        <v>0.64187742574166518</v>
      </c>
      <c r="I667" s="360">
        <v>0.22724564607170331</v>
      </c>
      <c r="K667" s="363"/>
      <c r="N667" s="10"/>
      <c r="O667" s="4"/>
      <c r="P667" s="4"/>
      <c r="Q667" s="3"/>
      <c r="R667" s="3"/>
      <c r="S667" s="3"/>
      <c r="T667" s="3"/>
    </row>
    <row r="668" spans="1:20">
      <c r="A668" s="3">
        <v>1</v>
      </c>
      <c r="B668" s="3">
        <v>1</v>
      </c>
      <c r="C668" s="2">
        <v>25</v>
      </c>
      <c r="D668" s="2">
        <v>30</v>
      </c>
      <c r="E668" s="2">
        <v>16</v>
      </c>
      <c r="F668" s="17">
        <v>40</v>
      </c>
      <c r="H668" s="360">
        <v>1</v>
      </c>
      <c r="I668" s="360">
        <v>0.19138263392329102</v>
      </c>
      <c r="K668" s="363"/>
      <c r="N668" s="10"/>
      <c r="O668" s="4"/>
      <c r="P668" s="4"/>
      <c r="Q668" s="3"/>
      <c r="R668" s="3"/>
      <c r="S668" s="3"/>
      <c r="T668" s="3"/>
    </row>
    <row r="669" spans="1:20">
      <c r="A669" s="3">
        <v>2</v>
      </c>
      <c r="B669" s="3">
        <v>2</v>
      </c>
      <c r="C669" s="2">
        <v>25</v>
      </c>
      <c r="D669" s="2">
        <v>5</v>
      </c>
      <c r="E669" s="2">
        <v>1</v>
      </c>
      <c r="F669" s="17">
        <v>40</v>
      </c>
      <c r="H669" s="361">
        <v>0.97740345688453056</v>
      </c>
      <c r="I669" s="361">
        <v>0.18447592968387083</v>
      </c>
      <c r="K669" s="363"/>
      <c r="N669" s="10"/>
      <c r="O669" s="4"/>
      <c r="P669" s="4"/>
      <c r="Q669" s="3"/>
      <c r="R669" s="3"/>
      <c r="S669" s="3"/>
      <c r="T669" s="3"/>
    </row>
    <row r="670" spans="1:20">
      <c r="A670" s="3">
        <v>2</v>
      </c>
      <c r="B670" s="3">
        <v>2</v>
      </c>
      <c r="C670" s="2">
        <v>25</v>
      </c>
      <c r="D670" s="2">
        <v>5</v>
      </c>
      <c r="E670" s="2">
        <v>16</v>
      </c>
      <c r="F670" s="17">
        <v>40</v>
      </c>
      <c r="H670" s="361">
        <v>1</v>
      </c>
      <c r="I670" s="361">
        <v>0.18207082051405599</v>
      </c>
      <c r="K670" s="363"/>
      <c r="N670" s="10"/>
      <c r="O670" s="4"/>
      <c r="P670" s="4"/>
      <c r="Q670" s="3"/>
      <c r="R670" s="3"/>
      <c r="S670" s="3"/>
      <c r="T670" s="3"/>
    </row>
    <row r="671" spans="1:20">
      <c r="A671" s="3">
        <v>4</v>
      </c>
      <c r="B671" s="3">
        <v>2</v>
      </c>
      <c r="C671" s="2">
        <v>50</v>
      </c>
      <c r="D671" s="2">
        <v>5</v>
      </c>
      <c r="E671" s="2">
        <v>16</v>
      </c>
      <c r="F671" s="17">
        <v>40</v>
      </c>
      <c r="H671" s="360">
        <v>0.31049263126557275</v>
      </c>
      <c r="I671" s="359">
        <v>0.17266998324055266</v>
      </c>
      <c r="K671" s="363"/>
      <c r="N671" s="10"/>
      <c r="O671" s="4"/>
      <c r="P671" s="4"/>
      <c r="Q671" s="3"/>
      <c r="R671" s="3"/>
      <c r="S671" s="3"/>
      <c r="T671" s="3"/>
    </row>
    <row r="672" spans="1:20">
      <c r="A672" s="3">
        <v>1</v>
      </c>
      <c r="B672" s="3">
        <v>1</v>
      </c>
      <c r="C672" s="2">
        <v>25</v>
      </c>
      <c r="D672" s="2">
        <v>5</v>
      </c>
      <c r="E672" s="2">
        <v>1</v>
      </c>
      <c r="F672" s="17">
        <v>40</v>
      </c>
      <c r="H672" s="360">
        <v>1</v>
      </c>
      <c r="I672" s="360">
        <v>0.16974088672104543</v>
      </c>
      <c r="K672" s="363"/>
      <c r="N672" s="10"/>
      <c r="O672" s="4"/>
      <c r="P672" s="4"/>
      <c r="Q672" s="3"/>
      <c r="R672" s="3"/>
      <c r="S672" s="3"/>
      <c r="T672" s="3"/>
    </row>
    <row r="673" spans="1:20">
      <c r="A673" s="3">
        <v>3</v>
      </c>
      <c r="B673" s="3">
        <v>1</v>
      </c>
      <c r="C673" s="2">
        <v>25</v>
      </c>
      <c r="D673" s="2">
        <v>5</v>
      </c>
      <c r="E673" s="2">
        <v>1</v>
      </c>
      <c r="F673" s="17">
        <v>40</v>
      </c>
      <c r="H673" s="360">
        <v>1</v>
      </c>
      <c r="I673" s="360">
        <v>0.15941861047982797</v>
      </c>
      <c r="K673" s="363"/>
      <c r="N673" s="10"/>
      <c r="O673" s="4"/>
      <c r="P673" s="4"/>
      <c r="Q673" s="3"/>
      <c r="R673" s="3"/>
      <c r="S673" s="3"/>
      <c r="T673" s="3"/>
    </row>
    <row r="674" spans="1:20">
      <c r="A674" s="3">
        <v>1</v>
      </c>
      <c r="B674" s="3">
        <v>1</v>
      </c>
      <c r="C674" s="2">
        <v>25</v>
      </c>
      <c r="D674" s="2">
        <v>5</v>
      </c>
      <c r="E674" s="2">
        <v>16</v>
      </c>
      <c r="F674" s="17">
        <v>40</v>
      </c>
      <c r="H674" s="360">
        <v>1</v>
      </c>
      <c r="I674" s="360">
        <v>0.15550139321510995</v>
      </c>
      <c r="K674" s="363"/>
      <c r="N674" s="10"/>
      <c r="O674" s="4"/>
      <c r="P674" s="4"/>
      <c r="Q674" s="3"/>
      <c r="R674" s="3"/>
      <c r="S674" s="3"/>
      <c r="T674" s="3"/>
    </row>
    <row r="675" spans="1:20">
      <c r="A675" s="3">
        <v>1</v>
      </c>
      <c r="B675" s="3">
        <v>2</v>
      </c>
      <c r="C675" s="2">
        <v>25</v>
      </c>
      <c r="D675" s="2">
        <v>5</v>
      </c>
      <c r="E675" s="2">
        <v>16</v>
      </c>
      <c r="F675" s="17">
        <v>40</v>
      </c>
      <c r="H675" s="360">
        <v>1</v>
      </c>
      <c r="I675" s="360">
        <v>0.14298705938064746</v>
      </c>
      <c r="K675" s="363"/>
      <c r="N675" s="10"/>
      <c r="O675" s="4"/>
      <c r="P675" s="4"/>
      <c r="Q675" s="3"/>
      <c r="R675" s="3"/>
      <c r="S675" s="3"/>
      <c r="T675" s="3"/>
    </row>
    <row r="676" spans="1:20">
      <c r="A676" s="3">
        <v>2</v>
      </c>
      <c r="B676" s="3">
        <v>1</v>
      </c>
      <c r="C676" s="2">
        <v>25</v>
      </c>
      <c r="D676" s="2">
        <v>5</v>
      </c>
      <c r="E676" s="2">
        <v>1</v>
      </c>
      <c r="F676" s="17">
        <v>40</v>
      </c>
      <c r="H676" s="360">
        <v>1</v>
      </c>
      <c r="I676" s="360">
        <v>0.13528145639641578</v>
      </c>
      <c r="K676" s="363"/>
      <c r="N676" s="10"/>
      <c r="O676" s="4"/>
      <c r="P676" s="4"/>
      <c r="Q676" s="3"/>
      <c r="R676" s="3"/>
      <c r="S676" s="3"/>
      <c r="T676" s="3"/>
    </row>
    <row r="677" spans="1:20">
      <c r="A677" s="3">
        <v>2</v>
      </c>
      <c r="B677" s="3">
        <v>1</v>
      </c>
      <c r="C677" s="2">
        <v>25</v>
      </c>
      <c r="D677" s="2">
        <v>5</v>
      </c>
      <c r="E677" s="2">
        <v>16</v>
      </c>
      <c r="F677" s="17">
        <v>40</v>
      </c>
      <c r="H677" s="361">
        <v>1</v>
      </c>
      <c r="I677" s="361">
        <v>0.12976604873310127</v>
      </c>
      <c r="K677" s="363"/>
      <c r="N677" s="10"/>
      <c r="O677" s="4"/>
      <c r="P677" s="4"/>
      <c r="Q677" s="3"/>
      <c r="R677" s="3"/>
      <c r="S677" s="3"/>
      <c r="T677" s="3"/>
    </row>
    <row r="678" spans="1:20">
      <c r="A678" s="3">
        <v>3</v>
      </c>
      <c r="B678" s="3">
        <v>1</v>
      </c>
      <c r="C678" s="2">
        <v>25</v>
      </c>
      <c r="D678" s="2">
        <v>5</v>
      </c>
      <c r="E678" s="2">
        <v>16</v>
      </c>
      <c r="F678" s="17">
        <v>40</v>
      </c>
      <c r="H678" s="361">
        <v>1</v>
      </c>
      <c r="I678" s="361">
        <v>0.12077783652876364</v>
      </c>
      <c r="K678" s="363"/>
      <c r="N678" s="10"/>
      <c r="O678" s="4"/>
      <c r="P678" s="4"/>
      <c r="Q678" s="3"/>
      <c r="R678" s="3"/>
      <c r="S678" s="3"/>
      <c r="T678" s="3"/>
    </row>
    <row r="679" spans="1:20">
      <c r="A679" s="3">
        <v>3</v>
      </c>
      <c r="B679" s="3">
        <v>2</v>
      </c>
      <c r="C679" s="2">
        <v>25</v>
      </c>
      <c r="D679" s="2">
        <v>5</v>
      </c>
      <c r="E679" s="2">
        <v>16</v>
      </c>
      <c r="F679" s="17">
        <v>40</v>
      </c>
      <c r="H679" s="360">
        <v>0.5745924369357176</v>
      </c>
      <c r="I679" s="360">
        <v>0.10867582062714319</v>
      </c>
      <c r="K679" s="363"/>
      <c r="N679" s="10"/>
      <c r="O679" s="4"/>
      <c r="P679" s="4"/>
      <c r="Q679" s="3"/>
      <c r="R679" s="3"/>
      <c r="S679" s="3"/>
      <c r="T679" s="3"/>
    </row>
    <row r="680" spans="1:20">
      <c r="A680" s="3">
        <v>3</v>
      </c>
      <c r="B680" s="3">
        <v>2</v>
      </c>
      <c r="C680" s="2">
        <v>25</v>
      </c>
      <c r="D680" s="2">
        <v>5</v>
      </c>
      <c r="E680" s="2">
        <v>1</v>
      </c>
      <c r="F680" s="17">
        <v>40</v>
      </c>
      <c r="H680" s="361">
        <v>0.29533151078935438</v>
      </c>
      <c r="I680" s="361">
        <v>7.9382577845462612E-2</v>
      </c>
      <c r="K680" s="363"/>
      <c r="N680" s="10"/>
      <c r="O680" s="4"/>
      <c r="P680" s="4"/>
      <c r="Q680" s="3"/>
      <c r="R680" s="3"/>
      <c r="S680" s="3"/>
      <c r="T680" s="3"/>
    </row>
    <row r="681" spans="1:20">
      <c r="A681" s="3">
        <v>5</v>
      </c>
      <c r="B681" s="3">
        <v>2</v>
      </c>
      <c r="C681" s="2">
        <v>50</v>
      </c>
      <c r="D681" s="2">
        <v>5</v>
      </c>
      <c r="E681" s="2">
        <v>16</v>
      </c>
      <c r="F681" s="17">
        <v>40</v>
      </c>
      <c r="H681" s="360">
        <v>0.44030225291420694</v>
      </c>
      <c r="I681" s="359">
        <v>-0.21372753899498581</v>
      </c>
      <c r="K681" s="363"/>
      <c r="N681" s="10"/>
      <c r="O681" s="4"/>
      <c r="P681" s="4"/>
      <c r="Q681" s="3"/>
      <c r="R681" s="3"/>
      <c r="S681" s="3"/>
      <c r="T681" s="3"/>
    </row>
    <row r="682" spans="1:20">
      <c r="A682" s="3">
        <v>5</v>
      </c>
      <c r="B682" s="3">
        <v>2</v>
      </c>
      <c r="C682" s="2">
        <v>50</v>
      </c>
      <c r="D682" s="2">
        <v>5</v>
      </c>
      <c r="E682" s="2">
        <v>16</v>
      </c>
      <c r="F682" s="17">
        <v>41</v>
      </c>
      <c r="H682" s="360">
        <v>0.26156721248526316</v>
      </c>
      <c r="I682" s="359">
        <v>3.602959255268752E-2</v>
      </c>
      <c r="K682" s="363"/>
      <c r="N682" s="10"/>
      <c r="O682" s="4"/>
      <c r="P682" s="4"/>
      <c r="Q682" s="3"/>
      <c r="R682" s="3"/>
      <c r="S682" s="3"/>
      <c r="T682" s="3"/>
    </row>
    <row r="683" spans="1:20">
      <c r="A683" s="3">
        <v>3</v>
      </c>
      <c r="B683" s="3">
        <v>2</v>
      </c>
      <c r="C683" s="2">
        <v>25</v>
      </c>
      <c r="D683" s="2">
        <v>5</v>
      </c>
      <c r="E683" s="2">
        <v>16</v>
      </c>
      <c r="F683" s="17">
        <v>41</v>
      </c>
      <c r="H683" s="360">
        <v>0.29729360766198887</v>
      </c>
      <c r="I683" s="360">
        <v>-2.9625897468194988E-2</v>
      </c>
      <c r="K683" s="363"/>
      <c r="N683" s="10"/>
      <c r="O683" s="4"/>
      <c r="P683" s="4"/>
      <c r="Q683" s="3"/>
      <c r="R683" s="3"/>
      <c r="S683" s="3"/>
      <c r="T683" s="3"/>
    </row>
    <row r="684" spans="1:20">
      <c r="A684" s="3">
        <v>4</v>
      </c>
      <c r="B684" s="3">
        <v>2</v>
      </c>
      <c r="C684" s="2">
        <v>50</v>
      </c>
      <c r="D684" s="2">
        <v>5</v>
      </c>
      <c r="E684" s="2">
        <v>16</v>
      </c>
      <c r="F684" s="17">
        <v>41</v>
      </c>
      <c r="H684" s="360">
        <v>0.42108412646982024</v>
      </c>
      <c r="I684" s="359">
        <v>-0.29957175011878057</v>
      </c>
      <c r="K684" s="363"/>
      <c r="N684" s="10"/>
      <c r="O684" s="4"/>
      <c r="P684" s="4"/>
      <c r="Q684" s="3"/>
      <c r="R684" s="3"/>
      <c r="S684" s="3"/>
      <c r="T684" s="3"/>
    </row>
    <row r="685" spans="1:20">
      <c r="A685" s="3">
        <v>1</v>
      </c>
      <c r="B685" s="3">
        <v>2</v>
      </c>
      <c r="C685" s="2">
        <v>25</v>
      </c>
      <c r="D685" s="2">
        <v>5</v>
      </c>
      <c r="E685" s="2">
        <v>16</v>
      </c>
      <c r="F685" s="17">
        <v>41</v>
      </c>
      <c r="H685" s="360">
        <v>0.17078275669135057</v>
      </c>
      <c r="I685" s="360">
        <v>-0.65804210896907012</v>
      </c>
      <c r="K685" s="363"/>
      <c r="N685" s="10"/>
      <c r="O685" s="4"/>
      <c r="P685" s="4"/>
      <c r="Q685" s="3"/>
      <c r="R685" s="3"/>
      <c r="S685" s="3"/>
      <c r="T685" s="3"/>
    </row>
    <row r="686" spans="1:20">
      <c r="A686" s="3">
        <v>3</v>
      </c>
      <c r="B686" s="3">
        <v>1</v>
      </c>
      <c r="C686" s="2">
        <v>25</v>
      </c>
      <c r="D686" s="2">
        <v>5</v>
      </c>
      <c r="E686" s="2">
        <v>1</v>
      </c>
      <c r="F686" s="17">
        <v>41</v>
      </c>
      <c r="H686" s="360">
        <v>0.35320851271007458</v>
      </c>
      <c r="I686" s="360">
        <v>-0.81753896839370999</v>
      </c>
      <c r="K686" s="363"/>
      <c r="N686" s="10"/>
      <c r="O686" s="4"/>
      <c r="P686" s="4"/>
      <c r="Q686" s="3"/>
      <c r="R686" s="3"/>
      <c r="S686" s="3"/>
      <c r="T686" s="3"/>
    </row>
    <row r="687" spans="1:20">
      <c r="A687" s="3">
        <v>3</v>
      </c>
      <c r="B687" s="3">
        <v>1</v>
      </c>
      <c r="C687" s="2">
        <v>25</v>
      </c>
      <c r="D687" s="2">
        <v>5</v>
      </c>
      <c r="E687" s="2">
        <v>16</v>
      </c>
      <c r="F687" s="17">
        <v>41</v>
      </c>
      <c r="H687" s="361">
        <v>0.71825751875624499</v>
      </c>
      <c r="I687" s="361">
        <v>-0.83458617909405663</v>
      </c>
      <c r="K687" s="363"/>
      <c r="N687" s="10"/>
      <c r="O687" s="4"/>
      <c r="P687" s="4"/>
      <c r="Q687" s="3"/>
      <c r="R687" s="3"/>
      <c r="S687" s="3"/>
      <c r="T687" s="3"/>
    </row>
    <row r="688" spans="1:20">
      <c r="A688" s="3">
        <v>1</v>
      </c>
      <c r="B688" s="3">
        <v>1</v>
      </c>
      <c r="C688" s="2">
        <v>25</v>
      </c>
      <c r="D688" s="2">
        <v>5</v>
      </c>
      <c r="E688" s="2">
        <v>16</v>
      </c>
      <c r="F688" s="17">
        <v>41</v>
      </c>
      <c r="H688" s="360">
        <v>0.98842530849637411</v>
      </c>
      <c r="I688" s="360">
        <v>-0.86808409219757554</v>
      </c>
      <c r="K688" s="363"/>
      <c r="N688" s="10"/>
      <c r="O688" s="4"/>
      <c r="P688" s="4"/>
      <c r="Q688" s="3"/>
      <c r="R688" s="3"/>
      <c r="S688" s="3"/>
      <c r="T688" s="3"/>
    </row>
    <row r="689" spans="1:20">
      <c r="A689" s="3">
        <v>1</v>
      </c>
      <c r="B689" s="3">
        <v>1</v>
      </c>
      <c r="C689" s="2">
        <v>25</v>
      </c>
      <c r="D689" s="2">
        <v>30</v>
      </c>
      <c r="E689" s="2">
        <v>16</v>
      </c>
      <c r="F689" s="17">
        <v>41</v>
      </c>
      <c r="H689" s="360">
        <v>1</v>
      </c>
      <c r="I689" s="360">
        <v>-0.86838944918737415</v>
      </c>
      <c r="K689" s="363"/>
      <c r="N689" s="10"/>
      <c r="O689" s="4"/>
      <c r="P689" s="4"/>
      <c r="Q689" s="3"/>
      <c r="R689" s="3"/>
      <c r="S689" s="3"/>
      <c r="T689" s="3"/>
    </row>
    <row r="690" spans="1:20">
      <c r="A690" s="3">
        <v>1</v>
      </c>
      <c r="B690" s="3">
        <v>2</v>
      </c>
      <c r="C690" s="2">
        <v>25</v>
      </c>
      <c r="D690" s="2">
        <v>5</v>
      </c>
      <c r="E690" s="2">
        <v>1</v>
      </c>
      <c r="F690" s="17">
        <v>41</v>
      </c>
      <c r="H690" s="360">
        <v>0.1355811395719817</v>
      </c>
      <c r="I690" s="360">
        <v>-0.87458983387736566</v>
      </c>
      <c r="K690" s="363"/>
      <c r="N690" s="10"/>
      <c r="O690" s="4"/>
      <c r="P690" s="4"/>
      <c r="Q690" s="3"/>
      <c r="R690" s="3"/>
      <c r="S690" s="3"/>
      <c r="T690" s="3"/>
    </row>
    <row r="691" spans="1:20">
      <c r="A691" s="3">
        <v>1</v>
      </c>
      <c r="B691" s="3">
        <v>1</v>
      </c>
      <c r="C691" s="2">
        <v>25</v>
      </c>
      <c r="D691" s="2">
        <v>5</v>
      </c>
      <c r="E691" s="2">
        <v>1</v>
      </c>
      <c r="F691" s="17">
        <v>41</v>
      </c>
      <c r="H691" s="360">
        <v>0.93730060496792156</v>
      </c>
      <c r="I691" s="360">
        <v>-0.88910364427845912</v>
      </c>
      <c r="K691" s="363"/>
      <c r="N691" s="10"/>
      <c r="O691" s="4"/>
      <c r="P691" s="4"/>
      <c r="Q691" s="3"/>
      <c r="R691" s="3"/>
      <c r="S691" s="3"/>
      <c r="T691" s="3"/>
    </row>
    <row r="692" spans="1:20">
      <c r="A692" s="3">
        <v>1</v>
      </c>
      <c r="B692" s="3">
        <v>2</v>
      </c>
      <c r="C692" s="2">
        <v>25</v>
      </c>
      <c r="D692" s="2">
        <v>30</v>
      </c>
      <c r="E692" s="2">
        <v>16</v>
      </c>
      <c r="F692" s="17">
        <v>41</v>
      </c>
      <c r="H692" s="360">
        <v>1</v>
      </c>
      <c r="I692" s="360">
        <v>-0.9043961582643959</v>
      </c>
      <c r="K692" s="363"/>
      <c r="N692" s="10"/>
      <c r="O692" s="4"/>
      <c r="P692" s="4"/>
      <c r="Q692" s="3"/>
      <c r="R692" s="3"/>
      <c r="S692" s="3"/>
      <c r="T692" s="3"/>
    </row>
    <row r="693" spans="1:20">
      <c r="A693" s="3">
        <v>1</v>
      </c>
      <c r="B693" s="3">
        <v>2</v>
      </c>
      <c r="C693" s="2">
        <v>25</v>
      </c>
      <c r="D693" s="2">
        <v>5</v>
      </c>
      <c r="E693" s="2">
        <v>16</v>
      </c>
      <c r="F693" s="17">
        <v>41</v>
      </c>
      <c r="H693" s="361">
        <v>0.98638090853013005</v>
      </c>
      <c r="I693" s="361">
        <v>-0.92314634450530364</v>
      </c>
      <c r="K693" s="363"/>
      <c r="N693" s="10"/>
      <c r="O693" s="4"/>
      <c r="P693" s="4"/>
      <c r="Q693" s="3"/>
      <c r="R693" s="3"/>
      <c r="S693" s="3"/>
      <c r="T693" s="3"/>
    </row>
    <row r="694" spans="1:20">
      <c r="A694" s="3">
        <v>3</v>
      </c>
      <c r="B694" s="3">
        <v>2</v>
      </c>
      <c r="C694" s="2">
        <v>25</v>
      </c>
      <c r="D694" s="2">
        <v>5</v>
      </c>
      <c r="E694" s="2">
        <v>1</v>
      </c>
      <c r="F694" s="17">
        <v>41</v>
      </c>
      <c r="H694" s="361">
        <v>0.79250188862941751</v>
      </c>
      <c r="I694" s="361">
        <v>-0.93076615389296091</v>
      </c>
      <c r="K694" s="363"/>
      <c r="N694" s="10"/>
      <c r="O694" s="4"/>
      <c r="P694" s="4"/>
      <c r="Q694" s="3"/>
      <c r="R694" s="3"/>
      <c r="S694" s="3"/>
      <c r="T694" s="3"/>
    </row>
    <row r="695" spans="1:20">
      <c r="A695" s="3">
        <v>2</v>
      </c>
      <c r="B695" s="3">
        <v>2</v>
      </c>
      <c r="C695" s="2">
        <v>25</v>
      </c>
      <c r="D695" s="2">
        <v>5</v>
      </c>
      <c r="E695" s="2">
        <v>1</v>
      </c>
      <c r="F695" s="17">
        <v>41</v>
      </c>
      <c r="H695" s="361">
        <v>0.79462221811568712</v>
      </c>
      <c r="I695" s="361">
        <v>-0.93161821637221087</v>
      </c>
      <c r="K695" s="363"/>
      <c r="N695" s="10"/>
      <c r="O695" s="4"/>
      <c r="P695" s="4"/>
      <c r="Q695" s="3"/>
      <c r="R695" s="3"/>
      <c r="S695" s="3"/>
      <c r="T695" s="3"/>
    </row>
    <row r="696" spans="1:20">
      <c r="A696" s="3">
        <v>2</v>
      </c>
      <c r="B696" s="3">
        <v>2</v>
      </c>
      <c r="C696" s="2">
        <v>25</v>
      </c>
      <c r="D696" s="2">
        <v>5</v>
      </c>
      <c r="E696" s="2">
        <v>16</v>
      </c>
      <c r="F696" s="17">
        <v>41</v>
      </c>
      <c r="H696" s="361">
        <v>1</v>
      </c>
      <c r="I696" s="361">
        <v>-0.97640454009194089</v>
      </c>
      <c r="K696" s="363"/>
      <c r="N696" s="10"/>
      <c r="O696" s="4"/>
      <c r="P696" s="4"/>
      <c r="Q696" s="3"/>
      <c r="R696" s="3"/>
      <c r="S696" s="3"/>
      <c r="T696" s="3"/>
    </row>
    <row r="697" spans="1:20">
      <c r="A697" s="3">
        <v>2</v>
      </c>
      <c r="B697" s="3">
        <v>1</v>
      </c>
      <c r="C697" s="2">
        <v>25</v>
      </c>
      <c r="D697" s="2">
        <v>5</v>
      </c>
      <c r="E697" s="2">
        <v>1</v>
      </c>
      <c r="F697" s="17">
        <v>41</v>
      </c>
      <c r="H697" s="360">
        <v>1</v>
      </c>
      <c r="I697" s="360">
        <v>-1</v>
      </c>
      <c r="K697" s="363"/>
      <c r="N697" s="10"/>
      <c r="O697" s="4"/>
      <c r="P697" s="4"/>
      <c r="Q697" s="3"/>
      <c r="R697" s="3"/>
      <c r="S697" s="3"/>
      <c r="T697" s="3"/>
    </row>
    <row r="698" spans="1:20">
      <c r="A698" s="3">
        <v>2</v>
      </c>
      <c r="B698" s="3">
        <v>1</v>
      </c>
      <c r="C698" s="2">
        <v>25</v>
      </c>
      <c r="D698" s="2">
        <v>5</v>
      </c>
      <c r="E698" s="2">
        <v>16</v>
      </c>
      <c r="F698" s="17">
        <v>41</v>
      </c>
      <c r="H698" s="361">
        <v>1</v>
      </c>
      <c r="I698" s="361">
        <v>-1</v>
      </c>
      <c r="K698" s="363"/>
      <c r="N698" s="10"/>
      <c r="O698" s="4"/>
      <c r="P698" s="4"/>
      <c r="Q698" s="3"/>
      <c r="R698" s="3"/>
      <c r="S698" s="3"/>
      <c r="T698" s="3"/>
    </row>
    <row r="699" spans="1:20">
      <c r="A699" s="3">
        <v>1</v>
      </c>
      <c r="B699" s="3">
        <v>2</v>
      </c>
      <c r="C699" s="2">
        <v>25</v>
      </c>
      <c r="D699" s="2">
        <v>5</v>
      </c>
      <c r="E699" s="2">
        <v>16</v>
      </c>
      <c r="F699" s="17">
        <v>42</v>
      </c>
      <c r="H699" s="360">
        <v>1</v>
      </c>
      <c r="I699" s="360">
        <v>0.840248926129051</v>
      </c>
      <c r="K699" s="363"/>
      <c r="N699" s="10"/>
      <c r="O699" s="4"/>
      <c r="P699" s="4"/>
      <c r="Q699" s="3"/>
      <c r="R699" s="3"/>
      <c r="S699" s="3"/>
      <c r="T699" s="3"/>
    </row>
    <row r="700" spans="1:20">
      <c r="A700" s="3">
        <v>1</v>
      </c>
      <c r="B700" s="3">
        <v>2</v>
      </c>
      <c r="C700" s="2">
        <v>25</v>
      </c>
      <c r="D700" s="2">
        <v>5</v>
      </c>
      <c r="E700" s="2">
        <v>1</v>
      </c>
      <c r="F700" s="17">
        <v>42</v>
      </c>
      <c r="H700" s="360">
        <v>0.72662429611345103</v>
      </c>
      <c r="I700" s="360">
        <v>0.82622988809947739</v>
      </c>
      <c r="K700" s="363"/>
      <c r="N700" s="10"/>
      <c r="O700" s="4"/>
      <c r="P700" s="4"/>
      <c r="Q700" s="3"/>
      <c r="R700" s="3"/>
      <c r="S700" s="3"/>
      <c r="T700" s="3"/>
    </row>
    <row r="701" spans="1:20">
      <c r="A701" s="3">
        <v>1</v>
      </c>
      <c r="B701" s="3">
        <v>2</v>
      </c>
      <c r="C701" s="2">
        <v>25</v>
      </c>
      <c r="D701" s="2">
        <v>5</v>
      </c>
      <c r="E701" s="2">
        <v>16</v>
      </c>
      <c r="F701" s="17">
        <v>42</v>
      </c>
      <c r="H701" s="361">
        <v>1</v>
      </c>
      <c r="I701" s="361">
        <v>0.82512632646940531</v>
      </c>
      <c r="K701" s="363"/>
      <c r="N701" s="10"/>
      <c r="O701" s="4"/>
      <c r="P701" s="4"/>
      <c r="Q701" s="3"/>
      <c r="R701" s="3"/>
      <c r="S701" s="3"/>
      <c r="T701" s="3"/>
    </row>
    <row r="702" spans="1:20">
      <c r="A702" s="3">
        <v>2</v>
      </c>
      <c r="B702" s="3">
        <v>2</v>
      </c>
      <c r="C702" s="2">
        <v>25</v>
      </c>
      <c r="D702" s="2">
        <v>5</v>
      </c>
      <c r="E702" s="2">
        <v>16</v>
      </c>
      <c r="F702" s="17">
        <v>42</v>
      </c>
      <c r="H702" s="361">
        <v>1</v>
      </c>
      <c r="I702" s="361">
        <v>0.82066744641745026</v>
      </c>
      <c r="K702" s="363"/>
      <c r="N702" s="10"/>
      <c r="O702" s="4"/>
      <c r="P702" s="4"/>
      <c r="Q702" s="3"/>
      <c r="R702" s="3"/>
      <c r="S702" s="3"/>
      <c r="T702" s="3"/>
    </row>
    <row r="703" spans="1:20">
      <c r="A703" s="3">
        <v>2</v>
      </c>
      <c r="B703" s="3">
        <v>2</v>
      </c>
      <c r="C703" s="2">
        <v>25</v>
      </c>
      <c r="D703" s="2">
        <v>5</v>
      </c>
      <c r="E703" s="2">
        <v>1</v>
      </c>
      <c r="F703" s="17">
        <v>42</v>
      </c>
      <c r="H703" s="361">
        <v>1</v>
      </c>
      <c r="I703" s="361">
        <v>0.79119298829869367</v>
      </c>
      <c r="K703" s="363"/>
      <c r="N703" s="10"/>
      <c r="O703" s="4"/>
      <c r="P703" s="4"/>
      <c r="Q703" s="3"/>
      <c r="R703" s="3"/>
      <c r="S703" s="3"/>
      <c r="T703" s="3"/>
    </row>
    <row r="704" spans="1:20">
      <c r="A704" s="3">
        <v>1</v>
      </c>
      <c r="B704" s="3">
        <v>1</v>
      </c>
      <c r="C704" s="2">
        <v>25</v>
      </c>
      <c r="D704" s="2">
        <v>5</v>
      </c>
      <c r="E704" s="2">
        <v>1</v>
      </c>
      <c r="F704" s="17">
        <v>42</v>
      </c>
      <c r="H704" s="360">
        <v>1</v>
      </c>
      <c r="I704" s="360">
        <v>0.78808745069919006</v>
      </c>
      <c r="K704" s="363"/>
      <c r="N704" s="10"/>
      <c r="O704" s="4"/>
      <c r="P704" s="4"/>
      <c r="Q704" s="3"/>
      <c r="R704" s="3"/>
      <c r="S704" s="3"/>
      <c r="T704" s="3"/>
    </row>
    <row r="705" spans="1:20">
      <c r="A705" s="3">
        <v>1</v>
      </c>
      <c r="B705" s="3">
        <v>1</v>
      </c>
      <c r="C705" s="2">
        <v>25</v>
      </c>
      <c r="D705" s="2">
        <v>5</v>
      </c>
      <c r="E705" s="2">
        <v>16</v>
      </c>
      <c r="F705" s="17">
        <v>42</v>
      </c>
      <c r="H705" s="360">
        <v>1</v>
      </c>
      <c r="I705" s="360">
        <v>0.78687342773505942</v>
      </c>
      <c r="K705" s="363"/>
      <c r="N705" s="10"/>
      <c r="O705" s="4"/>
      <c r="P705" s="4"/>
      <c r="Q705" s="3"/>
      <c r="R705" s="3"/>
      <c r="S705" s="3"/>
      <c r="T705" s="3"/>
    </row>
    <row r="706" spans="1:20">
      <c r="A706" s="3">
        <v>1</v>
      </c>
      <c r="B706" s="3">
        <v>1</v>
      </c>
      <c r="C706" s="2">
        <v>25</v>
      </c>
      <c r="D706" s="2">
        <v>30</v>
      </c>
      <c r="E706" s="2">
        <v>16</v>
      </c>
      <c r="F706" s="17">
        <v>42</v>
      </c>
      <c r="H706" s="360">
        <v>1</v>
      </c>
      <c r="I706" s="360">
        <v>0.78683156905003615</v>
      </c>
      <c r="K706" s="363"/>
      <c r="N706" s="10"/>
      <c r="O706" s="4"/>
      <c r="P706" s="4"/>
      <c r="Q706" s="3"/>
      <c r="R706" s="3"/>
      <c r="S706" s="3"/>
      <c r="T706" s="3"/>
    </row>
    <row r="707" spans="1:20">
      <c r="A707" s="3">
        <v>1</v>
      </c>
      <c r="B707" s="3">
        <v>2</v>
      </c>
      <c r="C707" s="2">
        <v>25</v>
      </c>
      <c r="D707" s="2">
        <v>30</v>
      </c>
      <c r="E707" s="2">
        <v>16</v>
      </c>
      <c r="F707" s="17">
        <v>42</v>
      </c>
      <c r="H707" s="360">
        <v>1</v>
      </c>
      <c r="I707" s="360">
        <v>0.76788325595244644</v>
      </c>
      <c r="K707" s="363"/>
      <c r="N707" s="10"/>
      <c r="O707" s="4"/>
      <c r="P707" s="4"/>
      <c r="Q707" s="3"/>
      <c r="R707" s="3"/>
      <c r="S707" s="3"/>
      <c r="T707" s="3"/>
    </row>
    <row r="708" spans="1:20">
      <c r="A708" s="3">
        <v>3</v>
      </c>
      <c r="B708" s="3">
        <v>2</v>
      </c>
      <c r="C708" s="2">
        <v>25</v>
      </c>
      <c r="D708" s="2">
        <v>5</v>
      </c>
      <c r="E708" s="2">
        <v>16</v>
      </c>
      <c r="F708" s="17">
        <v>42</v>
      </c>
      <c r="H708" s="360">
        <v>1</v>
      </c>
      <c r="I708" s="360">
        <v>0.70865845682330608</v>
      </c>
      <c r="K708" s="363"/>
      <c r="N708" s="10"/>
      <c r="O708" s="4"/>
      <c r="P708" s="4"/>
      <c r="Q708" s="3"/>
      <c r="R708" s="3"/>
      <c r="S708" s="3"/>
      <c r="T708" s="3"/>
    </row>
    <row r="709" spans="1:20">
      <c r="A709" s="3">
        <v>3</v>
      </c>
      <c r="B709" s="3">
        <v>2</v>
      </c>
      <c r="C709" s="2">
        <v>25</v>
      </c>
      <c r="D709" s="2">
        <v>5</v>
      </c>
      <c r="E709" s="2">
        <v>1</v>
      </c>
      <c r="F709" s="17">
        <v>42</v>
      </c>
      <c r="H709" s="361">
        <v>1</v>
      </c>
      <c r="I709" s="361">
        <v>0.67200049759447988</v>
      </c>
      <c r="K709" s="363"/>
      <c r="N709" s="10"/>
      <c r="O709" s="4"/>
      <c r="P709" s="4"/>
      <c r="Q709" s="3"/>
      <c r="R709" s="3"/>
      <c r="S709" s="3"/>
      <c r="T709" s="3"/>
    </row>
    <row r="710" spans="1:20">
      <c r="A710" s="3">
        <v>2</v>
      </c>
      <c r="B710" s="3">
        <v>1</v>
      </c>
      <c r="C710" s="2">
        <v>25</v>
      </c>
      <c r="D710" s="2">
        <v>5</v>
      </c>
      <c r="E710" s="2">
        <v>1</v>
      </c>
      <c r="F710" s="17">
        <v>42</v>
      </c>
      <c r="H710" s="360">
        <v>1</v>
      </c>
      <c r="I710" s="360">
        <v>0.63448005115571815</v>
      </c>
      <c r="K710" s="363"/>
      <c r="N710" s="10"/>
      <c r="O710" s="4"/>
      <c r="P710" s="4"/>
      <c r="Q710" s="3"/>
      <c r="R710" s="3"/>
      <c r="S710" s="3"/>
      <c r="T710" s="3"/>
    </row>
    <row r="711" spans="1:20">
      <c r="A711" s="3">
        <v>2</v>
      </c>
      <c r="B711" s="3">
        <v>1</v>
      </c>
      <c r="C711" s="2">
        <v>25</v>
      </c>
      <c r="D711" s="2">
        <v>5</v>
      </c>
      <c r="E711" s="2">
        <v>16</v>
      </c>
      <c r="F711" s="17">
        <v>42</v>
      </c>
      <c r="H711" s="361">
        <v>1</v>
      </c>
      <c r="I711" s="361">
        <v>0.62273254012873314</v>
      </c>
      <c r="K711" s="363"/>
      <c r="N711" s="10"/>
      <c r="O711" s="4"/>
      <c r="P711" s="4"/>
      <c r="Q711" s="3"/>
      <c r="R711" s="3"/>
      <c r="S711" s="3"/>
      <c r="T711" s="3"/>
    </row>
    <row r="712" spans="1:20">
      <c r="A712" s="3">
        <v>3</v>
      </c>
      <c r="B712" s="3">
        <v>1</v>
      </c>
      <c r="C712" s="2">
        <v>25</v>
      </c>
      <c r="D712" s="2">
        <v>5</v>
      </c>
      <c r="E712" s="2">
        <v>1</v>
      </c>
      <c r="F712" s="17">
        <v>42</v>
      </c>
      <c r="H712" s="360">
        <v>1</v>
      </c>
      <c r="I712" s="360">
        <v>0.5398012272158742</v>
      </c>
      <c r="K712" s="363"/>
      <c r="N712" s="10"/>
      <c r="O712" s="4"/>
      <c r="P712" s="4"/>
      <c r="Q712" s="3"/>
      <c r="R712" s="3"/>
      <c r="S712" s="3"/>
      <c r="T712" s="3"/>
    </row>
    <row r="713" spans="1:20">
      <c r="A713" s="3">
        <v>3</v>
      </c>
      <c r="B713" s="3">
        <v>1</v>
      </c>
      <c r="C713" s="2">
        <v>25</v>
      </c>
      <c r="D713" s="2">
        <v>5</v>
      </c>
      <c r="E713" s="2">
        <v>16</v>
      </c>
      <c r="F713" s="17">
        <v>42</v>
      </c>
      <c r="H713" s="361">
        <v>1</v>
      </c>
      <c r="I713" s="361">
        <v>0.52462244431072158</v>
      </c>
      <c r="K713" s="363"/>
      <c r="N713" s="10"/>
      <c r="O713" s="4"/>
      <c r="P713" s="4"/>
      <c r="Q713" s="3"/>
      <c r="R713" s="3"/>
      <c r="S713" s="3"/>
      <c r="T713" s="3"/>
    </row>
    <row r="714" spans="1:20">
      <c r="A714" s="3">
        <v>5</v>
      </c>
      <c r="B714" s="3">
        <v>2</v>
      </c>
      <c r="C714" s="2">
        <v>50</v>
      </c>
      <c r="D714" s="2">
        <v>5</v>
      </c>
      <c r="E714" s="2">
        <v>16</v>
      </c>
      <c r="F714" s="17">
        <v>42</v>
      </c>
      <c r="H714" s="360">
        <v>0.96938621350267173</v>
      </c>
      <c r="I714" s="359">
        <v>-0.14896507455079303</v>
      </c>
      <c r="K714" s="363"/>
      <c r="N714" s="10"/>
      <c r="O714" s="4"/>
      <c r="P714" s="4"/>
      <c r="Q714" s="3"/>
      <c r="R714" s="3"/>
      <c r="S714" s="3"/>
      <c r="T714" s="3"/>
    </row>
    <row r="715" spans="1:20">
      <c r="A715" s="3">
        <v>4</v>
      </c>
      <c r="B715" s="3">
        <v>2</v>
      </c>
      <c r="C715" s="2">
        <v>50</v>
      </c>
      <c r="D715" s="2">
        <v>5</v>
      </c>
      <c r="E715" s="2">
        <v>16</v>
      </c>
      <c r="F715" s="17">
        <v>42</v>
      </c>
      <c r="H715" s="360">
        <v>1</v>
      </c>
      <c r="I715" s="359">
        <v>-0.19869399163100179</v>
      </c>
      <c r="K715" s="363"/>
      <c r="N715" s="10"/>
      <c r="O715" s="4"/>
      <c r="P715" s="4"/>
      <c r="Q715" s="3"/>
      <c r="R715" s="3"/>
      <c r="S715" s="3"/>
      <c r="T715" s="3"/>
    </row>
    <row r="716" spans="1:20">
      <c r="A716" s="3">
        <v>5</v>
      </c>
      <c r="B716" s="3">
        <v>2</v>
      </c>
      <c r="C716" s="2">
        <v>50</v>
      </c>
      <c r="D716" s="2">
        <v>5</v>
      </c>
      <c r="E716" s="2">
        <v>16</v>
      </c>
      <c r="F716" s="17">
        <v>43</v>
      </c>
      <c r="H716" s="360">
        <v>0.631480917589331</v>
      </c>
      <c r="I716" s="359">
        <v>-0.10783001967234565</v>
      </c>
      <c r="K716" s="363"/>
      <c r="N716" s="10"/>
      <c r="O716" s="4"/>
      <c r="P716" s="4"/>
      <c r="Q716" s="3"/>
      <c r="R716" s="3"/>
      <c r="S716" s="3"/>
      <c r="T716" s="3"/>
    </row>
    <row r="717" spans="1:20">
      <c r="A717" s="3">
        <v>4</v>
      </c>
      <c r="B717" s="3">
        <v>2</v>
      </c>
      <c r="C717" s="2">
        <v>50</v>
      </c>
      <c r="D717" s="2">
        <v>5</v>
      </c>
      <c r="E717" s="2">
        <v>16</v>
      </c>
      <c r="F717" s="17">
        <v>43</v>
      </c>
      <c r="H717" s="360">
        <v>0.941777518196527</v>
      </c>
      <c r="I717" s="359">
        <v>-0.3318639353913973</v>
      </c>
      <c r="K717" s="363"/>
      <c r="N717" s="10"/>
      <c r="O717" s="4"/>
      <c r="P717" s="4"/>
      <c r="Q717" s="3"/>
      <c r="R717" s="3"/>
      <c r="S717" s="3"/>
      <c r="T717" s="3"/>
    </row>
    <row r="718" spans="1:20">
      <c r="A718" s="3">
        <v>3</v>
      </c>
      <c r="B718" s="3">
        <v>2</v>
      </c>
      <c r="C718" s="2">
        <v>25</v>
      </c>
      <c r="D718" s="2">
        <v>5</v>
      </c>
      <c r="E718" s="2">
        <v>16</v>
      </c>
      <c r="F718" s="17">
        <v>43</v>
      </c>
      <c r="H718" s="360">
        <v>0.47799535318516906</v>
      </c>
      <c r="I718" s="360">
        <v>-0.43471808500562903</v>
      </c>
      <c r="K718" s="363"/>
      <c r="N718" s="10"/>
      <c r="O718" s="4"/>
      <c r="P718" s="4"/>
      <c r="Q718" s="3"/>
      <c r="R718" s="3"/>
      <c r="S718" s="3"/>
      <c r="T718" s="3"/>
    </row>
    <row r="719" spans="1:20">
      <c r="A719" s="3">
        <v>1</v>
      </c>
      <c r="B719" s="3">
        <v>2</v>
      </c>
      <c r="C719" s="2">
        <v>25</v>
      </c>
      <c r="D719" s="2">
        <v>5</v>
      </c>
      <c r="E719" s="2">
        <v>16</v>
      </c>
      <c r="F719" s="17">
        <v>43</v>
      </c>
      <c r="H719" s="360">
        <v>0.10744540789734225</v>
      </c>
      <c r="I719" s="360">
        <v>-0.59009481999463853</v>
      </c>
      <c r="K719" s="363"/>
      <c r="N719" s="10"/>
      <c r="O719" s="4"/>
      <c r="P719" s="4"/>
      <c r="Q719" s="3"/>
      <c r="R719" s="3"/>
      <c r="S719" s="3"/>
      <c r="T719" s="3"/>
    </row>
    <row r="720" spans="1:20">
      <c r="A720" s="3">
        <v>3</v>
      </c>
      <c r="B720" s="3">
        <v>1</v>
      </c>
      <c r="C720" s="2">
        <v>25</v>
      </c>
      <c r="D720" s="2">
        <v>5</v>
      </c>
      <c r="E720" s="2">
        <v>16</v>
      </c>
      <c r="F720" s="17">
        <v>43</v>
      </c>
      <c r="H720" s="361">
        <v>0.52417642725001445</v>
      </c>
      <c r="I720" s="361">
        <v>-0.76771313510047834</v>
      </c>
      <c r="K720" s="363"/>
      <c r="N720" s="10"/>
      <c r="O720" s="4"/>
      <c r="P720" s="4"/>
      <c r="Q720" s="3"/>
      <c r="R720" s="3"/>
      <c r="S720" s="3"/>
      <c r="T720" s="3"/>
    </row>
    <row r="721" spans="1:20">
      <c r="A721" s="3">
        <v>3</v>
      </c>
      <c r="B721" s="3">
        <v>1</v>
      </c>
      <c r="C721" s="2">
        <v>25</v>
      </c>
      <c r="D721" s="2">
        <v>5</v>
      </c>
      <c r="E721" s="2">
        <v>1</v>
      </c>
      <c r="F721" s="17">
        <v>43</v>
      </c>
      <c r="H721" s="360">
        <v>0.32076338051177256</v>
      </c>
      <c r="I721" s="360">
        <v>-0.77426954065567699</v>
      </c>
      <c r="K721" s="363"/>
      <c r="N721" s="10"/>
      <c r="O721" s="4"/>
      <c r="P721" s="4"/>
      <c r="Q721" s="3"/>
      <c r="R721" s="3"/>
      <c r="S721" s="3"/>
      <c r="T721" s="3"/>
    </row>
    <row r="722" spans="1:20">
      <c r="A722" s="3">
        <v>1</v>
      </c>
      <c r="B722" s="3">
        <v>1</v>
      </c>
      <c r="C722" s="2">
        <v>25</v>
      </c>
      <c r="D722" s="2">
        <v>30</v>
      </c>
      <c r="E722" s="2">
        <v>16</v>
      </c>
      <c r="F722" s="17">
        <v>43</v>
      </c>
      <c r="H722" s="360">
        <v>0.84661578140056126</v>
      </c>
      <c r="I722" s="360">
        <v>-0.82085884001800735</v>
      </c>
      <c r="K722" s="363"/>
      <c r="N722" s="10"/>
      <c r="O722" s="4"/>
      <c r="P722" s="4"/>
      <c r="Q722" s="3"/>
      <c r="R722" s="3"/>
      <c r="S722" s="3"/>
      <c r="T722" s="3"/>
    </row>
    <row r="723" spans="1:20">
      <c r="A723" s="3">
        <v>3</v>
      </c>
      <c r="B723" s="3">
        <v>2</v>
      </c>
      <c r="C723" s="2">
        <v>25</v>
      </c>
      <c r="D723" s="2">
        <v>5</v>
      </c>
      <c r="E723" s="2">
        <v>1</v>
      </c>
      <c r="F723" s="17">
        <v>43</v>
      </c>
      <c r="H723" s="361">
        <v>0.60725325791946527</v>
      </c>
      <c r="I723" s="361">
        <v>-0.86047130266108063</v>
      </c>
      <c r="K723" s="363"/>
      <c r="N723" s="10"/>
      <c r="O723" s="4"/>
      <c r="P723" s="4"/>
      <c r="Q723" s="3"/>
      <c r="R723" s="3"/>
      <c r="S723" s="3"/>
      <c r="T723" s="3"/>
    </row>
    <row r="724" spans="1:20">
      <c r="A724" s="3">
        <v>1</v>
      </c>
      <c r="B724" s="3">
        <v>1</v>
      </c>
      <c r="C724" s="2">
        <v>25</v>
      </c>
      <c r="D724" s="2">
        <v>5</v>
      </c>
      <c r="E724" s="2">
        <v>16</v>
      </c>
      <c r="F724" s="17">
        <v>43</v>
      </c>
      <c r="H724" s="360">
        <v>0.93292842517929464</v>
      </c>
      <c r="I724" s="360">
        <v>-0.87891729626013937</v>
      </c>
      <c r="K724" s="363"/>
      <c r="N724" s="10"/>
      <c r="O724" s="4"/>
      <c r="P724" s="4"/>
      <c r="Q724" s="3"/>
      <c r="R724" s="3"/>
      <c r="S724" s="3"/>
      <c r="T724" s="3"/>
    </row>
    <row r="725" spans="1:20">
      <c r="A725" s="3">
        <v>1</v>
      </c>
      <c r="B725" s="3">
        <v>1</v>
      </c>
      <c r="C725" s="2">
        <v>25</v>
      </c>
      <c r="D725" s="2">
        <v>5</v>
      </c>
      <c r="E725" s="2">
        <v>1</v>
      </c>
      <c r="F725" s="17">
        <v>43</v>
      </c>
      <c r="H725" s="360">
        <v>0.75095827320222985</v>
      </c>
      <c r="I725" s="360">
        <v>-0.88999077090625545</v>
      </c>
      <c r="K725" s="363"/>
      <c r="N725" s="10"/>
      <c r="O725" s="4"/>
      <c r="P725" s="4"/>
      <c r="Q725" s="3"/>
      <c r="R725" s="3"/>
      <c r="S725" s="3"/>
      <c r="T725" s="3"/>
    </row>
    <row r="726" spans="1:20">
      <c r="A726" s="3">
        <v>1</v>
      </c>
      <c r="B726" s="3">
        <v>2</v>
      </c>
      <c r="C726" s="2">
        <v>25</v>
      </c>
      <c r="D726" s="2">
        <v>30</v>
      </c>
      <c r="E726" s="2">
        <v>16</v>
      </c>
      <c r="F726" s="17">
        <v>43</v>
      </c>
      <c r="H726" s="360">
        <v>1</v>
      </c>
      <c r="I726" s="360">
        <v>-0.9165979484929937</v>
      </c>
      <c r="K726" s="363"/>
      <c r="N726" s="10"/>
      <c r="O726" s="4"/>
      <c r="P726" s="4"/>
      <c r="Q726" s="3"/>
      <c r="R726" s="3"/>
      <c r="S726" s="3"/>
      <c r="T726" s="3"/>
    </row>
    <row r="727" spans="1:20">
      <c r="A727" s="3">
        <v>1</v>
      </c>
      <c r="B727" s="3">
        <v>2</v>
      </c>
      <c r="C727" s="2">
        <v>25</v>
      </c>
      <c r="D727" s="2">
        <v>5</v>
      </c>
      <c r="E727" s="2">
        <v>16</v>
      </c>
      <c r="F727" s="17">
        <v>43</v>
      </c>
      <c r="H727" s="361">
        <v>1</v>
      </c>
      <c r="I727" s="361">
        <v>-0.93081877141893654</v>
      </c>
      <c r="K727" s="363"/>
      <c r="N727" s="10"/>
      <c r="O727" s="4"/>
      <c r="P727" s="4"/>
      <c r="Q727" s="3"/>
      <c r="R727" s="3"/>
      <c r="S727" s="3"/>
      <c r="T727" s="3"/>
    </row>
    <row r="728" spans="1:20">
      <c r="A728" s="3">
        <v>2</v>
      </c>
      <c r="B728" s="3">
        <v>2</v>
      </c>
      <c r="C728" s="2">
        <v>25</v>
      </c>
      <c r="D728" s="2">
        <v>5</v>
      </c>
      <c r="E728" s="2">
        <v>1</v>
      </c>
      <c r="F728" s="17">
        <v>43</v>
      </c>
      <c r="H728" s="361">
        <v>1</v>
      </c>
      <c r="I728" s="361">
        <v>-0.95229708349502973</v>
      </c>
      <c r="K728" s="363"/>
      <c r="N728" s="10"/>
      <c r="O728" s="4"/>
      <c r="P728" s="4"/>
      <c r="Q728" s="3"/>
      <c r="R728" s="3"/>
      <c r="S728" s="3"/>
      <c r="T728" s="3"/>
    </row>
    <row r="729" spans="1:20">
      <c r="A729" s="3">
        <v>2</v>
      </c>
      <c r="B729" s="3">
        <v>2</v>
      </c>
      <c r="C729" s="2">
        <v>25</v>
      </c>
      <c r="D729" s="2">
        <v>5</v>
      </c>
      <c r="E729" s="2">
        <v>16</v>
      </c>
      <c r="F729" s="17">
        <v>43</v>
      </c>
      <c r="H729" s="361">
        <v>1</v>
      </c>
      <c r="I729" s="361">
        <v>-0.96878656681488418</v>
      </c>
      <c r="K729" s="363"/>
      <c r="N729" s="10"/>
      <c r="O729" s="4"/>
      <c r="P729" s="4"/>
      <c r="Q729" s="3"/>
      <c r="R729" s="3"/>
      <c r="S729" s="3"/>
      <c r="T729" s="3"/>
    </row>
    <row r="730" spans="1:20">
      <c r="A730" s="3">
        <v>2</v>
      </c>
      <c r="B730" s="3">
        <v>1</v>
      </c>
      <c r="C730" s="2">
        <v>25</v>
      </c>
      <c r="D730" s="2">
        <v>5</v>
      </c>
      <c r="E730" s="2">
        <v>1</v>
      </c>
      <c r="F730" s="17">
        <v>43</v>
      </c>
      <c r="H730" s="360">
        <v>1</v>
      </c>
      <c r="I730" s="360">
        <v>-1</v>
      </c>
      <c r="K730" s="363"/>
      <c r="N730" s="10"/>
      <c r="O730" s="4"/>
      <c r="P730" s="4"/>
      <c r="Q730" s="3"/>
      <c r="R730" s="3"/>
      <c r="S730" s="3"/>
      <c r="T730" s="3"/>
    </row>
    <row r="731" spans="1:20">
      <c r="A731" s="3">
        <v>2</v>
      </c>
      <c r="B731" s="3">
        <v>1</v>
      </c>
      <c r="C731" s="2">
        <v>25</v>
      </c>
      <c r="D731" s="2">
        <v>5</v>
      </c>
      <c r="E731" s="2">
        <v>16</v>
      </c>
      <c r="F731" s="17">
        <v>43</v>
      </c>
      <c r="H731" s="361">
        <v>1</v>
      </c>
      <c r="I731" s="361">
        <v>-1</v>
      </c>
      <c r="K731" s="363"/>
      <c r="N731" s="10"/>
      <c r="O731" s="4"/>
      <c r="P731" s="4"/>
      <c r="Q731" s="3"/>
      <c r="R731" s="3"/>
      <c r="S731" s="3"/>
      <c r="T731" s="3"/>
    </row>
    <row r="732" spans="1:20">
      <c r="A732" s="3">
        <v>1</v>
      </c>
      <c r="B732" s="3">
        <v>2</v>
      </c>
      <c r="C732" s="2">
        <v>25</v>
      </c>
      <c r="D732" s="2">
        <v>5</v>
      </c>
      <c r="E732" s="2">
        <v>1</v>
      </c>
      <c r="F732" s="17">
        <v>43</v>
      </c>
      <c r="H732" s="360">
        <v>0.15090756175237374</v>
      </c>
      <c r="I732" s="360">
        <v>-1</v>
      </c>
      <c r="K732" s="363"/>
      <c r="N732" s="10"/>
      <c r="O732" s="4"/>
      <c r="P732" s="4"/>
      <c r="Q732" s="3"/>
      <c r="R732" s="3"/>
      <c r="S732" s="3"/>
      <c r="T732" s="3"/>
    </row>
    <row r="733" spans="1:20">
      <c r="A733" s="3">
        <v>3</v>
      </c>
      <c r="B733" s="3">
        <v>2</v>
      </c>
      <c r="C733" s="2">
        <v>25</v>
      </c>
      <c r="D733" s="2">
        <v>5</v>
      </c>
      <c r="E733" s="2">
        <v>16</v>
      </c>
      <c r="F733" s="17">
        <v>44</v>
      </c>
      <c r="H733" s="360">
        <v>1</v>
      </c>
      <c r="I733" s="360">
        <v>0.75912067159444674</v>
      </c>
      <c r="K733" s="363"/>
      <c r="N733" s="10"/>
      <c r="O733" s="4"/>
      <c r="P733" s="4"/>
      <c r="Q733" s="3"/>
      <c r="R733" s="3"/>
      <c r="S733" s="3"/>
      <c r="T733" s="3"/>
    </row>
    <row r="734" spans="1:20">
      <c r="A734" s="3">
        <v>3</v>
      </c>
      <c r="B734" s="3">
        <v>2</v>
      </c>
      <c r="C734" s="2">
        <v>25</v>
      </c>
      <c r="D734" s="2">
        <v>5</v>
      </c>
      <c r="E734" s="2">
        <v>1</v>
      </c>
      <c r="F734" s="17">
        <v>44</v>
      </c>
      <c r="H734" s="361">
        <v>0.34698042573435262</v>
      </c>
      <c r="I734" s="361">
        <v>0.24671714517189131</v>
      </c>
      <c r="K734" s="363"/>
      <c r="N734" s="10"/>
      <c r="O734" s="4"/>
      <c r="P734" s="4"/>
      <c r="Q734" s="3"/>
      <c r="R734" s="3"/>
      <c r="S734" s="3"/>
      <c r="T734" s="3"/>
    </row>
    <row r="735" spans="1:20">
      <c r="A735" s="3">
        <v>5</v>
      </c>
      <c r="B735" s="3">
        <v>2</v>
      </c>
      <c r="C735" s="2">
        <v>50</v>
      </c>
      <c r="D735" s="2">
        <v>5</v>
      </c>
      <c r="E735" s="2">
        <v>16</v>
      </c>
      <c r="F735" s="17">
        <v>44</v>
      </c>
      <c r="H735" s="360">
        <v>1</v>
      </c>
      <c r="I735" s="359">
        <v>0.23553374504862629</v>
      </c>
      <c r="K735" s="363"/>
      <c r="N735" s="10"/>
      <c r="O735" s="4"/>
      <c r="P735" s="4"/>
      <c r="Q735" s="3"/>
      <c r="R735" s="3"/>
      <c r="S735" s="3"/>
      <c r="T735" s="3"/>
    </row>
    <row r="736" spans="1:20">
      <c r="A736" s="3">
        <v>3</v>
      </c>
      <c r="B736" s="3">
        <v>1</v>
      </c>
      <c r="C736" s="2">
        <v>25</v>
      </c>
      <c r="D736" s="2">
        <v>5</v>
      </c>
      <c r="E736" s="2">
        <v>1</v>
      </c>
      <c r="F736" s="17">
        <v>44</v>
      </c>
      <c r="H736" s="360">
        <v>1</v>
      </c>
      <c r="I736" s="360">
        <v>0.19182126156538493</v>
      </c>
      <c r="K736" s="363"/>
      <c r="N736" s="10"/>
      <c r="O736" s="4"/>
      <c r="P736" s="4"/>
      <c r="Q736" s="3"/>
      <c r="R736" s="3"/>
      <c r="S736" s="3"/>
      <c r="T736" s="3"/>
    </row>
    <row r="737" spans="1:20">
      <c r="A737" s="3">
        <v>2</v>
      </c>
      <c r="B737" s="3">
        <v>1</v>
      </c>
      <c r="C737" s="2">
        <v>25</v>
      </c>
      <c r="D737" s="2">
        <v>5</v>
      </c>
      <c r="E737" s="2">
        <v>1</v>
      </c>
      <c r="F737" s="17">
        <v>44</v>
      </c>
      <c r="H737" s="360">
        <v>1</v>
      </c>
      <c r="I737" s="360">
        <v>0.14376711277046159</v>
      </c>
      <c r="K737" s="363"/>
      <c r="N737" s="10"/>
      <c r="O737" s="4"/>
      <c r="P737" s="4"/>
      <c r="Q737" s="3"/>
      <c r="R737" s="3"/>
      <c r="S737" s="3"/>
      <c r="T737" s="3"/>
    </row>
    <row r="738" spans="1:20">
      <c r="A738" s="3">
        <v>2</v>
      </c>
      <c r="B738" s="3">
        <v>1</v>
      </c>
      <c r="C738" s="2">
        <v>25</v>
      </c>
      <c r="D738" s="2">
        <v>5</v>
      </c>
      <c r="E738" s="2">
        <v>16</v>
      </c>
      <c r="F738" s="17">
        <v>44</v>
      </c>
      <c r="H738" s="361">
        <v>1</v>
      </c>
      <c r="I738" s="361">
        <v>0.13791018136342553</v>
      </c>
      <c r="K738" s="363"/>
      <c r="N738" s="10"/>
      <c r="O738" s="4"/>
      <c r="P738" s="4"/>
      <c r="Q738" s="3"/>
      <c r="R738" s="3"/>
      <c r="S738" s="3"/>
      <c r="T738" s="3"/>
    </row>
    <row r="739" spans="1:20">
      <c r="A739" s="3">
        <v>3</v>
      </c>
      <c r="B739" s="3">
        <v>1</v>
      </c>
      <c r="C739" s="2">
        <v>25</v>
      </c>
      <c r="D739" s="2">
        <v>5</v>
      </c>
      <c r="E739" s="2">
        <v>16</v>
      </c>
      <c r="F739" s="17">
        <v>44</v>
      </c>
      <c r="H739" s="361">
        <v>1</v>
      </c>
      <c r="I739" s="361">
        <v>0.12320901425008753</v>
      </c>
      <c r="K739" s="363"/>
      <c r="N739" s="10"/>
      <c r="O739" s="4"/>
      <c r="P739" s="4"/>
      <c r="Q739" s="3"/>
      <c r="R739" s="3"/>
      <c r="S739" s="3"/>
      <c r="T739" s="3"/>
    </row>
    <row r="740" spans="1:20">
      <c r="A740" s="3">
        <v>2</v>
      </c>
      <c r="B740" s="3">
        <v>2</v>
      </c>
      <c r="C740" s="2">
        <v>25</v>
      </c>
      <c r="D740" s="2">
        <v>5</v>
      </c>
      <c r="E740" s="2">
        <v>16</v>
      </c>
      <c r="F740" s="17">
        <v>44</v>
      </c>
      <c r="H740" s="361">
        <v>1</v>
      </c>
      <c r="I740" s="361">
        <v>8.4415488701855751E-2</v>
      </c>
      <c r="K740" s="363"/>
      <c r="N740" s="10"/>
      <c r="O740" s="4"/>
      <c r="P740" s="4"/>
      <c r="Q740" s="3"/>
      <c r="R740" s="3"/>
      <c r="S740" s="3"/>
      <c r="T740" s="3"/>
    </row>
    <row r="741" spans="1:20">
      <c r="A741" s="3">
        <v>2</v>
      </c>
      <c r="B741" s="3">
        <v>2</v>
      </c>
      <c r="C741" s="2">
        <v>25</v>
      </c>
      <c r="D741" s="2">
        <v>5</v>
      </c>
      <c r="E741" s="2">
        <v>1</v>
      </c>
      <c r="F741" s="17">
        <v>44</v>
      </c>
      <c r="H741" s="361">
        <v>1</v>
      </c>
      <c r="I741" s="361">
        <v>8.0179941040236749E-2</v>
      </c>
      <c r="K741" s="363"/>
      <c r="N741" s="10"/>
      <c r="O741" s="4"/>
      <c r="P741" s="4"/>
      <c r="Q741" s="3"/>
      <c r="R741" s="3"/>
      <c r="S741" s="3"/>
      <c r="T741" s="3"/>
    </row>
    <row r="742" spans="1:20">
      <c r="A742" s="3">
        <v>1</v>
      </c>
      <c r="B742" s="3">
        <v>1</v>
      </c>
      <c r="C742" s="2">
        <v>25</v>
      </c>
      <c r="D742" s="2">
        <v>5</v>
      </c>
      <c r="E742" s="2">
        <v>1</v>
      </c>
      <c r="F742" s="17">
        <v>44</v>
      </c>
      <c r="H742" s="360">
        <v>1</v>
      </c>
      <c r="I742" s="360">
        <v>-3.4215902664567109E-2</v>
      </c>
      <c r="K742" s="363"/>
      <c r="N742" s="10"/>
      <c r="O742" s="4"/>
      <c r="P742" s="4"/>
      <c r="Q742" s="3"/>
      <c r="R742" s="3"/>
      <c r="S742" s="3"/>
      <c r="T742" s="3"/>
    </row>
    <row r="743" spans="1:20">
      <c r="A743" s="3">
        <v>1</v>
      </c>
      <c r="B743" s="3">
        <v>1</v>
      </c>
      <c r="C743" s="2">
        <v>25</v>
      </c>
      <c r="D743" s="2">
        <v>5</v>
      </c>
      <c r="E743" s="2">
        <v>16</v>
      </c>
      <c r="F743" s="17">
        <v>44</v>
      </c>
      <c r="H743" s="360">
        <v>1</v>
      </c>
      <c r="I743" s="360">
        <v>-3.9971115040404036E-2</v>
      </c>
      <c r="K743" s="363"/>
      <c r="N743" s="10"/>
      <c r="O743" s="4"/>
      <c r="P743" s="4"/>
      <c r="Q743" s="3"/>
      <c r="R743" s="3"/>
      <c r="S743" s="3"/>
      <c r="T743" s="3"/>
    </row>
    <row r="744" spans="1:20">
      <c r="A744" s="3">
        <v>1</v>
      </c>
      <c r="B744" s="3">
        <v>2</v>
      </c>
      <c r="C744" s="2">
        <v>25</v>
      </c>
      <c r="D744" s="2">
        <v>30</v>
      </c>
      <c r="E744" s="2">
        <v>16</v>
      </c>
      <c r="F744" s="17">
        <v>44</v>
      </c>
      <c r="H744" s="360">
        <v>1</v>
      </c>
      <c r="I744" s="360">
        <v>-4.0664361287466845E-2</v>
      </c>
      <c r="K744" s="363"/>
      <c r="N744" s="10"/>
      <c r="O744" s="4"/>
      <c r="P744" s="4"/>
      <c r="Q744" s="3"/>
      <c r="R744" s="3"/>
      <c r="S744" s="3"/>
      <c r="T744" s="3"/>
    </row>
    <row r="745" spans="1:20">
      <c r="A745" s="3">
        <v>1</v>
      </c>
      <c r="B745" s="3">
        <v>1</v>
      </c>
      <c r="C745" s="2">
        <v>25</v>
      </c>
      <c r="D745" s="2">
        <v>30</v>
      </c>
      <c r="E745" s="2">
        <v>16</v>
      </c>
      <c r="F745" s="17">
        <v>44</v>
      </c>
      <c r="H745" s="360">
        <v>1</v>
      </c>
      <c r="I745" s="360">
        <v>-4.8504302022138311E-2</v>
      </c>
      <c r="K745" s="363"/>
      <c r="N745" s="10"/>
      <c r="O745" s="4"/>
      <c r="P745" s="4"/>
      <c r="Q745" s="3"/>
      <c r="R745" s="3"/>
      <c r="S745" s="3"/>
      <c r="T745" s="3"/>
    </row>
    <row r="746" spans="1:20">
      <c r="A746" s="3">
        <v>1</v>
      </c>
      <c r="B746" s="3">
        <v>2</v>
      </c>
      <c r="C746" s="2">
        <v>25</v>
      </c>
      <c r="D746" s="2">
        <v>5</v>
      </c>
      <c r="E746" s="2">
        <v>1</v>
      </c>
      <c r="F746" s="17">
        <v>44</v>
      </c>
      <c r="H746" s="360">
        <v>0.13783972369607878</v>
      </c>
      <c r="I746" s="360">
        <v>-5.0255407871830554E-2</v>
      </c>
      <c r="K746" s="363"/>
      <c r="N746" s="10"/>
      <c r="O746" s="4"/>
      <c r="P746" s="4"/>
      <c r="Q746" s="3"/>
      <c r="R746" s="3"/>
      <c r="S746" s="3"/>
      <c r="T746" s="3"/>
    </row>
    <row r="747" spans="1:20">
      <c r="A747" s="3">
        <v>1</v>
      </c>
      <c r="B747" s="3">
        <v>2</v>
      </c>
      <c r="C747" s="2">
        <v>25</v>
      </c>
      <c r="D747" s="2">
        <v>5</v>
      </c>
      <c r="E747" s="2">
        <v>16</v>
      </c>
      <c r="F747" s="17">
        <v>44</v>
      </c>
      <c r="H747" s="361">
        <v>1</v>
      </c>
      <c r="I747" s="361">
        <v>-6.6045317796475059E-2</v>
      </c>
      <c r="K747" s="363"/>
      <c r="N747" s="10"/>
      <c r="O747" s="4"/>
      <c r="P747" s="4"/>
      <c r="Q747" s="3"/>
      <c r="R747" s="3"/>
      <c r="S747" s="3"/>
      <c r="T747" s="3"/>
    </row>
    <row r="748" spans="1:20">
      <c r="A748" s="3">
        <v>1</v>
      </c>
      <c r="B748" s="3">
        <v>2</v>
      </c>
      <c r="C748" s="2">
        <v>25</v>
      </c>
      <c r="D748" s="2">
        <v>5</v>
      </c>
      <c r="E748" s="2">
        <v>16</v>
      </c>
      <c r="F748" s="17">
        <v>44</v>
      </c>
      <c r="H748" s="360">
        <v>1</v>
      </c>
      <c r="I748" s="360">
        <v>-8.9630398449498841E-2</v>
      </c>
      <c r="K748" s="363"/>
      <c r="N748" s="10"/>
      <c r="O748" s="4"/>
      <c r="P748" s="4"/>
      <c r="Q748" s="3"/>
      <c r="R748" s="3"/>
      <c r="S748" s="3"/>
      <c r="T748" s="3"/>
    </row>
    <row r="749" spans="1:20">
      <c r="A749" s="3">
        <v>4</v>
      </c>
      <c r="B749" s="3">
        <v>2</v>
      </c>
      <c r="C749" s="2">
        <v>50</v>
      </c>
      <c r="D749" s="2">
        <v>5</v>
      </c>
      <c r="E749" s="2">
        <v>16</v>
      </c>
      <c r="F749" s="17">
        <v>44</v>
      </c>
      <c r="H749" s="360">
        <v>0.10281515655154187</v>
      </c>
      <c r="I749" s="359">
        <v>-0.10740417394196394</v>
      </c>
      <c r="K749" s="363"/>
      <c r="N749" s="10"/>
      <c r="O749" s="4"/>
      <c r="P749" s="4"/>
      <c r="Q749" s="3"/>
      <c r="R749" s="3"/>
      <c r="S749" s="3"/>
      <c r="T749" s="3"/>
    </row>
    <row r="750" spans="1:20">
      <c r="A750" s="3">
        <v>5</v>
      </c>
      <c r="B750" s="3">
        <v>2</v>
      </c>
      <c r="C750" s="2">
        <v>50</v>
      </c>
      <c r="D750" s="2">
        <v>5</v>
      </c>
      <c r="E750" s="2">
        <v>16</v>
      </c>
      <c r="F750" s="17">
        <v>45</v>
      </c>
      <c r="H750" s="360">
        <v>0.87208579496194294</v>
      </c>
      <c r="I750" s="359">
        <v>0.11463454539650114</v>
      </c>
      <c r="K750" s="363"/>
      <c r="N750" s="10"/>
      <c r="O750" s="4"/>
      <c r="P750" s="4"/>
      <c r="Q750" s="3"/>
      <c r="R750" s="3"/>
      <c r="S750" s="3"/>
      <c r="T750" s="3"/>
    </row>
    <row r="751" spans="1:20">
      <c r="A751" s="3">
        <v>4</v>
      </c>
      <c r="B751" s="3">
        <v>2</v>
      </c>
      <c r="C751" s="2">
        <v>50</v>
      </c>
      <c r="D751" s="2">
        <v>5</v>
      </c>
      <c r="E751" s="2">
        <v>16</v>
      </c>
      <c r="F751" s="17">
        <v>45</v>
      </c>
      <c r="H751" s="360">
        <v>0.71608297139214594</v>
      </c>
      <c r="I751" s="359">
        <v>-0.16047936164800122</v>
      </c>
      <c r="K751" s="363"/>
      <c r="N751" s="10"/>
      <c r="O751" s="4"/>
      <c r="P751" s="4"/>
      <c r="Q751" s="3"/>
      <c r="R751" s="3"/>
      <c r="S751" s="3"/>
      <c r="T751" s="3"/>
    </row>
    <row r="752" spans="1:20">
      <c r="A752" s="3">
        <v>1</v>
      </c>
      <c r="B752" s="3">
        <v>1</v>
      </c>
      <c r="C752" s="2">
        <v>25</v>
      </c>
      <c r="D752" s="2">
        <v>5</v>
      </c>
      <c r="E752" s="2">
        <v>16</v>
      </c>
      <c r="F752" s="17">
        <v>45</v>
      </c>
      <c r="H752" s="360">
        <v>1</v>
      </c>
      <c r="I752" s="360">
        <v>-0.26477034987809672</v>
      </c>
      <c r="K752" s="363"/>
      <c r="N752" s="10"/>
      <c r="O752" s="4"/>
      <c r="P752" s="4"/>
      <c r="Q752" s="3"/>
      <c r="R752" s="3"/>
      <c r="S752" s="3"/>
      <c r="T752" s="3"/>
    </row>
    <row r="753" spans="1:20">
      <c r="A753" s="3">
        <v>1</v>
      </c>
      <c r="B753" s="3">
        <v>1</v>
      </c>
      <c r="C753" s="2">
        <v>25</v>
      </c>
      <c r="D753" s="2">
        <v>5</v>
      </c>
      <c r="E753" s="2">
        <v>1</v>
      </c>
      <c r="F753" s="17">
        <v>45</v>
      </c>
      <c r="H753" s="360">
        <v>1</v>
      </c>
      <c r="I753" s="360">
        <v>-0.27044424449704663</v>
      </c>
      <c r="K753" s="363"/>
      <c r="N753" s="10"/>
      <c r="O753" s="4"/>
      <c r="P753" s="4"/>
      <c r="Q753" s="3"/>
      <c r="R753" s="3"/>
      <c r="S753" s="3"/>
      <c r="T753" s="3"/>
    </row>
    <row r="754" spans="1:20">
      <c r="A754" s="3">
        <v>1</v>
      </c>
      <c r="B754" s="3">
        <v>1</v>
      </c>
      <c r="C754" s="2">
        <v>25</v>
      </c>
      <c r="D754" s="2">
        <v>30</v>
      </c>
      <c r="E754" s="2">
        <v>16</v>
      </c>
      <c r="F754" s="17">
        <v>45</v>
      </c>
      <c r="H754" s="360">
        <v>1</v>
      </c>
      <c r="I754" s="360">
        <v>-0.27587182287005679</v>
      </c>
      <c r="K754" s="363"/>
      <c r="N754" s="10"/>
      <c r="O754" s="4"/>
      <c r="P754" s="4"/>
      <c r="Q754" s="3"/>
      <c r="R754" s="3"/>
      <c r="S754" s="3"/>
      <c r="T754" s="3"/>
    </row>
    <row r="755" spans="1:20">
      <c r="A755" s="3">
        <v>3</v>
      </c>
      <c r="B755" s="3">
        <v>1</v>
      </c>
      <c r="C755" s="2">
        <v>25</v>
      </c>
      <c r="D755" s="2">
        <v>5</v>
      </c>
      <c r="E755" s="2">
        <v>1</v>
      </c>
      <c r="F755" s="17">
        <v>45</v>
      </c>
      <c r="H755" s="360">
        <v>1</v>
      </c>
      <c r="I755" s="360">
        <v>-0.3768150579168778</v>
      </c>
      <c r="K755" s="363"/>
      <c r="N755" s="10"/>
      <c r="O755" s="4"/>
      <c r="P755" s="4"/>
      <c r="Q755" s="3"/>
      <c r="R755" s="3"/>
      <c r="S755" s="3"/>
      <c r="T755" s="3"/>
    </row>
    <row r="756" spans="1:20">
      <c r="A756" s="3">
        <v>1</v>
      </c>
      <c r="B756" s="3">
        <v>2</v>
      </c>
      <c r="C756" s="2">
        <v>25</v>
      </c>
      <c r="D756" s="2">
        <v>30</v>
      </c>
      <c r="E756" s="2">
        <v>16</v>
      </c>
      <c r="F756" s="17">
        <v>45</v>
      </c>
      <c r="H756" s="360">
        <v>1</v>
      </c>
      <c r="I756" s="360">
        <v>-0.38358810938927101</v>
      </c>
      <c r="K756" s="363"/>
      <c r="N756" s="10"/>
      <c r="O756" s="4"/>
      <c r="P756" s="4"/>
      <c r="Q756" s="3"/>
      <c r="R756" s="3"/>
      <c r="S756" s="3"/>
      <c r="T756" s="3"/>
    </row>
    <row r="757" spans="1:20">
      <c r="A757" s="3">
        <v>1</v>
      </c>
      <c r="B757" s="3">
        <v>2</v>
      </c>
      <c r="C757" s="2">
        <v>25</v>
      </c>
      <c r="D757" s="2">
        <v>5</v>
      </c>
      <c r="E757" s="2">
        <v>16</v>
      </c>
      <c r="F757" s="17">
        <v>45</v>
      </c>
      <c r="H757" s="360">
        <v>1</v>
      </c>
      <c r="I757" s="360">
        <v>-0.39782044233148667</v>
      </c>
      <c r="K757" s="363"/>
      <c r="N757" s="10"/>
      <c r="O757" s="4"/>
      <c r="P757" s="4"/>
      <c r="Q757" s="3"/>
      <c r="R757" s="3"/>
      <c r="S757" s="3"/>
      <c r="T757" s="3"/>
    </row>
    <row r="758" spans="1:20">
      <c r="A758" s="3">
        <v>3</v>
      </c>
      <c r="B758" s="3">
        <v>1</v>
      </c>
      <c r="C758" s="2">
        <v>25</v>
      </c>
      <c r="D758" s="2">
        <v>5</v>
      </c>
      <c r="E758" s="2">
        <v>16</v>
      </c>
      <c r="F758" s="17">
        <v>45</v>
      </c>
      <c r="H758" s="361">
        <v>1</v>
      </c>
      <c r="I758" s="361">
        <v>-0.4125614968054922</v>
      </c>
      <c r="K758" s="363"/>
      <c r="N758" s="10"/>
      <c r="O758" s="4"/>
      <c r="P758" s="4"/>
      <c r="Q758" s="3"/>
      <c r="R758" s="3"/>
      <c r="S758" s="3"/>
      <c r="T758" s="3"/>
    </row>
    <row r="759" spans="1:20">
      <c r="A759" s="3">
        <v>3</v>
      </c>
      <c r="B759" s="3">
        <v>2</v>
      </c>
      <c r="C759" s="2">
        <v>25</v>
      </c>
      <c r="D759" s="2">
        <v>5</v>
      </c>
      <c r="E759" s="2">
        <v>16</v>
      </c>
      <c r="F759" s="17">
        <v>45</v>
      </c>
      <c r="H759" s="360">
        <v>1</v>
      </c>
      <c r="I759" s="360">
        <v>-0.43521483662371252</v>
      </c>
      <c r="K759" s="363"/>
      <c r="N759" s="10"/>
      <c r="O759" s="4"/>
      <c r="P759" s="4"/>
      <c r="Q759" s="3"/>
      <c r="R759" s="3"/>
      <c r="S759" s="3"/>
      <c r="T759" s="3"/>
    </row>
    <row r="760" spans="1:20">
      <c r="A760" s="3">
        <v>1</v>
      </c>
      <c r="B760" s="3">
        <v>2</v>
      </c>
      <c r="C760" s="2">
        <v>25</v>
      </c>
      <c r="D760" s="2">
        <v>5</v>
      </c>
      <c r="E760" s="2">
        <v>1</v>
      </c>
      <c r="F760" s="17">
        <v>45</v>
      </c>
      <c r="H760" s="360">
        <v>0.72052820883760282</v>
      </c>
      <c r="I760" s="360">
        <v>-0.4442938869415734</v>
      </c>
      <c r="K760" s="363"/>
      <c r="N760" s="10"/>
      <c r="O760" s="4"/>
      <c r="P760" s="4"/>
      <c r="Q760" s="3"/>
      <c r="R760" s="3"/>
      <c r="S760" s="3"/>
      <c r="T760" s="3"/>
    </row>
    <row r="761" spans="1:20">
      <c r="A761" s="3">
        <v>2</v>
      </c>
      <c r="B761" s="3">
        <v>1</v>
      </c>
      <c r="C761" s="2">
        <v>25</v>
      </c>
      <c r="D761" s="2">
        <v>5</v>
      </c>
      <c r="E761" s="2">
        <v>1</v>
      </c>
      <c r="F761" s="17">
        <v>45</v>
      </c>
      <c r="H761" s="360">
        <v>1</v>
      </c>
      <c r="I761" s="360">
        <v>-0.45001265831001824</v>
      </c>
      <c r="K761" s="363"/>
      <c r="N761" s="10"/>
      <c r="O761" s="4"/>
      <c r="P761" s="4"/>
      <c r="Q761" s="3"/>
      <c r="R761" s="3"/>
      <c r="S761" s="3"/>
      <c r="T761" s="3"/>
    </row>
    <row r="762" spans="1:20">
      <c r="A762" s="3">
        <v>1</v>
      </c>
      <c r="B762" s="3">
        <v>2</v>
      </c>
      <c r="C762" s="2">
        <v>25</v>
      </c>
      <c r="D762" s="2">
        <v>5</v>
      </c>
      <c r="E762" s="2">
        <v>16</v>
      </c>
      <c r="F762" s="17">
        <v>45</v>
      </c>
      <c r="H762" s="361">
        <v>1</v>
      </c>
      <c r="I762" s="361">
        <v>-0.46467487270312052</v>
      </c>
      <c r="K762" s="363"/>
      <c r="N762" s="10"/>
      <c r="O762" s="4"/>
      <c r="P762" s="4"/>
      <c r="Q762" s="3"/>
      <c r="R762" s="3"/>
      <c r="S762" s="3"/>
      <c r="T762" s="3"/>
    </row>
    <row r="763" spans="1:20">
      <c r="A763" s="3">
        <v>3</v>
      </c>
      <c r="B763" s="3">
        <v>2</v>
      </c>
      <c r="C763" s="2">
        <v>25</v>
      </c>
      <c r="D763" s="2">
        <v>5</v>
      </c>
      <c r="E763" s="2">
        <v>1</v>
      </c>
      <c r="F763" s="17">
        <v>45</v>
      </c>
      <c r="H763" s="361">
        <v>1</v>
      </c>
      <c r="I763" s="361">
        <v>-0.46986984960491551</v>
      </c>
      <c r="K763" s="363"/>
      <c r="N763" s="10"/>
      <c r="O763" s="4"/>
      <c r="P763" s="4"/>
      <c r="Q763" s="3"/>
      <c r="R763" s="3"/>
      <c r="S763" s="3"/>
      <c r="T763" s="3"/>
    </row>
    <row r="764" spans="1:20">
      <c r="A764" s="3">
        <v>2</v>
      </c>
      <c r="B764" s="3">
        <v>1</v>
      </c>
      <c r="C764" s="2">
        <v>25</v>
      </c>
      <c r="D764" s="2">
        <v>5</v>
      </c>
      <c r="E764" s="2">
        <v>16</v>
      </c>
      <c r="F764" s="17">
        <v>45</v>
      </c>
      <c r="H764" s="361">
        <v>1</v>
      </c>
      <c r="I764" s="361">
        <v>-0.48370900946267914</v>
      </c>
      <c r="K764" s="363"/>
      <c r="N764" s="10"/>
      <c r="O764" s="4"/>
      <c r="P764" s="4"/>
      <c r="Q764" s="3"/>
      <c r="R764" s="3"/>
      <c r="S764" s="3"/>
      <c r="T764" s="3"/>
    </row>
    <row r="765" spans="1:20">
      <c r="A765" s="3">
        <v>2</v>
      </c>
      <c r="B765" s="3">
        <v>2</v>
      </c>
      <c r="C765" s="2">
        <v>25</v>
      </c>
      <c r="D765" s="2">
        <v>5</v>
      </c>
      <c r="E765" s="2">
        <v>16</v>
      </c>
      <c r="F765" s="17">
        <v>45</v>
      </c>
      <c r="H765" s="361">
        <v>1</v>
      </c>
      <c r="I765" s="361">
        <v>-0.57816981398936451</v>
      </c>
      <c r="K765" s="363"/>
      <c r="N765" s="10"/>
      <c r="O765" s="4"/>
      <c r="P765" s="4"/>
      <c r="Q765" s="3"/>
      <c r="R765" s="3"/>
      <c r="S765" s="3"/>
      <c r="T765" s="3"/>
    </row>
    <row r="766" spans="1:20">
      <c r="A766" s="3">
        <v>2</v>
      </c>
      <c r="B766" s="3">
        <v>2</v>
      </c>
      <c r="C766" s="2">
        <v>25</v>
      </c>
      <c r="D766" s="2">
        <v>5</v>
      </c>
      <c r="E766" s="2">
        <v>1</v>
      </c>
      <c r="F766" s="17">
        <v>45</v>
      </c>
      <c r="H766" s="361">
        <v>1</v>
      </c>
      <c r="I766" s="361">
        <v>-0.63416425659844289</v>
      </c>
      <c r="K766" s="363"/>
      <c r="N766" s="10"/>
      <c r="O766" s="4"/>
      <c r="P766" s="4"/>
      <c r="Q766" s="3"/>
      <c r="R766" s="3"/>
      <c r="S766" s="3"/>
      <c r="T766" s="3"/>
    </row>
    <row r="767" spans="1:20">
      <c r="A767" s="3">
        <v>3</v>
      </c>
      <c r="B767" s="3">
        <v>2</v>
      </c>
      <c r="C767" s="2">
        <v>25</v>
      </c>
      <c r="D767" s="2">
        <v>5</v>
      </c>
      <c r="E767" s="2">
        <v>16</v>
      </c>
      <c r="F767" s="17">
        <v>46</v>
      </c>
      <c r="H767" s="360">
        <v>0.40774352843032524</v>
      </c>
      <c r="I767" s="360">
        <v>0.37201816333554311</v>
      </c>
      <c r="K767" s="363"/>
      <c r="N767" s="10"/>
      <c r="O767" s="4"/>
      <c r="P767" s="4"/>
      <c r="Q767" s="3"/>
      <c r="R767" s="3"/>
      <c r="S767" s="3"/>
      <c r="T767" s="3"/>
    </row>
    <row r="768" spans="1:20">
      <c r="A768" s="3">
        <v>5</v>
      </c>
      <c r="B768" s="3">
        <v>2</v>
      </c>
      <c r="C768" s="2">
        <v>50</v>
      </c>
      <c r="D768" s="2">
        <v>5</v>
      </c>
      <c r="E768" s="2">
        <v>16</v>
      </c>
      <c r="F768" s="17">
        <v>46</v>
      </c>
      <c r="H768" s="360">
        <v>0.34358268340087766</v>
      </c>
      <c r="I768" s="359">
        <v>1.2356061038404057E-2</v>
      </c>
      <c r="K768" s="363"/>
      <c r="N768" s="10"/>
      <c r="O768" s="4"/>
      <c r="P768" s="4"/>
      <c r="Q768" s="3"/>
      <c r="R768" s="3"/>
      <c r="S768" s="3"/>
      <c r="T768" s="3"/>
    </row>
    <row r="769" spans="1:20">
      <c r="A769" s="3">
        <v>1</v>
      </c>
      <c r="B769" s="3">
        <v>2</v>
      </c>
      <c r="C769" s="2">
        <v>25</v>
      </c>
      <c r="D769" s="2">
        <v>5</v>
      </c>
      <c r="E769" s="2">
        <v>16</v>
      </c>
      <c r="F769" s="17">
        <v>46</v>
      </c>
      <c r="H769" s="360">
        <v>9.9065921161453852E-2</v>
      </c>
      <c r="I769" s="360">
        <v>-0.33816118898418163</v>
      </c>
      <c r="K769" s="363"/>
      <c r="N769" s="10"/>
      <c r="O769" s="4"/>
      <c r="P769" s="4"/>
      <c r="Q769" s="3"/>
      <c r="R769" s="3"/>
      <c r="S769" s="3"/>
      <c r="T769" s="3"/>
    </row>
    <row r="770" spans="1:20">
      <c r="A770" s="3">
        <v>4</v>
      </c>
      <c r="B770" s="3">
        <v>2</v>
      </c>
      <c r="C770" s="2">
        <v>50</v>
      </c>
      <c r="D770" s="2">
        <v>5</v>
      </c>
      <c r="E770" s="2">
        <v>16</v>
      </c>
      <c r="F770" s="17">
        <v>46</v>
      </c>
      <c r="H770" s="360">
        <v>0.93092378527294994</v>
      </c>
      <c r="I770" s="359">
        <v>-0.35057497591885955</v>
      </c>
      <c r="K770" s="363"/>
      <c r="N770" s="10"/>
      <c r="O770" s="4"/>
      <c r="P770" s="4"/>
      <c r="Q770" s="3"/>
      <c r="R770" s="3"/>
      <c r="S770" s="3"/>
      <c r="T770" s="3"/>
    </row>
    <row r="771" spans="1:20">
      <c r="A771" s="3">
        <v>3</v>
      </c>
      <c r="B771" s="3">
        <v>1</v>
      </c>
      <c r="C771" s="2">
        <v>25</v>
      </c>
      <c r="D771" s="2">
        <v>5</v>
      </c>
      <c r="E771" s="2">
        <v>16</v>
      </c>
      <c r="F771" s="17">
        <v>46</v>
      </c>
      <c r="H771" s="361">
        <v>0.48017954042102173</v>
      </c>
      <c r="I771" s="361">
        <v>-0.59039610465834202</v>
      </c>
      <c r="K771" s="363"/>
      <c r="N771" s="10"/>
      <c r="O771" s="4"/>
      <c r="P771" s="4"/>
      <c r="Q771" s="3"/>
      <c r="R771" s="3"/>
      <c r="S771" s="3"/>
      <c r="T771" s="3"/>
    </row>
    <row r="772" spans="1:20">
      <c r="A772" s="3">
        <v>3</v>
      </c>
      <c r="B772" s="3">
        <v>1</v>
      </c>
      <c r="C772" s="2">
        <v>25</v>
      </c>
      <c r="D772" s="2">
        <v>5</v>
      </c>
      <c r="E772" s="2">
        <v>1</v>
      </c>
      <c r="F772" s="17">
        <v>46</v>
      </c>
      <c r="H772" s="360">
        <v>0.2927433783909601</v>
      </c>
      <c r="I772" s="360">
        <v>-0.60307607174054423</v>
      </c>
      <c r="K772" s="363"/>
      <c r="N772" s="10"/>
      <c r="O772" s="4"/>
      <c r="P772" s="4"/>
      <c r="Q772" s="3"/>
      <c r="R772" s="3"/>
      <c r="S772" s="3"/>
      <c r="T772" s="3"/>
    </row>
    <row r="773" spans="1:20">
      <c r="A773" s="3">
        <v>1</v>
      </c>
      <c r="B773" s="3">
        <v>2</v>
      </c>
      <c r="C773" s="2">
        <v>25</v>
      </c>
      <c r="D773" s="2">
        <v>5</v>
      </c>
      <c r="E773" s="2">
        <v>1</v>
      </c>
      <c r="F773" s="17">
        <v>46</v>
      </c>
      <c r="H773" s="360">
        <v>2.6576281175528793E-2</v>
      </c>
      <c r="I773" s="360">
        <v>-0.60648648648648651</v>
      </c>
      <c r="K773" s="363"/>
      <c r="N773" s="10"/>
      <c r="O773" s="4"/>
      <c r="P773" s="4"/>
      <c r="Q773" s="3"/>
      <c r="R773" s="3"/>
      <c r="S773" s="3"/>
      <c r="T773" s="3"/>
    </row>
    <row r="774" spans="1:20">
      <c r="A774" s="3">
        <v>1</v>
      </c>
      <c r="B774" s="3">
        <v>1</v>
      </c>
      <c r="C774" s="2">
        <v>25</v>
      </c>
      <c r="D774" s="2">
        <v>5</v>
      </c>
      <c r="E774" s="2">
        <v>16</v>
      </c>
      <c r="F774" s="17">
        <v>46</v>
      </c>
      <c r="H774" s="360">
        <v>0.96736299214325971</v>
      </c>
      <c r="I774" s="360">
        <v>-0.67769776472938748</v>
      </c>
      <c r="K774" s="363"/>
      <c r="N774" s="10"/>
      <c r="O774" s="4"/>
      <c r="P774" s="4"/>
      <c r="Q774" s="3"/>
      <c r="R774" s="3"/>
      <c r="S774" s="3"/>
      <c r="T774" s="3"/>
    </row>
    <row r="775" spans="1:20">
      <c r="A775" s="3">
        <v>1</v>
      </c>
      <c r="B775" s="3">
        <v>2</v>
      </c>
      <c r="C775" s="2">
        <v>25</v>
      </c>
      <c r="D775" s="2">
        <v>30</v>
      </c>
      <c r="E775" s="2">
        <v>16</v>
      </c>
      <c r="F775" s="17">
        <v>46</v>
      </c>
      <c r="H775" s="360">
        <v>0.86412490986739043</v>
      </c>
      <c r="I775" s="360">
        <v>-0.68529384484860123</v>
      </c>
      <c r="K775" s="363"/>
      <c r="N775" s="10"/>
      <c r="O775" s="4"/>
      <c r="P775" s="4"/>
      <c r="Q775" s="3"/>
      <c r="R775" s="3"/>
      <c r="S775" s="3"/>
      <c r="T775" s="3"/>
    </row>
    <row r="776" spans="1:20">
      <c r="A776" s="3">
        <v>1</v>
      </c>
      <c r="B776" s="3">
        <v>1</v>
      </c>
      <c r="C776" s="2">
        <v>25</v>
      </c>
      <c r="D776" s="2">
        <v>30</v>
      </c>
      <c r="E776" s="2">
        <v>16</v>
      </c>
      <c r="F776" s="17">
        <v>46</v>
      </c>
      <c r="H776" s="360">
        <v>1</v>
      </c>
      <c r="I776" s="360">
        <v>-0.69298523132097278</v>
      </c>
      <c r="K776" s="363"/>
      <c r="N776" s="10"/>
      <c r="O776" s="4"/>
      <c r="P776" s="4"/>
      <c r="Q776" s="3"/>
      <c r="R776" s="3"/>
      <c r="S776" s="3"/>
      <c r="T776" s="3"/>
    </row>
    <row r="777" spans="1:20">
      <c r="A777" s="3">
        <v>1</v>
      </c>
      <c r="B777" s="3">
        <v>1</v>
      </c>
      <c r="C777" s="2">
        <v>25</v>
      </c>
      <c r="D777" s="2">
        <v>5</v>
      </c>
      <c r="E777" s="2">
        <v>1</v>
      </c>
      <c r="F777" s="17">
        <v>46</v>
      </c>
      <c r="H777" s="360">
        <v>0.82647241043737885</v>
      </c>
      <c r="I777" s="360">
        <v>-0.69839468790284442</v>
      </c>
      <c r="K777" s="363"/>
      <c r="N777" s="10"/>
      <c r="O777" s="4"/>
      <c r="P777" s="4"/>
      <c r="Q777" s="3"/>
      <c r="R777" s="3"/>
      <c r="S777" s="3"/>
      <c r="T777" s="3"/>
    </row>
    <row r="778" spans="1:20">
      <c r="A778" s="3">
        <v>2</v>
      </c>
      <c r="B778" s="3">
        <v>1</v>
      </c>
      <c r="C778" s="2">
        <v>25</v>
      </c>
      <c r="D778" s="2">
        <v>5</v>
      </c>
      <c r="E778" s="2">
        <v>16</v>
      </c>
      <c r="F778" s="17">
        <v>46</v>
      </c>
      <c r="H778" s="361">
        <v>1</v>
      </c>
      <c r="I778" s="361">
        <v>-0.80795793662071902</v>
      </c>
      <c r="K778" s="363"/>
      <c r="N778" s="10"/>
      <c r="O778" s="4"/>
      <c r="P778" s="4"/>
      <c r="Q778" s="3"/>
      <c r="R778" s="3"/>
      <c r="S778" s="3"/>
      <c r="T778" s="3"/>
    </row>
    <row r="779" spans="1:20">
      <c r="A779" s="3">
        <v>1</v>
      </c>
      <c r="B779" s="3">
        <v>2</v>
      </c>
      <c r="C779" s="2">
        <v>25</v>
      </c>
      <c r="D779" s="2">
        <v>5</v>
      </c>
      <c r="E779" s="2">
        <v>16</v>
      </c>
      <c r="F779" s="17">
        <v>46</v>
      </c>
      <c r="H779" s="361">
        <v>1</v>
      </c>
      <c r="I779" s="361">
        <v>-0.81932855963504547</v>
      </c>
      <c r="K779" s="363"/>
      <c r="N779" s="10"/>
      <c r="O779" s="4"/>
      <c r="P779" s="4"/>
      <c r="Q779" s="3"/>
      <c r="R779" s="3"/>
      <c r="S779" s="3"/>
      <c r="T779" s="3"/>
    </row>
    <row r="780" spans="1:20">
      <c r="A780" s="3">
        <v>3</v>
      </c>
      <c r="B780" s="3">
        <v>2</v>
      </c>
      <c r="C780" s="2">
        <v>25</v>
      </c>
      <c r="D780" s="2">
        <v>5</v>
      </c>
      <c r="E780" s="2">
        <v>1</v>
      </c>
      <c r="F780" s="17">
        <v>46</v>
      </c>
      <c r="H780" s="361">
        <v>0.85534540724538133</v>
      </c>
      <c r="I780" s="361">
        <v>-0.83650123199605542</v>
      </c>
      <c r="K780" s="363"/>
      <c r="N780" s="10"/>
      <c r="O780" s="4"/>
      <c r="P780" s="4"/>
      <c r="Q780" s="3"/>
      <c r="R780" s="3"/>
      <c r="S780" s="3"/>
      <c r="T780" s="3"/>
    </row>
    <row r="781" spans="1:20">
      <c r="A781" s="3">
        <v>2</v>
      </c>
      <c r="B781" s="3">
        <v>2</v>
      </c>
      <c r="C781" s="2">
        <v>25</v>
      </c>
      <c r="D781" s="2">
        <v>5</v>
      </c>
      <c r="E781" s="2">
        <v>1</v>
      </c>
      <c r="F781" s="17">
        <v>46</v>
      </c>
      <c r="H781" s="361">
        <v>1</v>
      </c>
      <c r="I781" s="361">
        <v>-0.83782601563781511</v>
      </c>
      <c r="K781" s="363"/>
      <c r="N781" s="10"/>
      <c r="O781" s="4"/>
      <c r="P781" s="4"/>
      <c r="Q781" s="3"/>
      <c r="R781" s="3"/>
      <c r="S781" s="3"/>
      <c r="T781" s="3"/>
    </row>
    <row r="782" spans="1:20">
      <c r="A782" s="3">
        <v>2</v>
      </c>
      <c r="B782" s="3">
        <v>1</v>
      </c>
      <c r="C782" s="2">
        <v>25</v>
      </c>
      <c r="D782" s="2">
        <v>5</v>
      </c>
      <c r="E782" s="2">
        <v>1</v>
      </c>
      <c r="F782" s="17">
        <v>46</v>
      </c>
      <c r="H782" s="360">
        <v>1</v>
      </c>
      <c r="I782" s="360">
        <v>-0.85232627959023999</v>
      </c>
      <c r="K782" s="363"/>
      <c r="N782" s="10"/>
      <c r="O782" s="4"/>
      <c r="P782" s="4"/>
      <c r="Q782" s="3"/>
      <c r="R782" s="3"/>
      <c r="S782" s="3"/>
      <c r="T782" s="3"/>
    </row>
    <row r="783" spans="1:20">
      <c r="A783" s="3">
        <v>2</v>
      </c>
      <c r="B783" s="3">
        <v>2</v>
      </c>
      <c r="C783" s="2">
        <v>25</v>
      </c>
      <c r="D783" s="2">
        <v>5</v>
      </c>
      <c r="E783" s="2">
        <v>16</v>
      </c>
      <c r="F783" s="17">
        <v>46</v>
      </c>
      <c r="H783" s="361">
        <v>1</v>
      </c>
      <c r="I783" s="361">
        <v>-0.86771241101653596</v>
      </c>
      <c r="K783" s="363"/>
      <c r="N783" s="10"/>
      <c r="O783" s="4"/>
      <c r="P783" s="4"/>
      <c r="Q783" s="3"/>
      <c r="R783" s="3"/>
      <c r="S783" s="3"/>
      <c r="T783" s="3"/>
    </row>
    <row r="784" spans="1:20">
      <c r="A784" s="3">
        <v>3</v>
      </c>
      <c r="B784" s="3">
        <v>1</v>
      </c>
      <c r="C784" s="2">
        <v>25</v>
      </c>
      <c r="D784" s="2">
        <v>5</v>
      </c>
      <c r="E784" s="2">
        <v>1</v>
      </c>
      <c r="F784" s="17">
        <v>47</v>
      </c>
      <c r="H784" s="360">
        <v>0.85148114183532697</v>
      </c>
      <c r="I784" s="360">
        <v>0.6597865362184091</v>
      </c>
      <c r="K784" s="363"/>
      <c r="N784" s="10"/>
      <c r="O784" s="4"/>
      <c r="P784" s="4"/>
      <c r="Q784" s="3"/>
      <c r="R784" s="3"/>
      <c r="S784" s="3"/>
      <c r="T784" s="3"/>
    </row>
    <row r="785" spans="1:20">
      <c r="A785" s="3">
        <v>3</v>
      </c>
      <c r="B785" s="3">
        <v>1</v>
      </c>
      <c r="C785" s="2">
        <v>25</v>
      </c>
      <c r="D785" s="2">
        <v>5</v>
      </c>
      <c r="E785" s="2">
        <v>16</v>
      </c>
      <c r="F785" s="17">
        <v>47</v>
      </c>
      <c r="H785" s="361">
        <v>1</v>
      </c>
      <c r="I785" s="361">
        <v>0.59857523620617914</v>
      </c>
      <c r="K785" s="363"/>
      <c r="N785" s="10"/>
      <c r="O785" s="4"/>
      <c r="P785" s="4"/>
      <c r="Q785" s="3"/>
      <c r="R785" s="3"/>
      <c r="S785" s="3"/>
      <c r="T785" s="3"/>
    </row>
    <row r="786" spans="1:20">
      <c r="A786" s="3">
        <v>1</v>
      </c>
      <c r="B786" s="3">
        <v>1</v>
      </c>
      <c r="C786" s="2">
        <v>25</v>
      </c>
      <c r="D786" s="2">
        <v>30</v>
      </c>
      <c r="E786" s="2">
        <v>16</v>
      </c>
      <c r="F786" s="17">
        <v>47</v>
      </c>
      <c r="H786" s="360">
        <v>1</v>
      </c>
      <c r="I786" s="360">
        <v>0.52955449362944151</v>
      </c>
      <c r="K786" s="363"/>
      <c r="N786" s="10"/>
      <c r="O786" s="4"/>
      <c r="P786" s="4"/>
      <c r="Q786" s="3"/>
      <c r="R786" s="3"/>
      <c r="S786" s="3"/>
      <c r="T786" s="3"/>
    </row>
    <row r="787" spans="1:20">
      <c r="A787" s="3">
        <v>2</v>
      </c>
      <c r="B787" s="3">
        <v>1</v>
      </c>
      <c r="C787" s="2">
        <v>25</v>
      </c>
      <c r="D787" s="2">
        <v>5</v>
      </c>
      <c r="E787" s="2">
        <v>16</v>
      </c>
      <c r="F787" s="17">
        <v>47</v>
      </c>
      <c r="H787" s="361">
        <v>1</v>
      </c>
      <c r="I787" s="361">
        <v>0.51176202514358327</v>
      </c>
      <c r="K787" s="363"/>
      <c r="N787" s="10"/>
      <c r="O787" s="4"/>
      <c r="P787" s="4"/>
      <c r="Q787" s="3"/>
      <c r="R787" s="3"/>
      <c r="S787" s="3"/>
      <c r="T787" s="3"/>
    </row>
    <row r="788" spans="1:20">
      <c r="A788" s="3">
        <v>2</v>
      </c>
      <c r="B788" s="3">
        <v>1</v>
      </c>
      <c r="C788" s="2">
        <v>25</v>
      </c>
      <c r="D788" s="2">
        <v>5</v>
      </c>
      <c r="E788" s="2">
        <v>1</v>
      </c>
      <c r="F788" s="17">
        <v>47</v>
      </c>
      <c r="H788" s="360">
        <v>1</v>
      </c>
      <c r="I788" s="360">
        <v>0.50129745509589008</v>
      </c>
      <c r="K788" s="363"/>
      <c r="N788" s="10"/>
      <c r="O788" s="4"/>
      <c r="P788" s="4"/>
      <c r="Q788" s="3"/>
      <c r="R788" s="3"/>
      <c r="S788" s="3"/>
      <c r="T788" s="3"/>
    </row>
    <row r="789" spans="1:20">
      <c r="A789" s="3">
        <v>1</v>
      </c>
      <c r="B789" s="3">
        <v>1</v>
      </c>
      <c r="C789" s="2">
        <v>25</v>
      </c>
      <c r="D789" s="2">
        <v>5</v>
      </c>
      <c r="E789" s="2">
        <v>1</v>
      </c>
      <c r="F789" s="17">
        <v>47</v>
      </c>
      <c r="H789" s="360">
        <v>1</v>
      </c>
      <c r="I789" s="360">
        <v>0.49332067910067129</v>
      </c>
      <c r="K789" s="363"/>
      <c r="N789" s="10"/>
      <c r="O789" s="4"/>
      <c r="P789" s="4"/>
      <c r="Q789" s="3"/>
      <c r="R789" s="3"/>
      <c r="S789" s="3"/>
      <c r="T789" s="3"/>
    </row>
    <row r="790" spans="1:20">
      <c r="A790" s="3">
        <v>3</v>
      </c>
      <c r="B790" s="3">
        <v>2</v>
      </c>
      <c r="C790" s="2">
        <v>25</v>
      </c>
      <c r="D790" s="2">
        <v>5</v>
      </c>
      <c r="E790" s="2">
        <v>16</v>
      </c>
      <c r="F790" s="17">
        <v>47</v>
      </c>
      <c r="H790" s="360">
        <v>0.12087227821757485</v>
      </c>
      <c r="I790" s="360">
        <v>0.48239948687661544</v>
      </c>
      <c r="K790" s="363"/>
      <c r="N790" s="10"/>
      <c r="O790" s="4"/>
      <c r="P790" s="4"/>
      <c r="Q790" s="3"/>
      <c r="R790" s="3"/>
      <c r="S790" s="3"/>
      <c r="T790" s="3"/>
    </row>
    <row r="791" spans="1:20">
      <c r="A791" s="3">
        <v>1</v>
      </c>
      <c r="B791" s="3">
        <v>1</v>
      </c>
      <c r="C791" s="2">
        <v>25</v>
      </c>
      <c r="D791" s="2">
        <v>5</v>
      </c>
      <c r="E791" s="2">
        <v>16</v>
      </c>
      <c r="F791" s="17">
        <v>47</v>
      </c>
      <c r="H791" s="360">
        <v>1</v>
      </c>
      <c r="I791" s="360">
        <v>0.4718876107897671</v>
      </c>
      <c r="K791" s="363"/>
      <c r="N791" s="10"/>
      <c r="O791" s="4"/>
      <c r="P791" s="4"/>
      <c r="Q791" s="3"/>
      <c r="R791" s="3"/>
      <c r="S791" s="3"/>
      <c r="T791" s="3"/>
    </row>
    <row r="792" spans="1:20">
      <c r="A792" s="3">
        <v>3</v>
      </c>
      <c r="B792" s="3">
        <v>2</v>
      </c>
      <c r="C792" s="2">
        <v>25</v>
      </c>
      <c r="D792" s="2">
        <v>5</v>
      </c>
      <c r="E792" s="2">
        <v>1</v>
      </c>
      <c r="F792" s="17">
        <v>47</v>
      </c>
      <c r="H792" s="361">
        <v>0.48268509364190093</v>
      </c>
      <c r="I792" s="361">
        <v>0.37416756596567935</v>
      </c>
      <c r="K792" s="363"/>
      <c r="N792" s="10"/>
      <c r="O792" s="4"/>
      <c r="P792" s="4"/>
      <c r="Q792" s="3"/>
      <c r="R792" s="3"/>
      <c r="S792" s="3"/>
      <c r="T792" s="3"/>
    </row>
    <row r="793" spans="1:20">
      <c r="A793" s="3">
        <v>2</v>
      </c>
      <c r="B793" s="3">
        <v>2</v>
      </c>
      <c r="C793" s="2">
        <v>25</v>
      </c>
      <c r="D793" s="2">
        <v>5</v>
      </c>
      <c r="E793" s="2">
        <v>16</v>
      </c>
      <c r="F793" s="17">
        <v>47</v>
      </c>
      <c r="H793" s="361">
        <v>1</v>
      </c>
      <c r="I793" s="361">
        <v>0.34471149901911535</v>
      </c>
      <c r="K793" s="363"/>
      <c r="N793" s="10"/>
      <c r="O793" s="4"/>
      <c r="P793" s="4"/>
      <c r="Q793" s="3"/>
      <c r="R793" s="3"/>
      <c r="S793" s="3"/>
      <c r="T793" s="3"/>
    </row>
    <row r="794" spans="1:20">
      <c r="A794" s="3">
        <v>2</v>
      </c>
      <c r="B794" s="3">
        <v>2</v>
      </c>
      <c r="C794" s="2">
        <v>25</v>
      </c>
      <c r="D794" s="2">
        <v>5</v>
      </c>
      <c r="E794" s="2">
        <v>1</v>
      </c>
      <c r="F794" s="17">
        <v>47</v>
      </c>
      <c r="H794" s="361">
        <v>0.77256199341766518</v>
      </c>
      <c r="I794" s="361">
        <v>0.32566819336984232</v>
      </c>
      <c r="K794" s="363"/>
      <c r="N794" s="10"/>
      <c r="O794" s="4"/>
      <c r="P794" s="4"/>
      <c r="Q794" s="3"/>
      <c r="R794" s="3"/>
      <c r="S794" s="3"/>
      <c r="T794" s="3"/>
    </row>
    <row r="795" spans="1:20">
      <c r="A795" s="3">
        <v>1</v>
      </c>
      <c r="B795" s="3">
        <v>2</v>
      </c>
      <c r="C795" s="2">
        <v>25</v>
      </c>
      <c r="D795" s="2">
        <v>30</v>
      </c>
      <c r="E795" s="2">
        <v>16</v>
      </c>
      <c r="F795" s="17">
        <v>47</v>
      </c>
      <c r="H795" s="360">
        <v>1</v>
      </c>
      <c r="I795" s="360">
        <v>0.32468244604915658</v>
      </c>
      <c r="K795" s="363"/>
      <c r="N795" s="10"/>
      <c r="O795" s="4"/>
      <c r="P795" s="4"/>
      <c r="Q795" s="3"/>
      <c r="R795" s="3"/>
      <c r="S795" s="3"/>
      <c r="T795" s="3"/>
    </row>
    <row r="796" spans="1:20">
      <c r="A796" s="3">
        <v>1</v>
      </c>
      <c r="B796" s="3">
        <v>2</v>
      </c>
      <c r="C796" s="2">
        <v>25</v>
      </c>
      <c r="D796" s="2">
        <v>5</v>
      </c>
      <c r="E796" s="2">
        <v>16</v>
      </c>
      <c r="F796" s="17">
        <v>47</v>
      </c>
      <c r="H796" s="360">
        <v>1</v>
      </c>
      <c r="I796" s="360">
        <v>0.26488842862626638</v>
      </c>
      <c r="K796" s="363"/>
      <c r="N796" s="10"/>
      <c r="O796" s="4"/>
      <c r="P796" s="4"/>
      <c r="Q796" s="3"/>
      <c r="R796" s="3"/>
      <c r="S796" s="3"/>
      <c r="T796" s="3"/>
    </row>
    <row r="797" spans="1:20">
      <c r="A797" s="3">
        <v>1</v>
      </c>
      <c r="B797" s="3">
        <v>2</v>
      </c>
      <c r="C797" s="2">
        <v>25</v>
      </c>
      <c r="D797" s="2">
        <v>5</v>
      </c>
      <c r="E797" s="2">
        <v>1</v>
      </c>
      <c r="F797" s="17">
        <v>47</v>
      </c>
      <c r="H797" s="360">
        <v>0.30644950727939624</v>
      </c>
      <c r="I797" s="360">
        <v>0.24667994671395663</v>
      </c>
      <c r="K797" s="363"/>
      <c r="N797" s="10"/>
      <c r="O797" s="4"/>
      <c r="P797" s="4"/>
      <c r="Q797" s="3"/>
      <c r="R797" s="3"/>
      <c r="S797" s="3"/>
      <c r="T797" s="3"/>
    </row>
    <row r="798" spans="1:20">
      <c r="A798" s="3">
        <v>1</v>
      </c>
      <c r="B798" s="3">
        <v>2</v>
      </c>
      <c r="C798" s="2">
        <v>25</v>
      </c>
      <c r="D798" s="2">
        <v>5</v>
      </c>
      <c r="E798" s="2">
        <v>16</v>
      </c>
      <c r="F798" s="17">
        <v>47</v>
      </c>
      <c r="H798" s="361">
        <v>0.86659691637409497</v>
      </c>
      <c r="I798" s="361">
        <v>0.18913668833882402</v>
      </c>
      <c r="K798" s="363"/>
      <c r="N798" s="10"/>
      <c r="O798" s="4"/>
      <c r="P798" s="4"/>
      <c r="Q798" s="3"/>
      <c r="R798" s="3"/>
      <c r="S798" s="3"/>
      <c r="T798" s="3"/>
    </row>
    <row r="799" spans="1:20">
      <c r="A799" s="3">
        <v>5</v>
      </c>
      <c r="B799" s="3">
        <v>2</v>
      </c>
      <c r="C799" s="2">
        <v>50</v>
      </c>
      <c r="D799" s="2">
        <v>5</v>
      </c>
      <c r="E799" s="2">
        <v>16</v>
      </c>
      <c r="F799" s="17">
        <v>47</v>
      </c>
      <c r="H799" s="360">
        <v>0.44737558204959504</v>
      </c>
      <c r="I799" s="359">
        <v>9.970122735996274E-3</v>
      </c>
      <c r="K799" s="363"/>
      <c r="N799" s="10"/>
      <c r="O799" s="4"/>
      <c r="P799" s="4"/>
      <c r="Q799" s="3"/>
      <c r="R799" s="3"/>
      <c r="S799" s="3"/>
      <c r="T799" s="3"/>
    </row>
    <row r="800" spans="1:20">
      <c r="A800" s="3">
        <v>4</v>
      </c>
      <c r="B800" s="3">
        <v>2</v>
      </c>
      <c r="C800" s="2">
        <v>50</v>
      </c>
      <c r="D800" s="2">
        <v>5</v>
      </c>
      <c r="E800" s="2">
        <v>16</v>
      </c>
      <c r="F800" s="17">
        <v>47</v>
      </c>
      <c r="H800" s="360">
        <v>0.92553542439383407</v>
      </c>
      <c r="I800" s="359">
        <v>-0.35236630084251508</v>
      </c>
      <c r="K800" s="363"/>
      <c r="N800" s="10"/>
      <c r="O800" s="4"/>
      <c r="P800" s="4"/>
      <c r="Q800" s="3"/>
      <c r="R800" s="3"/>
      <c r="S800" s="3"/>
      <c r="T800" s="3"/>
    </row>
    <row r="801" spans="1:20">
      <c r="A801" s="3">
        <v>3</v>
      </c>
      <c r="B801" s="3">
        <v>2</v>
      </c>
      <c r="C801" s="2">
        <v>25</v>
      </c>
      <c r="D801" s="2">
        <v>5</v>
      </c>
      <c r="E801" s="2">
        <v>16</v>
      </c>
      <c r="F801" s="17">
        <v>48</v>
      </c>
      <c r="H801" s="360">
        <v>1</v>
      </c>
      <c r="I801" s="360">
        <v>0.51803824922915997</v>
      </c>
      <c r="K801" s="363"/>
      <c r="N801" s="10"/>
      <c r="O801" s="4"/>
      <c r="P801" s="4"/>
      <c r="Q801" s="3"/>
      <c r="R801" s="3"/>
      <c r="S801" s="3"/>
      <c r="T801" s="3"/>
    </row>
    <row r="802" spans="1:20">
      <c r="A802" s="3">
        <v>3</v>
      </c>
      <c r="B802" s="3">
        <v>2</v>
      </c>
      <c r="C802" s="2">
        <v>25</v>
      </c>
      <c r="D802" s="2">
        <v>5</v>
      </c>
      <c r="E802" s="2">
        <v>1</v>
      </c>
      <c r="F802" s="17">
        <v>48</v>
      </c>
      <c r="H802" s="361">
        <v>1</v>
      </c>
      <c r="I802" s="361">
        <v>0.49807232711304844</v>
      </c>
      <c r="K802" s="363"/>
      <c r="N802" s="10"/>
      <c r="O802" s="4"/>
      <c r="P802" s="4"/>
      <c r="Q802" s="3"/>
      <c r="R802" s="3"/>
      <c r="S802" s="3"/>
      <c r="T802" s="3"/>
    </row>
    <row r="803" spans="1:20">
      <c r="A803" s="3">
        <v>3</v>
      </c>
      <c r="B803" s="3">
        <v>1</v>
      </c>
      <c r="C803" s="2">
        <v>25</v>
      </c>
      <c r="D803" s="2">
        <v>5</v>
      </c>
      <c r="E803" s="2">
        <v>16</v>
      </c>
      <c r="F803" s="17">
        <v>48</v>
      </c>
      <c r="H803" s="361">
        <v>1</v>
      </c>
      <c r="I803" s="361">
        <v>0.45098907815269651</v>
      </c>
      <c r="K803" s="363"/>
      <c r="N803" s="10"/>
      <c r="O803" s="4"/>
      <c r="P803" s="4"/>
      <c r="Q803" s="3"/>
      <c r="R803" s="3"/>
      <c r="S803" s="3"/>
      <c r="T803" s="3"/>
    </row>
    <row r="804" spans="1:20">
      <c r="A804" s="3">
        <v>3</v>
      </c>
      <c r="B804" s="3">
        <v>1</v>
      </c>
      <c r="C804" s="2">
        <v>25</v>
      </c>
      <c r="D804" s="2">
        <v>5</v>
      </c>
      <c r="E804" s="2">
        <v>1</v>
      </c>
      <c r="F804" s="17">
        <v>48</v>
      </c>
      <c r="H804" s="360">
        <v>1</v>
      </c>
      <c r="I804" s="360">
        <v>0.4431261798719055</v>
      </c>
      <c r="K804" s="363"/>
      <c r="N804" s="10"/>
      <c r="O804" s="4"/>
      <c r="P804" s="4"/>
      <c r="Q804" s="3"/>
      <c r="R804" s="3"/>
      <c r="S804" s="3"/>
      <c r="T804" s="3"/>
    </row>
    <row r="805" spans="1:20">
      <c r="A805" s="3">
        <v>2</v>
      </c>
      <c r="B805" s="3">
        <v>1</v>
      </c>
      <c r="C805" s="2">
        <v>25</v>
      </c>
      <c r="D805" s="2">
        <v>5</v>
      </c>
      <c r="E805" s="2">
        <v>1</v>
      </c>
      <c r="F805" s="17">
        <v>48</v>
      </c>
      <c r="H805" s="360">
        <v>1</v>
      </c>
      <c r="I805" s="360">
        <v>0.3321387421900272</v>
      </c>
      <c r="K805" s="363"/>
      <c r="N805" s="10"/>
      <c r="O805" s="4"/>
      <c r="P805" s="4"/>
      <c r="Q805" s="3"/>
      <c r="R805" s="3"/>
      <c r="S805" s="3"/>
      <c r="T805" s="3"/>
    </row>
    <row r="806" spans="1:20">
      <c r="A806" s="3">
        <v>2</v>
      </c>
      <c r="B806" s="3">
        <v>2</v>
      </c>
      <c r="C806" s="2">
        <v>25</v>
      </c>
      <c r="D806" s="2">
        <v>5</v>
      </c>
      <c r="E806" s="2">
        <v>16</v>
      </c>
      <c r="F806" s="17">
        <v>48</v>
      </c>
      <c r="H806" s="361">
        <v>1</v>
      </c>
      <c r="I806" s="361">
        <v>0.32743606821905208</v>
      </c>
      <c r="K806" s="363"/>
      <c r="N806" s="10"/>
      <c r="O806" s="4"/>
      <c r="P806" s="4"/>
      <c r="Q806" s="3"/>
      <c r="R806" s="3"/>
      <c r="S806" s="3"/>
      <c r="T806" s="3"/>
    </row>
    <row r="807" spans="1:20">
      <c r="A807" s="3">
        <v>2</v>
      </c>
      <c r="B807" s="3">
        <v>2</v>
      </c>
      <c r="C807" s="2">
        <v>25</v>
      </c>
      <c r="D807" s="2">
        <v>5</v>
      </c>
      <c r="E807" s="2">
        <v>1</v>
      </c>
      <c r="F807" s="17">
        <v>48</v>
      </c>
      <c r="H807" s="361">
        <v>1</v>
      </c>
      <c r="I807" s="361">
        <v>0.3219379909337442</v>
      </c>
      <c r="K807" s="363"/>
      <c r="N807" s="10"/>
      <c r="O807" s="4"/>
      <c r="P807" s="4"/>
      <c r="Q807" s="3"/>
      <c r="R807" s="3"/>
      <c r="S807" s="3"/>
      <c r="T807" s="3"/>
    </row>
    <row r="808" spans="1:20">
      <c r="A808" s="3">
        <v>2</v>
      </c>
      <c r="B808" s="3">
        <v>1</v>
      </c>
      <c r="C808" s="2">
        <v>25</v>
      </c>
      <c r="D808" s="2">
        <v>5</v>
      </c>
      <c r="E808" s="2">
        <v>16</v>
      </c>
      <c r="F808" s="17">
        <v>48</v>
      </c>
      <c r="H808" s="361">
        <v>1</v>
      </c>
      <c r="I808" s="361">
        <v>0.31664167829420414</v>
      </c>
      <c r="K808" s="363"/>
      <c r="N808" s="10"/>
      <c r="O808" s="4"/>
      <c r="P808" s="4"/>
      <c r="Q808" s="3"/>
      <c r="R808" s="3"/>
      <c r="S808" s="3"/>
      <c r="T808" s="3"/>
    </row>
    <row r="809" spans="1:20">
      <c r="A809" s="3">
        <v>1</v>
      </c>
      <c r="B809" s="3">
        <v>2</v>
      </c>
      <c r="C809" s="2">
        <v>25</v>
      </c>
      <c r="D809" s="2">
        <v>5</v>
      </c>
      <c r="E809" s="2">
        <v>16</v>
      </c>
      <c r="F809" s="17">
        <v>48</v>
      </c>
      <c r="H809" s="361">
        <v>1</v>
      </c>
      <c r="I809" s="361">
        <v>0.28476674658251411</v>
      </c>
      <c r="K809" s="363"/>
      <c r="N809" s="10"/>
      <c r="O809" s="4"/>
      <c r="P809" s="4"/>
      <c r="Q809" s="3"/>
      <c r="R809" s="3"/>
      <c r="S809" s="3"/>
      <c r="T809" s="3"/>
    </row>
    <row r="810" spans="1:20">
      <c r="A810" s="3">
        <v>1</v>
      </c>
      <c r="B810" s="3">
        <v>2</v>
      </c>
      <c r="C810" s="2">
        <v>25</v>
      </c>
      <c r="D810" s="2">
        <v>5</v>
      </c>
      <c r="E810" s="2">
        <v>1</v>
      </c>
      <c r="F810" s="17">
        <v>48</v>
      </c>
      <c r="H810" s="360">
        <v>1</v>
      </c>
      <c r="I810" s="360">
        <v>0.25717145165247685</v>
      </c>
      <c r="K810" s="363"/>
      <c r="N810" s="10"/>
      <c r="O810" s="4"/>
      <c r="P810" s="4"/>
      <c r="Q810" s="3"/>
      <c r="R810" s="3"/>
      <c r="S810" s="3"/>
      <c r="T810" s="3"/>
    </row>
    <row r="811" spans="1:20">
      <c r="A811" s="3">
        <v>1</v>
      </c>
      <c r="B811" s="3">
        <v>1</v>
      </c>
      <c r="C811" s="2">
        <v>25</v>
      </c>
      <c r="D811" s="2">
        <v>30</v>
      </c>
      <c r="E811" s="2">
        <v>16</v>
      </c>
      <c r="F811" s="17">
        <v>48</v>
      </c>
      <c r="H811" s="360">
        <v>1</v>
      </c>
      <c r="I811" s="360">
        <v>0.24879870736844756</v>
      </c>
      <c r="K811" s="363"/>
      <c r="N811" s="10"/>
      <c r="O811" s="4"/>
      <c r="P811" s="4"/>
      <c r="Q811" s="3"/>
      <c r="R811" s="3"/>
      <c r="S811" s="3"/>
      <c r="T811" s="3"/>
    </row>
    <row r="812" spans="1:20">
      <c r="A812" s="3">
        <v>1</v>
      </c>
      <c r="B812" s="3">
        <v>2</v>
      </c>
      <c r="C812" s="2">
        <v>25</v>
      </c>
      <c r="D812" s="2">
        <v>30</v>
      </c>
      <c r="E812" s="2">
        <v>16</v>
      </c>
      <c r="F812" s="17">
        <v>48</v>
      </c>
      <c r="H812" s="360">
        <v>1</v>
      </c>
      <c r="I812" s="360">
        <v>0.2485993855581495</v>
      </c>
      <c r="K812" s="363"/>
      <c r="N812" s="10"/>
      <c r="O812" s="4"/>
      <c r="P812" s="4"/>
      <c r="Q812" s="3"/>
      <c r="R812" s="3"/>
      <c r="S812" s="3"/>
      <c r="T812" s="3"/>
    </row>
    <row r="813" spans="1:20">
      <c r="A813" s="3">
        <v>1</v>
      </c>
      <c r="B813" s="3">
        <v>1</v>
      </c>
      <c r="C813" s="2">
        <v>25</v>
      </c>
      <c r="D813" s="2">
        <v>5</v>
      </c>
      <c r="E813" s="2">
        <v>1</v>
      </c>
      <c r="F813" s="17">
        <v>48</v>
      </c>
      <c r="H813" s="360">
        <v>1</v>
      </c>
      <c r="I813" s="360">
        <v>0.24696681308353644</v>
      </c>
      <c r="K813" s="363"/>
      <c r="N813" s="10"/>
      <c r="O813" s="4"/>
      <c r="P813" s="4"/>
      <c r="Q813" s="3"/>
      <c r="R813" s="3"/>
      <c r="S813" s="3"/>
      <c r="T813" s="3"/>
    </row>
    <row r="814" spans="1:20">
      <c r="A814" s="3">
        <v>1</v>
      </c>
      <c r="B814" s="3">
        <v>2</v>
      </c>
      <c r="C814" s="2">
        <v>25</v>
      </c>
      <c r="D814" s="2">
        <v>5</v>
      </c>
      <c r="E814" s="2">
        <v>16</v>
      </c>
      <c r="F814" s="17">
        <v>48</v>
      </c>
      <c r="H814" s="360">
        <v>1</v>
      </c>
      <c r="I814" s="360">
        <v>0.24120756343875555</v>
      </c>
      <c r="K814" s="363"/>
      <c r="N814" s="10"/>
      <c r="O814" s="4"/>
      <c r="P814" s="4"/>
      <c r="Q814" s="3"/>
      <c r="R814" s="3"/>
      <c r="S814" s="3"/>
      <c r="T814" s="3"/>
    </row>
    <row r="815" spans="1:20">
      <c r="A815" s="3">
        <v>1</v>
      </c>
      <c r="B815" s="3">
        <v>1</v>
      </c>
      <c r="C815" s="2">
        <v>25</v>
      </c>
      <c r="D815" s="2">
        <v>5</v>
      </c>
      <c r="E815" s="2">
        <v>16</v>
      </c>
      <c r="F815" s="17">
        <v>48</v>
      </c>
      <c r="H815" s="360">
        <v>1</v>
      </c>
      <c r="I815" s="360">
        <v>0.21162815826722747</v>
      </c>
      <c r="K815" s="363"/>
      <c r="N815" s="10"/>
      <c r="O815" s="4"/>
      <c r="P815" s="4"/>
      <c r="Q815" s="3"/>
      <c r="R815" s="3"/>
      <c r="S815" s="3"/>
      <c r="T815" s="3"/>
    </row>
    <row r="816" spans="1:20">
      <c r="A816" s="3">
        <v>4</v>
      </c>
      <c r="B816" s="3">
        <v>2</v>
      </c>
      <c r="C816" s="2">
        <v>50</v>
      </c>
      <c r="D816" s="2">
        <v>5</v>
      </c>
      <c r="E816" s="2">
        <v>16</v>
      </c>
      <c r="F816" s="17">
        <v>48</v>
      </c>
      <c r="H816" s="360">
        <v>0.65714367344791214</v>
      </c>
      <c r="I816" s="359">
        <v>7.6172675397664438E-2</v>
      </c>
      <c r="K816" s="363"/>
      <c r="N816" s="10"/>
      <c r="O816" s="4"/>
      <c r="P816" s="4"/>
      <c r="Q816" s="3"/>
      <c r="R816" s="3"/>
      <c r="S816" s="3"/>
      <c r="T816" s="3"/>
    </row>
    <row r="817" spans="1:20">
      <c r="A817" s="3">
        <v>5</v>
      </c>
      <c r="B817" s="3">
        <v>2</v>
      </c>
      <c r="C817" s="2">
        <v>50</v>
      </c>
      <c r="D817" s="2">
        <v>5</v>
      </c>
      <c r="E817" s="2">
        <v>16</v>
      </c>
      <c r="F817" s="17">
        <v>48</v>
      </c>
      <c r="H817" s="360">
        <v>0.76192989814809264</v>
      </c>
      <c r="I817" s="359">
        <v>-0.18719399832235792</v>
      </c>
      <c r="K817" s="363"/>
      <c r="N817" s="10"/>
      <c r="O817" s="4"/>
      <c r="P817" s="4"/>
      <c r="Q817" s="3"/>
      <c r="R817" s="3"/>
      <c r="S817" s="3"/>
      <c r="T817" s="3"/>
    </row>
    <row r="818" spans="1:20">
      <c r="A818" s="3">
        <v>1</v>
      </c>
      <c r="B818" s="3">
        <v>2</v>
      </c>
      <c r="C818" s="2">
        <v>25</v>
      </c>
      <c r="D818" s="2">
        <v>5</v>
      </c>
      <c r="E818" s="2">
        <v>16</v>
      </c>
      <c r="F818" s="17">
        <v>49</v>
      </c>
      <c r="H818" s="361">
        <v>1</v>
      </c>
      <c r="I818" s="361">
        <v>0.86397498833265984</v>
      </c>
      <c r="K818" s="363"/>
      <c r="N818" s="10"/>
      <c r="O818" s="4"/>
      <c r="P818" s="4"/>
      <c r="Q818" s="3"/>
      <c r="R818" s="3"/>
      <c r="S818" s="3"/>
      <c r="T818" s="3"/>
    </row>
    <row r="819" spans="1:20">
      <c r="A819" s="3">
        <v>1</v>
      </c>
      <c r="B819" s="3">
        <v>2</v>
      </c>
      <c r="C819" s="2">
        <v>25</v>
      </c>
      <c r="D819" s="2">
        <v>5</v>
      </c>
      <c r="E819" s="2">
        <v>16</v>
      </c>
      <c r="F819" s="17">
        <v>49</v>
      </c>
      <c r="H819" s="360">
        <v>1</v>
      </c>
      <c r="I819" s="360">
        <v>0.85912693706221421</v>
      </c>
      <c r="K819" s="363"/>
      <c r="N819" s="10"/>
      <c r="O819" s="4"/>
      <c r="P819" s="4"/>
      <c r="Q819" s="3"/>
      <c r="R819" s="3"/>
      <c r="S819" s="3"/>
      <c r="T819" s="3"/>
    </row>
    <row r="820" spans="1:20">
      <c r="A820" s="3">
        <v>1</v>
      </c>
      <c r="B820" s="3">
        <v>1</v>
      </c>
      <c r="C820" s="2">
        <v>25</v>
      </c>
      <c r="D820" s="2">
        <v>5</v>
      </c>
      <c r="E820" s="2">
        <v>1</v>
      </c>
      <c r="F820" s="17">
        <v>49</v>
      </c>
      <c r="H820" s="360">
        <v>1</v>
      </c>
      <c r="I820" s="360">
        <v>0.8536861835780265</v>
      </c>
      <c r="K820" s="363"/>
      <c r="N820" s="10"/>
      <c r="O820" s="4"/>
      <c r="P820" s="4"/>
      <c r="Q820" s="3"/>
      <c r="R820" s="3"/>
      <c r="S820" s="3"/>
      <c r="T820" s="3"/>
    </row>
    <row r="821" spans="1:20">
      <c r="A821" s="3">
        <v>1</v>
      </c>
      <c r="B821" s="3">
        <v>2</v>
      </c>
      <c r="C821" s="2">
        <v>25</v>
      </c>
      <c r="D821" s="2">
        <v>5</v>
      </c>
      <c r="E821" s="2">
        <v>1</v>
      </c>
      <c r="F821" s="17">
        <v>49</v>
      </c>
      <c r="H821" s="360">
        <v>1</v>
      </c>
      <c r="I821" s="360">
        <v>0.8506515634189793</v>
      </c>
      <c r="K821" s="363"/>
      <c r="N821" s="10"/>
      <c r="O821" s="4"/>
      <c r="P821" s="4"/>
      <c r="Q821" s="3"/>
      <c r="R821" s="3"/>
      <c r="S821" s="3"/>
      <c r="T821" s="3"/>
    </row>
    <row r="822" spans="1:20">
      <c r="A822" s="3">
        <v>2</v>
      </c>
      <c r="B822" s="3">
        <v>2</v>
      </c>
      <c r="C822" s="2">
        <v>25</v>
      </c>
      <c r="D822" s="2">
        <v>5</v>
      </c>
      <c r="E822" s="2">
        <v>1</v>
      </c>
      <c r="F822" s="17">
        <v>49</v>
      </c>
      <c r="H822" s="361">
        <v>1</v>
      </c>
      <c r="I822" s="361">
        <v>0.84797689779931618</v>
      </c>
      <c r="K822" s="363"/>
      <c r="N822" s="10"/>
      <c r="O822" s="4"/>
      <c r="P822" s="4"/>
      <c r="Q822" s="3"/>
      <c r="R822" s="3"/>
      <c r="S822" s="3"/>
      <c r="T822" s="3"/>
    </row>
    <row r="823" spans="1:20">
      <c r="A823" s="3">
        <v>1</v>
      </c>
      <c r="B823" s="3">
        <v>1</v>
      </c>
      <c r="C823" s="2">
        <v>25</v>
      </c>
      <c r="D823" s="2">
        <v>5</v>
      </c>
      <c r="E823" s="2">
        <v>16</v>
      </c>
      <c r="F823" s="17">
        <v>49</v>
      </c>
      <c r="H823" s="360">
        <v>1</v>
      </c>
      <c r="I823" s="360">
        <v>0.83455787625729316</v>
      </c>
      <c r="K823" s="363"/>
      <c r="N823" s="10"/>
      <c r="O823" s="4"/>
      <c r="P823" s="4"/>
      <c r="Q823" s="3"/>
      <c r="R823" s="3"/>
      <c r="S823" s="3"/>
      <c r="T823" s="3"/>
    </row>
    <row r="824" spans="1:20">
      <c r="A824" s="3">
        <v>2</v>
      </c>
      <c r="B824" s="3">
        <v>2</v>
      </c>
      <c r="C824" s="2">
        <v>25</v>
      </c>
      <c r="D824" s="2">
        <v>5</v>
      </c>
      <c r="E824" s="2">
        <v>16</v>
      </c>
      <c r="F824" s="17">
        <v>49</v>
      </c>
      <c r="H824" s="361">
        <v>1</v>
      </c>
      <c r="I824" s="361">
        <v>0.83187313463627988</v>
      </c>
      <c r="K824" s="363"/>
      <c r="N824" s="10"/>
      <c r="O824" s="4"/>
      <c r="P824" s="4"/>
      <c r="Q824" s="3"/>
      <c r="R824" s="3"/>
      <c r="S824" s="3"/>
      <c r="T824" s="3"/>
    </row>
    <row r="825" spans="1:20">
      <c r="A825" s="3">
        <v>1</v>
      </c>
      <c r="B825" s="3">
        <v>1</v>
      </c>
      <c r="C825" s="2">
        <v>25</v>
      </c>
      <c r="D825" s="2">
        <v>30</v>
      </c>
      <c r="E825" s="2">
        <v>16</v>
      </c>
      <c r="F825" s="17">
        <v>49</v>
      </c>
      <c r="H825" s="360">
        <v>1</v>
      </c>
      <c r="I825" s="360">
        <v>0.8192429968855256</v>
      </c>
      <c r="K825" s="363"/>
      <c r="N825" s="10"/>
      <c r="O825" s="4"/>
      <c r="P825" s="4"/>
      <c r="Q825" s="3"/>
      <c r="R825" s="3"/>
      <c r="S825" s="3"/>
      <c r="T825" s="3"/>
    </row>
    <row r="826" spans="1:20">
      <c r="A826" s="3">
        <v>2</v>
      </c>
      <c r="B826" s="3">
        <v>1</v>
      </c>
      <c r="C826" s="2">
        <v>25</v>
      </c>
      <c r="D826" s="2">
        <v>5</v>
      </c>
      <c r="E826" s="2">
        <v>16</v>
      </c>
      <c r="F826" s="17">
        <v>49</v>
      </c>
      <c r="H826" s="361">
        <v>1</v>
      </c>
      <c r="I826" s="361">
        <v>0.81499701038212757</v>
      </c>
      <c r="K826" s="363"/>
      <c r="N826" s="10"/>
      <c r="O826" s="4"/>
      <c r="P826" s="4"/>
      <c r="Q826" s="3"/>
      <c r="R826" s="3"/>
      <c r="S826" s="3"/>
      <c r="T826" s="3"/>
    </row>
    <row r="827" spans="1:20">
      <c r="A827" s="3">
        <v>3</v>
      </c>
      <c r="B827" s="3">
        <v>2</v>
      </c>
      <c r="C827" s="2">
        <v>25</v>
      </c>
      <c r="D827" s="2">
        <v>5</v>
      </c>
      <c r="E827" s="2">
        <v>16</v>
      </c>
      <c r="F827" s="17">
        <v>49</v>
      </c>
      <c r="H827" s="360">
        <v>1</v>
      </c>
      <c r="I827" s="360">
        <v>0.80618484645698552</v>
      </c>
      <c r="K827" s="363"/>
      <c r="N827" s="10"/>
      <c r="O827" s="4"/>
      <c r="P827" s="4"/>
      <c r="Q827" s="3"/>
      <c r="R827" s="3"/>
      <c r="S827" s="3"/>
      <c r="T827" s="3"/>
    </row>
    <row r="828" spans="1:20">
      <c r="A828" s="3">
        <v>3</v>
      </c>
      <c r="B828" s="3">
        <v>2</v>
      </c>
      <c r="C828" s="2">
        <v>25</v>
      </c>
      <c r="D828" s="2">
        <v>5</v>
      </c>
      <c r="E828" s="2">
        <v>1</v>
      </c>
      <c r="F828" s="17">
        <v>49</v>
      </c>
      <c r="H828" s="361">
        <v>1</v>
      </c>
      <c r="I828" s="361">
        <v>0.79384402467683957</v>
      </c>
      <c r="K828" s="363"/>
      <c r="N828" s="10"/>
      <c r="O828" s="4"/>
      <c r="P828" s="4"/>
      <c r="Q828" s="3"/>
      <c r="R828" s="3"/>
      <c r="S828" s="3"/>
      <c r="T828" s="3"/>
    </row>
    <row r="829" spans="1:20">
      <c r="A829" s="3">
        <v>1</v>
      </c>
      <c r="B829" s="3">
        <v>2</v>
      </c>
      <c r="C829" s="2">
        <v>25</v>
      </c>
      <c r="D829" s="2">
        <v>30</v>
      </c>
      <c r="E829" s="2">
        <v>16</v>
      </c>
      <c r="F829" s="17">
        <v>49</v>
      </c>
      <c r="H829" s="360">
        <v>1</v>
      </c>
      <c r="I829" s="360">
        <v>0.77428125547771032</v>
      </c>
      <c r="K829" s="363"/>
      <c r="N829" s="10"/>
      <c r="O829" s="4"/>
      <c r="P829" s="4"/>
      <c r="Q829" s="3"/>
      <c r="R829" s="3"/>
      <c r="S829" s="3"/>
      <c r="T829" s="3"/>
    </row>
    <row r="830" spans="1:20">
      <c r="A830" s="3">
        <v>2</v>
      </c>
      <c r="B830" s="3">
        <v>1</v>
      </c>
      <c r="C830" s="2">
        <v>25</v>
      </c>
      <c r="D830" s="2">
        <v>5</v>
      </c>
      <c r="E830" s="2">
        <v>1</v>
      </c>
      <c r="F830" s="17">
        <v>49</v>
      </c>
      <c r="H830" s="360">
        <v>1</v>
      </c>
      <c r="I830" s="360">
        <v>0.75747020785964236</v>
      </c>
      <c r="K830" s="363"/>
      <c r="N830" s="10"/>
      <c r="O830" s="4"/>
      <c r="P830" s="4"/>
      <c r="Q830" s="3"/>
      <c r="R830" s="3"/>
      <c r="S830" s="3"/>
      <c r="T830" s="3"/>
    </row>
    <row r="831" spans="1:20">
      <c r="A831" s="3">
        <v>3</v>
      </c>
      <c r="B831" s="3">
        <v>1</v>
      </c>
      <c r="C831" s="2">
        <v>25</v>
      </c>
      <c r="D831" s="2">
        <v>5</v>
      </c>
      <c r="E831" s="2">
        <v>1</v>
      </c>
      <c r="F831" s="17">
        <v>49</v>
      </c>
      <c r="H831" s="360">
        <v>0.96977967107461249</v>
      </c>
      <c r="I831" s="360">
        <v>0.693927685607587</v>
      </c>
      <c r="K831" s="363"/>
      <c r="N831" s="10"/>
      <c r="O831" s="4"/>
      <c r="P831" s="4"/>
      <c r="Q831" s="3"/>
      <c r="R831" s="3"/>
      <c r="S831" s="3"/>
      <c r="T831" s="3"/>
    </row>
    <row r="832" spans="1:20">
      <c r="A832" s="3">
        <v>3</v>
      </c>
      <c r="B832" s="3">
        <v>1</v>
      </c>
      <c r="C832" s="2">
        <v>25</v>
      </c>
      <c r="D832" s="2">
        <v>5</v>
      </c>
      <c r="E832" s="2">
        <v>16</v>
      </c>
      <c r="F832" s="17">
        <v>49</v>
      </c>
      <c r="H832" s="361">
        <v>1</v>
      </c>
      <c r="I832" s="361">
        <v>0.68650347584230176</v>
      </c>
      <c r="K832" s="363"/>
      <c r="N832" s="10"/>
      <c r="O832" s="4"/>
      <c r="P832" s="4"/>
      <c r="Q832" s="3"/>
      <c r="R832" s="3"/>
      <c r="S832" s="3"/>
      <c r="T832" s="3"/>
    </row>
    <row r="833" spans="1:20">
      <c r="A833" s="3">
        <v>4</v>
      </c>
      <c r="B833" s="3">
        <v>2</v>
      </c>
      <c r="C833" s="2">
        <v>50</v>
      </c>
      <c r="D833" s="2">
        <v>5</v>
      </c>
      <c r="E833" s="2">
        <v>16</v>
      </c>
      <c r="F833" s="17">
        <v>49</v>
      </c>
      <c r="H833" s="360">
        <v>0.83771077925762827</v>
      </c>
      <c r="I833" s="359">
        <v>0.13968532243656698</v>
      </c>
      <c r="K833" s="363"/>
      <c r="N833" s="10"/>
      <c r="O833" s="4"/>
      <c r="P833" s="4"/>
      <c r="Q833" s="3"/>
      <c r="R833" s="3"/>
      <c r="S833" s="3"/>
      <c r="T833" s="3"/>
    </row>
    <row r="834" spans="1:20">
      <c r="A834" s="3">
        <v>5</v>
      </c>
      <c r="B834" s="3">
        <v>2</v>
      </c>
      <c r="C834" s="2">
        <v>50</v>
      </c>
      <c r="D834" s="2">
        <v>5</v>
      </c>
      <c r="E834" s="2">
        <v>16</v>
      </c>
      <c r="F834" s="17">
        <v>49</v>
      </c>
      <c r="H834" s="360">
        <v>0.61640922231376249</v>
      </c>
      <c r="I834" s="359">
        <v>-0.17782071087365542</v>
      </c>
      <c r="K834" s="363"/>
      <c r="N834" s="10"/>
      <c r="O834" s="4"/>
      <c r="P834" s="4"/>
      <c r="Q834" s="3"/>
      <c r="R834" s="3"/>
      <c r="S834" s="3"/>
      <c r="T834" s="3"/>
    </row>
    <row r="835" spans="1:20">
      <c r="A835" s="3">
        <v>5</v>
      </c>
      <c r="B835" s="3">
        <v>2</v>
      </c>
      <c r="C835" s="2">
        <v>50</v>
      </c>
      <c r="D835" s="2">
        <v>5</v>
      </c>
      <c r="E835" s="2">
        <v>16</v>
      </c>
      <c r="F835" s="17">
        <v>50</v>
      </c>
      <c r="H835" s="360">
        <v>0.2912046977698961</v>
      </c>
      <c r="I835" s="359">
        <v>0.13853206754688727</v>
      </c>
      <c r="K835" s="363"/>
      <c r="N835" s="10"/>
      <c r="O835" s="4"/>
      <c r="P835" s="4"/>
      <c r="Q835" s="3"/>
      <c r="R835" s="3"/>
      <c r="S835" s="3"/>
      <c r="T835" s="3"/>
    </row>
    <row r="836" spans="1:20">
      <c r="A836" s="3">
        <v>4</v>
      </c>
      <c r="B836" s="3">
        <v>2</v>
      </c>
      <c r="C836" s="2">
        <v>50</v>
      </c>
      <c r="D836" s="2">
        <v>5</v>
      </c>
      <c r="E836" s="2">
        <v>16</v>
      </c>
      <c r="F836" s="17">
        <v>50</v>
      </c>
      <c r="H836" s="360">
        <v>0.47844214393937823</v>
      </c>
      <c r="I836" s="359">
        <v>-0.19592102199584752</v>
      </c>
      <c r="K836" s="363"/>
      <c r="N836" s="10"/>
      <c r="O836" s="4"/>
      <c r="P836" s="4"/>
      <c r="Q836" s="3"/>
      <c r="R836" s="3"/>
      <c r="S836" s="3"/>
      <c r="T836" s="3"/>
    </row>
    <row r="837" spans="1:20">
      <c r="A837" s="3">
        <v>3</v>
      </c>
      <c r="B837" s="3">
        <v>2</v>
      </c>
      <c r="C837" s="2">
        <v>25</v>
      </c>
      <c r="D837" s="2">
        <v>5</v>
      </c>
      <c r="E837" s="2">
        <v>16</v>
      </c>
      <c r="F837" s="17">
        <v>50</v>
      </c>
      <c r="H837" s="360">
        <v>0.34155590435836292</v>
      </c>
      <c r="I837" s="360">
        <v>-0.23802631875424776</v>
      </c>
      <c r="K837" s="363"/>
      <c r="N837" s="10"/>
      <c r="O837" s="4"/>
      <c r="P837" s="4"/>
      <c r="Q837" s="3"/>
      <c r="R837" s="3"/>
      <c r="S837" s="3"/>
      <c r="T837" s="3"/>
    </row>
    <row r="838" spans="1:20">
      <c r="A838" s="3">
        <v>1</v>
      </c>
      <c r="B838" s="3">
        <v>2</v>
      </c>
      <c r="C838" s="2">
        <v>25</v>
      </c>
      <c r="D838" s="2">
        <v>5</v>
      </c>
      <c r="E838" s="2">
        <v>16</v>
      </c>
      <c r="F838" s="17">
        <v>50</v>
      </c>
      <c r="H838" s="360">
        <v>0.11761645925982678</v>
      </c>
      <c r="I838" s="360">
        <v>-0.26357177112999136</v>
      </c>
      <c r="K838" s="363"/>
      <c r="N838" s="10"/>
      <c r="O838" s="4"/>
      <c r="P838" s="4"/>
      <c r="Q838" s="3"/>
      <c r="R838" s="3"/>
      <c r="S838" s="3"/>
      <c r="T838" s="3"/>
    </row>
    <row r="839" spans="1:20">
      <c r="A839" s="3">
        <v>3</v>
      </c>
      <c r="B839" s="3">
        <v>1</v>
      </c>
      <c r="C839" s="2">
        <v>25</v>
      </c>
      <c r="D839" s="2">
        <v>5</v>
      </c>
      <c r="E839" s="2">
        <v>1</v>
      </c>
      <c r="F839" s="17">
        <v>50</v>
      </c>
      <c r="H839" s="360">
        <v>0.15438673102402589</v>
      </c>
      <c r="I839" s="360">
        <v>-0.41677133222931051</v>
      </c>
      <c r="K839" s="363"/>
      <c r="N839" s="10"/>
      <c r="O839" s="4"/>
      <c r="P839" s="4"/>
      <c r="Q839" s="3"/>
      <c r="R839" s="3"/>
      <c r="S839" s="3"/>
      <c r="T839" s="3"/>
    </row>
    <row r="840" spans="1:20">
      <c r="A840" s="3">
        <v>3</v>
      </c>
      <c r="B840" s="3">
        <v>1</v>
      </c>
      <c r="C840" s="2">
        <v>25</v>
      </c>
      <c r="D840" s="2">
        <v>5</v>
      </c>
      <c r="E840" s="2">
        <v>16</v>
      </c>
      <c r="F840" s="17">
        <v>50</v>
      </c>
      <c r="H840" s="361">
        <v>0.17880920488881824</v>
      </c>
      <c r="I840" s="361">
        <v>-0.43909817730328166</v>
      </c>
      <c r="K840" s="363"/>
      <c r="N840" s="10"/>
      <c r="O840" s="4"/>
      <c r="P840" s="4"/>
      <c r="Q840" s="3"/>
      <c r="R840" s="3"/>
      <c r="S840" s="3"/>
      <c r="T840" s="3"/>
    </row>
    <row r="841" spans="1:20">
      <c r="A841" s="3">
        <v>1</v>
      </c>
      <c r="B841" s="3">
        <v>2</v>
      </c>
      <c r="C841" s="2">
        <v>25</v>
      </c>
      <c r="D841" s="2">
        <v>5</v>
      </c>
      <c r="E841" s="2">
        <v>1</v>
      </c>
      <c r="F841" s="17">
        <v>50</v>
      </c>
      <c r="H841" s="360">
        <v>0.22072940315678735</v>
      </c>
      <c r="I841" s="360">
        <v>-0.67392799402177339</v>
      </c>
      <c r="K841" s="363"/>
      <c r="N841" s="10"/>
      <c r="O841" s="4"/>
      <c r="P841" s="4"/>
      <c r="Q841" s="3"/>
      <c r="R841" s="3"/>
      <c r="S841" s="3"/>
      <c r="T841" s="3"/>
    </row>
    <row r="842" spans="1:20">
      <c r="A842" s="3">
        <v>1</v>
      </c>
      <c r="B842" s="3">
        <v>1</v>
      </c>
      <c r="C842" s="2">
        <v>25</v>
      </c>
      <c r="D842" s="2">
        <v>5</v>
      </c>
      <c r="E842" s="2">
        <v>16</v>
      </c>
      <c r="F842" s="17">
        <v>50</v>
      </c>
      <c r="H842" s="360">
        <v>0.91657443696648999</v>
      </c>
      <c r="I842" s="360">
        <v>-0.68266623873124754</v>
      </c>
      <c r="K842" s="363"/>
      <c r="N842" s="10"/>
      <c r="O842" s="4"/>
      <c r="P842" s="4"/>
      <c r="Q842" s="3"/>
      <c r="R842" s="3"/>
      <c r="S842" s="3"/>
      <c r="T842" s="3"/>
    </row>
    <row r="843" spans="1:20">
      <c r="A843" s="3">
        <v>1</v>
      </c>
      <c r="B843" s="3">
        <v>1</v>
      </c>
      <c r="C843" s="2">
        <v>25</v>
      </c>
      <c r="D843" s="2">
        <v>5</v>
      </c>
      <c r="E843" s="2">
        <v>1</v>
      </c>
      <c r="F843" s="17">
        <v>50</v>
      </c>
      <c r="H843" s="360">
        <v>0.77714888362455015</v>
      </c>
      <c r="I843" s="360">
        <v>-0.72162855772487455</v>
      </c>
      <c r="K843" s="363"/>
      <c r="N843" s="10"/>
      <c r="O843" s="4"/>
      <c r="P843" s="4"/>
      <c r="Q843" s="3"/>
      <c r="R843" s="3"/>
      <c r="S843" s="3"/>
      <c r="T843" s="3"/>
    </row>
    <row r="844" spans="1:20">
      <c r="A844" s="3">
        <v>1</v>
      </c>
      <c r="B844" s="3">
        <v>1</v>
      </c>
      <c r="C844" s="2">
        <v>25</v>
      </c>
      <c r="D844" s="2">
        <v>30</v>
      </c>
      <c r="E844" s="2">
        <v>16</v>
      </c>
      <c r="F844" s="17">
        <v>50</v>
      </c>
      <c r="H844" s="360">
        <v>0.99047916145563575</v>
      </c>
      <c r="I844" s="360">
        <v>-0.72401673106905162</v>
      </c>
      <c r="K844" s="363"/>
      <c r="N844" s="10"/>
      <c r="O844" s="4"/>
      <c r="P844" s="4"/>
      <c r="Q844" s="3"/>
      <c r="R844" s="3"/>
      <c r="S844" s="3"/>
      <c r="T844" s="3"/>
    </row>
    <row r="845" spans="1:20">
      <c r="A845" s="3">
        <v>3</v>
      </c>
      <c r="B845" s="3">
        <v>2</v>
      </c>
      <c r="C845" s="2">
        <v>25</v>
      </c>
      <c r="D845" s="2">
        <v>5</v>
      </c>
      <c r="E845" s="2">
        <v>1</v>
      </c>
      <c r="F845" s="17">
        <v>50</v>
      </c>
      <c r="H845" s="361">
        <v>1</v>
      </c>
      <c r="I845" s="361">
        <v>-0.73086370528072042</v>
      </c>
      <c r="K845" s="363"/>
      <c r="N845" s="10"/>
      <c r="O845" s="4"/>
      <c r="P845" s="4"/>
      <c r="Q845" s="3"/>
      <c r="R845" s="3"/>
      <c r="S845" s="3"/>
      <c r="T845" s="3"/>
    </row>
    <row r="846" spans="1:20">
      <c r="A846" s="3">
        <v>2</v>
      </c>
      <c r="B846" s="3">
        <v>1</v>
      </c>
      <c r="C846" s="2">
        <v>25</v>
      </c>
      <c r="D846" s="2">
        <v>5</v>
      </c>
      <c r="E846" s="2">
        <v>1</v>
      </c>
      <c r="F846" s="17">
        <v>50</v>
      </c>
      <c r="H846" s="360">
        <v>1</v>
      </c>
      <c r="I846" s="360">
        <v>-0.85705819604124689</v>
      </c>
      <c r="K846" s="363"/>
      <c r="N846" s="10"/>
      <c r="O846" s="4"/>
      <c r="P846" s="4"/>
      <c r="Q846" s="3"/>
      <c r="R846" s="3"/>
      <c r="S846" s="3"/>
      <c r="T846" s="3"/>
    </row>
    <row r="847" spans="1:20">
      <c r="A847" s="3">
        <v>2</v>
      </c>
      <c r="B847" s="3">
        <v>1</v>
      </c>
      <c r="C847" s="2">
        <v>25</v>
      </c>
      <c r="D847" s="2">
        <v>5</v>
      </c>
      <c r="E847" s="2">
        <v>16</v>
      </c>
      <c r="F847" s="17">
        <v>50</v>
      </c>
      <c r="H847" s="361">
        <v>1</v>
      </c>
      <c r="I847" s="361">
        <v>-0.86300946602623518</v>
      </c>
      <c r="K847" s="363"/>
      <c r="N847" s="10"/>
      <c r="O847" s="4"/>
      <c r="P847" s="4"/>
      <c r="Q847" s="3"/>
      <c r="R847" s="3"/>
      <c r="S847" s="3"/>
      <c r="T847" s="3"/>
    </row>
    <row r="848" spans="1:20">
      <c r="A848" s="3">
        <v>1</v>
      </c>
      <c r="B848" s="3">
        <v>2</v>
      </c>
      <c r="C848" s="2">
        <v>25</v>
      </c>
      <c r="D848" s="2">
        <v>30</v>
      </c>
      <c r="E848" s="2">
        <v>16</v>
      </c>
      <c r="F848" s="17">
        <v>50</v>
      </c>
      <c r="H848" s="360">
        <v>1</v>
      </c>
      <c r="I848" s="360">
        <v>-0.90546999653760307</v>
      </c>
      <c r="K848" s="363"/>
      <c r="N848" s="10"/>
      <c r="O848" s="4"/>
      <c r="P848" s="4"/>
      <c r="Q848" s="3"/>
      <c r="R848" s="3"/>
      <c r="S848" s="3"/>
      <c r="T848" s="3"/>
    </row>
    <row r="849" spans="1:20">
      <c r="A849" s="3">
        <v>1</v>
      </c>
      <c r="B849" s="3">
        <v>2</v>
      </c>
      <c r="C849" s="2">
        <v>25</v>
      </c>
      <c r="D849" s="2">
        <v>5</v>
      </c>
      <c r="E849" s="2">
        <v>16</v>
      </c>
      <c r="F849" s="17">
        <v>50</v>
      </c>
      <c r="H849" s="361">
        <v>1</v>
      </c>
      <c r="I849" s="361">
        <v>-0.90939891807800222</v>
      </c>
      <c r="K849" s="363"/>
      <c r="N849" s="10"/>
      <c r="O849" s="4"/>
      <c r="P849" s="4"/>
      <c r="Q849" s="3"/>
      <c r="R849" s="3"/>
      <c r="S849" s="3"/>
      <c r="T849" s="3"/>
    </row>
    <row r="850" spans="1:20">
      <c r="A850" s="3">
        <v>2</v>
      </c>
      <c r="B850" s="3">
        <v>2</v>
      </c>
      <c r="C850" s="2">
        <v>25</v>
      </c>
      <c r="D850" s="2">
        <v>5</v>
      </c>
      <c r="E850" s="2">
        <v>1</v>
      </c>
      <c r="F850" s="17">
        <v>50</v>
      </c>
      <c r="H850" s="361">
        <v>1</v>
      </c>
      <c r="I850" s="361">
        <v>-1</v>
      </c>
      <c r="K850" s="363"/>
      <c r="N850" s="10"/>
      <c r="O850" s="4"/>
      <c r="P850" s="4"/>
      <c r="Q850" s="3"/>
      <c r="R850" s="3"/>
      <c r="S850" s="3"/>
      <c r="T850" s="3"/>
    </row>
    <row r="851" spans="1:20">
      <c r="A851" s="3">
        <v>2</v>
      </c>
      <c r="B851" s="3">
        <v>2</v>
      </c>
      <c r="C851" s="2">
        <v>25</v>
      </c>
      <c r="D851" s="2">
        <v>5</v>
      </c>
      <c r="E851" s="2">
        <v>16</v>
      </c>
      <c r="F851" s="17">
        <v>50</v>
      </c>
      <c r="H851" s="361">
        <v>1</v>
      </c>
      <c r="I851" s="361">
        <v>-1</v>
      </c>
      <c r="K851" s="363"/>
      <c r="N851" s="10"/>
      <c r="O851" s="4"/>
      <c r="P851" s="4"/>
      <c r="Q851" s="3"/>
      <c r="R851" s="3"/>
      <c r="S851" s="3"/>
      <c r="T851" s="3"/>
    </row>
    <row r="852" spans="1:20">
      <c r="A852" s="3">
        <v>1</v>
      </c>
      <c r="B852" s="3">
        <v>2</v>
      </c>
      <c r="C852" s="2">
        <v>25</v>
      </c>
      <c r="D852" s="2">
        <v>5</v>
      </c>
      <c r="E852" s="2">
        <v>1</v>
      </c>
      <c r="F852" s="17">
        <v>51</v>
      </c>
      <c r="H852" s="360">
        <v>1</v>
      </c>
      <c r="I852" s="360">
        <v>0.94102031378318818</v>
      </c>
      <c r="K852" s="363"/>
      <c r="N852" s="10"/>
      <c r="O852" s="4"/>
      <c r="P852" s="4"/>
      <c r="Q852" s="3"/>
      <c r="R852" s="3"/>
      <c r="S852" s="3"/>
      <c r="T852" s="3"/>
    </row>
    <row r="853" spans="1:20">
      <c r="A853" s="3">
        <v>1</v>
      </c>
      <c r="B853" s="3">
        <v>1</v>
      </c>
      <c r="C853" s="2">
        <v>25</v>
      </c>
      <c r="D853" s="2">
        <v>5</v>
      </c>
      <c r="E853" s="2">
        <v>1</v>
      </c>
      <c r="F853" s="17">
        <v>51</v>
      </c>
      <c r="H853" s="360">
        <v>1</v>
      </c>
      <c r="I853" s="360">
        <v>0.93809941447791245</v>
      </c>
      <c r="K853" s="363"/>
      <c r="N853" s="10"/>
      <c r="O853" s="4"/>
      <c r="P853" s="4"/>
      <c r="Q853" s="3"/>
      <c r="R853" s="3"/>
      <c r="S853" s="3"/>
      <c r="T853" s="3"/>
    </row>
    <row r="854" spans="1:20">
      <c r="A854" s="3">
        <v>1</v>
      </c>
      <c r="B854" s="3">
        <v>2</v>
      </c>
      <c r="C854" s="2">
        <v>25</v>
      </c>
      <c r="D854" s="2">
        <v>5</v>
      </c>
      <c r="E854" s="2">
        <v>16</v>
      </c>
      <c r="F854" s="17">
        <v>51</v>
      </c>
      <c r="H854" s="360">
        <v>1</v>
      </c>
      <c r="I854" s="360">
        <v>0.93270974688683217</v>
      </c>
      <c r="K854" s="363"/>
      <c r="N854" s="10"/>
      <c r="O854" s="4"/>
      <c r="P854" s="4"/>
      <c r="Q854" s="3"/>
      <c r="R854" s="3"/>
      <c r="S854" s="3"/>
      <c r="T854" s="3"/>
    </row>
    <row r="855" spans="1:20">
      <c r="A855" s="3">
        <v>1</v>
      </c>
      <c r="B855" s="3">
        <v>2</v>
      </c>
      <c r="C855" s="2">
        <v>25</v>
      </c>
      <c r="D855" s="2">
        <v>5</v>
      </c>
      <c r="E855" s="2">
        <v>16</v>
      </c>
      <c r="F855" s="17">
        <v>51</v>
      </c>
      <c r="H855" s="361">
        <v>1</v>
      </c>
      <c r="I855" s="361">
        <v>0.92833205630744309</v>
      </c>
      <c r="K855" s="363"/>
      <c r="N855" s="10"/>
      <c r="O855" s="4"/>
      <c r="P855" s="4"/>
      <c r="Q855" s="3"/>
      <c r="R855" s="3"/>
      <c r="S855" s="3"/>
      <c r="T855" s="3"/>
    </row>
    <row r="856" spans="1:20">
      <c r="A856" s="3">
        <v>1</v>
      </c>
      <c r="B856" s="3">
        <v>1</v>
      </c>
      <c r="C856" s="2">
        <v>25</v>
      </c>
      <c r="D856" s="2">
        <v>5</v>
      </c>
      <c r="E856" s="2">
        <v>16</v>
      </c>
      <c r="F856" s="17">
        <v>51</v>
      </c>
      <c r="H856" s="360">
        <v>1</v>
      </c>
      <c r="I856" s="360">
        <v>0.91067009226168261</v>
      </c>
      <c r="K856" s="363"/>
      <c r="N856" s="10"/>
      <c r="O856" s="4"/>
      <c r="P856" s="4"/>
      <c r="Q856" s="3"/>
      <c r="R856" s="3"/>
      <c r="S856" s="3"/>
      <c r="T856" s="3"/>
    </row>
    <row r="857" spans="1:20">
      <c r="A857" s="3">
        <v>3</v>
      </c>
      <c r="B857" s="3">
        <v>2</v>
      </c>
      <c r="C857" s="2">
        <v>25</v>
      </c>
      <c r="D857" s="2">
        <v>5</v>
      </c>
      <c r="E857" s="2">
        <v>1</v>
      </c>
      <c r="F857" s="17">
        <v>51</v>
      </c>
      <c r="H857" s="361">
        <v>1</v>
      </c>
      <c r="I857" s="361">
        <v>0.8742204049602692</v>
      </c>
      <c r="K857" s="363"/>
      <c r="N857" s="10"/>
      <c r="O857" s="4"/>
      <c r="P857" s="4"/>
      <c r="Q857" s="3"/>
      <c r="R857" s="3"/>
      <c r="S857" s="3"/>
      <c r="T857" s="3"/>
    </row>
    <row r="858" spans="1:20">
      <c r="A858" s="3">
        <v>1</v>
      </c>
      <c r="B858" s="3">
        <v>1</v>
      </c>
      <c r="C858" s="2">
        <v>25</v>
      </c>
      <c r="D858" s="2">
        <v>30</v>
      </c>
      <c r="E858" s="2">
        <v>16</v>
      </c>
      <c r="F858" s="17">
        <v>51</v>
      </c>
      <c r="H858" s="360">
        <v>1</v>
      </c>
      <c r="I858" s="360">
        <v>0.86149373263718787</v>
      </c>
      <c r="K858" s="363"/>
      <c r="N858" s="10"/>
      <c r="O858" s="4"/>
      <c r="P858" s="4"/>
      <c r="Q858" s="3"/>
      <c r="R858" s="3"/>
      <c r="S858" s="3"/>
      <c r="T858" s="3"/>
    </row>
    <row r="859" spans="1:20">
      <c r="A859" s="3">
        <v>3</v>
      </c>
      <c r="B859" s="3">
        <v>2</v>
      </c>
      <c r="C859" s="2">
        <v>25</v>
      </c>
      <c r="D859" s="2">
        <v>5</v>
      </c>
      <c r="E859" s="2">
        <v>16</v>
      </c>
      <c r="F859" s="17">
        <v>51</v>
      </c>
      <c r="H859" s="360">
        <v>1</v>
      </c>
      <c r="I859" s="360">
        <v>0.84597054407236127</v>
      </c>
      <c r="K859" s="363"/>
      <c r="N859" s="10"/>
      <c r="O859" s="4"/>
      <c r="P859" s="4"/>
      <c r="Q859" s="3"/>
      <c r="R859" s="3"/>
      <c r="S859" s="3"/>
      <c r="T859" s="3"/>
    </row>
    <row r="860" spans="1:20">
      <c r="A860" s="3">
        <v>2</v>
      </c>
      <c r="B860" s="3">
        <v>1</v>
      </c>
      <c r="C860" s="2">
        <v>25</v>
      </c>
      <c r="D860" s="2">
        <v>5</v>
      </c>
      <c r="E860" s="2">
        <v>16</v>
      </c>
      <c r="F860" s="17">
        <v>51</v>
      </c>
      <c r="H860" s="361">
        <v>1</v>
      </c>
      <c r="I860" s="361">
        <v>0.80833917309039949</v>
      </c>
      <c r="K860" s="363"/>
      <c r="N860" s="10"/>
      <c r="O860" s="4"/>
      <c r="P860" s="4"/>
      <c r="Q860" s="3"/>
      <c r="R860" s="3"/>
      <c r="S860" s="3"/>
      <c r="T860" s="3"/>
    </row>
    <row r="861" spans="1:20">
      <c r="A861" s="3">
        <v>2</v>
      </c>
      <c r="B861" s="3">
        <v>1</v>
      </c>
      <c r="C861" s="2">
        <v>25</v>
      </c>
      <c r="D861" s="2">
        <v>5</v>
      </c>
      <c r="E861" s="2">
        <v>1</v>
      </c>
      <c r="F861" s="17">
        <v>51</v>
      </c>
      <c r="H861" s="360">
        <v>1</v>
      </c>
      <c r="I861" s="360">
        <v>0.78750125927667147</v>
      </c>
      <c r="K861" s="363"/>
      <c r="N861" s="10"/>
      <c r="O861" s="4"/>
      <c r="P861" s="4"/>
      <c r="Q861" s="3"/>
      <c r="R861" s="3"/>
      <c r="S861" s="3"/>
      <c r="T861" s="3"/>
    </row>
    <row r="862" spans="1:20">
      <c r="A862" s="3">
        <v>2</v>
      </c>
      <c r="B862" s="3">
        <v>2</v>
      </c>
      <c r="C862" s="2">
        <v>25</v>
      </c>
      <c r="D862" s="2">
        <v>5</v>
      </c>
      <c r="E862" s="2">
        <v>16</v>
      </c>
      <c r="F862" s="17">
        <v>51</v>
      </c>
      <c r="H862" s="361">
        <v>1</v>
      </c>
      <c r="I862" s="361">
        <v>0.76747090720770117</v>
      </c>
      <c r="K862" s="363"/>
      <c r="N862" s="10"/>
      <c r="O862" s="4"/>
      <c r="P862" s="4"/>
      <c r="Q862" s="3"/>
      <c r="R862" s="3"/>
      <c r="S862" s="3"/>
      <c r="T862" s="3"/>
    </row>
    <row r="863" spans="1:20">
      <c r="A863" s="3">
        <v>1</v>
      </c>
      <c r="B863" s="3">
        <v>2</v>
      </c>
      <c r="C863" s="2">
        <v>25</v>
      </c>
      <c r="D863" s="2">
        <v>30</v>
      </c>
      <c r="E863" s="2">
        <v>16</v>
      </c>
      <c r="F863" s="17">
        <v>51</v>
      </c>
      <c r="H863" s="360">
        <v>1</v>
      </c>
      <c r="I863" s="360">
        <v>0.75683165911599137</v>
      </c>
      <c r="K863" s="363"/>
      <c r="N863" s="10"/>
      <c r="O863" s="4"/>
      <c r="P863" s="4"/>
      <c r="Q863" s="3"/>
      <c r="R863" s="3"/>
      <c r="S863" s="3"/>
      <c r="T863" s="3"/>
    </row>
    <row r="864" spans="1:20">
      <c r="A864" s="3">
        <v>2</v>
      </c>
      <c r="B864" s="3">
        <v>2</v>
      </c>
      <c r="C864" s="2">
        <v>25</v>
      </c>
      <c r="D864" s="2">
        <v>5</v>
      </c>
      <c r="E864" s="2">
        <v>1</v>
      </c>
      <c r="F864" s="17">
        <v>51</v>
      </c>
      <c r="H864" s="361">
        <v>1</v>
      </c>
      <c r="I864" s="361">
        <v>0.74663652661937796</v>
      </c>
      <c r="K864" s="363"/>
      <c r="N864" s="10"/>
      <c r="O864" s="4"/>
      <c r="P864" s="4"/>
      <c r="Q864" s="3"/>
      <c r="R864" s="3"/>
      <c r="S864" s="3"/>
      <c r="T864" s="3"/>
    </row>
    <row r="865" spans="1:20">
      <c r="A865" s="3">
        <v>3</v>
      </c>
      <c r="B865" s="3">
        <v>1</v>
      </c>
      <c r="C865" s="2">
        <v>25</v>
      </c>
      <c r="D865" s="2">
        <v>5</v>
      </c>
      <c r="E865" s="2">
        <v>1</v>
      </c>
      <c r="F865" s="17">
        <v>51</v>
      </c>
      <c r="H865" s="360">
        <v>0.12082225371652799</v>
      </c>
      <c r="I865" s="360">
        <v>0.73766982918253132</v>
      </c>
      <c r="K865" s="363"/>
      <c r="N865" s="10"/>
      <c r="O865" s="4"/>
      <c r="P865" s="4"/>
      <c r="Q865" s="3"/>
      <c r="R865" s="3"/>
      <c r="S865" s="3"/>
      <c r="T865" s="3"/>
    </row>
    <row r="866" spans="1:20">
      <c r="A866" s="3">
        <v>3</v>
      </c>
      <c r="B866" s="3">
        <v>1</v>
      </c>
      <c r="C866" s="2">
        <v>25</v>
      </c>
      <c r="D866" s="2">
        <v>5</v>
      </c>
      <c r="E866" s="2">
        <v>16</v>
      </c>
      <c r="F866" s="17">
        <v>51</v>
      </c>
      <c r="H866" s="361">
        <v>0.43104535993445681</v>
      </c>
      <c r="I866" s="361">
        <v>0.60565097111464339</v>
      </c>
      <c r="K866" s="363"/>
      <c r="N866" s="10"/>
      <c r="O866" s="4"/>
      <c r="P866" s="4"/>
      <c r="Q866" s="3"/>
      <c r="R866" s="3"/>
      <c r="S866" s="3"/>
      <c r="T866" s="3"/>
    </row>
    <row r="867" spans="1:20">
      <c r="A867" s="3">
        <v>4</v>
      </c>
      <c r="B867" s="3">
        <v>2</v>
      </c>
      <c r="C867" s="2">
        <v>50</v>
      </c>
      <c r="D867" s="2">
        <v>5</v>
      </c>
      <c r="E867" s="2">
        <v>16</v>
      </c>
      <c r="F867" s="17">
        <v>51</v>
      </c>
      <c r="H867" s="360">
        <v>1</v>
      </c>
      <c r="I867" s="359">
        <v>4.6437561570463713E-2</v>
      </c>
      <c r="K867" s="363"/>
      <c r="N867" s="10"/>
      <c r="O867" s="4"/>
      <c r="P867" s="4"/>
      <c r="Q867" s="3"/>
      <c r="R867" s="3"/>
      <c r="S867" s="3"/>
      <c r="T867" s="3"/>
    </row>
    <row r="868" spans="1:20">
      <c r="A868" s="3">
        <v>5</v>
      </c>
      <c r="B868" s="3">
        <v>2</v>
      </c>
      <c r="C868" s="2">
        <v>50</v>
      </c>
      <c r="D868" s="2">
        <v>5</v>
      </c>
      <c r="E868" s="2">
        <v>16</v>
      </c>
      <c r="F868" s="17">
        <v>51</v>
      </c>
      <c r="H868" s="360">
        <v>0.99930236806925465</v>
      </c>
      <c r="I868" s="359">
        <v>-0.14860124118270432</v>
      </c>
      <c r="K868" s="363"/>
      <c r="N868" s="10"/>
      <c r="O868" s="4"/>
      <c r="P868" s="4"/>
      <c r="Q868" s="3"/>
      <c r="R868" s="3"/>
      <c r="S868" s="3"/>
      <c r="T868" s="3"/>
    </row>
    <row r="869" spans="1:20">
      <c r="A869" s="3">
        <v>2</v>
      </c>
      <c r="B869" s="3">
        <v>1</v>
      </c>
      <c r="C869" s="2">
        <v>25</v>
      </c>
      <c r="D869" s="2">
        <v>5</v>
      </c>
      <c r="E869" s="2">
        <v>16</v>
      </c>
      <c r="F869" s="17">
        <v>52</v>
      </c>
      <c r="H869" s="361">
        <v>1</v>
      </c>
      <c r="I869" s="361">
        <v>0.56092272030508084</v>
      </c>
      <c r="K869" s="363"/>
      <c r="N869" s="10"/>
      <c r="O869" s="4"/>
      <c r="P869" s="4"/>
      <c r="Q869" s="3"/>
      <c r="R869" s="3"/>
      <c r="S869" s="3"/>
      <c r="T869" s="3"/>
    </row>
    <row r="870" spans="1:20">
      <c r="A870" s="3">
        <v>2</v>
      </c>
      <c r="B870" s="3">
        <v>2</v>
      </c>
      <c r="C870" s="2">
        <v>25</v>
      </c>
      <c r="D870" s="2">
        <v>5</v>
      </c>
      <c r="E870" s="2">
        <v>16</v>
      </c>
      <c r="F870" s="17">
        <v>52</v>
      </c>
      <c r="H870" s="361">
        <v>1</v>
      </c>
      <c r="I870" s="361">
        <v>0.55617259440203271</v>
      </c>
      <c r="K870" s="363"/>
      <c r="N870" s="10"/>
      <c r="O870" s="4"/>
      <c r="P870" s="4"/>
      <c r="Q870" s="3"/>
      <c r="R870" s="3"/>
      <c r="S870" s="3"/>
      <c r="T870" s="3"/>
    </row>
    <row r="871" spans="1:20">
      <c r="A871" s="3">
        <v>2</v>
      </c>
      <c r="B871" s="3">
        <v>1</v>
      </c>
      <c r="C871" s="2">
        <v>25</v>
      </c>
      <c r="D871" s="2">
        <v>5</v>
      </c>
      <c r="E871" s="2">
        <v>1</v>
      </c>
      <c r="F871" s="17">
        <v>52</v>
      </c>
      <c r="H871" s="360">
        <v>1</v>
      </c>
      <c r="I871" s="360">
        <v>0.55201298502655127</v>
      </c>
      <c r="K871" s="363"/>
      <c r="N871" s="10"/>
      <c r="O871" s="4"/>
      <c r="P871" s="4"/>
      <c r="Q871" s="3"/>
      <c r="R871" s="3"/>
      <c r="S871" s="3"/>
      <c r="T871" s="3"/>
    </row>
    <row r="872" spans="1:20">
      <c r="A872" s="3">
        <v>3</v>
      </c>
      <c r="B872" s="3">
        <v>1</v>
      </c>
      <c r="C872" s="2">
        <v>25</v>
      </c>
      <c r="D872" s="2">
        <v>5</v>
      </c>
      <c r="E872" s="2">
        <v>1</v>
      </c>
      <c r="F872" s="17">
        <v>52</v>
      </c>
      <c r="H872" s="360">
        <v>1</v>
      </c>
      <c r="I872" s="360">
        <v>0.53026397832719796</v>
      </c>
      <c r="K872" s="363"/>
      <c r="N872" s="10"/>
      <c r="O872" s="4"/>
      <c r="P872" s="4"/>
      <c r="Q872" s="3"/>
      <c r="R872" s="3"/>
      <c r="S872" s="3"/>
      <c r="T872" s="3"/>
    </row>
    <row r="873" spans="1:20">
      <c r="A873" s="3">
        <v>1</v>
      </c>
      <c r="B873" s="3">
        <v>2</v>
      </c>
      <c r="C873" s="2">
        <v>25</v>
      </c>
      <c r="D873" s="2">
        <v>5</v>
      </c>
      <c r="E873" s="2">
        <v>1</v>
      </c>
      <c r="F873" s="17">
        <v>52</v>
      </c>
      <c r="H873" s="360">
        <v>0.65402510137298253</v>
      </c>
      <c r="I873" s="360">
        <v>0.52905899100589948</v>
      </c>
      <c r="K873" s="363"/>
      <c r="N873" s="10"/>
      <c r="O873" s="4"/>
      <c r="P873" s="4"/>
      <c r="Q873" s="3"/>
      <c r="R873" s="3"/>
      <c r="S873" s="3"/>
      <c r="T873" s="3"/>
    </row>
    <row r="874" spans="1:20">
      <c r="A874" s="3">
        <v>1</v>
      </c>
      <c r="B874" s="3">
        <v>2</v>
      </c>
      <c r="C874" s="2">
        <v>25</v>
      </c>
      <c r="D874" s="2">
        <v>5</v>
      </c>
      <c r="E874" s="2">
        <v>16</v>
      </c>
      <c r="F874" s="17">
        <v>52</v>
      </c>
      <c r="H874" s="360">
        <v>1</v>
      </c>
      <c r="I874" s="360">
        <v>0.52094452917198575</v>
      </c>
      <c r="K874" s="363"/>
      <c r="N874" s="10"/>
      <c r="O874" s="4"/>
      <c r="P874" s="4"/>
      <c r="Q874" s="3"/>
      <c r="R874" s="3"/>
      <c r="S874" s="3"/>
      <c r="T874" s="3"/>
    </row>
    <row r="875" spans="1:20">
      <c r="A875" s="3">
        <v>2</v>
      </c>
      <c r="B875" s="3">
        <v>2</v>
      </c>
      <c r="C875" s="2">
        <v>25</v>
      </c>
      <c r="D875" s="2">
        <v>5</v>
      </c>
      <c r="E875" s="2">
        <v>1</v>
      </c>
      <c r="F875" s="17">
        <v>52</v>
      </c>
      <c r="H875" s="361">
        <v>0.80194280024595921</v>
      </c>
      <c r="I875" s="361">
        <v>0.51946260518948384</v>
      </c>
      <c r="K875" s="363"/>
      <c r="N875" s="10"/>
      <c r="O875" s="4"/>
      <c r="P875" s="4"/>
      <c r="Q875" s="3"/>
      <c r="R875" s="3"/>
      <c r="S875" s="3"/>
      <c r="T875" s="3"/>
    </row>
    <row r="876" spans="1:20">
      <c r="A876" s="3">
        <v>1</v>
      </c>
      <c r="B876" s="3">
        <v>2</v>
      </c>
      <c r="C876" s="2">
        <v>25</v>
      </c>
      <c r="D876" s="2">
        <v>5</v>
      </c>
      <c r="E876" s="2">
        <v>16</v>
      </c>
      <c r="F876" s="17">
        <v>52</v>
      </c>
      <c r="H876" s="361">
        <v>1</v>
      </c>
      <c r="I876" s="361">
        <v>0.5129453828480558</v>
      </c>
      <c r="K876" s="363"/>
      <c r="N876" s="10"/>
      <c r="O876" s="4"/>
      <c r="P876" s="4"/>
      <c r="Q876" s="3"/>
      <c r="R876" s="3"/>
      <c r="S876" s="3"/>
      <c r="T876" s="3"/>
    </row>
    <row r="877" spans="1:20">
      <c r="A877" s="3">
        <v>3</v>
      </c>
      <c r="B877" s="3">
        <v>1</v>
      </c>
      <c r="C877" s="2">
        <v>25</v>
      </c>
      <c r="D877" s="2">
        <v>5</v>
      </c>
      <c r="E877" s="2">
        <v>16</v>
      </c>
      <c r="F877" s="17">
        <v>52</v>
      </c>
      <c r="H877" s="361">
        <v>1</v>
      </c>
      <c r="I877" s="361">
        <v>0.51087234820888472</v>
      </c>
      <c r="K877" s="363"/>
      <c r="N877" s="10"/>
      <c r="O877" s="4"/>
      <c r="P877" s="4"/>
      <c r="Q877" s="3"/>
      <c r="R877" s="3"/>
      <c r="S877" s="3"/>
      <c r="T877" s="3"/>
    </row>
    <row r="878" spans="1:20">
      <c r="A878" s="3">
        <v>1</v>
      </c>
      <c r="B878" s="3">
        <v>2</v>
      </c>
      <c r="C878" s="2">
        <v>25</v>
      </c>
      <c r="D878" s="2">
        <v>30</v>
      </c>
      <c r="E878" s="2">
        <v>16</v>
      </c>
      <c r="F878" s="17">
        <v>52</v>
      </c>
      <c r="H878" s="360">
        <v>1</v>
      </c>
      <c r="I878" s="360">
        <v>0.50179060544981091</v>
      </c>
      <c r="K878" s="363"/>
      <c r="N878" s="10"/>
      <c r="O878" s="4"/>
      <c r="P878" s="4"/>
      <c r="Q878" s="3"/>
      <c r="R878" s="3"/>
      <c r="S878" s="3"/>
      <c r="T878" s="3"/>
    </row>
    <row r="879" spans="1:20">
      <c r="A879" s="3">
        <v>3</v>
      </c>
      <c r="B879" s="3">
        <v>2</v>
      </c>
      <c r="C879" s="2">
        <v>25</v>
      </c>
      <c r="D879" s="2">
        <v>5</v>
      </c>
      <c r="E879" s="2">
        <v>1</v>
      </c>
      <c r="F879" s="17">
        <v>52</v>
      </c>
      <c r="H879" s="361">
        <v>1</v>
      </c>
      <c r="I879" s="361">
        <v>0.49741654203360053</v>
      </c>
      <c r="K879" s="363"/>
      <c r="N879" s="10"/>
      <c r="O879" s="4"/>
      <c r="P879" s="4"/>
      <c r="Q879" s="3"/>
      <c r="R879" s="3"/>
      <c r="S879" s="3"/>
      <c r="T879" s="3"/>
    </row>
    <row r="880" spans="1:20">
      <c r="A880" s="3">
        <v>1</v>
      </c>
      <c r="B880" s="3">
        <v>1</v>
      </c>
      <c r="C880" s="2">
        <v>25</v>
      </c>
      <c r="D880" s="2">
        <v>30</v>
      </c>
      <c r="E880" s="2">
        <v>16</v>
      </c>
      <c r="F880" s="17">
        <v>52</v>
      </c>
      <c r="H880" s="360">
        <v>1</v>
      </c>
      <c r="I880" s="360">
        <v>0.48995596579393008</v>
      </c>
      <c r="K880" s="363"/>
      <c r="N880" s="10"/>
      <c r="O880" s="4"/>
      <c r="P880" s="4"/>
      <c r="Q880" s="3"/>
      <c r="R880" s="3"/>
      <c r="S880" s="3"/>
      <c r="T880" s="3"/>
    </row>
    <row r="881" spans="1:20">
      <c r="A881" s="3">
        <v>1</v>
      </c>
      <c r="B881" s="3">
        <v>1</v>
      </c>
      <c r="C881" s="2">
        <v>25</v>
      </c>
      <c r="D881" s="2">
        <v>5</v>
      </c>
      <c r="E881" s="2">
        <v>1</v>
      </c>
      <c r="F881" s="17">
        <v>52</v>
      </c>
      <c r="H881" s="360">
        <v>1</v>
      </c>
      <c r="I881" s="360">
        <v>0.47562717061907461</v>
      </c>
      <c r="K881" s="363"/>
      <c r="N881" s="10"/>
      <c r="O881" s="4"/>
      <c r="P881" s="4"/>
      <c r="Q881" s="3"/>
      <c r="R881" s="3"/>
      <c r="S881" s="3"/>
      <c r="T881" s="3"/>
    </row>
    <row r="882" spans="1:20">
      <c r="A882" s="3">
        <v>3</v>
      </c>
      <c r="B882" s="3">
        <v>2</v>
      </c>
      <c r="C882" s="2">
        <v>25</v>
      </c>
      <c r="D882" s="2">
        <v>5</v>
      </c>
      <c r="E882" s="2">
        <v>16</v>
      </c>
      <c r="F882" s="17">
        <v>52</v>
      </c>
      <c r="H882" s="360">
        <v>1</v>
      </c>
      <c r="I882" s="360">
        <v>0.46649604169542724</v>
      </c>
      <c r="K882" s="363"/>
      <c r="N882" s="10"/>
      <c r="O882" s="4"/>
      <c r="P882" s="4"/>
      <c r="Q882" s="3"/>
      <c r="R882" s="3"/>
      <c r="S882" s="3"/>
      <c r="T882" s="3"/>
    </row>
    <row r="883" spans="1:20">
      <c r="A883" s="3">
        <v>1</v>
      </c>
      <c r="B883" s="3">
        <v>1</v>
      </c>
      <c r="C883" s="2">
        <v>25</v>
      </c>
      <c r="D883" s="2">
        <v>5</v>
      </c>
      <c r="E883" s="2">
        <v>16</v>
      </c>
      <c r="F883" s="17">
        <v>52</v>
      </c>
      <c r="H883" s="360">
        <v>1</v>
      </c>
      <c r="I883" s="360">
        <v>0.46615104894206644</v>
      </c>
      <c r="K883" s="363"/>
      <c r="N883" s="10"/>
      <c r="O883" s="4"/>
      <c r="P883" s="4"/>
      <c r="Q883" s="3"/>
      <c r="R883" s="3"/>
      <c r="S883" s="3"/>
      <c r="T883" s="3"/>
    </row>
    <row r="884" spans="1:20">
      <c r="A884" s="3">
        <v>4</v>
      </c>
      <c r="B884" s="3">
        <v>2</v>
      </c>
      <c r="C884" s="2">
        <v>50</v>
      </c>
      <c r="D884" s="2">
        <v>5</v>
      </c>
      <c r="E884" s="2">
        <v>16</v>
      </c>
      <c r="F884" s="17">
        <v>52</v>
      </c>
      <c r="H884" s="360">
        <v>0.43733074408310535</v>
      </c>
      <c r="I884" s="359">
        <v>6.7457933110624868E-2</v>
      </c>
      <c r="K884" s="363"/>
      <c r="N884" s="10"/>
      <c r="O884" s="4"/>
      <c r="P884" s="4"/>
      <c r="Q884" s="3"/>
      <c r="R884" s="3"/>
      <c r="S884" s="3"/>
      <c r="T884" s="3"/>
    </row>
    <row r="885" spans="1:20">
      <c r="A885" s="3">
        <v>5</v>
      </c>
      <c r="B885" s="3">
        <v>2</v>
      </c>
      <c r="C885" s="2">
        <v>50</v>
      </c>
      <c r="D885" s="2">
        <v>5</v>
      </c>
      <c r="E885" s="2">
        <v>16</v>
      </c>
      <c r="F885" s="17">
        <v>52</v>
      </c>
      <c r="H885" s="360">
        <v>0.79877036458062933</v>
      </c>
      <c r="I885" s="359">
        <v>-8.7091198936318628E-2</v>
      </c>
      <c r="K885" s="363"/>
      <c r="N885" s="10"/>
      <c r="O885" s="4"/>
      <c r="P885" s="4"/>
      <c r="Q885" s="3"/>
      <c r="R885" s="3"/>
      <c r="S885" s="3"/>
      <c r="T885" s="3"/>
    </row>
    <row r="886" spans="1:20">
      <c r="A886" s="3">
        <v>3</v>
      </c>
      <c r="B886" s="3">
        <v>1</v>
      </c>
      <c r="C886" s="2">
        <v>25</v>
      </c>
      <c r="D886" s="2">
        <v>5</v>
      </c>
      <c r="E886" s="2">
        <v>16</v>
      </c>
      <c r="F886" s="17">
        <v>53</v>
      </c>
      <c r="H886" s="361">
        <v>2.3104590365468969E-2</v>
      </c>
      <c r="I886" s="361">
        <v>0.68702473385095653</v>
      </c>
      <c r="K886" s="363"/>
      <c r="N886" s="10"/>
      <c r="O886" s="4"/>
      <c r="P886" s="4"/>
      <c r="Q886" s="3"/>
      <c r="R886" s="3"/>
      <c r="S886" s="3"/>
      <c r="T886" s="3"/>
    </row>
    <row r="887" spans="1:20">
      <c r="A887" s="3">
        <v>1</v>
      </c>
      <c r="B887" s="3">
        <v>2</v>
      </c>
      <c r="C887" s="2">
        <v>25</v>
      </c>
      <c r="D887" s="2">
        <v>5</v>
      </c>
      <c r="E887" s="2">
        <v>16</v>
      </c>
      <c r="F887" s="17">
        <v>53</v>
      </c>
      <c r="H887" s="360">
        <v>0.9224458225828186</v>
      </c>
      <c r="I887" s="360">
        <v>0.34766003923052735</v>
      </c>
      <c r="K887" s="363"/>
      <c r="N887" s="10"/>
      <c r="O887" s="4"/>
      <c r="P887" s="4"/>
      <c r="Q887" s="3"/>
      <c r="R887" s="3"/>
      <c r="S887" s="3"/>
      <c r="T887" s="3"/>
    </row>
    <row r="888" spans="1:20">
      <c r="A888" s="3">
        <v>2</v>
      </c>
      <c r="B888" s="3">
        <v>1</v>
      </c>
      <c r="C888" s="2">
        <v>25</v>
      </c>
      <c r="D888" s="2">
        <v>5</v>
      </c>
      <c r="E888" s="2">
        <v>1</v>
      </c>
      <c r="F888" s="17">
        <v>53</v>
      </c>
      <c r="H888" s="360">
        <v>0.63272717199693407</v>
      </c>
      <c r="I888" s="360">
        <v>0.33533365760465073</v>
      </c>
      <c r="K888" s="363"/>
      <c r="N888" s="10"/>
      <c r="O888" s="4"/>
      <c r="P888" s="4"/>
      <c r="Q888" s="3"/>
      <c r="R888" s="3"/>
      <c r="S888" s="3"/>
      <c r="T888" s="3"/>
    </row>
    <row r="889" spans="1:20">
      <c r="A889" s="3">
        <v>1</v>
      </c>
      <c r="B889" s="3">
        <v>2</v>
      </c>
      <c r="C889" s="2">
        <v>25</v>
      </c>
      <c r="D889" s="2">
        <v>5</v>
      </c>
      <c r="E889" s="2">
        <v>16</v>
      </c>
      <c r="F889" s="17">
        <v>53</v>
      </c>
      <c r="H889" s="361">
        <v>0.98573056305322293</v>
      </c>
      <c r="I889" s="361">
        <v>0.31389122849235951</v>
      </c>
      <c r="K889" s="363"/>
      <c r="N889" s="10"/>
      <c r="O889" s="4"/>
      <c r="P889" s="4"/>
      <c r="Q889" s="3"/>
      <c r="R889" s="3"/>
      <c r="S889" s="3"/>
      <c r="T889" s="3"/>
    </row>
    <row r="890" spans="1:20">
      <c r="A890" s="3">
        <v>1</v>
      </c>
      <c r="B890" s="3">
        <v>1</v>
      </c>
      <c r="C890" s="2">
        <v>25</v>
      </c>
      <c r="D890" s="2">
        <v>5</v>
      </c>
      <c r="E890" s="2">
        <v>1</v>
      </c>
      <c r="F890" s="17">
        <v>53</v>
      </c>
      <c r="H890" s="360">
        <v>4.1554467307149401E-2</v>
      </c>
      <c r="I890" s="360">
        <v>0.26915133308298911</v>
      </c>
      <c r="K890" s="363"/>
      <c r="N890" s="10"/>
      <c r="O890" s="4"/>
      <c r="P890" s="4"/>
      <c r="Q890" s="3"/>
      <c r="R890" s="3"/>
      <c r="S890" s="3"/>
      <c r="T890" s="3"/>
    </row>
    <row r="891" spans="1:20">
      <c r="A891" s="3">
        <v>3</v>
      </c>
      <c r="B891" s="3">
        <v>2</v>
      </c>
      <c r="C891" s="2">
        <v>25</v>
      </c>
      <c r="D891" s="2">
        <v>5</v>
      </c>
      <c r="E891" s="2">
        <v>16</v>
      </c>
      <c r="F891" s="17">
        <v>53</v>
      </c>
      <c r="H891" s="360">
        <v>0.89476574561654199</v>
      </c>
      <c r="I891" s="360">
        <v>0.25808603626681437</v>
      </c>
      <c r="K891" s="363"/>
      <c r="N891" s="10"/>
      <c r="O891" s="4"/>
      <c r="P891" s="4"/>
      <c r="Q891" s="3"/>
      <c r="R891" s="3"/>
      <c r="S891" s="3"/>
      <c r="T891" s="3"/>
    </row>
    <row r="892" spans="1:20">
      <c r="A892" s="3">
        <v>1</v>
      </c>
      <c r="B892" s="3">
        <v>2</v>
      </c>
      <c r="C892" s="2">
        <v>25</v>
      </c>
      <c r="D892" s="2">
        <v>30</v>
      </c>
      <c r="E892" s="2">
        <v>16</v>
      </c>
      <c r="F892" s="17">
        <v>53</v>
      </c>
      <c r="H892" s="360">
        <v>1</v>
      </c>
      <c r="I892" s="360">
        <v>0.18615565437338416</v>
      </c>
      <c r="K892" s="363"/>
      <c r="N892" s="10"/>
      <c r="O892" s="4"/>
      <c r="P892" s="4"/>
      <c r="Q892" s="3"/>
      <c r="R892" s="3"/>
      <c r="S892" s="3"/>
      <c r="T892" s="3"/>
    </row>
    <row r="893" spans="1:20">
      <c r="A893" s="3">
        <v>3</v>
      </c>
      <c r="B893" s="3">
        <v>2</v>
      </c>
      <c r="C893" s="2">
        <v>25</v>
      </c>
      <c r="D893" s="2">
        <v>5</v>
      </c>
      <c r="E893" s="2">
        <v>1</v>
      </c>
      <c r="F893" s="17">
        <v>53</v>
      </c>
      <c r="H893" s="361">
        <v>0.2920336983636066</v>
      </c>
      <c r="I893" s="361">
        <v>0.17518957309277319</v>
      </c>
      <c r="K893" s="363"/>
      <c r="N893" s="10"/>
      <c r="O893" s="4"/>
      <c r="P893" s="4"/>
      <c r="Q893" s="3"/>
      <c r="R893" s="3"/>
      <c r="S893" s="3"/>
      <c r="T893" s="3"/>
    </row>
    <row r="894" spans="1:20">
      <c r="A894" s="3">
        <v>2</v>
      </c>
      <c r="B894" s="3">
        <v>1</v>
      </c>
      <c r="C894" s="2">
        <v>25</v>
      </c>
      <c r="D894" s="2">
        <v>5</v>
      </c>
      <c r="E894" s="2">
        <v>16</v>
      </c>
      <c r="F894" s="17">
        <v>53</v>
      </c>
      <c r="H894" s="361">
        <v>0.83342694597744926</v>
      </c>
      <c r="I894" s="361">
        <v>0.17115512068584623</v>
      </c>
      <c r="K894" s="363"/>
      <c r="N894" s="10"/>
      <c r="O894" s="4"/>
      <c r="P894" s="4"/>
      <c r="Q894" s="3"/>
      <c r="R894" s="3"/>
      <c r="S894" s="3"/>
      <c r="T894" s="3"/>
    </row>
    <row r="895" spans="1:20">
      <c r="A895" s="3">
        <v>1</v>
      </c>
      <c r="B895" s="3">
        <v>2</v>
      </c>
      <c r="C895" s="2">
        <v>25</v>
      </c>
      <c r="D895" s="2">
        <v>5</v>
      </c>
      <c r="E895" s="2">
        <v>1</v>
      </c>
      <c r="F895" s="17">
        <v>53</v>
      </c>
      <c r="H895" s="360">
        <v>0.25115098785837497</v>
      </c>
      <c r="I895" s="360">
        <v>0.16693291743928293</v>
      </c>
      <c r="K895" s="363"/>
      <c r="N895" s="10"/>
      <c r="O895" s="4"/>
      <c r="P895" s="4"/>
      <c r="Q895" s="3"/>
      <c r="R895" s="3"/>
      <c r="S895" s="3"/>
      <c r="T895" s="3"/>
    </row>
    <row r="896" spans="1:20">
      <c r="A896" s="3">
        <v>1</v>
      </c>
      <c r="B896" s="3">
        <v>1</v>
      </c>
      <c r="C896" s="2">
        <v>25</v>
      </c>
      <c r="D896" s="2">
        <v>5</v>
      </c>
      <c r="E896" s="2">
        <v>16</v>
      </c>
      <c r="F896" s="17">
        <v>53</v>
      </c>
      <c r="H896" s="360">
        <v>6.1652380206775659E-2</v>
      </c>
      <c r="I896" s="360">
        <v>0.1123335967418394</v>
      </c>
      <c r="K896" s="363"/>
      <c r="N896" s="10"/>
      <c r="O896" s="4"/>
      <c r="P896" s="4"/>
      <c r="Q896" s="3"/>
      <c r="R896" s="3"/>
      <c r="S896" s="3"/>
      <c r="T896" s="3"/>
    </row>
    <row r="897" spans="1:20">
      <c r="A897" s="3">
        <v>2</v>
      </c>
      <c r="B897" s="3">
        <v>2</v>
      </c>
      <c r="C897" s="2">
        <v>25</v>
      </c>
      <c r="D897" s="2">
        <v>5</v>
      </c>
      <c r="E897" s="2">
        <v>16</v>
      </c>
      <c r="F897" s="17">
        <v>53</v>
      </c>
      <c r="H897" s="361">
        <v>1</v>
      </c>
      <c r="I897" s="361">
        <v>5.2397331245210316E-2</v>
      </c>
      <c r="K897" s="363"/>
      <c r="N897" s="10"/>
      <c r="O897" s="4"/>
      <c r="P897" s="4"/>
      <c r="Q897" s="3"/>
      <c r="R897" s="3"/>
      <c r="S897" s="3"/>
      <c r="T897" s="3"/>
    </row>
    <row r="898" spans="1:20">
      <c r="A898" s="3">
        <v>4</v>
      </c>
      <c r="B898" s="3">
        <v>2</v>
      </c>
      <c r="C898" s="2">
        <v>50</v>
      </c>
      <c r="D898" s="2">
        <v>5</v>
      </c>
      <c r="E898" s="2">
        <v>16</v>
      </c>
      <c r="F898" s="17">
        <v>53</v>
      </c>
      <c r="H898" s="360">
        <v>0.90870607884889509</v>
      </c>
      <c r="I898" s="359">
        <v>3.5811719635777131E-2</v>
      </c>
      <c r="K898" s="363"/>
      <c r="N898" s="10"/>
      <c r="O898" s="4"/>
      <c r="P898" s="4"/>
      <c r="Q898" s="3"/>
      <c r="R898" s="3"/>
      <c r="S898" s="3"/>
      <c r="T898" s="3"/>
    </row>
    <row r="899" spans="1:20">
      <c r="A899" s="3">
        <v>3</v>
      </c>
      <c r="B899" s="3">
        <v>1</v>
      </c>
      <c r="C899" s="2">
        <v>25</v>
      </c>
      <c r="D899" s="2">
        <v>5</v>
      </c>
      <c r="E899" s="2">
        <v>1</v>
      </c>
      <c r="F899" s="17">
        <v>53</v>
      </c>
      <c r="H899" s="360">
        <v>0</v>
      </c>
      <c r="I899" s="360">
        <v>0</v>
      </c>
      <c r="K899" s="363"/>
      <c r="N899" s="10"/>
      <c r="O899" s="4"/>
      <c r="P899" s="4"/>
      <c r="Q899" s="3"/>
      <c r="R899" s="3"/>
      <c r="S899" s="3"/>
      <c r="T899" s="3"/>
    </row>
    <row r="900" spans="1:20">
      <c r="A900" s="3">
        <v>5</v>
      </c>
      <c r="B900" s="3">
        <v>2</v>
      </c>
      <c r="C900" s="2">
        <v>50</v>
      </c>
      <c r="D900" s="2">
        <v>5</v>
      </c>
      <c r="E900" s="2">
        <v>16</v>
      </c>
      <c r="F900" s="17">
        <v>53</v>
      </c>
      <c r="H900" s="360">
        <v>1</v>
      </c>
      <c r="I900" s="359">
        <v>-1.0761685617159846E-2</v>
      </c>
      <c r="K900" s="363"/>
      <c r="N900" s="10"/>
      <c r="O900" s="4"/>
      <c r="P900" s="4"/>
      <c r="Q900" s="3"/>
      <c r="R900" s="3"/>
      <c r="S900" s="3"/>
      <c r="T900" s="3"/>
    </row>
    <row r="901" spans="1:20">
      <c r="A901" s="3">
        <v>1</v>
      </c>
      <c r="B901" s="3">
        <v>1</v>
      </c>
      <c r="C901" s="2">
        <v>25</v>
      </c>
      <c r="D901" s="2">
        <v>30</v>
      </c>
      <c r="E901" s="2">
        <v>16</v>
      </c>
      <c r="F901" s="17">
        <v>53</v>
      </c>
      <c r="H901" s="360">
        <v>0.13423900258005861</v>
      </c>
      <c r="I901" s="360">
        <v>-1.4037340600666756E-2</v>
      </c>
      <c r="K901" s="363"/>
      <c r="N901" s="10"/>
      <c r="O901" s="4"/>
      <c r="P901" s="4"/>
      <c r="Q901" s="3"/>
      <c r="R901" s="3"/>
      <c r="S901" s="3"/>
      <c r="T901" s="3"/>
    </row>
    <row r="902" spans="1:20">
      <c r="A902" s="3">
        <v>2</v>
      </c>
      <c r="B902" s="3">
        <v>2</v>
      </c>
      <c r="C902" s="2">
        <v>25</v>
      </c>
      <c r="D902" s="2">
        <v>5</v>
      </c>
      <c r="E902" s="2">
        <v>1</v>
      </c>
      <c r="F902" s="17">
        <v>53</v>
      </c>
      <c r="H902" s="361">
        <v>1</v>
      </c>
      <c r="I902" s="361">
        <v>-2.5302174663015767E-2</v>
      </c>
      <c r="K902" s="363"/>
      <c r="N902" s="10"/>
      <c r="O902" s="4"/>
      <c r="P902" s="4"/>
      <c r="Q902" s="3"/>
      <c r="R902" s="3"/>
      <c r="S902" s="3"/>
      <c r="T902" s="3"/>
    </row>
    <row r="903" spans="1:20">
      <c r="A903" s="3">
        <v>5</v>
      </c>
      <c r="B903" s="3">
        <v>2</v>
      </c>
      <c r="C903" s="2">
        <v>50</v>
      </c>
      <c r="D903" s="2">
        <v>5</v>
      </c>
      <c r="E903" s="2">
        <v>16</v>
      </c>
      <c r="F903" s="17">
        <v>54</v>
      </c>
      <c r="H903" s="360">
        <v>1</v>
      </c>
      <c r="I903" s="359">
        <v>0.19766019562670897</v>
      </c>
      <c r="K903" s="363"/>
      <c r="N903" s="10"/>
      <c r="O903" s="4"/>
      <c r="P903" s="4"/>
      <c r="Q903" s="3"/>
      <c r="R903" s="3"/>
      <c r="S903" s="3"/>
      <c r="T903" s="3"/>
    </row>
    <row r="904" spans="1:20">
      <c r="A904" s="3">
        <v>4</v>
      </c>
      <c r="B904" s="3">
        <v>2</v>
      </c>
      <c r="C904" s="2">
        <v>50</v>
      </c>
      <c r="D904" s="2">
        <v>5</v>
      </c>
      <c r="E904" s="2">
        <v>16</v>
      </c>
      <c r="F904" s="17">
        <v>54</v>
      </c>
      <c r="H904" s="360">
        <v>1</v>
      </c>
      <c r="I904" s="359">
        <v>-2.3337457208022865E-2</v>
      </c>
      <c r="K904" s="363"/>
      <c r="N904" s="10"/>
      <c r="O904" s="4"/>
      <c r="P904" s="4"/>
      <c r="Q904" s="3"/>
      <c r="R904" s="3"/>
      <c r="S904" s="3"/>
      <c r="T904" s="3"/>
    </row>
    <row r="905" spans="1:20">
      <c r="A905" s="3">
        <v>3</v>
      </c>
      <c r="B905" s="3">
        <v>2</v>
      </c>
      <c r="C905" s="2">
        <v>25</v>
      </c>
      <c r="D905" s="2">
        <v>5</v>
      </c>
      <c r="E905" s="2">
        <v>16</v>
      </c>
      <c r="F905" s="17">
        <v>54</v>
      </c>
      <c r="H905" s="360">
        <v>0.12263926887915877</v>
      </c>
      <c r="I905" s="360">
        <v>-0.13424124821670891</v>
      </c>
      <c r="K905" s="363"/>
      <c r="N905" s="10"/>
      <c r="O905" s="4"/>
      <c r="P905" s="4"/>
      <c r="Q905" s="3"/>
      <c r="R905" s="3"/>
      <c r="S905" s="3"/>
      <c r="T905" s="3"/>
    </row>
    <row r="906" spans="1:20">
      <c r="A906" s="3">
        <v>1</v>
      </c>
      <c r="B906" s="3">
        <v>2</v>
      </c>
      <c r="C906" s="2">
        <v>25</v>
      </c>
      <c r="D906" s="2">
        <v>5</v>
      </c>
      <c r="E906" s="2">
        <v>16</v>
      </c>
      <c r="F906" s="17">
        <v>54</v>
      </c>
      <c r="H906" s="360">
        <v>0.92837306694542399</v>
      </c>
      <c r="I906" s="360">
        <v>-0.24484328825127022</v>
      </c>
      <c r="K906" s="363"/>
      <c r="N906" s="10"/>
      <c r="O906" s="4"/>
      <c r="P906" s="4"/>
      <c r="Q906" s="3"/>
      <c r="R906" s="3"/>
      <c r="S906" s="3"/>
      <c r="T906" s="3"/>
    </row>
    <row r="907" spans="1:20">
      <c r="A907" s="3">
        <v>1</v>
      </c>
      <c r="B907" s="3">
        <v>2</v>
      </c>
      <c r="C907" s="2">
        <v>25</v>
      </c>
      <c r="D907" s="2">
        <v>5</v>
      </c>
      <c r="E907" s="2">
        <v>1</v>
      </c>
      <c r="F907" s="17">
        <v>54</v>
      </c>
      <c r="H907" s="360">
        <v>0.49091331490944601</v>
      </c>
      <c r="I907" s="360">
        <v>-0.47377476502197824</v>
      </c>
      <c r="K907" s="363"/>
      <c r="N907" s="10"/>
      <c r="O907" s="4"/>
      <c r="P907" s="4"/>
      <c r="Q907" s="3"/>
      <c r="R907" s="3"/>
      <c r="S907" s="3"/>
      <c r="T907" s="3"/>
    </row>
    <row r="908" spans="1:20">
      <c r="A908" s="3">
        <v>1</v>
      </c>
      <c r="B908" s="3">
        <v>2</v>
      </c>
      <c r="C908" s="2">
        <v>25</v>
      </c>
      <c r="D908" s="2">
        <v>5</v>
      </c>
      <c r="E908" s="2">
        <v>16</v>
      </c>
      <c r="F908" s="17">
        <v>54</v>
      </c>
      <c r="H908" s="361">
        <v>1</v>
      </c>
      <c r="I908" s="361">
        <v>-0.52260430986812767</v>
      </c>
      <c r="K908" s="363"/>
      <c r="N908" s="10"/>
      <c r="O908" s="4"/>
      <c r="P908" s="4"/>
      <c r="Q908" s="3"/>
      <c r="R908" s="3"/>
      <c r="S908" s="3"/>
      <c r="T908" s="3"/>
    </row>
    <row r="909" spans="1:20">
      <c r="A909" s="3">
        <v>3</v>
      </c>
      <c r="B909" s="3">
        <v>2</v>
      </c>
      <c r="C909" s="2">
        <v>25</v>
      </c>
      <c r="D909" s="2">
        <v>5</v>
      </c>
      <c r="E909" s="2">
        <v>1</v>
      </c>
      <c r="F909" s="17">
        <v>54</v>
      </c>
      <c r="H909" s="361">
        <v>1</v>
      </c>
      <c r="I909" s="361">
        <v>-0.52388128665876232</v>
      </c>
      <c r="K909" s="363"/>
      <c r="N909" s="10"/>
      <c r="O909" s="4"/>
      <c r="P909" s="4"/>
      <c r="Q909" s="3"/>
      <c r="R909" s="3"/>
      <c r="S909" s="3"/>
      <c r="T909" s="3"/>
    </row>
    <row r="910" spans="1:20">
      <c r="A910" s="3">
        <v>1</v>
      </c>
      <c r="B910" s="3">
        <v>2</v>
      </c>
      <c r="C910" s="2">
        <v>25</v>
      </c>
      <c r="D910" s="2">
        <v>30</v>
      </c>
      <c r="E910" s="2">
        <v>16</v>
      </c>
      <c r="F910" s="17">
        <v>54</v>
      </c>
      <c r="H910" s="360">
        <v>1</v>
      </c>
      <c r="I910" s="360">
        <v>-0.53366605471853246</v>
      </c>
      <c r="K910" s="363"/>
      <c r="N910" s="10"/>
      <c r="O910" s="4"/>
      <c r="P910" s="4"/>
      <c r="Q910" s="3"/>
      <c r="R910" s="3"/>
      <c r="S910" s="3"/>
      <c r="T910" s="3"/>
    </row>
    <row r="911" spans="1:20">
      <c r="A911" s="3">
        <v>1</v>
      </c>
      <c r="B911" s="3">
        <v>1</v>
      </c>
      <c r="C911" s="2">
        <v>25</v>
      </c>
      <c r="D911" s="2">
        <v>5</v>
      </c>
      <c r="E911" s="2">
        <v>1</v>
      </c>
      <c r="F911" s="17">
        <v>54</v>
      </c>
      <c r="H911" s="360">
        <v>1</v>
      </c>
      <c r="I911" s="360">
        <v>-0.55284759912722847</v>
      </c>
      <c r="K911" s="363"/>
      <c r="N911" s="10"/>
      <c r="O911" s="4"/>
      <c r="P911" s="4"/>
      <c r="Q911" s="3"/>
      <c r="R911" s="3"/>
      <c r="S911" s="3"/>
      <c r="T911" s="3"/>
    </row>
    <row r="912" spans="1:20">
      <c r="A912" s="3">
        <v>1</v>
      </c>
      <c r="B912" s="3">
        <v>1</v>
      </c>
      <c r="C912" s="2">
        <v>25</v>
      </c>
      <c r="D912" s="2">
        <v>5</v>
      </c>
      <c r="E912" s="2">
        <v>16</v>
      </c>
      <c r="F912" s="17">
        <v>54</v>
      </c>
      <c r="H912" s="360">
        <v>1</v>
      </c>
      <c r="I912" s="360">
        <v>-0.55865515940949273</v>
      </c>
      <c r="K912" s="363"/>
      <c r="N912" s="10"/>
      <c r="O912" s="4"/>
      <c r="P912" s="4"/>
      <c r="Q912" s="3"/>
      <c r="R912" s="3"/>
      <c r="S912" s="3"/>
      <c r="T912" s="3"/>
    </row>
    <row r="913" spans="1:20">
      <c r="A913" s="3">
        <v>1</v>
      </c>
      <c r="B913" s="3">
        <v>1</v>
      </c>
      <c r="C913" s="2">
        <v>25</v>
      </c>
      <c r="D913" s="2">
        <v>30</v>
      </c>
      <c r="E913" s="2">
        <v>16</v>
      </c>
      <c r="F913" s="17">
        <v>54</v>
      </c>
      <c r="H913" s="360">
        <v>1</v>
      </c>
      <c r="I913" s="360">
        <v>-0.57278342336990762</v>
      </c>
      <c r="K913" s="363"/>
      <c r="N913" s="10"/>
      <c r="O913" s="4"/>
      <c r="P913" s="4"/>
      <c r="Q913" s="3"/>
      <c r="R913" s="3"/>
      <c r="S913" s="3"/>
      <c r="T913" s="3"/>
    </row>
    <row r="914" spans="1:20">
      <c r="A914" s="3">
        <v>3</v>
      </c>
      <c r="B914" s="3">
        <v>1</v>
      </c>
      <c r="C914" s="2">
        <v>25</v>
      </c>
      <c r="D914" s="2">
        <v>5</v>
      </c>
      <c r="E914" s="2">
        <v>1</v>
      </c>
      <c r="F914" s="17">
        <v>54</v>
      </c>
      <c r="H914" s="360">
        <v>1</v>
      </c>
      <c r="I914" s="360">
        <v>-0.60668628813009318</v>
      </c>
      <c r="K914" s="363"/>
      <c r="N914" s="10"/>
      <c r="O914" s="4"/>
      <c r="P914" s="4"/>
      <c r="Q914" s="3"/>
      <c r="R914" s="3"/>
      <c r="S914" s="3"/>
      <c r="T914" s="3"/>
    </row>
    <row r="915" spans="1:20">
      <c r="A915" s="3">
        <v>2</v>
      </c>
      <c r="B915" s="3">
        <v>1</v>
      </c>
      <c r="C915" s="2">
        <v>25</v>
      </c>
      <c r="D915" s="2">
        <v>5</v>
      </c>
      <c r="E915" s="2">
        <v>16</v>
      </c>
      <c r="F915" s="17">
        <v>54</v>
      </c>
      <c r="H915" s="361">
        <v>1</v>
      </c>
      <c r="I915" s="361">
        <v>-0.61394978882627749</v>
      </c>
      <c r="K915" s="363"/>
      <c r="N915" s="10"/>
      <c r="O915" s="4"/>
      <c r="P915" s="4"/>
      <c r="Q915" s="3"/>
      <c r="R915" s="3"/>
      <c r="S915" s="3"/>
      <c r="T915" s="3"/>
    </row>
    <row r="916" spans="1:20">
      <c r="A916" s="3">
        <v>3</v>
      </c>
      <c r="B916" s="3">
        <v>1</v>
      </c>
      <c r="C916" s="2">
        <v>25</v>
      </c>
      <c r="D916" s="2">
        <v>5</v>
      </c>
      <c r="E916" s="2">
        <v>16</v>
      </c>
      <c r="F916" s="17">
        <v>54</v>
      </c>
      <c r="H916" s="361">
        <v>1</v>
      </c>
      <c r="I916" s="361">
        <v>-0.62650801608679973</v>
      </c>
      <c r="K916" s="363"/>
      <c r="N916" s="10"/>
      <c r="O916" s="4"/>
      <c r="P916" s="4"/>
      <c r="Q916" s="3"/>
      <c r="R916" s="3"/>
      <c r="S916" s="3"/>
      <c r="T916" s="3"/>
    </row>
    <row r="917" spans="1:20">
      <c r="A917" s="3">
        <v>2</v>
      </c>
      <c r="B917" s="3">
        <v>1</v>
      </c>
      <c r="C917" s="2">
        <v>25</v>
      </c>
      <c r="D917" s="2">
        <v>5</v>
      </c>
      <c r="E917" s="2">
        <v>1</v>
      </c>
      <c r="F917" s="17">
        <v>54</v>
      </c>
      <c r="H917" s="360">
        <v>1</v>
      </c>
      <c r="I917" s="360">
        <v>-0.68142735850184755</v>
      </c>
      <c r="K917" s="363"/>
      <c r="N917" s="10"/>
      <c r="O917" s="4"/>
      <c r="P917" s="4"/>
      <c r="Q917" s="3"/>
      <c r="R917" s="3"/>
      <c r="S917" s="3"/>
      <c r="T917" s="3"/>
    </row>
    <row r="918" spans="1:20">
      <c r="A918" s="3">
        <v>2</v>
      </c>
      <c r="B918" s="3">
        <v>2</v>
      </c>
      <c r="C918" s="2">
        <v>25</v>
      </c>
      <c r="D918" s="2">
        <v>5</v>
      </c>
      <c r="E918" s="2">
        <v>16</v>
      </c>
      <c r="F918" s="17">
        <v>54</v>
      </c>
      <c r="H918" s="361">
        <v>1</v>
      </c>
      <c r="I918" s="361">
        <v>-0.69010572032041262</v>
      </c>
      <c r="K918" s="363"/>
      <c r="N918" s="10"/>
      <c r="O918" s="4"/>
      <c r="P918" s="4"/>
      <c r="Q918" s="3"/>
      <c r="R918" s="3"/>
      <c r="S918" s="3"/>
      <c r="T918" s="3"/>
    </row>
    <row r="919" spans="1:20">
      <c r="A919" s="3">
        <v>2</v>
      </c>
      <c r="B919" s="3">
        <v>2</v>
      </c>
      <c r="C919" s="2">
        <v>25</v>
      </c>
      <c r="D919" s="2">
        <v>5</v>
      </c>
      <c r="E919" s="2">
        <v>1</v>
      </c>
      <c r="F919" s="17">
        <v>54</v>
      </c>
      <c r="H919" s="361">
        <v>1</v>
      </c>
      <c r="I919" s="361">
        <v>-0.69812038669311716</v>
      </c>
      <c r="K919" s="363"/>
      <c r="N919" s="10"/>
      <c r="O919" s="4"/>
      <c r="P919" s="4"/>
      <c r="Q919" s="3"/>
      <c r="R919" s="3"/>
      <c r="S919" s="3"/>
      <c r="T919" s="3"/>
    </row>
    <row r="920" spans="1:20">
      <c r="A920" s="3">
        <v>2</v>
      </c>
      <c r="B920" s="3">
        <v>2</v>
      </c>
      <c r="C920" s="2">
        <v>25</v>
      </c>
      <c r="D920" s="2">
        <v>5</v>
      </c>
      <c r="E920" s="2">
        <v>1</v>
      </c>
      <c r="F920" s="17">
        <v>55</v>
      </c>
      <c r="H920" s="361">
        <v>0.93546889894260954</v>
      </c>
      <c r="I920" s="361">
        <v>1</v>
      </c>
      <c r="K920" s="363"/>
      <c r="N920" s="10"/>
      <c r="O920" s="4"/>
      <c r="P920" s="4"/>
      <c r="Q920" s="3"/>
      <c r="R920" s="3"/>
      <c r="S920" s="3"/>
      <c r="T920" s="3"/>
    </row>
    <row r="921" spans="1:20">
      <c r="A921" s="3">
        <v>2</v>
      </c>
      <c r="B921" s="3">
        <v>2</v>
      </c>
      <c r="C921" s="2">
        <v>25</v>
      </c>
      <c r="D921" s="2">
        <v>5</v>
      </c>
      <c r="E921" s="2">
        <v>16</v>
      </c>
      <c r="F921" s="17">
        <v>55</v>
      </c>
      <c r="H921" s="361">
        <v>1</v>
      </c>
      <c r="I921" s="361">
        <v>1</v>
      </c>
      <c r="K921" s="363"/>
      <c r="N921" s="10"/>
      <c r="O921" s="4"/>
      <c r="P921" s="4"/>
      <c r="Q921" s="3"/>
      <c r="R921" s="3"/>
      <c r="S921" s="3"/>
      <c r="T921" s="3"/>
    </row>
    <row r="922" spans="1:20">
      <c r="A922" s="3">
        <v>3</v>
      </c>
      <c r="B922" s="3">
        <v>2</v>
      </c>
      <c r="C922" s="2">
        <v>25</v>
      </c>
      <c r="D922" s="2">
        <v>5</v>
      </c>
      <c r="E922" s="2">
        <v>1</v>
      </c>
      <c r="F922" s="17">
        <v>55</v>
      </c>
      <c r="H922" s="361">
        <v>1</v>
      </c>
      <c r="I922" s="361">
        <v>1</v>
      </c>
      <c r="K922" s="363"/>
      <c r="N922" s="10"/>
      <c r="O922" s="4"/>
      <c r="P922" s="4"/>
      <c r="Q922" s="3"/>
      <c r="R922" s="3"/>
      <c r="S922" s="3"/>
      <c r="T922" s="3"/>
    </row>
    <row r="923" spans="1:20">
      <c r="A923" s="3">
        <v>3</v>
      </c>
      <c r="B923" s="3">
        <v>2</v>
      </c>
      <c r="C923" s="2">
        <v>25</v>
      </c>
      <c r="D923" s="2">
        <v>5</v>
      </c>
      <c r="E923" s="2">
        <v>16</v>
      </c>
      <c r="F923" s="17">
        <v>55</v>
      </c>
      <c r="H923" s="360">
        <v>1</v>
      </c>
      <c r="I923" s="360">
        <v>1</v>
      </c>
      <c r="K923" s="363"/>
      <c r="N923" s="10"/>
      <c r="O923" s="4"/>
      <c r="P923" s="4"/>
      <c r="Q923" s="3"/>
      <c r="R923" s="3"/>
      <c r="S923" s="3"/>
      <c r="T923" s="3"/>
    </row>
    <row r="924" spans="1:20">
      <c r="A924" s="3">
        <v>2</v>
      </c>
      <c r="B924" s="3">
        <v>1</v>
      </c>
      <c r="C924" s="2">
        <v>25</v>
      </c>
      <c r="D924" s="2">
        <v>5</v>
      </c>
      <c r="E924" s="2">
        <v>1</v>
      </c>
      <c r="F924" s="17">
        <v>55</v>
      </c>
      <c r="H924" s="360">
        <v>1</v>
      </c>
      <c r="I924" s="360">
        <v>1</v>
      </c>
      <c r="K924" s="363"/>
      <c r="N924" s="10"/>
      <c r="O924" s="4"/>
      <c r="P924" s="4"/>
      <c r="Q924" s="3"/>
      <c r="R924" s="3"/>
      <c r="S924" s="3"/>
      <c r="T924" s="3"/>
    </row>
    <row r="925" spans="1:20">
      <c r="A925" s="3">
        <v>2</v>
      </c>
      <c r="B925" s="3">
        <v>1</v>
      </c>
      <c r="C925" s="2">
        <v>25</v>
      </c>
      <c r="D925" s="2">
        <v>5</v>
      </c>
      <c r="E925" s="2">
        <v>16</v>
      </c>
      <c r="F925" s="17">
        <v>55</v>
      </c>
      <c r="H925" s="361">
        <v>1</v>
      </c>
      <c r="I925" s="361">
        <v>1</v>
      </c>
      <c r="K925" s="363"/>
      <c r="N925" s="10"/>
      <c r="O925" s="4"/>
      <c r="P925" s="4"/>
      <c r="Q925" s="3"/>
      <c r="R925" s="3"/>
      <c r="S925" s="3"/>
      <c r="T925" s="3"/>
    </row>
    <row r="926" spans="1:20">
      <c r="A926" s="3">
        <v>3</v>
      </c>
      <c r="B926" s="3">
        <v>1</v>
      </c>
      <c r="C926" s="2">
        <v>25</v>
      </c>
      <c r="D926" s="2">
        <v>5</v>
      </c>
      <c r="E926" s="2">
        <v>1</v>
      </c>
      <c r="F926" s="17">
        <v>55</v>
      </c>
      <c r="H926" s="360">
        <v>1</v>
      </c>
      <c r="I926" s="360">
        <v>1</v>
      </c>
      <c r="K926" s="363"/>
      <c r="N926" s="10"/>
      <c r="O926" s="4"/>
      <c r="P926" s="4"/>
      <c r="Q926" s="3"/>
      <c r="R926" s="3"/>
      <c r="S926" s="3"/>
      <c r="T926" s="3"/>
    </row>
    <row r="927" spans="1:20">
      <c r="A927" s="3">
        <v>3</v>
      </c>
      <c r="B927" s="3">
        <v>1</v>
      </c>
      <c r="C927" s="2">
        <v>25</v>
      </c>
      <c r="D927" s="2">
        <v>5</v>
      </c>
      <c r="E927" s="2">
        <v>16</v>
      </c>
      <c r="F927" s="17">
        <v>55</v>
      </c>
      <c r="H927" s="361">
        <v>1</v>
      </c>
      <c r="I927" s="361">
        <v>1</v>
      </c>
      <c r="K927" s="363"/>
      <c r="N927" s="10"/>
      <c r="O927" s="4"/>
      <c r="P927" s="4"/>
      <c r="Q927" s="3"/>
      <c r="R927" s="3"/>
      <c r="S927" s="3"/>
      <c r="T927" s="3"/>
    </row>
    <row r="928" spans="1:20">
      <c r="A928" s="3">
        <v>1</v>
      </c>
      <c r="B928" s="3">
        <v>1</v>
      </c>
      <c r="C928" s="2">
        <v>25</v>
      </c>
      <c r="D928" s="2">
        <v>5</v>
      </c>
      <c r="E928" s="2">
        <v>16</v>
      </c>
      <c r="F928" s="17">
        <v>55</v>
      </c>
      <c r="H928" s="360">
        <v>1</v>
      </c>
      <c r="I928" s="360">
        <v>0.99977032653054232</v>
      </c>
      <c r="K928" s="363"/>
      <c r="N928" s="10"/>
      <c r="O928" s="4"/>
      <c r="P928" s="4"/>
      <c r="Q928" s="3"/>
      <c r="R928" s="3"/>
      <c r="S928" s="3"/>
      <c r="T928" s="3"/>
    </row>
    <row r="929" spans="1:20">
      <c r="A929" s="3">
        <v>1</v>
      </c>
      <c r="B929" s="3">
        <v>2</v>
      </c>
      <c r="C929" s="2">
        <v>25</v>
      </c>
      <c r="D929" s="2">
        <v>5</v>
      </c>
      <c r="E929" s="2">
        <v>1</v>
      </c>
      <c r="F929" s="17">
        <v>55</v>
      </c>
      <c r="H929" s="360">
        <v>1</v>
      </c>
      <c r="I929" s="360">
        <v>0.9991409241449003</v>
      </c>
      <c r="K929" s="363"/>
      <c r="N929" s="10"/>
      <c r="O929" s="4"/>
      <c r="P929" s="4"/>
      <c r="Q929" s="3"/>
      <c r="R929" s="3"/>
      <c r="S929" s="3"/>
      <c r="T929" s="3"/>
    </row>
    <row r="930" spans="1:20">
      <c r="A930" s="3">
        <v>1</v>
      </c>
      <c r="B930" s="3">
        <v>2</v>
      </c>
      <c r="C930" s="2">
        <v>25</v>
      </c>
      <c r="D930" s="2">
        <v>5</v>
      </c>
      <c r="E930" s="2">
        <v>16</v>
      </c>
      <c r="F930" s="17">
        <v>55</v>
      </c>
      <c r="H930" s="360">
        <v>0.98160756283578798</v>
      </c>
      <c r="I930" s="360">
        <v>0.99834942780962599</v>
      </c>
      <c r="K930" s="363"/>
      <c r="N930" s="10"/>
      <c r="O930" s="4"/>
      <c r="P930" s="4"/>
      <c r="Q930" s="3"/>
      <c r="R930" s="3"/>
      <c r="S930" s="3"/>
      <c r="T930" s="3"/>
    </row>
    <row r="931" spans="1:20">
      <c r="A931" s="3">
        <v>1</v>
      </c>
      <c r="B931" s="3">
        <v>1</v>
      </c>
      <c r="C931" s="2">
        <v>25</v>
      </c>
      <c r="D931" s="2">
        <v>5</v>
      </c>
      <c r="E931" s="2">
        <v>1</v>
      </c>
      <c r="F931" s="17">
        <v>55</v>
      </c>
      <c r="H931" s="360">
        <v>1</v>
      </c>
      <c r="I931" s="360">
        <v>0.99749430445407206</v>
      </c>
      <c r="K931" s="363"/>
      <c r="N931" s="10"/>
      <c r="O931" s="4"/>
      <c r="P931" s="4"/>
      <c r="Q931" s="3"/>
      <c r="R931" s="3"/>
      <c r="S931" s="3"/>
      <c r="T931" s="3"/>
    </row>
    <row r="932" spans="1:20">
      <c r="A932" s="3">
        <v>1</v>
      </c>
      <c r="B932" s="3">
        <v>2</v>
      </c>
      <c r="C932" s="2">
        <v>25</v>
      </c>
      <c r="D932" s="2">
        <v>5</v>
      </c>
      <c r="E932" s="2">
        <v>16</v>
      </c>
      <c r="F932" s="17">
        <v>55</v>
      </c>
      <c r="H932" s="361">
        <v>1</v>
      </c>
      <c r="I932" s="361">
        <v>0.99729798668343694</v>
      </c>
      <c r="K932" s="363"/>
      <c r="N932" s="10"/>
      <c r="O932" s="4"/>
      <c r="P932" s="4"/>
      <c r="Q932" s="3"/>
      <c r="R932" s="3"/>
      <c r="S932" s="3"/>
      <c r="T932" s="3"/>
    </row>
    <row r="933" spans="1:20">
      <c r="A933" s="3">
        <v>1</v>
      </c>
      <c r="B933" s="3">
        <v>1</v>
      </c>
      <c r="C933" s="2">
        <v>25</v>
      </c>
      <c r="D933" s="2">
        <v>30</v>
      </c>
      <c r="E933" s="2">
        <v>16</v>
      </c>
      <c r="F933" s="17">
        <v>55</v>
      </c>
      <c r="H933" s="360">
        <v>1</v>
      </c>
      <c r="I933" s="360">
        <v>0.99671640813474949</v>
      </c>
      <c r="K933" s="363"/>
      <c r="N933" s="10"/>
      <c r="O933" s="4"/>
      <c r="P933" s="4"/>
      <c r="Q933" s="3"/>
      <c r="R933" s="3"/>
      <c r="S933" s="3"/>
      <c r="T933" s="3"/>
    </row>
    <row r="934" spans="1:20">
      <c r="A934" s="3">
        <v>1</v>
      </c>
      <c r="B934" s="3">
        <v>2</v>
      </c>
      <c r="C934" s="2">
        <v>25</v>
      </c>
      <c r="D934" s="2">
        <v>30</v>
      </c>
      <c r="E934" s="2">
        <v>16</v>
      </c>
      <c r="F934" s="17">
        <v>55</v>
      </c>
      <c r="H934" s="360">
        <v>1</v>
      </c>
      <c r="I934" s="360">
        <v>0.99546366051516544</v>
      </c>
      <c r="K934" s="363"/>
      <c r="N934" s="10"/>
      <c r="O934" s="4"/>
      <c r="P934" s="4"/>
      <c r="Q934" s="3"/>
      <c r="R934" s="3"/>
      <c r="S934" s="3"/>
      <c r="T934" s="3"/>
    </row>
    <row r="935" spans="1:20">
      <c r="A935" s="3">
        <v>5</v>
      </c>
      <c r="B935" s="3">
        <v>2</v>
      </c>
      <c r="C935" s="2">
        <v>50</v>
      </c>
      <c r="D935" s="2">
        <v>5</v>
      </c>
      <c r="E935" s="2">
        <v>16</v>
      </c>
      <c r="F935" s="17">
        <v>55</v>
      </c>
      <c r="H935" s="360">
        <v>1</v>
      </c>
      <c r="I935" s="359">
        <v>0.56190785242373131</v>
      </c>
      <c r="K935" s="363"/>
      <c r="N935" s="10"/>
      <c r="O935" s="4"/>
      <c r="P935" s="4"/>
      <c r="Q935" s="3"/>
      <c r="R935" s="3"/>
      <c r="S935" s="3"/>
      <c r="T935" s="3"/>
    </row>
    <row r="936" spans="1:20">
      <c r="A936" s="3">
        <v>4</v>
      </c>
      <c r="B936" s="3">
        <v>2</v>
      </c>
      <c r="C936" s="2">
        <v>50</v>
      </c>
      <c r="D936" s="2">
        <v>5</v>
      </c>
      <c r="E936" s="2">
        <v>16</v>
      </c>
      <c r="F936" s="17">
        <v>55</v>
      </c>
      <c r="H936" s="360">
        <v>0.38971403262370841</v>
      </c>
      <c r="I936" s="359">
        <v>0.51351264052924828</v>
      </c>
      <c r="K936" s="363"/>
      <c r="N936" s="10"/>
      <c r="O936" s="4"/>
      <c r="P936" s="4"/>
      <c r="Q936" s="3"/>
      <c r="R936" s="3"/>
      <c r="S936" s="3"/>
      <c r="T936" s="3"/>
    </row>
    <row r="937" spans="1:20">
      <c r="A937" s="3">
        <v>4</v>
      </c>
      <c r="B937" s="3">
        <v>2</v>
      </c>
      <c r="C937" s="2">
        <v>50</v>
      </c>
      <c r="D937" s="2">
        <v>5</v>
      </c>
      <c r="E937" s="2">
        <v>16</v>
      </c>
      <c r="F937" s="17">
        <v>56</v>
      </c>
      <c r="H937" s="360">
        <v>0.17819085117114997</v>
      </c>
      <c r="I937" s="359">
        <v>9.8021028716955116E-2</v>
      </c>
      <c r="K937" s="363"/>
      <c r="N937" s="10"/>
      <c r="O937" s="4"/>
      <c r="P937" s="4"/>
      <c r="Q937" s="3"/>
      <c r="R937" s="3"/>
      <c r="S937" s="3"/>
      <c r="T937" s="3"/>
    </row>
    <row r="938" spans="1:20">
      <c r="A938" s="3">
        <v>1</v>
      </c>
      <c r="B938" s="3">
        <v>1</v>
      </c>
      <c r="C938" s="2">
        <v>25</v>
      </c>
      <c r="D938" s="2">
        <v>30</v>
      </c>
      <c r="E938" s="2">
        <v>16</v>
      </c>
      <c r="F938" s="17">
        <v>56</v>
      </c>
      <c r="H938" s="360">
        <v>1</v>
      </c>
      <c r="I938" s="360">
        <v>-0.13754524168829366</v>
      </c>
      <c r="K938" s="363"/>
      <c r="N938" s="10"/>
      <c r="O938" s="4"/>
      <c r="P938" s="4"/>
      <c r="Q938" s="3"/>
      <c r="R938" s="3"/>
      <c r="S938" s="3"/>
      <c r="T938" s="3"/>
    </row>
    <row r="939" spans="1:20">
      <c r="A939" s="3">
        <v>3</v>
      </c>
      <c r="B939" s="3">
        <v>1</v>
      </c>
      <c r="C939" s="2">
        <v>25</v>
      </c>
      <c r="D939" s="2">
        <v>5</v>
      </c>
      <c r="E939" s="2">
        <v>16</v>
      </c>
      <c r="F939" s="17">
        <v>56</v>
      </c>
      <c r="H939" s="361">
        <v>1</v>
      </c>
      <c r="I939" s="361">
        <v>-0.25342324410716349</v>
      </c>
      <c r="K939" s="363"/>
      <c r="N939" s="10"/>
      <c r="O939" s="4"/>
      <c r="P939" s="4"/>
      <c r="Q939" s="3"/>
      <c r="R939" s="3"/>
      <c r="S939" s="3"/>
      <c r="T939" s="3"/>
    </row>
    <row r="940" spans="1:20">
      <c r="A940" s="3">
        <v>3</v>
      </c>
      <c r="B940" s="3">
        <v>1</v>
      </c>
      <c r="C940" s="2">
        <v>25</v>
      </c>
      <c r="D940" s="2">
        <v>5</v>
      </c>
      <c r="E940" s="2">
        <v>1</v>
      </c>
      <c r="F940" s="17">
        <v>56</v>
      </c>
      <c r="H940" s="360">
        <v>1</v>
      </c>
      <c r="I940" s="360">
        <v>-0.27140278620448505</v>
      </c>
      <c r="K940" s="363"/>
      <c r="N940" s="10"/>
      <c r="O940" s="4"/>
      <c r="P940" s="4"/>
      <c r="Q940" s="3"/>
      <c r="R940" s="3"/>
      <c r="S940" s="3"/>
      <c r="T940" s="3"/>
    </row>
    <row r="941" spans="1:20">
      <c r="A941" s="3">
        <v>1</v>
      </c>
      <c r="B941" s="3">
        <v>1</v>
      </c>
      <c r="C941" s="2">
        <v>25</v>
      </c>
      <c r="D941" s="2">
        <v>5</v>
      </c>
      <c r="E941" s="2">
        <v>1</v>
      </c>
      <c r="F941" s="17">
        <v>56</v>
      </c>
      <c r="H941" s="360">
        <v>1</v>
      </c>
      <c r="I941" s="360">
        <v>-0.30756052317544336</v>
      </c>
      <c r="K941" s="363"/>
      <c r="N941" s="10"/>
      <c r="O941" s="4"/>
      <c r="P941" s="4"/>
      <c r="Q941" s="3"/>
      <c r="R941" s="3"/>
      <c r="S941" s="3"/>
      <c r="T941" s="3"/>
    </row>
    <row r="942" spans="1:20">
      <c r="A942" s="3">
        <v>5</v>
      </c>
      <c r="B942" s="3">
        <v>2</v>
      </c>
      <c r="C942" s="2">
        <v>50</v>
      </c>
      <c r="D942" s="2">
        <v>5</v>
      </c>
      <c r="E942" s="2">
        <v>16</v>
      </c>
      <c r="F942" s="17">
        <v>56</v>
      </c>
      <c r="H942" s="360">
        <v>1</v>
      </c>
      <c r="I942" s="359">
        <v>-0.46707688429198713</v>
      </c>
      <c r="K942" s="363"/>
      <c r="N942" s="10"/>
      <c r="O942" s="4"/>
      <c r="P942" s="4"/>
      <c r="Q942" s="3"/>
      <c r="R942" s="3"/>
      <c r="S942" s="3"/>
      <c r="T942" s="3"/>
    </row>
    <row r="943" spans="1:20">
      <c r="A943" s="3">
        <v>1</v>
      </c>
      <c r="B943" s="3">
        <v>1</v>
      </c>
      <c r="C943" s="2">
        <v>25</v>
      </c>
      <c r="D943" s="2">
        <v>5</v>
      </c>
      <c r="E943" s="2">
        <v>16</v>
      </c>
      <c r="F943" s="17">
        <v>56</v>
      </c>
      <c r="H943" s="360">
        <v>1</v>
      </c>
      <c r="I943" s="360">
        <v>-0.52538034523028687</v>
      </c>
      <c r="K943" s="363"/>
      <c r="N943" s="10"/>
      <c r="O943" s="4"/>
      <c r="P943" s="4"/>
      <c r="Q943" s="3"/>
      <c r="R943" s="3"/>
      <c r="S943" s="3"/>
      <c r="T943" s="3"/>
    </row>
    <row r="944" spans="1:20">
      <c r="A944" s="3">
        <v>1</v>
      </c>
      <c r="B944" s="3">
        <v>2</v>
      </c>
      <c r="C944" s="2">
        <v>25</v>
      </c>
      <c r="D944" s="2">
        <v>30</v>
      </c>
      <c r="E944" s="2">
        <v>16</v>
      </c>
      <c r="F944" s="17">
        <v>56</v>
      </c>
      <c r="H944" s="360">
        <v>1</v>
      </c>
      <c r="I944" s="360">
        <v>-0.65766903080897476</v>
      </c>
      <c r="K944" s="363"/>
      <c r="N944" s="10"/>
      <c r="O944" s="4"/>
      <c r="P944" s="4"/>
      <c r="Q944" s="3"/>
      <c r="R944" s="3"/>
      <c r="S944" s="3"/>
      <c r="T944" s="3"/>
    </row>
    <row r="945" spans="1:20">
      <c r="A945" s="3">
        <v>1</v>
      </c>
      <c r="B945" s="3">
        <v>2</v>
      </c>
      <c r="C945" s="2">
        <v>25</v>
      </c>
      <c r="D945" s="2">
        <v>5</v>
      </c>
      <c r="E945" s="2">
        <v>16</v>
      </c>
      <c r="F945" s="17">
        <v>56</v>
      </c>
      <c r="H945" s="361">
        <v>1</v>
      </c>
      <c r="I945" s="361">
        <v>-0.79690792599167926</v>
      </c>
      <c r="K945" s="363"/>
      <c r="N945" s="10"/>
      <c r="O945" s="4"/>
      <c r="P945" s="4"/>
      <c r="Q945" s="3"/>
      <c r="R945" s="3"/>
      <c r="S945" s="3"/>
      <c r="T945" s="3"/>
    </row>
    <row r="946" spans="1:20">
      <c r="A946" s="3">
        <v>3</v>
      </c>
      <c r="B946" s="3">
        <v>2</v>
      </c>
      <c r="C946" s="2">
        <v>25</v>
      </c>
      <c r="D946" s="2">
        <v>5</v>
      </c>
      <c r="E946" s="2">
        <v>16</v>
      </c>
      <c r="F946" s="17">
        <v>56</v>
      </c>
      <c r="H946" s="360">
        <v>1</v>
      </c>
      <c r="I946" s="360">
        <v>-0.86646075776006048</v>
      </c>
      <c r="K946" s="363"/>
      <c r="N946" s="10"/>
      <c r="O946" s="4"/>
      <c r="P946" s="4"/>
      <c r="Q946" s="3"/>
      <c r="R946" s="3"/>
      <c r="S946" s="3"/>
      <c r="T946" s="3"/>
    </row>
    <row r="947" spans="1:20">
      <c r="A947" s="3">
        <v>2</v>
      </c>
      <c r="B947" s="3">
        <v>1</v>
      </c>
      <c r="C947" s="2">
        <v>25</v>
      </c>
      <c r="D947" s="2">
        <v>5</v>
      </c>
      <c r="E947" s="2">
        <v>1</v>
      </c>
      <c r="F947" s="17">
        <v>56</v>
      </c>
      <c r="H947" s="360">
        <v>1</v>
      </c>
      <c r="I947" s="360">
        <v>-0.8672344223581695</v>
      </c>
      <c r="K947" s="363"/>
      <c r="N947" s="10"/>
      <c r="O947" s="4"/>
      <c r="P947" s="4"/>
      <c r="Q947" s="3"/>
      <c r="R947" s="3"/>
      <c r="S947" s="3"/>
      <c r="T947" s="3"/>
    </row>
    <row r="948" spans="1:20">
      <c r="A948" s="3">
        <v>1</v>
      </c>
      <c r="B948" s="3">
        <v>2</v>
      </c>
      <c r="C948" s="2">
        <v>25</v>
      </c>
      <c r="D948" s="2">
        <v>5</v>
      </c>
      <c r="E948" s="2">
        <v>16</v>
      </c>
      <c r="F948" s="17">
        <v>56</v>
      </c>
      <c r="H948" s="360">
        <v>1</v>
      </c>
      <c r="I948" s="360">
        <v>-0.87682437991354145</v>
      </c>
      <c r="K948" s="363"/>
      <c r="N948" s="10"/>
      <c r="O948" s="4"/>
      <c r="P948" s="4"/>
      <c r="Q948" s="3"/>
      <c r="R948" s="3"/>
      <c r="S948" s="3"/>
      <c r="T948" s="3"/>
    </row>
    <row r="949" spans="1:20">
      <c r="A949" s="3">
        <v>1</v>
      </c>
      <c r="B949" s="3">
        <v>2</v>
      </c>
      <c r="C949" s="2">
        <v>25</v>
      </c>
      <c r="D949" s="2">
        <v>5</v>
      </c>
      <c r="E949" s="2">
        <v>1</v>
      </c>
      <c r="F949" s="17">
        <v>56</v>
      </c>
      <c r="H949" s="360">
        <v>1</v>
      </c>
      <c r="I949" s="360">
        <v>-0.88493618470261137</v>
      </c>
      <c r="K949" s="363"/>
      <c r="N949" s="10"/>
      <c r="O949" s="4"/>
      <c r="P949" s="4"/>
      <c r="Q949" s="3"/>
      <c r="R949" s="3"/>
      <c r="S949" s="3"/>
      <c r="T949" s="3"/>
    </row>
    <row r="950" spans="1:20">
      <c r="A950" s="3">
        <v>3</v>
      </c>
      <c r="B950" s="3">
        <v>2</v>
      </c>
      <c r="C950" s="2">
        <v>25</v>
      </c>
      <c r="D950" s="2">
        <v>5</v>
      </c>
      <c r="E950" s="2">
        <v>1</v>
      </c>
      <c r="F950" s="17">
        <v>56</v>
      </c>
      <c r="H950" s="361">
        <v>0.84485326967451635</v>
      </c>
      <c r="I950" s="361">
        <v>-0.88533121067691556</v>
      </c>
      <c r="K950" s="363"/>
      <c r="N950" s="10"/>
      <c r="O950" s="4"/>
      <c r="P950" s="4"/>
      <c r="Q950" s="3"/>
      <c r="R950" s="3"/>
      <c r="S950" s="3"/>
      <c r="T950" s="3"/>
    </row>
    <row r="951" spans="1:20">
      <c r="A951" s="3">
        <v>2</v>
      </c>
      <c r="B951" s="3">
        <v>1</v>
      </c>
      <c r="C951" s="2">
        <v>25</v>
      </c>
      <c r="D951" s="2">
        <v>5</v>
      </c>
      <c r="E951" s="2">
        <v>16</v>
      </c>
      <c r="F951" s="17">
        <v>56</v>
      </c>
      <c r="H951" s="361">
        <v>1</v>
      </c>
      <c r="I951" s="361">
        <v>-0.8939311429781569</v>
      </c>
      <c r="K951" s="363"/>
      <c r="N951" s="10"/>
      <c r="O951" s="4"/>
      <c r="P951" s="4"/>
      <c r="Q951" s="3"/>
      <c r="R951" s="3"/>
      <c r="S951" s="3"/>
      <c r="T951" s="3"/>
    </row>
    <row r="952" spans="1:20">
      <c r="A952" s="3">
        <v>2</v>
      </c>
      <c r="B952" s="3">
        <v>2</v>
      </c>
      <c r="C952" s="2">
        <v>25</v>
      </c>
      <c r="D952" s="2">
        <v>5</v>
      </c>
      <c r="E952" s="2">
        <v>1</v>
      </c>
      <c r="F952" s="17">
        <v>56</v>
      </c>
      <c r="H952" s="361">
        <v>1</v>
      </c>
      <c r="I952" s="361">
        <v>-1</v>
      </c>
      <c r="K952" s="363"/>
      <c r="N952" s="10"/>
      <c r="O952" s="4"/>
      <c r="P952" s="4"/>
      <c r="Q952" s="3"/>
      <c r="R952" s="3"/>
      <c r="S952" s="3"/>
      <c r="T952" s="3"/>
    </row>
    <row r="953" spans="1:20">
      <c r="A953" s="3">
        <v>2</v>
      </c>
      <c r="B953" s="3">
        <v>2</v>
      </c>
      <c r="C953" s="2">
        <v>25</v>
      </c>
      <c r="D953" s="2">
        <v>5</v>
      </c>
      <c r="E953" s="2">
        <v>16</v>
      </c>
      <c r="F953" s="17">
        <v>56</v>
      </c>
      <c r="H953" s="361">
        <v>1</v>
      </c>
      <c r="I953" s="361">
        <v>-1</v>
      </c>
      <c r="K953" s="363"/>
      <c r="N953" s="10"/>
      <c r="O953" s="4"/>
      <c r="P953" s="4"/>
      <c r="Q953" s="3"/>
      <c r="R953" s="3"/>
      <c r="S953" s="3"/>
      <c r="T953" s="3"/>
    </row>
    <row r="954" spans="1:20">
      <c r="A954" s="3">
        <v>1</v>
      </c>
      <c r="B954" s="3">
        <v>1</v>
      </c>
      <c r="C954" s="2">
        <v>25</v>
      </c>
      <c r="D954" s="2">
        <v>30</v>
      </c>
      <c r="E954" s="2">
        <v>16</v>
      </c>
      <c r="F954" s="17">
        <v>57</v>
      </c>
      <c r="H954" s="360">
        <v>2.5193077325270652E-2</v>
      </c>
      <c r="I954" s="360">
        <v>1</v>
      </c>
      <c r="K954" s="363"/>
      <c r="N954" s="10"/>
      <c r="O954" s="4"/>
      <c r="P954" s="4"/>
      <c r="Q954" s="3"/>
      <c r="R954" s="3"/>
      <c r="S954" s="3"/>
      <c r="T954" s="3"/>
    </row>
    <row r="955" spans="1:20">
      <c r="A955" s="3">
        <v>1</v>
      </c>
      <c r="B955" s="3">
        <v>2</v>
      </c>
      <c r="C955" s="2">
        <v>25</v>
      </c>
      <c r="D955" s="2">
        <v>5</v>
      </c>
      <c r="E955" s="2">
        <v>16</v>
      </c>
      <c r="F955" s="17">
        <v>57</v>
      </c>
      <c r="H955" s="360">
        <v>0.61964493520270603</v>
      </c>
      <c r="I955" s="360">
        <v>0.41220484326924289</v>
      </c>
      <c r="K955" s="363"/>
      <c r="N955" s="10"/>
      <c r="O955" s="4"/>
      <c r="P955" s="4"/>
      <c r="Q955" s="3"/>
      <c r="R955" s="3"/>
      <c r="S955" s="3"/>
      <c r="T955" s="3"/>
    </row>
    <row r="956" spans="1:20">
      <c r="A956" s="3">
        <v>4</v>
      </c>
      <c r="B956" s="3">
        <v>2</v>
      </c>
      <c r="C956" s="2">
        <v>50</v>
      </c>
      <c r="D956" s="2">
        <v>5</v>
      </c>
      <c r="E956" s="2">
        <v>16</v>
      </c>
      <c r="F956" s="17">
        <v>57</v>
      </c>
      <c r="H956" s="360">
        <v>9.8978095257164861E-2</v>
      </c>
      <c r="I956" s="359">
        <v>8.259321387587476E-2</v>
      </c>
      <c r="K956" s="363"/>
      <c r="N956" s="10"/>
      <c r="O956" s="4"/>
      <c r="P956" s="4"/>
      <c r="Q956" s="3"/>
      <c r="R956" s="3"/>
      <c r="S956" s="3"/>
      <c r="T956" s="3"/>
    </row>
    <row r="957" spans="1:20">
      <c r="A957" s="3">
        <v>5</v>
      </c>
      <c r="B957" s="3">
        <v>2</v>
      </c>
      <c r="C957" s="2">
        <v>50</v>
      </c>
      <c r="D957" s="2">
        <v>5</v>
      </c>
      <c r="E957" s="2">
        <v>16</v>
      </c>
      <c r="F957" s="17">
        <v>57</v>
      </c>
      <c r="H957" s="360">
        <v>0.85617585079690395</v>
      </c>
      <c r="I957" s="359">
        <v>1.4463591331546339E-2</v>
      </c>
      <c r="K957" s="363"/>
      <c r="N957" s="10"/>
      <c r="O957" s="4"/>
      <c r="P957" s="4"/>
      <c r="Q957" s="3"/>
      <c r="R957" s="3"/>
      <c r="S957" s="3"/>
      <c r="T957" s="3"/>
    </row>
    <row r="958" spans="1:20">
      <c r="A958" s="3">
        <v>1</v>
      </c>
      <c r="B958" s="3">
        <v>1</v>
      </c>
      <c r="C958" s="2">
        <v>25</v>
      </c>
      <c r="D958" s="2">
        <v>5</v>
      </c>
      <c r="E958" s="2">
        <v>1</v>
      </c>
      <c r="F958" s="17">
        <v>57</v>
      </c>
      <c r="H958" s="360">
        <v>0</v>
      </c>
      <c r="I958" s="360">
        <v>0</v>
      </c>
      <c r="K958" s="363"/>
      <c r="N958" s="10"/>
      <c r="O958" s="4"/>
      <c r="P958" s="4"/>
      <c r="Q958" s="3"/>
      <c r="R958" s="3"/>
      <c r="S958" s="3"/>
      <c r="T958" s="3"/>
    </row>
    <row r="959" spans="1:20">
      <c r="A959" s="3">
        <v>1</v>
      </c>
      <c r="B959" s="3">
        <v>1</v>
      </c>
      <c r="C959" s="2">
        <v>25</v>
      </c>
      <c r="D959" s="2">
        <v>5</v>
      </c>
      <c r="E959" s="2">
        <v>16</v>
      </c>
      <c r="F959" s="17">
        <v>57</v>
      </c>
      <c r="H959" s="360">
        <v>0</v>
      </c>
      <c r="I959" s="360">
        <v>0</v>
      </c>
      <c r="K959" s="363"/>
      <c r="N959" s="10"/>
      <c r="O959" s="4"/>
      <c r="P959" s="4"/>
      <c r="Q959" s="3"/>
      <c r="R959" s="3"/>
      <c r="S959" s="3"/>
      <c r="T959" s="3"/>
    </row>
    <row r="960" spans="1:20">
      <c r="A960" s="3">
        <v>1</v>
      </c>
      <c r="B960" s="3">
        <v>2</v>
      </c>
      <c r="C960" s="2">
        <v>25</v>
      </c>
      <c r="D960" s="2">
        <v>5</v>
      </c>
      <c r="E960" s="2">
        <v>1</v>
      </c>
      <c r="F960" s="17">
        <v>57</v>
      </c>
      <c r="H960" s="360">
        <v>0</v>
      </c>
      <c r="I960" s="360">
        <v>0</v>
      </c>
      <c r="K960" s="363"/>
      <c r="N960" s="10"/>
      <c r="O960" s="4"/>
      <c r="P960" s="4"/>
      <c r="Q960" s="3"/>
      <c r="R960" s="3"/>
      <c r="S960" s="3"/>
      <c r="T960" s="3"/>
    </row>
    <row r="961" spans="1:20">
      <c r="A961" s="3">
        <v>1</v>
      </c>
      <c r="B961" s="3">
        <v>2</v>
      </c>
      <c r="C961" s="2">
        <v>25</v>
      </c>
      <c r="D961" s="2">
        <v>5</v>
      </c>
      <c r="E961" s="2">
        <v>16</v>
      </c>
      <c r="F961" s="17">
        <v>57</v>
      </c>
      <c r="H961" s="361">
        <v>0</v>
      </c>
      <c r="I961" s="361">
        <v>0</v>
      </c>
      <c r="K961" s="363"/>
      <c r="N961" s="10"/>
      <c r="O961" s="4"/>
      <c r="P961" s="4"/>
      <c r="Q961" s="3"/>
      <c r="R961" s="3"/>
      <c r="S961" s="3"/>
      <c r="T961" s="3"/>
    </row>
    <row r="962" spans="1:20">
      <c r="A962" s="3">
        <v>2</v>
      </c>
      <c r="B962" s="3">
        <v>2</v>
      </c>
      <c r="C962" s="2">
        <v>25</v>
      </c>
      <c r="D962" s="2">
        <v>5</v>
      </c>
      <c r="E962" s="2">
        <v>1</v>
      </c>
      <c r="F962" s="17">
        <v>57</v>
      </c>
      <c r="H962" s="361">
        <v>0</v>
      </c>
      <c r="I962" s="361">
        <v>0</v>
      </c>
      <c r="K962" s="363"/>
      <c r="N962" s="10"/>
      <c r="O962" s="4"/>
      <c r="P962" s="4"/>
      <c r="Q962" s="3"/>
      <c r="R962" s="3"/>
      <c r="S962" s="3"/>
      <c r="T962" s="3"/>
    </row>
    <row r="963" spans="1:20">
      <c r="A963" s="3">
        <v>2</v>
      </c>
      <c r="B963" s="3">
        <v>2</v>
      </c>
      <c r="C963" s="2">
        <v>25</v>
      </c>
      <c r="D963" s="2">
        <v>5</v>
      </c>
      <c r="E963" s="2">
        <v>16</v>
      </c>
      <c r="F963" s="17">
        <v>57</v>
      </c>
      <c r="H963" s="361">
        <v>0</v>
      </c>
      <c r="I963" s="361">
        <v>0</v>
      </c>
      <c r="K963" s="363"/>
      <c r="N963" s="10"/>
      <c r="O963" s="4"/>
      <c r="P963" s="4"/>
      <c r="Q963" s="3"/>
      <c r="R963" s="3"/>
      <c r="S963" s="3"/>
      <c r="T963" s="3"/>
    </row>
    <row r="964" spans="1:20">
      <c r="A964" s="3">
        <v>3</v>
      </c>
      <c r="B964" s="3">
        <v>2</v>
      </c>
      <c r="C964" s="2">
        <v>25</v>
      </c>
      <c r="D964" s="2">
        <v>5</v>
      </c>
      <c r="E964" s="2">
        <v>1</v>
      </c>
      <c r="F964" s="17">
        <v>57</v>
      </c>
      <c r="H964" s="361">
        <v>0</v>
      </c>
      <c r="I964" s="361">
        <v>0</v>
      </c>
      <c r="K964" s="363"/>
      <c r="N964" s="10"/>
      <c r="O964" s="4"/>
      <c r="P964" s="4"/>
      <c r="Q964" s="3"/>
      <c r="R964" s="3"/>
      <c r="S964" s="3"/>
      <c r="T964" s="3"/>
    </row>
    <row r="965" spans="1:20">
      <c r="A965" s="3">
        <v>2</v>
      </c>
      <c r="B965" s="3">
        <v>1</v>
      </c>
      <c r="C965" s="2">
        <v>25</v>
      </c>
      <c r="D965" s="2">
        <v>5</v>
      </c>
      <c r="E965" s="2">
        <v>1</v>
      </c>
      <c r="F965" s="17">
        <v>57</v>
      </c>
      <c r="H965" s="360">
        <v>0</v>
      </c>
      <c r="I965" s="360">
        <v>0</v>
      </c>
      <c r="K965" s="363"/>
      <c r="N965" s="10"/>
      <c r="O965" s="4"/>
      <c r="P965" s="4"/>
      <c r="Q965" s="3"/>
      <c r="R965" s="3"/>
      <c r="S965" s="3"/>
      <c r="T965" s="3"/>
    </row>
    <row r="966" spans="1:20">
      <c r="A966" s="3">
        <v>3</v>
      </c>
      <c r="B966" s="3">
        <v>1</v>
      </c>
      <c r="C966" s="2">
        <v>25</v>
      </c>
      <c r="D966" s="2">
        <v>5</v>
      </c>
      <c r="E966" s="2">
        <v>1</v>
      </c>
      <c r="F966" s="17">
        <v>57</v>
      </c>
      <c r="H966" s="360">
        <v>0</v>
      </c>
      <c r="I966" s="360">
        <v>0</v>
      </c>
      <c r="K966" s="363"/>
      <c r="N966" s="10"/>
      <c r="O966" s="4"/>
      <c r="P966" s="4"/>
      <c r="Q966" s="3"/>
      <c r="R966" s="3"/>
      <c r="S966" s="3"/>
      <c r="T966" s="3"/>
    </row>
    <row r="967" spans="1:20">
      <c r="A967" s="3">
        <v>3</v>
      </c>
      <c r="B967" s="3">
        <v>1</v>
      </c>
      <c r="C967" s="2">
        <v>25</v>
      </c>
      <c r="D967" s="2">
        <v>5</v>
      </c>
      <c r="E967" s="2">
        <v>16</v>
      </c>
      <c r="F967" s="17">
        <v>57</v>
      </c>
      <c r="H967" s="361">
        <v>0</v>
      </c>
      <c r="I967" s="361">
        <v>0</v>
      </c>
      <c r="K967" s="363"/>
      <c r="N967" s="10"/>
      <c r="O967" s="4"/>
      <c r="P967" s="4"/>
      <c r="Q967" s="3"/>
      <c r="R967" s="3"/>
      <c r="S967" s="3"/>
      <c r="T967" s="3"/>
    </row>
    <row r="968" spans="1:20">
      <c r="A968" s="3">
        <v>1</v>
      </c>
      <c r="B968" s="3">
        <v>2</v>
      </c>
      <c r="C968" s="2">
        <v>25</v>
      </c>
      <c r="D968" s="2">
        <v>30</v>
      </c>
      <c r="E968" s="2">
        <v>16</v>
      </c>
      <c r="F968" s="17">
        <v>57</v>
      </c>
      <c r="H968" s="360">
        <v>5.7632289855028329E-2</v>
      </c>
      <c r="I968" s="360">
        <v>-0.12014995559593482</v>
      </c>
      <c r="K968" s="363"/>
      <c r="N968" s="10"/>
      <c r="O968" s="4"/>
      <c r="P968" s="4"/>
      <c r="Q968" s="3"/>
      <c r="R968" s="3"/>
      <c r="S968" s="3"/>
      <c r="T968" s="3"/>
    </row>
    <row r="969" spans="1:20">
      <c r="A969" s="3">
        <v>3</v>
      </c>
      <c r="B969" s="3">
        <v>2</v>
      </c>
      <c r="C969" s="2">
        <v>25</v>
      </c>
      <c r="D969" s="2">
        <v>5</v>
      </c>
      <c r="E969" s="2">
        <v>16</v>
      </c>
      <c r="F969" s="17">
        <v>57</v>
      </c>
      <c r="H969" s="360">
        <v>5.2470827003632037E-2</v>
      </c>
      <c r="I969" s="360">
        <v>-0.38733755162353656</v>
      </c>
      <c r="K969" s="363"/>
      <c r="N969" s="10"/>
      <c r="O969" s="4"/>
      <c r="P969" s="4"/>
      <c r="Q969" s="3"/>
      <c r="R969" s="3"/>
      <c r="S969" s="3"/>
      <c r="T969" s="3"/>
    </row>
    <row r="970" spans="1:20">
      <c r="A970" s="3">
        <v>2</v>
      </c>
      <c r="B970" s="3">
        <v>1</v>
      </c>
      <c r="C970" s="2">
        <v>25</v>
      </c>
      <c r="D970" s="2">
        <v>5</v>
      </c>
      <c r="E970" s="2">
        <v>16</v>
      </c>
      <c r="F970" s="17">
        <v>57</v>
      </c>
      <c r="H970" s="361">
        <v>6.1038501319872318E-2</v>
      </c>
      <c r="I970" s="361">
        <v>-1</v>
      </c>
      <c r="K970" s="363"/>
      <c r="N970" s="10"/>
      <c r="O970" s="4"/>
      <c r="P970" s="4"/>
      <c r="Q970" s="3"/>
      <c r="R970" s="3"/>
      <c r="S970" s="3"/>
      <c r="T970" s="3"/>
    </row>
    <row r="971" spans="1:20">
      <c r="A971" s="3">
        <v>1</v>
      </c>
      <c r="B971" s="3">
        <v>1</v>
      </c>
      <c r="C971" s="2">
        <v>25</v>
      </c>
      <c r="D971" s="2">
        <v>30</v>
      </c>
      <c r="E971" s="2">
        <v>16</v>
      </c>
      <c r="F971" s="17">
        <v>58</v>
      </c>
      <c r="H971" s="360">
        <v>0.59498749969104592</v>
      </c>
      <c r="I971" s="360">
        <v>0.7613824858415843</v>
      </c>
      <c r="K971" s="363"/>
      <c r="N971" s="10"/>
      <c r="O971" s="4"/>
      <c r="P971" s="4"/>
      <c r="Q971" s="3"/>
      <c r="R971" s="3"/>
      <c r="S971" s="3"/>
      <c r="T971" s="3"/>
    </row>
    <row r="972" spans="1:20">
      <c r="A972" s="3">
        <v>1</v>
      </c>
      <c r="B972" s="3">
        <v>1</v>
      </c>
      <c r="C972" s="2">
        <v>25</v>
      </c>
      <c r="D972" s="2">
        <v>5</v>
      </c>
      <c r="E972" s="2">
        <v>1</v>
      </c>
      <c r="F972" s="17">
        <v>58</v>
      </c>
      <c r="H972" s="360">
        <v>2.9179752450210983E-2</v>
      </c>
      <c r="I972" s="360">
        <v>0.67587109642834886</v>
      </c>
      <c r="K972" s="363"/>
      <c r="N972" s="10"/>
      <c r="O972" s="4"/>
      <c r="P972" s="4"/>
      <c r="Q972" s="3"/>
      <c r="R972" s="3"/>
      <c r="S972" s="3"/>
      <c r="T972" s="3"/>
    </row>
    <row r="973" spans="1:20">
      <c r="A973" s="3">
        <v>1</v>
      </c>
      <c r="B973" s="3">
        <v>2</v>
      </c>
      <c r="C973" s="2">
        <v>25</v>
      </c>
      <c r="D973" s="2">
        <v>5</v>
      </c>
      <c r="E973" s="2">
        <v>16</v>
      </c>
      <c r="F973" s="17">
        <v>58</v>
      </c>
      <c r="H973" s="360">
        <v>1</v>
      </c>
      <c r="I973" s="360">
        <v>0.65170361362843698</v>
      </c>
      <c r="K973" s="363"/>
      <c r="N973" s="10"/>
      <c r="O973" s="4"/>
      <c r="P973" s="4"/>
      <c r="Q973" s="3"/>
      <c r="R973" s="3"/>
      <c r="S973" s="3"/>
      <c r="T973" s="3"/>
    </row>
    <row r="974" spans="1:20">
      <c r="A974" s="3">
        <v>1</v>
      </c>
      <c r="B974" s="3">
        <v>2</v>
      </c>
      <c r="C974" s="2">
        <v>25</v>
      </c>
      <c r="D974" s="2">
        <v>30</v>
      </c>
      <c r="E974" s="2">
        <v>16</v>
      </c>
      <c r="F974" s="17">
        <v>58</v>
      </c>
      <c r="H974" s="360">
        <v>0.99572105561540858</v>
      </c>
      <c r="I974" s="360">
        <v>0.65112649194670114</v>
      </c>
      <c r="K974" s="363"/>
      <c r="N974" s="10"/>
      <c r="O974" s="4"/>
      <c r="P974" s="4"/>
      <c r="Q974" s="3"/>
      <c r="R974" s="3"/>
      <c r="S974" s="3"/>
      <c r="T974" s="3"/>
    </row>
    <row r="975" spans="1:20">
      <c r="A975" s="3">
        <v>1</v>
      </c>
      <c r="B975" s="3">
        <v>2</v>
      </c>
      <c r="C975" s="2">
        <v>25</v>
      </c>
      <c r="D975" s="2">
        <v>5</v>
      </c>
      <c r="E975" s="2">
        <v>16</v>
      </c>
      <c r="F975" s="17">
        <v>58</v>
      </c>
      <c r="H975" s="361">
        <v>0.49917416037215445</v>
      </c>
      <c r="I975" s="361">
        <v>0.59051001053556784</v>
      </c>
      <c r="K975" s="363"/>
      <c r="N975" s="10"/>
      <c r="O975" s="4"/>
      <c r="P975" s="4"/>
      <c r="Q975" s="3"/>
      <c r="R975" s="3"/>
      <c r="S975" s="3"/>
      <c r="T975" s="3"/>
    </row>
    <row r="976" spans="1:20">
      <c r="A976" s="3">
        <v>5</v>
      </c>
      <c r="B976" s="3">
        <v>2</v>
      </c>
      <c r="C976" s="2">
        <v>50</v>
      </c>
      <c r="D976" s="2">
        <v>5</v>
      </c>
      <c r="E976" s="2">
        <v>16</v>
      </c>
      <c r="F976" s="17">
        <v>58</v>
      </c>
      <c r="H976" s="360">
        <v>1</v>
      </c>
      <c r="I976" s="359">
        <v>0.58567571320371636</v>
      </c>
      <c r="K976" s="363"/>
      <c r="N976" s="10"/>
      <c r="O976" s="4"/>
      <c r="P976" s="4"/>
      <c r="Q976" s="3"/>
      <c r="R976" s="3"/>
      <c r="S976" s="3"/>
      <c r="T976" s="3"/>
    </row>
    <row r="977" spans="1:20">
      <c r="A977" s="3">
        <v>1</v>
      </c>
      <c r="B977" s="3">
        <v>1</v>
      </c>
      <c r="C977" s="2">
        <v>25</v>
      </c>
      <c r="D977" s="2">
        <v>5</v>
      </c>
      <c r="E977" s="2">
        <v>16</v>
      </c>
      <c r="F977" s="17">
        <v>58</v>
      </c>
      <c r="H977" s="360">
        <v>0.1972069994555814</v>
      </c>
      <c r="I977" s="360">
        <v>0.56717200083181096</v>
      </c>
      <c r="K977" s="363"/>
      <c r="N977" s="10"/>
      <c r="O977" s="4"/>
      <c r="P977" s="4"/>
      <c r="Q977" s="3"/>
      <c r="R977" s="3"/>
      <c r="S977" s="3"/>
      <c r="T977" s="3"/>
    </row>
    <row r="978" spans="1:20">
      <c r="A978" s="3">
        <v>1</v>
      </c>
      <c r="B978" s="3">
        <v>2</v>
      </c>
      <c r="C978" s="2">
        <v>25</v>
      </c>
      <c r="D978" s="2">
        <v>5</v>
      </c>
      <c r="E978" s="2">
        <v>1</v>
      </c>
      <c r="F978" s="17">
        <v>58</v>
      </c>
      <c r="H978" s="360">
        <v>3.0044294824861151E-2</v>
      </c>
      <c r="I978" s="360">
        <v>0.55643407788100419</v>
      </c>
      <c r="K978" s="363"/>
      <c r="N978" s="10"/>
      <c r="O978" s="4"/>
      <c r="P978" s="4"/>
      <c r="Q978" s="3"/>
      <c r="R978" s="3"/>
      <c r="S978" s="3"/>
      <c r="T978" s="3"/>
    </row>
    <row r="979" spans="1:20">
      <c r="A979" s="3">
        <v>2</v>
      </c>
      <c r="B979" s="3">
        <v>1</v>
      </c>
      <c r="C979" s="2">
        <v>25</v>
      </c>
      <c r="D979" s="2">
        <v>5</v>
      </c>
      <c r="E979" s="2">
        <v>1</v>
      </c>
      <c r="F979" s="17">
        <v>58</v>
      </c>
      <c r="H979" s="360">
        <v>0</v>
      </c>
      <c r="I979" s="360">
        <v>0</v>
      </c>
      <c r="K979" s="363"/>
      <c r="N979" s="10"/>
      <c r="O979" s="4"/>
      <c r="P979" s="4"/>
      <c r="Q979" s="3"/>
      <c r="R979" s="3"/>
      <c r="S979" s="3"/>
      <c r="T979" s="3"/>
    </row>
    <row r="980" spans="1:20">
      <c r="A980" s="3">
        <v>2</v>
      </c>
      <c r="B980" s="3">
        <v>1</v>
      </c>
      <c r="C980" s="2">
        <v>25</v>
      </c>
      <c r="D980" s="2">
        <v>5</v>
      </c>
      <c r="E980" s="2">
        <v>16</v>
      </c>
      <c r="F980" s="17">
        <v>58</v>
      </c>
      <c r="H980" s="361">
        <v>0</v>
      </c>
      <c r="I980" s="361">
        <v>0</v>
      </c>
      <c r="K980" s="363"/>
      <c r="N980" s="10"/>
      <c r="O980" s="4"/>
      <c r="P980" s="4"/>
      <c r="Q980" s="3"/>
      <c r="R980" s="3"/>
      <c r="S980" s="3"/>
      <c r="T980" s="3"/>
    </row>
    <row r="981" spans="1:20">
      <c r="A981" s="3">
        <v>3</v>
      </c>
      <c r="B981" s="3">
        <v>1</v>
      </c>
      <c r="C981" s="2">
        <v>25</v>
      </c>
      <c r="D981" s="2">
        <v>5</v>
      </c>
      <c r="E981" s="2">
        <v>1</v>
      </c>
      <c r="F981" s="17">
        <v>58</v>
      </c>
      <c r="H981" s="360">
        <v>0</v>
      </c>
      <c r="I981" s="360">
        <v>0</v>
      </c>
      <c r="K981" s="363"/>
      <c r="N981" s="10"/>
      <c r="O981" s="4"/>
      <c r="P981" s="4"/>
      <c r="Q981" s="3"/>
      <c r="R981" s="3"/>
      <c r="S981" s="3"/>
      <c r="T981" s="3"/>
    </row>
    <row r="982" spans="1:20">
      <c r="A982" s="3">
        <v>2</v>
      </c>
      <c r="B982" s="3">
        <v>2</v>
      </c>
      <c r="C982" s="2">
        <v>25</v>
      </c>
      <c r="D982" s="2">
        <v>5</v>
      </c>
      <c r="E982" s="2">
        <v>16</v>
      </c>
      <c r="F982" s="17">
        <v>58</v>
      </c>
      <c r="H982" s="361">
        <v>0.4654160932860143</v>
      </c>
      <c r="I982" s="361">
        <v>-0.14923469387755103</v>
      </c>
      <c r="K982" s="363"/>
      <c r="N982" s="10"/>
      <c r="O982" s="4"/>
      <c r="P982" s="4"/>
      <c r="Q982" s="3"/>
      <c r="R982" s="3"/>
      <c r="S982" s="3"/>
      <c r="T982" s="3"/>
    </row>
    <row r="983" spans="1:20">
      <c r="A983" s="3">
        <v>3</v>
      </c>
      <c r="B983" s="3">
        <v>1</v>
      </c>
      <c r="C983" s="2">
        <v>25</v>
      </c>
      <c r="D983" s="2">
        <v>5</v>
      </c>
      <c r="E983" s="2">
        <v>16</v>
      </c>
      <c r="F983" s="17">
        <v>58</v>
      </c>
      <c r="H983" s="361">
        <v>1.5587682342716458E-2</v>
      </c>
      <c r="I983" s="361">
        <v>-0.48120405049243997</v>
      </c>
      <c r="K983" s="363"/>
      <c r="N983" s="10"/>
      <c r="O983" s="4"/>
      <c r="P983" s="4"/>
      <c r="Q983" s="3"/>
      <c r="R983" s="3"/>
      <c r="S983" s="3"/>
      <c r="T983" s="3"/>
    </row>
    <row r="984" spans="1:20">
      <c r="A984" s="3">
        <v>4</v>
      </c>
      <c r="B984" s="3">
        <v>2</v>
      </c>
      <c r="C984" s="2">
        <v>50</v>
      </c>
      <c r="D984" s="2">
        <v>5</v>
      </c>
      <c r="E984" s="2">
        <v>16</v>
      </c>
      <c r="F984" s="17">
        <v>58</v>
      </c>
      <c r="H984" s="360">
        <v>1</v>
      </c>
      <c r="I984" s="359">
        <v>-0.79312146082130952</v>
      </c>
      <c r="K984" s="363"/>
      <c r="N984" s="10"/>
      <c r="O984" s="4"/>
      <c r="P984" s="4"/>
      <c r="Q984" s="3"/>
      <c r="R984" s="3"/>
      <c r="S984" s="3"/>
      <c r="T984" s="3"/>
    </row>
    <row r="985" spans="1:20">
      <c r="A985" s="3">
        <v>3</v>
      </c>
      <c r="B985" s="3">
        <v>2</v>
      </c>
      <c r="C985" s="2">
        <v>25</v>
      </c>
      <c r="D985" s="2">
        <v>5</v>
      </c>
      <c r="E985" s="2">
        <v>1</v>
      </c>
      <c r="F985" s="17">
        <v>58</v>
      </c>
      <c r="H985" s="361">
        <v>0.30560899348406534</v>
      </c>
      <c r="I985" s="361">
        <v>-0.85917121392796214</v>
      </c>
      <c r="K985" s="363"/>
      <c r="N985" s="10"/>
      <c r="O985" s="4"/>
      <c r="P985" s="4"/>
      <c r="Q985" s="3"/>
      <c r="R985" s="3"/>
      <c r="S985" s="3"/>
      <c r="T985" s="3"/>
    </row>
    <row r="986" spans="1:20">
      <c r="A986" s="3">
        <v>3</v>
      </c>
      <c r="B986" s="3">
        <v>2</v>
      </c>
      <c r="C986" s="2">
        <v>25</v>
      </c>
      <c r="D986" s="2">
        <v>5</v>
      </c>
      <c r="E986" s="2">
        <v>16</v>
      </c>
      <c r="F986" s="17">
        <v>58</v>
      </c>
      <c r="H986" s="360">
        <v>0.87507136166457755</v>
      </c>
      <c r="I986" s="360">
        <v>-0.95493001241917186</v>
      </c>
      <c r="K986" s="363"/>
      <c r="N986" s="10"/>
      <c r="O986" s="4"/>
      <c r="P986" s="4"/>
      <c r="Q986" s="3"/>
      <c r="R986" s="3"/>
      <c r="S986" s="3"/>
      <c r="T986" s="3"/>
    </row>
    <row r="987" spans="1:20">
      <c r="A987" s="3">
        <v>2</v>
      </c>
      <c r="B987" s="3">
        <v>2</v>
      </c>
      <c r="C987" s="2">
        <v>25</v>
      </c>
      <c r="D987" s="2">
        <v>5</v>
      </c>
      <c r="E987" s="2">
        <v>1</v>
      </c>
      <c r="F987" s="17">
        <v>58</v>
      </c>
      <c r="H987" s="361">
        <v>4.789227761657211E-2</v>
      </c>
      <c r="I987" s="361">
        <v>-1</v>
      </c>
      <c r="K987" s="363"/>
      <c r="N987" s="10"/>
      <c r="O987" s="4"/>
      <c r="P987" s="4"/>
      <c r="Q987" s="3"/>
      <c r="R987" s="3"/>
      <c r="S987" s="3"/>
      <c r="T987" s="3"/>
    </row>
    <row r="988" spans="1:20">
      <c r="A988" s="3">
        <v>4</v>
      </c>
      <c r="B988" s="3">
        <v>2</v>
      </c>
      <c r="C988" s="2">
        <v>50</v>
      </c>
      <c r="D988" s="2">
        <v>5</v>
      </c>
      <c r="E988" s="2">
        <v>16</v>
      </c>
      <c r="F988" s="17">
        <v>59</v>
      </c>
      <c r="H988" s="360">
        <v>0.94513651315338254</v>
      </c>
      <c r="I988" s="359">
        <v>1.2036337235143862E-2</v>
      </c>
      <c r="K988" s="363"/>
      <c r="N988" s="10"/>
      <c r="O988" s="4"/>
      <c r="P988" s="4"/>
      <c r="Q988" s="3"/>
      <c r="R988" s="3"/>
      <c r="S988" s="3"/>
      <c r="T988" s="3"/>
    </row>
    <row r="989" spans="1:20">
      <c r="A989" s="3">
        <v>5</v>
      </c>
      <c r="B989" s="3">
        <v>2</v>
      </c>
      <c r="C989" s="2">
        <v>50</v>
      </c>
      <c r="D989" s="2">
        <v>5</v>
      </c>
      <c r="E989" s="2">
        <v>16</v>
      </c>
      <c r="F989" s="17">
        <v>59</v>
      </c>
      <c r="H989" s="360">
        <v>1</v>
      </c>
      <c r="I989" s="359">
        <v>-1.1621399487600343E-2</v>
      </c>
      <c r="K989" s="363"/>
      <c r="N989" s="10"/>
      <c r="O989" s="4"/>
      <c r="P989" s="4"/>
      <c r="Q989" s="3"/>
      <c r="R989" s="3"/>
      <c r="S989" s="3"/>
      <c r="T989" s="3"/>
    </row>
    <row r="990" spans="1:20">
      <c r="A990" s="3">
        <v>3</v>
      </c>
      <c r="B990" s="3">
        <v>2</v>
      </c>
      <c r="C990" s="2">
        <v>25</v>
      </c>
      <c r="D990" s="2">
        <v>5</v>
      </c>
      <c r="E990" s="2">
        <v>16</v>
      </c>
      <c r="F990" s="17">
        <v>59</v>
      </c>
      <c r="H990" s="360">
        <v>0.3044281520721257</v>
      </c>
      <c r="I990" s="360">
        <v>-0.29867118956823679</v>
      </c>
      <c r="K990" s="363"/>
      <c r="N990" s="10"/>
      <c r="O990" s="4"/>
      <c r="P990" s="4"/>
      <c r="Q990" s="3"/>
      <c r="R990" s="3"/>
      <c r="S990" s="3"/>
      <c r="T990" s="3"/>
    </row>
    <row r="991" spans="1:20">
      <c r="A991" s="3">
        <v>1</v>
      </c>
      <c r="B991" s="3">
        <v>2</v>
      </c>
      <c r="C991" s="2">
        <v>25</v>
      </c>
      <c r="D991" s="2">
        <v>5</v>
      </c>
      <c r="E991" s="2">
        <v>16</v>
      </c>
      <c r="F991" s="17">
        <v>59</v>
      </c>
      <c r="H991" s="360">
        <v>1</v>
      </c>
      <c r="I991" s="360">
        <v>-0.34078153896826036</v>
      </c>
      <c r="K991" s="363"/>
      <c r="N991" s="10"/>
      <c r="O991" s="4"/>
      <c r="P991" s="4"/>
      <c r="Q991" s="3"/>
      <c r="R991" s="3"/>
      <c r="S991" s="3"/>
      <c r="T991" s="3"/>
    </row>
    <row r="992" spans="1:20">
      <c r="A992" s="3">
        <v>3</v>
      </c>
      <c r="B992" s="3">
        <v>2</v>
      </c>
      <c r="C992" s="2">
        <v>25</v>
      </c>
      <c r="D992" s="2">
        <v>5</v>
      </c>
      <c r="E992" s="2">
        <v>1</v>
      </c>
      <c r="F992" s="17">
        <v>59</v>
      </c>
      <c r="H992" s="361">
        <v>0.17616206889324082</v>
      </c>
      <c r="I992" s="361">
        <v>-0.35284334167025455</v>
      </c>
      <c r="K992" s="363"/>
      <c r="N992" s="10"/>
      <c r="O992" s="4"/>
      <c r="P992" s="4"/>
      <c r="Q992" s="3"/>
      <c r="R992" s="3"/>
      <c r="S992" s="3"/>
      <c r="T992" s="3"/>
    </row>
    <row r="993" spans="1:20">
      <c r="A993" s="3">
        <v>1</v>
      </c>
      <c r="B993" s="3">
        <v>2</v>
      </c>
      <c r="C993" s="2">
        <v>25</v>
      </c>
      <c r="D993" s="2">
        <v>5</v>
      </c>
      <c r="E993" s="2">
        <v>16</v>
      </c>
      <c r="F993" s="17">
        <v>59</v>
      </c>
      <c r="H993" s="361">
        <v>1</v>
      </c>
      <c r="I993" s="361">
        <v>-0.36707004835031731</v>
      </c>
      <c r="K993" s="363"/>
      <c r="N993" s="10"/>
      <c r="O993" s="4"/>
      <c r="P993" s="4"/>
      <c r="Q993" s="3"/>
      <c r="R993" s="3"/>
      <c r="S993" s="3"/>
      <c r="T993" s="3"/>
    </row>
    <row r="994" spans="1:20">
      <c r="A994" s="3">
        <v>1</v>
      </c>
      <c r="B994" s="3">
        <v>2</v>
      </c>
      <c r="C994" s="2">
        <v>25</v>
      </c>
      <c r="D994" s="2">
        <v>5</v>
      </c>
      <c r="E994" s="2">
        <v>1</v>
      </c>
      <c r="F994" s="17">
        <v>59</v>
      </c>
      <c r="H994" s="360">
        <v>0.24253147813250697</v>
      </c>
      <c r="I994" s="360">
        <v>-0.39514568610936301</v>
      </c>
      <c r="K994" s="363"/>
      <c r="N994" s="10"/>
      <c r="O994" s="4"/>
      <c r="P994" s="4"/>
      <c r="Q994" s="3"/>
      <c r="R994" s="3"/>
      <c r="S994" s="3"/>
      <c r="T994" s="3"/>
    </row>
    <row r="995" spans="1:20">
      <c r="A995" s="3">
        <v>1</v>
      </c>
      <c r="B995" s="3">
        <v>2</v>
      </c>
      <c r="C995" s="2">
        <v>25</v>
      </c>
      <c r="D995" s="2">
        <v>30</v>
      </c>
      <c r="E995" s="2">
        <v>16</v>
      </c>
      <c r="F995" s="17">
        <v>59</v>
      </c>
      <c r="H995" s="360">
        <v>1</v>
      </c>
      <c r="I995" s="360">
        <v>-0.43456921487241912</v>
      </c>
      <c r="K995" s="363"/>
      <c r="N995" s="10"/>
      <c r="O995" s="4"/>
      <c r="P995" s="4"/>
      <c r="Q995" s="3"/>
      <c r="R995" s="3"/>
      <c r="S995" s="3"/>
      <c r="T995" s="3"/>
    </row>
    <row r="996" spans="1:20">
      <c r="A996" s="3">
        <v>1</v>
      </c>
      <c r="B996" s="3">
        <v>1</v>
      </c>
      <c r="C996" s="2">
        <v>25</v>
      </c>
      <c r="D996" s="2">
        <v>30</v>
      </c>
      <c r="E996" s="2">
        <v>16</v>
      </c>
      <c r="F996" s="17">
        <v>59</v>
      </c>
      <c r="H996" s="360">
        <v>1</v>
      </c>
      <c r="I996" s="360">
        <v>-0.45188757162493104</v>
      </c>
      <c r="K996" s="363"/>
      <c r="N996" s="10"/>
      <c r="O996" s="4"/>
      <c r="P996" s="4"/>
      <c r="Q996" s="3"/>
      <c r="R996" s="3"/>
      <c r="S996" s="3"/>
      <c r="T996" s="3"/>
    </row>
    <row r="997" spans="1:20">
      <c r="A997" s="3">
        <v>1</v>
      </c>
      <c r="B997" s="3">
        <v>1</v>
      </c>
      <c r="C997" s="2">
        <v>25</v>
      </c>
      <c r="D997" s="2">
        <v>5</v>
      </c>
      <c r="E997" s="2">
        <v>1</v>
      </c>
      <c r="F997" s="17">
        <v>59</v>
      </c>
      <c r="H997" s="360">
        <v>0.92055094729955889</v>
      </c>
      <c r="I997" s="360">
        <v>-0.45244336171238653</v>
      </c>
      <c r="K997" s="363"/>
      <c r="N997" s="10"/>
      <c r="O997" s="4"/>
      <c r="P997" s="4"/>
      <c r="Q997" s="3"/>
      <c r="R997" s="3"/>
      <c r="S997" s="3"/>
      <c r="T997" s="3"/>
    </row>
    <row r="998" spans="1:20">
      <c r="A998" s="3">
        <v>1</v>
      </c>
      <c r="B998" s="3">
        <v>1</v>
      </c>
      <c r="C998" s="2">
        <v>25</v>
      </c>
      <c r="D998" s="2">
        <v>5</v>
      </c>
      <c r="E998" s="2">
        <v>16</v>
      </c>
      <c r="F998" s="17">
        <v>59</v>
      </c>
      <c r="H998" s="360">
        <v>0.99630289615180545</v>
      </c>
      <c r="I998" s="360">
        <v>-0.45689852472840792</v>
      </c>
      <c r="K998" s="363"/>
      <c r="N998" s="10"/>
      <c r="O998" s="4"/>
      <c r="P998" s="4"/>
      <c r="Q998" s="3"/>
      <c r="R998" s="3"/>
      <c r="S998" s="3"/>
      <c r="T998" s="3"/>
    </row>
    <row r="999" spans="1:20">
      <c r="A999" s="3">
        <v>3</v>
      </c>
      <c r="B999" s="3">
        <v>1</v>
      </c>
      <c r="C999" s="2">
        <v>25</v>
      </c>
      <c r="D999" s="2">
        <v>5</v>
      </c>
      <c r="E999" s="2">
        <v>1</v>
      </c>
      <c r="F999" s="17">
        <v>59</v>
      </c>
      <c r="H999" s="360">
        <v>0.55446883695398275</v>
      </c>
      <c r="I999" s="360">
        <v>-0.47406757659060017</v>
      </c>
      <c r="K999" s="363"/>
      <c r="N999" s="10"/>
      <c r="O999" s="4"/>
      <c r="P999" s="4"/>
      <c r="Q999" s="3"/>
      <c r="R999" s="3"/>
      <c r="S999" s="3"/>
      <c r="T999" s="3"/>
    </row>
    <row r="1000" spans="1:20">
      <c r="A1000" s="3">
        <v>3</v>
      </c>
      <c r="B1000" s="3">
        <v>1</v>
      </c>
      <c r="C1000" s="2">
        <v>25</v>
      </c>
      <c r="D1000" s="2">
        <v>5</v>
      </c>
      <c r="E1000" s="2">
        <v>16</v>
      </c>
      <c r="F1000" s="17">
        <v>59</v>
      </c>
      <c r="H1000" s="361">
        <v>1</v>
      </c>
      <c r="I1000" s="361">
        <v>-0.50287298629789656</v>
      </c>
      <c r="K1000" s="363"/>
      <c r="N1000" s="10"/>
      <c r="O1000" s="4"/>
      <c r="P1000" s="4"/>
      <c r="Q1000" s="3"/>
      <c r="R1000" s="3"/>
      <c r="S1000" s="3"/>
      <c r="T1000" s="3"/>
    </row>
    <row r="1001" spans="1:20">
      <c r="A1001" s="3">
        <v>2</v>
      </c>
      <c r="B1001" s="3">
        <v>1</v>
      </c>
      <c r="C1001" s="2">
        <v>25</v>
      </c>
      <c r="D1001" s="2">
        <v>5</v>
      </c>
      <c r="E1001" s="2">
        <v>16</v>
      </c>
      <c r="F1001" s="17">
        <v>59</v>
      </c>
      <c r="H1001" s="361">
        <v>1</v>
      </c>
      <c r="I1001" s="361">
        <v>-0.84867983137341918</v>
      </c>
      <c r="K1001" s="363"/>
      <c r="N1001" s="10"/>
      <c r="O1001" s="4"/>
      <c r="P1001" s="4"/>
      <c r="Q1001" s="3"/>
      <c r="R1001" s="3"/>
      <c r="S1001" s="3"/>
      <c r="T1001" s="3"/>
    </row>
    <row r="1002" spans="1:20">
      <c r="A1002" s="3">
        <v>2</v>
      </c>
      <c r="B1002" s="3">
        <v>2</v>
      </c>
      <c r="C1002" s="2">
        <v>25</v>
      </c>
      <c r="D1002" s="2">
        <v>5</v>
      </c>
      <c r="E1002" s="2">
        <v>16</v>
      </c>
      <c r="F1002" s="17">
        <v>59</v>
      </c>
      <c r="H1002" s="361">
        <v>1</v>
      </c>
      <c r="I1002" s="361">
        <v>-0.86075804091469887</v>
      </c>
      <c r="K1002" s="363"/>
      <c r="N1002" s="10"/>
      <c r="O1002" s="4"/>
      <c r="P1002" s="4"/>
      <c r="Q1002" s="3"/>
      <c r="R1002" s="3"/>
      <c r="S1002" s="3"/>
      <c r="T1002" s="3"/>
    </row>
    <row r="1003" spans="1:20">
      <c r="A1003" s="3">
        <v>2</v>
      </c>
      <c r="B1003" s="3">
        <v>1</v>
      </c>
      <c r="C1003" s="2">
        <v>25</v>
      </c>
      <c r="D1003" s="2">
        <v>5</v>
      </c>
      <c r="E1003" s="2">
        <v>1</v>
      </c>
      <c r="F1003" s="17">
        <v>59</v>
      </c>
      <c r="H1003" s="360">
        <v>1</v>
      </c>
      <c r="I1003" s="360">
        <v>-0.87305944211745834</v>
      </c>
      <c r="K1003" s="363"/>
      <c r="N1003" s="10"/>
      <c r="O1003" s="4"/>
      <c r="P1003" s="4"/>
      <c r="Q1003" s="3"/>
      <c r="R1003" s="3"/>
      <c r="S1003" s="3"/>
      <c r="T1003" s="3"/>
    </row>
    <row r="1004" spans="1:20">
      <c r="A1004" s="3">
        <v>2</v>
      </c>
      <c r="B1004" s="3">
        <v>2</v>
      </c>
      <c r="C1004" s="2">
        <v>25</v>
      </c>
      <c r="D1004" s="2">
        <v>5</v>
      </c>
      <c r="E1004" s="2">
        <v>1</v>
      </c>
      <c r="F1004" s="17">
        <v>59</v>
      </c>
      <c r="H1004" s="361">
        <v>1</v>
      </c>
      <c r="I1004" s="361">
        <v>-0.87621656802942471</v>
      </c>
      <c r="K1004" s="363"/>
      <c r="N1004" s="10"/>
      <c r="O1004" s="4"/>
      <c r="P1004" s="4"/>
      <c r="Q1004" s="3"/>
      <c r="R1004" s="3"/>
      <c r="S1004" s="3"/>
      <c r="T1004" s="3"/>
    </row>
    <row r="1005" spans="1:20">
      <c r="A1005" s="3">
        <v>2</v>
      </c>
      <c r="B1005" s="3">
        <v>1</v>
      </c>
      <c r="C1005" s="2">
        <v>25</v>
      </c>
      <c r="D1005" s="2">
        <v>5</v>
      </c>
      <c r="E1005" s="2">
        <v>1</v>
      </c>
      <c r="F1005" s="17">
        <v>60</v>
      </c>
      <c r="H1005" s="360">
        <v>0.99637186324388283</v>
      </c>
      <c r="I1005" s="360">
        <v>0.89602617891674019</v>
      </c>
      <c r="K1005" s="363"/>
      <c r="N1005" s="10"/>
      <c r="O1005" s="4"/>
      <c r="P1005" s="4"/>
      <c r="Q1005" s="3"/>
      <c r="R1005" s="3"/>
      <c r="S1005" s="3"/>
      <c r="T1005" s="3"/>
    </row>
    <row r="1006" spans="1:20">
      <c r="A1006" s="3">
        <v>2</v>
      </c>
      <c r="B1006" s="3">
        <v>1</v>
      </c>
      <c r="C1006" s="2">
        <v>25</v>
      </c>
      <c r="D1006" s="2">
        <v>5</v>
      </c>
      <c r="E1006" s="2">
        <v>16</v>
      </c>
      <c r="F1006" s="17">
        <v>60</v>
      </c>
      <c r="H1006" s="361">
        <v>1</v>
      </c>
      <c r="I1006" s="361">
        <v>0.88734623834074244</v>
      </c>
      <c r="K1006" s="363"/>
      <c r="N1006" s="10"/>
      <c r="O1006" s="4"/>
      <c r="P1006" s="4"/>
      <c r="Q1006" s="3"/>
      <c r="R1006" s="3"/>
      <c r="S1006" s="3"/>
      <c r="T1006" s="3"/>
    </row>
    <row r="1007" spans="1:20">
      <c r="A1007" s="3">
        <v>1</v>
      </c>
      <c r="B1007" s="3">
        <v>1</v>
      </c>
      <c r="C1007" s="2">
        <v>25</v>
      </c>
      <c r="D1007" s="2">
        <v>5</v>
      </c>
      <c r="E1007" s="2">
        <v>16</v>
      </c>
      <c r="F1007" s="17">
        <v>60</v>
      </c>
      <c r="H1007" s="360">
        <v>1</v>
      </c>
      <c r="I1007" s="360">
        <v>0.86708916517855272</v>
      </c>
      <c r="K1007" s="363"/>
      <c r="N1007" s="10"/>
      <c r="O1007" s="4"/>
      <c r="P1007" s="4"/>
      <c r="Q1007" s="3"/>
      <c r="R1007" s="3"/>
      <c r="S1007" s="3"/>
      <c r="T1007" s="3"/>
    </row>
    <row r="1008" spans="1:20">
      <c r="A1008" s="3">
        <v>1</v>
      </c>
      <c r="B1008" s="3">
        <v>1</v>
      </c>
      <c r="C1008" s="2">
        <v>25</v>
      </c>
      <c r="D1008" s="2">
        <v>5</v>
      </c>
      <c r="E1008" s="2">
        <v>1</v>
      </c>
      <c r="F1008" s="17">
        <v>60</v>
      </c>
      <c r="H1008" s="360">
        <v>0.97123966750690738</v>
      </c>
      <c r="I1008" s="360">
        <v>0.84909837833325219</v>
      </c>
      <c r="K1008" s="363"/>
      <c r="N1008" s="10"/>
      <c r="O1008" s="4"/>
      <c r="P1008" s="4"/>
      <c r="Q1008" s="3"/>
      <c r="R1008" s="3"/>
      <c r="S1008" s="3"/>
      <c r="T1008" s="3"/>
    </row>
    <row r="1009" spans="1:20">
      <c r="A1009" s="3">
        <v>1</v>
      </c>
      <c r="B1009" s="3">
        <v>1</v>
      </c>
      <c r="C1009" s="2">
        <v>25</v>
      </c>
      <c r="D1009" s="2">
        <v>30</v>
      </c>
      <c r="E1009" s="2">
        <v>16</v>
      </c>
      <c r="F1009" s="17">
        <v>60</v>
      </c>
      <c r="H1009" s="360">
        <v>1</v>
      </c>
      <c r="I1009" s="360">
        <v>0.83971814708986425</v>
      </c>
      <c r="K1009" s="363"/>
      <c r="N1009" s="10"/>
      <c r="O1009" s="4"/>
      <c r="P1009" s="4"/>
      <c r="Q1009" s="3"/>
      <c r="R1009" s="3"/>
      <c r="S1009" s="3"/>
      <c r="T1009" s="3"/>
    </row>
    <row r="1010" spans="1:20">
      <c r="A1010" s="3">
        <v>2</v>
      </c>
      <c r="B1010" s="3">
        <v>2</v>
      </c>
      <c r="C1010" s="2">
        <v>25</v>
      </c>
      <c r="D1010" s="2">
        <v>5</v>
      </c>
      <c r="E1010" s="2">
        <v>16</v>
      </c>
      <c r="F1010" s="17">
        <v>60</v>
      </c>
      <c r="H1010" s="361">
        <v>0.93356835294354246</v>
      </c>
      <c r="I1010" s="361">
        <v>0.65161605338469264</v>
      </c>
      <c r="K1010" s="363"/>
      <c r="N1010" s="10"/>
      <c r="O1010" s="4"/>
      <c r="P1010" s="4"/>
      <c r="Q1010" s="3"/>
      <c r="R1010" s="3"/>
      <c r="S1010" s="3"/>
      <c r="T1010" s="3"/>
    </row>
    <row r="1011" spans="1:20">
      <c r="A1011" s="3">
        <v>3</v>
      </c>
      <c r="B1011" s="3">
        <v>1</v>
      </c>
      <c r="C1011" s="2">
        <v>25</v>
      </c>
      <c r="D1011" s="2">
        <v>5</v>
      </c>
      <c r="E1011" s="2">
        <v>1</v>
      </c>
      <c r="F1011" s="17">
        <v>60</v>
      </c>
      <c r="H1011" s="360">
        <v>0.88357474800936009</v>
      </c>
      <c r="I1011" s="360">
        <v>0.63928706835530036</v>
      </c>
      <c r="K1011" s="363"/>
      <c r="N1011" s="10"/>
      <c r="O1011" s="4"/>
      <c r="P1011" s="4"/>
      <c r="Q1011" s="3"/>
      <c r="R1011" s="3"/>
      <c r="S1011" s="3"/>
      <c r="T1011" s="3"/>
    </row>
    <row r="1012" spans="1:20">
      <c r="A1012" s="3">
        <v>1</v>
      </c>
      <c r="B1012" s="3">
        <v>2</v>
      </c>
      <c r="C1012" s="2">
        <v>25</v>
      </c>
      <c r="D1012" s="2">
        <v>5</v>
      </c>
      <c r="E1012" s="2">
        <v>1</v>
      </c>
      <c r="F1012" s="17">
        <v>60</v>
      </c>
      <c r="H1012" s="360">
        <v>4.1115040514195678E-2</v>
      </c>
      <c r="I1012" s="360">
        <v>0.43390639137945219</v>
      </c>
      <c r="K1012" s="363"/>
      <c r="N1012" s="10"/>
      <c r="O1012" s="4"/>
      <c r="P1012" s="4"/>
      <c r="Q1012" s="3"/>
      <c r="R1012" s="3"/>
      <c r="S1012" s="3"/>
      <c r="T1012" s="3"/>
    </row>
    <row r="1013" spans="1:20">
      <c r="A1013" s="3">
        <v>1</v>
      </c>
      <c r="B1013" s="3">
        <v>2</v>
      </c>
      <c r="C1013" s="2">
        <v>25</v>
      </c>
      <c r="D1013" s="2">
        <v>5</v>
      </c>
      <c r="E1013" s="2">
        <v>16</v>
      </c>
      <c r="F1013" s="17">
        <v>60</v>
      </c>
      <c r="H1013" s="360">
        <v>0.10174736510446292</v>
      </c>
      <c r="I1013" s="360">
        <v>0.33119007815737206</v>
      </c>
      <c r="K1013" s="363"/>
      <c r="N1013" s="10"/>
      <c r="O1013" s="4"/>
      <c r="P1013" s="4"/>
      <c r="Q1013" s="3"/>
      <c r="R1013" s="3"/>
      <c r="S1013" s="3"/>
      <c r="T1013" s="3"/>
    </row>
    <row r="1014" spans="1:20">
      <c r="A1014" s="3">
        <v>1</v>
      </c>
      <c r="B1014" s="3">
        <v>2</v>
      </c>
      <c r="C1014" s="2">
        <v>25</v>
      </c>
      <c r="D1014" s="2">
        <v>30</v>
      </c>
      <c r="E1014" s="2">
        <v>16</v>
      </c>
      <c r="F1014" s="17">
        <v>60</v>
      </c>
      <c r="H1014" s="360">
        <v>1</v>
      </c>
      <c r="I1014" s="360">
        <v>0.22108970444326179</v>
      </c>
      <c r="K1014" s="363"/>
      <c r="N1014" s="10"/>
      <c r="O1014" s="4"/>
      <c r="P1014" s="4"/>
      <c r="Q1014" s="3"/>
      <c r="R1014" s="3"/>
      <c r="S1014" s="3"/>
      <c r="T1014" s="3"/>
    </row>
    <row r="1015" spans="1:20">
      <c r="A1015" s="3">
        <v>2</v>
      </c>
      <c r="B1015" s="3">
        <v>2</v>
      </c>
      <c r="C1015" s="2">
        <v>25</v>
      </c>
      <c r="D1015" s="2">
        <v>5</v>
      </c>
      <c r="E1015" s="2">
        <v>1</v>
      </c>
      <c r="F1015" s="17">
        <v>60</v>
      </c>
      <c r="H1015" s="361">
        <v>0.33703893969563592</v>
      </c>
      <c r="I1015" s="361">
        <v>0.16254668584964613</v>
      </c>
      <c r="K1015" s="363"/>
      <c r="N1015" s="10"/>
      <c r="O1015" s="4"/>
      <c r="P1015" s="4"/>
      <c r="Q1015" s="3"/>
      <c r="R1015" s="3"/>
      <c r="S1015" s="3"/>
      <c r="T1015" s="3"/>
    </row>
    <row r="1016" spans="1:20">
      <c r="A1016" s="3">
        <v>1</v>
      </c>
      <c r="B1016" s="3">
        <v>2</v>
      </c>
      <c r="C1016" s="2">
        <v>25</v>
      </c>
      <c r="D1016" s="2">
        <v>5</v>
      </c>
      <c r="E1016" s="2">
        <v>16</v>
      </c>
      <c r="F1016" s="17">
        <v>60</v>
      </c>
      <c r="H1016" s="361">
        <v>0.96696358241390201</v>
      </c>
      <c r="I1016" s="361">
        <v>9.2524502180832441E-2</v>
      </c>
      <c r="K1016" s="363"/>
      <c r="N1016" s="10"/>
      <c r="O1016" s="4"/>
      <c r="P1016" s="4"/>
      <c r="Q1016" s="3"/>
      <c r="R1016" s="3"/>
      <c r="S1016" s="3"/>
      <c r="T1016" s="3"/>
    </row>
    <row r="1017" spans="1:20">
      <c r="A1017" s="3">
        <v>3</v>
      </c>
      <c r="B1017" s="3">
        <v>1</v>
      </c>
      <c r="C1017" s="2">
        <v>25</v>
      </c>
      <c r="D1017" s="2">
        <v>5</v>
      </c>
      <c r="E1017" s="2">
        <v>16</v>
      </c>
      <c r="F1017" s="17">
        <v>60</v>
      </c>
      <c r="H1017" s="361">
        <v>0.98967031122351534</v>
      </c>
      <c r="I1017" s="361">
        <v>-2.6181376478344965E-3</v>
      </c>
      <c r="K1017" s="363"/>
      <c r="N1017" s="10"/>
      <c r="O1017" s="4"/>
      <c r="P1017" s="4"/>
      <c r="Q1017" s="3"/>
      <c r="R1017" s="3"/>
      <c r="S1017" s="3"/>
      <c r="T1017" s="3"/>
    </row>
    <row r="1018" spans="1:20">
      <c r="A1018" s="3">
        <v>4</v>
      </c>
      <c r="B1018" s="3">
        <v>2</v>
      </c>
      <c r="C1018" s="2">
        <v>50</v>
      </c>
      <c r="D1018" s="2">
        <v>5</v>
      </c>
      <c r="E1018" s="2">
        <v>16</v>
      </c>
      <c r="F1018" s="17">
        <v>60</v>
      </c>
      <c r="H1018" s="360">
        <v>5.2358553596234855E-2</v>
      </c>
      <c r="I1018" s="359">
        <v>-9.9086384143438025E-2</v>
      </c>
      <c r="K1018" s="363"/>
      <c r="N1018" s="10"/>
      <c r="O1018" s="4"/>
      <c r="P1018" s="4"/>
      <c r="Q1018" s="3"/>
      <c r="R1018" s="3"/>
      <c r="S1018" s="3"/>
      <c r="T1018" s="3"/>
    </row>
    <row r="1019" spans="1:20">
      <c r="A1019" s="3">
        <v>5</v>
      </c>
      <c r="B1019" s="3">
        <v>2</v>
      </c>
      <c r="C1019" s="2">
        <v>50</v>
      </c>
      <c r="D1019" s="2">
        <v>5</v>
      </c>
      <c r="E1019" s="2">
        <v>16</v>
      </c>
      <c r="F1019" s="17">
        <v>60</v>
      </c>
      <c r="H1019" s="360">
        <v>0.2332507160878084</v>
      </c>
      <c r="I1019" s="359">
        <v>-0.30758057112646131</v>
      </c>
      <c r="K1019" s="363"/>
      <c r="N1019" s="10"/>
      <c r="O1019" s="4"/>
      <c r="P1019" s="4"/>
      <c r="Q1019" s="3"/>
      <c r="R1019" s="3"/>
      <c r="S1019" s="3"/>
      <c r="T1019" s="3"/>
    </row>
    <row r="1020" spans="1:20">
      <c r="A1020" s="3">
        <v>3</v>
      </c>
      <c r="B1020" s="3">
        <v>2</v>
      </c>
      <c r="C1020" s="2">
        <v>25</v>
      </c>
      <c r="D1020" s="2">
        <v>5</v>
      </c>
      <c r="E1020" s="2">
        <v>16</v>
      </c>
      <c r="F1020" s="17">
        <v>60</v>
      </c>
      <c r="H1020" s="360">
        <v>0.54873096155619339</v>
      </c>
      <c r="I1020" s="360">
        <v>-0.46968446123161672</v>
      </c>
      <c r="K1020" s="363"/>
      <c r="N1020" s="10"/>
      <c r="O1020" s="4"/>
      <c r="P1020" s="4"/>
      <c r="Q1020" s="3"/>
      <c r="R1020" s="3"/>
      <c r="S1020" s="3"/>
      <c r="T1020" s="3"/>
    </row>
    <row r="1021" spans="1:20">
      <c r="A1021" s="3">
        <v>3</v>
      </c>
      <c r="B1021" s="3">
        <v>2</v>
      </c>
      <c r="C1021" s="2">
        <v>25</v>
      </c>
      <c r="D1021" s="2">
        <v>5</v>
      </c>
      <c r="E1021" s="2">
        <v>1</v>
      </c>
      <c r="F1021" s="17">
        <v>60</v>
      </c>
      <c r="H1021" s="361">
        <v>0.43448362225848669</v>
      </c>
      <c r="I1021" s="361">
        <v>-0.47856761876735759</v>
      </c>
      <c r="K1021" s="363"/>
      <c r="N1021" s="10"/>
      <c r="O1021" s="4"/>
      <c r="P1021" s="4"/>
      <c r="Q1021" s="3"/>
      <c r="R1021" s="3"/>
      <c r="S1021" s="3"/>
      <c r="T1021" s="3"/>
    </row>
    <row r="1022" spans="1:20">
      <c r="A1022" s="3">
        <v>3</v>
      </c>
      <c r="B1022" s="3">
        <v>1</v>
      </c>
      <c r="C1022" s="2">
        <v>25</v>
      </c>
      <c r="D1022" s="2">
        <v>5</v>
      </c>
      <c r="E1022" s="2">
        <v>16</v>
      </c>
      <c r="F1022" s="17">
        <v>61</v>
      </c>
      <c r="H1022" s="361">
        <v>0.24814602117395657</v>
      </c>
      <c r="I1022" s="361">
        <v>0.46960564835543311</v>
      </c>
      <c r="K1022" s="363"/>
      <c r="N1022" s="10"/>
      <c r="O1022" s="4"/>
      <c r="P1022" s="4"/>
      <c r="Q1022" s="3"/>
      <c r="R1022" s="3"/>
      <c r="S1022" s="3"/>
      <c r="T1022" s="3"/>
    </row>
    <row r="1023" spans="1:20">
      <c r="A1023" s="3">
        <v>2</v>
      </c>
      <c r="B1023" s="3">
        <v>2</v>
      </c>
      <c r="C1023" s="2">
        <v>25</v>
      </c>
      <c r="D1023" s="2">
        <v>5</v>
      </c>
      <c r="E1023" s="2">
        <v>1</v>
      </c>
      <c r="F1023" s="17">
        <v>61</v>
      </c>
      <c r="H1023" s="361">
        <v>7.4627046052270773E-2</v>
      </c>
      <c r="I1023" s="361">
        <v>0.43100381194409149</v>
      </c>
      <c r="K1023" s="363"/>
      <c r="N1023" s="10"/>
      <c r="O1023" s="4"/>
      <c r="P1023" s="4"/>
      <c r="Q1023" s="3"/>
      <c r="R1023" s="3"/>
      <c r="S1023" s="3"/>
      <c r="T1023" s="3"/>
    </row>
    <row r="1024" spans="1:20">
      <c r="A1024" s="3">
        <v>1</v>
      </c>
      <c r="B1024" s="3">
        <v>2</v>
      </c>
      <c r="C1024" s="2">
        <v>25</v>
      </c>
      <c r="D1024" s="2">
        <v>30</v>
      </c>
      <c r="E1024" s="2">
        <v>16</v>
      </c>
      <c r="F1024" s="17">
        <v>61</v>
      </c>
      <c r="H1024" s="360">
        <v>0.66350964768378606</v>
      </c>
      <c r="I1024" s="360">
        <v>0.4291952819567843</v>
      </c>
      <c r="K1024" s="363"/>
      <c r="N1024" s="10"/>
      <c r="O1024" s="4"/>
      <c r="P1024" s="4"/>
      <c r="Q1024" s="3"/>
      <c r="R1024" s="3"/>
      <c r="S1024" s="3"/>
      <c r="T1024" s="3"/>
    </row>
    <row r="1025" spans="1:20">
      <c r="A1025" s="3">
        <v>3</v>
      </c>
      <c r="B1025" s="3">
        <v>2</v>
      </c>
      <c r="C1025" s="2">
        <v>25</v>
      </c>
      <c r="D1025" s="2">
        <v>5</v>
      </c>
      <c r="E1025" s="2">
        <v>16</v>
      </c>
      <c r="F1025" s="17">
        <v>61</v>
      </c>
      <c r="H1025" s="360">
        <v>0.2886370189812969</v>
      </c>
      <c r="I1025" s="360">
        <v>0.42060587094647078</v>
      </c>
      <c r="K1025" s="363"/>
      <c r="N1025" s="10"/>
      <c r="O1025" s="4"/>
      <c r="P1025" s="4"/>
      <c r="Q1025" s="3"/>
      <c r="R1025" s="3"/>
      <c r="S1025" s="3"/>
      <c r="T1025" s="3"/>
    </row>
    <row r="1026" spans="1:20">
      <c r="A1026" s="3">
        <v>3</v>
      </c>
      <c r="B1026" s="3">
        <v>2</v>
      </c>
      <c r="C1026" s="2">
        <v>25</v>
      </c>
      <c r="D1026" s="2">
        <v>5</v>
      </c>
      <c r="E1026" s="2">
        <v>1</v>
      </c>
      <c r="F1026" s="17">
        <v>61</v>
      </c>
      <c r="H1026" s="361">
        <v>6.74222946407812E-2</v>
      </c>
      <c r="I1026" s="361">
        <v>0.41039444063815211</v>
      </c>
      <c r="K1026" s="363"/>
      <c r="N1026" s="10"/>
      <c r="O1026" s="4"/>
      <c r="P1026" s="4"/>
      <c r="Q1026" s="3"/>
      <c r="R1026" s="3"/>
      <c r="S1026" s="3"/>
      <c r="T1026" s="3"/>
    </row>
    <row r="1027" spans="1:20">
      <c r="A1027" s="3">
        <v>4</v>
      </c>
      <c r="B1027" s="3">
        <v>2</v>
      </c>
      <c r="C1027" s="2">
        <v>50</v>
      </c>
      <c r="D1027" s="2">
        <v>5</v>
      </c>
      <c r="E1027" s="2">
        <v>16</v>
      </c>
      <c r="F1027" s="17">
        <v>61</v>
      </c>
      <c r="H1027" s="360">
        <v>0.95189222516912064</v>
      </c>
      <c r="I1027" s="359">
        <v>0.36834479144187193</v>
      </c>
      <c r="K1027" s="363"/>
      <c r="N1027" s="10"/>
      <c r="O1027" s="4"/>
      <c r="P1027" s="4"/>
      <c r="Q1027" s="3"/>
      <c r="R1027" s="3"/>
      <c r="S1027" s="3"/>
      <c r="T1027" s="3"/>
    </row>
    <row r="1028" spans="1:20">
      <c r="A1028" s="3">
        <v>2</v>
      </c>
      <c r="B1028" s="3">
        <v>2</v>
      </c>
      <c r="C1028" s="2">
        <v>25</v>
      </c>
      <c r="D1028" s="2">
        <v>5</v>
      </c>
      <c r="E1028" s="2">
        <v>16</v>
      </c>
      <c r="F1028" s="17">
        <v>61</v>
      </c>
      <c r="H1028" s="361">
        <v>0.16128948978564439</v>
      </c>
      <c r="I1028" s="361">
        <v>0.36385306122448979</v>
      </c>
      <c r="K1028" s="363"/>
      <c r="N1028" s="10"/>
      <c r="O1028" s="4"/>
      <c r="P1028" s="4"/>
      <c r="Q1028" s="3"/>
      <c r="R1028" s="3"/>
      <c r="S1028" s="3"/>
      <c r="T1028" s="3"/>
    </row>
    <row r="1029" spans="1:20">
      <c r="A1029" s="3">
        <v>1</v>
      </c>
      <c r="B1029" s="3">
        <v>2</v>
      </c>
      <c r="C1029" s="2">
        <v>25</v>
      </c>
      <c r="D1029" s="2">
        <v>5</v>
      </c>
      <c r="E1029" s="2">
        <v>16</v>
      </c>
      <c r="F1029" s="17">
        <v>61</v>
      </c>
      <c r="H1029" s="361">
        <v>0.44916022594052651</v>
      </c>
      <c r="I1029" s="361">
        <v>0.29757198286106179</v>
      </c>
      <c r="K1029" s="363"/>
      <c r="N1029" s="10"/>
      <c r="O1029" s="4"/>
      <c r="P1029" s="4"/>
      <c r="Q1029" s="3"/>
      <c r="R1029" s="3"/>
      <c r="S1029" s="3"/>
      <c r="T1029" s="3"/>
    </row>
    <row r="1030" spans="1:20">
      <c r="A1030" s="3">
        <v>2</v>
      </c>
      <c r="B1030" s="3">
        <v>1</v>
      </c>
      <c r="C1030" s="2">
        <v>25</v>
      </c>
      <c r="D1030" s="2">
        <v>5</v>
      </c>
      <c r="E1030" s="2">
        <v>1</v>
      </c>
      <c r="F1030" s="17">
        <v>61</v>
      </c>
      <c r="H1030" s="360">
        <v>0.3336827249597718</v>
      </c>
      <c r="I1030" s="360">
        <v>0.28924781669640343</v>
      </c>
      <c r="K1030" s="363"/>
      <c r="N1030" s="10"/>
      <c r="O1030" s="4"/>
      <c r="P1030" s="4"/>
      <c r="Q1030" s="3"/>
      <c r="R1030" s="3"/>
      <c r="S1030" s="3"/>
      <c r="T1030" s="3"/>
    </row>
    <row r="1031" spans="1:20">
      <c r="A1031" s="3">
        <v>3</v>
      </c>
      <c r="B1031" s="3">
        <v>1</v>
      </c>
      <c r="C1031" s="2">
        <v>25</v>
      </c>
      <c r="D1031" s="2">
        <v>5</v>
      </c>
      <c r="E1031" s="2">
        <v>1</v>
      </c>
      <c r="F1031" s="17">
        <v>61</v>
      </c>
      <c r="H1031" s="360">
        <v>1.3154719131081682E-2</v>
      </c>
      <c r="I1031" s="360">
        <v>0.19698910954516335</v>
      </c>
      <c r="K1031" s="363"/>
      <c r="N1031" s="10"/>
      <c r="O1031" s="4"/>
      <c r="P1031" s="4"/>
      <c r="Q1031" s="3"/>
      <c r="R1031" s="3"/>
      <c r="S1031" s="3"/>
      <c r="T1031" s="3"/>
    </row>
    <row r="1032" spans="1:20">
      <c r="A1032" s="3">
        <v>2</v>
      </c>
      <c r="B1032" s="3">
        <v>1</v>
      </c>
      <c r="C1032" s="2">
        <v>25</v>
      </c>
      <c r="D1032" s="2">
        <v>5</v>
      </c>
      <c r="E1032" s="2">
        <v>16</v>
      </c>
      <c r="F1032" s="17">
        <v>61</v>
      </c>
      <c r="H1032" s="361">
        <v>0.80458402526063888</v>
      </c>
      <c r="I1032" s="361">
        <v>0.18560808909623955</v>
      </c>
      <c r="K1032" s="363"/>
      <c r="N1032" s="10"/>
      <c r="O1032" s="4"/>
      <c r="P1032" s="4"/>
      <c r="Q1032" s="3"/>
      <c r="R1032" s="3"/>
      <c r="S1032" s="3"/>
      <c r="T1032" s="3"/>
    </row>
    <row r="1033" spans="1:20">
      <c r="A1033" s="3">
        <v>1</v>
      </c>
      <c r="B1033" s="3">
        <v>2</v>
      </c>
      <c r="C1033" s="2">
        <v>25</v>
      </c>
      <c r="D1033" s="2">
        <v>5</v>
      </c>
      <c r="E1033" s="2">
        <v>16</v>
      </c>
      <c r="F1033" s="17">
        <v>61</v>
      </c>
      <c r="H1033" s="360">
        <v>4.1081204755564316E-2</v>
      </c>
      <c r="I1033" s="360">
        <v>0.17569761733942529</v>
      </c>
      <c r="K1033" s="363"/>
      <c r="N1033" s="10"/>
      <c r="O1033" s="4"/>
      <c r="P1033" s="4"/>
      <c r="Q1033" s="3"/>
      <c r="R1033" s="3"/>
      <c r="S1033" s="3"/>
      <c r="T1033" s="3"/>
    </row>
    <row r="1034" spans="1:20">
      <c r="A1034" s="3">
        <v>1</v>
      </c>
      <c r="B1034" s="3">
        <v>2</v>
      </c>
      <c r="C1034" s="2">
        <v>25</v>
      </c>
      <c r="D1034" s="2">
        <v>5</v>
      </c>
      <c r="E1034" s="2">
        <v>1</v>
      </c>
      <c r="F1034" s="17">
        <v>61</v>
      </c>
      <c r="H1034" s="360">
        <v>0</v>
      </c>
      <c r="I1034" s="360">
        <v>0</v>
      </c>
      <c r="K1034" s="363"/>
      <c r="N1034" s="10"/>
      <c r="O1034" s="4"/>
      <c r="P1034" s="4"/>
      <c r="Q1034" s="3"/>
      <c r="R1034" s="3"/>
      <c r="S1034" s="3"/>
      <c r="T1034" s="3"/>
    </row>
    <row r="1035" spans="1:20">
      <c r="A1035" s="3">
        <v>5</v>
      </c>
      <c r="B1035" s="3">
        <v>2</v>
      </c>
      <c r="C1035" s="2">
        <v>50</v>
      </c>
      <c r="D1035" s="2">
        <v>5</v>
      </c>
      <c r="E1035" s="2">
        <v>16</v>
      </c>
      <c r="F1035" s="17">
        <v>61</v>
      </c>
      <c r="H1035" s="360">
        <v>0.75235824524363648</v>
      </c>
      <c r="I1035" s="359">
        <v>-7.1149695459642934E-2</v>
      </c>
      <c r="K1035" s="363"/>
      <c r="N1035" s="10"/>
      <c r="O1035" s="4"/>
      <c r="P1035" s="4"/>
      <c r="Q1035" s="3"/>
      <c r="R1035" s="3"/>
      <c r="S1035" s="3"/>
      <c r="T1035" s="3"/>
    </row>
    <row r="1036" spans="1:20">
      <c r="A1036" s="3">
        <v>1</v>
      </c>
      <c r="B1036" s="3">
        <v>1</v>
      </c>
      <c r="C1036" s="2">
        <v>25</v>
      </c>
      <c r="D1036" s="2">
        <v>30</v>
      </c>
      <c r="E1036" s="2">
        <v>16</v>
      </c>
      <c r="F1036" s="17">
        <v>61</v>
      </c>
      <c r="H1036" s="360">
        <v>0.28592232427823616</v>
      </c>
      <c r="I1036" s="360">
        <v>-0.25869032771353734</v>
      </c>
      <c r="K1036" s="363"/>
      <c r="N1036" s="10"/>
      <c r="O1036" s="4"/>
      <c r="P1036" s="4"/>
      <c r="Q1036" s="3"/>
      <c r="R1036" s="3"/>
      <c r="S1036" s="3"/>
      <c r="T1036" s="3"/>
    </row>
    <row r="1037" spans="1:20">
      <c r="A1037" s="3">
        <v>1</v>
      </c>
      <c r="B1037" s="3">
        <v>1</v>
      </c>
      <c r="C1037" s="2">
        <v>25</v>
      </c>
      <c r="D1037" s="2">
        <v>5</v>
      </c>
      <c r="E1037" s="2">
        <v>16</v>
      </c>
      <c r="F1037" s="17">
        <v>61</v>
      </c>
      <c r="H1037" s="360">
        <v>0.11466462976338898</v>
      </c>
      <c r="I1037" s="360">
        <v>-0.3245160864107815</v>
      </c>
      <c r="K1037" s="363"/>
      <c r="N1037" s="10"/>
      <c r="O1037" s="4"/>
      <c r="P1037" s="4"/>
      <c r="Q1037" s="3"/>
      <c r="R1037" s="3"/>
      <c r="S1037" s="3"/>
      <c r="T1037" s="3"/>
    </row>
    <row r="1038" spans="1:20">
      <c r="A1038" s="3">
        <v>1</v>
      </c>
      <c r="B1038" s="3">
        <v>1</v>
      </c>
      <c r="C1038" s="2">
        <v>25</v>
      </c>
      <c r="D1038" s="2">
        <v>5</v>
      </c>
      <c r="E1038" s="2">
        <v>1</v>
      </c>
      <c r="F1038" s="17">
        <v>61</v>
      </c>
      <c r="H1038" s="360">
        <v>4.6217965514542492E-2</v>
      </c>
      <c r="I1038" s="360">
        <v>-0.53037916857012335</v>
      </c>
      <c r="K1038" s="363"/>
      <c r="N1038" s="10"/>
      <c r="O1038" s="4"/>
      <c r="P1038" s="4"/>
      <c r="Q1038" s="3"/>
      <c r="R1038" s="3"/>
      <c r="S1038" s="3"/>
      <c r="T1038" s="3"/>
    </row>
    <row r="1039" spans="1:20">
      <c r="A1039" s="3">
        <v>2</v>
      </c>
      <c r="B1039" s="3">
        <v>1</v>
      </c>
      <c r="C1039" s="2">
        <v>25</v>
      </c>
      <c r="D1039" s="2">
        <v>5</v>
      </c>
      <c r="E1039" s="2">
        <v>16</v>
      </c>
      <c r="F1039" s="17">
        <v>62</v>
      </c>
      <c r="H1039" s="361">
        <v>1</v>
      </c>
      <c r="I1039" s="361">
        <v>0.97490973132503955</v>
      </c>
      <c r="K1039" s="363"/>
      <c r="N1039" s="10"/>
      <c r="O1039" s="4"/>
      <c r="P1039" s="4"/>
      <c r="Q1039" s="3"/>
      <c r="R1039" s="3"/>
      <c r="S1039" s="3"/>
      <c r="T1039" s="3"/>
    </row>
    <row r="1040" spans="1:20">
      <c r="A1040" s="3">
        <v>1</v>
      </c>
      <c r="B1040" s="3">
        <v>1</v>
      </c>
      <c r="C1040" s="2">
        <v>25</v>
      </c>
      <c r="D1040" s="2">
        <v>30</v>
      </c>
      <c r="E1040" s="2">
        <v>16</v>
      </c>
      <c r="F1040" s="17">
        <v>62</v>
      </c>
      <c r="H1040" s="360">
        <v>1</v>
      </c>
      <c r="I1040" s="360">
        <v>0.97328254952819815</v>
      </c>
      <c r="K1040" s="363"/>
      <c r="N1040" s="10"/>
      <c r="O1040" s="4"/>
      <c r="P1040" s="4"/>
      <c r="Q1040" s="3"/>
      <c r="R1040" s="3"/>
      <c r="S1040" s="3"/>
      <c r="T1040" s="3"/>
    </row>
    <row r="1041" spans="1:20">
      <c r="A1041" s="3">
        <v>1</v>
      </c>
      <c r="B1041" s="3">
        <v>1</v>
      </c>
      <c r="C1041" s="2">
        <v>25</v>
      </c>
      <c r="D1041" s="2">
        <v>5</v>
      </c>
      <c r="E1041" s="2">
        <v>16</v>
      </c>
      <c r="F1041" s="17">
        <v>62</v>
      </c>
      <c r="H1041" s="360">
        <v>1</v>
      </c>
      <c r="I1041" s="360">
        <v>0.97073982458643471</v>
      </c>
      <c r="K1041" s="363"/>
      <c r="N1041" s="10"/>
      <c r="O1041" s="4"/>
      <c r="P1041" s="4"/>
      <c r="Q1041" s="3"/>
      <c r="R1041" s="3"/>
      <c r="S1041" s="3"/>
      <c r="T1041" s="3"/>
    </row>
    <row r="1042" spans="1:20">
      <c r="A1042" s="3">
        <v>1</v>
      </c>
      <c r="B1042" s="3">
        <v>1</v>
      </c>
      <c r="C1042" s="2">
        <v>25</v>
      </c>
      <c r="D1042" s="2">
        <v>5</v>
      </c>
      <c r="E1042" s="2">
        <v>1</v>
      </c>
      <c r="F1042" s="17">
        <v>62</v>
      </c>
      <c r="H1042" s="360">
        <v>1</v>
      </c>
      <c r="I1042" s="360">
        <v>0.96756593379200317</v>
      </c>
      <c r="K1042" s="363"/>
      <c r="N1042" s="10"/>
      <c r="O1042" s="4"/>
      <c r="P1042" s="4"/>
      <c r="Q1042" s="3"/>
      <c r="R1042" s="3"/>
      <c r="S1042" s="3"/>
      <c r="T1042" s="3"/>
    </row>
    <row r="1043" spans="1:20">
      <c r="A1043" s="3">
        <v>2</v>
      </c>
      <c r="B1043" s="3">
        <v>1</v>
      </c>
      <c r="C1043" s="2">
        <v>25</v>
      </c>
      <c r="D1043" s="2">
        <v>5</v>
      </c>
      <c r="E1043" s="2">
        <v>1</v>
      </c>
      <c r="F1043" s="17">
        <v>62</v>
      </c>
      <c r="H1043" s="360">
        <v>1</v>
      </c>
      <c r="I1043" s="360">
        <v>0.96211083215193682</v>
      </c>
      <c r="K1043" s="363"/>
      <c r="N1043" s="10"/>
      <c r="O1043" s="4"/>
      <c r="P1043" s="4"/>
      <c r="Q1043" s="3"/>
      <c r="R1043" s="3"/>
      <c r="S1043" s="3"/>
      <c r="T1043" s="3"/>
    </row>
    <row r="1044" spans="1:20">
      <c r="A1044" s="3">
        <v>2</v>
      </c>
      <c r="B1044" s="3">
        <v>2</v>
      </c>
      <c r="C1044" s="2">
        <v>25</v>
      </c>
      <c r="D1044" s="2">
        <v>5</v>
      </c>
      <c r="E1044" s="2">
        <v>1</v>
      </c>
      <c r="F1044" s="17">
        <v>62</v>
      </c>
      <c r="H1044" s="361">
        <v>0.85630761299043756</v>
      </c>
      <c r="I1044" s="361">
        <v>0.91577059443840148</v>
      </c>
      <c r="K1044" s="363"/>
      <c r="N1044" s="10"/>
      <c r="O1044" s="4"/>
      <c r="P1044" s="4"/>
      <c r="Q1044" s="3"/>
      <c r="R1044" s="3"/>
      <c r="S1044" s="3"/>
      <c r="T1044" s="3"/>
    </row>
    <row r="1045" spans="1:20">
      <c r="A1045" s="3">
        <v>3</v>
      </c>
      <c r="B1045" s="3">
        <v>1</v>
      </c>
      <c r="C1045" s="2">
        <v>25</v>
      </c>
      <c r="D1045" s="2">
        <v>5</v>
      </c>
      <c r="E1045" s="2">
        <v>1</v>
      </c>
      <c r="F1045" s="17">
        <v>62</v>
      </c>
      <c r="H1045" s="360">
        <v>0.92603572113511112</v>
      </c>
      <c r="I1045" s="360">
        <v>0.86070421850185985</v>
      </c>
      <c r="K1045" s="363"/>
      <c r="N1045" s="10"/>
      <c r="O1045" s="4"/>
      <c r="P1045" s="4"/>
      <c r="Q1045" s="3"/>
      <c r="R1045" s="3"/>
      <c r="S1045" s="3"/>
      <c r="T1045" s="3"/>
    </row>
    <row r="1046" spans="1:20">
      <c r="A1046" s="3">
        <v>3</v>
      </c>
      <c r="B1046" s="3">
        <v>1</v>
      </c>
      <c r="C1046" s="2">
        <v>25</v>
      </c>
      <c r="D1046" s="2">
        <v>5</v>
      </c>
      <c r="E1046" s="2">
        <v>16</v>
      </c>
      <c r="F1046" s="17">
        <v>62</v>
      </c>
      <c r="H1046" s="361">
        <v>0.9628645417175925</v>
      </c>
      <c r="I1046" s="361">
        <v>0.85627088768125081</v>
      </c>
      <c r="K1046" s="363"/>
      <c r="N1046" s="10"/>
      <c r="O1046" s="4"/>
      <c r="P1046" s="4"/>
      <c r="Q1046" s="3"/>
      <c r="R1046" s="3"/>
      <c r="S1046" s="3"/>
      <c r="T1046" s="3"/>
    </row>
    <row r="1047" spans="1:20">
      <c r="A1047" s="3">
        <v>1</v>
      </c>
      <c r="B1047" s="3">
        <v>2</v>
      </c>
      <c r="C1047" s="2">
        <v>25</v>
      </c>
      <c r="D1047" s="2">
        <v>30</v>
      </c>
      <c r="E1047" s="2">
        <v>16</v>
      </c>
      <c r="F1047" s="17">
        <v>62</v>
      </c>
      <c r="H1047" s="360">
        <v>1</v>
      </c>
      <c r="I1047" s="360">
        <v>0.79430070918236528</v>
      </c>
      <c r="K1047" s="363"/>
      <c r="N1047" s="10"/>
      <c r="O1047" s="4"/>
      <c r="P1047" s="4"/>
      <c r="Q1047" s="3"/>
      <c r="R1047" s="3"/>
      <c r="S1047" s="3"/>
      <c r="T1047" s="3"/>
    </row>
    <row r="1048" spans="1:20">
      <c r="A1048" s="3">
        <v>2</v>
      </c>
      <c r="B1048" s="3">
        <v>2</v>
      </c>
      <c r="C1048" s="2">
        <v>25</v>
      </c>
      <c r="D1048" s="2">
        <v>5</v>
      </c>
      <c r="E1048" s="2">
        <v>16</v>
      </c>
      <c r="F1048" s="17">
        <v>62</v>
      </c>
      <c r="H1048" s="361">
        <v>0.35993084221297189</v>
      </c>
      <c r="I1048" s="361">
        <v>0.78472255817328629</v>
      </c>
      <c r="K1048" s="363"/>
      <c r="N1048" s="10"/>
      <c r="O1048" s="4"/>
      <c r="P1048" s="4"/>
      <c r="Q1048" s="3"/>
      <c r="R1048" s="3"/>
      <c r="S1048" s="3"/>
      <c r="T1048" s="3"/>
    </row>
    <row r="1049" spans="1:20">
      <c r="A1049" s="3">
        <v>1</v>
      </c>
      <c r="B1049" s="3">
        <v>2</v>
      </c>
      <c r="C1049" s="2">
        <v>25</v>
      </c>
      <c r="D1049" s="2">
        <v>5</v>
      </c>
      <c r="E1049" s="2">
        <v>1</v>
      </c>
      <c r="F1049" s="17">
        <v>62</v>
      </c>
      <c r="H1049" s="360">
        <v>8.7750899040271113E-2</v>
      </c>
      <c r="I1049" s="360">
        <v>0.74857456355193286</v>
      </c>
      <c r="K1049" s="363"/>
      <c r="N1049" s="10"/>
      <c r="O1049" s="4"/>
      <c r="P1049" s="4"/>
      <c r="Q1049" s="3"/>
      <c r="R1049" s="3"/>
      <c r="S1049" s="3"/>
      <c r="T1049" s="3"/>
    </row>
    <row r="1050" spans="1:20">
      <c r="A1050" s="3">
        <v>1</v>
      </c>
      <c r="B1050" s="3">
        <v>2</v>
      </c>
      <c r="C1050" s="2">
        <v>25</v>
      </c>
      <c r="D1050" s="2">
        <v>5</v>
      </c>
      <c r="E1050" s="2">
        <v>16</v>
      </c>
      <c r="F1050" s="17">
        <v>62</v>
      </c>
      <c r="H1050" s="360">
        <v>0.30936639601564275</v>
      </c>
      <c r="I1050" s="360">
        <v>0.65605502333578969</v>
      </c>
      <c r="K1050" s="363"/>
      <c r="N1050" s="10"/>
      <c r="O1050" s="4"/>
      <c r="P1050" s="4"/>
      <c r="Q1050" s="3"/>
      <c r="R1050" s="3"/>
      <c r="S1050" s="3"/>
      <c r="T1050" s="3"/>
    </row>
    <row r="1051" spans="1:20">
      <c r="A1051" s="3">
        <v>1</v>
      </c>
      <c r="B1051" s="3">
        <v>2</v>
      </c>
      <c r="C1051" s="2">
        <v>25</v>
      </c>
      <c r="D1051" s="2">
        <v>5</v>
      </c>
      <c r="E1051" s="2">
        <v>16</v>
      </c>
      <c r="F1051" s="17">
        <v>62</v>
      </c>
      <c r="H1051" s="361">
        <v>1</v>
      </c>
      <c r="I1051" s="361">
        <v>0.49452191533263062</v>
      </c>
      <c r="K1051" s="363"/>
      <c r="N1051" s="10"/>
      <c r="O1051" s="4"/>
      <c r="P1051" s="4"/>
      <c r="Q1051" s="3"/>
      <c r="R1051" s="3"/>
      <c r="S1051" s="3"/>
      <c r="T1051" s="3"/>
    </row>
    <row r="1052" spans="1:20">
      <c r="A1052" s="3">
        <v>5</v>
      </c>
      <c r="B1052" s="3">
        <v>2</v>
      </c>
      <c r="C1052" s="2">
        <v>50</v>
      </c>
      <c r="D1052" s="2">
        <v>5</v>
      </c>
      <c r="E1052" s="2">
        <v>16</v>
      </c>
      <c r="F1052" s="17">
        <v>62</v>
      </c>
      <c r="H1052" s="360">
        <v>0.22853659764811676</v>
      </c>
      <c r="I1052" s="359">
        <v>0.31752909833967918</v>
      </c>
      <c r="K1052" s="363"/>
      <c r="N1052" s="10"/>
      <c r="O1052" s="4"/>
      <c r="P1052" s="4"/>
      <c r="Q1052" s="3"/>
      <c r="R1052" s="3"/>
      <c r="S1052" s="3"/>
      <c r="T1052" s="3"/>
    </row>
    <row r="1053" spans="1:20">
      <c r="A1053" s="3">
        <v>3</v>
      </c>
      <c r="B1053" s="3">
        <v>2</v>
      </c>
      <c r="C1053" s="2">
        <v>25</v>
      </c>
      <c r="D1053" s="2">
        <v>5</v>
      </c>
      <c r="E1053" s="2">
        <v>1</v>
      </c>
      <c r="F1053" s="17">
        <v>62</v>
      </c>
      <c r="H1053" s="361">
        <v>0.8881284155136957</v>
      </c>
      <c r="I1053" s="361">
        <v>3.1246351998132225E-2</v>
      </c>
      <c r="K1053" s="363"/>
      <c r="N1053" s="10"/>
      <c r="O1053" s="4"/>
      <c r="P1053" s="4"/>
      <c r="Q1053" s="3"/>
      <c r="R1053" s="3"/>
      <c r="S1053" s="3"/>
      <c r="T1053" s="3"/>
    </row>
    <row r="1054" spans="1:20">
      <c r="A1054" s="3">
        <v>3</v>
      </c>
      <c r="B1054" s="3">
        <v>2</v>
      </c>
      <c r="C1054" s="2">
        <v>25</v>
      </c>
      <c r="D1054" s="2">
        <v>5</v>
      </c>
      <c r="E1054" s="2">
        <v>16</v>
      </c>
      <c r="F1054" s="17">
        <v>62</v>
      </c>
      <c r="H1054" s="360">
        <v>0.93279496649301319</v>
      </c>
      <c r="I1054" s="360">
        <v>-2.9062647411009109E-2</v>
      </c>
      <c r="K1054" s="363"/>
      <c r="N1054" s="10"/>
      <c r="O1054" s="4"/>
      <c r="P1054" s="4"/>
      <c r="Q1054" s="3"/>
      <c r="R1054" s="3"/>
      <c r="S1054" s="3"/>
      <c r="T1054" s="3"/>
    </row>
    <row r="1055" spans="1:20">
      <c r="A1055" s="3">
        <v>4</v>
      </c>
      <c r="B1055" s="3">
        <v>2</v>
      </c>
      <c r="C1055" s="2">
        <v>50</v>
      </c>
      <c r="D1055" s="2">
        <v>5</v>
      </c>
      <c r="E1055" s="2">
        <v>16</v>
      </c>
      <c r="F1055" s="17">
        <v>62</v>
      </c>
      <c r="H1055" s="360">
        <v>0.18253187710770591</v>
      </c>
      <c r="I1055" s="359">
        <v>-0.21107217087284161</v>
      </c>
      <c r="K1055" s="363"/>
      <c r="N1055" s="10"/>
      <c r="O1055" s="4"/>
      <c r="P1055" s="4"/>
      <c r="Q1055" s="3"/>
      <c r="R1055" s="3"/>
      <c r="S1055" s="3"/>
      <c r="T1055" s="3"/>
    </row>
    <row r="1056" spans="1:20">
      <c r="A1056" s="3">
        <v>4</v>
      </c>
      <c r="B1056" s="3">
        <v>2</v>
      </c>
      <c r="C1056" s="2">
        <v>50</v>
      </c>
      <c r="D1056" s="2">
        <v>5</v>
      </c>
      <c r="E1056" s="2">
        <v>16</v>
      </c>
      <c r="F1056" s="17">
        <v>63</v>
      </c>
      <c r="H1056" s="360">
        <v>1</v>
      </c>
      <c r="I1056" s="359">
        <v>0.40676212331616757</v>
      </c>
      <c r="K1056" s="363"/>
      <c r="N1056" s="10"/>
      <c r="O1056" s="4"/>
      <c r="P1056" s="4"/>
      <c r="Q1056" s="3"/>
      <c r="R1056" s="3"/>
      <c r="S1056" s="3"/>
      <c r="T1056" s="3"/>
    </row>
    <row r="1057" spans="1:20">
      <c r="A1057" s="3">
        <v>2</v>
      </c>
      <c r="B1057" s="3">
        <v>2</v>
      </c>
      <c r="C1057" s="2">
        <v>25</v>
      </c>
      <c r="D1057" s="2">
        <v>5</v>
      </c>
      <c r="E1057" s="2">
        <v>16</v>
      </c>
      <c r="F1057" s="17">
        <v>63</v>
      </c>
      <c r="H1057" s="361">
        <v>1</v>
      </c>
      <c r="I1057" s="361">
        <v>-0.13734982939414728</v>
      </c>
      <c r="K1057" s="363"/>
      <c r="N1057" s="10"/>
      <c r="O1057" s="4"/>
      <c r="P1057" s="4"/>
      <c r="Q1057" s="3"/>
      <c r="R1057" s="3"/>
      <c r="S1057" s="3"/>
      <c r="T1057" s="3"/>
    </row>
    <row r="1058" spans="1:20">
      <c r="A1058" s="3">
        <v>2</v>
      </c>
      <c r="B1058" s="3">
        <v>2</v>
      </c>
      <c r="C1058" s="2">
        <v>25</v>
      </c>
      <c r="D1058" s="2">
        <v>5</v>
      </c>
      <c r="E1058" s="2">
        <v>1</v>
      </c>
      <c r="F1058" s="17">
        <v>63</v>
      </c>
      <c r="H1058" s="361">
        <v>1</v>
      </c>
      <c r="I1058" s="361">
        <v>-0.16688403150920755</v>
      </c>
      <c r="K1058" s="363"/>
      <c r="N1058" s="10"/>
      <c r="O1058" s="4"/>
      <c r="P1058" s="4"/>
      <c r="Q1058" s="3"/>
      <c r="R1058" s="3"/>
      <c r="S1058" s="3"/>
      <c r="T1058" s="3"/>
    </row>
    <row r="1059" spans="1:20">
      <c r="A1059" s="3">
        <v>2</v>
      </c>
      <c r="B1059" s="3">
        <v>1</v>
      </c>
      <c r="C1059" s="2">
        <v>25</v>
      </c>
      <c r="D1059" s="2">
        <v>5</v>
      </c>
      <c r="E1059" s="2">
        <v>16</v>
      </c>
      <c r="F1059" s="17">
        <v>63</v>
      </c>
      <c r="H1059" s="361">
        <v>1</v>
      </c>
      <c r="I1059" s="361">
        <v>-0.16977685568347106</v>
      </c>
      <c r="K1059" s="363"/>
      <c r="N1059" s="10"/>
      <c r="O1059" s="4"/>
      <c r="P1059" s="4"/>
      <c r="Q1059" s="3"/>
      <c r="R1059" s="3"/>
      <c r="S1059" s="3"/>
      <c r="T1059" s="3"/>
    </row>
    <row r="1060" spans="1:20">
      <c r="A1060" s="3">
        <v>5</v>
      </c>
      <c r="B1060" s="3">
        <v>2</v>
      </c>
      <c r="C1060" s="2">
        <v>50</v>
      </c>
      <c r="D1060" s="2">
        <v>5</v>
      </c>
      <c r="E1060" s="2">
        <v>16</v>
      </c>
      <c r="F1060" s="17">
        <v>63</v>
      </c>
      <c r="H1060" s="360">
        <v>0.99896742508694714</v>
      </c>
      <c r="I1060" s="359">
        <v>-0.19829731870121051</v>
      </c>
      <c r="K1060" s="363"/>
      <c r="N1060" s="10"/>
      <c r="O1060" s="4"/>
      <c r="P1060" s="4"/>
      <c r="Q1060" s="3"/>
      <c r="R1060" s="3"/>
      <c r="S1060" s="3"/>
      <c r="T1060" s="3"/>
    </row>
    <row r="1061" spans="1:20">
      <c r="A1061" s="3">
        <v>2</v>
      </c>
      <c r="B1061" s="3">
        <v>1</v>
      </c>
      <c r="C1061" s="2">
        <v>25</v>
      </c>
      <c r="D1061" s="2">
        <v>5</v>
      </c>
      <c r="E1061" s="2">
        <v>1</v>
      </c>
      <c r="F1061" s="17">
        <v>63</v>
      </c>
      <c r="H1061" s="360">
        <v>1</v>
      </c>
      <c r="I1061" s="360">
        <v>-0.20791804154101168</v>
      </c>
      <c r="K1061" s="363"/>
      <c r="N1061" s="10"/>
      <c r="O1061" s="4"/>
      <c r="P1061" s="4"/>
      <c r="Q1061" s="3"/>
      <c r="R1061" s="3"/>
      <c r="S1061" s="3"/>
      <c r="T1061" s="3"/>
    </row>
    <row r="1062" spans="1:20">
      <c r="A1062" s="3">
        <v>1</v>
      </c>
      <c r="B1062" s="3">
        <v>1</v>
      </c>
      <c r="C1062" s="2">
        <v>25</v>
      </c>
      <c r="D1062" s="2">
        <v>5</v>
      </c>
      <c r="E1062" s="2">
        <v>16</v>
      </c>
      <c r="F1062" s="17">
        <v>63</v>
      </c>
      <c r="H1062" s="360">
        <v>1</v>
      </c>
      <c r="I1062" s="360">
        <v>-0.51146236602676132</v>
      </c>
      <c r="K1062" s="363"/>
      <c r="N1062" s="10"/>
      <c r="O1062" s="4"/>
      <c r="P1062" s="4"/>
      <c r="Q1062" s="3"/>
      <c r="R1062" s="3"/>
      <c r="S1062" s="3"/>
      <c r="T1062" s="3"/>
    </row>
    <row r="1063" spans="1:20">
      <c r="A1063" s="3">
        <v>1</v>
      </c>
      <c r="B1063" s="3">
        <v>1</v>
      </c>
      <c r="C1063" s="2">
        <v>25</v>
      </c>
      <c r="D1063" s="2">
        <v>5</v>
      </c>
      <c r="E1063" s="2">
        <v>1</v>
      </c>
      <c r="F1063" s="17">
        <v>63</v>
      </c>
      <c r="H1063" s="360">
        <v>1</v>
      </c>
      <c r="I1063" s="360">
        <v>-0.52842410570660836</v>
      </c>
      <c r="K1063" s="363"/>
      <c r="N1063" s="10"/>
      <c r="O1063" s="4"/>
      <c r="P1063" s="4"/>
      <c r="Q1063" s="3"/>
      <c r="R1063" s="3"/>
      <c r="S1063" s="3"/>
      <c r="T1063" s="3"/>
    </row>
    <row r="1064" spans="1:20">
      <c r="A1064" s="3">
        <v>1</v>
      </c>
      <c r="B1064" s="3">
        <v>1</v>
      </c>
      <c r="C1064" s="2">
        <v>25</v>
      </c>
      <c r="D1064" s="2">
        <v>30</v>
      </c>
      <c r="E1064" s="2">
        <v>16</v>
      </c>
      <c r="F1064" s="17">
        <v>63</v>
      </c>
      <c r="H1064" s="360">
        <v>1</v>
      </c>
      <c r="I1064" s="360">
        <v>-0.57002940795773538</v>
      </c>
      <c r="K1064" s="363"/>
      <c r="N1064" s="10"/>
      <c r="O1064" s="4"/>
      <c r="P1064" s="4"/>
      <c r="Q1064" s="3"/>
      <c r="R1064" s="3"/>
      <c r="S1064" s="3"/>
      <c r="T1064" s="3"/>
    </row>
    <row r="1065" spans="1:20">
      <c r="A1065" s="3">
        <v>3</v>
      </c>
      <c r="B1065" s="3">
        <v>1</v>
      </c>
      <c r="C1065" s="2">
        <v>25</v>
      </c>
      <c r="D1065" s="2">
        <v>5</v>
      </c>
      <c r="E1065" s="2">
        <v>1</v>
      </c>
      <c r="F1065" s="17">
        <v>63</v>
      </c>
      <c r="H1065" s="360">
        <v>1</v>
      </c>
      <c r="I1065" s="360">
        <v>-0.5954888292752929</v>
      </c>
      <c r="K1065" s="363"/>
      <c r="N1065" s="10"/>
      <c r="O1065" s="4"/>
      <c r="P1065" s="4"/>
      <c r="Q1065" s="3"/>
      <c r="R1065" s="3"/>
      <c r="S1065" s="3"/>
      <c r="T1065" s="3"/>
    </row>
    <row r="1066" spans="1:20">
      <c r="A1066" s="3">
        <v>3</v>
      </c>
      <c r="B1066" s="3">
        <v>1</v>
      </c>
      <c r="C1066" s="2">
        <v>25</v>
      </c>
      <c r="D1066" s="2">
        <v>5</v>
      </c>
      <c r="E1066" s="2">
        <v>16</v>
      </c>
      <c r="F1066" s="17">
        <v>63</v>
      </c>
      <c r="H1066" s="361">
        <v>1</v>
      </c>
      <c r="I1066" s="361">
        <v>-0.60459885359801935</v>
      </c>
      <c r="K1066" s="363"/>
      <c r="N1066" s="10"/>
      <c r="O1066" s="4"/>
      <c r="P1066" s="4"/>
      <c r="Q1066" s="3"/>
      <c r="R1066" s="3"/>
      <c r="S1066" s="3"/>
      <c r="T1066" s="3"/>
    </row>
    <row r="1067" spans="1:20">
      <c r="A1067" s="3">
        <v>1</v>
      </c>
      <c r="B1067" s="3">
        <v>2</v>
      </c>
      <c r="C1067" s="2">
        <v>25</v>
      </c>
      <c r="D1067" s="2">
        <v>5</v>
      </c>
      <c r="E1067" s="2">
        <v>16</v>
      </c>
      <c r="F1067" s="17">
        <v>63</v>
      </c>
      <c r="H1067" s="360">
        <v>1</v>
      </c>
      <c r="I1067" s="360">
        <v>-0.64832874091281478</v>
      </c>
      <c r="K1067" s="363"/>
      <c r="N1067" s="10"/>
      <c r="O1067" s="4"/>
      <c r="P1067" s="4"/>
      <c r="Q1067" s="3"/>
      <c r="R1067" s="3"/>
      <c r="S1067" s="3"/>
      <c r="T1067" s="3"/>
    </row>
    <row r="1068" spans="1:20">
      <c r="A1068" s="3">
        <v>1</v>
      </c>
      <c r="B1068" s="3">
        <v>2</v>
      </c>
      <c r="C1068" s="2">
        <v>25</v>
      </c>
      <c r="D1068" s="2">
        <v>5</v>
      </c>
      <c r="E1068" s="2">
        <v>1</v>
      </c>
      <c r="F1068" s="17">
        <v>63</v>
      </c>
      <c r="H1068" s="360">
        <v>1</v>
      </c>
      <c r="I1068" s="360">
        <v>-0.64921790087258124</v>
      </c>
      <c r="K1068" s="363"/>
      <c r="N1068" s="10"/>
      <c r="O1068" s="4"/>
      <c r="P1068" s="4"/>
      <c r="Q1068" s="3"/>
      <c r="R1068" s="3"/>
      <c r="S1068" s="3"/>
      <c r="T1068" s="3"/>
    </row>
    <row r="1069" spans="1:20">
      <c r="A1069" s="3">
        <v>1</v>
      </c>
      <c r="B1069" s="3">
        <v>2</v>
      </c>
      <c r="C1069" s="2">
        <v>25</v>
      </c>
      <c r="D1069" s="2">
        <v>5</v>
      </c>
      <c r="E1069" s="2">
        <v>16</v>
      </c>
      <c r="F1069" s="17">
        <v>63</v>
      </c>
      <c r="H1069" s="361">
        <v>1</v>
      </c>
      <c r="I1069" s="361">
        <v>-0.66068236749807463</v>
      </c>
      <c r="K1069" s="363"/>
      <c r="N1069" s="10"/>
      <c r="O1069" s="4"/>
      <c r="P1069" s="4"/>
      <c r="Q1069" s="3"/>
      <c r="R1069" s="3"/>
      <c r="S1069" s="3"/>
      <c r="T1069" s="3"/>
    </row>
    <row r="1070" spans="1:20">
      <c r="A1070" s="3">
        <v>1</v>
      </c>
      <c r="B1070" s="3">
        <v>2</v>
      </c>
      <c r="C1070" s="2">
        <v>25</v>
      </c>
      <c r="D1070" s="2">
        <v>30</v>
      </c>
      <c r="E1070" s="2">
        <v>16</v>
      </c>
      <c r="F1070" s="17">
        <v>63</v>
      </c>
      <c r="H1070" s="360">
        <v>1</v>
      </c>
      <c r="I1070" s="360">
        <v>-0.66198999517456214</v>
      </c>
      <c r="K1070" s="363"/>
      <c r="N1070" s="10"/>
      <c r="O1070" s="4"/>
      <c r="P1070" s="4"/>
      <c r="Q1070" s="3"/>
      <c r="R1070" s="3"/>
      <c r="S1070" s="3"/>
      <c r="T1070" s="3"/>
    </row>
    <row r="1071" spans="1:20">
      <c r="A1071" s="3">
        <v>3</v>
      </c>
      <c r="B1071" s="3">
        <v>2</v>
      </c>
      <c r="C1071" s="2">
        <v>25</v>
      </c>
      <c r="D1071" s="2">
        <v>5</v>
      </c>
      <c r="E1071" s="2">
        <v>16</v>
      </c>
      <c r="F1071" s="17">
        <v>63</v>
      </c>
      <c r="H1071" s="360">
        <v>1</v>
      </c>
      <c r="I1071" s="360">
        <v>-0.78905710289035824</v>
      </c>
      <c r="K1071" s="363"/>
      <c r="N1071" s="10"/>
      <c r="O1071" s="4"/>
      <c r="P1071" s="4"/>
      <c r="Q1071" s="3"/>
      <c r="R1071" s="3"/>
      <c r="S1071" s="3"/>
      <c r="T1071" s="3"/>
    </row>
    <row r="1072" spans="1:20">
      <c r="A1072" s="3">
        <v>3</v>
      </c>
      <c r="B1072" s="3">
        <v>2</v>
      </c>
      <c r="C1072" s="2">
        <v>25</v>
      </c>
      <c r="D1072" s="2">
        <v>5</v>
      </c>
      <c r="E1072" s="2">
        <v>1</v>
      </c>
      <c r="F1072" s="17">
        <v>63</v>
      </c>
      <c r="H1072" s="361">
        <v>1</v>
      </c>
      <c r="I1072" s="361">
        <v>-0.80514812861108509</v>
      </c>
      <c r="K1072" s="363"/>
      <c r="N1072" s="10"/>
      <c r="O1072" s="4"/>
      <c r="P1072" s="4"/>
      <c r="Q1072" s="3"/>
      <c r="R1072" s="3"/>
      <c r="S1072" s="3"/>
      <c r="T1072" s="3"/>
    </row>
    <row r="1073" spans="1:20">
      <c r="A1073" s="3">
        <v>4</v>
      </c>
      <c r="B1073" s="3">
        <v>2</v>
      </c>
      <c r="C1073" s="2">
        <v>50</v>
      </c>
      <c r="D1073" s="2">
        <v>5</v>
      </c>
      <c r="E1073" s="2">
        <v>16</v>
      </c>
      <c r="F1073" s="17">
        <v>64</v>
      </c>
      <c r="H1073" s="360">
        <v>0.65720698441088932</v>
      </c>
      <c r="I1073" s="359">
        <v>0.12599354200205959</v>
      </c>
      <c r="K1073" s="363"/>
      <c r="N1073" s="10"/>
      <c r="O1073" s="4"/>
      <c r="P1073" s="4"/>
      <c r="Q1073" s="3"/>
      <c r="R1073" s="3"/>
      <c r="S1073" s="3"/>
      <c r="T1073" s="3"/>
    </row>
    <row r="1074" spans="1:20">
      <c r="A1074" s="3">
        <v>5</v>
      </c>
      <c r="B1074" s="3">
        <v>2</v>
      </c>
      <c r="C1074" s="2">
        <v>50</v>
      </c>
      <c r="D1074" s="2">
        <v>5</v>
      </c>
      <c r="E1074" s="2">
        <v>16</v>
      </c>
      <c r="F1074" s="17">
        <v>64</v>
      </c>
      <c r="H1074" s="360">
        <v>0.38700974642240182</v>
      </c>
      <c r="I1074" s="359">
        <v>-0.42211307965723416</v>
      </c>
      <c r="K1074" s="363"/>
      <c r="N1074" s="10"/>
      <c r="O1074" s="4"/>
      <c r="P1074" s="4"/>
      <c r="Q1074" s="3"/>
      <c r="R1074" s="3"/>
      <c r="S1074" s="3"/>
      <c r="T1074" s="3"/>
    </row>
    <row r="1075" spans="1:20">
      <c r="A1075" s="3">
        <v>1</v>
      </c>
      <c r="B1075" s="3">
        <v>1</v>
      </c>
      <c r="C1075" s="2">
        <v>25</v>
      </c>
      <c r="D1075" s="2">
        <v>30</v>
      </c>
      <c r="E1075" s="2">
        <v>16</v>
      </c>
      <c r="F1075" s="17">
        <v>64</v>
      </c>
      <c r="H1075" s="360">
        <v>1</v>
      </c>
      <c r="I1075" s="360">
        <v>-0.95080811468223725</v>
      </c>
      <c r="K1075" s="363"/>
      <c r="N1075" s="10"/>
      <c r="O1075" s="4"/>
      <c r="P1075" s="4"/>
      <c r="Q1075" s="3"/>
      <c r="R1075" s="3"/>
      <c r="S1075" s="3"/>
      <c r="T1075" s="3"/>
    </row>
    <row r="1076" spans="1:20">
      <c r="A1076" s="3">
        <v>1</v>
      </c>
      <c r="B1076" s="3">
        <v>1</v>
      </c>
      <c r="C1076" s="2">
        <v>25</v>
      </c>
      <c r="D1076" s="2">
        <v>5</v>
      </c>
      <c r="E1076" s="2">
        <v>1</v>
      </c>
      <c r="F1076" s="17">
        <v>64</v>
      </c>
      <c r="H1076" s="360">
        <v>1</v>
      </c>
      <c r="I1076" s="360">
        <v>-0.96164947443216597</v>
      </c>
      <c r="K1076" s="363"/>
      <c r="N1076" s="10"/>
      <c r="O1076" s="4"/>
      <c r="P1076" s="4"/>
      <c r="Q1076" s="3"/>
      <c r="R1076" s="3"/>
      <c r="S1076" s="3"/>
      <c r="T1076" s="3"/>
    </row>
    <row r="1077" spans="1:20">
      <c r="A1077" s="3">
        <v>1</v>
      </c>
      <c r="B1077" s="3">
        <v>1</v>
      </c>
      <c r="C1077" s="2">
        <v>25</v>
      </c>
      <c r="D1077" s="2">
        <v>5</v>
      </c>
      <c r="E1077" s="2">
        <v>16</v>
      </c>
      <c r="F1077" s="17">
        <v>64</v>
      </c>
      <c r="H1077" s="360">
        <v>1</v>
      </c>
      <c r="I1077" s="360">
        <v>-0.96645926914422575</v>
      </c>
      <c r="K1077" s="363"/>
      <c r="N1077" s="10"/>
      <c r="O1077" s="4"/>
      <c r="P1077" s="4"/>
      <c r="Q1077" s="3"/>
      <c r="R1077" s="3"/>
      <c r="S1077" s="3"/>
      <c r="T1077" s="3"/>
    </row>
    <row r="1078" spans="1:20">
      <c r="A1078" s="3">
        <v>3</v>
      </c>
      <c r="B1078" s="3">
        <v>1</v>
      </c>
      <c r="C1078" s="2">
        <v>25</v>
      </c>
      <c r="D1078" s="2">
        <v>5</v>
      </c>
      <c r="E1078" s="2">
        <v>16</v>
      </c>
      <c r="F1078" s="17">
        <v>64</v>
      </c>
      <c r="H1078" s="361">
        <v>1</v>
      </c>
      <c r="I1078" s="361">
        <v>-0.97916499675594137</v>
      </c>
      <c r="K1078" s="363"/>
      <c r="N1078" s="10"/>
      <c r="O1078" s="4"/>
      <c r="P1078" s="4"/>
      <c r="Q1078" s="3"/>
      <c r="R1078" s="3"/>
      <c r="S1078" s="3"/>
      <c r="T1078" s="3"/>
    </row>
    <row r="1079" spans="1:20">
      <c r="A1079" s="3">
        <v>1</v>
      </c>
      <c r="B1079" s="3">
        <v>2</v>
      </c>
      <c r="C1079" s="2">
        <v>25</v>
      </c>
      <c r="D1079" s="2">
        <v>5</v>
      </c>
      <c r="E1079" s="2">
        <v>16</v>
      </c>
      <c r="F1079" s="17">
        <v>64</v>
      </c>
      <c r="H1079" s="360">
        <v>1</v>
      </c>
      <c r="I1079" s="360">
        <v>-0.98083245172837441</v>
      </c>
      <c r="K1079" s="363"/>
      <c r="N1079" s="10"/>
      <c r="O1079" s="4"/>
      <c r="P1079" s="4"/>
      <c r="Q1079" s="3"/>
      <c r="R1079" s="3"/>
      <c r="S1079" s="3"/>
      <c r="T1079" s="3"/>
    </row>
    <row r="1080" spans="1:20">
      <c r="A1080" s="3">
        <v>3</v>
      </c>
      <c r="B1080" s="3">
        <v>1</v>
      </c>
      <c r="C1080" s="2">
        <v>25</v>
      </c>
      <c r="D1080" s="2">
        <v>5</v>
      </c>
      <c r="E1080" s="2">
        <v>1</v>
      </c>
      <c r="F1080" s="17">
        <v>64</v>
      </c>
      <c r="H1080" s="360">
        <v>1</v>
      </c>
      <c r="I1080" s="360">
        <v>-0.98262015221382815</v>
      </c>
      <c r="K1080" s="363"/>
      <c r="N1080" s="10"/>
      <c r="O1080" s="4"/>
      <c r="P1080" s="4"/>
      <c r="Q1080" s="3"/>
      <c r="R1080" s="3"/>
      <c r="S1080" s="3"/>
      <c r="T1080" s="3"/>
    </row>
    <row r="1081" spans="1:20">
      <c r="A1081" s="3">
        <v>1</v>
      </c>
      <c r="B1081" s="3">
        <v>2</v>
      </c>
      <c r="C1081" s="2">
        <v>25</v>
      </c>
      <c r="D1081" s="2">
        <v>30</v>
      </c>
      <c r="E1081" s="2">
        <v>16</v>
      </c>
      <c r="F1081" s="17">
        <v>64</v>
      </c>
      <c r="H1081" s="360">
        <v>1</v>
      </c>
      <c r="I1081" s="360">
        <v>-0.98824980783612193</v>
      </c>
      <c r="K1081" s="363"/>
      <c r="N1081" s="10"/>
      <c r="O1081" s="4"/>
      <c r="P1081" s="4"/>
      <c r="Q1081" s="3"/>
      <c r="R1081" s="3"/>
      <c r="S1081" s="3"/>
      <c r="T1081" s="3"/>
    </row>
    <row r="1082" spans="1:20">
      <c r="A1082" s="3">
        <v>1</v>
      </c>
      <c r="B1082" s="3">
        <v>2</v>
      </c>
      <c r="C1082" s="2">
        <v>25</v>
      </c>
      <c r="D1082" s="2">
        <v>5</v>
      </c>
      <c r="E1082" s="2">
        <v>1</v>
      </c>
      <c r="F1082" s="17">
        <v>64</v>
      </c>
      <c r="H1082" s="360">
        <v>0.98172623501138745</v>
      </c>
      <c r="I1082" s="360">
        <v>-0.99309771594808938</v>
      </c>
      <c r="K1082" s="363"/>
      <c r="N1082" s="10"/>
      <c r="O1082" s="4"/>
      <c r="P1082" s="4"/>
      <c r="Q1082" s="3"/>
      <c r="R1082" s="3"/>
      <c r="S1082" s="3"/>
      <c r="T1082" s="3"/>
    </row>
    <row r="1083" spans="1:20">
      <c r="A1083" s="3">
        <v>1</v>
      </c>
      <c r="B1083" s="3">
        <v>2</v>
      </c>
      <c r="C1083" s="2">
        <v>25</v>
      </c>
      <c r="D1083" s="2">
        <v>5</v>
      </c>
      <c r="E1083" s="2">
        <v>16</v>
      </c>
      <c r="F1083" s="17">
        <v>64</v>
      </c>
      <c r="H1083" s="361">
        <v>1</v>
      </c>
      <c r="I1083" s="361">
        <v>-0.99542479059618494</v>
      </c>
      <c r="K1083" s="363"/>
      <c r="N1083" s="10"/>
      <c r="O1083" s="4"/>
      <c r="P1083" s="4"/>
      <c r="Q1083" s="3"/>
      <c r="R1083" s="3"/>
      <c r="S1083" s="3"/>
      <c r="T1083" s="3"/>
    </row>
    <row r="1084" spans="1:20">
      <c r="A1084" s="3">
        <v>2</v>
      </c>
      <c r="B1084" s="3">
        <v>1</v>
      </c>
      <c r="C1084" s="2">
        <v>25</v>
      </c>
      <c r="D1084" s="2">
        <v>5</v>
      </c>
      <c r="E1084" s="2">
        <v>1</v>
      </c>
      <c r="F1084" s="17">
        <v>64</v>
      </c>
      <c r="H1084" s="360">
        <v>1</v>
      </c>
      <c r="I1084" s="360">
        <v>-1</v>
      </c>
      <c r="K1084" s="363"/>
      <c r="N1084" s="10"/>
      <c r="O1084" s="4"/>
      <c r="P1084" s="4"/>
      <c r="Q1084" s="3"/>
      <c r="R1084" s="3"/>
      <c r="S1084" s="3"/>
      <c r="T1084" s="3"/>
    </row>
    <row r="1085" spans="1:20">
      <c r="A1085" s="3">
        <v>2</v>
      </c>
      <c r="B1085" s="3">
        <v>1</v>
      </c>
      <c r="C1085" s="2">
        <v>25</v>
      </c>
      <c r="D1085" s="2">
        <v>5</v>
      </c>
      <c r="E1085" s="2">
        <v>16</v>
      </c>
      <c r="F1085" s="17">
        <v>64</v>
      </c>
      <c r="H1085" s="361">
        <v>1</v>
      </c>
      <c r="I1085" s="361">
        <v>-1</v>
      </c>
      <c r="K1085" s="363"/>
      <c r="N1085" s="10"/>
      <c r="O1085" s="4"/>
      <c r="P1085" s="4"/>
      <c r="Q1085" s="3"/>
      <c r="R1085" s="3"/>
      <c r="S1085" s="3"/>
      <c r="T1085" s="3"/>
    </row>
    <row r="1086" spans="1:20">
      <c r="A1086" s="3">
        <v>2</v>
      </c>
      <c r="B1086" s="3">
        <v>2</v>
      </c>
      <c r="C1086" s="2">
        <v>25</v>
      </c>
      <c r="D1086" s="2">
        <v>5</v>
      </c>
      <c r="E1086" s="2">
        <v>1</v>
      </c>
      <c r="F1086" s="17">
        <v>64</v>
      </c>
      <c r="H1086" s="361">
        <v>1</v>
      </c>
      <c r="I1086" s="361">
        <v>-1</v>
      </c>
      <c r="K1086" s="363"/>
      <c r="N1086" s="10"/>
      <c r="O1086" s="4"/>
      <c r="P1086" s="4"/>
      <c r="Q1086" s="3"/>
      <c r="R1086" s="3"/>
      <c r="S1086" s="3"/>
      <c r="T1086" s="3"/>
    </row>
    <row r="1087" spans="1:20">
      <c r="A1087" s="3">
        <v>2</v>
      </c>
      <c r="B1087" s="3">
        <v>2</v>
      </c>
      <c r="C1087" s="2">
        <v>25</v>
      </c>
      <c r="D1087" s="2">
        <v>5</v>
      </c>
      <c r="E1087" s="2">
        <v>16</v>
      </c>
      <c r="F1087" s="17">
        <v>64</v>
      </c>
      <c r="H1087" s="361">
        <v>1</v>
      </c>
      <c r="I1087" s="361">
        <v>-1</v>
      </c>
      <c r="K1087" s="363"/>
      <c r="N1087" s="10"/>
      <c r="O1087" s="4"/>
      <c r="P1087" s="4"/>
      <c r="Q1087" s="3"/>
      <c r="R1087" s="3"/>
      <c r="S1087" s="3"/>
      <c r="T1087" s="3"/>
    </row>
    <row r="1088" spans="1:20">
      <c r="A1088" s="3">
        <v>3</v>
      </c>
      <c r="B1088" s="3">
        <v>2</v>
      </c>
      <c r="C1088" s="2">
        <v>25</v>
      </c>
      <c r="D1088" s="2">
        <v>5</v>
      </c>
      <c r="E1088" s="2">
        <v>1</v>
      </c>
      <c r="F1088" s="17">
        <v>64</v>
      </c>
      <c r="H1088" s="361">
        <v>1</v>
      </c>
      <c r="I1088" s="361">
        <v>-1</v>
      </c>
      <c r="K1088" s="363"/>
      <c r="N1088" s="10"/>
      <c r="O1088" s="4"/>
      <c r="P1088" s="4"/>
      <c r="Q1088" s="3"/>
      <c r="R1088" s="3"/>
      <c r="S1088" s="3"/>
      <c r="T1088" s="3"/>
    </row>
    <row r="1089" spans="1:20">
      <c r="A1089" s="3">
        <v>3</v>
      </c>
      <c r="B1089" s="3">
        <v>2</v>
      </c>
      <c r="C1089" s="2">
        <v>25</v>
      </c>
      <c r="D1089" s="2">
        <v>5</v>
      </c>
      <c r="E1089" s="2">
        <v>16</v>
      </c>
      <c r="F1089" s="17">
        <v>64</v>
      </c>
      <c r="H1089" s="360">
        <v>1</v>
      </c>
      <c r="I1089" s="360">
        <v>-1</v>
      </c>
      <c r="K1089" s="363"/>
      <c r="N1089" s="10"/>
      <c r="O1089" s="4"/>
      <c r="P1089" s="4"/>
      <c r="Q1089" s="3"/>
      <c r="R1089" s="3"/>
      <c r="S1089" s="3"/>
      <c r="T1089" s="3"/>
    </row>
    <row r="1090" spans="1:20">
      <c r="A1090" s="3">
        <v>3</v>
      </c>
      <c r="B1090" s="3">
        <v>1</v>
      </c>
      <c r="C1090" s="2">
        <v>25</v>
      </c>
      <c r="D1090" s="2">
        <v>5</v>
      </c>
      <c r="E1090" s="2">
        <v>16</v>
      </c>
      <c r="F1090" s="17">
        <v>65</v>
      </c>
      <c r="H1090" s="361">
        <v>1</v>
      </c>
      <c r="I1090" s="361">
        <v>0.96302813039949897</v>
      </c>
      <c r="K1090" s="363"/>
      <c r="N1090" s="10"/>
      <c r="O1090" s="4"/>
      <c r="P1090" s="4"/>
      <c r="Q1090" s="3"/>
      <c r="R1090" s="3"/>
      <c r="S1090" s="3"/>
      <c r="T1090" s="3"/>
    </row>
    <row r="1091" spans="1:20">
      <c r="A1091" s="3">
        <v>3</v>
      </c>
      <c r="B1091" s="3">
        <v>1</v>
      </c>
      <c r="C1091" s="2">
        <v>25</v>
      </c>
      <c r="D1091" s="2">
        <v>5</v>
      </c>
      <c r="E1091" s="2">
        <v>1</v>
      </c>
      <c r="F1091" s="17">
        <v>65</v>
      </c>
      <c r="H1091" s="360">
        <v>1</v>
      </c>
      <c r="I1091" s="360">
        <v>0.93060278829881538</v>
      </c>
      <c r="K1091" s="363"/>
      <c r="N1091" s="10"/>
      <c r="O1091" s="4"/>
      <c r="P1091" s="4"/>
      <c r="Q1091" s="3"/>
      <c r="R1091" s="3"/>
      <c r="S1091" s="3"/>
      <c r="T1091" s="3"/>
    </row>
    <row r="1092" spans="1:20">
      <c r="A1092" s="3">
        <v>3</v>
      </c>
      <c r="B1092" s="3">
        <v>2</v>
      </c>
      <c r="C1092" s="2">
        <v>25</v>
      </c>
      <c r="D1092" s="2">
        <v>5</v>
      </c>
      <c r="E1092" s="2">
        <v>1</v>
      </c>
      <c r="F1092" s="17">
        <v>65</v>
      </c>
      <c r="H1092" s="361">
        <v>1</v>
      </c>
      <c r="I1092" s="361">
        <v>0.91370921688946038</v>
      </c>
      <c r="K1092" s="363"/>
      <c r="N1092" s="10"/>
      <c r="O1092" s="4"/>
      <c r="P1092" s="4"/>
      <c r="Q1092" s="3"/>
      <c r="R1092" s="3"/>
      <c r="S1092" s="3"/>
      <c r="T1092" s="3"/>
    </row>
    <row r="1093" spans="1:20">
      <c r="A1093" s="3">
        <v>1</v>
      </c>
      <c r="B1093" s="3">
        <v>1</v>
      </c>
      <c r="C1093" s="2">
        <v>25</v>
      </c>
      <c r="D1093" s="2">
        <v>5</v>
      </c>
      <c r="E1093" s="2">
        <v>1</v>
      </c>
      <c r="F1093" s="17">
        <v>65</v>
      </c>
      <c r="H1093" s="360">
        <v>1</v>
      </c>
      <c r="I1093" s="360">
        <v>0.90371282304524925</v>
      </c>
      <c r="K1093" s="363"/>
      <c r="N1093" s="10"/>
      <c r="O1093" s="4"/>
      <c r="P1093" s="4"/>
      <c r="Q1093" s="3"/>
      <c r="R1093" s="3"/>
      <c r="S1093" s="3"/>
      <c r="T1093" s="3"/>
    </row>
    <row r="1094" spans="1:20">
      <c r="A1094" s="3">
        <v>3</v>
      </c>
      <c r="B1094" s="3">
        <v>2</v>
      </c>
      <c r="C1094" s="2">
        <v>25</v>
      </c>
      <c r="D1094" s="2">
        <v>5</v>
      </c>
      <c r="E1094" s="2">
        <v>16</v>
      </c>
      <c r="F1094" s="17">
        <v>65</v>
      </c>
      <c r="H1094" s="360">
        <v>1</v>
      </c>
      <c r="I1094" s="360">
        <v>0.90235268972711269</v>
      </c>
      <c r="K1094" s="363"/>
      <c r="N1094" s="10"/>
      <c r="O1094" s="4"/>
      <c r="P1094" s="4"/>
      <c r="Q1094" s="3"/>
      <c r="R1094" s="3"/>
      <c r="S1094" s="3"/>
      <c r="T1094" s="3"/>
    </row>
    <row r="1095" spans="1:20">
      <c r="A1095" s="3">
        <v>1</v>
      </c>
      <c r="B1095" s="3">
        <v>1</v>
      </c>
      <c r="C1095" s="2">
        <v>25</v>
      </c>
      <c r="D1095" s="2">
        <v>30</v>
      </c>
      <c r="E1095" s="2">
        <v>16</v>
      </c>
      <c r="F1095" s="17">
        <v>65</v>
      </c>
      <c r="H1095" s="360">
        <v>1</v>
      </c>
      <c r="I1095" s="360">
        <v>0.89714960958816081</v>
      </c>
      <c r="K1095" s="363"/>
      <c r="N1095" s="10"/>
      <c r="O1095" s="4"/>
      <c r="P1095" s="4"/>
      <c r="Q1095" s="3"/>
      <c r="R1095" s="3"/>
      <c r="S1095" s="3"/>
      <c r="T1095" s="3"/>
    </row>
    <row r="1096" spans="1:20">
      <c r="A1096" s="3">
        <v>1</v>
      </c>
      <c r="B1096" s="3">
        <v>1</v>
      </c>
      <c r="C1096" s="2">
        <v>25</v>
      </c>
      <c r="D1096" s="2">
        <v>5</v>
      </c>
      <c r="E1096" s="2">
        <v>16</v>
      </c>
      <c r="F1096" s="17">
        <v>65</v>
      </c>
      <c r="H1096" s="360">
        <v>1</v>
      </c>
      <c r="I1096" s="360">
        <v>0.89509543425615368</v>
      </c>
      <c r="K1096" s="363"/>
      <c r="N1096" s="10"/>
      <c r="O1096" s="4"/>
      <c r="P1096" s="4"/>
      <c r="Q1096" s="3"/>
      <c r="R1096" s="3"/>
      <c r="S1096" s="3"/>
      <c r="T1096" s="3"/>
    </row>
    <row r="1097" spans="1:20">
      <c r="A1097" s="3">
        <v>1</v>
      </c>
      <c r="B1097" s="3">
        <v>2</v>
      </c>
      <c r="C1097" s="2">
        <v>25</v>
      </c>
      <c r="D1097" s="2">
        <v>30</v>
      </c>
      <c r="E1097" s="2">
        <v>16</v>
      </c>
      <c r="F1097" s="17">
        <v>65</v>
      </c>
      <c r="H1097" s="360">
        <v>1</v>
      </c>
      <c r="I1097" s="360">
        <v>0.86984539884884005</v>
      </c>
      <c r="K1097" s="363"/>
      <c r="N1097" s="10"/>
      <c r="O1097" s="4"/>
      <c r="P1097" s="4"/>
      <c r="Q1097" s="3"/>
      <c r="R1097" s="3"/>
      <c r="S1097" s="3"/>
      <c r="T1097" s="3"/>
    </row>
    <row r="1098" spans="1:20">
      <c r="A1098" s="3">
        <v>1</v>
      </c>
      <c r="B1098" s="3">
        <v>2</v>
      </c>
      <c r="C1098" s="2">
        <v>25</v>
      </c>
      <c r="D1098" s="2">
        <v>5</v>
      </c>
      <c r="E1098" s="2">
        <v>1</v>
      </c>
      <c r="F1098" s="17">
        <v>65</v>
      </c>
      <c r="H1098" s="360">
        <v>0.67431822333306002</v>
      </c>
      <c r="I1098" s="360">
        <v>0.86640779814925561</v>
      </c>
      <c r="K1098" s="363"/>
      <c r="N1098" s="10"/>
      <c r="O1098" s="4"/>
      <c r="P1098" s="4"/>
      <c r="Q1098" s="3"/>
      <c r="R1098" s="3"/>
      <c r="S1098" s="3"/>
      <c r="T1098" s="3"/>
    </row>
    <row r="1099" spans="1:20">
      <c r="A1099" s="3">
        <v>2</v>
      </c>
      <c r="B1099" s="3">
        <v>1</v>
      </c>
      <c r="C1099" s="2">
        <v>25</v>
      </c>
      <c r="D1099" s="2">
        <v>5</v>
      </c>
      <c r="E1099" s="2">
        <v>1</v>
      </c>
      <c r="F1099" s="17">
        <v>65</v>
      </c>
      <c r="H1099" s="360">
        <v>1</v>
      </c>
      <c r="I1099" s="360">
        <v>0.85527803474149455</v>
      </c>
      <c r="K1099" s="363"/>
      <c r="N1099" s="10"/>
      <c r="O1099" s="4"/>
      <c r="P1099" s="4"/>
      <c r="Q1099" s="3"/>
      <c r="R1099" s="3"/>
      <c r="S1099" s="3"/>
      <c r="T1099" s="3"/>
    </row>
    <row r="1100" spans="1:20">
      <c r="A1100" s="3">
        <v>1</v>
      </c>
      <c r="B1100" s="3">
        <v>2</v>
      </c>
      <c r="C1100" s="2">
        <v>25</v>
      </c>
      <c r="D1100" s="2">
        <v>5</v>
      </c>
      <c r="E1100" s="2">
        <v>16</v>
      </c>
      <c r="F1100" s="17">
        <v>65</v>
      </c>
      <c r="H1100" s="360">
        <v>1</v>
      </c>
      <c r="I1100" s="360">
        <v>0.85401340977655171</v>
      </c>
      <c r="K1100" s="363"/>
      <c r="N1100" s="10"/>
      <c r="O1100" s="4"/>
      <c r="P1100" s="4"/>
      <c r="Q1100" s="3"/>
      <c r="R1100" s="3"/>
      <c r="S1100" s="3"/>
      <c r="T1100" s="3"/>
    </row>
    <row r="1101" spans="1:20">
      <c r="A1101" s="3">
        <v>1</v>
      </c>
      <c r="B1101" s="3">
        <v>2</v>
      </c>
      <c r="C1101" s="2">
        <v>25</v>
      </c>
      <c r="D1101" s="2">
        <v>5</v>
      </c>
      <c r="E1101" s="2">
        <v>16</v>
      </c>
      <c r="F1101" s="17">
        <v>65</v>
      </c>
      <c r="H1101" s="361">
        <v>1</v>
      </c>
      <c r="I1101" s="361">
        <v>0.84751444285977062</v>
      </c>
      <c r="K1101" s="363"/>
      <c r="N1101" s="10"/>
      <c r="O1101" s="4"/>
      <c r="P1101" s="4"/>
      <c r="Q1101" s="3"/>
      <c r="R1101" s="3"/>
      <c r="S1101" s="3"/>
      <c r="T1101" s="3"/>
    </row>
    <row r="1102" spans="1:20">
      <c r="A1102" s="3">
        <v>2</v>
      </c>
      <c r="B1102" s="3">
        <v>1</v>
      </c>
      <c r="C1102" s="2">
        <v>25</v>
      </c>
      <c r="D1102" s="2">
        <v>5</v>
      </c>
      <c r="E1102" s="2">
        <v>16</v>
      </c>
      <c r="F1102" s="17">
        <v>65</v>
      </c>
      <c r="H1102" s="361">
        <v>1</v>
      </c>
      <c r="I1102" s="361">
        <v>0.79782721474564378</v>
      </c>
      <c r="K1102" s="363"/>
      <c r="N1102" s="10"/>
      <c r="O1102" s="4"/>
      <c r="P1102" s="4"/>
      <c r="Q1102" s="3"/>
      <c r="R1102" s="3"/>
      <c r="S1102" s="3"/>
      <c r="T1102" s="3"/>
    </row>
    <row r="1103" spans="1:20">
      <c r="A1103" s="3">
        <v>2</v>
      </c>
      <c r="B1103" s="3">
        <v>2</v>
      </c>
      <c r="C1103" s="2">
        <v>25</v>
      </c>
      <c r="D1103" s="2">
        <v>5</v>
      </c>
      <c r="E1103" s="2">
        <v>16</v>
      </c>
      <c r="F1103" s="17">
        <v>65</v>
      </c>
      <c r="H1103" s="361">
        <v>1</v>
      </c>
      <c r="I1103" s="361">
        <v>0.79016217184840065</v>
      </c>
      <c r="K1103" s="363"/>
      <c r="N1103" s="10"/>
      <c r="O1103" s="4"/>
      <c r="P1103" s="4"/>
      <c r="Q1103" s="3"/>
      <c r="R1103" s="3"/>
      <c r="S1103" s="3"/>
      <c r="T1103" s="3"/>
    </row>
    <row r="1104" spans="1:20">
      <c r="A1104" s="3">
        <v>2</v>
      </c>
      <c r="B1104" s="3">
        <v>2</v>
      </c>
      <c r="C1104" s="2">
        <v>25</v>
      </c>
      <c r="D1104" s="2">
        <v>5</v>
      </c>
      <c r="E1104" s="2">
        <v>1</v>
      </c>
      <c r="F1104" s="17">
        <v>65</v>
      </c>
      <c r="H1104" s="361">
        <v>1</v>
      </c>
      <c r="I1104" s="361">
        <v>0.77478632478632481</v>
      </c>
      <c r="K1104" s="363"/>
      <c r="N1104" s="10"/>
      <c r="O1104" s="4"/>
      <c r="P1104" s="4"/>
      <c r="Q1104" s="3"/>
      <c r="R1104" s="3"/>
      <c r="S1104" s="3"/>
      <c r="T1104" s="3"/>
    </row>
    <row r="1105" spans="1:20">
      <c r="A1105" s="3">
        <v>4</v>
      </c>
      <c r="B1105" s="3">
        <v>2</v>
      </c>
      <c r="C1105" s="2">
        <v>50</v>
      </c>
      <c r="D1105" s="2">
        <v>5</v>
      </c>
      <c r="E1105" s="2">
        <v>16</v>
      </c>
      <c r="F1105" s="17">
        <v>65</v>
      </c>
      <c r="H1105" s="360">
        <v>0.1216608631662932</v>
      </c>
      <c r="I1105" s="359">
        <v>9.2562749602859692E-2</v>
      </c>
      <c r="K1105" s="363"/>
      <c r="N1105" s="10"/>
      <c r="O1105" s="4"/>
      <c r="P1105" s="4"/>
      <c r="Q1105" s="3"/>
      <c r="R1105" s="3"/>
      <c r="S1105" s="3"/>
      <c r="T1105" s="3"/>
    </row>
    <row r="1106" spans="1:20">
      <c r="A1106" s="3">
        <v>5</v>
      </c>
      <c r="B1106" s="3">
        <v>2</v>
      </c>
      <c r="C1106" s="2">
        <v>50</v>
      </c>
      <c r="D1106" s="2">
        <v>5</v>
      </c>
      <c r="E1106" s="2">
        <v>16</v>
      </c>
      <c r="F1106" s="17">
        <v>65</v>
      </c>
      <c r="H1106" s="360">
        <v>1</v>
      </c>
      <c r="I1106" s="359">
        <v>-0.37048792523766461</v>
      </c>
      <c r="K1106" s="363"/>
      <c r="N1106" s="10"/>
      <c r="O1106" s="4"/>
      <c r="P1106" s="4"/>
      <c r="Q1106" s="3"/>
      <c r="R1106" s="3"/>
      <c r="S1106" s="3"/>
      <c r="T1106" s="3"/>
    </row>
    <row r="1107" spans="1:20">
      <c r="A1107" s="3">
        <v>1</v>
      </c>
      <c r="B1107" s="3">
        <v>2</v>
      </c>
      <c r="C1107" s="2">
        <v>25</v>
      </c>
      <c r="D1107" s="2">
        <v>5</v>
      </c>
      <c r="E1107" s="2">
        <v>16</v>
      </c>
      <c r="F1107" s="17">
        <v>66</v>
      </c>
      <c r="H1107" s="361">
        <v>1</v>
      </c>
      <c r="I1107" s="361">
        <v>0.82856733597263676</v>
      </c>
      <c r="K1107" s="363"/>
      <c r="N1107" s="10"/>
      <c r="O1107" s="4"/>
      <c r="P1107" s="4"/>
      <c r="Q1107" s="3"/>
      <c r="R1107" s="3"/>
      <c r="S1107" s="3"/>
      <c r="T1107" s="3"/>
    </row>
    <row r="1108" spans="1:20">
      <c r="A1108" s="3">
        <v>2</v>
      </c>
      <c r="B1108" s="3">
        <v>1</v>
      </c>
      <c r="C1108" s="2">
        <v>25</v>
      </c>
      <c r="D1108" s="2">
        <v>5</v>
      </c>
      <c r="E1108" s="2">
        <v>1</v>
      </c>
      <c r="F1108" s="17">
        <v>66</v>
      </c>
      <c r="H1108" s="360">
        <v>1</v>
      </c>
      <c r="I1108" s="360">
        <v>0.82331376906566378</v>
      </c>
      <c r="K1108" s="363"/>
      <c r="N1108" s="10"/>
      <c r="O1108" s="4"/>
      <c r="P1108" s="4"/>
      <c r="Q1108" s="3"/>
      <c r="R1108" s="3"/>
      <c r="S1108" s="3"/>
      <c r="T1108" s="3"/>
    </row>
    <row r="1109" spans="1:20">
      <c r="A1109" s="3">
        <v>2</v>
      </c>
      <c r="B1109" s="3">
        <v>1</v>
      </c>
      <c r="C1109" s="2">
        <v>25</v>
      </c>
      <c r="D1109" s="2">
        <v>5</v>
      </c>
      <c r="E1109" s="2">
        <v>16</v>
      </c>
      <c r="F1109" s="17">
        <v>66</v>
      </c>
      <c r="H1109" s="361">
        <v>1</v>
      </c>
      <c r="I1109" s="361">
        <v>0.79623552123552122</v>
      </c>
      <c r="K1109" s="363"/>
      <c r="N1109" s="10"/>
      <c r="O1109" s="4"/>
      <c r="P1109" s="4"/>
      <c r="Q1109" s="3"/>
      <c r="R1109" s="3"/>
      <c r="S1109" s="3"/>
      <c r="T1109" s="3"/>
    </row>
    <row r="1110" spans="1:20">
      <c r="A1110" s="3">
        <v>3</v>
      </c>
      <c r="B1110" s="3">
        <v>2</v>
      </c>
      <c r="C1110" s="2">
        <v>25</v>
      </c>
      <c r="D1110" s="2">
        <v>5</v>
      </c>
      <c r="E1110" s="2">
        <v>1</v>
      </c>
      <c r="F1110" s="17">
        <v>66</v>
      </c>
      <c r="H1110" s="361">
        <v>1</v>
      </c>
      <c r="I1110" s="361">
        <v>0.77040042458822022</v>
      </c>
      <c r="K1110" s="363"/>
      <c r="N1110" s="10"/>
      <c r="O1110" s="4"/>
      <c r="P1110" s="4"/>
      <c r="Q1110" s="3"/>
      <c r="R1110" s="3"/>
      <c r="S1110" s="3"/>
      <c r="T1110" s="3"/>
    </row>
    <row r="1111" spans="1:20">
      <c r="A1111" s="3">
        <v>1</v>
      </c>
      <c r="B1111" s="3">
        <v>2</v>
      </c>
      <c r="C1111" s="2">
        <v>25</v>
      </c>
      <c r="D1111" s="2">
        <v>5</v>
      </c>
      <c r="E1111" s="2">
        <v>16</v>
      </c>
      <c r="F1111" s="17">
        <v>66</v>
      </c>
      <c r="H1111" s="360">
        <v>1</v>
      </c>
      <c r="I1111" s="360">
        <v>0.70603849466495738</v>
      </c>
      <c r="K1111" s="363"/>
      <c r="N1111" s="10"/>
      <c r="O1111" s="4"/>
      <c r="P1111" s="4"/>
      <c r="Q1111" s="3"/>
      <c r="R1111" s="3"/>
      <c r="S1111" s="3"/>
      <c r="T1111" s="3"/>
    </row>
    <row r="1112" spans="1:20">
      <c r="A1112" s="3">
        <v>1</v>
      </c>
      <c r="B1112" s="3">
        <v>2</v>
      </c>
      <c r="C1112" s="2">
        <v>25</v>
      </c>
      <c r="D1112" s="2">
        <v>5</v>
      </c>
      <c r="E1112" s="2">
        <v>1</v>
      </c>
      <c r="F1112" s="17">
        <v>66</v>
      </c>
      <c r="H1112" s="360">
        <v>0.23324136104156057</v>
      </c>
      <c r="I1112" s="360">
        <v>0.69446912948083273</v>
      </c>
      <c r="K1112" s="363"/>
      <c r="N1112" s="10"/>
      <c r="O1112" s="4"/>
      <c r="P1112" s="4"/>
      <c r="Q1112" s="3"/>
      <c r="R1112" s="3"/>
      <c r="S1112" s="3"/>
      <c r="T1112" s="3"/>
    </row>
    <row r="1113" spans="1:20">
      <c r="A1113" s="3">
        <v>3</v>
      </c>
      <c r="B1113" s="3">
        <v>1</v>
      </c>
      <c r="C1113" s="2">
        <v>25</v>
      </c>
      <c r="D1113" s="2">
        <v>5</v>
      </c>
      <c r="E1113" s="2">
        <v>1</v>
      </c>
      <c r="F1113" s="17">
        <v>66</v>
      </c>
      <c r="H1113" s="360">
        <v>0.39677370146018087</v>
      </c>
      <c r="I1113" s="360">
        <v>0.69101917347377972</v>
      </c>
      <c r="K1113" s="363"/>
      <c r="N1113" s="10"/>
      <c r="O1113" s="4"/>
      <c r="P1113" s="4"/>
      <c r="Q1113" s="3"/>
      <c r="R1113" s="3"/>
      <c r="S1113" s="3"/>
      <c r="T1113" s="3"/>
    </row>
    <row r="1114" spans="1:20">
      <c r="A1114" s="3">
        <v>2</v>
      </c>
      <c r="B1114" s="3">
        <v>2</v>
      </c>
      <c r="C1114" s="2">
        <v>25</v>
      </c>
      <c r="D1114" s="2">
        <v>5</v>
      </c>
      <c r="E1114" s="2">
        <v>16</v>
      </c>
      <c r="F1114" s="17">
        <v>66</v>
      </c>
      <c r="H1114" s="361">
        <v>1</v>
      </c>
      <c r="I1114" s="361">
        <v>0.6637922577664418</v>
      </c>
      <c r="K1114" s="363"/>
      <c r="N1114" s="10"/>
      <c r="O1114" s="4"/>
      <c r="P1114" s="4"/>
      <c r="Q1114" s="3"/>
      <c r="R1114" s="3"/>
      <c r="S1114" s="3"/>
      <c r="T1114" s="3"/>
    </row>
    <row r="1115" spans="1:20">
      <c r="A1115" s="3">
        <v>3</v>
      </c>
      <c r="B1115" s="3">
        <v>2</v>
      </c>
      <c r="C1115" s="2">
        <v>25</v>
      </c>
      <c r="D1115" s="2">
        <v>5</v>
      </c>
      <c r="E1115" s="2">
        <v>16</v>
      </c>
      <c r="F1115" s="17">
        <v>66</v>
      </c>
      <c r="H1115" s="360">
        <v>1</v>
      </c>
      <c r="I1115" s="360">
        <v>0.64791637960114179</v>
      </c>
      <c r="K1115" s="363"/>
      <c r="N1115" s="10"/>
      <c r="O1115" s="4"/>
      <c r="P1115" s="4"/>
      <c r="Q1115" s="3"/>
      <c r="R1115" s="3"/>
      <c r="S1115" s="3"/>
      <c r="T1115" s="3"/>
    </row>
    <row r="1116" spans="1:20">
      <c r="A1116" s="3">
        <v>1</v>
      </c>
      <c r="B1116" s="3">
        <v>2</v>
      </c>
      <c r="C1116" s="2">
        <v>25</v>
      </c>
      <c r="D1116" s="2">
        <v>30</v>
      </c>
      <c r="E1116" s="2">
        <v>16</v>
      </c>
      <c r="F1116" s="17">
        <v>66</v>
      </c>
      <c r="H1116" s="360">
        <v>1</v>
      </c>
      <c r="I1116" s="360">
        <v>0.64532999591412377</v>
      </c>
      <c r="K1116" s="363"/>
      <c r="N1116" s="10"/>
      <c r="O1116" s="4"/>
      <c r="P1116" s="4"/>
      <c r="Q1116" s="3"/>
      <c r="R1116" s="3"/>
      <c r="S1116" s="3"/>
      <c r="T1116" s="3"/>
    </row>
    <row r="1117" spans="1:20">
      <c r="A1117" s="3">
        <v>1</v>
      </c>
      <c r="B1117" s="3">
        <v>1</v>
      </c>
      <c r="C1117" s="2">
        <v>25</v>
      </c>
      <c r="D1117" s="2">
        <v>5</v>
      </c>
      <c r="E1117" s="2">
        <v>1</v>
      </c>
      <c r="F1117" s="17">
        <v>66</v>
      </c>
      <c r="H1117" s="360">
        <v>0.97153554131254516</v>
      </c>
      <c r="I1117" s="360">
        <v>0.63747614278184184</v>
      </c>
      <c r="K1117" s="363"/>
      <c r="N1117" s="10"/>
      <c r="O1117" s="4"/>
      <c r="P1117" s="4"/>
      <c r="Q1117" s="3"/>
      <c r="R1117" s="3"/>
      <c r="S1117" s="3"/>
      <c r="T1117" s="3"/>
    </row>
    <row r="1118" spans="1:20">
      <c r="A1118" s="3">
        <v>1</v>
      </c>
      <c r="B1118" s="3">
        <v>1</v>
      </c>
      <c r="C1118" s="2">
        <v>25</v>
      </c>
      <c r="D1118" s="2">
        <v>5</v>
      </c>
      <c r="E1118" s="2">
        <v>16</v>
      </c>
      <c r="F1118" s="17">
        <v>66</v>
      </c>
      <c r="H1118" s="360">
        <v>0.99044964753454801</v>
      </c>
      <c r="I1118" s="360">
        <v>0.63274750256420897</v>
      </c>
      <c r="K1118" s="363"/>
      <c r="N1118" s="10"/>
      <c r="O1118" s="4"/>
      <c r="P1118" s="4"/>
      <c r="Q1118" s="3"/>
      <c r="R1118" s="3"/>
      <c r="S1118" s="3"/>
      <c r="T1118" s="3"/>
    </row>
    <row r="1119" spans="1:20">
      <c r="A1119" s="3">
        <v>3</v>
      </c>
      <c r="B1119" s="3">
        <v>1</v>
      </c>
      <c r="C1119" s="2">
        <v>25</v>
      </c>
      <c r="D1119" s="2">
        <v>5</v>
      </c>
      <c r="E1119" s="2">
        <v>16</v>
      </c>
      <c r="F1119" s="17">
        <v>66</v>
      </c>
      <c r="H1119" s="361">
        <v>0.77815877253280386</v>
      </c>
      <c r="I1119" s="361">
        <v>0.55160630609709982</v>
      </c>
      <c r="K1119" s="363"/>
      <c r="N1119" s="10"/>
      <c r="O1119" s="4"/>
      <c r="P1119" s="4"/>
      <c r="Q1119" s="3"/>
      <c r="R1119" s="3"/>
      <c r="S1119" s="3"/>
      <c r="T1119" s="3"/>
    </row>
    <row r="1120" spans="1:20">
      <c r="A1120" s="3">
        <v>1</v>
      </c>
      <c r="B1120" s="3">
        <v>1</v>
      </c>
      <c r="C1120" s="2">
        <v>25</v>
      </c>
      <c r="D1120" s="2">
        <v>30</v>
      </c>
      <c r="E1120" s="2">
        <v>16</v>
      </c>
      <c r="F1120" s="17">
        <v>66</v>
      </c>
      <c r="H1120" s="360">
        <v>0.91379425295598948</v>
      </c>
      <c r="I1120" s="360">
        <v>0.51679969351590205</v>
      </c>
      <c r="K1120" s="363"/>
      <c r="N1120" s="10"/>
      <c r="O1120" s="4"/>
      <c r="P1120" s="4"/>
      <c r="Q1120" s="3"/>
      <c r="R1120" s="3"/>
      <c r="S1120" s="3"/>
      <c r="T1120" s="3"/>
    </row>
    <row r="1121" spans="1:20">
      <c r="A1121" s="3">
        <v>2</v>
      </c>
      <c r="B1121" s="3">
        <v>2</v>
      </c>
      <c r="C1121" s="2">
        <v>25</v>
      </c>
      <c r="D1121" s="2">
        <v>5</v>
      </c>
      <c r="E1121" s="2">
        <v>1</v>
      </c>
      <c r="F1121" s="17">
        <v>66</v>
      </c>
      <c r="H1121" s="361">
        <v>0.18523444292219771</v>
      </c>
      <c r="I1121" s="361">
        <v>0.27500707080230036</v>
      </c>
      <c r="K1121" s="363"/>
      <c r="N1121" s="10"/>
      <c r="O1121" s="4"/>
      <c r="P1121" s="4"/>
      <c r="Q1121" s="3"/>
      <c r="R1121" s="3"/>
      <c r="S1121" s="3"/>
      <c r="T1121" s="3"/>
    </row>
    <row r="1122" spans="1:20">
      <c r="A1122" s="3">
        <v>4</v>
      </c>
      <c r="B1122" s="3">
        <v>2</v>
      </c>
      <c r="C1122" s="2">
        <v>50</v>
      </c>
      <c r="D1122" s="2">
        <v>5</v>
      </c>
      <c r="E1122" s="2">
        <v>16</v>
      </c>
      <c r="F1122" s="17">
        <v>66</v>
      </c>
      <c r="H1122" s="360">
        <v>0.49092748835197464</v>
      </c>
      <c r="I1122" s="359">
        <v>4.7560459693457881E-2</v>
      </c>
      <c r="K1122" s="363"/>
      <c r="N1122" s="10"/>
      <c r="O1122" s="4"/>
      <c r="P1122" s="4"/>
      <c r="Q1122" s="3"/>
      <c r="R1122" s="3"/>
      <c r="S1122" s="3"/>
      <c r="T1122" s="3"/>
    </row>
    <row r="1123" spans="1:20">
      <c r="A1123" s="3">
        <v>5</v>
      </c>
      <c r="B1123" s="3">
        <v>2</v>
      </c>
      <c r="C1123" s="2">
        <v>50</v>
      </c>
      <c r="D1123" s="2">
        <v>5</v>
      </c>
      <c r="E1123" s="2">
        <v>16</v>
      </c>
      <c r="F1123" s="17">
        <v>66</v>
      </c>
      <c r="H1123" s="360">
        <v>1</v>
      </c>
      <c r="I1123" s="359">
        <v>3.6156232301503399E-3</v>
      </c>
      <c r="K1123" s="363"/>
      <c r="N1123" s="10"/>
      <c r="O1123" s="4"/>
      <c r="P1123" s="4"/>
      <c r="Q1123" s="3"/>
      <c r="R1123" s="3"/>
      <c r="S1123" s="3"/>
      <c r="T1123" s="3"/>
    </row>
    <row r="1124" spans="1:20">
      <c r="A1124" s="3">
        <v>2</v>
      </c>
      <c r="B1124" s="3">
        <v>2</v>
      </c>
      <c r="C1124" s="2">
        <v>25</v>
      </c>
      <c r="D1124" s="2">
        <v>5</v>
      </c>
      <c r="E1124" s="2">
        <v>1</v>
      </c>
      <c r="F1124" s="17">
        <v>67</v>
      </c>
      <c r="H1124" s="361">
        <v>0.65334376877459854</v>
      </c>
      <c r="I1124" s="361">
        <v>1</v>
      </c>
      <c r="K1124" s="363"/>
      <c r="N1124" s="10"/>
      <c r="O1124" s="4"/>
      <c r="P1124" s="4"/>
      <c r="Q1124" s="3"/>
      <c r="R1124" s="3"/>
      <c r="S1124" s="3"/>
      <c r="T1124" s="3"/>
    </row>
    <row r="1125" spans="1:20">
      <c r="A1125" s="3">
        <v>2</v>
      </c>
      <c r="B1125" s="3">
        <v>2</v>
      </c>
      <c r="C1125" s="2">
        <v>25</v>
      </c>
      <c r="D1125" s="2">
        <v>5</v>
      </c>
      <c r="E1125" s="2">
        <v>16</v>
      </c>
      <c r="F1125" s="17">
        <v>67</v>
      </c>
      <c r="H1125" s="361">
        <v>1</v>
      </c>
      <c r="I1125" s="361">
        <v>1</v>
      </c>
      <c r="K1125" s="363"/>
      <c r="N1125" s="10"/>
      <c r="O1125" s="4"/>
      <c r="P1125" s="4"/>
      <c r="Q1125" s="3"/>
      <c r="R1125" s="3"/>
      <c r="S1125" s="3"/>
      <c r="T1125" s="3"/>
    </row>
    <row r="1126" spans="1:20">
      <c r="A1126" s="3">
        <v>2</v>
      </c>
      <c r="B1126" s="3">
        <v>1</v>
      </c>
      <c r="C1126" s="2">
        <v>25</v>
      </c>
      <c r="D1126" s="2">
        <v>5</v>
      </c>
      <c r="E1126" s="2">
        <v>1</v>
      </c>
      <c r="F1126" s="17">
        <v>67</v>
      </c>
      <c r="H1126" s="360">
        <v>1</v>
      </c>
      <c r="I1126" s="360">
        <v>1</v>
      </c>
      <c r="K1126" s="363"/>
      <c r="N1126" s="10"/>
      <c r="O1126" s="4"/>
      <c r="P1126" s="4"/>
      <c r="Q1126" s="3"/>
      <c r="R1126" s="3"/>
      <c r="S1126" s="3"/>
      <c r="T1126" s="3"/>
    </row>
    <row r="1127" spans="1:20">
      <c r="A1127" s="3">
        <v>2</v>
      </c>
      <c r="B1127" s="3">
        <v>1</v>
      </c>
      <c r="C1127" s="2">
        <v>25</v>
      </c>
      <c r="D1127" s="2">
        <v>5</v>
      </c>
      <c r="E1127" s="2">
        <v>16</v>
      </c>
      <c r="F1127" s="17">
        <v>67</v>
      </c>
      <c r="H1127" s="361">
        <v>1</v>
      </c>
      <c r="I1127" s="361">
        <v>1</v>
      </c>
      <c r="K1127" s="363"/>
      <c r="N1127" s="10"/>
      <c r="O1127" s="4"/>
      <c r="P1127" s="4"/>
      <c r="Q1127" s="3"/>
      <c r="R1127" s="3"/>
      <c r="S1127" s="3"/>
      <c r="T1127" s="3"/>
    </row>
    <row r="1128" spans="1:20">
      <c r="A1128" s="3">
        <v>1</v>
      </c>
      <c r="B1128" s="3">
        <v>2</v>
      </c>
      <c r="C1128" s="2">
        <v>25</v>
      </c>
      <c r="D1128" s="2">
        <v>5</v>
      </c>
      <c r="E1128" s="2">
        <v>16</v>
      </c>
      <c r="F1128" s="17">
        <v>67</v>
      </c>
      <c r="H1128" s="360">
        <v>0.98181667164413366</v>
      </c>
      <c r="I1128" s="360">
        <v>0.99303294463942038</v>
      </c>
      <c r="K1128" s="363"/>
      <c r="N1128" s="10"/>
      <c r="O1128" s="4"/>
      <c r="P1128" s="4"/>
      <c r="Q1128" s="3"/>
      <c r="R1128" s="3"/>
      <c r="S1128" s="3"/>
      <c r="T1128" s="3"/>
    </row>
    <row r="1129" spans="1:20">
      <c r="A1129" s="3">
        <v>1</v>
      </c>
      <c r="B1129" s="3">
        <v>2</v>
      </c>
      <c r="C1129" s="2">
        <v>25</v>
      </c>
      <c r="D1129" s="2">
        <v>5</v>
      </c>
      <c r="E1129" s="2">
        <v>1</v>
      </c>
      <c r="F1129" s="17">
        <v>67</v>
      </c>
      <c r="H1129" s="360">
        <v>0.94157898556220376</v>
      </c>
      <c r="I1129" s="360">
        <v>0.98957474258832889</v>
      </c>
      <c r="K1129" s="363"/>
      <c r="N1129" s="10"/>
      <c r="O1129" s="4"/>
      <c r="P1129" s="4"/>
      <c r="Q1129" s="3"/>
      <c r="R1129" s="3"/>
      <c r="S1129" s="3"/>
      <c r="T1129" s="3"/>
    </row>
    <row r="1130" spans="1:20">
      <c r="A1130" s="3">
        <v>1</v>
      </c>
      <c r="B1130" s="3">
        <v>2</v>
      </c>
      <c r="C1130" s="2">
        <v>25</v>
      </c>
      <c r="D1130" s="2">
        <v>5</v>
      </c>
      <c r="E1130" s="2">
        <v>16</v>
      </c>
      <c r="F1130" s="17">
        <v>67</v>
      </c>
      <c r="H1130" s="361">
        <v>1</v>
      </c>
      <c r="I1130" s="361">
        <v>0.98821450025014757</v>
      </c>
      <c r="K1130" s="363"/>
      <c r="N1130" s="10"/>
      <c r="O1130" s="4"/>
      <c r="P1130" s="4"/>
      <c r="Q1130" s="3"/>
      <c r="R1130" s="3"/>
      <c r="S1130" s="3"/>
      <c r="T1130" s="3"/>
    </row>
    <row r="1131" spans="1:20">
      <c r="A1131" s="3">
        <v>1</v>
      </c>
      <c r="B1131" s="3">
        <v>2</v>
      </c>
      <c r="C1131" s="2">
        <v>25</v>
      </c>
      <c r="D1131" s="2">
        <v>30</v>
      </c>
      <c r="E1131" s="2">
        <v>16</v>
      </c>
      <c r="F1131" s="17">
        <v>67</v>
      </c>
      <c r="H1131" s="360">
        <v>1</v>
      </c>
      <c r="I1131" s="360">
        <v>0.98783046162717869</v>
      </c>
      <c r="K1131" s="363"/>
      <c r="N1131" s="10"/>
      <c r="O1131" s="4"/>
      <c r="P1131" s="4"/>
      <c r="Q1131" s="3"/>
      <c r="R1131" s="3"/>
      <c r="S1131" s="3"/>
      <c r="T1131" s="3"/>
    </row>
    <row r="1132" spans="1:20">
      <c r="A1132" s="3">
        <v>1</v>
      </c>
      <c r="B1132" s="3">
        <v>1</v>
      </c>
      <c r="C1132" s="2">
        <v>25</v>
      </c>
      <c r="D1132" s="2">
        <v>5</v>
      </c>
      <c r="E1132" s="2">
        <v>1</v>
      </c>
      <c r="F1132" s="17">
        <v>67</v>
      </c>
      <c r="H1132" s="360">
        <v>1</v>
      </c>
      <c r="I1132" s="360">
        <v>0.98359769528312024</v>
      </c>
      <c r="K1132" s="363"/>
      <c r="N1132" s="10"/>
      <c r="O1132" s="4"/>
      <c r="P1132" s="4"/>
      <c r="Q1132" s="3"/>
      <c r="R1132" s="3"/>
      <c r="S1132" s="3"/>
      <c r="T1132" s="3"/>
    </row>
    <row r="1133" spans="1:20">
      <c r="A1133" s="3">
        <v>1</v>
      </c>
      <c r="B1133" s="3">
        <v>1</v>
      </c>
      <c r="C1133" s="2">
        <v>25</v>
      </c>
      <c r="D1133" s="2">
        <v>30</v>
      </c>
      <c r="E1133" s="2">
        <v>16</v>
      </c>
      <c r="F1133" s="17">
        <v>67</v>
      </c>
      <c r="H1133" s="360">
        <v>1</v>
      </c>
      <c r="I1133" s="360">
        <v>0.97531613555892771</v>
      </c>
      <c r="K1133" s="363"/>
      <c r="N1133" s="10"/>
      <c r="O1133" s="4"/>
      <c r="P1133" s="4"/>
      <c r="Q1133" s="3"/>
      <c r="R1133" s="3"/>
      <c r="S1133" s="3"/>
      <c r="T1133" s="3"/>
    </row>
    <row r="1134" spans="1:20">
      <c r="A1134" s="3">
        <v>3</v>
      </c>
      <c r="B1134" s="3">
        <v>1</v>
      </c>
      <c r="C1134" s="2">
        <v>25</v>
      </c>
      <c r="D1134" s="2">
        <v>5</v>
      </c>
      <c r="E1134" s="2">
        <v>16</v>
      </c>
      <c r="F1134" s="17">
        <v>67</v>
      </c>
      <c r="H1134" s="361">
        <v>1</v>
      </c>
      <c r="I1134" s="361">
        <v>0.96767687365487121</v>
      </c>
      <c r="K1134" s="363"/>
      <c r="N1134" s="10"/>
      <c r="O1134" s="4"/>
      <c r="P1134" s="4"/>
      <c r="Q1134" s="3"/>
      <c r="R1134" s="3"/>
      <c r="S1134" s="3"/>
      <c r="T1134" s="3"/>
    </row>
    <row r="1135" spans="1:20">
      <c r="A1135" s="3">
        <v>1</v>
      </c>
      <c r="B1135" s="3">
        <v>1</v>
      </c>
      <c r="C1135" s="2">
        <v>25</v>
      </c>
      <c r="D1135" s="2">
        <v>5</v>
      </c>
      <c r="E1135" s="2">
        <v>16</v>
      </c>
      <c r="F1135" s="17">
        <v>67</v>
      </c>
      <c r="H1135" s="360">
        <v>1</v>
      </c>
      <c r="I1135" s="360">
        <v>0.9627906529700242</v>
      </c>
      <c r="K1135" s="363"/>
      <c r="N1135" s="10"/>
      <c r="O1135" s="4"/>
      <c r="P1135" s="4"/>
      <c r="Q1135" s="3"/>
      <c r="R1135" s="3"/>
      <c r="S1135" s="3"/>
      <c r="T1135" s="3"/>
    </row>
    <row r="1136" spans="1:20">
      <c r="A1136" s="3">
        <v>3</v>
      </c>
      <c r="B1136" s="3">
        <v>1</v>
      </c>
      <c r="C1136" s="2">
        <v>25</v>
      </c>
      <c r="D1136" s="2">
        <v>5</v>
      </c>
      <c r="E1136" s="2">
        <v>1</v>
      </c>
      <c r="F1136" s="17">
        <v>67</v>
      </c>
      <c r="H1136" s="360">
        <v>1</v>
      </c>
      <c r="I1136" s="360">
        <v>0.94746131368686237</v>
      </c>
      <c r="K1136" s="363"/>
      <c r="N1136" s="10"/>
      <c r="O1136" s="4"/>
      <c r="P1136" s="4"/>
      <c r="Q1136" s="3"/>
      <c r="R1136" s="3"/>
      <c r="S1136" s="3"/>
      <c r="T1136" s="3"/>
    </row>
    <row r="1137" spans="1:20">
      <c r="A1137" s="3">
        <v>3</v>
      </c>
      <c r="B1137" s="3">
        <v>2</v>
      </c>
      <c r="C1137" s="2">
        <v>25</v>
      </c>
      <c r="D1137" s="2">
        <v>5</v>
      </c>
      <c r="E1137" s="2">
        <v>1</v>
      </c>
      <c r="F1137" s="17">
        <v>67</v>
      </c>
      <c r="H1137" s="361">
        <v>0.51617620555380173</v>
      </c>
      <c r="I1137" s="361">
        <v>0.9451153133538559</v>
      </c>
      <c r="K1137" s="363"/>
      <c r="N1137" s="10"/>
      <c r="O1137" s="4"/>
      <c r="P1137" s="4"/>
      <c r="Q1137" s="3"/>
      <c r="R1137" s="3"/>
      <c r="S1137" s="3"/>
      <c r="T1137" s="3"/>
    </row>
    <row r="1138" spans="1:20">
      <c r="A1138" s="3">
        <v>3</v>
      </c>
      <c r="B1138" s="3">
        <v>2</v>
      </c>
      <c r="C1138" s="2">
        <v>25</v>
      </c>
      <c r="D1138" s="2">
        <v>5</v>
      </c>
      <c r="E1138" s="2">
        <v>16</v>
      </c>
      <c r="F1138" s="17">
        <v>67</v>
      </c>
      <c r="H1138" s="360">
        <v>1</v>
      </c>
      <c r="I1138" s="360">
        <v>0.92782270306074577</v>
      </c>
      <c r="K1138" s="363"/>
      <c r="N1138" s="10"/>
      <c r="O1138" s="4"/>
      <c r="P1138" s="4"/>
      <c r="Q1138" s="3"/>
      <c r="R1138" s="3"/>
      <c r="S1138" s="3"/>
      <c r="T1138" s="3"/>
    </row>
    <row r="1139" spans="1:20">
      <c r="A1139" s="3">
        <v>5</v>
      </c>
      <c r="B1139" s="3">
        <v>2</v>
      </c>
      <c r="C1139" s="2">
        <v>50</v>
      </c>
      <c r="D1139" s="2">
        <v>5</v>
      </c>
      <c r="E1139" s="2">
        <v>16</v>
      </c>
      <c r="F1139" s="17">
        <v>67</v>
      </c>
      <c r="H1139" s="360">
        <v>0.89685002557255855</v>
      </c>
      <c r="I1139" s="359">
        <v>0.23387958450391316</v>
      </c>
      <c r="K1139" s="363"/>
      <c r="N1139" s="10"/>
      <c r="O1139" s="4"/>
      <c r="P1139" s="4"/>
      <c r="Q1139" s="3"/>
      <c r="R1139" s="3"/>
      <c r="S1139" s="3"/>
      <c r="T1139" s="3"/>
    </row>
    <row r="1140" spans="1:20">
      <c r="A1140" s="3">
        <v>4</v>
      </c>
      <c r="B1140" s="3">
        <v>2</v>
      </c>
      <c r="C1140" s="2">
        <v>50</v>
      </c>
      <c r="D1140" s="2">
        <v>5</v>
      </c>
      <c r="E1140" s="2">
        <v>16</v>
      </c>
      <c r="F1140" s="17">
        <v>67</v>
      </c>
      <c r="H1140" s="360">
        <v>0.10343322315404159</v>
      </c>
      <c r="I1140" s="359">
        <v>3.2092218248916747E-2</v>
      </c>
      <c r="K1140" s="363"/>
      <c r="N1140" s="10"/>
      <c r="O1140" s="4"/>
      <c r="P1140" s="4"/>
      <c r="Q1140" s="3"/>
      <c r="R1140" s="3"/>
      <c r="S1140" s="3"/>
      <c r="T1140" s="3"/>
    </row>
    <row r="1141" spans="1:20">
      <c r="A1141" s="3">
        <v>2</v>
      </c>
      <c r="B1141" s="3">
        <v>2</v>
      </c>
      <c r="C1141" s="2">
        <v>25</v>
      </c>
      <c r="D1141" s="2">
        <v>5</v>
      </c>
      <c r="E1141" s="2">
        <v>1</v>
      </c>
      <c r="F1141" s="17">
        <v>68</v>
      </c>
      <c r="H1141" s="361">
        <v>1</v>
      </c>
      <c r="I1141" s="361">
        <v>1</v>
      </c>
      <c r="K1141" s="363"/>
      <c r="N1141" s="10"/>
      <c r="O1141" s="4"/>
      <c r="P1141" s="4"/>
      <c r="Q1141" s="3"/>
      <c r="R1141" s="3"/>
      <c r="S1141" s="3"/>
      <c r="T1141" s="3"/>
    </row>
    <row r="1142" spans="1:20">
      <c r="A1142" s="3">
        <v>2</v>
      </c>
      <c r="B1142" s="3">
        <v>2</v>
      </c>
      <c r="C1142" s="2">
        <v>25</v>
      </c>
      <c r="D1142" s="2">
        <v>5</v>
      </c>
      <c r="E1142" s="2">
        <v>16</v>
      </c>
      <c r="F1142" s="17">
        <v>68</v>
      </c>
      <c r="H1142" s="361">
        <v>1</v>
      </c>
      <c r="I1142" s="361">
        <v>1</v>
      </c>
      <c r="K1142" s="363"/>
      <c r="N1142" s="10"/>
      <c r="O1142" s="4"/>
      <c r="P1142" s="4"/>
      <c r="Q1142" s="3"/>
      <c r="R1142" s="3"/>
      <c r="S1142" s="3"/>
      <c r="T1142" s="3"/>
    </row>
    <row r="1143" spans="1:20">
      <c r="A1143" s="3">
        <v>3</v>
      </c>
      <c r="B1143" s="3">
        <v>2</v>
      </c>
      <c r="C1143" s="2">
        <v>25</v>
      </c>
      <c r="D1143" s="2">
        <v>5</v>
      </c>
      <c r="E1143" s="2">
        <v>1</v>
      </c>
      <c r="F1143" s="17">
        <v>68</v>
      </c>
      <c r="H1143" s="361">
        <v>1</v>
      </c>
      <c r="I1143" s="361">
        <v>1</v>
      </c>
      <c r="K1143" s="363"/>
      <c r="N1143" s="10"/>
      <c r="O1143" s="4"/>
      <c r="P1143" s="4"/>
      <c r="Q1143" s="3"/>
      <c r="R1143" s="3"/>
      <c r="S1143" s="3"/>
      <c r="T1143" s="3"/>
    </row>
    <row r="1144" spans="1:20">
      <c r="A1144" s="3">
        <v>2</v>
      </c>
      <c r="B1144" s="3">
        <v>1</v>
      </c>
      <c r="C1144" s="2">
        <v>25</v>
      </c>
      <c r="D1144" s="2">
        <v>5</v>
      </c>
      <c r="E1144" s="2">
        <v>1</v>
      </c>
      <c r="F1144" s="17">
        <v>68</v>
      </c>
      <c r="H1144" s="360">
        <v>1</v>
      </c>
      <c r="I1144" s="360">
        <v>1</v>
      </c>
      <c r="K1144" s="363"/>
      <c r="N1144" s="10"/>
      <c r="O1144" s="4"/>
      <c r="P1144" s="4"/>
      <c r="Q1144" s="3"/>
      <c r="R1144" s="3"/>
      <c r="S1144" s="3"/>
      <c r="T1144" s="3"/>
    </row>
    <row r="1145" spans="1:20">
      <c r="A1145" s="3">
        <v>2</v>
      </c>
      <c r="B1145" s="3">
        <v>1</v>
      </c>
      <c r="C1145" s="2">
        <v>25</v>
      </c>
      <c r="D1145" s="2">
        <v>5</v>
      </c>
      <c r="E1145" s="2">
        <v>16</v>
      </c>
      <c r="F1145" s="17">
        <v>68</v>
      </c>
      <c r="H1145" s="361">
        <v>1</v>
      </c>
      <c r="I1145" s="361">
        <v>1</v>
      </c>
      <c r="K1145" s="363"/>
      <c r="N1145" s="10"/>
      <c r="O1145" s="4"/>
      <c r="P1145" s="4"/>
      <c r="Q1145" s="3"/>
      <c r="R1145" s="3"/>
      <c r="S1145" s="3"/>
      <c r="T1145" s="3"/>
    </row>
    <row r="1146" spans="1:20">
      <c r="A1146" s="3">
        <v>3</v>
      </c>
      <c r="B1146" s="3">
        <v>1</v>
      </c>
      <c r="C1146" s="2">
        <v>25</v>
      </c>
      <c r="D1146" s="2">
        <v>5</v>
      </c>
      <c r="E1146" s="2">
        <v>16</v>
      </c>
      <c r="F1146" s="17">
        <v>68</v>
      </c>
      <c r="H1146" s="361">
        <v>1</v>
      </c>
      <c r="I1146" s="361">
        <v>1</v>
      </c>
      <c r="K1146" s="363"/>
      <c r="N1146" s="10"/>
      <c r="O1146" s="4"/>
      <c r="P1146" s="4"/>
      <c r="Q1146" s="3"/>
      <c r="R1146" s="3"/>
      <c r="S1146" s="3"/>
      <c r="T1146" s="3"/>
    </row>
    <row r="1147" spans="1:20">
      <c r="A1147" s="3">
        <v>1</v>
      </c>
      <c r="B1147" s="3">
        <v>1</v>
      </c>
      <c r="C1147" s="2">
        <v>25</v>
      </c>
      <c r="D1147" s="2">
        <v>5</v>
      </c>
      <c r="E1147" s="2">
        <v>16</v>
      </c>
      <c r="F1147" s="17">
        <v>68</v>
      </c>
      <c r="H1147" s="360">
        <v>1</v>
      </c>
      <c r="I1147" s="360">
        <v>0.99205920155235805</v>
      </c>
      <c r="K1147" s="363"/>
      <c r="N1147" s="10"/>
      <c r="O1147" s="4"/>
      <c r="P1147" s="4"/>
      <c r="Q1147" s="3"/>
      <c r="R1147" s="3"/>
      <c r="S1147" s="3"/>
      <c r="T1147" s="3"/>
    </row>
    <row r="1148" spans="1:20">
      <c r="A1148" s="3">
        <v>1</v>
      </c>
      <c r="B1148" s="3">
        <v>2</v>
      </c>
      <c r="C1148" s="2">
        <v>25</v>
      </c>
      <c r="D1148" s="2">
        <v>5</v>
      </c>
      <c r="E1148" s="2">
        <v>16</v>
      </c>
      <c r="F1148" s="17">
        <v>68</v>
      </c>
      <c r="H1148" s="361">
        <v>1</v>
      </c>
      <c r="I1148" s="361">
        <v>0.99110461283852958</v>
      </c>
      <c r="K1148" s="363"/>
      <c r="N1148" s="10"/>
      <c r="O1148" s="4"/>
      <c r="P1148" s="4"/>
      <c r="Q1148" s="3"/>
      <c r="R1148" s="3"/>
      <c r="S1148" s="3"/>
      <c r="T1148" s="3"/>
    </row>
    <row r="1149" spans="1:20">
      <c r="A1149" s="3">
        <v>1</v>
      </c>
      <c r="B1149" s="3">
        <v>2</v>
      </c>
      <c r="C1149" s="2">
        <v>25</v>
      </c>
      <c r="D1149" s="2">
        <v>5</v>
      </c>
      <c r="E1149" s="2">
        <v>16</v>
      </c>
      <c r="F1149" s="17">
        <v>68</v>
      </c>
      <c r="H1149" s="360">
        <v>1</v>
      </c>
      <c r="I1149" s="360">
        <v>0.99012656621652839</v>
      </c>
      <c r="K1149" s="363"/>
      <c r="N1149" s="10"/>
      <c r="O1149" s="4"/>
      <c r="P1149" s="4"/>
      <c r="Q1149" s="3"/>
      <c r="R1149" s="3"/>
      <c r="S1149" s="3"/>
      <c r="T1149" s="3"/>
    </row>
    <row r="1150" spans="1:20">
      <c r="A1150" s="3">
        <v>1</v>
      </c>
      <c r="B1150" s="3">
        <v>2</v>
      </c>
      <c r="C1150" s="2">
        <v>25</v>
      </c>
      <c r="D1150" s="2">
        <v>30</v>
      </c>
      <c r="E1150" s="2">
        <v>16</v>
      </c>
      <c r="F1150" s="17">
        <v>68</v>
      </c>
      <c r="H1150" s="360">
        <v>1</v>
      </c>
      <c r="I1150" s="360">
        <v>0.98569952858916599</v>
      </c>
      <c r="K1150" s="363"/>
      <c r="N1150" s="10"/>
      <c r="O1150" s="4"/>
      <c r="P1150" s="4"/>
      <c r="Q1150" s="3"/>
      <c r="R1150" s="3"/>
      <c r="S1150" s="3"/>
      <c r="T1150" s="3"/>
    </row>
    <row r="1151" spans="1:20">
      <c r="A1151" s="3">
        <v>1</v>
      </c>
      <c r="B1151" s="3">
        <v>1</v>
      </c>
      <c r="C1151" s="2">
        <v>25</v>
      </c>
      <c r="D1151" s="2">
        <v>5</v>
      </c>
      <c r="E1151" s="2">
        <v>1</v>
      </c>
      <c r="F1151" s="17">
        <v>68</v>
      </c>
      <c r="H1151" s="360">
        <v>1</v>
      </c>
      <c r="I1151" s="360">
        <v>0.98433671873824125</v>
      </c>
      <c r="K1151" s="363"/>
      <c r="N1151" s="10"/>
      <c r="O1151" s="4"/>
      <c r="P1151" s="4"/>
      <c r="Q1151" s="3"/>
      <c r="R1151" s="3"/>
      <c r="S1151" s="3"/>
      <c r="T1151" s="3"/>
    </row>
    <row r="1152" spans="1:20">
      <c r="A1152" s="3">
        <v>1</v>
      </c>
      <c r="B1152" s="3">
        <v>2</v>
      </c>
      <c r="C1152" s="2">
        <v>25</v>
      </c>
      <c r="D1152" s="2">
        <v>5</v>
      </c>
      <c r="E1152" s="2">
        <v>1</v>
      </c>
      <c r="F1152" s="17">
        <v>68</v>
      </c>
      <c r="H1152" s="360">
        <v>0.97288559535529562</v>
      </c>
      <c r="I1152" s="360">
        <v>0.97891671893789289</v>
      </c>
      <c r="K1152" s="363"/>
      <c r="N1152" s="10"/>
      <c r="O1152" s="4"/>
      <c r="P1152" s="4"/>
      <c r="Q1152" s="3"/>
      <c r="R1152" s="3"/>
      <c r="S1152" s="3"/>
      <c r="T1152" s="3"/>
    </row>
    <row r="1153" spans="1:20">
      <c r="A1153" s="3">
        <v>1</v>
      </c>
      <c r="B1153" s="3">
        <v>1</v>
      </c>
      <c r="C1153" s="2">
        <v>25</v>
      </c>
      <c r="D1153" s="2">
        <v>30</v>
      </c>
      <c r="E1153" s="2">
        <v>16</v>
      </c>
      <c r="F1153" s="17">
        <v>68</v>
      </c>
      <c r="H1153" s="360">
        <v>1</v>
      </c>
      <c r="I1153" s="360">
        <v>0.97158441946606033</v>
      </c>
      <c r="K1153" s="363"/>
      <c r="N1153" s="10"/>
      <c r="O1153" s="4"/>
      <c r="P1153" s="4"/>
      <c r="Q1153" s="3"/>
      <c r="R1153" s="3"/>
      <c r="S1153" s="3"/>
      <c r="T1153" s="3"/>
    </row>
    <row r="1154" spans="1:20">
      <c r="A1154" s="3">
        <v>3</v>
      </c>
      <c r="B1154" s="3">
        <v>1</v>
      </c>
      <c r="C1154" s="2">
        <v>25</v>
      </c>
      <c r="D1154" s="2">
        <v>5</v>
      </c>
      <c r="E1154" s="2">
        <v>1</v>
      </c>
      <c r="F1154" s="17">
        <v>68</v>
      </c>
      <c r="H1154" s="360">
        <v>1</v>
      </c>
      <c r="I1154" s="360">
        <v>0.95305474852851291</v>
      </c>
      <c r="K1154" s="363"/>
      <c r="N1154" s="10"/>
      <c r="O1154" s="4"/>
      <c r="P1154" s="4"/>
      <c r="Q1154" s="3"/>
      <c r="R1154" s="3"/>
      <c r="S1154" s="3"/>
      <c r="T1154" s="3"/>
    </row>
    <row r="1155" spans="1:20">
      <c r="A1155" s="3">
        <v>3</v>
      </c>
      <c r="B1155" s="3">
        <v>2</v>
      </c>
      <c r="C1155" s="2">
        <v>25</v>
      </c>
      <c r="D1155" s="2">
        <v>5</v>
      </c>
      <c r="E1155" s="2">
        <v>16</v>
      </c>
      <c r="F1155" s="17">
        <v>68</v>
      </c>
      <c r="H1155" s="360">
        <v>1</v>
      </c>
      <c r="I1155" s="360">
        <v>0.93422686976386793</v>
      </c>
      <c r="K1155" s="363"/>
      <c r="N1155" s="10"/>
      <c r="O1155" s="4"/>
      <c r="P1155" s="4"/>
      <c r="Q1155" s="3"/>
      <c r="R1155" s="3"/>
      <c r="S1155" s="3"/>
      <c r="T1155" s="3"/>
    </row>
    <row r="1156" spans="1:20">
      <c r="A1156" s="3">
        <v>5</v>
      </c>
      <c r="B1156" s="3">
        <v>2</v>
      </c>
      <c r="C1156" s="2">
        <v>50</v>
      </c>
      <c r="D1156" s="2">
        <v>5</v>
      </c>
      <c r="E1156" s="2">
        <v>16</v>
      </c>
      <c r="F1156" s="17">
        <v>68</v>
      </c>
      <c r="H1156" s="360">
        <v>0.94791552221811604</v>
      </c>
      <c r="I1156" s="359">
        <v>0.26717155087257161</v>
      </c>
      <c r="K1156" s="363"/>
      <c r="N1156" s="10"/>
      <c r="O1156" s="4"/>
      <c r="P1156" s="4"/>
      <c r="Q1156" s="3"/>
      <c r="R1156" s="3"/>
      <c r="S1156" s="3"/>
      <c r="T1156" s="3"/>
    </row>
    <row r="1157" spans="1:20">
      <c r="A1157" s="3">
        <v>4</v>
      </c>
      <c r="B1157" s="3">
        <v>2</v>
      </c>
      <c r="C1157" s="2">
        <v>50</v>
      </c>
      <c r="D1157" s="2">
        <v>5</v>
      </c>
      <c r="E1157" s="2">
        <v>16</v>
      </c>
      <c r="F1157" s="17">
        <v>68</v>
      </c>
      <c r="H1157" s="360">
        <v>9.4511039566744739E-2</v>
      </c>
      <c r="I1157" s="359">
        <v>0.10588406083469264</v>
      </c>
      <c r="K1157" s="363"/>
      <c r="N1157" s="10"/>
      <c r="O1157" s="4"/>
      <c r="P1157" s="4"/>
      <c r="Q1157" s="3"/>
      <c r="R1157" s="3"/>
      <c r="S1157" s="3"/>
      <c r="T1157" s="3"/>
    </row>
    <row r="1158" spans="1:20">
      <c r="A1158" s="3">
        <v>2</v>
      </c>
      <c r="B1158" s="3">
        <v>2</v>
      </c>
      <c r="C1158" s="2">
        <v>25</v>
      </c>
      <c r="D1158" s="2">
        <v>5</v>
      </c>
      <c r="E1158" s="2">
        <v>1</v>
      </c>
      <c r="F1158" s="17">
        <v>69</v>
      </c>
      <c r="H1158" s="361">
        <v>1</v>
      </c>
      <c r="I1158" s="361">
        <v>1</v>
      </c>
      <c r="K1158" s="363"/>
      <c r="N1158" s="10"/>
      <c r="O1158" s="4"/>
      <c r="P1158" s="4"/>
      <c r="Q1158" s="3"/>
      <c r="R1158" s="3"/>
      <c r="S1158" s="3"/>
      <c r="T1158" s="3"/>
    </row>
    <row r="1159" spans="1:20">
      <c r="A1159" s="3">
        <v>2</v>
      </c>
      <c r="B1159" s="3">
        <v>2</v>
      </c>
      <c r="C1159" s="2">
        <v>25</v>
      </c>
      <c r="D1159" s="2">
        <v>5</v>
      </c>
      <c r="E1159" s="2">
        <v>16</v>
      </c>
      <c r="F1159" s="17">
        <v>69</v>
      </c>
      <c r="H1159" s="361">
        <v>1</v>
      </c>
      <c r="I1159" s="361">
        <v>1</v>
      </c>
      <c r="K1159" s="363"/>
      <c r="N1159" s="10"/>
      <c r="O1159" s="4"/>
      <c r="P1159" s="4"/>
      <c r="Q1159" s="3"/>
      <c r="R1159" s="3"/>
      <c r="S1159" s="3"/>
      <c r="T1159" s="3"/>
    </row>
    <row r="1160" spans="1:20">
      <c r="A1160" s="3">
        <v>2</v>
      </c>
      <c r="B1160" s="3">
        <v>1</v>
      </c>
      <c r="C1160" s="2">
        <v>25</v>
      </c>
      <c r="D1160" s="2">
        <v>5</v>
      </c>
      <c r="E1160" s="2">
        <v>1</v>
      </c>
      <c r="F1160" s="17">
        <v>69</v>
      </c>
      <c r="H1160" s="360">
        <v>1</v>
      </c>
      <c r="I1160" s="360">
        <v>1</v>
      </c>
      <c r="K1160" s="363"/>
      <c r="N1160" s="10"/>
      <c r="O1160" s="4"/>
      <c r="P1160" s="4"/>
      <c r="Q1160" s="3"/>
      <c r="R1160" s="3"/>
      <c r="S1160" s="3"/>
      <c r="T1160" s="3"/>
    </row>
    <row r="1161" spans="1:20">
      <c r="A1161" s="3">
        <v>2</v>
      </c>
      <c r="B1161" s="3">
        <v>1</v>
      </c>
      <c r="C1161" s="2">
        <v>25</v>
      </c>
      <c r="D1161" s="2">
        <v>5</v>
      </c>
      <c r="E1161" s="2">
        <v>16</v>
      </c>
      <c r="F1161" s="17">
        <v>69</v>
      </c>
      <c r="H1161" s="361">
        <v>1</v>
      </c>
      <c r="I1161" s="361">
        <v>1</v>
      </c>
      <c r="K1161" s="363"/>
      <c r="N1161" s="10"/>
      <c r="O1161" s="4"/>
      <c r="P1161" s="4"/>
      <c r="Q1161" s="3"/>
      <c r="R1161" s="3"/>
      <c r="S1161" s="3"/>
      <c r="T1161" s="3"/>
    </row>
    <row r="1162" spans="1:20">
      <c r="A1162" s="3">
        <v>1</v>
      </c>
      <c r="B1162" s="3">
        <v>1</v>
      </c>
      <c r="C1162" s="2">
        <v>25</v>
      </c>
      <c r="D1162" s="2">
        <v>5</v>
      </c>
      <c r="E1162" s="2">
        <v>1</v>
      </c>
      <c r="F1162" s="17">
        <v>69</v>
      </c>
      <c r="H1162" s="360">
        <v>1</v>
      </c>
      <c r="I1162" s="360">
        <v>0.97172846037036842</v>
      </c>
      <c r="K1162" s="363"/>
      <c r="N1162" s="10"/>
      <c r="O1162" s="4"/>
      <c r="P1162" s="4"/>
      <c r="Q1162" s="3"/>
      <c r="R1162" s="3"/>
      <c r="S1162" s="3"/>
      <c r="T1162" s="3"/>
    </row>
    <row r="1163" spans="1:20">
      <c r="A1163" s="3">
        <v>1</v>
      </c>
      <c r="B1163" s="3">
        <v>2</v>
      </c>
      <c r="C1163" s="2">
        <v>25</v>
      </c>
      <c r="D1163" s="2">
        <v>5</v>
      </c>
      <c r="E1163" s="2">
        <v>16</v>
      </c>
      <c r="F1163" s="17">
        <v>69</v>
      </c>
      <c r="H1163" s="360">
        <v>1</v>
      </c>
      <c r="I1163" s="360">
        <v>0.97056474716889252</v>
      </c>
      <c r="K1163" s="363"/>
      <c r="N1163" s="10"/>
      <c r="O1163" s="4"/>
      <c r="P1163" s="4"/>
      <c r="Q1163" s="3"/>
      <c r="R1163" s="3"/>
      <c r="S1163" s="3"/>
      <c r="T1163" s="3"/>
    </row>
    <row r="1164" spans="1:20">
      <c r="A1164" s="3">
        <v>1</v>
      </c>
      <c r="B1164" s="3">
        <v>2</v>
      </c>
      <c r="C1164" s="2">
        <v>25</v>
      </c>
      <c r="D1164" s="2">
        <v>5</v>
      </c>
      <c r="E1164" s="2">
        <v>1</v>
      </c>
      <c r="F1164" s="17">
        <v>69</v>
      </c>
      <c r="H1164" s="360">
        <v>0.51204379954262724</v>
      </c>
      <c r="I1164" s="360">
        <v>0.95629988808917832</v>
      </c>
      <c r="K1164" s="363"/>
      <c r="N1164" s="10"/>
      <c r="O1164" s="4"/>
      <c r="P1164" s="4"/>
      <c r="Q1164" s="3"/>
      <c r="R1164" s="3"/>
      <c r="S1164" s="3"/>
      <c r="T1164" s="3"/>
    </row>
    <row r="1165" spans="1:20">
      <c r="A1165" s="3">
        <v>1</v>
      </c>
      <c r="B1165" s="3">
        <v>1</v>
      </c>
      <c r="C1165" s="2">
        <v>25</v>
      </c>
      <c r="D1165" s="2">
        <v>5</v>
      </c>
      <c r="E1165" s="2">
        <v>16</v>
      </c>
      <c r="F1165" s="17">
        <v>69</v>
      </c>
      <c r="H1165" s="360">
        <v>1</v>
      </c>
      <c r="I1165" s="360">
        <v>0.95579434529920881</v>
      </c>
      <c r="K1165" s="363"/>
      <c r="N1165" s="10"/>
      <c r="O1165" s="4"/>
      <c r="P1165" s="4"/>
      <c r="Q1165" s="3"/>
      <c r="R1165" s="3"/>
      <c r="S1165" s="3"/>
      <c r="T1165" s="3"/>
    </row>
    <row r="1166" spans="1:20">
      <c r="A1166" s="3">
        <v>3</v>
      </c>
      <c r="B1166" s="3">
        <v>2</v>
      </c>
      <c r="C1166" s="2">
        <v>25</v>
      </c>
      <c r="D1166" s="2">
        <v>5</v>
      </c>
      <c r="E1166" s="2">
        <v>16</v>
      </c>
      <c r="F1166" s="17">
        <v>69</v>
      </c>
      <c r="H1166" s="360">
        <v>1</v>
      </c>
      <c r="I1166" s="360">
        <v>0.9545680476680638</v>
      </c>
      <c r="K1166" s="363"/>
      <c r="N1166" s="10"/>
      <c r="O1166" s="4"/>
      <c r="P1166" s="4"/>
      <c r="Q1166" s="3"/>
      <c r="R1166" s="3"/>
      <c r="S1166" s="3"/>
      <c r="T1166" s="3"/>
    </row>
    <row r="1167" spans="1:20">
      <c r="A1167" s="3">
        <v>3</v>
      </c>
      <c r="B1167" s="3">
        <v>1</v>
      </c>
      <c r="C1167" s="2">
        <v>25</v>
      </c>
      <c r="D1167" s="2">
        <v>5</v>
      </c>
      <c r="E1167" s="2">
        <v>1</v>
      </c>
      <c r="F1167" s="17">
        <v>69</v>
      </c>
      <c r="H1167" s="360">
        <v>0.96210717626550091</v>
      </c>
      <c r="I1167" s="360">
        <v>0.95173862032049605</v>
      </c>
      <c r="K1167" s="363"/>
      <c r="N1167" s="10"/>
      <c r="O1167" s="4"/>
      <c r="P1167" s="4"/>
      <c r="Q1167" s="3"/>
      <c r="R1167" s="3"/>
      <c r="S1167" s="3"/>
      <c r="T1167" s="3"/>
    </row>
    <row r="1168" spans="1:20">
      <c r="A1168" s="3">
        <v>3</v>
      </c>
      <c r="B1168" s="3">
        <v>1</v>
      </c>
      <c r="C1168" s="2">
        <v>25</v>
      </c>
      <c r="D1168" s="2">
        <v>5</v>
      </c>
      <c r="E1168" s="2">
        <v>16</v>
      </c>
      <c r="F1168" s="17">
        <v>69</v>
      </c>
      <c r="H1168" s="361">
        <v>1</v>
      </c>
      <c r="I1168" s="361">
        <v>0.94973334323321645</v>
      </c>
      <c r="K1168" s="363"/>
      <c r="N1168" s="10"/>
      <c r="O1168" s="4"/>
      <c r="P1168" s="4"/>
      <c r="Q1168" s="3"/>
      <c r="R1168" s="3"/>
      <c r="S1168" s="3"/>
      <c r="T1168" s="3"/>
    </row>
    <row r="1169" spans="1:20">
      <c r="A1169" s="3">
        <v>1</v>
      </c>
      <c r="B1169" s="3">
        <v>2</v>
      </c>
      <c r="C1169" s="2">
        <v>25</v>
      </c>
      <c r="D1169" s="2">
        <v>30</v>
      </c>
      <c r="E1169" s="2">
        <v>16</v>
      </c>
      <c r="F1169" s="17">
        <v>69</v>
      </c>
      <c r="H1169" s="360">
        <v>1</v>
      </c>
      <c r="I1169" s="360">
        <v>0.94714703730797367</v>
      </c>
      <c r="K1169" s="363"/>
      <c r="N1169" s="10"/>
      <c r="O1169" s="4"/>
      <c r="P1169" s="4"/>
      <c r="Q1169" s="3"/>
      <c r="R1169" s="3"/>
      <c r="S1169" s="3"/>
      <c r="T1169" s="3"/>
    </row>
    <row r="1170" spans="1:20">
      <c r="A1170" s="3">
        <v>3</v>
      </c>
      <c r="B1170" s="3">
        <v>2</v>
      </c>
      <c r="C1170" s="2">
        <v>25</v>
      </c>
      <c r="D1170" s="2">
        <v>5</v>
      </c>
      <c r="E1170" s="2">
        <v>1</v>
      </c>
      <c r="F1170" s="17">
        <v>69</v>
      </c>
      <c r="H1170" s="361">
        <v>0.86747242535550717</v>
      </c>
      <c r="I1170" s="361">
        <v>0.94486519493516297</v>
      </c>
      <c r="K1170" s="363"/>
      <c r="N1170" s="10"/>
      <c r="O1170" s="4"/>
      <c r="P1170" s="4"/>
      <c r="Q1170" s="3"/>
      <c r="R1170" s="3"/>
      <c r="S1170" s="3"/>
      <c r="T1170" s="3"/>
    </row>
    <row r="1171" spans="1:20">
      <c r="A1171" s="3">
        <v>1</v>
      </c>
      <c r="B1171" s="3">
        <v>2</v>
      </c>
      <c r="C1171" s="2">
        <v>25</v>
      </c>
      <c r="D1171" s="2">
        <v>5</v>
      </c>
      <c r="E1171" s="2">
        <v>16</v>
      </c>
      <c r="F1171" s="17">
        <v>69</v>
      </c>
      <c r="H1171" s="361">
        <v>1</v>
      </c>
      <c r="I1171" s="361">
        <v>0.93830150394489731</v>
      </c>
      <c r="K1171" s="363"/>
      <c r="N1171" s="10"/>
      <c r="O1171" s="4"/>
      <c r="P1171" s="4"/>
      <c r="Q1171" s="3"/>
      <c r="R1171" s="3"/>
      <c r="S1171" s="3"/>
      <c r="T1171" s="3"/>
    </row>
    <row r="1172" spans="1:20">
      <c r="A1172" s="3">
        <v>1</v>
      </c>
      <c r="B1172" s="3">
        <v>1</v>
      </c>
      <c r="C1172" s="2">
        <v>25</v>
      </c>
      <c r="D1172" s="2">
        <v>30</v>
      </c>
      <c r="E1172" s="2">
        <v>16</v>
      </c>
      <c r="F1172" s="17">
        <v>69</v>
      </c>
      <c r="H1172" s="360">
        <v>1</v>
      </c>
      <c r="I1172" s="360">
        <v>0.90705356547014704</v>
      </c>
      <c r="K1172" s="363"/>
      <c r="N1172" s="10"/>
      <c r="O1172" s="4"/>
      <c r="P1172" s="4"/>
      <c r="Q1172" s="3"/>
      <c r="R1172" s="3"/>
      <c r="S1172" s="3"/>
      <c r="T1172" s="3"/>
    </row>
    <row r="1173" spans="1:20">
      <c r="A1173" s="3">
        <v>5</v>
      </c>
      <c r="B1173" s="3">
        <v>2</v>
      </c>
      <c r="C1173" s="2">
        <v>50</v>
      </c>
      <c r="D1173" s="2">
        <v>5</v>
      </c>
      <c r="E1173" s="2">
        <v>16</v>
      </c>
      <c r="F1173" s="17">
        <v>69</v>
      </c>
      <c r="H1173" s="360">
        <v>0.79851240282332303</v>
      </c>
      <c r="I1173" s="359">
        <v>0.28670110192698411</v>
      </c>
      <c r="K1173" s="363"/>
      <c r="N1173" s="10"/>
      <c r="O1173" s="4"/>
      <c r="P1173" s="4"/>
      <c r="Q1173" s="3"/>
      <c r="R1173" s="3"/>
      <c r="S1173" s="3"/>
      <c r="T1173" s="3"/>
    </row>
    <row r="1174" spans="1:20">
      <c r="A1174" s="3">
        <v>4</v>
      </c>
      <c r="B1174" s="3">
        <v>2</v>
      </c>
      <c r="C1174" s="2">
        <v>50</v>
      </c>
      <c r="D1174" s="2">
        <v>5</v>
      </c>
      <c r="E1174" s="2">
        <v>16</v>
      </c>
      <c r="F1174" s="17">
        <v>69</v>
      </c>
      <c r="H1174" s="360">
        <v>8.3225285345190525E-2</v>
      </c>
      <c r="I1174" s="359">
        <v>2.6700156930818952E-2</v>
      </c>
      <c r="K1174" s="363"/>
      <c r="N1174" s="10"/>
      <c r="O1174" s="4"/>
      <c r="P1174" s="4"/>
      <c r="Q1174" s="3"/>
      <c r="R1174" s="3"/>
      <c r="S1174" s="3"/>
      <c r="T1174" s="3"/>
    </row>
    <row r="1175" spans="1:20">
      <c r="A1175" s="3">
        <v>4</v>
      </c>
      <c r="B1175" s="3">
        <v>2</v>
      </c>
      <c r="C1175" s="2">
        <v>50</v>
      </c>
      <c r="D1175" s="2">
        <v>5</v>
      </c>
      <c r="E1175" s="2">
        <v>16</v>
      </c>
      <c r="F1175" s="17">
        <v>70</v>
      </c>
      <c r="H1175" s="360">
        <v>1</v>
      </c>
      <c r="I1175" s="359">
        <v>0.64357284410438376</v>
      </c>
      <c r="K1175" s="363"/>
      <c r="N1175" s="10"/>
      <c r="O1175" s="4"/>
      <c r="P1175" s="4"/>
      <c r="Q1175" s="3"/>
      <c r="R1175" s="3"/>
      <c r="S1175" s="3"/>
      <c r="T1175" s="3"/>
    </row>
    <row r="1176" spans="1:20">
      <c r="A1176" s="3">
        <v>5</v>
      </c>
      <c r="B1176" s="3">
        <v>2</v>
      </c>
      <c r="C1176" s="2">
        <v>50</v>
      </c>
      <c r="D1176" s="2">
        <v>5</v>
      </c>
      <c r="E1176" s="2">
        <v>16</v>
      </c>
      <c r="F1176" s="17">
        <v>70</v>
      </c>
      <c r="H1176" s="360">
        <v>1</v>
      </c>
      <c r="I1176" s="359">
        <v>-0.18423969241813404</v>
      </c>
      <c r="K1176" s="363"/>
      <c r="N1176" s="10"/>
      <c r="O1176" s="4"/>
      <c r="P1176" s="4"/>
      <c r="Q1176" s="3"/>
      <c r="R1176" s="3"/>
      <c r="S1176" s="3"/>
      <c r="T1176" s="3"/>
    </row>
    <row r="1177" spans="1:20">
      <c r="A1177" s="3">
        <v>1</v>
      </c>
      <c r="B1177" s="3">
        <v>2</v>
      </c>
      <c r="C1177" s="2">
        <v>25</v>
      </c>
      <c r="D1177" s="2">
        <v>30</v>
      </c>
      <c r="E1177" s="2">
        <v>16</v>
      </c>
      <c r="F1177" s="17">
        <v>70</v>
      </c>
      <c r="H1177" s="360">
        <v>1</v>
      </c>
      <c r="I1177" s="360">
        <v>-0.59697163701040501</v>
      </c>
      <c r="K1177" s="363"/>
      <c r="N1177" s="10"/>
      <c r="O1177" s="4"/>
      <c r="P1177" s="4"/>
      <c r="Q1177" s="3"/>
      <c r="R1177" s="3"/>
      <c r="S1177" s="3"/>
      <c r="T1177" s="3"/>
    </row>
    <row r="1178" spans="1:20">
      <c r="A1178" s="3">
        <v>3</v>
      </c>
      <c r="B1178" s="3">
        <v>2</v>
      </c>
      <c r="C1178" s="2">
        <v>25</v>
      </c>
      <c r="D1178" s="2">
        <v>5</v>
      </c>
      <c r="E1178" s="2">
        <v>16</v>
      </c>
      <c r="F1178" s="17">
        <v>70</v>
      </c>
      <c r="H1178" s="360">
        <v>1</v>
      </c>
      <c r="I1178" s="360">
        <v>-0.60480128296656988</v>
      </c>
      <c r="K1178" s="363"/>
      <c r="N1178" s="10"/>
      <c r="O1178" s="4"/>
      <c r="P1178" s="4"/>
      <c r="Q1178" s="3"/>
      <c r="R1178" s="3"/>
      <c r="S1178" s="3"/>
      <c r="T1178" s="3"/>
    </row>
    <row r="1179" spans="1:20">
      <c r="A1179" s="3">
        <v>3</v>
      </c>
      <c r="B1179" s="3">
        <v>2</v>
      </c>
      <c r="C1179" s="2">
        <v>25</v>
      </c>
      <c r="D1179" s="2">
        <v>5</v>
      </c>
      <c r="E1179" s="2">
        <v>1</v>
      </c>
      <c r="F1179" s="17">
        <v>70</v>
      </c>
      <c r="H1179" s="361">
        <v>1</v>
      </c>
      <c r="I1179" s="361">
        <v>-0.60900502133793677</v>
      </c>
      <c r="K1179" s="363"/>
      <c r="N1179" s="10"/>
      <c r="O1179" s="4"/>
      <c r="P1179" s="4"/>
      <c r="Q1179" s="3"/>
      <c r="R1179" s="3"/>
      <c r="S1179" s="3"/>
      <c r="T1179" s="3"/>
    </row>
    <row r="1180" spans="1:20">
      <c r="A1180" s="3">
        <v>1</v>
      </c>
      <c r="B1180" s="3">
        <v>2</v>
      </c>
      <c r="C1180" s="2">
        <v>25</v>
      </c>
      <c r="D1180" s="2">
        <v>5</v>
      </c>
      <c r="E1180" s="2">
        <v>16</v>
      </c>
      <c r="F1180" s="17">
        <v>70</v>
      </c>
      <c r="H1180" s="361">
        <v>1</v>
      </c>
      <c r="I1180" s="361">
        <v>-0.74327059177314181</v>
      </c>
      <c r="K1180" s="363"/>
      <c r="N1180" s="10"/>
      <c r="O1180" s="4"/>
      <c r="P1180" s="4"/>
      <c r="Q1180" s="3"/>
      <c r="R1180" s="3"/>
      <c r="S1180" s="3"/>
      <c r="T1180" s="3"/>
    </row>
    <row r="1181" spans="1:20">
      <c r="A1181" s="3">
        <v>1</v>
      </c>
      <c r="B1181" s="3">
        <v>2</v>
      </c>
      <c r="C1181" s="2">
        <v>25</v>
      </c>
      <c r="D1181" s="2">
        <v>5</v>
      </c>
      <c r="E1181" s="2">
        <v>16</v>
      </c>
      <c r="F1181" s="17">
        <v>70</v>
      </c>
      <c r="H1181" s="360">
        <v>1</v>
      </c>
      <c r="I1181" s="360">
        <v>-0.75482058435149801</v>
      </c>
      <c r="K1181" s="363"/>
      <c r="N1181" s="10"/>
      <c r="O1181" s="4"/>
      <c r="P1181" s="4"/>
      <c r="Q1181" s="3"/>
      <c r="R1181" s="3"/>
      <c r="S1181" s="3"/>
      <c r="T1181" s="3"/>
    </row>
    <row r="1182" spans="1:20">
      <c r="A1182" s="3">
        <v>1</v>
      </c>
      <c r="B1182" s="3">
        <v>2</v>
      </c>
      <c r="C1182" s="2">
        <v>25</v>
      </c>
      <c r="D1182" s="2">
        <v>5</v>
      </c>
      <c r="E1182" s="2">
        <v>1</v>
      </c>
      <c r="F1182" s="17">
        <v>70</v>
      </c>
      <c r="H1182" s="360">
        <v>1</v>
      </c>
      <c r="I1182" s="360">
        <v>-0.7683247007545847</v>
      </c>
      <c r="K1182" s="363"/>
      <c r="N1182" s="10"/>
      <c r="O1182" s="4"/>
      <c r="P1182" s="4"/>
      <c r="Q1182" s="3"/>
      <c r="R1182" s="3"/>
      <c r="S1182" s="3"/>
      <c r="T1182" s="3"/>
    </row>
    <row r="1183" spans="1:20">
      <c r="A1183" s="3">
        <v>3</v>
      </c>
      <c r="B1183" s="3">
        <v>1</v>
      </c>
      <c r="C1183" s="2">
        <v>25</v>
      </c>
      <c r="D1183" s="2">
        <v>5</v>
      </c>
      <c r="E1183" s="2">
        <v>16</v>
      </c>
      <c r="F1183" s="17">
        <v>70</v>
      </c>
      <c r="H1183" s="361">
        <v>1</v>
      </c>
      <c r="I1183" s="361">
        <v>-0.80893032926273634</v>
      </c>
      <c r="K1183" s="363"/>
      <c r="N1183" s="10"/>
      <c r="O1183" s="4"/>
      <c r="P1183" s="4"/>
      <c r="Q1183" s="3"/>
      <c r="R1183" s="3"/>
      <c r="S1183" s="3"/>
      <c r="T1183" s="3"/>
    </row>
    <row r="1184" spans="1:20">
      <c r="A1184" s="3">
        <v>1</v>
      </c>
      <c r="B1184" s="3">
        <v>1</v>
      </c>
      <c r="C1184" s="2">
        <v>25</v>
      </c>
      <c r="D1184" s="2">
        <v>30</v>
      </c>
      <c r="E1184" s="2">
        <v>16</v>
      </c>
      <c r="F1184" s="17">
        <v>70</v>
      </c>
      <c r="H1184" s="360">
        <v>1</v>
      </c>
      <c r="I1184" s="360">
        <v>-0.81055777819374752</v>
      </c>
      <c r="K1184" s="363"/>
      <c r="N1184" s="10"/>
      <c r="O1184" s="4"/>
      <c r="P1184" s="4"/>
      <c r="Q1184" s="3"/>
      <c r="R1184" s="3"/>
      <c r="S1184" s="3"/>
      <c r="T1184" s="3"/>
    </row>
    <row r="1185" spans="1:20">
      <c r="A1185" s="3">
        <v>3</v>
      </c>
      <c r="B1185" s="3">
        <v>1</v>
      </c>
      <c r="C1185" s="2">
        <v>25</v>
      </c>
      <c r="D1185" s="2">
        <v>5</v>
      </c>
      <c r="E1185" s="2">
        <v>1</v>
      </c>
      <c r="F1185" s="17">
        <v>70</v>
      </c>
      <c r="H1185" s="360">
        <v>1</v>
      </c>
      <c r="I1185" s="360">
        <v>-0.81772867796142634</v>
      </c>
      <c r="K1185" s="363"/>
      <c r="N1185" s="10"/>
      <c r="O1185" s="4"/>
      <c r="P1185" s="4"/>
      <c r="Q1185" s="3"/>
      <c r="R1185" s="3"/>
      <c r="S1185" s="3"/>
      <c r="T1185" s="3"/>
    </row>
    <row r="1186" spans="1:20">
      <c r="A1186" s="3">
        <v>1</v>
      </c>
      <c r="B1186" s="3">
        <v>1</v>
      </c>
      <c r="C1186" s="2">
        <v>25</v>
      </c>
      <c r="D1186" s="2">
        <v>5</v>
      </c>
      <c r="E1186" s="2">
        <v>16</v>
      </c>
      <c r="F1186" s="17">
        <v>70</v>
      </c>
      <c r="H1186" s="360">
        <v>1</v>
      </c>
      <c r="I1186" s="360">
        <v>-0.85390564074651198</v>
      </c>
      <c r="K1186" s="363"/>
      <c r="N1186" s="10"/>
      <c r="O1186" s="4"/>
      <c r="P1186" s="4"/>
      <c r="Q1186" s="3"/>
      <c r="R1186" s="3"/>
      <c r="S1186" s="3"/>
      <c r="T1186" s="3"/>
    </row>
    <row r="1187" spans="1:20">
      <c r="A1187" s="3">
        <v>1</v>
      </c>
      <c r="B1187" s="3">
        <v>1</v>
      </c>
      <c r="C1187" s="2">
        <v>25</v>
      </c>
      <c r="D1187" s="2">
        <v>5</v>
      </c>
      <c r="E1187" s="2">
        <v>1</v>
      </c>
      <c r="F1187" s="17">
        <v>70</v>
      </c>
      <c r="H1187" s="360">
        <v>1</v>
      </c>
      <c r="I1187" s="360">
        <v>-0.87121620885541029</v>
      </c>
      <c r="K1187" s="363"/>
      <c r="N1187" s="10"/>
      <c r="O1187" s="4"/>
      <c r="P1187" s="4"/>
      <c r="Q1187" s="3"/>
      <c r="R1187" s="3"/>
      <c r="S1187" s="3"/>
      <c r="T1187" s="3"/>
    </row>
    <row r="1188" spans="1:20">
      <c r="A1188" s="3">
        <v>2</v>
      </c>
      <c r="B1188" s="3">
        <v>1</v>
      </c>
      <c r="C1188" s="2">
        <v>25</v>
      </c>
      <c r="D1188" s="2">
        <v>5</v>
      </c>
      <c r="E1188" s="2">
        <v>1</v>
      </c>
      <c r="F1188" s="17">
        <v>70</v>
      </c>
      <c r="H1188" s="360">
        <v>1</v>
      </c>
      <c r="I1188" s="360">
        <v>-1</v>
      </c>
      <c r="K1188" s="363"/>
      <c r="N1188" s="10"/>
      <c r="O1188" s="4"/>
      <c r="P1188" s="4"/>
      <c r="Q1188" s="3"/>
      <c r="R1188" s="3"/>
      <c r="S1188" s="3"/>
      <c r="T1188" s="3"/>
    </row>
    <row r="1189" spans="1:20">
      <c r="A1189" s="3">
        <v>2</v>
      </c>
      <c r="B1189" s="3">
        <v>1</v>
      </c>
      <c r="C1189" s="2">
        <v>25</v>
      </c>
      <c r="D1189" s="2">
        <v>5</v>
      </c>
      <c r="E1189" s="2">
        <v>16</v>
      </c>
      <c r="F1189" s="17">
        <v>70</v>
      </c>
      <c r="H1189" s="361">
        <v>1</v>
      </c>
      <c r="I1189" s="361">
        <v>-1</v>
      </c>
      <c r="K1189" s="363"/>
      <c r="N1189" s="10"/>
      <c r="O1189" s="4"/>
      <c r="P1189" s="4"/>
      <c r="Q1189" s="3"/>
      <c r="R1189" s="3"/>
      <c r="S1189" s="3"/>
      <c r="T1189" s="3"/>
    </row>
    <row r="1190" spans="1:20">
      <c r="A1190" s="3">
        <v>2</v>
      </c>
      <c r="B1190" s="3">
        <v>2</v>
      </c>
      <c r="C1190" s="2">
        <v>25</v>
      </c>
      <c r="D1190" s="2">
        <v>5</v>
      </c>
      <c r="E1190" s="2">
        <v>1</v>
      </c>
      <c r="F1190" s="17">
        <v>70</v>
      </c>
      <c r="H1190" s="361">
        <v>1</v>
      </c>
      <c r="I1190" s="361">
        <v>-1</v>
      </c>
      <c r="K1190" s="363"/>
      <c r="N1190" s="10"/>
      <c r="O1190" s="4"/>
      <c r="P1190" s="4"/>
      <c r="Q1190" s="3"/>
      <c r="R1190" s="3"/>
      <c r="S1190" s="3"/>
      <c r="T1190" s="3"/>
    </row>
    <row r="1191" spans="1:20">
      <c r="A1191" s="3">
        <v>2</v>
      </c>
      <c r="B1191" s="3">
        <v>2</v>
      </c>
      <c r="C1191" s="2">
        <v>25</v>
      </c>
      <c r="D1191" s="2">
        <v>5</v>
      </c>
      <c r="E1191" s="2">
        <v>16</v>
      </c>
      <c r="F1191" s="17">
        <v>70</v>
      </c>
      <c r="H1191" s="361">
        <v>1</v>
      </c>
      <c r="I1191" s="361">
        <v>-1</v>
      </c>
      <c r="K1191" s="363"/>
      <c r="N1191" s="10"/>
      <c r="O1191" s="4"/>
      <c r="P1191" s="4"/>
      <c r="Q1191" s="3"/>
      <c r="R1191" s="3"/>
      <c r="S1191" s="3"/>
      <c r="T1191" s="3"/>
    </row>
    <row r="1192" spans="1:20">
      <c r="A1192" s="3">
        <v>4</v>
      </c>
      <c r="B1192" s="3">
        <v>2</v>
      </c>
      <c r="C1192" s="2">
        <v>50</v>
      </c>
      <c r="D1192" s="2">
        <v>5</v>
      </c>
      <c r="E1192" s="2">
        <v>16</v>
      </c>
      <c r="F1192" s="17">
        <v>71</v>
      </c>
      <c r="H1192" s="360">
        <v>0.30044992105606799</v>
      </c>
      <c r="I1192" s="359">
        <v>0.3513663427725619</v>
      </c>
      <c r="K1192" s="363"/>
      <c r="N1192" s="10"/>
      <c r="O1192" s="4"/>
      <c r="P1192" s="4"/>
      <c r="Q1192" s="3"/>
      <c r="R1192" s="3"/>
      <c r="S1192" s="3"/>
      <c r="T1192" s="3"/>
    </row>
    <row r="1193" spans="1:20">
      <c r="A1193" s="3">
        <v>1</v>
      </c>
      <c r="B1193" s="3">
        <v>1</v>
      </c>
      <c r="C1193" s="2">
        <v>25</v>
      </c>
      <c r="D1193" s="2">
        <v>5</v>
      </c>
      <c r="E1193" s="2">
        <v>16</v>
      </c>
      <c r="F1193" s="17">
        <v>71</v>
      </c>
      <c r="H1193" s="360">
        <v>1.608362614095793E-2</v>
      </c>
      <c r="I1193" s="360">
        <v>0.21691646334378994</v>
      </c>
      <c r="K1193" s="363"/>
      <c r="N1193" s="10"/>
      <c r="O1193" s="4"/>
      <c r="P1193" s="4"/>
      <c r="Q1193" s="3"/>
      <c r="R1193" s="3"/>
      <c r="S1193" s="3"/>
      <c r="T1193" s="3"/>
    </row>
    <row r="1194" spans="1:20">
      <c r="A1194" s="3">
        <v>3</v>
      </c>
      <c r="B1194" s="3">
        <v>2</v>
      </c>
      <c r="C1194" s="2">
        <v>25</v>
      </c>
      <c r="D1194" s="2">
        <v>5</v>
      </c>
      <c r="E1194" s="2">
        <v>16</v>
      </c>
      <c r="F1194" s="17">
        <v>71</v>
      </c>
      <c r="H1194" s="360">
        <v>2.744551197098688E-2</v>
      </c>
      <c r="I1194" s="360">
        <v>0.14670446491849751</v>
      </c>
      <c r="K1194" s="363"/>
      <c r="N1194" s="10"/>
      <c r="O1194" s="4"/>
      <c r="P1194" s="4"/>
      <c r="Q1194" s="3"/>
      <c r="R1194" s="3"/>
      <c r="S1194" s="3"/>
      <c r="T1194" s="3"/>
    </row>
    <row r="1195" spans="1:20">
      <c r="A1195" s="3">
        <v>1</v>
      </c>
      <c r="B1195" s="3">
        <v>2</v>
      </c>
      <c r="C1195" s="2">
        <v>25</v>
      </c>
      <c r="D1195" s="2">
        <v>5</v>
      </c>
      <c r="E1195" s="2">
        <v>1</v>
      </c>
      <c r="F1195" s="17">
        <v>71</v>
      </c>
      <c r="H1195" s="360">
        <v>0</v>
      </c>
      <c r="I1195" s="360">
        <v>0</v>
      </c>
      <c r="K1195" s="363"/>
      <c r="N1195" s="10"/>
      <c r="O1195" s="4"/>
      <c r="P1195" s="4"/>
      <c r="Q1195" s="3"/>
      <c r="R1195" s="3"/>
      <c r="S1195" s="3"/>
      <c r="T1195" s="3"/>
    </row>
    <row r="1196" spans="1:20">
      <c r="A1196" s="3">
        <v>2</v>
      </c>
      <c r="B1196" s="3">
        <v>2</v>
      </c>
      <c r="C1196" s="2">
        <v>25</v>
      </c>
      <c r="D1196" s="2">
        <v>5</v>
      </c>
      <c r="E1196" s="2">
        <v>1</v>
      </c>
      <c r="F1196" s="17">
        <v>71</v>
      </c>
      <c r="H1196" s="361">
        <v>0</v>
      </c>
      <c r="I1196" s="361">
        <v>0</v>
      </c>
      <c r="K1196" s="363"/>
      <c r="N1196" s="10"/>
      <c r="O1196" s="4"/>
      <c r="P1196" s="4"/>
      <c r="Q1196" s="3"/>
      <c r="R1196" s="3"/>
      <c r="S1196" s="3"/>
      <c r="T1196" s="3"/>
    </row>
    <row r="1197" spans="1:20">
      <c r="A1197" s="3">
        <v>3</v>
      </c>
      <c r="B1197" s="3">
        <v>2</v>
      </c>
      <c r="C1197" s="2">
        <v>25</v>
      </c>
      <c r="D1197" s="2">
        <v>5</v>
      </c>
      <c r="E1197" s="2">
        <v>1</v>
      </c>
      <c r="F1197" s="17">
        <v>71</v>
      </c>
      <c r="H1197" s="361">
        <v>0</v>
      </c>
      <c r="I1197" s="361">
        <v>0</v>
      </c>
      <c r="K1197" s="363"/>
      <c r="N1197" s="10"/>
      <c r="O1197" s="4"/>
      <c r="P1197" s="4"/>
      <c r="Q1197" s="3"/>
      <c r="R1197" s="3"/>
      <c r="S1197" s="3"/>
      <c r="T1197" s="3"/>
    </row>
    <row r="1198" spans="1:20">
      <c r="A1198" s="3">
        <v>2</v>
      </c>
      <c r="B1198" s="3">
        <v>1</v>
      </c>
      <c r="C1198" s="2">
        <v>25</v>
      </c>
      <c r="D1198" s="2">
        <v>5</v>
      </c>
      <c r="E1198" s="2">
        <v>1</v>
      </c>
      <c r="F1198" s="17">
        <v>71</v>
      </c>
      <c r="H1198" s="360">
        <v>0</v>
      </c>
      <c r="I1198" s="360">
        <v>0</v>
      </c>
      <c r="K1198" s="363"/>
      <c r="N1198" s="10"/>
      <c r="O1198" s="4"/>
      <c r="P1198" s="4"/>
      <c r="Q1198" s="3"/>
      <c r="R1198" s="3"/>
      <c r="S1198" s="3"/>
      <c r="T1198" s="3"/>
    </row>
    <row r="1199" spans="1:20">
      <c r="A1199" s="3">
        <v>2</v>
      </c>
      <c r="B1199" s="3">
        <v>1</v>
      </c>
      <c r="C1199" s="2">
        <v>25</v>
      </c>
      <c r="D1199" s="2">
        <v>5</v>
      </c>
      <c r="E1199" s="2">
        <v>16</v>
      </c>
      <c r="F1199" s="17">
        <v>71</v>
      </c>
      <c r="H1199" s="361">
        <v>0</v>
      </c>
      <c r="I1199" s="361">
        <v>0</v>
      </c>
      <c r="K1199" s="363"/>
      <c r="N1199" s="10"/>
      <c r="O1199" s="4"/>
      <c r="P1199" s="4"/>
      <c r="Q1199" s="3"/>
      <c r="R1199" s="3"/>
      <c r="S1199" s="3"/>
      <c r="T1199" s="3"/>
    </row>
    <row r="1200" spans="1:20">
      <c r="A1200" s="3">
        <v>3</v>
      </c>
      <c r="B1200" s="3">
        <v>1</v>
      </c>
      <c r="C1200" s="2">
        <v>25</v>
      </c>
      <c r="D1200" s="2">
        <v>5</v>
      </c>
      <c r="E1200" s="2">
        <v>1</v>
      </c>
      <c r="F1200" s="17">
        <v>71</v>
      </c>
      <c r="H1200" s="360">
        <v>0</v>
      </c>
      <c r="I1200" s="360">
        <v>0</v>
      </c>
      <c r="K1200" s="363"/>
      <c r="N1200" s="10"/>
      <c r="O1200" s="4"/>
      <c r="P1200" s="4"/>
      <c r="Q1200" s="3"/>
      <c r="R1200" s="3"/>
      <c r="S1200" s="3"/>
      <c r="T1200" s="3"/>
    </row>
    <row r="1201" spans="1:20">
      <c r="A1201" s="3">
        <v>3</v>
      </c>
      <c r="B1201" s="3">
        <v>1</v>
      </c>
      <c r="C1201" s="2">
        <v>25</v>
      </c>
      <c r="D1201" s="2">
        <v>5</v>
      </c>
      <c r="E1201" s="2">
        <v>16</v>
      </c>
      <c r="F1201" s="17">
        <v>71</v>
      </c>
      <c r="H1201" s="361">
        <v>0</v>
      </c>
      <c r="I1201" s="361">
        <v>0</v>
      </c>
      <c r="K1201" s="363"/>
      <c r="N1201" s="10"/>
      <c r="O1201" s="4"/>
      <c r="P1201" s="4"/>
      <c r="Q1201" s="3"/>
      <c r="R1201" s="3"/>
      <c r="S1201" s="3"/>
      <c r="T1201" s="3"/>
    </row>
    <row r="1202" spans="1:20">
      <c r="A1202" s="3">
        <v>1</v>
      </c>
      <c r="B1202" s="3">
        <v>1</v>
      </c>
      <c r="C1202" s="2">
        <v>25</v>
      </c>
      <c r="D1202" s="2">
        <v>5</v>
      </c>
      <c r="E1202" s="2">
        <v>1</v>
      </c>
      <c r="F1202" s="17">
        <v>71</v>
      </c>
      <c r="H1202" s="360">
        <v>1.1435782697112207E-2</v>
      </c>
      <c r="I1202" s="360">
        <v>-1.5017956252040483E-2</v>
      </c>
      <c r="K1202" s="363"/>
      <c r="N1202" s="10"/>
      <c r="O1202" s="4"/>
      <c r="P1202" s="4"/>
      <c r="Q1202" s="3"/>
      <c r="R1202" s="3"/>
      <c r="S1202" s="3"/>
      <c r="T1202" s="3"/>
    </row>
    <row r="1203" spans="1:20">
      <c r="A1203" s="3">
        <v>1</v>
      </c>
      <c r="B1203" s="3">
        <v>2</v>
      </c>
      <c r="C1203" s="2">
        <v>25</v>
      </c>
      <c r="D1203" s="2">
        <v>5</v>
      </c>
      <c r="E1203" s="2">
        <v>16</v>
      </c>
      <c r="F1203" s="17">
        <v>71</v>
      </c>
      <c r="H1203" s="360">
        <v>4.7395674861104298E-2</v>
      </c>
      <c r="I1203" s="360">
        <v>-5.3556214042204481E-2</v>
      </c>
      <c r="K1203" s="363"/>
      <c r="N1203" s="10"/>
      <c r="O1203" s="4"/>
      <c r="P1203" s="4"/>
      <c r="Q1203" s="3"/>
      <c r="R1203" s="3"/>
      <c r="S1203" s="3"/>
      <c r="T1203" s="3"/>
    </row>
    <row r="1204" spans="1:20">
      <c r="A1204" s="3">
        <v>1</v>
      </c>
      <c r="B1204" s="3">
        <v>2</v>
      </c>
      <c r="C1204" s="2">
        <v>25</v>
      </c>
      <c r="D1204" s="2">
        <v>30</v>
      </c>
      <c r="E1204" s="2">
        <v>16</v>
      </c>
      <c r="F1204" s="17">
        <v>71</v>
      </c>
      <c r="H1204" s="360">
        <v>1.9254316842778119E-2</v>
      </c>
      <c r="I1204" s="360">
        <v>-5.6764427625354781E-2</v>
      </c>
      <c r="K1204" s="363"/>
      <c r="N1204" s="10"/>
      <c r="O1204" s="4"/>
      <c r="P1204" s="4"/>
      <c r="Q1204" s="3"/>
      <c r="R1204" s="3"/>
      <c r="S1204" s="3"/>
      <c r="T1204" s="3"/>
    </row>
    <row r="1205" spans="1:20">
      <c r="A1205" s="3">
        <v>5</v>
      </c>
      <c r="B1205" s="3">
        <v>2</v>
      </c>
      <c r="C1205" s="2">
        <v>50</v>
      </c>
      <c r="D1205" s="2">
        <v>5</v>
      </c>
      <c r="E1205" s="2">
        <v>16</v>
      </c>
      <c r="F1205" s="17">
        <v>71</v>
      </c>
      <c r="H1205" s="360">
        <v>0.33552488824683896</v>
      </c>
      <c r="I1205" s="359">
        <v>-0.14456166284012276</v>
      </c>
      <c r="K1205" s="363"/>
      <c r="N1205" s="10"/>
      <c r="O1205" s="4"/>
      <c r="P1205" s="4"/>
      <c r="Q1205" s="3"/>
      <c r="R1205" s="3"/>
      <c r="S1205" s="3"/>
      <c r="T1205" s="3"/>
    </row>
    <row r="1206" spans="1:20">
      <c r="A1206" s="3">
        <v>1</v>
      </c>
      <c r="B1206" s="3">
        <v>1</v>
      </c>
      <c r="C1206" s="2">
        <v>25</v>
      </c>
      <c r="D1206" s="2">
        <v>30</v>
      </c>
      <c r="E1206" s="2">
        <v>16</v>
      </c>
      <c r="F1206" s="17">
        <v>71</v>
      </c>
      <c r="H1206" s="360">
        <v>2.8608085601412703E-2</v>
      </c>
      <c r="I1206" s="360">
        <v>-0.17167515857335969</v>
      </c>
      <c r="K1206" s="363"/>
      <c r="N1206" s="10"/>
      <c r="O1206" s="4"/>
      <c r="P1206" s="4"/>
      <c r="Q1206" s="3"/>
      <c r="R1206" s="3"/>
      <c r="S1206" s="3"/>
      <c r="T1206" s="3"/>
    </row>
    <row r="1207" spans="1:20">
      <c r="A1207" s="3">
        <v>1</v>
      </c>
      <c r="B1207" s="3">
        <v>2</v>
      </c>
      <c r="C1207" s="2">
        <v>25</v>
      </c>
      <c r="D1207" s="2">
        <v>5</v>
      </c>
      <c r="E1207" s="2">
        <v>16</v>
      </c>
      <c r="F1207" s="17">
        <v>71</v>
      </c>
      <c r="H1207" s="361">
        <v>8.3232692006013353E-3</v>
      </c>
      <c r="I1207" s="361">
        <v>-0.22719812426729191</v>
      </c>
      <c r="K1207" s="363"/>
      <c r="N1207" s="10"/>
      <c r="O1207" s="4"/>
      <c r="P1207" s="4"/>
      <c r="Q1207" s="3"/>
      <c r="R1207" s="3"/>
      <c r="S1207" s="3"/>
      <c r="T1207" s="3"/>
    </row>
    <row r="1208" spans="1:20">
      <c r="A1208" s="3">
        <v>2</v>
      </c>
      <c r="B1208" s="3">
        <v>2</v>
      </c>
      <c r="C1208" s="2">
        <v>25</v>
      </c>
      <c r="D1208" s="2">
        <v>5</v>
      </c>
      <c r="E1208" s="2">
        <v>16</v>
      </c>
      <c r="F1208" s="17">
        <v>71</v>
      </c>
      <c r="H1208" s="361">
        <v>4.5695410140209058E-2</v>
      </c>
      <c r="I1208" s="361">
        <v>-1</v>
      </c>
      <c r="K1208" s="363"/>
      <c r="N1208" s="10"/>
      <c r="O1208" s="4"/>
      <c r="P1208" s="4"/>
      <c r="Q1208" s="3"/>
      <c r="R1208" s="3"/>
      <c r="S1208" s="3"/>
      <c r="T1208" s="3"/>
    </row>
    <row r="1209" spans="1:20">
      <c r="A1209" s="3">
        <v>4</v>
      </c>
      <c r="B1209" s="3">
        <v>2</v>
      </c>
      <c r="C1209" s="2">
        <v>50</v>
      </c>
      <c r="D1209" s="2">
        <v>5</v>
      </c>
      <c r="E1209" s="2">
        <v>16</v>
      </c>
      <c r="F1209" s="17">
        <v>72</v>
      </c>
      <c r="H1209" s="360">
        <v>0.14764604968980169</v>
      </c>
      <c r="I1209" s="359">
        <v>2.5214513880068925E-2</v>
      </c>
      <c r="K1209" s="363"/>
      <c r="N1209" s="10"/>
      <c r="O1209" s="4"/>
      <c r="P1209" s="4"/>
      <c r="Q1209" s="3"/>
      <c r="R1209" s="3"/>
      <c r="S1209" s="3"/>
      <c r="T1209" s="3"/>
    </row>
    <row r="1210" spans="1:20">
      <c r="A1210" s="3">
        <v>1</v>
      </c>
      <c r="B1210" s="3">
        <v>2</v>
      </c>
      <c r="C1210" s="2">
        <v>25</v>
      </c>
      <c r="D1210" s="2">
        <v>5</v>
      </c>
      <c r="E1210" s="2">
        <v>1</v>
      </c>
      <c r="F1210" s="17">
        <v>72</v>
      </c>
      <c r="H1210" s="360">
        <v>0</v>
      </c>
      <c r="I1210" s="360">
        <v>0</v>
      </c>
      <c r="K1210" s="363"/>
      <c r="N1210" s="10"/>
      <c r="O1210" s="4"/>
      <c r="P1210" s="4"/>
      <c r="Q1210" s="3"/>
      <c r="R1210" s="3"/>
      <c r="S1210" s="3"/>
      <c r="T1210" s="3"/>
    </row>
    <row r="1211" spans="1:20">
      <c r="A1211" s="3">
        <v>2</v>
      </c>
      <c r="B1211" s="3">
        <v>2</v>
      </c>
      <c r="C1211" s="2">
        <v>25</v>
      </c>
      <c r="D1211" s="2">
        <v>5</v>
      </c>
      <c r="E1211" s="2">
        <v>1</v>
      </c>
      <c r="F1211" s="17">
        <v>72</v>
      </c>
      <c r="H1211" s="361">
        <v>0</v>
      </c>
      <c r="I1211" s="361">
        <v>0</v>
      </c>
      <c r="K1211" s="363"/>
      <c r="N1211" s="10"/>
      <c r="O1211" s="4"/>
      <c r="P1211" s="4"/>
      <c r="Q1211" s="3"/>
      <c r="R1211" s="3"/>
      <c r="S1211" s="3"/>
      <c r="T1211" s="3"/>
    </row>
    <row r="1212" spans="1:20">
      <c r="A1212" s="3">
        <v>3</v>
      </c>
      <c r="B1212" s="3">
        <v>2</v>
      </c>
      <c r="C1212" s="2">
        <v>25</v>
      </c>
      <c r="D1212" s="2">
        <v>5</v>
      </c>
      <c r="E1212" s="2">
        <v>1</v>
      </c>
      <c r="F1212" s="17">
        <v>72</v>
      </c>
      <c r="H1212" s="361">
        <v>0</v>
      </c>
      <c r="I1212" s="361">
        <v>0</v>
      </c>
      <c r="K1212" s="363"/>
      <c r="N1212" s="10"/>
      <c r="O1212" s="4"/>
      <c r="P1212" s="4"/>
      <c r="Q1212" s="3"/>
      <c r="R1212" s="3"/>
      <c r="S1212" s="3"/>
      <c r="T1212" s="3"/>
    </row>
    <row r="1213" spans="1:20">
      <c r="A1213" s="3">
        <v>2</v>
      </c>
      <c r="B1213" s="3">
        <v>1</v>
      </c>
      <c r="C1213" s="2">
        <v>25</v>
      </c>
      <c r="D1213" s="2">
        <v>5</v>
      </c>
      <c r="E1213" s="2">
        <v>1</v>
      </c>
      <c r="F1213" s="17">
        <v>72</v>
      </c>
      <c r="H1213" s="360">
        <v>0</v>
      </c>
      <c r="I1213" s="360">
        <v>0</v>
      </c>
      <c r="K1213" s="363"/>
      <c r="N1213" s="10"/>
      <c r="O1213" s="4"/>
      <c r="P1213" s="4"/>
      <c r="Q1213" s="3"/>
      <c r="R1213" s="3"/>
      <c r="S1213" s="3"/>
      <c r="T1213" s="3"/>
    </row>
    <row r="1214" spans="1:20">
      <c r="A1214" s="3">
        <v>3</v>
      </c>
      <c r="B1214" s="3">
        <v>1</v>
      </c>
      <c r="C1214" s="2">
        <v>25</v>
      </c>
      <c r="D1214" s="2">
        <v>5</v>
      </c>
      <c r="E1214" s="2">
        <v>1</v>
      </c>
      <c r="F1214" s="17">
        <v>72</v>
      </c>
      <c r="H1214" s="360">
        <v>0</v>
      </c>
      <c r="I1214" s="360">
        <v>0</v>
      </c>
      <c r="K1214" s="363"/>
      <c r="N1214" s="10"/>
      <c r="O1214" s="4"/>
      <c r="P1214" s="4"/>
      <c r="Q1214" s="3"/>
      <c r="R1214" s="3"/>
      <c r="S1214" s="3"/>
      <c r="T1214" s="3"/>
    </row>
    <row r="1215" spans="1:20">
      <c r="A1215" s="3">
        <v>5</v>
      </c>
      <c r="B1215" s="3">
        <v>2</v>
      </c>
      <c r="C1215" s="2">
        <v>50</v>
      </c>
      <c r="D1215" s="2">
        <v>5</v>
      </c>
      <c r="E1215" s="2">
        <v>16</v>
      </c>
      <c r="F1215" s="17">
        <v>72</v>
      </c>
      <c r="H1215" s="360">
        <v>0.23299404827240808</v>
      </c>
      <c r="I1215" s="359">
        <v>-1.1143911474304567E-2</v>
      </c>
      <c r="K1215" s="363"/>
      <c r="N1215" s="10"/>
      <c r="O1215" s="4"/>
      <c r="P1215" s="4"/>
      <c r="Q1215" s="3"/>
      <c r="R1215" s="3"/>
      <c r="S1215" s="3"/>
      <c r="T1215" s="3"/>
    </row>
    <row r="1216" spans="1:20">
      <c r="A1216" s="3">
        <v>1</v>
      </c>
      <c r="B1216" s="3">
        <v>1</v>
      </c>
      <c r="C1216" s="2">
        <v>25</v>
      </c>
      <c r="D1216" s="2">
        <v>5</v>
      </c>
      <c r="E1216" s="2">
        <v>1</v>
      </c>
      <c r="F1216" s="17">
        <v>72</v>
      </c>
      <c r="H1216" s="360">
        <v>1.1091772230028329E-2</v>
      </c>
      <c r="I1216" s="360">
        <v>-0.42141536392671036</v>
      </c>
      <c r="K1216" s="363"/>
      <c r="N1216" s="10"/>
      <c r="O1216" s="4"/>
      <c r="P1216" s="4"/>
      <c r="Q1216" s="3"/>
      <c r="R1216" s="3"/>
      <c r="S1216" s="3"/>
      <c r="T1216" s="3"/>
    </row>
    <row r="1217" spans="1:20">
      <c r="A1217" s="3">
        <v>3</v>
      </c>
      <c r="B1217" s="3">
        <v>2</v>
      </c>
      <c r="C1217" s="2">
        <v>25</v>
      </c>
      <c r="D1217" s="2">
        <v>5</v>
      </c>
      <c r="E1217" s="2">
        <v>16</v>
      </c>
      <c r="F1217" s="17">
        <v>72</v>
      </c>
      <c r="H1217" s="360">
        <v>0.1209437327267493</v>
      </c>
      <c r="I1217" s="360">
        <v>-0.7708208148059128</v>
      </c>
      <c r="K1217" s="363"/>
      <c r="N1217" s="10"/>
      <c r="O1217" s="4"/>
      <c r="P1217" s="4"/>
      <c r="Q1217" s="3"/>
      <c r="R1217" s="3"/>
      <c r="S1217" s="3"/>
      <c r="T1217" s="3"/>
    </row>
    <row r="1218" spans="1:20">
      <c r="A1218" s="3">
        <v>2</v>
      </c>
      <c r="B1218" s="3">
        <v>1</v>
      </c>
      <c r="C1218" s="2">
        <v>25</v>
      </c>
      <c r="D1218" s="2">
        <v>5</v>
      </c>
      <c r="E1218" s="2">
        <v>16</v>
      </c>
      <c r="F1218" s="17">
        <v>72</v>
      </c>
      <c r="H1218" s="361">
        <v>0.22418215253581109</v>
      </c>
      <c r="I1218" s="361">
        <v>-0.77646589549262068</v>
      </c>
      <c r="K1218" s="363"/>
      <c r="N1218" s="10"/>
      <c r="O1218" s="4"/>
      <c r="P1218" s="4"/>
      <c r="Q1218" s="3"/>
      <c r="R1218" s="3"/>
      <c r="S1218" s="3"/>
      <c r="T1218" s="3"/>
    </row>
    <row r="1219" spans="1:20">
      <c r="A1219" s="3">
        <v>1</v>
      </c>
      <c r="B1219" s="3">
        <v>2</v>
      </c>
      <c r="C1219" s="2">
        <v>25</v>
      </c>
      <c r="D1219" s="2">
        <v>5</v>
      </c>
      <c r="E1219" s="2">
        <v>16</v>
      </c>
      <c r="F1219" s="17">
        <v>72</v>
      </c>
      <c r="H1219" s="360">
        <v>0.11030842919945105</v>
      </c>
      <c r="I1219" s="360">
        <v>-0.80698937587538</v>
      </c>
      <c r="K1219" s="363"/>
      <c r="N1219" s="10"/>
      <c r="O1219" s="4"/>
      <c r="P1219" s="4"/>
      <c r="Q1219" s="3"/>
      <c r="R1219" s="3"/>
      <c r="S1219" s="3"/>
      <c r="T1219" s="3"/>
    </row>
    <row r="1220" spans="1:20">
      <c r="A1220" s="3">
        <v>1</v>
      </c>
      <c r="B1220" s="3">
        <v>1</v>
      </c>
      <c r="C1220" s="2">
        <v>25</v>
      </c>
      <c r="D1220" s="2">
        <v>5</v>
      </c>
      <c r="E1220" s="2">
        <v>16</v>
      </c>
      <c r="F1220" s="17">
        <v>72</v>
      </c>
      <c r="H1220" s="360">
        <v>8.4450103030409229E-2</v>
      </c>
      <c r="I1220" s="360">
        <v>-0.85159235668789812</v>
      </c>
      <c r="K1220" s="363"/>
      <c r="N1220" s="10"/>
      <c r="O1220" s="4"/>
      <c r="P1220" s="4"/>
      <c r="Q1220" s="3"/>
      <c r="R1220" s="3"/>
      <c r="S1220" s="3"/>
      <c r="T1220" s="3"/>
    </row>
    <row r="1221" spans="1:20">
      <c r="A1221" s="3">
        <v>1</v>
      </c>
      <c r="B1221" s="3">
        <v>2</v>
      </c>
      <c r="C1221" s="2">
        <v>25</v>
      </c>
      <c r="D1221" s="2">
        <v>5</v>
      </c>
      <c r="E1221" s="2">
        <v>16</v>
      </c>
      <c r="F1221" s="17">
        <v>72</v>
      </c>
      <c r="H1221" s="361">
        <v>9.7876946368883666E-2</v>
      </c>
      <c r="I1221" s="361">
        <v>-0.8563887625788339</v>
      </c>
      <c r="K1221" s="363"/>
      <c r="N1221" s="10"/>
      <c r="O1221" s="4"/>
      <c r="P1221" s="4"/>
      <c r="Q1221" s="3"/>
      <c r="R1221" s="3"/>
      <c r="S1221" s="3"/>
      <c r="T1221" s="3"/>
    </row>
    <row r="1222" spans="1:20">
      <c r="A1222" s="3">
        <v>3</v>
      </c>
      <c r="B1222" s="3">
        <v>1</v>
      </c>
      <c r="C1222" s="2">
        <v>25</v>
      </c>
      <c r="D1222" s="2">
        <v>5</v>
      </c>
      <c r="E1222" s="2">
        <v>16</v>
      </c>
      <c r="F1222" s="17">
        <v>72</v>
      </c>
      <c r="H1222" s="361">
        <v>0.10202021784318582</v>
      </c>
      <c r="I1222" s="361">
        <v>-0.90347302312384337</v>
      </c>
      <c r="K1222" s="363"/>
      <c r="N1222" s="10"/>
      <c r="O1222" s="4"/>
      <c r="P1222" s="4"/>
      <c r="Q1222" s="3"/>
      <c r="R1222" s="3"/>
      <c r="S1222" s="3"/>
      <c r="T1222" s="3"/>
    </row>
    <row r="1223" spans="1:20">
      <c r="A1223" s="3">
        <v>1</v>
      </c>
      <c r="B1223" s="3">
        <v>1</v>
      </c>
      <c r="C1223" s="2">
        <v>25</v>
      </c>
      <c r="D1223" s="2">
        <v>30</v>
      </c>
      <c r="E1223" s="2">
        <v>16</v>
      </c>
      <c r="F1223" s="17">
        <v>72</v>
      </c>
      <c r="H1223" s="360">
        <v>0.35829432851430754</v>
      </c>
      <c r="I1223" s="360">
        <v>-0.90624336137747674</v>
      </c>
      <c r="K1223" s="363"/>
      <c r="N1223" s="10"/>
      <c r="O1223" s="4"/>
      <c r="P1223" s="4"/>
      <c r="Q1223" s="3"/>
      <c r="R1223" s="3"/>
      <c r="S1223" s="3"/>
      <c r="T1223" s="3"/>
    </row>
    <row r="1224" spans="1:20">
      <c r="A1224" s="3">
        <v>1</v>
      </c>
      <c r="B1224" s="3">
        <v>2</v>
      </c>
      <c r="C1224" s="2">
        <v>25</v>
      </c>
      <c r="D1224" s="2">
        <v>30</v>
      </c>
      <c r="E1224" s="2">
        <v>16</v>
      </c>
      <c r="F1224" s="17">
        <v>72</v>
      </c>
      <c r="H1224" s="360">
        <v>0.47140109106509498</v>
      </c>
      <c r="I1224" s="360">
        <v>-0.9135599840840759</v>
      </c>
      <c r="K1224" s="363"/>
      <c r="N1224" s="10"/>
      <c r="O1224" s="4"/>
      <c r="P1224" s="4"/>
      <c r="Q1224" s="3"/>
      <c r="R1224" s="3"/>
      <c r="S1224" s="3"/>
      <c r="T1224" s="3"/>
    </row>
    <row r="1225" spans="1:20">
      <c r="A1225" s="3">
        <v>2</v>
      </c>
      <c r="B1225" s="3">
        <v>2</v>
      </c>
      <c r="C1225" s="2">
        <v>25</v>
      </c>
      <c r="D1225" s="2">
        <v>5</v>
      </c>
      <c r="E1225" s="2">
        <v>16</v>
      </c>
      <c r="F1225" s="17">
        <v>72</v>
      </c>
      <c r="H1225" s="361">
        <v>0.12255428940012902</v>
      </c>
      <c r="I1225" s="361">
        <v>-1</v>
      </c>
      <c r="K1225" s="363"/>
      <c r="N1225" s="10"/>
      <c r="O1225" s="4"/>
      <c r="P1225" s="4"/>
      <c r="Q1225" s="3"/>
      <c r="R1225" s="3"/>
      <c r="S1225" s="3"/>
      <c r="T1225" s="3"/>
    </row>
    <row r="1226" spans="1:20">
      <c r="A1226" s="3">
        <v>1</v>
      </c>
      <c r="B1226" s="3">
        <v>1</v>
      </c>
      <c r="C1226" s="2">
        <v>25</v>
      </c>
      <c r="D1226" s="2">
        <v>5</v>
      </c>
      <c r="E1226" s="2">
        <v>1</v>
      </c>
      <c r="F1226" s="17">
        <v>73</v>
      </c>
      <c r="H1226" s="360">
        <v>1.0868167558527264E-2</v>
      </c>
      <c r="I1226" s="360">
        <v>0.48877005347593583</v>
      </c>
      <c r="K1226" s="363"/>
      <c r="N1226" s="10"/>
      <c r="O1226" s="4"/>
      <c r="P1226" s="4"/>
      <c r="Q1226" s="3"/>
      <c r="R1226" s="3"/>
      <c r="S1226" s="3"/>
      <c r="T1226" s="3"/>
    </row>
    <row r="1227" spans="1:20">
      <c r="A1227" s="3">
        <v>3</v>
      </c>
      <c r="B1227" s="3">
        <v>2</v>
      </c>
      <c r="C1227" s="2">
        <v>25</v>
      </c>
      <c r="D1227" s="2">
        <v>5</v>
      </c>
      <c r="E1227" s="2">
        <v>16</v>
      </c>
      <c r="F1227" s="17">
        <v>73</v>
      </c>
      <c r="H1227" s="360">
        <v>1.8379408481333126E-2</v>
      </c>
      <c r="I1227" s="360">
        <v>0.38430795119899031</v>
      </c>
      <c r="K1227" s="363"/>
      <c r="N1227" s="10"/>
      <c r="O1227" s="4"/>
      <c r="P1227" s="4"/>
      <c r="Q1227" s="3"/>
      <c r="R1227" s="3"/>
      <c r="S1227" s="3"/>
      <c r="T1227" s="3"/>
    </row>
    <row r="1228" spans="1:20">
      <c r="A1228" s="3">
        <v>1</v>
      </c>
      <c r="B1228" s="3">
        <v>1</v>
      </c>
      <c r="C1228" s="2">
        <v>25</v>
      </c>
      <c r="D1228" s="2">
        <v>5</v>
      </c>
      <c r="E1228" s="2">
        <v>16</v>
      </c>
      <c r="F1228" s="17">
        <v>73</v>
      </c>
      <c r="H1228" s="360">
        <v>1.0078734741036377E-2</v>
      </c>
      <c r="I1228" s="360">
        <v>0.24177795495315926</v>
      </c>
      <c r="K1228" s="363"/>
      <c r="N1228" s="10"/>
      <c r="O1228" s="4"/>
      <c r="P1228" s="4"/>
      <c r="Q1228" s="3"/>
      <c r="R1228" s="3"/>
      <c r="S1228" s="3"/>
      <c r="T1228" s="3"/>
    </row>
    <row r="1229" spans="1:20">
      <c r="A1229" s="3">
        <v>1</v>
      </c>
      <c r="B1229" s="3">
        <v>2</v>
      </c>
      <c r="C1229" s="2">
        <v>25</v>
      </c>
      <c r="D1229" s="2">
        <v>5</v>
      </c>
      <c r="E1229" s="2">
        <v>1</v>
      </c>
      <c r="F1229" s="17">
        <v>73</v>
      </c>
      <c r="H1229" s="360">
        <v>0</v>
      </c>
      <c r="I1229" s="360">
        <v>0</v>
      </c>
      <c r="K1229" s="363"/>
      <c r="N1229" s="10"/>
      <c r="O1229" s="4"/>
      <c r="P1229" s="4"/>
      <c r="Q1229" s="3"/>
      <c r="R1229" s="3"/>
      <c r="S1229" s="3"/>
      <c r="T1229" s="3"/>
    </row>
    <row r="1230" spans="1:20">
      <c r="A1230" s="3">
        <v>2</v>
      </c>
      <c r="B1230" s="3">
        <v>2</v>
      </c>
      <c r="C1230" s="2">
        <v>25</v>
      </c>
      <c r="D1230" s="2">
        <v>5</v>
      </c>
      <c r="E1230" s="2">
        <v>1</v>
      </c>
      <c r="F1230" s="17">
        <v>73</v>
      </c>
      <c r="H1230" s="361">
        <v>0</v>
      </c>
      <c r="I1230" s="361">
        <v>0</v>
      </c>
      <c r="K1230" s="363"/>
      <c r="N1230" s="10"/>
      <c r="O1230" s="4"/>
      <c r="P1230" s="4"/>
      <c r="Q1230" s="3"/>
      <c r="R1230" s="3"/>
      <c r="S1230" s="3"/>
      <c r="T1230" s="3"/>
    </row>
    <row r="1231" spans="1:20">
      <c r="A1231" s="3">
        <v>3</v>
      </c>
      <c r="B1231" s="3">
        <v>2</v>
      </c>
      <c r="C1231" s="2">
        <v>25</v>
      </c>
      <c r="D1231" s="2">
        <v>5</v>
      </c>
      <c r="E1231" s="2">
        <v>1</v>
      </c>
      <c r="F1231" s="17">
        <v>73</v>
      </c>
      <c r="H1231" s="361">
        <v>0</v>
      </c>
      <c r="I1231" s="361">
        <v>0</v>
      </c>
      <c r="K1231" s="363"/>
      <c r="N1231" s="10"/>
      <c r="O1231" s="4"/>
      <c r="P1231" s="4"/>
      <c r="Q1231" s="3"/>
      <c r="R1231" s="3"/>
      <c r="S1231" s="3"/>
      <c r="T1231" s="3"/>
    </row>
    <row r="1232" spans="1:20">
      <c r="A1232" s="3">
        <v>3</v>
      </c>
      <c r="B1232" s="3">
        <v>1</v>
      </c>
      <c r="C1232" s="2">
        <v>25</v>
      </c>
      <c r="D1232" s="2">
        <v>5</v>
      </c>
      <c r="E1232" s="2">
        <v>1</v>
      </c>
      <c r="F1232" s="17">
        <v>73</v>
      </c>
      <c r="H1232" s="360">
        <v>0</v>
      </c>
      <c r="I1232" s="360">
        <v>0</v>
      </c>
      <c r="K1232" s="363"/>
      <c r="N1232" s="10"/>
      <c r="O1232" s="4"/>
      <c r="P1232" s="4"/>
      <c r="Q1232" s="3"/>
      <c r="R1232" s="3"/>
      <c r="S1232" s="3"/>
      <c r="T1232" s="3"/>
    </row>
    <row r="1233" spans="1:20">
      <c r="A1233" s="3">
        <v>3</v>
      </c>
      <c r="B1233" s="3">
        <v>1</v>
      </c>
      <c r="C1233" s="2">
        <v>25</v>
      </c>
      <c r="D1233" s="2">
        <v>5</v>
      </c>
      <c r="E1233" s="2">
        <v>16</v>
      </c>
      <c r="F1233" s="17">
        <v>73</v>
      </c>
      <c r="H1233" s="361">
        <v>0</v>
      </c>
      <c r="I1233" s="361">
        <v>0</v>
      </c>
      <c r="K1233" s="363"/>
      <c r="N1233" s="10"/>
      <c r="O1233" s="4"/>
      <c r="P1233" s="4"/>
      <c r="Q1233" s="3"/>
      <c r="R1233" s="3"/>
      <c r="S1233" s="3"/>
      <c r="T1233" s="3"/>
    </row>
    <row r="1234" spans="1:20">
      <c r="A1234" s="3">
        <v>4</v>
      </c>
      <c r="B1234" s="3">
        <v>2</v>
      </c>
      <c r="C1234" s="2">
        <v>50</v>
      </c>
      <c r="D1234" s="2">
        <v>5</v>
      </c>
      <c r="E1234" s="2">
        <v>16</v>
      </c>
      <c r="F1234" s="17">
        <v>73</v>
      </c>
      <c r="H1234" s="360">
        <v>0.16535920313538463</v>
      </c>
      <c r="I1234" s="359">
        <v>-4.7739160251939299E-2</v>
      </c>
      <c r="K1234" s="363"/>
      <c r="N1234" s="10"/>
      <c r="O1234" s="4"/>
      <c r="P1234" s="4"/>
      <c r="Q1234" s="3"/>
      <c r="R1234" s="3"/>
      <c r="S1234" s="3"/>
      <c r="T1234" s="3"/>
    </row>
    <row r="1235" spans="1:20">
      <c r="A1235" s="3">
        <v>1</v>
      </c>
      <c r="B1235" s="3">
        <v>2</v>
      </c>
      <c r="C1235" s="2">
        <v>25</v>
      </c>
      <c r="D1235" s="2">
        <v>30</v>
      </c>
      <c r="E1235" s="2">
        <v>16</v>
      </c>
      <c r="F1235" s="17">
        <v>73</v>
      </c>
      <c r="H1235" s="360">
        <v>0.10881089483346951</v>
      </c>
      <c r="I1235" s="360">
        <v>-5.3288050095165192E-2</v>
      </c>
      <c r="K1235" s="363"/>
      <c r="N1235" s="10"/>
      <c r="O1235" s="4"/>
      <c r="P1235" s="4"/>
      <c r="Q1235" s="3"/>
      <c r="R1235" s="3"/>
      <c r="S1235" s="3"/>
      <c r="T1235" s="3"/>
    </row>
    <row r="1236" spans="1:20">
      <c r="A1236" s="3">
        <v>1</v>
      </c>
      <c r="B1236" s="3">
        <v>1</v>
      </c>
      <c r="C1236" s="2">
        <v>25</v>
      </c>
      <c r="D1236" s="2">
        <v>30</v>
      </c>
      <c r="E1236" s="2">
        <v>16</v>
      </c>
      <c r="F1236" s="17">
        <v>73</v>
      </c>
      <c r="H1236" s="360">
        <v>5.7785305740305271E-2</v>
      </c>
      <c r="I1236" s="360">
        <v>-5.8869173957480446E-2</v>
      </c>
      <c r="K1236" s="363"/>
      <c r="N1236" s="10"/>
      <c r="O1236" s="4"/>
      <c r="P1236" s="4"/>
      <c r="Q1236" s="3"/>
      <c r="R1236" s="3"/>
      <c r="S1236" s="3"/>
      <c r="T1236" s="3"/>
    </row>
    <row r="1237" spans="1:20">
      <c r="A1237" s="3">
        <v>1</v>
      </c>
      <c r="B1237" s="3">
        <v>2</v>
      </c>
      <c r="C1237" s="2">
        <v>25</v>
      </c>
      <c r="D1237" s="2">
        <v>5</v>
      </c>
      <c r="E1237" s="2">
        <v>16</v>
      </c>
      <c r="F1237" s="17">
        <v>73</v>
      </c>
      <c r="H1237" s="361">
        <v>1.490988749169242E-2</v>
      </c>
      <c r="I1237" s="361">
        <v>-6.2149646600048743E-2</v>
      </c>
      <c r="K1237" s="363"/>
      <c r="N1237" s="10"/>
      <c r="O1237" s="4"/>
      <c r="P1237" s="4"/>
      <c r="Q1237" s="3"/>
      <c r="R1237" s="3"/>
      <c r="S1237" s="3"/>
      <c r="T1237" s="3"/>
    </row>
    <row r="1238" spans="1:20">
      <c r="A1238" s="3">
        <v>2</v>
      </c>
      <c r="B1238" s="3">
        <v>2</v>
      </c>
      <c r="C1238" s="2">
        <v>25</v>
      </c>
      <c r="D1238" s="2">
        <v>5</v>
      </c>
      <c r="E1238" s="2">
        <v>16</v>
      </c>
      <c r="F1238" s="17">
        <v>73</v>
      </c>
      <c r="H1238" s="361">
        <v>0.28795901844834759</v>
      </c>
      <c r="I1238" s="361">
        <v>-0.11771258819160788</v>
      </c>
      <c r="K1238" s="363"/>
      <c r="N1238" s="10"/>
      <c r="O1238" s="4"/>
      <c r="P1238" s="4"/>
      <c r="Q1238" s="3"/>
      <c r="R1238" s="3"/>
      <c r="S1238" s="3"/>
      <c r="T1238" s="3"/>
    </row>
    <row r="1239" spans="1:20">
      <c r="A1239" s="3">
        <v>5</v>
      </c>
      <c r="B1239" s="3">
        <v>2</v>
      </c>
      <c r="C1239" s="2">
        <v>50</v>
      </c>
      <c r="D1239" s="2">
        <v>5</v>
      </c>
      <c r="E1239" s="2">
        <v>16</v>
      </c>
      <c r="F1239" s="17">
        <v>73</v>
      </c>
      <c r="H1239" s="360">
        <v>0.23360370524912685</v>
      </c>
      <c r="I1239" s="359">
        <v>-0.13158125314161598</v>
      </c>
      <c r="K1239" s="363"/>
      <c r="N1239" s="10"/>
      <c r="O1239" s="4"/>
      <c r="P1239" s="4"/>
      <c r="Q1239" s="3"/>
      <c r="R1239" s="3"/>
      <c r="S1239" s="3"/>
      <c r="T1239" s="3"/>
    </row>
    <row r="1240" spans="1:20">
      <c r="A1240" s="3">
        <v>1</v>
      </c>
      <c r="B1240" s="3">
        <v>2</v>
      </c>
      <c r="C1240" s="2">
        <v>25</v>
      </c>
      <c r="D1240" s="2">
        <v>5</v>
      </c>
      <c r="E1240" s="2">
        <v>16</v>
      </c>
      <c r="F1240" s="17">
        <v>73</v>
      </c>
      <c r="H1240" s="360">
        <v>1.4182849110945472E-2</v>
      </c>
      <c r="I1240" s="360">
        <v>-0.27803488786044855</v>
      </c>
      <c r="K1240" s="363"/>
      <c r="N1240" s="10"/>
      <c r="O1240" s="4"/>
      <c r="P1240" s="4"/>
      <c r="Q1240" s="3"/>
      <c r="R1240" s="3"/>
      <c r="S1240" s="3"/>
      <c r="T1240" s="3"/>
    </row>
    <row r="1241" spans="1:20">
      <c r="A1241" s="3">
        <v>2</v>
      </c>
      <c r="B1241" s="3">
        <v>1</v>
      </c>
      <c r="C1241" s="2">
        <v>25</v>
      </c>
      <c r="D1241" s="2">
        <v>5</v>
      </c>
      <c r="E1241" s="2">
        <v>1</v>
      </c>
      <c r="F1241" s="17">
        <v>73</v>
      </c>
      <c r="H1241" s="360">
        <v>2.4949511874318264E-2</v>
      </c>
      <c r="I1241" s="360">
        <v>-1</v>
      </c>
      <c r="K1241" s="363"/>
      <c r="N1241" s="10"/>
      <c r="O1241" s="4"/>
      <c r="P1241" s="4"/>
      <c r="Q1241" s="3"/>
      <c r="R1241" s="3"/>
      <c r="S1241" s="3"/>
      <c r="T1241" s="3"/>
    </row>
    <row r="1242" spans="1:20">
      <c r="A1242" s="3">
        <v>2</v>
      </c>
      <c r="B1242" s="3">
        <v>1</v>
      </c>
      <c r="C1242" s="2">
        <v>25</v>
      </c>
      <c r="D1242" s="2">
        <v>5</v>
      </c>
      <c r="E1242" s="2">
        <v>16</v>
      </c>
      <c r="F1242" s="17">
        <v>73</v>
      </c>
      <c r="H1242" s="361">
        <v>1.5088415122153642E-2</v>
      </c>
      <c r="I1242" s="361">
        <v>-1</v>
      </c>
      <c r="K1242" s="363"/>
      <c r="N1242" s="10"/>
      <c r="O1242" s="4"/>
      <c r="P1242" s="4"/>
      <c r="Q1242" s="3"/>
      <c r="R1242" s="3"/>
      <c r="S1242" s="3"/>
      <c r="T1242" s="3"/>
    </row>
    <row r="1243" spans="1:20">
      <c r="A1243" s="3">
        <v>5</v>
      </c>
      <c r="B1243" s="3">
        <v>2</v>
      </c>
      <c r="C1243" s="2">
        <v>50</v>
      </c>
      <c r="D1243" s="2">
        <v>5</v>
      </c>
      <c r="E1243" s="2">
        <v>16</v>
      </c>
      <c r="F1243" s="17">
        <v>74</v>
      </c>
      <c r="H1243" s="360">
        <v>1</v>
      </c>
      <c r="I1243" s="359">
        <v>0.111596220960196</v>
      </c>
      <c r="K1243" s="363"/>
      <c r="N1243" s="10"/>
      <c r="O1243" s="4"/>
      <c r="P1243" s="4"/>
      <c r="Q1243" s="3"/>
      <c r="R1243" s="3"/>
      <c r="S1243" s="3"/>
      <c r="T1243" s="3"/>
    </row>
    <row r="1244" spans="1:20">
      <c r="A1244" s="3">
        <v>4</v>
      </c>
      <c r="B1244" s="3">
        <v>2</v>
      </c>
      <c r="C1244" s="2">
        <v>50</v>
      </c>
      <c r="D1244" s="2">
        <v>5</v>
      </c>
      <c r="E1244" s="2">
        <v>16</v>
      </c>
      <c r="F1244" s="17">
        <v>74</v>
      </c>
      <c r="H1244" s="360">
        <v>1</v>
      </c>
      <c r="I1244" s="359">
        <v>-0.17786364470678401</v>
      </c>
      <c r="K1244" s="363"/>
      <c r="N1244" s="10"/>
      <c r="O1244" s="4"/>
      <c r="P1244" s="4"/>
      <c r="Q1244" s="3"/>
      <c r="R1244" s="3"/>
      <c r="S1244" s="3"/>
      <c r="T1244" s="3"/>
    </row>
    <row r="1245" spans="1:20">
      <c r="A1245" s="3">
        <v>2</v>
      </c>
      <c r="B1245" s="3">
        <v>1</v>
      </c>
      <c r="C1245" s="2">
        <v>25</v>
      </c>
      <c r="D1245" s="2">
        <v>5</v>
      </c>
      <c r="E1245" s="2">
        <v>16</v>
      </c>
      <c r="F1245" s="17">
        <v>74</v>
      </c>
      <c r="H1245" s="361">
        <v>1</v>
      </c>
      <c r="I1245" s="361">
        <v>-0.71344964507605113</v>
      </c>
      <c r="K1245" s="363"/>
      <c r="N1245" s="10"/>
      <c r="O1245" s="4"/>
      <c r="P1245" s="4"/>
      <c r="Q1245" s="3"/>
      <c r="R1245" s="3"/>
      <c r="S1245" s="3"/>
      <c r="T1245" s="3"/>
    </row>
    <row r="1246" spans="1:20">
      <c r="A1246" s="3">
        <v>3</v>
      </c>
      <c r="B1246" s="3">
        <v>1</v>
      </c>
      <c r="C1246" s="2">
        <v>25</v>
      </c>
      <c r="D1246" s="2">
        <v>5</v>
      </c>
      <c r="E1246" s="2">
        <v>16</v>
      </c>
      <c r="F1246" s="17">
        <v>74</v>
      </c>
      <c r="H1246" s="361">
        <v>0.98108303184250256</v>
      </c>
      <c r="I1246" s="361">
        <v>-0.76457305213066495</v>
      </c>
      <c r="K1246" s="363"/>
      <c r="N1246" s="10"/>
      <c r="O1246" s="4"/>
      <c r="P1246" s="4"/>
      <c r="Q1246" s="3"/>
      <c r="R1246" s="3"/>
      <c r="S1246" s="3"/>
      <c r="T1246" s="3"/>
    </row>
    <row r="1247" spans="1:20">
      <c r="A1247" s="3">
        <v>2</v>
      </c>
      <c r="B1247" s="3">
        <v>1</v>
      </c>
      <c r="C1247" s="2">
        <v>25</v>
      </c>
      <c r="D1247" s="2">
        <v>5</v>
      </c>
      <c r="E1247" s="2">
        <v>1</v>
      </c>
      <c r="F1247" s="17">
        <v>74</v>
      </c>
      <c r="H1247" s="360">
        <v>1</v>
      </c>
      <c r="I1247" s="360">
        <v>-0.76605645789197307</v>
      </c>
      <c r="K1247" s="363"/>
      <c r="N1247" s="10"/>
      <c r="O1247" s="4"/>
      <c r="P1247" s="4"/>
      <c r="Q1247" s="3"/>
      <c r="R1247" s="3"/>
      <c r="S1247" s="3"/>
      <c r="T1247" s="3"/>
    </row>
    <row r="1248" spans="1:20">
      <c r="A1248" s="3">
        <v>3</v>
      </c>
      <c r="B1248" s="3">
        <v>1</v>
      </c>
      <c r="C1248" s="2">
        <v>25</v>
      </c>
      <c r="D1248" s="2">
        <v>5</v>
      </c>
      <c r="E1248" s="2">
        <v>1</v>
      </c>
      <c r="F1248" s="17">
        <v>74</v>
      </c>
      <c r="H1248" s="360">
        <v>1</v>
      </c>
      <c r="I1248" s="360">
        <v>-0.79304229569813445</v>
      </c>
      <c r="K1248" s="363"/>
      <c r="N1248" s="10"/>
      <c r="O1248" s="4"/>
      <c r="P1248" s="4"/>
      <c r="Q1248" s="3"/>
      <c r="R1248" s="3"/>
      <c r="S1248" s="3"/>
      <c r="T1248" s="3"/>
    </row>
    <row r="1249" spans="1:20">
      <c r="A1249" s="3">
        <v>2</v>
      </c>
      <c r="B1249" s="3">
        <v>2</v>
      </c>
      <c r="C1249" s="2">
        <v>25</v>
      </c>
      <c r="D1249" s="2">
        <v>5</v>
      </c>
      <c r="E1249" s="2">
        <v>1</v>
      </c>
      <c r="F1249" s="17">
        <v>74</v>
      </c>
      <c r="H1249" s="361">
        <v>1</v>
      </c>
      <c r="I1249" s="361">
        <v>-0.81905752460196812</v>
      </c>
      <c r="K1249" s="363"/>
      <c r="N1249" s="10"/>
      <c r="O1249" s="4"/>
      <c r="P1249" s="4"/>
      <c r="Q1249" s="3"/>
      <c r="R1249" s="3"/>
      <c r="S1249" s="3"/>
      <c r="T1249" s="3"/>
    </row>
    <row r="1250" spans="1:20">
      <c r="A1250" s="3">
        <v>2</v>
      </c>
      <c r="B1250" s="3">
        <v>2</v>
      </c>
      <c r="C1250" s="2">
        <v>25</v>
      </c>
      <c r="D1250" s="2">
        <v>5</v>
      </c>
      <c r="E1250" s="2">
        <v>16</v>
      </c>
      <c r="F1250" s="17">
        <v>74</v>
      </c>
      <c r="H1250" s="361">
        <v>1</v>
      </c>
      <c r="I1250" s="361">
        <v>-0.84818463883294326</v>
      </c>
      <c r="K1250" s="363"/>
      <c r="N1250" s="10"/>
      <c r="O1250" s="4"/>
      <c r="P1250" s="4"/>
      <c r="Q1250" s="3"/>
      <c r="R1250" s="3"/>
      <c r="S1250" s="3"/>
      <c r="T1250" s="3"/>
    </row>
    <row r="1251" spans="1:20">
      <c r="A1251" s="3">
        <v>1</v>
      </c>
      <c r="B1251" s="3">
        <v>2</v>
      </c>
      <c r="C1251" s="2">
        <v>25</v>
      </c>
      <c r="D1251" s="2">
        <v>30</v>
      </c>
      <c r="E1251" s="2">
        <v>16</v>
      </c>
      <c r="F1251" s="17">
        <v>74</v>
      </c>
      <c r="H1251" s="360">
        <v>1</v>
      </c>
      <c r="I1251" s="360">
        <v>-0.85486042460331635</v>
      </c>
      <c r="K1251" s="363"/>
      <c r="N1251" s="10"/>
      <c r="O1251" s="4"/>
      <c r="P1251" s="4"/>
      <c r="Q1251" s="3"/>
      <c r="R1251" s="3"/>
      <c r="S1251" s="3"/>
      <c r="T1251" s="3"/>
    </row>
    <row r="1252" spans="1:20">
      <c r="A1252" s="3">
        <v>1</v>
      </c>
      <c r="B1252" s="3">
        <v>1</v>
      </c>
      <c r="C1252" s="2">
        <v>25</v>
      </c>
      <c r="D1252" s="2">
        <v>30</v>
      </c>
      <c r="E1252" s="2">
        <v>16</v>
      </c>
      <c r="F1252" s="17">
        <v>74</v>
      </c>
      <c r="H1252" s="360">
        <v>1</v>
      </c>
      <c r="I1252" s="360">
        <v>-0.87732794350280097</v>
      </c>
      <c r="K1252" s="363"/>
      <c r="N1252" s="10"/>
      <c r="O1252" s="4"/>
      <c r="P1252" s="4"/>
      <c r="Q1252" s="3"/>
      <c r="R1252" s="3"/>
      <c r="S1252" s="3"/>
      <c r="T1252" s="3"/>
    </row>
    <row r="1253" spans="1:20">
      <c r="A1253" s="3">
        <v>1</v>
      </c>
      <c r="B1253" s="3">
        <v>1</v>
      </c>
      <c r="C1253" s="2">
        <v>25</v>
      </c>
      <c r="D1253" s="2">
        <v>5</v>
      </c>
      <c r="E1253" s="2">
        <v>16</v>
      </c>
      <c r="F1253" s="17">
        <v>74</v>
      </c>
      <c r="H1253" s="360">
        <v>1</v>
      </c>
      <c r="I1253" s="360">
        <v>-0.9297538916553254</v>
      </c>
      <c r="K1253" s="363"/>
      <c r="N1253" s="10"/>
      <c r="O1253" s="4"/>
      <c r="P1253" s="4"/>
      <c r="Q1253" s="3"/>
      <c r="R1253" s="3"/>
      <c r="S1253" s="3"/>
      <c r="T1253" s="3"/>
    </row>
    <row r="1254" spans="1:20">
      <c r="A1254" s="3">
        <v>1</v>
      </c>
      <c r="B1254" s="3">
        <v>1</v>
      </c>
      <c r="C1254" s="2">
        <v>25</v>
      </c>
      <c r="D1254" s="2">
        <v>5</v>
      </c>
      <c r="E1254" s="2">
        <v>1</v>
      </c>
      <c r="F1254" s="17">
        <v>74</v>
      </c>
      <c r="H1254" s="360">
        <v>1</v>
      </c>
      <c r="I1254" s="360">
        <v>-0.93700996221564348</v>
      </c>
      <c r="K1254" s="363"/>
      <c r="N1254" s="10"/>
      <c r="O1254" s="4"/>
      <c r="P1254" s="4"/>
      <c r="Q1254" s="3"/>
      <c r="R1254" s="3"/>
      <c r="S1254" s="3"/>
      <c r="T1254" s="3"/>
    </row>
    <row r="1255" spans="1:20">
      <c r="A1255" s="3">
        <v>1</v>
      </c>
      <c r="B1255" s="3">
        <v>2</v>
      </c>
      <c r="C1255" s="2">
        <v>25</v>
      </c>
      <c r="D1255" s="2">
        <v>5</v>
      </c>
      <c r="E1255" s="2">
        <v>16</v>
      </c>
      <c r="F1255" s="17">
        <v>74</v>
      </c>
      <c r="H1255" s="360">
        <v>1</v>
      </c>
      <c r="I1255" s="360">
        <v>-0.94662347141407799</v>
      </c>
      <c r="K1255" s="363"/>
      <c r="N1255" s="10"/>
      <c r="O1255" s="4"/>
      <c r="P1255" s="4"/>
      <c r="Q1255" s="3"/>
      <c r="R1255" s="3"/>
      <c r="S1255" s="3"/>
      <c r="T1255" s="3"/>
    </row>
    <row r="1256" spans="1:20">
      <c r="A1256" s="3">
        <v>1</v>
      </c>
      <c r="B1256" s="3">
        <v>2</v>
      </c>
      <c r="C1256" s="2">
        <v>25</v>
      </c>
      <c r="D1256" s="2">
        <v>5</v>
      </c>
      <c r="E1256" s="2">
        <v>16</v>
      </c>
      <c r="F1256" s="17">
        <v>74</v>
      </c>
      <c r="H1256" s="361">
        <v>1</v>
      </c>
      <c r="I1256" s="361">
        <v>-0.95400716719106116</v>
      </c>
      <c r="K1256" s="363"/>
      <c r="N1256" s="10"/>
      <c r="O1256" s="4"/>
      <c r="P1256" s="4"/>
      <c r="Q1256" s="3"/>
      <c r="R1256" s="3"/>
      <c r="S1256" s="3"/>
      <c r="T1256" s="3"/>
    </row>
    <row r="1257" spans="1:20">
      <c r="A1257" s="3">
        <v>1</v>
      </c>
      <c r="B1257" s="3">
        <v>2</v>
      </c>
      <c r="C1257" s="2">
        <v>25</v>
      </c>
      <c r="D1257" s="2">
        <v>5</v>
      </c>
      <c r="E1257" s="2">
        <v>1</v>
      </c>
      <c r="F1257" s="17">
        <v>74</v>
      </c>
      <c r="H1257" s="360">
        <v>1</v>
      </c>
      <c r="I1257" s="360">
        <v>-0.95508514529530242</v>
      </c>
      <c r="K1257" s="363"/>
      <c r="N1257" s="10"/>
      <c r="O1257" s="4"/>
      <c r="P1257" s="4"/>
      <c r="Q1257" s="3"/>
      <c r="R1257" s="3"/>
      <c r="S1257" s="3"/>
      <c r="T1257" s="3"/>
    </row>
    <row r="1258" spans="1:20">
      <c r="A1258" s="3">
        <v>3</v>
      </c>
      <c r="B1258" s="3">
        <v>2</v>
      </c>
      <c r="C1258" s="2">
        <v>25</v>
      </c>
      <c r="D1258" s="2">
        <v>5</v>
      </c>
      <c r="E1258" s="2">
        <v>16</v>
      </c>
      <c r="F1258" s="17">
        <v>74</v>
      </c>
      <c r="H1258" s="360">
        <v>1</v>
      </c>
      <c r="I1258" s="360">
        <v>-0.97212668869557395</v>
      </c>
      <c r="K1258" s="363"/>
      <c r="N1258" s="10"/>
      <c r="O1258" s="4"/>
      <c r="P1258" s="4"/>
      <c r="Q1258" s="3"/>
      <c r="R1258" s="3"/>
      <c r="S1258" s="3"/>
      <c r="T1258" s="3"/>
    </row>
    <row r="1259" spans="1:20">
      <c r="A1259" s="3">
        <v>3</v>
      </c>
      <c r="B1259" s="3">
        <v>2</v>
      </c>
      <c r="C1259" s="2">
        <v>25</v>
      </c>
      <c r="D1259" s="2">
        <v>5</v>
      </c>
      <c r="E1259" s="2">
        <v>1</v>
      </c>
      <c r="F1259" s="17">
        <v>74</v>
      </c>
      <c r="H1259" s="361">
        <v>1</v>
      </c>
      <c r="I1259" s="361">
        <v>-0.98241705233271825</v>
      </c>
      <c r="K1259" s="363"/>
      <c r="N1259" s="10"/>
      <c r="O1259" s="4"/>
      <c r="P1259" s="4"/>
      <c r="Q1259" s="3"/>
      <c r="R1259" s="3"/>
      <c r="S1259" s="3"/>
      <c r="T1259" s="3"/>
    </row>
    <row r="1260" spans="1:20">
      <c r="A1260" s="3">
        <v>2</v>
      </c>
      <c r="B1260" s="3">
        <v>2</v>
      </c>
      <c r="C1260" s="2">
        <v>25</v>
      </c>
      <c r="D1260" s="2">
        <v>5</v>
      </c>
      <c r="E1260" s="2">
        <v>1</v>
      </c>
      <c r="F1260" s="17">
        <v>75</v>
      </c>
      <c r="H1260" s="361">
        <v>0.99846044294514991</v>
      </c>
      <c r="I1260" s="361">
        <v>1</v>
      </c>
      <c r="K1260" s="363"/>
      <c r="N1260" s="10"/>
      <c r="O1260" s="4"/>
      <c r="P1260" s="4"/>
      <c r="Q1260" s="3"/>
      <c r="R1260" s="3"/>
      <c r="S1260" s="3"/>
      <c r="T1260" s="3"/>
    </row>
    <row r="1261" spans="1:20">
      <c r="A1261" s="3">
        <v>2</v>
      </c>
      <c r="B1261" s="3">
        <v>2</v>
      </c>
      <c r="C1261" s="2">
        <v>25</v>
      </c>
      <c r="D1261" s="2">
        <v>5</v>
      </c>
      <c r="E1261" s="2">
        <v>16</v>
      </c>
      <c r="F1261" s="17">
        <v>75</v>
      </c>
      <c r="H1261" s="361">
        <v>1</v>
      </c>
      <c r="I1261" s="361">
        <v>1</v>
      </c>
      <c r="K1261" s="363"/>
      <c r="N1261" s="10"/>
      <c r="O1261" s="4"/>
      <c r="P1261" s="4"/>
      <c r="Q1261" s="3"/>
      <c r="R1261" s="3"/>
      <c r="S1261" s="3"/>
      <c r="T1261" s="3"/>
    </row>
    <row r="1262" spans="1:20">
      <c r="A1262" s="3">
        <v>2</v>
      </c>
      <c r="B1262" s="3">
        <v>1</v>
      </c>
      <c r="C1262" s="2">
        <v>25</v>
      </c>
      <c r="D1262" s="2">
        <v>5</v>
      </c>
      <c r="E1262" s="2">
        <v>1</v>
      </c>
      <c r="F1262" s="17">
        <v>75</v>
      </c>
      <c r="H1262" s="360">
        <v>1</v>
      </c>
      <c r="I1262" s="360">
        <v>1</v>
      </c>
      <c r="K1262" s="363"/>
      <c r="N1262" s="10"/>
      <c r="O1262" s="4"/>
      <c r="P1262" s="4"/>
      <c r="Q1262" s="3"/>
      <c r="R1262" s="3"/>
      <c r="S1262" s="3"/>
      <c r="T1262" s="3"/>
    </row>
    <row r="1263" spans="1:20">
      <c r="A1263" s="3">
        <v>2</v>
      </c>
      <c r="B1263" s="3">
        <v>1</v>
      </c>
      <c r="C1263" s="2">
        <v>25</v>
      </c>
      <c r="D1263" s="2">
        <v>5</v>
      </c>
      <c r="E1263" s="2">
        <v>16</v>
      </c>
      <c r="F1263" s="17">
        <v>75</v>
      </c>
      <c r="H1263" s="361">
        <v>1</v>
      </c>
      <c r="I1263" s="361">
        <v>1</v>
      </c>
      <c r="K1263" s="363"/>
      <c r="N1263" s="10"/>
      <c r="O1263" s="4"/>
      <c r="P1263" s="4"/>
      <c r="Q1263" s="3"/>
      <c r="R1263" s="3"/>
      <c r="S1263" s="3"/>
      <c r="T1263" s="3"/>
    </row>
    <row r="1264" spans="1:20">
      <c r="A1264" s="3">
        <v>1</v>
      </c>
      <c r="B1264" s="3">
        <v>1</v>
      </c>
      <c r="C1264" s="2">
        <v>25</v>
      </c>
      <c r="D1264" s="2">
        <v>5</v>
      </c>
      <c r="E1264" s="2">
        <v>1</v>
      </c>
      <c r="F1264" s="17">
        <v>75</v>
      </c>
      <c r="H1264" s="360">
        <v>1</v>
      </c>
      <c r="I1264" s="360">
        <v>0.96675327702517411</v>
      </c>
      <c r="K1264" s="363"/>
      <c r="N1264" s="10"/>
      <c r="O1264" s="4"/>
      <c r="P1264" s="4"/>
      <c r="Q1264" s="3"/>
      <c r="R1264" s="3"/>
      <c r="S1264" s="3"/>
      <c r="T1264" s="3"/>
    </row>
    <row r="1265" spans="1:20">
      <c r="A1265" s="3">
        <v>1</v>
      </c>
      <c r="B1265" s="3">
        <v>2</v>
      </c>
      <c r="C1265" s="2">
        <v>25</v>
      </c>
      <c r="D1265" s="2">
        <v>5</v>
      </c>
      <c r="E1265" s="2">
        <v>16</v>
      </c>
      <c r="F1265" s="17">
        <v>75</v>
      </c>
      <c r="H1265" s="360">
        <v>1</v>
      </c>
      <c r="I1265" s="360">
        <v>0.94200454305182035</v>
      </c>
      <c r="K1265" s="363"/>
      <c r="N1265" s="10"/>
      <c r="O1265" s="4"/>
      <c r="P1265" s="4"/>
      <c r="Q1265" s="3"/>
      <c r="R1265" s="3"/>
      <c r="S1265" s="3"/>
      <c r="T1265" s="3"/>
    </row>
    <row r="1266" spans="1:20">
      <c r="A1266" s="3">
        <v>1</v>
      </c>
      <c r="B1266" s="3">
        <v>1</v>
      </c>
      <c r="C1266" s="2">
        <v>25</v>
      </c>
      <c r="D1266" s="2">
        <v>5</v>
      </c>
      <c r="E1266" s="2">
        <v>16</v>
      </c>
      <c r="F1266" s="17">
        <v>75</v>
      </c>
      <c r="H1266" s="360">
        <v>1</v>
      </c>
      <c r="I1266" s="360">
        <v>0.9409046113033247</v>
      </c>
      <c r="K1266" s="363"/>
      <c r="N1266" s="10"/>
      <c r="O1266" s="4"/>
      <c r="P1266" s="4"/>
      <c r="Q1266" s="3"/>
      <c r="R1266" s="3"/>
      <c r="S1266" s="3"/>
      <c r="T1266" s="3"/>
    </row>
    <row r="1267" spans="1:20">
      <c r="A1267" s="3">
        <v>1</v>
      </c>
      <c r="B1267" s="3">
        <v>2</v>
      </c>
      <c r="C1267" s="2">
        <v>25</v>
      </c>
      <c r="D1267" s="2">
        <v>5</v>
      </c>
      <c r="E1267" s="2">
        <v>16</v>
      </c>
      <c r="F1267" s="17">
        <v>75</v>
      </c>
      <c r="H1267" s="361">
        <v>1</v>
      </c>
      <c r="I1267" s="361">
        <v>0.91519872196472052</v>
      </c>
      <c r="K1267" s="363"/>
      <c r="N1267" s="10"/>
      <c r="O1267" s="4"/>
      <c r="P1267" s="4"/>
      <c r="Q1267" s="3"/>
      <c r="R1267" s="3"/>
      <c r="S1267" s="3"/>
      <c r="T1267" s="3"/>
    </row>
    <row r="1268" spans="1:20">
      <c r="A1268" s="3">
        <v>1</v>
      </c>
      <c r="B1268" s="3">
        <v>2</v>
      </c>
      <c r="C1268" s="2">
        <v>25</v>
      </c>
      <c r="D1268" s="2">
        <v>5</v>
      </c>
      <c r="E1268" s="2">
        <v>1</v>
      </c>
      <c r="F1268" s="17">
        <v>75</v>
      </c>
      <c r="H1268" s="360">
        <v>1</v>
      </c>
      <c r="I1268" s="360">
        <v>0.91006294520686526</v>
      </c>
      <c r="K1268" s="363"/>
      <c r="N1268" s="10"/>
      <c r="O1268" s="4"/>
      <c r="P1268" s="4"/>
      <c r="Q1268" s="3"/>
      <c r="R1268" s="3"/>
      <c r="S1268" s="3"/>
      <c r="T1268" s="3"/>
    </row>
    <row r="1269" spans="1:20">
      <c r="A1269" s="3">
        <v>3</v>
      </c>
      <c r="B1269" s="3">
        <v>1</v>
      </c>
      <c r="C1269" s="2">
        <v>25</v>
      </c>
      <c r="D1269" s="2">
        <v>5</v>
      </c>
      <c r="E1269" s="2">
        <v>1</v>
      </c>
      <c r="F1269" s="17">
        <v>75</v>
      </c>
      <c r="H1269" s="360">
        <v>1</v>
      </c>
      <c r="I1269" s="360">
        <v>0.88401714288637501</v>
      </c>
      <c r="K1269" s="363"/>
      <c r="N1269" s="10"/>
      <c r="O1269" s="4"/>
      <c r="P1269" s="4"/>
      <c r="Q1269" s="3"/>
      <c r="R1269" s="3"/>
      <c r="S1269" s="3"/>
      <c r="T1269" s="3"/>
    </row>
    <row r="1270" spans="1:20">
      <c r="A1270" s="3">
        <v>3</v>
      </c>
      <c r="B1270" s="3">
        <v>1</v>
      </c>
      <c r="C1270" s="2">
        <v>25</v>
      </c>
      <c r="D1270" s="2">
        <v>5</v>
      </c>
      <c r="E1270" s="2">
        <v>16</v>
      </c>
      <c r="F1270" s="17">
        <v>75</v>
      </c>
      <c r="H1270" s="361">
        <v>1</v>
      </c>
      <c r="I1270" s="361">
        <v>0.87052984944570566</v>
      </c>
      <c r="K1270" s="363"/>
      <c r="N1270" s="10"/>
      <c r="O1270" s="4"/>
      <c r="P1270" s="4"/>
      <c r="Q1270" s="3"/>
      <c r="R1270" s="3"/>
      <c r="S1270" s="3"/>
      <c r="T1270" s="3"/>
    </row>
    <row r="1271" spans="1:20">
      <c r="A1271" s="3">
        <v>1</v>
      </c>
      <c r="B1271" s="3">
        <v>1</v>
      </c>
      <c r="C1271" s="2">
        <v>25</v>
      </c>
      <c r="D1271" s="2">
        <v>30</v>
      </c>
      <c r="E1271" s="2">
        <v>16</v>
      </c>
      <c r="F1271" s="17">
        <v>75</v>
      </c>
      <c r="H1271" s="360">
        <v>1</v>
      </c>
      <c r="I1271" s="360">
        <v>0.83642985030315498</v>
      </c>
      <c r="K1271" s="363"/>
      <c r="N1271" s="10"/>
      <c r="O1271" s="4"/>
      <c r="P1271" s="4"/>
      <c r="Q1271" s="3"/>
      <c r="R1271" s="3"/>
      <c r="S1271" s="3"/>
      <c r="T1271" s="3"/>
    </row>
    <row r="1272" spans="1:20">
      <c r="A1272" s="3">
        <v>3</v>
      </c>
      <c r="B1272" s="3">
        <v>2</v>
      </c>
      <c r="C1272" s="2">
        <v>25</v>
      </c>
      <c r="D1272" s="2">
        <v>5</v>
      </c>
      <c r="E1272" s="2">
        <v>1</v>
      </c>
      <c r="F1272" s="17">
        <v>75</v>
      </c>
      <c r="H1272" s="361">
        <v>1</v>
      </c>
      <c r="I1272" s="361">
        <v>0.73413165739767727</v>
      </c>
      <c r="K1272" s="363"/>
      <c r="N1272" s="10"/>
      <c r="O1272" s="4"/>
      <c r="P1272" s="4"/>
      <c r="Q1272" s="3"/>
      <c r="R1272" s="3"/>
      <c r="S1272" s="3"/>
      <c r="T1272" s="3"/>
    </row>
    <row r="1273" spans="1:20">
      <c r="A1273" s="3">
        <v>1</v>
      </c>
      <c r="B1273" s="3">
        <v>2</v>
      </c>
      <c r="C1273" s="2">
        <v>25</v>
      </c>
      <c r="D1273" s="2">
        <v>30</v>
      </c>
      <c r="E1273" s="2">
        <v>16</v>
      </c>
      <c r="F1273" s="17">
        <v>75</v>
      </c>
      <c r="H1273" s="360">
        <v>1</v>
      </c>
      <c r="I1273" s="360">
        <v>0.7259095510383754</v>
      </c>
      <c r="K1273" s="363"/>
      <c r="N1273" s="10"/>
      <c r="O1273" s="4"/>
      <c r="P1273" s="4"/>
      <c r="Q1273" s="3"/>
      <c r="R1273" s="3"/>
      <c r="S1273" s="3"/>
      <c r="T1273" s="3"/>
    </row>
    <row r="1274" spans="1:20">
      <c r="A1274" s="3">
        <v>3</v>
      </c>
      <c r="B1274" s="3">
        <v>2</v>
      </c>
      <c r="C1274" s="2">
        <v>25</v>
      </c>
      <c r="D1274" s="2">
        <v>5</v>
      </c>
      <c r="E1274" s="2">
        <v>16</v>
      </c>
      <c r="F1274" s="17">
        <v>75</v>
      </c>
      <c r="H1274" s="360">
        <v>1</v>
      </c>
      <c r="I1274" s="360">
        <v>0.71155732280317741</v>
      </c>
      <c r="K1274" s="363"/>
      <c r="N1274" s="10"/>
      <c r="O1274" s="4"/>
      <c r="P1274" s="4"/>
      <c r="Q1274" s="3"/>
      <c r="R1274" s="3"/>
      <c r="S1274" s="3"/>
      <c r="T1274" s="3"/>
    </row>
    <row r="1275" spans="1:20">
      <c r="A1275" s="3">
        <v>5</v>
      </c>
      <c r="B1275" s="3">
        <v>2</v>
      </c>
      <c r="C1275" s="2">
        <v>50</v>
      </c>
      <c r="D1275" s="2">
        <v>5</v>
      </c>
      <c r="E1275" s="2">
        <v>16</v>
      </c>
      <c r="F1275" s="17">
        <v>75</v>
      </c>
      <c r="H1275" s="360">
        <v>1</v>
      </c>
      <c r="I1275" s="359">
        <v>0.19576852679448817</v>
      </c>
      <c r="K1275" s="363"/>
      <c r="N1275" s="10"/>
      <c r="O1275" s="4"/>
      <c r="P1275" s="4"/>
      <c r="Q1275" s="3"/>
      <c r="R1275" s="3"/>
      <c r="S1275" s="3"/>
      <c r="T1275" s="3"/>
    </row>
    <row r="1276" spans="1:20">
      <c r="A1276" s="3">
        <v>4</v>
      </c>
      <c r="B1276" s="3">
        <v>2</v>
      </c>
      <c r="C1276" s="2">
        <v>50</v>
      </c>
      <c r="D1276" s="2">
        <v>5</v>
      </c>
      <c r="E1276" s="2">
        <v>16</v>
      </c>
      <c r="F1276" s="17">
        <v>75</v>
      </c>
      <c r="H1276" s="360">
        <v>1</v>
      </c>
      <c r="I1276" s="359">
        <v>-0.75294479612029841</v>
      </c>
      <c r="K1276" s="363"/>
      <c r="N1276" s="10"/>
      <c r="O1276" s="4"/>
      <c r="P1276" s="4"/>
      <c r="Q1276" s="3"/>
      <c r="R1276" s="3"/>
      <c r="S1276" s="3"/>
      <c r="T1276" s="3"/>
    </row>
    <row r="1277" spans="1:20">
      <c r="A1277" s="3">
        <v>2</v>
      </c>
      <c r="B1277" s="3">
        <v>2</v>
      </c>
      <c r="C1277" s="2">
        <v>25</v>
      </c>
      <c r="D1277" s="2">
        <v>5</v>
      </c>
      <c r="E1277" s="2">
        <v>16</v>
      </c>
      <c r="F1277" s="17">
        <v>76</v>
      </c>
      <c r="H1277" s="361">
        <v>1</v>
      </c>
      <c r="I1277" s="361">
        <v>0.42172087433556549</v>
      </c>
      <c r="K1277" s="363"/>
      <c r="N1277" s="10"/>
      <c r="O1277" s="4"/>
      <c r="P1277" s="4"/>
      <c r="Q1277" s="3"/>
      <c r="R1277" s="3"/>
      <c r="S1277" s="3"/>
      <c r="T1277" s="3"/>
    </row>
    <row r="1278" spans="1:20">
      <c r="A1278" s="3">
        <v>4</v>
      </c>
      <c r="B1278" s="3">
        <v>2</v>
      </c>
      <c r="C1278" s="2">
        <v>50</v>
      </c>
      <c r="D1278" s="2">
        <v>5</v>
      </c>
      <c r="E1278" s="2">
        <v>16</v>
      </c>
      <c r="F1278" s="17">
        <v>76</v>
      </c>
      <c r="H1278" s="360">
        <v>1</v>
      </c>
      <c r="I1278" s="359">
        <v>0.41142991790315797</v>
      </c>
      <c r="K1278" s="363"/>
      <c r="N1278" s="10"/>
      <c r="O1278" s="4"/>
      <c r="P1278" s="4"/>
      <c r="Q1278" s="3"/>
      <c r="R1278" s="3"/>
      <c r="S1278" s="3"/>
      <c r="T1278" s="3"/>
    </row>
    <row r="1279" spans="1:20">
      <c r="A1279" s="3">
        <v>2</v>
      </c>
      <c r="B1279" s="3">
        <v>2</v>
      </c>
      <c r="C1279" s="2">
        <v>25</v>
      </c>
      <c r="D1279" s="2">
        <v>5</v>
      </c>
      <c r="E1279" s="2">
        <v>1</v>
      </c>
      <c r="F1279" s="17">
        <v>76</v>
      </c>
      <c r="H1279" s="361">
        <v>1</v>
      </c>
      <c r="I1279" s="361">
        <v>0.38569341343026114</v>
      </c>
      <c r="K1279" s="363"/>
      <c r="N1279" s="10"/>
      <c r="O1279" s="4"/>
      <c r="P1279" s="4"/>
      <c r="Q1279" s="3"/>
      <c r="R1279" s="3"/>
      <c r="S1279" s="3"/>
      <c r="T1279" s="3"/>
    </row>
    <row r="1280" spans="1:20">
      <c r="A1280" s="3">
        <v>1</v>
      </c>
      <c r="B1280" s="3">
        <v>2</v>
      </c>
      <c r="C1280" s="2">
        <v>25</v>
      </c>
      <c r="D1280" s="2">
        <v>5</v>
      </c>
      <c r="E1280" s="2">
        <v>1</v>
      </c>
      <c r="F1280" s="17">
        <v>76</v>
      </c>
      <c r="H1280" s="360">
        <v>1</v>
      </c>
      <c r="I1280" s="360">
        <v>0.21082069129170297</v>
      </c>
      <c r="K1280" s="363"/>
      <c r="N1280" s="10"/>
      <c r="O1280" s="4"/>
      <c r="P1280" s="4"/>
      <c r="Q1280" s="3"/>
      <c r="R1280" s="3"/>
      <c r="S1280" s="3"/>
      <c r="T1280" s="3"/>
    </row>
    <row r="1281" spans="1:20">
      <c r="A1281" s="3">
        <v>1</v>
      </c>
      <c r="B1281" s="3">
        <v>2</v>
      </c>
      <c r="C1281" s="2">
        <v>25</v>
      </c>
      <c r="D1281" s="2">
        <v>5</v>
      </c>
      <c r="E1281" s="2">
        <v>16</v>
      </c>
      <c r="F1281" s="17">
        <v>76</v>
      </c>
      <c r="H1281" s="360">
        <v>1</v>
      </c>
      <c r="I1281" s="360">
        <v>0.18043071802700797</v>
      </c>
      <c r="K1281" s="363"/>
      <c r="N1281" s="10"/>
      <c r="O1281" s="4"/>
      <c r="P1281" s="4"/>
      <c r="Q1281" s="3"/>
      <c r="R1281" s="3"/>
      <c r="S1281" s="3"/>
      <c r="T1281" s="3"/>
    </row>
    <row r="1282" spans="1:20">
      <c r="A1282" s="3">
        <v>3</v>
      </c>
      <c r="B1282" s="3">
        <v>2</v>
      </c>
      <c r="C1282" s="2">
        <v>25</v>
      </c>
      <c r="D1282" s="2">
        <v>5</v>
      </c>
      <c r="E1282" s="2">
        <v>16</v>
      </c>
      <c r="F1282" s="17">
        <v>76</v>
      </c>
      <c r="H1282" s="360">
        <v>1</v>
      </c>
      <c r="I1282" s="360">
        <v>0.17908804417792759</v>
      </c>
      <c r="K1282" s="363"/>
      <c r="N1282" s="10"/>
      <c r="O1282" s="4"/>
      <c r="P1282" s="4"/>
      <c r="Q1282" s="3"/>
      <c r="R1282" s="3"/>
      <c r="S1282" s="3"/>
      <c r="T1282" s="3"/>
    </row>
    <row r="1283" spans="1:20">
      <c r="A1283" s="3">
        <v>3</v>
      </c>
      <c r="B1283" s="3">
        <v>2</v>
      </c>
      <c r="C1283" s="2">
        <v>25</v>
      </c>
      <c r="D1283" s="2">
        <v>5</v>
      </c>
      <c r="E1283" s="2">
        <v>1</v>
      </c>
      <c r="F1283" s="17">
        <v>76</v>
      </c>
      <c r="H1283" s="361">
        <v>1</v>
      </c>
      <c r="I1283" s="361">
        <v>0.16843595508142595</v>
      </c>
      <c r="K1283" s="363"/>
      <c r="N1283" s="10"/>
      <c r="O1283" s="4"/>
      <c r="P1283" s="4"/>
      <c r="Q1283" s="3"/>
      <c r="R1283" s="3"/>
      <c r="S1283" s="3"/>
      <c r="T1283" s="3"/>
    </row>
    <row r="1284" spans="1:20">
      <c r="A1284" s="3">
        <v>1</v>
      </c>
      <c r="B1284" s="3">
        <v>2</v>
      </c>
      <c r="C1284" s="2">
        <v>25</v>
      </c>
      <c r="D1284" s="2">
        <v>5</v>
      </c>
      <c r="E1284" s="2">
        <v>16</v>
      </c>
      <c r="F1284" s="17">
        <v>76</v>
      </c>
      <c r="H1284" s="361">
        <v>1</v>
      </c>
      <c r="I1284" s="361">
        <v>7.8788236632682043E-2</v>
      </c>
      <c r="K1284" s="363"/>
      <c r="N1284" s="10"/>
      <c r="O1284" s="4"/>
      <c r="P1284" s="4"/>
      <c r="Q1284" s="3"/>
      <c r="R1284" s="3"/>
      <c r="S1284" s="3"/>
      <c r="T1284" s="3"/>
    </row>
    <row r="1285" spans="1:20">
      <c r="A1285" s="3">
        <v>2</v>
      </c>
      <c r="B1285" s="3">
        <v>1</v>
      </c>
      <c r="C1285" s="2">
        <v>25</v>
      </c>
      <c r="D1285" s="2">
        <v>5</v>
      </c>
      <c r="E1285" s="2">
        <v>16</v>
      </c>
      <c r="F1285" s="17">
        <v>76</v>
      </c>
      <c r="H1285" s="361">
        <v>1</v>
      </c>
      <c r="I1285" s="361">
        <v>1.5340403140937381E-2</v>
      </c>
      <c r="K1285" s="363"/>
      <c r="N1285" s="10"/>
      <c r="O1285" s="4"/>
      <c r="P1285" s="4"/>
      <c r="Q1285" s="3"/>
      <c r="R1285" s="3"/>
      <c r="S1285" s="3"/>
      <c r="T1285" s="3"/>
    </row>
    <row r="1286" spans="1:20">
      <c r="A1286" s="3">
        <v>1</v>
      </c>
      <c r="B1286" s="3">
        <v>2</v>
      </c>
      <c r="C1286" s="2">
        <v>25</v>
      </c>
      <c r="D1286" s="2">
        <v>30</v>
      </c>
      <c r="E1286" s="2">
        <v>16</v>
      </c>
      <c r="F1286" s="17">
        <v>76</v>
      </c>
      <c r="H1286" s="360">
        <v>1</v>
      </c>
      <c r="I1286" s="360">
        <v>-1.4872049147664542E-2</v>
      </c>
      <c r="K1286" s="363"/>
      <c r="N1286" s="10"/>
      <c r="O1286" s="4"/>
      <c r="P1286" s="4"/>
      <c r="Q1286" s="3"/>
      <c r="R1286" s="3"/>
      <c r="S1286" s="3"/>
      <c r="T1286" s="3"/>
    </row>
    <row r="1287" spans="1:20">
      <c r="A1287" s="3">
        <v>2</v>
      </c>
      <c r="B1287" s="3">
        <v>1</v>
      </c>
      <c r="C1287" s="2">
        <v>25</v>
      </c>
      <c r="D1287" s="2">
        <v>5</v>
      </c>
      <c r="E1287" s="2">
        <v>1</v>
      </c>
      <c r="F1287" s="17">
        <v>76</v>
      </c>
      <c r="H1287" s="360">
        <v>1</v>
      </c>
      <c r="I1287" s="360">
        <v>-2.1645666958135728E-2</v>
      </c>
      <c r="K1287" s="363"/>
      <c r="N1287" s="10"/>
      <c r="O1287" s="4"/>
      <c r="P1287" s="4"/>
      <c r="Q1287" s="3"/>
      <c r="R1287" s="3"/>
      <c r="S1287" s="3"/>
      <c r="T1287" s="3"/>
    </row>
    <row r="1288" spans="1:20">
      <c r="A1288" s="3">
        <v>1</v>
      </c>
      <c r="B1288" s="3">
        <v>1</v>
      </c>
      <c r="C1288" s="2">
        <v>25</v>
      </c>
      <c r="D1288" s="2">
        <v>30</v>
      </c>
      <c r="E1288" s="2">
        <v>16</v>
      </c>
      <c r="F1288" s="17">
        <v>76</v>
      </c>
      <c r="H1288" s="360">
        <v>1</v>
      </c>
      <c r="I1288" s="360">
        <v>-0.14837030458913292</v>
      </c>
      <c r="K1288" s="363"/>
      <c r="N1288" s="10"/>
      <c r="O1288" s="4"/>
      <c r="P1288" s="4"/>
      <c r="Q1288" s="3"/>
      <c r="R1288" s="3"/>
      <c r="S1288" s="3"/>
      <c r="T1288" s="3"/>
    </row>
    <row r="1289" spans="1:20">
      <c r="A1289" s="3">
        <v>1</v>
      </c>
      <c r="B1289" s="3">
        <v>1</v>
      </c>
      <c r="C1289" s="2">
        <v>25</v>
      </c>
      <c r="D1289" s="2">
        <v>5</v>
      </c>
      <c r="E1289" s="2">
        <v>1</v>
      </c>
      <c r="F1289" s="17">
        <v>76</v>
      </c>
      <c r="H1289" s="360">
        <v>1</v>
      </c>
      <c r="I1289" s="360">
        <v>-0.21483394634138028</v>
      </c>
      <c r="K1289" s="363"/>
      <c r="N1289" s="10"/>
      <c r="O1289" s="4"/>
      <c r="P1289" s="4"/>
      <c r="Q1289" s="3"/>
      <c r="R1289" s="3"/>
      <c r="S1289" s="3"/>
      <c r="T1289" s="3"/>
    </row>
    <row r="1290" spans="1:20">
      <c r="A1290" s="3">
        <v>1</v>
      </c>
      <c r="B1290" s="3">
        <v>1</v>
      </c>
      <c r="C1290" s="2">
        <v>25</v>
      </c>
      <c r="D1290" s="2">
        <v>5</v>
      </c>
      <c r="E1290" s="2">
        <v>16</v>
      </c>
      <c r="F1290" s="17">
        <v>76</v>
      </c>
      <c r="H1290" s="360">
        <v>1</v>
      </c>
      <c r="I1290" s="360">
        <v>-0.24037872306388253</v>
      </c>
      <c r="K1290" s="363"/>
      <c r="N1290" s="10"/>
      <c r="O1290" s="4"/>
      <c r="P1290" s="4"/>
      <c r="Q1290" s="3"/>
      <c r="R1290" s="3"/>
      <c r="S1290" s="3"/>
      <c r="T1290" s="3"/>
    </row>
    <row r="1291" spans="1:20">
      <c r="A1291" s="3">
        <v>3</v>
      </c>
      <c r="B1291" s="3">
        <v>1</v>
      </c>
      <c r="C1291" s="2">
        <v>25</v>
      </c>
      <c r="D1291" s="2">
        <v>5</v>
      </c>
      <c r="E1291" s="2">
        <v>1</v>
      </c>
      <c r="F1291" s="17">
        <v>76</v>
      </c>
      <c r="H1291" s="360">
        <v>1</v>
      </c>
      <c r="I1291" s="360">
        <v>-0.24914368161535161</v>
      </c>
      <c r="K1291" s="363"/>
      <c r="N1291" s="10"/>
      <c r="O1291" s="4"/>
      <c r="P1291" s="4"/>
      <c r="Q1291" s="3"/>
      <c r="R1291" s="3"/>
      <c r="S1291" s="3"/>
      <c r="T1291" s="3"/>
    </row>
    <row r="1292" spans="1:20">
      <c r="A1292" s="3">
        <v>3</v>
      </c>
      <c r="B1292" s="3">
        <v>1</v>
      </c>
      <c r="C1292" s="2">
        <v>25</v>
      </c>
      <c r="D1292" s="2">
        <v>5</v>
      </c>
      <c r="E1292" s="2">
        <v>16</v>
      </c>
      <c r="F1292" s="17">
        <v>76</v>
      </c>
      <c r="H1292" s="361">
        <v>1</v>
      </c>
      <c r="I1292" s="361">
        <v>-0.29777219433753321</v>
      </c>
      <c r="K1292" s="363"/>
      <c r="N1292" s="10"/>
      <c r="O1292" s="4"/>
      <c r="P1292" s="4"/>
      <c r="Q1292" s="3"/>
      <c r="R1292" s="3"/>
      <c r="S1292" s="3"/>
      <c r="T1292" s="3"/>
    </row>
    <row r="1293" spans="1:20">
      <c r="A1293" s="3">
        <v>5</v>
      </c>
      <c r="B1293" s="3">
        <v>2</v>
      </c>
      <c r="C1293" s="2">
        <v>50</v>
      </c>
      <c r="D1293" s="2">
        <v>5</v>
      </c>
      <c r="E1293" s="2">
        <v>16</v>
      </c>
      <c r="F1293" s="17">
        <v>76</v>
      </c>
      <c r="H1293" s="360">
        <v>1</v>
      </c>
      <c r="I1293" s="359">
        <v>-0.53517382690110349</v>
      </c>
      <c r="K1293" s="363"/>
      <c r="N1293" s="10"/>
      <c r="O1293" s="4"/>
      <c r="P1293" s="4"/>
      <c r="Q1293" s="3"/>
      <c r="R1293" s="3"/>
      <c r="S1293" s="3"/>
      <c r="T1293" s="3"/>
    </row>
    <row r="1294" spans="1:20">
      <c r="A1294" s="3">
        <v>4</v>
      </c>
      <c r="B1294" s="3">
        <v>2</v>
      </c>
      <c r="C1294" s="2">
        <v>50</v>
      </c>
      <c r="D1294" s="2">
        <v>5</v>
      </c>
      <c r="E1294" s="2">
        <v>16</v>
      </c>
      <c r="F1294" s="17">
        <v>77</v>
      </c>
      <c r="H1294" s="360">
        <v>0.7867931996001869</v>
      </c>
      <c r="I1294" s="359">
        <v>0.49293826255254197</v>
      </c>
      <c r="K1294" s="363"/>
      <c r="N1294" s="10"/>
      <c r="O1294" s="4"/>
      <c r="P1294" s="4"/>
      <c r="Q1294" s="3"/>
      <c r="R1294" s="3"/>
      <c r="S1294" s="3"/>
      <c r="T1294" s="3"/>
    </row>
    <row r="1295" spans="1:20">
      <c r="A1295" s="3">
        <v>5</v>
      </c>
      <c r="B1295" s="3">
        <v>2</v>
      </c>
      <c r="C1295" s="2">
        <v>50</v>
      </c>
      <c r="D1295" s="2">
        <v>5</v>
      </c>
      <c r="E1295" s="2">
        <v>16</v>
      </c>
      <c r="F1295" s="17">
        <v>77</v>
      </c>
      <c r="H1295" s="360">
        <v>1</v>
      </c>
      <c r="I1295" s="359">
        <v>-0.22091644153263792</v>
      </c>
      <c r="K1295" s="363"/>
      <c r="N1295" s="10"/>
      <c r="O1295" s="4"/>
      <c r="P1295" s="4"/>
      <c r="Q1295" s="3"/>
      <c r="R1295" s="3"/>
      <c r="S1295" s="3"/>
      <c r="T1295" s="3"/>
    </row>
    <row r="1296" spans="1:20">
      <c r="A1296" s="3">
        <v>2</v>
      </c>
      <c r="B1296" s="3">
        <v>1</v>
      </c>
      <c r="C1296" s="2">
        <v>25</v>
      </c>
      <c r="D1296" s="2">
        <v>5</v>
      </c>
      <c r="E1296" s="2">
        <v>16</v>
      </c>
      <c r="F1296" s="17">
        <v>77</v>
      </c>
      <c r="H1296" s="361">
        <v>1</v>
      </c>
      <c r="I1296" s="361">
        <v>-0.46917287818227649</v>
      </c>
      <c r="K1296" s="363"/>
      <c r="N1296" s="10"/>
      <c r="O1296" s="4"/>
      <c r="P1296" s="4"/>
      <c r="Q1296" s="3"/>
      <c r="R1296" s="3"/>
      <c r="S1296" s="3"/>
      <c r="T1296" s="3"/>
    </row>
    <row r="1297" spans="1:20">
      <c r="A1297" s="3">
        <v>2</v>
      </c>
      <c r="B1297" s="3">
        <v>1</v>
      </c>
      <c r="C1297" s="2">
        <v>25</v>
      </c>
      <c r="D1297" s="2">
        <v>5</v>
      </c>
      <c r="E1297" s="2">
        <v>1</v>
      </c>
      <c r="F1297" s="17">
        <v>77</v>
      </c>
      <c r="H1297" s="360">
        <v>1</v>
      </c>
      <c r="I1297" s="360">
        <v>-0.48230207317114626</v>
      </c>
      <c r="K1297" s="363"/>
      <c r="N1297" s="10"/>
      <c r="O1297" s="4"/>
      <c r="P1297" s="4"/>
      <c r="Q1297" s="3"/>
      <c r="R1297" s="3"/>
      <c r="S1297" s="3"/>
      <c r="T1297" s="3"/>
    </row>
    <row r="1298" spans="1:20">
      <c r="A1298" s="3">
        <v>2</v>
      </c>
      <c r="B1298" s="3">
        <v>2</v>
      </c>
      <c r="C1298" s="2">
        <v>25</v>
      </c>
      <c r="D1298" s="2">
        <v>5</v>
      </c>
      <c r="E1298" s="2">
        <v>1</v>
      </c>
      <c r="F1298" s="17">
        <v>77</v>
      </c>
      <c r="H1298" s="361">
        <v>1</v>
      </c>
      <c r="I1298" s="361">
        <v>-0.56835664735914293</v>
      </c>
      <c r="K1298" s="363"/>
      <c r="N1298" s="10"/>
      <c r="O1298" s="4"/>
      <c r="P1298" s="4"/>
      <c r="Q1298" s="3"/>
      <c r="R1298" s="3"/>
      <c r="S1298" s="3"/>
      <c r="T1298" s="3"/>
    </row>
    <row r="1299" spans="1:20">
      <c r="A1299" s="3">
        <v>2</v>
      </c>
      <c r="B1299" s="3">
        <v>2</v>
      </c>
      <c r="C1299" s="2">
        <v>25</v>
      </c>
      <c r="D1299" s="2">
        <v>5</v>
      </c>
      <c r="E1299" s="2">
        <v>16</v>
      </c>
      <c r="F1299" s="17">
        <v>77</v>
      </c>
      <c r="H1299" s="361">
        <v>1</v>
      </c>
      <c r="I1299" s="361">
        <v>-0.59589443324259361</v>
      </c>
      <c r="K1299" s="363"/>
      <c r="N1299" s="10"/>
      <c r="O1299" s="4"/>
      <c r="P1299" s="4"/>
      <c r="Q1299" s="3"/>
      <c r="R1299" s="3"/>
      <c r="S1299" s="3"/>
      <c r="T1299" s="3"/>
    </row>
    <row r="1300" spans="1:20">
      <c r="A1300" s="3">
        <v>3</v>
      </c>
      <c r="B1300" s="3">
        <v>1</v>
      </c>
      <c r="C1300" s="2">
        <v>25</v>
      </c>
      <c r="D1300" s="2">
        <v>5</v>
      </c>
      <c r="E1300" s="2">
        <v>16</v>
      </c>
      <c r="F1300" s="17">
        <v>77</v>
      </c>
      <c r="H1300" s="361">
        <v>1</v>
      </c>
      <c r="I1300" s="361">
        <v>-0.671880373175055</v>
      </c>
      <c r="K1300" s="363"/>
      <c r="N1300" s="10"/>
      <c r="O1300" s="4"/>
      <c r="P1300" s="4"/>
      <c r="Q1300" s="3"/>
      <c r="R1300" s="3"/>
      <c r="S1300" s="3"/>
      <c r="T1300" s="3"/>
    </row>
    <row r="1301" spans="1:20">
      <c r="A1301" s="3">
        <v>1</v>
      </c>
      <c r="B1301" s="3">
        <v>2</v>
      </c>
      <c r="C1301" s="2">
        <v>25</v>
      </c>
      <c r="D1301" s="2">
        <v>30</v>
      </c>
      <c r="E1301" s="2">
        <v>16</v>
      </c>
      <c r="F1301" s="17">
        <v>77</v>
      </c>
      <c r="H1301" s="360">
        <v>1</v>
      </c>
      <c r="I1301" s="360">
        <v>-0.69954103404291779</v>
      </c>
      <c r="K1301" s="363"/>
      <c r="N1301" s="10"/>
      <c r="O1301" s="4"/>
      <c r="P1301" s="4"/>
      <c r="Q1301" s="3"/>
      <c r="R1301" s="3"/>
      <c r="S1301" s="3"/>
      <c r="T1301" s="3"/>
    </row>
    <row r="1302" spans="1:20">
      <c r="A1302" s="3">
        <v>1</v>
      </c>
      <c r="B1302" s="3">
        <v>1</v>
      </c>
      <c r="C1302" s="2">
        <v>25</v>
      </c>
      <c r="D1302" s="2">
        <v>30</v>
      </c>
      <c r="E1302" s="2">
        <v>16</v>
      </c>
      <c r="F1302" s="17">
        <v>77</v>
      </c>
      <c r="H1302" s="360">
        <v>1</v>
      </c>
      <c r="I1302" s="360">
        <v>-0.70751507775631683</v>
      </c>
      <c r="K1302" s="363"/>
      <c r="N1302" s="10"/>
      <c r="O1302" s="4"/>
      <c r="P1302" s="4"/>
      <c r="Q1302" s="3"/>
      <c r="R1302" s="3"/>
      <c r="S1302" s="3"/>
      <c r="T1302" s="3"/>
    </row>
    <row r="1303" spans="1:20">
      <c r="A1303" s="3">
        <v>1</v>
      </c>
      <c r="B1303" s="3">
        <v>1</v>
      </c>
      <c r="C1303" s="2">
        <v>25</v>
      </c>
      <c r="D1303" s="2">
        <v>5</v>
      </c>
      <c r="E1303" s="2">
        <v>16</v>
      </c>
      <c r="F1303" s="17">
        <v>77</v>
      </c>
      <c r="H1303" s="360">
        <v>1</v>
      </c>
      <c r="I1303" s="360">
        <v>-0.71223283021265849</v>
      </c>
      <c r="K1303" s="363"/>
      <c r="N1303" s="10"/>
      <c r="O1303" s="4"/>
      <c r="P1303" s="4"/>
      <c r="Q1303" s="3"/>
      <c r="R1303" s="3"/>
      <c r="S1303" s="3"/>
      <c r="T1303" s="3"/>
    </row>
    <row r="1304" spans="1:20">
      <c r="A1304" s="3">
        <v>3</v>
      </c>
      <c r="B1304" s="3">
        <v>1</v>
      </c>
      <c r="C1304" s="2">
        <v>25</v>
      </c>
      <c r="D1304" s="2">
        <v>5</v>
      </c>
      <c r="E1304" s="2">
        <v>1</v>
      </c>
      <c r="F1304" s="17">
        <v>77</v>
      </c>
      <c r="H1304" s="360">
        <v>1</v>
      </c>
      <c r="I1304" s="360">
        <v>-0.71334231502968959</v>
      </c>
      <c r="K1304" s="363"/>
      <c r="N1304" s="10"/>
      <c r="O1304" s="4"/>
      <c r="P1304" s="4"/>
      <c r="Q1304" s="3"/>
      <c r="R1304" s="3"/>
      <c r="S1304" s="3"/>
      <c r="T1304" s="3"/>
    </row>
    <row r="1305" spans="1:20">
      <c r="A1305" s="3">
        <v>1</v>
      </c>
      <c r="B1305" s="3">
        <v>1</v>
      </c>
      <c r="C1305" s="2">
        <v>25</v>
      </c>
      <c r="D1305" s="2">
        <v>5</v>
      </c>
      <c r="E1305" s="2">
        <v>1</v>
      </c>
      <c r="F1305" s="17">
        <v>77</v>
      </c>
      <c r="H1305" s="360">
        <v>1</v>
      </c>
      <c r="I1305" s="360">
        <v>-0.72273830188893018</v>
      </c>
      <c r="K1305" s="363"/>
      <c r="N1305" s="10"/>
      <c r="O1305" s="4"/>
      <c r="P1305" s="4"/>
      <c r="Q1305" s="3"/>
      <c r="R1305" s="3"/>
      <c r="S1305" s="3"/>
      <c r="T1305" s="3"/>
    </row>
    <row r="1306" spans="1:20">
      <c r="A1306" s="3">
        <v>1</v>
      </c>
      <c r="B1306" s="3">
        <v>2</v>
      </c>
      <c r="C1306" s="2">
        <v>25</v>
      </c>
      <c r="D1306" s="2">
        <v>5</v>
      </c>
      <c r="E1306" s="2">
        <v>1</v>
      </c>
      <c r="F1306" s="17">
        <v>77</v>
      </c>
      <c r="H1306" s="360">
        <v>1</v>
      </c>
      <c r="I1306" s="360">
        <v>-0.74172144002691764</v>
      </c>
      <c r="K1306" s="363"/>
      <c r="N1306" s="10"/>
      <c r="O1306" s="4"/>
      <c r="P1306" s="4"/>
      <c r="Q1306" s="3"/>
      <c r="R1306" s="3"/>
      <c r="S1306" s="3"/>
      <c r="T1306" s="3"/>
    </row>
    <row r="1307" spans="1:20">
      <c r="A1307" s="3">
        <v>1</v>
      </c>
      <c r="B1307" s="3">
        <v>2</v>
      </c>
      <c r="C1307" s="2">
        <v>25</v>
      </c>
      <c r="D1307" s="2">
        <v>5</v>
      </c>
      <c r="E1307" s="2">
        <v>16</v>
      </c>
      <c r="F1307" s="17">
        <v>77</v>
      </c>
      <c r="H1307" s="360">
        <v>1</v>
      </c>
      <c r="I1307" s="360">
        <v>-0.7421121140965462</v>
      </c>
      <c r="K1307" s="363"/>
      <c r="N1307" s="10"/>
      <c r="O1307" s="4"/>
      <c r="P1307" s="4"/>
      <c r="Q1307" s="3"/>
      <c r="R1307" s="3"/>
      <c r="S1307" s="3"/>
      <c r="T1307" s="3"/>
    </row>
    <row r="1308" spans="1:20">
      <c r="A1308" s="3">
        <v>1</v>
      </c>
      <c r="B1308" s="3">
        <v>2</v>
      </c>
      <c r="C1308" s="2">
        <v>25</v>
      </c>
      <c r="D1308" s="2">
        <v>5</v>
      </c>
      <c r="E1308" s="2">
        <v>16</v>
      </c>
      <c r="F1308" s="17">
        <v>77</v>
      </c>
      <c r="H1308" s="361">
        <v>1</v>
      </c>
      <c r="I1308" s="361">
        <v>-0.74970220606598803</v>
      </c>
      <c r="K1308" s="363"/>
      <c r="N1308" s="10"/>
      <c r="O1308" s="4"/>
      <c r="P1308" s="4"/>
      <c r="Q1308" s="3"/>
      <c r="R1308" s="3"/>
      <c r="S1308" s="3"/>
      <c r="T1308" s="3"/>
    </row>
    <row r="1309" spans="1:20">
      <c r="A1309" s="3">
        <v>3</v>
      </c>
      <c r="B1309" s="3">
        <v>2</v>
      </c>
      <c r="C1309" s="2">
        <v>25</v>
      </c>
      <c r="D1309" s="2">
        <v>5</v>
      </c>
      <c r="E1309" s="2">
        <v>16</v>
      </c>
      <c r="F1309" s="17">
        <v>77</v>
      </c>
      <c r="H1309" s="360">
        <v>1</v>
      </c>
      <c r="I1309" s="360">
        <v>-0.89200669709635039</v>
      </c>
      <c r="K1309" s="363"/>
      <c r="N1309" s="10"/>
      <c r="O1309" s="4"/>
      <c r="P1309" s="4"/>
      <c r="Q1309" s="3"/>
      <c r="R1309" s="3"/>
      <c r="S1309" s="3"/>
      <c r="T1309" s="3"/>
    </row>
    <row r="1310" spans="1:20">
      <c r="A1310" s="3">
        <v>3</v>
      </c>
      <c r="B1310" s="3">
        <v>2</v>
      </c>
      <c r="C1310" s="2">
        <v>25</v>
      </c>
      <c r="D1310" s="2">
        <v>5</v>
      </c>
      <c r="E1310" s="2">
        <v>1</v>
      </c>
      <c r="F1310" s="17">
        <v>77</v>
      </c>
      <c r="H1310" s="361">
        <v>1</v>
      </c>
      <c r="I1310" s="361">
        <v>-0.9042325026796133</v>
      </c>
      <c r="K1310" s="363"/>
      <c r="N1310" s="10"/>
      <c r="O1310" s="4"/>
      <c r="P1310" s="4"/>
      <c r="Q1310" s="3"/>
      <c r="R1310" s="3"/>
      <c r="S1310" s="3"/>
      <c r="T1310" s="3"/>
    </row>
    <row r="1311" spans="1:20">
      <c r="A1311" s="3">
        <v>5</v>
      </c>
      <c r="B1311" s="3">
        <v>2</v>
      </c>
      <c r="C1311" s="2">
        <v>50</v>
      </c>
      <c r="D1311" s="2">
        <v>5</v>
      </c>
      <c r="E1311" s="2">
        <v>16</v>
      </c>
      <c r="F1311" s="17">
        <v>78</v>
      </c>
      <c r="H1311" s="360">
        <v>1</v>
      </c>
      <c r="I1311" s="359">
        <v>0.18864003504943178</v>
      </c>
      <c r="K1311" s="363"/>
      <c r="N1311" s="10"/>
      <c r="O1311" s="4"/>
      <c r="P1311" s="4"/>
      <c r="Q1311" s="3"/>
      <c r="R1311" s="3"/>
      <c r="S1311" s="3"/>
      <c r="T1311" s="3"/>
    </row>
    <row r="1312" spans="1:20">
      <c r="A1312" s="3">
        <v>4</v>
      </c>
      <c r="B1312" s="3">
        <v>2</v>
      </c>
      <c r="C1312" s="2">
        <v>50</v>
      </c>
      <c r="D1312" s="2">
        <v>5</v>
      </c>
      <c r="E1312" s="2">
        <v>16</v>
      </c>
      <c r="F1312" s="17">
        <v>78</v>
      </c>
      <c r="H1312" s="360">
        <v>0.10214798016246497</v>
      </c>
      <c r="I1312" s="359">
        <v>9.5768155567824281E-2</v>
      </c>
      <c r="K1312" s="363"/>
      <c r="N1312" s="10"/>
      <c r="O1312" s="4"/>
      <c r="P1312" s="4"/>
      <c r="Q1312" s="3"/>
      <c r="R1312" s="3"/>
      <c r="S1312" s="3"/>
      <c r="T1312" s="3"/>
    </row>
    <row r="1313" spans="1:20">
      <c r="A1313" s="3">
        <v>1</v>
      </c>
      <c r="B1313" s="3">
        <v>1</v>
      </c>
      <c r="C1313" s="2">
        <v>25</v>
      </c>
      <c r="D1313" s="2">
        <v>30</v>
      </c>
      <c r="E1313" s="2">
        <v>16</v>
      </c>
      <c r="F1313" s="17">
        <v>78</v>
      </c>
      <c r="H1313" s="360">
        <v>1</v>
      </c>
      <c r="I1313" s="360">
        <v>-0.37289471246692002</v>
      </c>
      <c r="K1313" s="363"/>
      <c r="N1313" s="10"/>
      <c r="O1313" s="4"/>
      <c r="P1313" s="4"/>
      <c r="Q1313" s="3"/>
      <c r="R1313" s="3"/>
      <c r="S1313" s="3"/>
      <c r="T1313" s="3"/>
    </row>
    <row r="1314" spans="1:20">
      <c r="A1314" s="3">
        <v>1</v>
      </c>
      <c r="B1314" s="3">
        <v>2</v>
      </c>
      <c r="C1314" s="2">
        <v>25</v>
      </c>
      <c r="D1314" s="2">
        <v>30</v>
      </c>
      <c r="E1314" s="2">
        <v>16</v>
      </c>
      <c r="F1314" s="17">
        <v>78</v>
      </c>
      <c r="H1314" s="360">
        <v>1</v>
      </c>
      <c r="I1314" s="360">
        <v>-0.58526445440928865</v>
      </c>
      <c r="K1314" s="363"/>
      <c r="N1314" s="10"/>
      <c r="O1314" s="4"/>
      <c r="P1314" s="4"/>
      <c r="Q1314" s="3"/>
      <c r="R1314" s="3"/>
      <c r="S1314" s="3"/>
      <c r="T1314" s="3"/>
    </row>
    <row r="1315" spans="1:20">
      <c r="A1315" s="3">
        <v>3</v>
      </c>
      <c r="B1315" s="3">
        <v>1</v>
      </c>
      <c r="C1315" s="2">
        <v>25</v>
      </c>
      <c r="D1315" s="2">
        <v>5</v>
      </c>
      <c r="E1315" s="2">
        <v>1</v>
      </c>
      <c r="F1315" s="17">
        <v>78</v>
      </c>
      <c r="H1315" s="360">
        <v>1</v>
      </c>
      <c r="I1315" s="360">
        <v>-0.59959056083742113</v>
      </c>
      <c r="K1315" s="363"/>
      <c r="N1315" s="10"/>
      <c r="O1315" s="4"/>
      <c r="P1315" s="4"/>
      <c r="Q1315" s="3"/>
      <c r="R1315" s="3"/>
      <c r="S1315" s="3"/>
      <c r="T1315" s="3"/>
    </row>
    <row r="1316" spans="1:20">
      <c r="A1316" s="3">
        <v>3</v>
      </c>
      <c r="B1316" s="3">
        <v>1</v>
      </c>
      <c r="C1316" s="2">
        <v>25</v>
      </c>
      <c r="D1316" s="2">
        <v>5</v>
      </c>
      <c r="E1316" s="2">
        <v>16</v>
      </c>
      <c r="F1316" s="17">
        <v>78</v>
      </c>
      <c r="H1316" s="361">
        <v>1</v>
      </c>
      <c r="I1316" s="361">
        <v>-0.60133247114323818</v>
      </c>
      <c r="K1316" s="363"/>
      <c r="N1316" s="10"/>
      <c r="O1316" s="4"/>
      <c r="P1316" s="4"/>
      <c r="Q1316" s="3"/>
      <c r="R1316" s="3"/>
      <c r="S1316" s="3"/>
      <c r="T1316" s="3"/>
    </row>
    <row r="1317" spans="1:20">
      <c r="A1317" s="3">
        <v>1</v>
      </c>
      <c r="B1317" s="3">
        <v>1</v>
      </c>
      <c r="C1317" s="2">
        <v>25</v>
      </c>
      <c r="D1317" s="2">
        <v>5</v>
      </c>
      <c r="E1317" s="2">
        <v>1</v>
      </c>
      <c r="F1317" s="17">
        <v>78</v>
      </c>
      <c r="H1317" s="360">
        <v>1</v>
      </c>
      <c r="I1317" s="360">
        <v>-0.60433780115150382</v>
      </c>
      <c r="K1317" s="363"/>
      <c r="N1317" s="10"/>
      <c r="O1317" s="4"/>
      <c r="P1317" s="4"/>
      <c r="Q1317" s="3"/>
      <c r="R1317" s="3"/>
      <c r="S1317" s="3"/>
      <c r="T1317" s="3"/>
    </row>
    <row r="1318" spans="1:20">
      <c r="A1318" s="3">
        <v>1</v>
      </c>
      <c r="B1318" s="3">
        <v>1</v>
      </c>
      <c r="C1318" s="2">
        <v>25</v>
      </c>
      <c r="D1318" s="2">
        <v>5</v>
      </c>
      <c r="E1318" s="2">
        <v>16</v>
      </c>
      <c r="F1318" s="17">
        <v>78</v>
      </c>
      <c r="H1318" s="360">
        <v>1</v>
      </c>
      <c r="I1318" s="360">
        <v>-0.62999350566824874</v>
      </c>
      <c r="K1318" s="363"/>
      <c r="N1318" s="10"/>
      <c r="O1318" s="4"/>
      <c r="P1318" s="4"/>
      <c r="Q1318" s="3"/>
      <c r="R1318" s="3"/>
      <c r="S1318" s="3"/>
      <c r="T1318" s="3"/>
    </row>
    <row r="1319" spans="1:20">
      <c r="A1319" s="3">
        <v>1</v>
      </c>
      <c r="B1319" s="3">
        <v>2</v>
      </c>
      <c r="C1319" s="2">
        <v>25</v>
      </c>
      <c r="D1319" s="2">
        <v>5</v>
      </c>
      <c r="E1319" s="2">
        <v>1</v>
      </c>
      <c r="F1319" s="17">
        <v>78</v>
      </c>
      <c r="H1319" s="360">
        <v>1</v>
      </c>
      <c r="I1319" s="360">
        <v>-0.73592834386236194</v>
      </c>
      <c r="K1319" s="363"/>
      <c r="N1319" s="10"/>
      <c r="O1319" s="4"/>
      <c r="P1319" s="4"/>
      <c r="Q1319" s="3"/>
      <c r="R1319" s="3"/>
      <c r="S1319" s="3"/>
      <c r="T1319" s="3"/>
    </row>
    <row r="1320" spans="1:20">
      <c r="A1320" s="3">
        <v>1</v>
      </c>
      <c r="B1320" s="3">
        <v>2</v>
      </c>
      <c r="C1320" s="2">
        <v>25</v>
      </c>
      <c r="D1320" s="2">
        <v>5</v>
      </c>
      <c r="E1320" s="2">
        <v>16</v>
      </c>
      <c r="F1320" s="17">
        <v>78</v>
      </c>
      <c r="H1320" s="360">
        <v>1</v>
      </c>
      <c r="I1320" s="360">
        <v>-0.73768993330738286</v>
      </c>
      <c r="K1320" s="363"/>
      <c r="N1320" s="10"/>
      <c r="O1320" s="4"/>
      <c r="P1320" s="4"/>
      <c r="Q1320" s="3"/>
      <c r="R1320" s="3"/>
      <c r="S1320" s="3"/>
      <c r="T1320" s="3"/>
    </row>
    <row r="1321" spans="1:20">
      <c r="A1321" s="3">
        <v>2</v>
      </c>
      <c r="B1321" s="3">
        <v>1</v>
      </c>
      <c r="C1321" s="2">
        <v>25</v>
      </c>
      <c r="D1321" s="2">
        <v>5</v>
      </c>
      <c r="E1321" s="2">
        <v>16</v>
      </c>
      <c r="F1321" s="17">
        <v>78</v>
      </c>
      <c r="H1321" s="361">
        <v>1</v>
      </c>
      <c r="I1321" s="361">
        <v>-0.74658089626466295</v>
      </c>
      <c r="K1321" s="363"/>
      <c r="N1321" s="10"/>
      <c r="O1321" s="4"/>
      <c r="P1321" s="4"/>
      <c r="Q1321" s="3"/>
      <c r="R1321" s="3"/>
      <c r="S1321" s="3"/>
      <c r="T1321" s="3"/>
    </row>
    <row r="1322" spans="1:20">
      <c r="A1322" s="3">
        <v>1</v>
      </c>
      <c r="B1322" s="3">
        <v>2</v>
      </c>
      <c r="C1322" s="2">
        <v>25</v>
      </c>
      <c r="D1322" s="2">
        <v>5</v>
      </c>
      <c r="E1322" s="2">
        <v>16</v>
      </c>
      <c r="F1322" s="17">
        <v>78</v>
      </c>
      <c r="H1322" s="361">
        <v>1</v>
      </c>
      <c r="I1322" s="361">
        <v>-0.75373378478845166</v>
      </c>
      <c r="K1322" s="363"/>
      <c r="N1322" s="10"/>
      <c r="O1322" s="4"/>
      <c r="P1322" s="4"/>
      <c r="Q1322" s="3"/>
      <c r="R1322" s="3"/>
      <c r="S1322" s="3"/>
      <c r="T1322" s="3"/>
    </row>
    <row r="1323" spans="1:20">
      <c r="A1323" s="3">
        <v>2</v>
      </c>
      <c r="B1323" s="3">
        <v>1</v>
      </c>
      <c r="C1323" s="2">
        <v>25</v>
      </c>
      <c r="D1323" s="2">
        <v>5</v>
      </c>
      <c r="E1323" s="2">
        <v>1</v>
      </c>
      <c r="F1323" s="17">
        <v>78</v>
      </c>
      <c r="H1323" s="360">
        <v>1</v>
      </c>
      <c r="I1323" s="360">
        <v>-0.80404084292852485</v>
      </c>
      <c r="K1323" s="363"/>
      <c r="N1323" s="10"/>
      <c r="O1323" s="4"/>
      <c r="P1323" s="4"/>
      <c r="Q1323" s="3"/>
      <c r="R1323" s="3"/>
      <c r="S1323" s="3"/>
      <c r="T1323" s="3"/>
    </row>
    <row r="1324" spans="1:20">
      <c r="A1324" s="3">
        <v>2</v>
      </c>
      <c r="B1324" s="3">
        <v>2</v>
      </c>
      <c r="C1324" s="2">
        <v>25</v>
      </c>
      <c r="D1324" s="2">
        <v>5</v>
      </c>
      <c r="E1324" s="2">
        <v>16</v>
      </c>
      <c r="F1324" s="17">
        <v>78</v>
      </c>
      <c r="H1324" s="361">
        <v>1</v>
      </c>
      <c r="I1324" s="361">
        <v>-0.85259769979182964</v>
      </c>
      <c r="K1324" s="363"/>
      <c r="N1324" s="10"/>
      <c r="O1324" s="4"/>
      <c r="P1324" s="4"/>
      <c r="Q1324" s="3"/>
      <c r="R1324" s="3"/>
      <c r="S1324" s="3"/>
      <c r="T1324" s="3"/>
    </row>
    <row r="1325" spans="1:20">
      <c r="A1325" s="3">
        <v>3</v>
      </c>
      <c r="B1325" s="3">
        <v>2</v>
      </c>
      <c r="C1325" s="2">
        <v>25</v>
      </c>
      <c r="D1325" s="2">
        <v>5</v>
      </c>
      <c r="E1325" s="2">
        <v>16</v>
      </c>
      <c r="F1325" s="17">
        <v>78</v>
      </c>
      <c r="H1325" s="360">
        <v>1</v>
      </c>
      <c r="I1325" s="360">
        <v>-0.85538900031668952</v>
      </c>
      <c r="K1325" s="363"/>
      <c r="N1325" s="10"/>
      <c r="O1325" s="4"/>
      <c r="P1325" s="4"/>
      <c r="Q1325" s="3"/>
      <c r="R1325" s="3"/>
      <c r="S1325" s="3"/>
      <c r="T1325" s="3"/>
    </row>
    <row r="1326" spans="1:20">
      <c r="A1326" s="3">
        <v>2</v>
      </c>
      <c r="B1326" s="3">
        <v>2</v>
      </c>
      <c r="C1326" s="2">
        <v>25</v>
      </c>
      <c r="D1326" s="2">
        <v>5</v>
      </c>
      <c r="E1326" s="2">
        <v>1</v>
      </c>
      <c r="F1326" s="17">
        <v>78</v>
      </c>
      <c r="H1326" s="361">
        <v>1</v>
      </c>
      <c r="I1326" s="361">
        <v>-0.858385541082616</v>
      </c>
      <c r="K1326" s="363"/>
      <c r="N1326" s="10"/>
      <c r="O1326" s="4"/>
      <c r="P1326" s="4"/>
      <c r="Q1326" s="3"/>
      <c r="R1326" s="3"/>
      <c r="S1326" s="3"/>
      <c r="T1326" s="3"/>
    </row>
    <row r="1327" spans="1:20">
      <c r="A1327" s="3">
        <v>3</v>
      </c>
      <c r="B1327" s="3">
        <v>2</v>
      </c>
      <c r="C1327" s="2">
        <v>25</v>
      </c>
      <c r="D1327" s="2">
        <v>5</v>
      </c>
      <c r="E1327" s="2">
        <v>1</v>
      </c>
      <c r="F1327" s="17">
        <v>78</v>
      </c>
      <c r="H1327" s="361">
        <v>1</v>
      </c>
      <c r="I1327" s="361">
        <v>-0.87303962287953041</v>
      </c>
      <c r="K1327" s="363"/>
      <c r="N1327" s="10"/>
      <c r="O1327" s="4"/>
      <c r="P1327" s="4"/>
      <c r="Q1327" s="3"/>
      <c r="R1327" s="3"/>
      <c r="S1327" s="3"/>
      <c r="T1327" s="3"/>
    </row>
    <row r="1328" spans="1:20">
      <c r="A1328" s="3">
        <v>3</v>
      </c>
      <c r="B1328" s="3">
        <v>1</v>
      </c>
      <c r="C1328" s="2">
        <v>25</v>
      </c>
      <c r="D1328" s="2">
        <v>5</v>
      </c>
      <c r="E1328" s="2">
        <v>1</v>
      </c>
      <c r="F1328" s="17">
        <v>79</v>
      </c>
      <c r="H1328" s="360">
        <v>1</v>
      </c>
      <c r="I1328" s="360">
        <v>0.75171190376020336</v>
      </c>
      <c r="K1328" s="363"/>
      <c r="N1328" s="10"/>
      <c r="O1328" s="4"/>
      <c r="P1328" s="4"/>
      <c r="Q1328" s="3"/>
      <c r="R1328" s="3"/>
      <c r="S1328" s="3"/>
      <c r="T1328" s="3"/>
    </row>
    <row r="1329" spans="1:20">
      <c r="A1329" s="3">
        <v>1</v>
      </c>
      <c r="B1329" s="3">
        <v>2</v>
      </c>
      <c r="C1329" s="2">
        <v>25</v>
      </c>
      <c r="D1329" s="2">
        <v>5</v>
      </c>
      <c r="E1329" s="2">
        <v>16</v>
      </c>
      <c r="F1329" s="17">
        <v>79</v>
      </c>
      <c r="H1329" s="361">
        <v>1</v>
      </c>
      <c r="I1329" s="361">
        <v>0.72702564591425267</v>
      </c>
      <c r="K1329" s="363"/>
      <c r="N1329" s="10"/>
      <c r="O1329" s="4"/>
      <c r="P1329" s="4"/>
      <c r="Q1329" s="3"/>
      <c r="R1329" s="3"/>
      <c r="S1329" s="3"/>
      <c r="T1329" s="3"/>
    </row>
    <row r="1330" spans="1:20">
      <c r="A1330" s="3">
        <v>1</v>
      </c>
      <c r="B1330" s="3">
        <v>2</v>
      </c>
      <c r="C1330" s="2">
        <v>25</v>
      </c>
      <c r="D1330" s="2">
        <v>5</v>
      </c>
      <c r="E1330" s="2">
        <v>16</v>
      </c>
      <c r="F1330" s="17">
        <v>79</v>
      </c>
      <c r="H1330" s="360">
        <v>1</v>
      </c>
      <c r="I1330" s="360">
        <v>0.72086270008342479</v>
      </c>
      <c r="K1330" s="363"/>
      <c r="N1330" s="10"/>
      <c r="O1330" s="4"/>
      <c r="P1330" s="4"/>
      <c r="Q1330" s="3"/>
      <c r="R1330" s="3"/>
      <c r="S1330" s="3"/>
      <c r="T1330" s="3"/>
    </row>
    <row r="1331" spans="1:20">
      <c r="A1331" s="3">
        <v>3</v>
      </c>
      <c r="B1331" s="3">
        <v>1</v>
      </c>
      <c r="C1331" s="2">
        <v>25</v>
      </c>
      <c r="D1331" s="2">
        <v>5</v>
      </c>
      <c r="E1331" s="2">
        <v>16</v>
      </c>
      <c r="F1331" s="17">
        <v>79</v>
      </c>
      <c r="H1331" s="361">
        <v>1</v>
      </c>
      <c r="I1331" s="361">
        <v>0.71604723276570248</v>
      </c>
      <c r="K1331" s="363"/>
      <c r="N1331" s="10"/>
      <c r="O1331" s="4"/>
      <c r="P1331" s="4"/>
      <c r="Q1331" s="3"/>
      <c r="R1331" s="3"/>
      <c r="S1331" s="3"/>
      <c r="T1331" s="3"/>
    </row>
    <row r="1332" spans="1:20">
      <c r="A1332" s="3">
        <v>1</v>
      </c>
      <c r="B1332" s="3">
        <v>2</v>
      </c>
      <c r="C1332" s="2">
        <v>25</v>
      </c>
      <c r="D1332" s="2">
        <v>5</v>
      </c>
      <c r="E1332" s="2">
        <v>1</v>
      </c>
      <c r="F1332" s="17">
        <v>79</v>
      </c>
      <c r="H1332" s="360">
        <v>1</v>
      </c>
      <c r="I1332" s="360">
        <v>0.69905859737333775</v>
      </c>
      <c r="K1332" s="363"/>
      <c r="N1332" s="10"/>
      <c r="O1332" s="4"/>
      <c r="P1332" s="4"/>
      <c r="Q1332" s="3"/>
      <c r="R1332" s="3"/>
      <c r="S1332" s="3"/>
      <c r="T1332" s="3"/>
    </row>
    <row r="1333" spans="1:20">
      <c r="A1333" s="3">
        <v>3</v>
      </c>
      <c r="B1333" s="3">
        <v>2</v>
      </c>
      <c r="C1333" s="2">
        <v>25</v>
      </c>
      <c r="D1333" s="2">
        <v>5</v>
      </c>
      <c r="E1333" s="2">
        <v>1</v>
      </c>
      <c r="F1333" s="17">
        <v>79</v>
      </c>
      <c r="H1333" s="361">
        <v>1</v>
      </c>
      <c r="I1333" s="361">
        <v>0.650980714811075</v>
      </c>
      <c r="K1333" s="363"/>
      <c r="N1333" s="10"/>
      <c r="O1333" s="4"/>
      <c r="P1333" s="4"/>
      <c r="Q1333" s="3"/>
      <c r="R1333" s="3"/>
      <c r="S1333" s="3"/>
      <c r="T1333" s="3"/>
    </row>
    <row r="1334" spans="1:20">
      <c r="A1334" s="3">
        <v>3</v>
      </c>
      <c r="B1334" s="3">
        <v>2</v>
      </c>
      <c r="C1334" s="2">
        <v>25</v>
      </c>
      <c r="D1334" s="2">
        <v>5</v>
      </c>
      <c r="E1334" s="2">
        <v>16</v>
      </c>
      <c r="F1334" s="17">
        <v>79</v>
      </c>
      <c r="H1334" s="360">
        <v>1</v>
      </c>
      <c r="I1334" s="360">
        <v>0.55863619613425541</v>
      </c>
      <c r="K1334" s="363"/>
      <c r="N1334" s="10"/>
      <c r="O1334" s="4"/>
      <c r="P1334" s="4"/>
      <c r="Q1334" s="3"/>
      <c r="R1334" s="3"/>
      <c r="S1334" s="3"/>
      <c r="T1334" s="3"/>
    </row>
    <row r="1335" spans="1:20">
      <c r="A1335" s="3">
        <v>1</v>
      </c>
      <c r="B1335" s="3">
        <v>2</v>
      </c>
      <c r="C1335" s="2">
        <v>25</v>
      </c>
      <c r="D1335" s="2">
        <v>30</v>
      </c>
      <c r="E1335" s="2">
        <v>16</v>
      </c>
      <c r="F1335" s="17">
        <v>79</v>
      </c>
      <c r="H1335" s="360">
        <v>1</v>
      </c>
      <c r="I1335" s="360">
        <v>0.52834219623641077</v>
      </c>
      <c r="K1335" s="363"/>
      <c r="N1335" s="10"/>
      <c r="O1335" s="4"/>
      <c r="P1335" s="4"/>
      <c r="Q1335" s="3"/>
      <c r="R1335" s="3"/>
      <c r="S1335" s="3"/>
      <c r="T1335" s="3"/>
    </row>
    <row r="1336" spans="1:20">
      <c r="A1336" s="3">
        <v>1</v>
      </c>
      <c r="B1336" s="3">
        <v>1</v>
      </c>
      <c r="C1336" s="2">
        <v>25</v>
      </c>
      <c r="D1336" s="2">
        <v>5</v>
      </c>
      <c r="E1336" s="2">
        <v>1</v>
      </c>
      <c r="F1336" s="17">
        <v>79</v>
      </c>
      <c r="H1336" s="360">
        <v>1</v>
      </c>
      <c r="I1336" s="360">
        <v>0.50229878174547726</v>
      </c>
      <c r="K1336" s="363"/>
      <c r="N1336" s="10"/>
      <c r="O1336" s="4"/>
      <c r="P1336" s="4"/>
      <c r="Q1336" s="3"/>
      <c r="R1336" s="3"/>
      <c r="S1336" s="3"/>
      <c r="T1336" s="3"/>
    </row>
    <row r="1337" spans="1:20">
      <c r="A1337" s="3">
        <v>1</v>
      </c>
      <c r="B1337" s="3">
        <v>1</v>
      </c>
      <c r="C1337" s="2">
        <v>25</v>
      </c>
      <c r="D1337" s="2">
        <v>5</v>
      </c>
      <c r="E1337" s="2">
        <v>16</v>
      </c>
      <c r="F1337" s="17">
        <v>79</v>
      </c>
      <c r="H1337" s="360">
        <v>1</v>
      </c>
      <c r="I1337" s="360">
        <v>0.4154586410292137</v>
      </c>
      <c r="K1337" s="363"/>
      <c r="N1337" s="10"/>
      <c r="O1337" s="4"/>
      <c r="P1337" s="4"/>
      <c r="Q1337" s="3"/>
      <c r="R1337" s="3"/>
      <c r="S1337" s="3"/>
      <c r="T1337" s="3"/>
    </row>
    <row r="1338" spans="1:20">
      <c r="A1338" s="3">
        <v>1</v>
      </c>
      <c r="B1338" s="3">
        <v>1</v>
      </c>
      <c r="C1338" s="2">
        <v>25</v>
      </c>
      <c r="D1338" s="2">
        <v>30</v>
      </c>
      <c r="E1338" s="2">
        <v>16</v>
      </c>
      <c r="F1338" s="17">
        <v>79</v>
      </c>
      <c r="H1338" s="360">
        <v>1</v>
      </c>
      <c r="I1338" s="360">
        <v>0.41143625194105943</v>
      </c>
      <c r="K1338" s="363"/>
      <c r="N1338" s="10"/>
      <c r="O1338" s="4"/>
      <c r="P1338" s="4"/>
      <c r="Q1338" s="3"/>
      <c r="R1338" s="3"/>
      <c r="S1338" s="3"/>
      <c r="T1338" s="3"/>
    </row>
    <row r="1339" spans="1:20">
      <c r="A1339" s="3">
        <v>2</v>
      </c>
      <c r="B1339" s="3">
        <v>2</v>
      </c>
      <c r="C1339" s="2">
        <v>25</v>
      </c>
      <c r="D1339" s="2">
        <v>5</v>
      </c>
      <c r="E1339" s="2">
        <v>1</v>
      </c>
      <c r="F1339" s="17">
        <v>79</v>
      </c>
      <c r="H1339" s="361">
        <v>1</v>
      </c>
      <c r="I1339" s="361">
        <v>0.39465077141610544</v>
      </c>
      <c r="K1339" s="363"/>
      <c r="N1339" s="10"/>
      <c r="O1339" s="4"/>
      <c r="P1339" s="4"/>
      <c r="Q1339" s="3"/>
      <c r="R1339" s="3"/>
      <c r="S1339" s="3"/>
      <c r="T1339" s="3"/>
    </row>
    <row r="1340" spans="1:20">
      <c r="A1340" s="3">
        <v>2</v>
      </c>
      <c r="B1340" s="3">
        <v>2</v>
      </c>
      <c r="C1340" s="2">
        <v>25</v>
      </c>
      <c r="D1340" s="2">
        <v>5</v>
      </c>
      <c r="E1340" s="2">
        <v>16</v>
      </c>
      <c r="F1340" s="17">
        <v>79</v>
      </c>
      <c r="H1340" s="361">
        <v>1</v>
      </c>
      <c r="I1340" s="361">
        <v>0.36531918832142879</v>
      </c>
      <c r="K1340" s="363"/>
      <c r="N1340" s="10"/>
      <c r="O1340" s="4"/>
      <c r="P1340" s="4"/>
      <c r="Q1340" s="3"/>
      <c r="R1340" s="3"/>
      <c r="S1340" s="3"/>
      <c r="T1340" s="3"/>
    </row>
    <row r="1341" spans="1:20">
      <c r="A1341" s="3">
        <v>2</v>
      </c>
      <c r="B1341" s="3">
        <v>1</v>
      </c>
      <c r="C1341" s="2">
        <v>25</v>
      </c>
      <c r="D1341" s="2">
        <v>5</v>
      </c>
      <c r="E1341" s="2">
        <v>16</v>
      </c>
      <c r="F1341" s="17">
        <v>79</v>
      </c>
      <c r="H1341" s="361">
        <v>1</v>
      </c>
      <c r="I1341" s="361">
        <v>0.24355978912053677</v>
      </c>
      <c r="K1341" s="363"/>
      <c r="N1341" s="10"/>
      <c r="O1341" s="4"/>
      <c r="P1341" s="4"/>
      <c r="Q1341" s="3"/>
      <c r="R1341" s="3"/>
      <c r="S1341" s="3"/>
      <c r="T1341" s="3"/>
    </row>
    <row r="1342" spans="1:20">
      <c r="A1342" s="3">
        <v>2</v>
      </c>
      <c r="B1342" s="3">
        <v>1</v>
      </c>
      <c r="C1342" s="2">
        <v>25</v>
      </c>
      <c r="D1342" s="2">
        <v>5</v>
      </c>
      <c r="E1342" s="2">
        <v>1</v>
      </c>
      <c r="F1342" s="17">
        <v>79</v>
      </c>
      <c r="H1342" s="360">
        <v>1</v>
      </c>
      <c r="I1342" s="360">
        <v>0.16912445443724375</v>
      </c>
      <c r="K1342" s="363"/>
      <c r="N1342" s="10"/>
      <c r="O1342" s="4"/>
      <c r="P1342" s="4"/>
      <c r="Q1342" s="3"/>
      <c r="R1342" s="3"/>
      <c r="S1342" s="3"/>
      <c r="T1342" s="3"/>
    </row>
    <row r="1343" spans="1:20">
      <c r="A1343" s="3">
        <v>5</v>
      </c>
      <c r="B1343" s="3">
        <v>2</v>
      </c>
      <c r="C1343" s="2">
        <v>50</v>
      </c>
      <c r="D1343" s="2">
        <v>5</v>
      </c>
      <c r="E1343" s="2">
        <v>16</v>
      </c>
      <c r="F1343" s="17">
        <v>79</v>
      </c>
      <c r="H1343" s="360">
        <v>1</v>
      </c>
      <c r="I1343" s="359">
        <v>9.4671861098543392E-2</v>
      </c>
      <c r="K1343" s="363"/>
      <c r="N1343" s="10"/>
      <c r="O1343" s="4"/>
      <c r="P1343" s="4"/>
      <c r="Q1343" s="3"/>
      <c r="R1343" s="3"/>
      <c r="S1343" s="3"/>
      <c r="T1343" s="3"/>
    </row>
    <row r="1344" spans="1:20">
      <c r="A1344" s="3">
        <v>4</v>
      </c>
      <c r="B1344" s="3">
        <v>2</v>
      </c>
      <c r="C1344" s="2">
        <v>50</v>
      </c>
      <c r="D1344" s="2">
        <v>5</v>
      </c>
      <c r="E1344" s="2">
        <v>16</v>
      </c>
      <c r="F1344" s="17">
        <v>79</v>
      </c>
      <c r="H1344" s="360">
        <v>1</v>
      </c>
      <c r="I1344" s="359">
        <v>-0.18578153598854527</v>
      </c>
      <c r="K1344" s="363"/>
      <c r="N1344" s="10"/>
      <c r="O1344" s="4"/>
      <c r="P1344" s="4"/>
      <c r="Q1344" s="3"/>
      <c r="R1344" s="3"/>
      <c r="S1344" s="3"/>
      <c r="T1344" s="3"/>
    </row>
    <row r="1345" spans="1:20">
      <c r="A1345" s="3">
        <v>3</v>
      </c>
      <c r="B1345" s="3">
        <v>2</v>
      </c>
      <c r="C1345" s="2">
        <v>25</v>
      </c>
      <c r="D1345" s="2">
        <v>5</v>
      </c>
      <c r="E1345" s="2">
        <v>16</v>
      </c>
      <c r="F1345" s="17">
        <v>80</v>
      </c>
      <c r="H1345" s="360">
        <v>1</v>
      </c>
      <c r="I1345" s="360">
        <v>0.73124127763131364</v>
      </c>
      <c r="K1345" s="363"/>
      <c r="N1345" s="10"/>
      <c r="O1345" s="4"/>
      <c r="P1345" s="4"/>
      <c r="Q1345" s="3"/>
      <c r="R1345" s="3"/>
      <c r="S1345" s="3"/>
      <c r="T1345" s="3"/>
    </row>
    <row r="1346" spans="1:20">
      <c r="A1346" s="3">
        <v>3</v>
      </c>
      <c r="B1346" s="3">
        <v>2</v>
      </c>
      <c r="C1346" s="2">
        <v>25</v>
      </c>
      <c r="D1346" s="2">
        <v>5</v>
      </c>
      <c r="E1346" s="2">
        <v>1</v>
      </c>
      <c r="F1346" s="17">
        <v>80</v>
      </c>
      <c r="H1346" s="361">
        <v>1</v>
      </c>
      <c r="I1346" s="361">
        <v>0.68656731552493977</v>
      </c>
      <c r="K1346" s="363"/>
      <c r="N1346" s="10"/>
      <c r="O1346" s="4"/>
      <c r="P1346" s="4"/>
      <c r="Q1346" s="3"/>
      <c r="R1346" s="3"/>
      <c r="S1346" s="3"/>
      <c r="T1346" s="3"/>
    </row>
    <row r="1347" spans="1:20">
      <c r="A1347" s="3">
        <v>1</v>
      </c>
      <c r="B1347" s="3">
        <v>2</v>
      </c>
      <c r="C1347" s="2">
        <v>25</v>
      </c>
      <c r="D1347" s="2">
        <v>5</v>
      </c>
      <c r="E1347" s="2">
        <v>16</v>
      </c>
      <c r="F1347" s="17">
        <v>80</v>
      </c>
      <c r="H1347" s="361">
        <v>1</v>
      </c>
      <c r="I1347" s="361">
        <v>0.62304002039947837</v>
      </c>
      <c r="K1347" s="363"/>
      <c r="N1347" s="10"/>
      <c r="O1347" s="4"/>
      <c r="P1347" s="4"/>
      <c r="Q1347" s="3"/>
      <c r="R1347" s="3"/>
      <c r="S1347" s="3"/>
      <c r="T1347" s="3"/>
    </row>
    <row r="1348" spans="1:20">
      <c r="A1348" s="3">
        <v>1</v>
      </c>
      <c r="B1348" s="3">
        <v>1</v>
      </c>
      <c r="C1348" s="2">
        <v>25</v>
      </c>
      <c r="D1348" s="2">
        <v>5</v>
      </c>
      <c r="E1348" s="2">
        <v>1</v>
      </c>
      <c r="F1348" s="17">
        <v>80</v>
      </c>
      <c r="H1348" s="360">
        <v>1</v>
      </c>
      <c r="I1348" s="360">
        <v>0.60786965475144239</v>
      </c>
      <c r="K1348" s="363"/>
      <c r="N1348" s="10"/>
      <c r="O1348" s="4"/>
      <c r="P1348" s="4"/>
      <c r="Q1348" s="3"/>
      <c r="R1348" s="3"/>
      <c r="S1348" s="3"/>
      <c r="T1348" s="3"/>
    </row>
    <row r="1349" spans="1:20">
      <c r="A1349" s="3">
        <v>1</v>
      </c>
      <c r="B1349" s="3">
        <v>2</v>
      </c>
      <c r="C1349" s="2">
        <v>25</v>
      </c>
      <c r="D1349" s="2">
        <v>5</v>
      </c>
      <c r="E1349" s="2">
        <v>1</v>
      </c>
      <c r="F1349" s="17">
        <v>80</v>
      </c>
      <c r="H1349" s="360">
        <v>1</v>
      </c>
      <c r="I1349" s="360">
        <v>0.60756084428597223</v>
      </c>
      <c r="K1349" s="363"/>
      <c r="N1349" s="10"/>
      <c r="O1349" s="4"/>
      <c r="P1349" s="4"/>
      <c r="Q1349" s="3"/>
      <c r="R1349" s="3"/>
      <c r="S1349" s="3"/>
      <c r="T1349" s="3"/>
    </row>
    <row r="1350" spans="1:20">
      <c r="A1350" s="3">
        <v>1</v>
      </c>
      <c r="B1350" s="3">
        <v>2</v>
      </c>
      <c r="C1350" s="2">
        <v>25</v>
      </c>
      <c r="D1350" s="2">
        <v>5</v>
      </c>
      <c r="E1350" s="2">
        <v>16</v>
      </c>
      <c r="F1350" s="17">
        <v>80</v>
      </c>
      <c r="H1350" s="360">
        <v>1</v>
      </c>
      <c r="I1350" s="360">
        <v>0.59876098698312918</v>
      </c>
      <c r="K1350" s="363"/>
      <c r="N1350" s="10"/>
      <c r="O1350" s="4"/>
      <c r="P1350" s="4"/>
      <c r="Q1350" s="3"/>
      <c r="R1350" s="3"/>
      <c r="S1350" s="3"/>
      <c r="T1350" s="3"/>
    </row>
    <row r="1351" spans="1:20">
      <c r="A1351" s="3">
        <v>1</v>
      </c>
      <c r="B1351" s="3">
        <v>1</v>
      </c>
      <c r="C1351" s="2">
        <v>25</v>
      </c>
      <c r="D1351" s="2">
        <v>5</v>
      </c>
      <c r="E1351" s="2">
        <v>16</v>
      </c>
      <c r="F1351" s="17">
        <v>80</v>
      </c>
      <c r="H1351" s="360">
        <v>1</v>
      </c>
      <c r="I1351" s="360">
        <v>0.58957735405372458</v>
      </c>
      <c r="K1351" s="363"/>
      <c r="N1351" s="10"/>
      <c r="O1351" s="4"/>
      <c r="P1351" s="4"/>
      <c r="Q1351" s="3"/>
      <c r="R1351" s="3"/>
      <c r="S1351" s="3"/>
      <c r="T1351" s="3"/>
    </row>
    <row r="1352" spans="1:20">
      <c r="A1352" s="3">
        <v>1</v>
      </c>
      <c r="B1352" s="3">
        <v>1</v>
      </c>
      <c r="C1352" s="2">
        <v>25</v>
      </c>
      <c r="D1352" s="2">
        <v>30</v>
      </c>
      <c r="E1352" s="2">
        <v>16</v>
      </c>
      <c r="F1352" s="17">
        <v>80</v>
      </c>
      <c r="H1352" s="360">
        <v>1</v>
      </c>
      <c r="I1352" s="360">
        <v>0.55220480673992667</v>
      </c>
      <c r="K1352" s="363"/>
      <c r="N1352" s="10"/>
      <c r="O1352" s="4"/>
      <c r="P1352" s="4"/>
      <c r="Q1352" s="3"/>
      <c r="R1352" s="3"/>
      <c r="S1352" s="3"/>
      <c r="T1352" s="3"/>
    </row>
    <row r="1353" spans="1:20">
      <c r="A1353" s="3">
        <v>1</v>
      </c>
      <c r="B1353" s="3">
        <v>2</v>
      </c>
      <c r="C1353" s="2">
        <v>25</v>
      </c>
      <c r="D1353" s="2">
        <v>30</v>
      </c>
      <c r="E1353" s="2">
        <v>16</v>
      </c>
      <c r="F1353" s="17">
        <v>80</v>
      </c>
      <c r="H1353" s="360">
        <v>1</v>
      </c>
      <c r="I1353" s="360">
        <v>0.49328399298700176</v>
      </c>
      <c r="K1353" s="363"/>
      <c r="N1353" s="10"/>
      <c r="O1353" s="4"/>
      <c r="P1353" s="4"/>
      <c r="Q1353" s="3"/>
      <c r="R1353" s="3"/>
      <c r="S1353" s="3"/>
      <c r="T1353" s="3"/>
    </row>
    <row r="1354" spans="1:20">
      <c r="A1354" s="3">
        <v>2</v>
      </c>
      <c r="B1354" s="3">
        <v>2</v>
      </c>
      <c r="C1354" s="2">
        <v>25</v>
      </c>
      <c r="D1354" s="2">
        <v>5</v>
      </c>
      <c r="E1354" s="2">
        <v>16</v>
      </c>
      <c r="F1354" s="17">
        <v>80</v>
      </c>
      <c r="H1354" s="361">
        <v>1</v>
      </c>
      <c r="I1354" s="361">
        <v>0.44875547809607602</v>
      </c>
      <c r="K1354" s="363"/>
      <c r="N1354" s="10"/>
      <c r="O1354" s="4"/>
      <c r="P1354" s="4"/>
      <c r="Q1354" s="3"/>
      <c r="R1354" s="3"/>
      <c r="S1354" s="3"/>
      <c r="T1354" s="3"/>
    </row>
    <row r="1355" spans="1:20">
      <c r="A1355" s="3">
        <v>3</v>
      </c>
      <c r="B1355" s="3">
        <v>1</v>
      </c>
      <c r="C1355" s="2">
        <v>25</v>
      </c>
      <c r="D1355" s="2">
        <v>5</v>
      </c>
      <c r="E1355" s="2">
        <v>1</v>
      </c>
      <c r="F1355" s="17">
        <v>80</v>
      </c>
      <c r="H1355" s="360">
        <v>1</v>
      </c>
      <c r="I1355" s="360">
        <v>0.44801548993811519</v>
      </c>
      <c r="K1355" s="363"/>
      <c r="N1355" s="10"/>
      <c r="O1355" s="4"/>
      <c r="P1355" s="4"/>
      <c r="Q1355" s="3"/>
      <c r="R1355" s="3"/>
      <c r="S1355" s="3"/>
      <c r="T1355" s="3"/>
    </row>
    <row r="1356" spans="1:20">
      <c r="A1356" s="3">
        <v>2</v>
      </c>
      <c r="B1356" s="3">
        <v>2</v>
      </c>
      <c r="C1356" s="2">
        <v>25</v>
      </c>
      <c r="D1356" s="2">
        <v>5</v>
      </c>
      <c r="E1356" s="2">
        <v>1</v>
      </c>
      <c r="F1356" s="17">
        <v>80</v>
      </c>
      <c r="H1356" s="361">
        <v>1</v>
      </c>
      <c r="I1356" s="361">
        <v>0.4134645156805874</v>
      </c>
      <c r="K1356" s="363"/>
      <c r="N1356" s="10"/>
      <c r="O1356" s="4"/>
      <c r="P1356" s="4"/>
      <c r="Q1356" s="3"/>
      <c r="R1356" s="3"/>
      <c r="S1356" s="3"/>
      <c r="T1356" s="3"/>
    </row>
    <row r="1357" spans="1:20">
      <c r="A1357" s="3">
        <v>3</v>
      </c>
      <c r="B1357" s="3">
        <v>1</v>
      </c>
      <c r="C1357" s="2">
        <v>25</v>
      </c>
      <c r="D1357" s="2">
        <v>5</v>
      </c>
      <c r="E1357" s="2">
        <v>16</v>
      </c>
      <c r="F1357" s="17">
        <v>80</v>
      </c>
      <c r="H1357" s="361">
        <v>1</v>
      </c>
      <c r="I1357" s="361">
        <v>0.38324230120932096</v>
      </c>
      <c r="K1357" s="363"/>
      <c r="N1357" s="10"/>
      <c r="O1357" s="4"/>
      <c r="P1357" s="4"/>
      <c r="Q1357" s="3"/>
      <c r="R1357" s="3"/>
      <c r="S1357" s="3"/>
      <c r="T1357" s="3"/>
    </row>
    <row r="1358" spans="1:20">
      <c r="A1358" s="3">
        <v>2</v>
      </c>
      <c r="B1358" s="3">
        <v>1</v>
      </c>
      <c r="C1358" s="2">
        <v>25</v>
      </c>
      <c r="D1358" s="2">
        <v>5</v>
      </c>
      <c r="E1358" s="2">
        <v>16</v>
      </c>
      <c r="F1358" s="17">
        <v>80</v>
      </c>
      <c r="H1358" s="361">
        <v>1</v>
      </c>
      <c r="I1358" s="361">
        <v>0.38138882507285105</v>
      </c>
      <c r="K1358" s="363"/>
      <c r="N1358" s="10"/>
      <c r="O1358" s="4"/>
      <c r="P1358" s="4"/>
      <c r="Q1358" s="3"/>
      <c r="R1358" s="3"/>
      <c r="S1358" s="3"/>
      <c r="T1358" s="3"/>
    </row>
    <row r="1359" spans="1:20">
      <c r="A1359" s="3">
        <v>2</v>
      </c>
      <c r="B1359" s="3">
        <v>1</v>
      </c>
      <c r="C1359" s="2">
        <v>25</v>
      </c>
      <c r="D1359" s="2">
        <v>5</v>
      </c>
      <c r="E1359" s="2">
        <v>1</v>
      </c>
      <c r="F1359" s="17">
        <v>80</v>
      </c>
      <c r="H1359" s="360">
        <v>1</v>
      </c>
      <c r="I1359" s="360">
        <v>0.36063815097666418</v>
      </c>
      <c r="K1359" s="363"/>
      <c r="N1359" s="10"/>
      <c r="O1359" s="4"/>
      <c r="P1359" s="4"/>
      <c r="Q1359" s="3"/>
      <c r="R1359" s="3"/>
      <c r="S1359" s="3"/>
      <c r="T1359" s="3"/>
    </row>
    <row r="1360" spans="1:20">
      <c r="A1360" s="3">
        <v>4</v>
      </c>
      <c r="B1360" s="3">
        <v>2</v>
      </c>
      <c r="C1360" s="2">
        <v>50</v>
      </c>
      <c r="D1360" s="2">
        <v>5</v>
      </c>
      <c r="E1360" s="2">
        <v>16</v>
      </c>
      <c r="F1360" s="17">
        <v>80</v>
      </c>
      <c r="H1360" s="360">
        <v>0.65031982942430711</v>
      </c>
      <c r="I1360" s="359">
        <v>-0.20729189655100619</v>
      </c>
      <c r="K1360" s="363"/>
      <c r="N1360" s="10"/>
      <c r="O1360" s="4"/>
      <c r="P1360" s="4"/>
      <c r="Q1360" s="3"/>
      <c r="R1360" s="3"/>
      <c r="S1360" s="3"/>
      <c r="T1360" s="3"/>
    </row>
    <row r="1361" spans="1:20">
      <c r="A1361" s="3">
        <v>5</v>
      </c>
      <c r="B1361" s="3">
        <v>2</v>
      </c>
      <c r="C1361" s="2">
        <v>50</v>
      </c>
      <c r="D1361" s="2">
        <v>5</v>
      </c>
      <c r="E1361" s="2">
        <v>16</v>
      </c>
      <c r="F1361" s="17">
        <v>80</v>
      </c>
      <c r="H1361" s="360">
        <v>1</v>
      </c>
      <c r="I1361" s="359">
        <v>-0.56390722279172223</v>
      </c>
      <c r="K1361" s="363"/>
      <c r="N1361" s="10"/>
      <c r="O1361" s="4"/>
      <c r="P1361" s="4"/>
      <c r="Q1361" s="3"/>
      <c r="R1361" s="3"/>
      <c r="S1361" s="3"/>
      <c r="T1361" s="3"/>
    </row>
    <row r="1362" spans="1:20">
      <c r="A1362" s="3">
        <v>3</v>
      </c>
      <c r="B1362" s="3">
        <v>2</v>
      </c>
      <c r="C1362" s="2">
        <v>25</v>
      </c>
      <c r="D1362" s="2">
        <v>5</v>
      </c>
      <c r="E1362" s="2">
        <v>16</v>
      </c>
      <c r="F1362" s="17">
        <v>81</v>
      </c>
      <c r="H1362" s="360">
        <v>3.154673447530576E-2</v>
      </c>
      <c r="I1362" s="360">
        <v>0.28860220008063125</v>
      </c>
      <c r="K1362" s="363"/>
      <c r="N1362" s="10"/>
      <c r="O1362" s="4"/>
      <c r="P1362" s="4"/>
      <c r="Q1362" s="3"/>
      <c r="R1362" s="3"/>
      <c r="S1362" s="3"/>
      <c r="T1362" s="3"/>
    </row>
    <row r="1363" spans="1:20">
      <c r="A1363" s="3">
        <v>1</v>
      </c>
      <c r="B1363" s="3">
        <v>1</v>
      </c>
      <c r="C1363" s="2">
        <v>25</v>
      </c>
      <c r="D1363" s="2">
        <v>5</v>
      </c>
      <c r="E1363" s="2">
        <v>16</v>
      </c>
      <c r="F1363" s="17">
        <v>81</v>
      </c>
      <c r="H1363" s="360">
        <v>0</v>
      </c>
      <c r="I1363" s="360">
        <v>0</v>
      </c>
      <c r="K1363" s="363"/>
      <c r="N1363" s="10"/>
      <c r="O1363" s="4"/>
      <c r="P1363" s="4"/>
      <c r="Q1363" s="3"/>
      <c r="R1363" s="3"/>
      <c r="S1363" s="3"/>
      <c r="T1363" s="3"/>
    </row>
    <row r="1364" spans="1:20">
      <c r="A1364" s="3">
        <v>1</v>
      </c>
      <c r="B1364" s="3">
        <v>2</v>
      </c>
      <c r="C1364" s="2">
        <v>25</v>
      </c>
      <c r="D1364" s="2">
        <v>5</v>
      </c>
      <c r="E1364" s="2">
        <v>1</v>
      </c>
      <c r="F1364" s="17">
        <v>81</v>
      </c>
      <c r="H1364" s="360">
        <v>0</v>
      </c>
      <c r="I1364" s="360">
        <v>0</v>
      </c>
      <c r="K1364" s="363"/>
      <c r="N1364" s="10"/>
      <c r="O1364" s="4"/>
      <c r="P1364" s="4"/>
      <c r="Q1364" s="3"/>
      <c r="R1364" s="3"/>
      <c r="S1364" s="3"/>
      <c r="T1364" s="3"/>
    </row>
    <row r="1365" spans="1:20">
      <c r="A1365" s="3">
        <v>2</v>
      </c>
      <c r="B1365" s="3">
        <v>2</v>
      </c>
      <c r="C1365" s="2">
        <v>25</v>
      </c>
      <c r="D1365" s="2">
        <v>5</v>
      </c>
      <c r="E1365" s="2">
        <v>1</v>
      </c>
      <c r="F1365" s="17">
        <v>81</v>
      </c>
      <c r="H1365" s="361">
        <v>0</v>
      </c>
      <c r="I1365" s="361">
        <v>0</v>
      </c>
      <c r="K1365" s="363"/>
      <c r="N1365" s="10"/>
      <c r="O1365" s="4"/>
      <c r="P1365" s="4"/>
      <c r="Q1365" s="3"/>
      <c r="R1365" s="3"/>
      <c r="S1365" s="3"/>
      <c r="T1365" s="3"/>
    </row>
    <row r="1366" spans="1:20">
      <c r="A1366" s="3">
        <v>3</v>
      </c>
      <c r="B1366" s="3">
        <v>2</v>
      </c>
      <c r="C1366" s="2">
        <v>25</v>
      </c>
      <c r="D1366" s="2">
        <v>5</v>
      </c>
      <c r="E1366" s="2">
        <v>1</v>
      </c>
      <c r="F1366" s="17">
        <v>81</v>
      </c>
      <c r="H1366" s="361">
        <v>0</v>
      </c>
      <c r="I1366" s="361">
        <v>0</v>
      </c>
      <c r="K1366" s="363"/>
      <c r="N1366" s="10"/>
      <c r="O1366" s="4"/>
      <c r="P1366" s="4"/>
      <c r="Q1366" s="3"/>
      <c r="R1366" s="3"/>
      <c r="S1366" s="3"/>
      <c r="T1366" s="3"/>
    </row>
    <row r="1367" spans="1:20">
      <c r="A1367" s="3">
        <v>2</v>
      </c>
      <c r="B1367" s="3">
        <v>1</v>
      </c>
      <c r="C1367" s="2">
        <v>25</v>
      </c>
      <c r="D1367" s="2">
        <v>5</v>
      </c>
      <c r="E1367" s="2">
        <v>1</v>
      </c>
      <c r="F1367" s="17">
        <v>81</v>
      </c>
      <c r="H1367" s="360">
        <v>0</v>
      </c>
      <c r="I1367" s="360">
        <v>0</v>
      </c>
      <c r="K1367" s="363"/>
      <c r="N1367" s="10"/>
      <c r="O1367" s="4"/>
      <c r="P1367" s="4"/>
      <c r="Q1367" s="3"/>
      <c r="R1367" s="3"/>
      <c r="S1367" s="3"/>
      <c r="T1367" s="3"/>
    </row>
    <row r="1368" spans="1:20">
      <c r="A1368" s="3">
        <v>2</v>
      </c>
      <c r="B1368" s="3">
        <v>1</v>
      </c>
      <c r="C1368" s="2">
        <v>25</v>
      </c>
      <c r="D1368" s="2">
        <v>5</v>
      </c>
      <c r="E1368" s="2">
        <v>16</v>
      </c>
      <c r="F1368" s="17">
        <v>81</v>
      </c>
      <c r="H1368" s="361">
        <v>0</v>
      </c>
      <c r="I1368" s="361">
        <v>0</v>
      </c>
      <c r="K1368" s="363"/>
      <c r="N1368" s="10"/>
      <c r="O1368" s="4"/>
      <c r="P1368" s="4"/>
      <c r="Q1368" s="3"/>
      <c r="R1368" s="3"/>
      <c r="S1368" s="3"/>
      <c r="T1368" s="3"/>
    </row>
    <row r="1369" spans="1:20">
      <c r="A1369" s="3">
        <v>3</v>
      </c>
      <c r="B1369" s="3">
        <v>1</v>
      </c>
      <c r="C1369" s="2">
        <v>25</v>
      </c>
      <c r="D1369" s="2">
        <v>5</v>
      </c>
      <c r="E1369" s="2">
        <v>1</v>
      </c>
      <c r="F1369" s="17">
        <v>81</v>
      </c>
      <c r="H1369" s="360">
        <v>0</v>
      </c>
      <c r="I1369" s="360">
        <v>0</v>
      </c>
      <c r="K1369" s="363"/>
      <c r="N1369" s="10"/>
      <c r="O1369" s="4"/>
      <c r="P1369" s="4"/>
      <c r="Q1369" s="3"/>
      <c r="R1369" s="3"/>
      <c r="S1369" s="3"/>
      <c r="T1369" s="3"/>
    </row>
    <row r="1370" spans="1:20">
      <c r="A1370" s="3">
        <v>3</v>
      </c>
      <c r="B1370" s="3">
        <v>1</v>
      </c>
      <c r="C1370" s="2">
        <v>25</v>
      </c>
      <c r="D1370" s="2">
        <v>5</v>
      </c>
      <c r="E1370" s="2">
        <v>16</v>
      </c>
      <c r="F1370" s="17">
        <v>81</v>
      </c>
      <c r="H1370" s="361">
        <v>0</v>
      </c>
      <c r="I1370" s="361">
        <v>0</v>
      </c>
      <c r="K1370" s="363"/>
      <c r="N1370" s="10"/>
      <c r="O1370" s="4"/>
      <c r="P1370" s="4"/>
      <c r="Q1370" s="3"/>
      <c r="R1370" s="3"/>
      <c r="S1370" s="3"/>
      <c r="T1370" s="3"/>
    </row>
    <row r="1371" spans="1:20">
      <c r="A1371" s="3">
        <v>1</v>
      </c>
      <c r="B1371" s="3">
        <v>1</v>
      </c>
      <c r="C1371" s="2">
        <v>25</v>
      </c>
      <c r="D1371" s="2">
        <v>5</v>
      </c>
      <c r="E1371" s="2">
        <v>1</v>
      </c>
      <c r="F1371" s="17">
        <v>81</v>
      </c>
      <c r="H1371" s="360">
        <v>4.3571335887911733E-2</v>
      </c>
      <c r="I1371" s="360">
        <v>-5.2555734508773419E-2</v>
      </c>
      <c r="K1371" s="363"/>
      <c r="N1371" s="10"/>
      <c r="O1371" s="4"/>
      <c r="P1371" s="4"/>
      <c r="Q1371" s="3"/>
      <c r="R1371" s="3"/>
      <c r="S1371" s="3"/>
      <c r="T1371" s="3"/>
    </row>
    <row r="1372" spans="1:20">
      <c r="A1372" s="3">
        <v>5</v>
      </c>
      <c r="B1372" s="3">
        <v>2</v>
      </c>
      <c r="C1372" s="2">
        <v>50</v>
      </c>
      <c r="D1372" s="2">
        <v>5</v>
      </c>
      <c r="E1372" s="2">
        <v>16</v>
      </c>
      <c r="F1372" s="17">
        <v>81</v>
      </c>
      <c r="H1372" s="360">
        <v>1.538024626159405E-2</v>
      </c>
      <c r="I1372" s="359">
        <v>-7.0683375517007221E-2</v>
      </c>
      <c r="K1372" s="363"/>
      <c r="N1372" s="10"/>
      <c r="O1372" s="4"/>
      <c r="P1372" s="4"/>
      <c r="Q1372" s="3"/>
      <c r="R1372" s="3"/>
      <c r="S1372" s="3"/>
      <c r="T1372" s="3"/>
    </row>
    <row r="1373" spans="1:20">
      <c r="A1373" s="3">
        <v>4</v>
      </c>
      <c r="B1373" s="3">
        <v>2</v>
      </c>
      <c r="C1373" s="2">
        <v>50</v>
      </c>
      <c r="D1373" s="2">
        <v>5</v>
      </c>
      <c r="E1373" s="2">
        <v>16</v>
      </c>
      <c r="F1373" s="17">
        <v>81</v>
      </c>
      <c r="H1373" s="360">
        <v>6.0056088868115226E-2</v>
      </c>
      <c r="I1373" s="359">
        <v>-0.23005337600947265</v>
      </c>
      <c r="K1373" s="363"/>
      <c r="N1373" s="10"/>
      <c r="O1373" s="4"/>
      <c r="P1373" s="4"/>
      <c r="Q1373" s="3"/>
      <c r="R1373" s="3"/>
      <c r="S1373" s="3"/>
      <c r="T1373" s="3"/>
    </row>
    <row r="1374" spans="1:20">
      <c r="A1374" s="3">
        <v>1</v>
      </c>
      <c r="B1374" s="3">
        <v>1</v>
      </c>
      <c r="C1374" s="2">
        <v>25</v>
      </c>
      <c r="D1374" s="2">
        <v>30</v>
      </c>
      <c r="E1374" s="2">
        <v>16</v>
      </c>
      <c r="F1374" s="17">
        <v>81</v>
      </c>
      <c r="H1374" s="360">
        <v>5.2564882016967407E-2</v>
      </c>
      <c r="I1374" s="360">
        <v>-0.25096629685394795</v>
      </c>
      <c r="K1374" s="363"/>
      <c r="N1374" s="10"/>
      <c r="O1374" s="4"/>
      <c r="P1374" s="4"/>
      <c r="Q1374" s="3"/>
      <c r="R1374" s="3"/>
      <c r="S1374" s="3"/>
      <c r="T1374" s="3"/>
    </row>
    <row r="1375" spans="1:20">
      <c r="A1375" s="3">
        <v>1</v>
      </c>
      <c r="B1375" s="3">
        <v>2</v>
      </c>
      <c r="C1375" s="2">
        <v>25</v>
      </c>
      <c r="D1375" s="2">
        <v>5</v>
      </c>
      <c r="E1375" s="2">
        <v>16</v>
      </c>
      <c r="F1375" s="17">
        <v>81</v>
      </c>
      <c r="H1375" s="360">
        <v>1.9815033240692781E-2</v>
      </c>
      <c r="I1375" s="360">
        <v>-0.42388192633119154</v>
      </c>
      <c r="K1375" s="363"/>
      <c r="N1375" s="10"/>
      <c r="O1375" s="4"/>
      <c r="P1375" s="4"/>
      <c r="Q1375" s="3"/>
      <c r="R1375" s="3"/>
      <c r="S1375" s="3"/>
      <c r="T1375" s="3"/>
    </row>
    <row r="1376" spans="1:20">
      <c r="A1376" s="3">
        <v>1</v>
      </c>
      <c r="B1376" s="3">
        <v>2</v>
      </c>
      <c r="C1376" s="2">
        <v>25</v>
      </c>
      <c r="D1376" s="2">
        <v>30</v>
      </c>
      <c r="E1376" s="2">
        <v>16</v>
      </c>
      <c r="F1376" s="17">
        <v>81</v>
      </c>
      <c r="H1376" s="360">
        <v>5.5724330266229805E-2</v>
      </c>
      <c r="I1376" s="360">
        <v>-0.58741741445616802</v>
      </c>
      <c r="K1376" s="363"/>
      <c r="N1376" s="10"/>
      <c r="O1376" s="4"/>
      <c r="P1376" s="4"/>
      <c r="Q1376" s="3"/>
      <c r="R1376" s="3"/>
      <c r="S1376" s="3"/>
      <c r="T1376" s="3"/>
    </row>
    <row r="1377" spans="1:20">
      <c r="A1377" s="3">
        <v>1</v>
      </c>
      <c r="B1377" s="3">
        <v>2</v>
      </c>
      <c r="C1377" s="2">
        <v>25</v>
      </c>
      <c r="D1377" s="2">
        <v>5</v>
      </c>
      <c r="E1377" s="2">
        <v>16</v>
      </c>
      <c r="F1377" s="17">
        <v>81</v>
      </c>
      <c r="H1377" s="361">
        <v>1.2765852918680043E-2</v>
      </c>
      <c r="I1377" s="361">
        <v>-0.59325125398996803</v>
      </c>
      <c r="K1377" s="363"/>
      <c r="N1377" s="10"/>
      <c r="O1377" s="4"/>
      <c r="P1377" s="4"/>
      <c r="Q1377" s="3"/>
      <c r="R1377" s="3"/>
      <c r="S1377" s="3"/>
      <c r="T1377" s="3"/>
    </row>
    <row r="1378" spans="1:20">
      <c r="A1378" s="3">
        <v>2</v>
      </c>
      <c r="B1378" s="3">
        <v>2</v>
      </c>
      <c r="C1378" s="2">
        <v>25</v>
      </c>
      <c r="D1378" s="2">
        <v>5</v>
      </c>
      <c r="E1378" s="2">
        <v>16</v>
      </c>
      <c r="F1378" s="17">
        <v>81</v>
      </c>
      <c r="H1378" s="361">
        <v>0.10511783127248253</v>
      </c>
      <c r="I1378" s="361">
        <v>-1</v>
      </c>
      <c r="K1378" s="363"/>
      <c r="N1378" s="10"/>
      <c r="O1378" s="4"/>
      <c r="P1378" s="4"/>
      <c r="Q1378" s="3"/>
      <c r="R1378" s="3"/>
      <c r="S1378" s="3"/>
      <c r="T1378" s="3"/>
    </row>
    <row r="1379" spans="1:20">
      <c r="A1379" s="3">
        <v>5</v>
      </c>
      <c r="B1379" s="3">
        <v>2</v>
      </c>
      <c r="C1379" s="2">
        <v>50</v>
      </c>
      <c r="D1379" s="2">
        <v>5</v>
      </c>
      <c r="E1379" s="2">
        <v>16</v>
      </c>
      <c r="F1379" s="17">
        <v>82</v>
      </c>
      <c r="H1379" s="360">
        <v>1</v>
      </c>
      <c r="I1379" s="359">
        <v>0.46300139530922663</v>
      </c>
      <c r="K1379" s="363"/>
      <c r="N1379" s="10"/>
      <c r="O1379" s="4"/>
      <c r="P1379" s="4"/>
      <c r="Q1379" s="3"/>
      <c r="R1379" s="3"/>
      <c r="S1379" s="3"/>
      <c r="T1379" s="3"/>
    </row>
    <row r="1380" spans="1:20">
      <c r="A1380" s="3">
        <v>4</v>
      </c>
      <c r="B1380" s="3">
        <v>2</v>
      </c>
      <c r="C1380" s="2">
        <v>50</v>
      </c>
      <c r="D1380" s="2">
        <v>5</v>
      </c>
      <c r="E1380" s="2">
        <v>16</v>
      </c>
      <c r="F1380" s="17">
        <v>82</v>
      </c>
      <c r="H1380" s="360">
        <v>1</v>
      </c>
      <c r="I1380" s="359">
        <v>-0.70090262225567956</v>
      </c>
      <c r="K1380" s="363"/>
      <c r="N1380" s="10"/>
      <c r="O1380" s="4"/>
      <c r="P1380" s="4"/>
      <c r="Q1380" s="3"/>
      <c r="R1380" s="3"/>
      <c r="S1380" s="3"/>
      <c r="T1380" s="3"/>
    </row>
    <row r="1381" spans="1:20">
      <c r="A1381" s="3">
        <v>2</v>
      </c>
      <c r="B1381" s="3">
        <v>2</v>
      </c>
      <c r="C1381" s="2">
        <v>25</v>
      </c>
      <c r="D1381" s="2">
        <v>5</v>
      </c>
      <c r="E1381" s="2">
        <v>16</v>
      </c>
      <c r="F1381" s="17">
        <v>82</v>
      </c>
      <c r="H1381" s="361">
        <v>1</v>
      </c>
      <c r="I1381" s="361">
        <v>-0.82947350648619744</v>
      </c>
      <c r="K1381" s="363"/>
      <c r="N1381" s="10"/>
      <c r="O1381" s="4"/>
      <c r="P1381" s="4"/>
      <c r="Q1381" s="3"/>
      <c r="R1381" s="3"/>
      <c r="S1381" s="3"/>
      <c r="T1381" s="3"/>
    </row>
    <row r="1382" spans="1:20">
      <c r="A1382" s="3">
        <v>1</v>
      </c>
      <c r="B1382" s="3">
        <v>2</v>
      </c>
      <c r="C1382" s="2">
        <v>25</v>
      </c>
      <c r="D1382" s="2">
        <v>30</v>
      </c>
      <c r="E1382" s="2">
        <v>16</v>
      </c>
      <c r="F1382" s="17">
        <v>82</v>
      </c>
      <c r="H1382" s="360">
        <v>1</v>
      </c>
      <c r="I1382" s="360">
        <v>-0.84351211063723752</v>
      </c>
      <c r="K1382" s="363"/>
      <c r="N1382" s="10"/>
      <c r="O1382" s="4"/>
      <c r="P1382" s="4"/>
      <c r="Q1382" s="3"/>
      <c r="R1382" s="3"/>
      <c r="S1382" s="3"/>
      <c r="T1382" s="3"/>
    </row>
    <row r="1383" spans="1:20">
      <c r="A1383" s="3">
        <v>2</v>
      </c>
      <c r="B1383" s="3">
        <v>2</v>
      </c>
      <c r="C1383" s="2">
        <v>25</v>
      </c>
      <c r="D1383" s="2">
        <v>5</v>
      </c>
      <c r="E1383" s="2">
        <v>1</v>
      </c>
      <c r="F1383" s="17">
        <v>82</v>
      </c>
      <c r="H1383" s="361">
        <v>1</v>
      </c>
      <c r="I1383" s="361">
        <v>-0.85811482302576259</v>
      </c>
      <c r="K1383" s="363"/>
      <c r="N1383" s="10"/>
      <c r="O1383" s="4"/>
      <c r="P1383" s="4"/>
      <c r="Q1383" s="3"/>
      <c r="R1383" s="3"/>
      <c r="S1383" s="3"/>
      <c r="T1383" s="3"/>
    </row>
    <row r="1384" spans="1:20">
      <c r="A1384" s="3">
        <v>1</v>
      </c>
      <c r="B1384" s="3">
        <v>1</v>
      </c>
      <c r="C1384" s="2">
        <v>25</v>
      </c>
      <c r="D1384" s="2">
        <v>30</v>
      </c>
      <c r="E1384" s="2">
        <v>16</v>
      </c>
      <c r="F1384" s="17">
        <v>82</v>
      </c>
      <c r="H1384" s="360">
        <v>1</v>
      </c>
      <c r="I1384" s="360">
        <v>-0.87805499618358029</v>
      </c>
      <c r="K1384" s="363"/>
      <c r="N1384" s="10"/>
      <c r="O1384" s="4"/>
      <c r="P1384" s="4"/>
      <c r="Q1384" s="3"/>
      <c r="R1384" s="3"/>
      <c r="S1384" s="3"/>
      <c r="T1384" s="3"/>
    </row>
    <row r="1385" spans="1:20">
      <c r="A1385" s="3">
        <v>1</v>
      </c>
      <c r="B1385" s="3">
        <v>2</v>
      </c>
      <c r="C1385" s="2">
        <v>25</v>
      </c>
      <c r="D1385" s="2">
        <v>5</v>
      </c>
      <c r="E1385" s="2">
        <v>1</v>
      </c>
      <c r="F1385" s="17">
        <v>82</v>
      </c>
      <c r="H1385" s="360">
        <v>1</v>
      </c>
      <c r="I1385" s="360">
        <v>-0.90655209999316488</v>
      </c>
      <c r="K1385" s="363"/>
      <c r="N1385" s="10"/>
      <c r="O1385" s="4"/>
      <c r="P1385" s="4"/>
      <c r="Q1385" s="3"/>
      <c r="R1385" s="3"/>
      <c r="S1385" s="3"/>
      <c r="T1385" s="3"/>
    </row>
    <row r="1386" spans="1:20">
      <c r="A1386" s="3">
        <v>1</v>
      </c>
      <c r="B1386" s="3">
        <v>2</v>
      </c>
      <c r="C1386" s="2">
        <v>25</v>
      </c>
      <c r="D1386" s="2">
        <v>5</v>
      </c>
      <c r="E1386" s="2">
        <v>16</v>
      </c>
      <c r="F1386" s="17">
        <v>82</v>
      </c>
      <c r="H1386" s="360">
        <v>1</v>
      </c>
      <c r="I1386" s="360">
        <v>-0.91932407031230523</v>
      </c>
      <c r="K1386" s="363"/>
      <c r="N1386" s="10"/>
      <c r="O1386" s="4"/>
      <c r="P1386" s="4"/>
      <c r="Q1386" s="3"/>
      <c r="R1386" s="3"/>
      <c r="S1386" s="3"/>
      <c r="T1386" s="3"/>
    </row>
    <row r="1387" spans="1:20">
      <c r="A1387" s="3">
        <v>1</v>
      </c>
      <c r="B1387" s="3">
        <v>2</v>
      </c>
      <c r="C1387" s="2">
        <v>25</v>
      </c>
      <c r="D1387" s="2">
        <v>5</v>
      </c>
      <c r="E1387" s="2">
        <v>16</v>
      </c>
      <c r="F1387" s="17">
        <v>82</v>
      </c>
      <c r="H1387" s="361">
        <v>1</v>
      </c>
      <c r="I1387" s="361">
        <v>-0.92139470696240089</v>
      </c>
      <c r="K1387" s="363"/>
      <c r="N1387" s="10"/>
      <c r="O1387" s="4"/>
      <c r="P1387" s="4"/>
      <c r="Q1387" s="3"/>
      <c r="R1387" s="3"/>
      <c r="S1387" s="3"/>
      <c r="T1387" s="3"/>
    </row>
    <row r="1388" spans="1:20">
      <c r="A1388" s="3">
        <v>3</v>
      </c>
      <c r="B1388" s="3">
        <v>2</v>
      </c>
      <c r="C1388" s="2">
        <v>25</v>
      </c>
      <c r="D1388" s="2">
        <v>5</v>
      </c>
      <c r="E1388" s="2">
        <v>16</v>
      </c>
      <c r="F1388" s="17">
        <v>82</v>
      </c>
      <c r="H1388" s="360">
        <v>1</v>
      </c>
      <c r="I1388" s="360">
        <v>-0.92943340677672381</v>
      </c>
      <c r="K1388" s="363"/>
      <c r="N1388" s="10"/>
      <c r="O1388" s="4"/>
      <c r="P1388" s="4"/>
      <c r="Q1388" s="3"/>
      <c r="R1388" s="3"/>
      <c r="S1388" s="3"/>
      <c r="T1388" s="3"/>
    </row>
    <row r="1389" spans="1:20">
      <c r="A1389" s="3">
        <v>1</v>
      </c>
      <c r="B1389" s="3">
        <v>1</v>
      </c>
      <c r="C1389" s="2">
        <v>25</v>
      </c>
      <c r="D1389" s="2">
        <v>5</v>
      </c>
      <c r="E1389" s="2">
        <v>16</v>
      </c>
      <c r="F1389" s="17">
        <v>82</v>
      </c>
      <c r="H1389" s="360">
        <v>1</v>
      </c>
      <c r="I1389" s="360">
        <v>-0.94070337989792918</v>
      </c>
      <c r="K1389" s="363"/>
      <c r="N1389" s="10"/>
      <c r="O1389" s="4"/>
      <c r="P1389" s="4"/>
      <c r="Q1389" s="3"/>
      <c r="R1389" s="3"/>
      <c r="S1389" s="3"/>
      <c r="T1389" s="3"/>
    </row>
    <row r="1390" spans="1:20">
      <c r="A1390" s="3">
        <v>1</v>
      </c>
      <c r="B1390" s="3">
        <v>1</v>
      </c>
      <c r="C1390" s="2">
        <v>25</v>
      </c>
      <c r="D1390" s="2">
        <v>5</v>
      </c>
      <c r="E1390" s="2">
        <v>1</v>
      </c>
      <c r="F1390" s="17">
        <v>82</v>
      </c>
      <c r="H1390" s="360">
        <v>1</v>
      </c>
      <c r="I1390" s="360">
        <v>-0.94620502094528725</v>
      </c>
      <c r="K1390" s="363"/>
      <c r="N1390" s="10"/>
      <c r="O1390" s="4"/>
      <c r="P1390" s="4"/>
      <c r="Q1390" s="3"/>
      <c r="R1390" s="3"/>
      <c r="S1390" s="3"/>
      <c r="T1390" s="3"/>
    </row>
    <row r="1391" spans="1:20">
      <c r="A1391" s="3">
        <v>3</v>
      </c>
      <c r="B1391" s="3">
        <v>2</v>
      </c>
      <c r="C1391" s="2">
        <v>25</v>
      </c>
      <c r="D1391" s="2">
        <v>5</v>
      </c>
      <c r="E1391" s="2">
        <v>1</v>
      </c>
      <c r="F1391" s="17">
        <v>82</v>
      </c>
      <c r="H1391" s="361">
        <v>1</v>
      </c>
      <c r="I1391" s="361">
        <v>-0.94724249165028518</v>
      </c>
      <c r="K1391" s="363"/>
      <c r="N1391" s="10"/>
      <c r="O1391" s="4"/>
      <c r="P1391" s="4"/>
      <c r="Q1391" s="3"/>
      <c r="R1391" s="3"/>
      <c r="S1391" s="3"/>
      <c r="T1391" s="3"/>
    </row>
    <row r="1392" spans="1:20">
      <c r="A1392" s="3">
        <v>3</v>
      </c>
      <c r="B1392" s="3">
        <v>1</v>
      </c>
      <c r="C1392" s="2">
        <v>25</v>
      </c>
      <c r="D1392" s="2">
        <v>5</v>
      </c>
      <c r="E1392" s="2">
        <v>1</v>
      </c>
      <c r="F1392" s="17">
        <v>82</v>
      </c>
      <c r="H1392" s="360">
        <v>1</v>
      </c>
      <c r="I1392" s="360">
        <v>-0.95484969422125499</v>
      </c>
      <c r="K1392" s="363"/>
      <c r="N1392" s="10"/>
      <c r="O1392" s="4"/>
      <c r="P1392" s="4"/>
      <c r="Q1392" s="3"/>
      <c r="R1392" s="3"/>
      <c r="S1392" s="3"/>
      <c r="T1392" s="3"/>
    </row>
    <row r="1393" spans="1:20">
      <c r="A1393" s="3">
        <v>3</v>
      </c>
      <c r="B1393" s="3">
        <v>1</v>
      </c>
      <c r="C1393" s="2">
        <v>25</v>
      </c>
      <c r="D1393" s="2">
        <v>5</v>
      </c>
      <c r="E1393" s="2">
        <v>16</v>
      </c>
      <c r="F1393" s="17">
        <v>82</v>
      </c>
      <c r="H1393" s="361">
        <v>1</v>
      </c>
      <c r="I1393" s="361">
        <v>-0.95621543586080904</v>
      </c>
      <c r="K1393" s="363"/>
      <c r="N1393" s="10"/>
      <c r="O1393" s="4"/>
      <c r="P1393" s="4"/>
      <c r="Q1393" s="3"/>
      <c r="R1393" s="3"/>
      <c r="S1393" s="3"/>
      <c r="T1393" s="3"/>
    </row>
    <row r="1394" spans="1:20">
      <c r="A1394" s="3">
        <v>2</v>
      </c>
      <c r="B1394" s="3">
        <v>1</v>
      </c>
      <c r="C1394" s="2">
        <v>25</v>
      </c>
      <c r="D1394" s="2">
        <v>5</v>
      </c>
      <c r="E1394" s="2">
        <v>1</v>
      </c>
      <c r="F1394" s="17">
        <v>82</v>
      </c>
      <c r="H1394" s="360">
        <v>1</v>
      </c>
      <c r="I1394" s="360">
        <v>-1</v>
      </c>
      <c r="K1394" s="363"/>
      <c r="N1394" s="10"/>
      <c r="O1394" s="4"/>
      <c r="P1394" s="4"/>
      <c r="Q1394" s="3"/>
      <c r="R1394" s="3"/>
      <c r="S1394" s="3"/>
      <c r="T1394" s="3"/>
    </row>
    <row r="1395" spans="1:20">
      <c r="A1395" s="3">
        <v>2</v>
      </c>
      <c r="B1395" s="3">
        <v>1</v>
      </c>
      <c r="C1395" s="2">
        <v>25</v>
      </c>
      <c r="D1395" s="2">
        <v>5</v>
      </c>
      <c r="E1395" s="2">
        <v>16</v>
      </c>
      <c r="F1395" s="17">
        <v>82</v>
      </c>
      <c r="H1395" s="361">
        <v>0.99552894354008992</v>
      </c>
      <c r="I1395" s="361">
        <v>-1</v>
      </c>
      <c r="K1395" s="363"/>
      <c r="N1395" s="10"/>
      <c r="O1395" s="4"/>
      <c r="P1395" s="4"/>
      <c r="Q1395" s="3"/>
      <c r="R1395" s="3"/>
      <c r="S1395" s="3"/>
      <c r="T1395" s="3"/>
    </row>
    <row r="1396" spans="1:20">
      <c r="A1396" s="3">
        <v>1</v>
      </c>
      <c r="B1396" s="3">
        <v>1</v>
      </c>
      <c r="C1396" s="2">
        <v>25</v>
      </c>
      <c r="D1396" s="2">
        <v>5</v>
      </c>
      <c r="E1396" s="2">
        <v>1</v>
      </c>
      <c r="F1396" s="17">
        <v>83</v>
      </c>
      <c r="H1396" s="360">
        <v>0.90209369749104529</v>
      </c>
      <c r="I1396" s="360">
        <v>0.62702528690686676</v>
      </c>
      <c r="K1396" s="363"/>
      <c r="N1396" s="10"/>
      <c r="O1396" s="4"/>
      <c r="P1396" s="4"/>
      <c r="Q1396" s="3"/>
      <c r="R1396" s="3"/>
      <c r="S1396" s="3"/>
      <c r="T1396" s="3"/>
    </row>
    <row r="1397" spans="1:20">
      <c r="A1397" s="3">
        <v>1</v>
      </c>
      <c r="B1397" s="3">
        <v>1</v>
      </c>
      <c r="C1397" s="2">
        <v>25</v>
      </c>
      <c r="D1397" s="2">
        <v>5</v>
      </c>
      <c r="E1397" s="2">
        <v>16</v>
      </c>
      <c r="F1397" s="17">
        <v>83</v>
      </c>
      <c r="H1397" s="360">
        <v>1</v>
      </c>
      <c r="I1397" s="360">
        <v>0.57302284205693299</v>
      </c>
      <c r="K1397" s="363"/>
      <c r="N1397" s="10"/>
      <c r="O1397" s="4"/>
      <c r="P1397" s="4"/>
      <c r="Q1397" s="3"/>
      <c r="R1397" s="3"/>
      <c r="S1397" s="3"/>
      <c r="T1397" s="3"/>
    </row>
    <row r="1398" spans="1:20">
      <c r="A1398" s="3">
        <v>2</v>
      </c>
      <c r="B1398" s="3">
        <v>1</v>
      </c>
      <c r="C1398" s="2">
        <v>25</v>
      </c>
      <c r="D1398" s="2">
        <v>5</v>
      </c>
      <c r="E1398" s="2">
        <v>16</v>
      </c>
      <c r="F1398" s="17">
        <v>83</v>
      </c>
      <c r="H1398" s="361">
        <v>1</v>
      </c>
      <c r="I1398" s="361">
        <v>0.48444948064211518</v>
      </c>
      <c r="K1398" s="363"/>
      <c r="N1398" s="10"/>
      <c r="O1398" s="4"/>
      <c r="P1398" s="4"/>
      <c r="Q1398" s="3"/>
      <c r="R1398" s="3"/>
      <c r="S1398" s="3"/>
      <c r="T1398" s="3"/>
    </row>
    <row r="1399" spans="1:20">
      <c r="A1399" s="3">
        <v>4</v>
      </c>
      <c r="B1399" s="3">
        <v>2</v>
      </c>
      <c r="C1399" s="2">
        <v>50</v>
      </c>
      <c r="D1399" s="2">
        <v>5</v>
      </c>
      <c r="E1399" s="2">
        <v>16</v>
      </c>
      <c r="F1399" s="17">
        <v>83</v>
      </c>
      <c r="H1399" s="360">
        <v>0.99629309356933893</v>
      </c>
      <c r="I1399" s="359">
        <v>0.4803370145896208</v>
      </c>
      <c r="K1399" s="363"/>
      <c r="N1399" s="10"/>
      <c r="O1399" s="4"/>
      <c r="P1399" s="4"/>
      <c r="Q1399" s="3"/>
      <c r="R1399" s="3"/>
      <c r="S1399" s="3"/>
      <c r="T1399" s="3"/>
    </row>
    <row r="1400" spans="1:20">
      <c r="A1400" s="3">
        <v>2</v>
      </c>
      <c r="B1400" s="3">
        <v>1</v>
      </c>
      <c r="C1400" s="2">
        <v>25</v>
      </c>
      <c r="D1400" s="2">
        <v>5</v>
      </c>
      <c r="E1400" s="2">
        <v>1</v>
      </c>
      <c r="F1400" s="17">
        <v>83</v>
      </c>
      <c r="H1400" s="360">
        <v>1</v>
      </c>
      <c r="I1400" s="360">
        <v>0.47736095201730938</v>
      </c>
      <c r="K1400" s="363"/>
      <c r="N1400" s="10"/>
      <c r="O1400" s="4"/>
      <c r="P1400" s="4"/>
      <c r="Q1400" s="3"/>
      <c r="R1400" s="3"/>
      <c r="S1400" s="3"/>
      <c r="T1400" s="3"/>
    </row>
    <row r="1401" spans="1:20">
      <c r="A1401" s="3">
        <v>3</v>
      </c>
      <c r="B1401" s="3">
        <v>1</v>
      </c>
      <c r="C1401" s="2">
        <v>25</v>
      </c>
      <c r="D1401" s="2">
        <v>5</v>
      </c>
      <c r="E1401" s="2">
        <v>16</v>
      </c>
      <c r="F1401" s="17">
        <v>83</v>
      </c>
      <c r="H1401" s="361">
        <v>0.99239260314569877</v>
      </c>
      <c r="I1401" s="361">
        <v>0.18692580033163533</v>
      </c>
      <c r="K1401" s="363"/>
      <c r="N1401" s="10"/>
      <c r="O1401" s="4"/>
      <c r="P1401" s="4"/>
      <c r="Q1401" s="3"/>
      <c r="R1401" s="3"/>
      <c r="S1401" s="3"/>
      <c r="T1401" s="3"/>
    </row>
    <row r="1402" spans="1:20">
      <c r="A1402" s="3">
        <v>1</v>
      </c>
      <c r="B1402" s="3">
        <v>2</v>
      </c>
      <c r="C1402" s="2">
        <v>25</v>
      </c>
      <c r="D1402" s="2">
        <v>5</v>
      </c>
      <c r="E1402" s="2">
        <v>16</v>
      </c>
      <c r="F1402" s="17">
        <v>83</v>
      </c>
      <c r="H1402" s="360">
        <v>0.34363898733224585</v>
      </c>
      <c r="I1402" s="360">
        <v>0.15937958424272783</v>
      </c>
      <c r="K1402" s="363"/>
      <c r="N1402" s="10"/>
      <c r="O1402" s="4"/>
      <c r="P1402" s="4"/>
      <c r="Q1402" s="3"/>
      <c r="R1402" s="3"/>
      <c r="S1402" s="3"/>
      <c r="T1402" s="3"/>
    </row>
    <row r="1403" spans="1:20">
      <c r="A1403" s="3">
        <v>1</v>
      </c>
      <c r="B1403" s="3">
        <v>2</v>
      </c>
      <c r="C1403" s="2">
        <v>25</v>
      </c>
      <c r="D1403" s="2">
        <v>5</v>
      </c>
      <c r="E1403" s="2">
        <v>1</v>
      </c>
      <c r="F1403" s="17">
        <v>83</v>
      </c>
      <c r="H1403" s="360">
        <v>0.20897899963193578</v>
      </c>
      <c r="I1403" s="360">
        <v>0.14713799663711644</v>
      </c>
      <c r="K1403" s="363"/>
      <c r="N1403" s="10"/>
      <c r="O1403" s="4"/>
      <c r="P1403" s="4"/>
      <c r="Q1403" s="3"/>
      <c r="R1403" s="3"/>
      <c r="S1403" s="3"/>
      <c r="T1403" s="3"/>
    </row>
    <row r="1404" spans="1:20">
      <c r="A1404" s="3">
        <v>1</v>
      </c>
      <c r="B1404" s="3">
        <v>2</v>
      </c>
      <c r="C1404" s="2">
        <v>25</v>
      </c>
      <c r="D1404" s="2">
        <v>5</v>
      </c>
      <c r="E1404" s="2">
        <v>16</v>
      </c>
      <c r="F1404" s="17">
        <v>83</v>
      </c>
      <c r="H1404" s="361">
        <v>0.53409484651120054</v>
      </c>
      <c r="I1404" s="361">
        <v>0.13228314244906986</v>
      </c>
      <c r="K1404" s="363"/>
      <c r="N1404" s="10"/>
      <c r="O1404" s="4"/>
      <c r="P1404" s="4"/>
      <c r="Q1404" s="3"/>
      <c r="R1404" s="3"/>
      <c r="S1404" s="3"/>
      <c r="T1404" s="3"/>
    </row>
    <row r="1405" spans="1:20">
      <c r="A1405" s="3">
        <v>1</v>
      </c>
      <c r="B1405" s="3">
        <v>2</v>
      </c>
      <c r="C1405" s="2">
        <v>25</v>
      </c>
      <c r="D1405" s="2">
        <v>30</v>
      </c>
      <c r="E1405" s="2">
        <v>16</v>
      </c>
      <c r="F1405" s="17">
        <v>83</v>
      </c>
      <c r="H1405" s="360">
        <v>0.51549496412382123</v>
      </c>
      <c r="I1405" s="360">
        <v>6.9864611705933791E-2</v>
      </c>
      <c r="K1405" s="363"/>
      <c r="N1405" s="10"/>
      <c r="O1405" s="4"/>
      <c r="P1405" s="4"/>
      <c r="Q1405" s="3"/>
      <c r="R1405" s="3"/>
      <c r="S1405" s="3"/>
      <c r="T1405" s="3"/>
    </row>
    <row r="1406" spans="1:20">
      <c r="A1406" s="3">
        <v>3</v>
      </c>
      <c r="B1406" s="3">
        <v>1</v>
      </c>
      <c r="C1406" s="2">
        <v>25</v>
      </c>
      <c r="D1406" s="2">
        <v>5</v>
      </c>
      <c r="E1406" s="2">
        <v>1</v>
      </c>
      <c r="F1406" s="17">
        <v>83</v>
      </c>
      <c r="H1406" s="360">
        <v>0.3017454646982225</v>
      </c>
      <c r="I1406" s="360">
        <v>1.5844484388522736E-3</v>
      </c>
      <c r="K1406" s="363"/>
      <c r="N1406" s="10"/>
      <c r="O1406" s="4"/>
      <c r="P1406" s="4"/>
      <c r="Q1406" s="3"/>
      <c r="R1406" s="3"/>
      <c r="S1406" s="3"/>
      <c r="T1406" s="3"/>
    </row>
    <row r="1407" spans="1:20">
      <c r="A1407" s="3">
        <v>2</v>
      </c>
      <c r="B1407" s="3">
        <v>2</v>
      </c>
      <c r="C1407" s="2">
        <v>25</v>
      </c>
      <c r="D1407" s="2">
        <v>5</v>
      </c>
      <c r="E1407" s="2">
        <v>1</v>
      </c>
      <c r="F1407" s="17">
        <v>83</v>
      </c>
      <c r="H1407" s="361">
        <v>8.6791059395735615E-2</v>
      </c>
      <c r="I1407" s="361">
        <v>-1.2353046488034852E-2</v>
      </c>
      <c r="K1407" s="363"/>
      <c r="N1407" s="10"/>
      <c r="O1407" s="4"/>
      <c r="P1407" s="4"/>
      <c r="Q1407" s="3"/>
      <c r="R1407" s="3"/>
      <c r="S1407" s="3"/>
      <c r="T1407" s="3"/>
    </row>
    <row r="1408" spans="1:20">
      <c r="A1408" s="3">
        <v>1</v>
      </c>
      <c r="B1408" s="3">
        <v>1</v>
      </c>
      <c r="C1408" s="2">
        <v>25</v>
      </c>
      <c r="D1408" s="2">
        <v>30</v>
      </c>
      <c r="E1408" s="2">
        <v>16</v>
      </c>
      <c r="F1408" s="17">
        <v>83</v>
      </c>
      <c r="H1408" s="360">
        <v>1</v>
      </c>
      <c r="I1408" s="360">
        <v>-2.1272950769731052E-2</v>
      </c>
      <c r="K1408" s="363"/>
      <c r="N1408" s="10"/>
      <c r="O1408" s="4"/>
      <c r="P1408" s="4"/>
      <c r="Q1408" s="3"/>
      <c r="R1408" s="3"/>
      <c r="S1408" s="3"/>
      <c r="T1408" s="3"/>
    </row>
    <row r="1409" spans="1:20">
      <c r="A1409" s="3">
        <v>5</v>
      </c>
      <c r="B1409" s="3">
        <v>2</v>
      </c>
      <c r="C1409" s="2">
        <v>50</v>
      </c>
      <c r="D1409" s="2">
        <v>5</v>
      </c>
      <c r="E1409" s="2">
        <v>16</v>
      </c>
      <c r="F1409" s="17">
        <v>83</v>
      </c>
      <c r="H1409" s="360">
        <v>1</v>
      </c>
      <c r="I1409" s="359">
        <v>-7.9037051173696096E-2</v>
      </c>
      <c r="K1409" s="363"/>
      <c r="N1409" s="10"/>
      <c r="O1409" s="4"/>
      <c r="P1409" s="4"/>
      <c r="Q1409" s="3"/>
      <c r="R1409" s="3"/>
      <c r="S1409" s="3"/>
      <c r="T1409" s="3"/>
    </row>
    <row r="1410" spans="1:20">
      <c r="A1410" s="3">
        <v>3</v>
      </c>
      <c r="B1410" s="3">
        <v>2</v>
      </c>
      <c r="C1410" s="2">
        <v>25</v>
      </c>
      <c r="D1410" s="2">
        <v>5</v>
      </c>
      <c r="E1410" s="2">
        <v>16</v>
      </c>
      <c r="F1410" s="17">
        <v>83</v>
      </c>
      <c r="H1410" s="360">
        <v>0.50402391031166638</v>
      </c>
      <c r="I1410" s="360">
        <v>-0.12997065712370157</v>
      </c>
      <c r="K1410" s="363"/>
      <c r="N1410" s="10"/>
      <c r="O1410" s="4"/>
      <c r="P1410" s="4"/>
      <c r="Q1410" s="3"/>
      <c r="R1410" s="3"/>
      <c r="S1410" s="3"/>
      <c r="T1410" s="3"/>
    </row>
    <row r="1411" spans="1:20">
      <c r="A1411" s="3">
        <v>3</v>
      </c>
      <c r="B1411" s="3">
        <v>2</v>
      </c>
      <c r="C1411" s="2">
        <v>25</v>
      </c>
      <c r="D1411" s="2">
        <v>5</v>
      </c>
      <c r="E1411" s="2">
        <v>1</v>
      </c>
      <c r="F1411" s="17">
        <v>83</v>
      </c>
      <c r="H1411" s="361">
        <v>0.24618542313235825</v>
      </c>
      <c r="I1411" s="361">
        <v>-0.13950877098615602</v>
      </c>
      <c r="K1411" s="363"/>
      <c r="N1411" s="10"/>
      <c r="O1411" s="4"/>
      <c r="P1411" s="4"/>
      <c r="Q1411" s="3"/>
      <c r="R1411" s="3"/>
      <c r="S1411" s="3"/>
      <c r="T1411" s="3"/>
    </row>
    <row r="1412" spans="1:20">
      <c r="A1412" s="3">
        <v>2</v>
      </c>
      <c r="B1412" s="3">
        <v>2</v>
      </c>
      <c r="C1412" s="2">
        <v>25</v>
      </c>
      <c r="D1412" s="2">
        <v>5</v>
      </c>
      <c r="E1412" s="2">
        <v>16</v>
      </c>
      <c r="F1412" s="17">
        <v>83</v>
      </c>
      <c r="H1412" s="361">
        <v>0.13663217107738246</v>
      </c>
      <c r="I1412" s="361">
        <v>-0.16982515303691215</v>
      </c>
      <c r="K1412" s="363"/>
      <c r="N1412" s="10"/>
      <c r="O1412" s="4"/>
      <c r="P1412" s="4"/>
      <c r="Q1412" s="3"/>
      <c r="R1412" s="3"/>
      <c r="S1412" s="3"/>
      <c r="T1412" s="3"/>
    </row>
    <row r="1413" spans="1:20">
      <c r="A1413" s="3">
        <v>4</v>
      </c>
      <c r="B1413" s="3">
        <v>2</v>
      </c>
      <c r="C1413" s="2">
        <v>50</v>
      </c>
      <c r="D1413" s="2">
        <v>5</v>
      </c>
      <c r="E1413" s="2">
        <v>16</v>
      </c>
      <c r="F1413" s="17">
        <v>84</v>
      </c>
      <c r="H1413" s="360">
        <v>0.33568754954135743</v>
      </c>
      <c r="I1413" s="359">
        <v>-0.21040066883157801</v>
      </c>
      <c r="K1413" s="363"/>
      <c r="N1413" s="10"/>
      <c r="O1413" s="4"/>
      <c r="P1413" s="4"/>
      <c r="Q1413" s="3"/>
      <c r="R1413" s="3"/>
      <c r="S1413" s="3"/>
      <c r="T1413" s="3"/>
    </row>
    <row r="1414" spans="1:20">
      <c r="A1414" s="3">
        <v>5</v>
      </c>
      <c r="B1414" s="3">
        <v>2</v>
      </c>
      <c r="C1414" s="2">
        <v>50</v>
      </c>
      <c r="D1414" s="2">
        <v>5</v>
      </c>
      <c r="E1414" s="2">
        <v>16</v>
      </c>
      <c r="F1414" s="17">
        <v>84</v>
      </c>
      <c r="H1414" s="360">
        <v>1</v>
      </c>
      <c r="I1414" s="359">
        <v>-0.2374438707939758</v>
      </c>
      <c r="K1414" s="363"/>
      <c r="N1414" s="10"/>
      <c r="O1414" s="4"/>
      <c r="P1414" s="4"/>
      <c r="Q1414" s="3"/>
      <c r="R1414" s="3"/>
      <c r="S1414" s="3"/>
      <c r="T1414" s="3"/>
    </row>
    <row r="1415" spans="1:20">
      <c r="A1415" s="3">
        <v>1</v>
      </c>
      <c r="B1415" s="3">
        <v>2</v>
      </c>
      <c r="C1415" s="2">
        <v>25</v>
      </c>
      <c r="D1415" s="2">
        <v>5</v>
      </c>
      <c r="E1415" s="2">
        <v>16</v>
      </c>
      <c r="F1415" s="17">
        <v>84</v>
      </c>
      <c r="H1415" s="361">
        <v>1</v>
      </c>
      <c r="I1415" s="361">
        <v>-0.9800440436993838</v>
      </c>
      <c r="K1415" s="363"/>
      <c r="N1415" s="10"/>
      <c r="O1415" s="4"/>
      <c r="P1415" s="4"/>
      <c r="Q1415" s="3"/>
      <c r="R1415" s="3"/>
      <c r="S1415" s="3"/>
      <c r="T1415" s="3"/>
    </row>
    <row r="1416" spans="1:20">
      <c r="A1416" s="3">
        <v>1</v>
      </c>
      <c r="B1416" s="3">
        <v>2</v>
      </c>
      <c r="C1416" s="2">
        <v>25</v>
      </c>
      <c r="D1416" s="2">
        <v>30</v>
      </c>
      <c r="E1416" s="2">
        <v>16</v>
      </c>
      <c r="F1416" s="17">
        <v>84</v>
      </c>
      <c r="H1416" s="360">
        <v>1</v>
      </c>
      <c r="I1416" s="360">
        <v>-0.98302448760530392</v>
      </c>
      <c r="K1416" s="363"/>
      <c r="N1416" s="10"/>
      <c r="O1416" s="4"/>
      <c r="P1416" s="4"/>
      <c r="Q1416" s="3"/>
      <c r="R1416" s="3"/>
      <c r="S1416" s="3"/>
      <c r="T1416" s="3"/>
    </row>
    <row r="1417" spans="1:20">
      <c r="A1417" s="3">
        <v>1</v>
      </c>
      <c r="B1417" s="3">
        <v>2</v>
      </c>
      <c r="C1417" s="2">
        <v>25</v>
      </c>
      <c r="D1417" s="2">
        <v>5</v>
      </c>
      <c r="E1417" s="2">
        <v>16</v>
      </c>
      <c r="F1417" s="17">
        <v>84</v>
      </c>
      <c r="H1417" s="360">
        <v>1</v>
      </c>
      <c r="I1417" s="360">
        <v>-0.98710332018299618</v>
      </c>
      <c r="K1417" s="363"/>
      <c r="N1417" s="10"/>
      <c r="O1417" s="4"/>
      <c r="P1417" s="4"/>
      <c r="Q1417" s="3"/>
      <c r="R1417" s="3"/>
      <c r="S1417" s="3"/>
      <c r="T1417" s="3"/>
    </row>
    <row r="1418" spans="1:20">
      <c r="A1418" s="3">
        <v>3</v>
      </c>
      <c r="B1418" s="3">
        <v>2</v>
      </c>
      <c r="C1418" s="2">
        <v>25</v>
      </c>
      <c r="D1418" s="2">
        <v>5</v>
      </c>
      <c r="E1418" s="2">
        <v>16</v>
      </c>
      <c r="F1418" s="17">
        <v>84</v>
      </c>
      <c r="H1418" s="360">
        <v>1</v>
      </c>
      <c r="I1418" s="360">
        <v>-0.98849459797733796</v>
      </c>
      <c r="K1418" s="363"/>
      <c r="N1418" s="10"/>
      <c r="O1418" s="4"/>
      <c r="P1418" s="4"/>
      <c r="Q1418" s="3"/>
      <c r="R1418" s="3"/>
      <c r="S1418" s="3"/>
      <c r="T1418" s="3"/>
    </row>
    <row r="1419" spans="1:20">
      <c r="A1419" s="3">
        <v>1</v>
      </c>
      <c r="B1419" s="3">
        <v>1</v>
      </c>
      <c r="C1419" s="2">
        <v>25</v>
      </c>
      <c r="D1419" s="2">
        <v>30</v>
      </c>
      <c r="E1419" s="2">
        <v>16</v>
      </c>
      <c r="F1419" s="17">
        <v>84</v>
      </c>
      <c r="H1419" s="360">
        <v>1</v>
      </c>
      <c r="I1419" s="360">
        <v>-0.98935281338776293</v>
      </c>
      <c r="K1419" s="363"/>
      <c r="N1419" s="10"/>
      <c r="O1419" s="4"/>
      <c r="P1419" s="4"/>
      <c r="Q1419" s="3"/>
      <c r="R1419" s="3"/>
      <c r="S1419" s="3"/>
      <c r="T1419" s="3"/>
    </row>
    <row r="1420" spans="1:20">
      <c r="A1420" s="3">
        <v>3</v>
      </c>
      <c r="B1420" s="3">
        <v>2</v>
      </c>
      <c r="C1420" s="2">
        <v>25</v>
      </c>
      <c r="D1420" s="2">
        <v>5</v>
      </c>
      <c r="E1420" s="2">
        <v>1</v>
      </c>
      <c r="F1420" s="17">
        <v>84</v>
      </c>
      <c r="H1420" s="361">
        <v>1</v>
      </c>
      <c r="I1420" s="361">
        <v>-0.99026901300786174</v>
      </c>
      <c r="K1420" s="363"/>
      <c r="N1420" s="10"/>
      <c r="O1420" s="4"/>
      <c r="P1420" s="4"/>
      <c r="Q1420" s="3"/>
      <c r="R1420" s="3"/>
      <c r="S1420" s="3"/>
      <c r="T1420" s="3"/>
    </row>
    <row r="1421" spans="1:20">
      <c r="A1421" s="3">
        <v>1</v>
      </c>
      <c r="B1421" s="3">
        <v>1</v>
      </c>
      <c r="C1421" s="2">
        <v>25</v>
      </c>
      <c r="D1421" s="2">
        <v>5</v>
      </c>
      <c r="E1421" s="2">
        <v>16</v>
      </c>
      <c r="F1421" s="17">
        <v>84</v>
      </c>
      <c r="H1421" s="360">
        <v>1</v>
      </c>
      <c r="I1421" s="360">
        <v>-0.99149627535560814</v>
      </c>
      <c r="K1421" s="363"/>
      <c r="N1421" s="10"/>
      <c r="O1421" s="4"/>
      <c r="P1421" s="4"/>
      <c r="Q1421" s="3"/>
      <c r="R1421" s="3"/>
      <c r="S1421" s="3"/>
      <c r="T1421" s="3"/>
    </row>
    <row r="1422" spans="1:20">
      <c r="A1422" s="3">
        <v>1</v>
      </c>
      <c r="B1422" s="3">
        <v>1</v>
      </c>
      <c r="C1422" s="2">
        <v>25</v>
      </c>
      <c r="D1422" s="2">
        <v>5</v>
      </c>
      <c r="E1422" s="2">
        <v>1</v>
      </c>
      <c r="F1422" s="17">
        <v>84</v>
      </c>
      <c r="H1422" s="360">
        <v>1</v>
      </c>
      <c r="I1422" s="360">
        <v>-0.99414881210222916</v>
      </c>
      <c r="K1422" s="363"/>
      <c r="N1422" s="10"/>
      <c r="O1422" s="4"/>
      <c r="P1422" s="4"/>
      <c r="Q1422" s="3"/>
      <c r="R1422" s="3"/>
      <c r="S1422" s="3"/>
      <c r="T1422" s="3"/>
    </row>
    <row r="1423" spans="1:20">
      <c r="A1423" s="3">
        <v>2</v>
      </c>
      <c r="B1423" s="3">
        <v>1</v>
      </c>
      <c r="C1423" s="2">
        <v>25</v>
      </c>
      <c r="D1423" s="2">
        <v>5</v>
      </c>
      <c r="E1423" s="2">
        <v>1</v>
      </c>
      <c r="F1423" s="17">
        <v>84</v>
      </c>
      <c r="H1423" s="360">
        <v>1</v>
      </c>
      <c r="I1423" s="360">
        <v>-1</v>
      </c>
      <c r="K1423" s="363"/>
      <c r="N1423" s="10"/>
      <c r="O1423" s="4"/>
      <c r="P1423" s="4"/>
      <c r="Q1423" s="3"/>
      <c r="R1423" s="3"/>
      <c r="S1423" s="3"/>
      <c r="T1423" s="3"/>
    </row>
    <row r="1424" spans="1:20">
      <c r="A1424" s="3">
        <v>2</v>
      </c>
      <c r="B1424" s="3">
        <v>1</v>
      </c>
      <c r="C1424" s="2">
        <v>25</v>
      </c>
      <c r="D1424" s="2">
        <v>5</v>
      </c>
      <c r="E1424" s="2">
        <v>16</v>
      </c>
      <c r="F1424" s="17">
        <v>84</v>
      </c>
      <c r="H1424" s="361">
        <v>1</v>
      </c>
      <c r="I1424" s="361">
        <v>-1</v>
      </c>
      <c r="K1424" s="363"/>
      <c r="N1424" s="10"/>
      <c r="O1424" s="4"/>
      <c r="P1424" s="4"/>
      <c r="Q1424" s="3"/>
      <c r="R1424" s="3"/>
      <c r="S1424" s="3"/>
      <c r="T1424" s="3"/>
    </row>
    <row r="1425" spans="1:20">
      <c r="A1425" s="3">
        <v>3</v>
      </c>
      <c r="B1425" s="3">
        <v>1</v>
      </c>
      <c r="C1425" s="2">
        <v>25</v>
      </c>
      <c r="D1425" s="2">
        <v>5</v>
      </c>
      <c r="E1425" s="2">
        <v>1</v>
      </c>
      <c r="F1425" s="17">
        <v>84</v>
      </c>
      <c r="H1425" s="360">
        <v>1</v>
      </c>
      <c r="I1425" s="360">
        <v>-1</v>
      </c>
      <c r="K1425" s="363"/>
      <c r="N1425" s="10"/>
      <c r="O1425" s="4"/>
      <c r="P1425" s="4"/>
      <c r="Q1425" s="3"/>
      <c r="R1425" s="3"/>
      <c r="S1425" s="3"/>
      <c r="T1425" s="3"/>
    </row>
    <row r="1426" spans="1:20">
      <c r="A1426" s="3">
        <v>3</v>
      </c>
      <c r="B1426" s="3">
        <v>1</v>
      </c>
      <c r="C1426" s="2">
        <v>25</v>
      </c>
      <c r="D1426" s="2">
        <v>5</v>
      </c>
      <c r="E1426" s="2">
        <v>16</v>
      </c>
      <c r="F1426" s="17">
        <v>84</v>
      </c>
      <c r="H1426" s="361">
        <v>1</v>
      </c>
      <c r="I1426" s="361">
        <v>-1</v>
      </c>
      <c r="K1426" s="363"/>
      <c r="N1426" s="10"/>
      <c r="O1426" s="4"/>
      <c r="P1426" s="4"/>
      <c r="Q1426" s="3"/>
      <c r="R1426" s="3"/>
      <c r="S1426" s="3"/>
      <c r="T1426" s="3"/>
    </row>
    <row r="1427" spans="1:20">
      <c r="A1427" s="3">
        <v>1</v>
      </c>
      <c r="B1427" s="3">
        <v>2</v>
      </c>
      <c r="C1427" s="2">
        <v>25</v>
      </c>
      <c r="D1427" s="2">
        <v>5</v>
      </c>
      <c r="E1427" s="2">
        <v>1</v>
      </c>
      <c r="F1427" s="17">
        <v>84</v>
      </c>
      <c r="H1427" s="360">
        <v>1</v>
      </c>
      <c r="I1427" s="360">
        <v>-1</v>
      </c>
      <c r="K1427" s="363"/>
      <c r="N1427" s="10"/>
      <c r="O1427" s="4"/>
      <c r="P1427" s="4"/>
      <c r="Q1427" s="3"/>
      <c r="R1427" s="3"/>
      <c r="S1427" s="3"/>
      <c r="T1427" s="3"/>
    </row>
    <row r="1428" spans="1:20">
      <c r="A1428" s="3">
        <v>2</v>
      </c>
      <c r="B1428" s="3">
        <v>2</v>
      </c>
      <c r="C1428" s="2">
        <v>25</v>
      </c>
      <c r="D1428" s="2">
        <v>5</v>
      </c>
      <c r="E1428" s="2">
        <v>1</v>
      </c>
      <c r="F1428" s="17">
        <v>84</v>
      </c>
      <c r="H1428" s="361">
        <v>1</v>
      </c>
      <c r="I1428" s="361">
        <v>-1</v>
      </c>
      <c r="K1428" s="363"/>
      <c r="N1428" s="10"/>
      <c r="O1428" s="4"/>
      <c r="P1428" s="4"/>
      <c r="Q1428" s="3"/>
      <c r="R1428" s="3"/>
      <c r="S1428" s="3"/>
      <c r="T1428" s="3"/>
    </row>
    <row r="1429" spans="1:20">
      <c r="A1429" s="3">
        <v>2</v>
      </c>
      <c r="B1429" s="3">
        <v>2</v>
      </c>
      <c r="C1429" s="2">
        <v>25</v>
      </c>
      <c r="D1429" s="2">
        <v>5</v>
      </c>
      <c r="E1429" s="2">
        <v>16</v>
      </c>
      <c r="F1429" s="17">
        <v>84</v>
      </c>
      <c r="H1429" s="361">
        <v>1</v>
      </c>
      <c r="I1429" s="361">
        <v>-1</v>
      </c>
      <c r="K1429" s="363"/>
      <c r="N1429" s="10"/>
      <c r="O1429" s="4"/>
      <c r="P1429" s="4"/>
      <c r="Q1429" s="3"/>
      <c r="R1429" s="3"/>
      <c r="S1429" s="3"/>
      <c r="T1429" s="3"/>
    </row>
    <row r="1430" spans="1:20">
      <c r="A1430" s="3">
        <v>2</v>
      </c>
      <c r="B1430" s="3">
        <v>1</v>
      </c>
      <c r="C1430" s="2">
        <v>25</v>
      </c>
      <c r="D1430" s="2">
        <v>5</v>
      </c>
      <c r="E1430" s="2">
        <v>1</v>
      </c>
      <c r="F1430" s="17">
        <v>85</v>
      </c>
      <c r="H1430" s="360">
        <v>1</v>
      </c>
      <c r="I1430" s="360">
        <v>0.63075507276451004</v>
      </c>
      <c r="K1430" s="363"/>
      <c r="N1430" s="10"/>
      <c r="O1430" s="4"/>
      <c r="P1430" s="4"/>
      <c r="Q1430" s="3"/>
      <c r="R1430" s="3"/>
      <c r="S1430" s="3"/>
      <c r="T1430" s="3"/>
    </row>
    <row r="1431" spans="1:20">
      <c r="A1431" s="3">
        <v>2</v>
      </c>
      <c r="B1431" s="3">
        <v>2</v>
      </c>
      <c r="C1431" s="2">
        <v>25</v>
      </c>
      <c r="D1431" s="2">
        <v>5</v>
      </c>
      <c r="E1431" s="2">
        <v>1</v>
      </c>
      <c r="F1431" s="17">
        <v>85</v>
      </c>
      <c r="H1431" s="361">
        <v>1</v>
      </c>
      <c r="I1431" s="361">
        <v>0.62239968996968897</v>
      </c>
      <c r="K1431" s="363"/>
      <c r="N1431" s="10"/>
      <c r="O1431" s="4"/>
      <c r="P1431" s="4"/>
      <c r="Q1431" s="3"/>
      <c r="R1431" s="3"/>
      <c r="S1431" s="3"/>
      <c r="T1431" s="3"/>
    </row>
    <row r="1432" spans="1:20">
      <c r="A1432" s="3">
        <v>2</v>
      </c>
      <c r="B1432" s="3">
        <v>1</v>
      </c>
      <c r="C1432" s="2">
        <v>25</v>
      </c>
      <c r="D1432" s="2">
        <v>5</v>
      </c>
      <c r="E1432" s="2">
        <v>16</v>
      </c>
      <c r="F1432" s="17">
        <v>85</v>
      </c>
      <c r="H1432" s="361">
        <v>1</v>
      </c>
      <c r="I1432" s="361">
        <v>0.59572972354374087</v>
      </c>
      <c r="K1432" s="363"/>
      <c r="N1432" s="10"/>
      <c r="O1432" s="4"/>
      <c r="P1432" s="4"/>
      <c r="Q1432" s="3"/>
      <c r="R1432" s="3"/>
      <c r="S1432" s="3"/>
      <c r="T1432" s="3"/>
    </row>
    <row r="1433" spans="1:20">
      <c r="A1433" s="3">
        <v>2</v>
      </c>
      <c r="B1433" s="3">
        <v>2</v>
      </c>
      <c r="C1433" s="2">
        <v>25</v>
      </c>
      <c r="D1433" s="2">
        <v>5</v>
      </c>
      <c r="E1433" s="2">
        <v>16</v>
      </c>
      <c r="F1433" s="17">
        <v>85</v>
      </c>
      <c r="H1433" s="361">
        <v>1</v>
      </c>
      <c r="I1433" s="361">
        <v>0.59085835676278209</v>
      </c>
      <c r="K1433" s="363"/>
      <c r="N1433" s="10"/>
      <c r="O1433" s="4"/>
      <c r="P1433" s="4"/>
      <c r="Q1433" s="3"/>
      <c r="R1433" s="3"/>
      <c r="S1433" s="3"/>
      <c r="T1433" s="3"/>
    </row>
    <row r="1434" spans="1:20">
      <c r="A1434" s="3">
        <v>4</v>
      </c>
      <c r="B1434" s="3">
        <v>2</v>
      </c>
      <c r="C1434" s="2">
        <v>50</v>
      </c>
      <c r="D1434" s="2">
        <v>5</v>
      </c>
      <c r="E1434" s="2">
        <v>16</v>
      </c>
      <c r="F1434" s="17">
        <v>85</v>
      </c>
      <c r="H1434" s="360">
        <v>1</v>
      </c>
      <c r="I1434" s="359">
        <v>0.50081800723893977</v>
      </c>
      <c r="K1434" s="363"/>
      <c r="N1434" s="10"/>
      <c r="O1434" s="4"/>
      <c r="P1434" s="4"/>
      <c r="Q1434" s="3"/>
      <c r="R1434" s="3"/>
      <c r="S1434" s="3"/>
      <c r="T1434" s="3"/>
    </row>
    <row r="1435" spans="1:20">
      <c r="A1435" s="3">
        <v>3</v>
      </c>
      <c r="B1435" s="3">
        <v>2</v>
      </c>
      <c r="C1435" s="2">
        <v>25</v>
      </c>
      <c r="D1435" s="2">
        <v>5</v>
      </c>
      <c r="E1435" s="2">
        <v>16</v>
      </c>
      <c r="F1435" s="17">
        <v>85</v>
      </c>
      <c r="H1435" s="360">
        <v>1</v>
      </c>
      <c r="I1435" s="360">
        <v>0.35645065103774404</v>
      </c>
      <c r="K1435" s="363"/>
      <c r="N1435" s="10"/>
      <c r="O1435" s="4"/>
      <c r="P1435" s="4"/>
      <c r="Q1435" s="3"/>
      <c r="R1435" s="3"/>
      <c r="S1435" s="3"/>
      <c r="T1435" s="3"/>
    </row>
    <row r="1436" spans="1:20">
      <c r="A1436" s="3">
        <v>3</v>
      </c>
      <c r="B1436" s="3">
        <v>1</v>
      </c>
      <c r="C1436" s="2">
        <v>25</v>
      </c>
      <c r="D1436" s="2">
        <v>5</v>
      </c>
      <c r="E1436" s="2">
        <v>16</v>
      </c>
      <c r="F1436" s="17">
        <v>85</v>
      </c>
      <c r="H1436" s="361">
        <v>1</v>
      </c>
      <c r="I1436" s="361">
        <v>0.34433391889364401</v>
      </c>
      <c r="K1436" s="363"/>
      <c r="N1436" s="10"/>
      <c r="O1436" s="4"/>
      <c r="P1436" s="4"/>
      <c r="Q1436" s="3"/>
      <c r="R1436" s="3"/>
      <c r="S1436" s="3"/>
      <c r="T1436" s="3"/>
    </row>
    <row r="1437" spans="1:20">
      <c r="A1437" s="3">
        <v>3</v>
      </c>
      <c r="B1437" s="3">
        <v>1</v>
      </c>
      <c r="C1437" s="2">
        <v>25</v>
      </c>
      <c r="D1437" s="2">
        <v>5</v>
      </c>
      <c r="E1437" s="2">
        <v>1</v>
      </c>
      <c r="F1437" s="17">
        <v>85</v>
      </c>
      <c r="H1437" s="360">
        <v>0.9219423360079998</v>
      </c>
      <c r="I1437" s="360">
        <v>0.31459414510781525</v>
      </c>
      <c r="K1437" s="363"/>
      <c r="N1437" s="10"/>
      <c r="O1437" s="4"/>
      <c r="P1437" s="4"/>
      <c r="Q1437" s="3"/>
      <c r="R1437" s="3"/>
      <c r="S1437" s="3"/>
      <c r="T1437" s="3"/>
    </row>
    <row r="1438" spans="1:20">
      <c r="A1438" s="3">
        <v>1</v>
      </c>
      <c r="B1438" s="3">
        <v>1</v>
      </c>
      <c r="C1438" s="2">
        <v>25</v>
      </c>
      <c r="D1438" s="2">
        <v>30</v>
      </c>
      <c r="E1438" s="2">
        <v>16</v>
      </c>
      <c r="F1438" s="17">
        <v>85</v>
      </c>
      <c r="H1438" s="360">
        <v>1</v>
      </c>
      <c r="I1438" s="360">
        <v>0.2380352595980017</v>
      </c>
      <c r="K1438" s="363"/>
      <c r="N1438" s="10"/>
      <c r="O1438" s="4"/>
      <c r="P1438" s="4"/>
      <c r="Q1438" s="3"/>
      <c r="R1438" s="3"/>
      <c r="S1438" s="3"/>
      <c r="T1438" s="3"/>
    </row>
    <row r="1439" spans="1:20">
      <c r="A1439" s="3">
        <v>1</v>
      </c>
      <c r="B1439" s="3">
        <v>1</v>
      </c>
      <c r="C1439" s="2">
        <v>25</v>
      </c>
      <c r="D1439" s="2">
        <v>5</v>
      </c>
      <c r="E1439" s="2">
        <v>1</v>
      </c>
      <c r="F1439" s="17">
        <v>85</v>
      </c>
      <c r="H1439" s="360">
        <v>1</v>
      </c>
      <c r="I1439" s="360">
        <v>0.22795905176065373</v>
      </c>
      <c r="K1439" s="363"/>
      <c r="N1439" s="10"/>
      <c r="O1439" s="4"/>
      <c r="P1439" s="4"/>
      <c r="Q1439" s="3"/>
      <c r="R1439" s="3"/>
      <c r="S1439" s="3"/>
      <c r="T1439" s="3"/>
    </row>
    <row r="1440" spans="1:20">
      <c r="A1440" s="3">
        <v>1</v>
      </c>
      <c r="B1440" s="3">
        <v>1</v>
      </c>
      <c r="C1440" s="2">
        <v>25</v>
      </c>
      <c r="D1440" s="2">
        <v>5</v>
      </c>
      <c r="E1440" s="2">
        <v>16</v>
      </c>
      <c r="F1440" s="17">
        <v>85</v>
      </c>
      <c r="H1440" s="360">
        <v>1</v>
      </c>
      <c r="I1440" s="360">
        <v>0.2206436634756429</v>
      </c>
      <c r="K1440" s="363"/>
      <c r="N1440" s="10"/>
      <c r="O1440" s="4"/>
      <c r="P1440" s="4"/>
      <c r="Q1440" s="3"/>
      <c r="R1440" s="3"/>
      <c r="S1440" s="3"/>
      <c r="T1440" s="3"/>
    </row>
    <row r="1441" spans="1:20">
      <c r="A1441" s="3">
        <v>3</v>
      </c>
      <c r="B1441" s="3">
        <v>2</v>
      </c>
      <c r="C1441" s="2">
        <v>25</v>
      </c>
      <c r="D1441" s="2">
        <v>5</v>
      </c>
      <c r="E1441" s="2">
        <v>1</v>
      </c>
      <c r="F1441" s="17">
        <v>85</v>
      </c>
      <c r="H1441" s="361">
        <v>1</v>
      </c>
      <c r="I1441" s="361">
        <v>0.21523557698711882</v>
      </c>
      <c r="K1441" s="363"/>
      <c r="N1441" s="10"/>
      <c r="O1441" s="4"/>
      <c r="P1441" s="4"/>
      <c r="Q1441" s="3"/>
      <c r="R1441" s="3"/>
      <c r="S1441" s="3"/>
      <c r="T1441" s="3"/>
    </row>
    <row r="1442" spans="1:20">
      <c r="A1442" s="3">
        <v>1</v>
      </c>
      <c r="B1442" s="3">
        <v>2</v>
      </c>
      <c r="C1442" s="2">
        <v>25</v>
      </c>
      <c r="D1442" s="2">
        <v>30</v>
      </c>
      <c r="E1442" s="2">
        <v>16</v>
      </c>
      <c r="F1442" s="17">
        <v>85</v>
      </c>
      <c r="H1442" s="360">
        <v>1</v>
      </c>
      <c r="I1442" s="360">
        <v>0.17179757409733001</v>
      </c>
      <c r="K1442" s="363"/>
      <c r="N1442" s="10"/>
      <c r="O1442" s="4"/>
      <c r="P1442" s="4"/>
      <c r="Q1442" s="3"/>
      <c r="R1442" s="3"/>
      <c r="S1442" s="3"/>
      <c r="T1442" s="3"/>
    </row>
    <row r="1443" spans="1:20">
      <c r="A1443" s="3">
        <v>1</v>
      </c>
      <c r="B1443" s="3">
        <v>2</v>
      </c>
      <c r="C1443" s="2">
        <v>25</v>
      </c>
      <c r="D1443" s="2">
        <v>5</v>
      </c>
      <c r="E1443" s="2">
        <v>1</v>
      </c>
      <c r="F1443" s="17">
        <v>85</v>
      </c>
      <c r="H1443" s="360">
        <v>1</v>
      </c>
      <c r="I1443" s="360">
        <v>0.1648345261222941</v>
      </c>
      <c r="K1443" s="363"/>
      <c r="N1443" s="10"/>
      <c r="O1443" s="4"/>
      <c r="P1443" s="4"/>
      <c r="Q1443" s="3"/>
      <c r="R1443" s="3"/>
      <c r="S1443" s="3"/>
      <c r="T1443" s="3"/>
    </row>
    <row r="1444" spans="1:20">
      <c r="A1444" s="3">
        <v>1</v>
      </c>
      <c r="B1444" s="3">
        <v>2</v>
      </c>
      <c r="C1444" s="2">
        <v>25</v>
      </c>
      <c r="D1444" s="2">
        <v>5</v>
      </c>
      <c r="E1444" s="2">
        <v>16</v>
      </c>
      <c r="F1444" s="17">
        <v>85</v>
      </c>
      <c r="H1444" s="360">
        <v>1</v>
      </c>
      <c r="I1444" s="360">
        <v>0.16267400073448665</v>
      </c>
      <c r="K1444" s="363"/>
      <c r="N1444" s="10"/>
      <c r="O1444" s="4"/>
      <c r="P1444" s="4"/>
      <c r="Q1444" s="3"/>
      <c r="R1444" s="3"/>
      <c r="S1444" s="3"/>
      <c r="T1444" s="3"/>
    </row>
    <row r="1445" spans="1:20">
      <c r="A1445" s="3">
        <v>1</v>
      </c>
      <c r="B1445" s="3">
        <v>2</v>
      </c>
      <c r="C1445" s="2">
        <v>25</v>
      </c>
      <c r="D1445" s="2">
        <v>5</v>
      </c>
      <c r="E1445" s="2">
        <v>16</v>
      </c>
      <c r="F1445" s="17">
        <v>85</v>
      </c>
      <c r="H1445" s="361">
        <v>1</v>
      </c>
      <c r="I1445" s="361">
        <v>0.14878052689940882</v>
      </c>
      <c r="K1445" s="363"/>
      <c r="N1445" s="10"/>
      <c r="O1445" s="4"/>
      <c r="P1445" s="4"/>
      <c r="Q1445" s="3"/>
      <c r="R1445" s="3"/>
      <c r="S1445" s="3"/>
      <c r="T1445" s="3"/>
    </row>
    <row r="1446" spans="1:20">
      <c r="A1446" s="3">
        <v>5</v>
      </c>
      <c r="B1446" s="3">
        <v>2</v>
      </c>
      <c r="C1446" s="2">
        <v>50</v>
      </c>
      <c r="D1446" s="2">
        <v>5</v>
      </c>
      <c r="E1446" s="2">
        <v>16</v>
      </c>
      <c r="F1446" s="17">
        <v>85</v>
      </c>
      <c r="H1446" s="360">
        <v>1</v>
      </c>
      <c r="I1446" s="359">
        <v>-0.40788704091257072</v>
      </c>
      <c r="K1446" s="363"/>
      <c r="N1446" s="10"/>
      <c r="O1446" s="4"/>
      <c r="P1446" s="4"/>
      <c r="Q1446" s="3"/>
      <c r="R1446" s="3"/>
      <c r="S1446" s="3"/>
      <c r="T1446" s="3"/>
    </row>
    <row r="1447" spans="1:20">
      <c r="A1447" s="3">
        <v>4</v>
      </c>
      <c r="B1447" s="3">
        <v>2</v>
      </c>
      <c r="C1447" s="2">
        <v>50</v>
      </c>
      <c r="D1447" s="2">
        <v>5</v>
      </c>
      <c r="E1447" s="2">
        <v>16</v>
      </c>
      <c r="F1447" s="17">
        <v>86</v>
      </c>
      <c r="H1447" s="360">
        <v>1</v>
      </c>
      <c r="I1447" s="359">
        <v>0.61067448740163222</v>
      </c>
      <c r="K1447" s="363"/>
      <c r="N1447" s="10"/>
      <c r="O1447" s="4"/>
      <c r="P1447" s="4"/>
      <c r="Q1447" s="3"/>
      <c r="R1447" s="3"/>
      <c r="S1447" s="3"/>
      <c r="T1447" s="3"/>
    </row>
    <row r="1448" spans="1:20">
      <c r="A1448" s="3">
        <v>3</v>
      </c>
      <c r="B1448" s="3">
        <v>1</v>
      </c>
      <c r="C1448" s="2">
        <v>25</v>
      </c>
      <c r="D1448" s="2">
        <v>5</v>
      </c>
      <c r="E1448" s="2">
        <v>1</v>
      </c>
      <c r="F1448" s="17">
        <v>86</v>
      </c>
      <c r="H1448" s="360">
        <v>1</v>
      </c>
      <c r="I1448" s="360">
        <v>0.35755651779338771</v>
      </c>
      <c r="K1448" s="363"/>
      <c r="N1448" s="10"/>
      <c r="O1448" s="4"/>
      <c r="P1448" s="4"/>
      <c r="Q1448" s="3"/>
      <c r="R1448" s="3"/>
      <c r="S1448" s="3"/>
      <c r="T1448" s="3"/>
    </row>
    <row r="1449" spans="1:20">
      <c r="A1449" s="3">
        <v>3</v>
      </c>
      <c r="B1449" s="3">
        <v>1</v>
      </c>
      <c r="C1449" s="2">
        <v>25</v>
      </c>
      <c r="D1449" s="2">
        <v>5</v>
      </c>
      <c r="E1449" s="2">
        <v>16</v>
      </c>
      <c r="F1449" s="17">
        <v>86</v>
      </c>
      <c r="H1449" s="361">
        <v>1</v>
      </c>
      <c r="I1449" s="361">
        <v>0.33040754379098836</v>
      </c>
      <c r="K1449" s="363"/>
      <c r="N1449" s="10"/>
      <c r="O1449" s="4"/>
      <c r="P1449" s="4"/>
      <c r="Q1449" s="3"/>
      <c r="R1449" s="3"/>
      <c r="S1449" s="3"/>
      <c r="T1449" s="3"/>
    </row>
    <row r="1450" spans="1:20">
      <c r="A1450" s="3">
        <v>3</v>
      </c>
      <c r="B1450" s="3">
        <v>2</v>
      </c>
      <c r="C1450" s="2">
        <v>25</v>
      </c>
      <c r="D1450" s="2">
        <v>5</v>
      </c>
      <c r="E1450" s="2">
        <v>16</v>
      </c>
      <c r="F1450" s="17">
        <v>86</v>
      </c>
      <c r="H1450" s="360">
        <v>1</v>
      </c>
      <c r="I1450" s="360">
        <v>0.32002644874454339</v>
      </c>
      <c r="K1450" s="363"/>
      <c r="N1450" s="10"/>
      <c r="O1450" s="4"/>
      <c r="P1450" s="4"/>
      <c r="Q1450" s="3"/>
      <c r="R1450" s="3"/>
      <c r="S1450" s="3"/>
      <c r="T1450" s="3"/>
    </row>
    <row r="1451" spans="1:20">
      <c r="A1451" s="3">
        <v>3</v>
      </c>
      <c r="B1451" s="3">
        <v>2</v>
      </c>
      <c r="C1451" s="2">
        <v>25</v>
      </c>
      <c r="D1451" s="2">
        <v>5</v>
      </c>
      <c r="E1451" s="2">
        <v>1</v>
      </c>
      <c r="F1451" s="17">
        <v>86</v>
      </c>
      <c r="H1451" s="361">
        <v>0.86494350105589302</v>
      </c>
      <c r="I1451" s="361">
        <v>0.23819393035587114</v>
      </c>
      <c r="K1451" s="363"/>
      <c r="N1451" s="10"/>
      <c r="O1451" s="4"/>
      <c r="P1451" s="4"/>
      <c r="Q1451" s="3"/>
      <c r="R1451" s="3"/>
      <c r="S1451" s="3"/>
      <c r="T1451" s="3"/>
    </row>
    <row r="1452" spans="1:20">
      <c r="A1452" s="3">
        <v>1</v>
      </c>
      <c r="B1452" s="3">
        <v>1</v>
      </c>
      <c r="C1452" s="2">
        <v>25</v>
      </c>
      <c r="D1452" s="2">
        <v>5</v>
      </c>
      <c r="E1452" s="2">
        <v>1</v>
      </c>
      <c r="F1452" s="17">
        <v>86</v>
      </c>
      <c r="H1452" s="360">
        <v>1</v>
      </c>
      <c r="I1452" s="360">
        <v>0.19630743714476268</v>
      </c>
      <c r="K1452" s="363"/>
      <c r="N1452" s="10"/>
      <c r="O1452" s="4"/>
      <c r="P1452" s="4"/>
      <c r="Q1452" s="3"/>
      <c r="R1452" s="3"/>
      <c r="S1452" s="3"/>
      <c r="T1452" s="3"/>
    </row>
    <row r="1453" spans="1:20">
      <c r="A1453" s="3">
        <v>1</v>
      </c>
      <c r="B1453" s="3">
        <v>1</v>
      </c>
      <c r="C1453" s="2">
        <v>25</v>
      </c>
      <c r="D1453" s="2">
        <v>5</v>
      </c>
      <c r="E1453" s="2">
        <v>16</v>
      </c>
      <c r="F1453" s="17">
        <v>86</v>
      </c>
      <c r="H1453" s="360">
        <v>1</v>
      </c>
      <c r="I1453" s="360">
        <v>0.18952710998175051</v>
      </c>
      <c r="K1453" s="363"/>
      <c r="N1453" s="10"/>
      <c r="O1453" s="4"/>
      <c r="P1453" s="4"/>
      <c r="Q1453" s="3"/>
      <c r="R1453" s="3"/>
      <c r="S1453" s="3"/>
      <c r="T1453" s="3"/>
    </row>
    <row r="1454" spans="1:20">
      <c r="A1454" s="3">
        <v>1</v>
      </c>
      <c r="B1454" s="3">
        <v>2</v>
      </c>
      <c r="C1454" s="2">
        <v>25</v>
      </c>
      <c r="D1454" s="2">
        <v>30</v>
      </c>
      <c r="E1454" s="2">
        <v>16</v>
      </c>
      <c r="F1454" s="17">
        <v>86</v>
      </c>
      <c r="H1454" s="360">
        <v>1</v>
      </c>
      <c r="I1454" s="360">
        <v>0.18407798815691012</v>
      </c>
      <c r="K1454" s="363"/>
      <c r="N1454" s="10"/>
      <c r="O1454" s="4"/>
      <c r="P1454" s="4"/>
      <c r="Q1454" s="3"/>
      <c r="R1454" s="3"/>
      <c r="S1454" s="3"/>
      <c r="T1454" s="3"/>
    </row>
    <row r="1455" spans="1:20">
      <c r="A1455" s="3">
        <v>1</v>
      </c>
      <c r="B1455" s="3">
        <v>2</v>
      </c>
      <c r="C1455" s="2">
        <v>25</v>
      </c>
      <c r="D1455" s="2">
        <v>5</v>
      </c>
      <c r="E1455" s="2">
        <v>16</v>
      </c>
      <c r="F1455" s="17">
        <v>86</v>
      </c>
      <c r="H1455" s="361">
        <v>1</v>
      </c>
      <c r="I1455" s="361">
        <v>0.18213021210464794</v>
      </c>
      <c r="K1455" s="363"/>
      <c r="N1455" s="10"/>
      <c r="O1455" s="4"/>
      <c r="P1455" s="4"/>
      <c r="Q1455" s="3"/>
      <c r="R1455" s="3"/>
      <c r="S1455" s="3"/>
      <c r="T1455" s="3"/>
    </row>
    <row r="1456" spans="1:20">
      <c r="A1456" s="3">
        <v>1</v>
      </c>
      <c r="B1456" s="3">
        <v>1</v>
      </c>
      <c r="C1456" s="2">
        <v>25</v>
      </c>
      <c r="D1456" s="2">
        <v>30</v>
      </c>
      <c r="E1456" s="2">
        <v>16</v>
      </c>
      <c r="F1456" s="17">
        <v>86</v>
      </c>
      <c r="H1456" s="360">
        <v>1</v>
      </c>
      <c r="I1456" s="360">
        <v>0.18034859211785714</v>
      </c>
      <c r="K1456" s="363"/>
      <c r="N1456" s="10"/>
      <c r="O1456" s="4"/>
      <c r="P1456" s="4"/>
      <c r="Q1456" s="3"/>
      <c r="R1456" s="3"/>
      <c r="S1456" s="3"/>
      <c r="T1456" s="3"/>
    </row>
    <row r="1457" spans="1:20">
      <c r="A1457" s="3">
        <v>1</v>
      </c>
      <c r="B1457" s="3">
        <v>2</v>
      </c>
      <c r="C1457" s="2">
        <v>25</v>
      </c>
      <c r="D1457" s="2">
        <v>5</v>
      </c>
      <c r="E1457" s="2">
        <v>1</v>
      </c>
      <c r="F1457" s="17">
        <v>86</v>
      </c>
      <c r="H1457" s="360">
        <v>0.93108271581327406</v>
      </c>
      <c r="I1457" s="360">
        <v>0.17376427475982587</v>
      </c>
      <c r="K1457" s="363"/>
      <c r="N1457" s="10"/>
      <c r="O1457" s="4"/>
      <c r="P1457" s="4"/>
      <c r="Q1457" s="3"/>
      <c r="R1457" s="3"/>
      <c r="S1457" s="3"/>
      <c r="T1457" s="3"/>
    </row>
    <row r="1458" spans="1:20">
      <c r="A1458" s="3">
        <v>1</v>
      </c>
      <c r="B1458" s="3">
        <v>2</v>
      </c>
      <c r="C1458" s="2">
        <v>25</v>
      </c>
      <c r="D1458" s="2">
        <v>5</v>
      </c>
      <c r="E1458" s="2">
        <v>16</v>
      </c>
      <c r="F1458" s="17">
        <v>86</v>
      </c>
      <c r="H1458" s="360">
        <v>1</v>
      </c>
      <c r="I1458" s="360">
        <v>0.15689635849960074</v>
      </c>
      <c r="K1458" s="363"/>
      <c r="N1458" s="10"/>
      <c r="O1458" s="4"/>
      <c r="P1458" s="4"/>
      <c r="Q1458" s="3"/>
      <c r="R1458" s="3"/>
      <c r="S1458" s="3"/>
      <c r="T1458" s="3"/>
    </row>
    <row r="1459" spans="1:20">
      <c r="A1459" s="3">
        <v>2</v>
      </c>
      <c r="B1459" s="3">
        <v>1</v>
      </c>
      <c r="C1459" s="2">
        <v>25</v>
      </c>
      <c r="D1459" s="2">
        <v>5</v>
      </c>
      <c r="E1459" s="2">
        <v>1</v>
      </c>
      <c r="F1459" s="17">
        <v>86</v>
      </c>
      <c r="H1459" s="360">
        <v>1</v>
      </c>
      <c r="I1459" s="360">
        <v>-0.1137229091250999</v>
      </c>
      <c r="K1459" s="363"/>
      <c r="N1459" s="10"/>
      <c r="O1459" s="4"/>
      <c r="P1459" s="4"/>
      <c r="Q1459" s="3"/>
      <c r="R1459" s="3"/>
      <c r="S1459" s="3"/>
      <c r="T1459" s="3"/>
    </row>
    <row r="1460" spans="1:20">
      <c r="A1460" s="3">
        <v>2</v>
      </c>
      <c r="B1460" s="3">
        <v>1</v>
      </c>
      <c r="C1460" s="2">
        <v>25</v>
      </c>
      <c r="D1460" s="2">
        <v>5</v>
      </c>
      <c r="E1460" s="2">
        <v>16</v>
      </c>
      <c r="F1460" s="17">
        <v>86</v>
      </c>
      <c r="H1460" s="361">
        <v>1</v>
      </c>
      <c r="I1460" s="361">
        <v>-0.20423417824793344</v>
      </c>
      <c r="K1460" s="363"/>
      <c r="N1460" s="10"/>
      <c r="O1460" s="4"/>
      <c r="P1460" s="4"/>
      <c r="Q1460" s="3"/>
      <c r="R1460" s="3"/>
      <c r="S1460" s="3"/>
      <c r="T1460" s="3"/>
    </row>
    <row r="1461" spans="1:20">
      <c r="A1461" s="3">
        <v>2</v>
      </c>
      <c r="B1461" s="3">
        <v>2</v>
      </c>
      <c r="C1461" s="2">
        <v>25</v>
      </c>
      <c r="D1461" s="2">
        <v>5</v>
      </c>
      <c r="E1461" s="2">
        <v>16</v>
      </c>
      <c r="F1461" s="17">
        <v>86</v>
      </c>
      <c r="H1461" s="361">
        <v>1</v>
      </c>
      <c r="I1461" s="361">
        <v>-0.48096301033341948</v>
      </c>
      <c r="K1461" s="363"/>
      <c r="N1461" s="10"/>
      <c r="O1461" s="4"/>
      <c r="P1461" s="4"/>
      <c r="Q1461" s="3"/>
      <c r="R1461" s="3"/>
      <c r="S1461" s="3"/>
      <c r="T1461" s="3"/>
    </row>
    <row r="1462" spans="1:20">
      <c r="A1462" s="3">
        <v>2</v>
      </c>
      <c r="B1462" s="3">
        <v>2</v>
      </c>
      <c r="C1462" s="2">
        <v>25</v>
      </c>
      <c r="D1462" s="2">
        <v>5</v>
      </c>
      <c r="E1462" s="2">
        <v>1</v>
      </c>
      <c r="F1462" s="17">
        <v>86</v>
      </c>
      <c r="H1462" s="361">
        <v>0.91144698405562907</v>
      </c>
      <c r="I1462" s="361">
        <v>-0.50707514953852584</v>
      </c>
      <c r="K1462" s="363"/>
      <c r="N1462" s="10"/>
      <c r="O1462" s="4"/>
      <c r="P1462" s="4"/>
      <c r="Q1462" s="3"/>
      <c r="R1462" s="3"/>
      <c r="S1462" s="3"/>
      <c r="T1462" s="3"/>
    </row>
    <row r="1463" spans="1:20">
      <c r="A1463" s="3">
        <v>5</v>
      </c>
      <c r="B1463" s="3">
        <v>2</v>
      </c>
      <c r="C1463" s="2">
        <v>50</v>
      </c>
      <c r="D1463" s="2">
        <v>5</v>
      </c>
      <c r="E1463" s="2">
        <v>16</v>
      </c>
      <c r="F1463" s="17">
        <v>86</v>
      </c>
      <c r="H1463" s="360">
        <v>1</v>
      </c>
      <c r="I1463" s="359">
        <v>-0.52160188466915414</v>
      </c>
      <c r="K1463" s="363"/>
      <c r="N1463" s="10"/>
      <c r="O1463" s="4"/>
      <c r="P1463" s="4"/>
      <c r="Q1463" s="3"/>
      <c r="R1463" s="3"/>
      <c r="S1463" s="3"/>
      <c r="T1463" s="3"/>
    </row>
    <row r="1464" spans="1:20">
      <c r="A1464" s="3">
        <v>5</v>
      </c>
      <c r="B1464" s="3">
        <v>2</v>
      </c>
      <c r="C1464" s="2">
        <v>50</v>
      </c>
      <c r="D1464" s="2">
        <v>5</v>
      </c>
      <c r="E1464" s="2">
        <v>16</v>
      </c>
      <c r="F1464" s="17">
        <v>87</v>
      </c>
      <c r="H1464" s="360">
        <v>1</v>
      </c>
      <c r="I1464" s="359">
        <v>-0.385152370795807</v>
      </c>
      <c r="K1464" s="363"/>
      <c r="N1464" s="10"/>
      <c r="O1464" s="4"/>
      <c r="P1464" s="4"/>
      <c r="Q1464" s="3"/>
      <c r="R1464" s="3"/>
      <c r="S1464" s="3"/>
      <c r="T1464" s="3"/>
    </row>
    <row r="1465" spans="1:20">
      <c r="A1465" s="3">
        <v>4</v>
      </c>
      <c r="B1465" s="3">
        <v>2</v>
      </c>
      <c r="C1465" s="2">
        <v>50</v>
      </c>
      <c r="D1465" s="2">
        <v>5</v>
      </c>
      <c r="E1465" s="2">
        <v>16</v>
      </c>
      <c r="F1465" s="17">
        <v>87</v>
      </c>
      <c r="H1465" s="360">
        <v>1</v>
      </c>
      <c r="I1465" s="359">
        <v>-0.51976096204136113</v>
      </c>
      <c r="K1465" s="363"/>
      <c r="N1465" s="10"/>
      <c r="O1465" s="4"/>
      <c r="P1465" s="4"/>
      <c r="Q1465" s="3"/>
      <c r="R1465" s="3"/>
      <c r="S1465" s="3"/>
      <c r="T1465" s="3"/>
    </row>
    <row r="1466" spans="1:20">
      <c r="A1466" s="3">
        <v>1</v>
      </c>
      <c r="B1466" s="3">
        <v>2</v>
      </c>
      <c r="C1466" s="2">
        <v>25</v>
      </c>
      <c r="D1466" s="2">
        <v>30</v>
      </c>
      <c r="E1466" s="2">
        <v>16</v>
      </c>
      <c r="F1466" s="17">
        <v>87</v>
      </c>
      <c r="H1466" s="360">
        <v>1</v>
      </c>
      <c r="I1466" s="360">
        <v>-0.59849952283776509</v>
      </c>
      <c r="K1466" s="363"/>
      <c r="N1466" s="10"/>
      <c r="O1466" s="4"/>
      <c r="P1466" s="4"/>
      <c r="Q1466" s="3"/>
      <c r="R1466" s="3"/>
      <c r="S1466" s="3"/>
      <c r="T1466" s="3"/>
    </row>
    <row r="1467" spans="1:20">
      <c r="A1467" s="3">
        <v>3</v>
      </c>
      <c r="B1467" s="3">
        <v>2</v>
      </c>
      <c r="C1467" s="2">
        <v>25</v>
      </c>
      <c r="D1467" s="2">
        <v>5</v>
      </c>
      <c r="E1467" s="2">
        <v>16</v>
      </c>
      <c r="F1467" s="17">
        <v>87</v>
      </c>
      <c r="H1467" s="360">
        <v>1</v>
      </c>
      <c r="I1467" s="360">
        <v>-0.62997884013557515</v>
      </c>
      <c r="K1467" s="363"/>
      <c r="N1467" s="10"/>
      <c r="O1467" s="4"/>
      <c r="P1467" s="4"/>
      <c r="Q1467" s="3"/>
      <c r="R1467" s="3"/>
      <c r="S1467" s="3"/>
      <c r="T1467" s="3"/>
    </row>
    <row r="1468" spans="1:20">
      <c r="A1468" s="3">
        <v>1</v>
      </c>
      <c r="B1468" s="3">
        <v>1</v>
      </c>
      <c r="C1468" s="2">
        <v>25</v>
      </c>
      <c r="D1468" s="2">
        <v>30</v>
      </c>
      <c r="E1468" s="2">
        <v>16</v>
      </c>
      <c r="F1468" s="17">
        <v>87</v>
      </c>
      <c r="H1468" s="360">
        <v>1</v>
      </c>
      <c r="I1468" s="360">
        <v>-0.67026077460879274</v>
      </c>
      <c r="K1468" s="363"/>
      <c r="N1468" s="10"/>
      <c r="O1468" s="4"/>
      <c r="P1468" s="4"/>
      <c r="Q1468" s="3"/>
      <c r="R1468" s="3"/>
      <c r="S1468" s="3"/>
      <c r="T1468" s="3"/>
    </row>
    <row r="1469" spans="1:20">
      <c r="A1469" s="3">
        <v>1</v>
      </c>
      <c r="B1469" s="3">
        <v>2</v>
      </c>
      <c r="C1469" s="2">
        <v>25</v>
      </c>
      <c r="D1469" s="2">
        <v>5</v>
      </c>
      <c r="E1469" s="2">
        <v>1</v>
      </c>
      <c r="F1469" s="17">
        <v>87</v>
      </c>
      <c r="H1469" s="360">
        <v>0.27333669220397627</v>
      </c>
      <c r="I1469" s="360">
        <v>-0.6898851213469368</v>
      </c>
      <c r="K1469" s="363"/>
      <c r="N1469" s="10"/>
      <c r="O1469" s="4"/>
      <c r="P1469" s="4"/>
      <c r="Q1469" s="3"/>
      <c r="R1469" s="3"/>
      <c r="S1469" s="3"/>
      <c r="T1469" s="3"/>
    </row>
    <row r="1470" spans="1:20">
      <c r="A1470" s="3">
        <v>1</v>
      </c>
      <c r="B1470" s="3">
        <v>2</v>
      </c>
      <c r="C1470" s="2">
        <v>25</v>
      </c>
      <c r="D1470" s="2">
        <v>5</v>
      </c>
      <c r="E1470" s="2">
        <v>16</v>
      </c>
      <c r="F1470" s="17">
        <v>87</v>
      </c>
      <c r="H1470" s="361">
        <v>1</v>
      </c>
      <c r="I1470" s="361">
        <v>-0.73950312988623101</v>
      </c>
      <c r="K1470" s="363"/>
      <c r="N1470" s="10"/>
      <c r="O1470" s="4"/>
      <c r="P1470" s="4"/>
      <c r="Q1470" s="3"/>
      <c r="R1470" s="3"/>
      <c r="S1470" s="3"/>
      <c r="T1470" s="3"/>
    </row>
    <row r="1471" spans="1:20">
      <c r="A1471" s="3">
        <v>1</v>
      </c>
      <c r="B1471" s="3">
        <v>2</v>
      </c>
      <c r="C1471" s="2">
        <v>25</v>
      </c>
      <c r="D1471" s="2">
        <v>5</v>
      </c>
      <c r="E1471" s="2">
        <v>16</v>
      </c>
      <c r="F1471" s="17">
        <v>87</v>
      </c>
      <c r="H1471" s="360">
        <v>1</v>
      </c>
      <c r="I1471" s="360">
        <v>-0.76349777577082489</v>
      </c>
      <c r="K1471" s="363"/>
      <c r="N1471" s="10"/>
      <c r="O1471" s="4"/>
      <c r="P1471" s="4"/>
      <c r="Q1471" s="3"/>
      <c r="R1471" s="3"/>
      <c r="S1471" s="3"/>
      <c r="T1471" s="3"/>
    </row>
    <row r="1472" spans="1:20">
      <c r="A1472" s="3">
        <v>3</v>
      </c>
      <c r="B1472" s="3">
        <v>2</v>
      </c>
      <c r="C1472" s="2">
        <v>25</v>
      </c>
      <c r="D1472" s="2">
        <v>5</v>
      </c>
      <c r="E1472" s="2">
        <v>1</v>
      </c>
      <c r="F1472" s="17">
        <v>87</v>
      </c>
      <c r="H1472" s="361">
        <v>0.29671067526775641</v>
      </c>
      <c r="I1472" s="361">
        <v>-0.76473248253111747</v>
      </c>
      <c r="K1472" s="363"/>
      <c r="N1472" s="10"/>
      <c r="O1472" s="4"/>
      <c r="P1472" s="4"/>
      <c r="Q1472" s="3"/>
      <c r="R1472" s="3"/>
      <c r="S1472" s="3"/>
      <c r="T1472" s="3"/>
    </row>
    <row r="1473" spans="1:20">
      <c r="A1473" s="3">
        <v>1</v>
      </c>
      <c r="B1473" s="3">
        <v>1</v>
      </c>
      <c r="C1473" s="2">
        <v>25</v>
      </c>
      <c r="D1473" s="2">
        <v>5</v>
      </c>
      <c r="E1473" s="2">
        <v>1</v>
      </c>
      <c r="F1473" s="17">
        <v>87</v>
      </c>
      <c r="H1473" s="360">
        <v>0.91933894249809534</v>
      </c>
      <c r="I1473" s="360">
        <v>-0.84083865716652562</v>
      </c>
      <c r="K1473" s="363"/>
      <c r="N1473" s="10"/>
      <c r="O1473" s="4"/>
      <c r="P1473" s="4"/>
      <c r="Q1473" s="3"/>
      <c r="R1473" s="3"/>
      <c r="S1473" s="3"/>
      <c r="T1473" s="3"/>
    </row>
    <row r="1474" spans="1:20">
      <c r="A1474" s="3">
        <v>1</v>
      </c>
      <c r="B1474" s="3">
        <v>1</v>
      </c>
      <c r="C1474" s="2">
        <v>25</v>
      </c>
      <c r="D1474" s="2">
        <v>5</v>
      </c>
      <c r="E1474" s="2">
        <v>16</v>
      </c>
      <c r="F1474" s="17">
        <v>87</v>
      </c>
      <c r="H1474" s="360">
        <v>1</v>
      </c>
      <c r="I1474" s="360">
        <v>-0.84178197181213232</v>
      </c>
      <c r="K1474" s="363"/>
      <c r="N1474" s="10"/>
      <c r="O1474" s="4"/>
      <c r="P1474" s="4"/>
      <c r="Q1474" s="3"/>
      <c r="R1474" s="3"/>
      <c r="S1474" s="3"/>
      <c r="T1474" s="3"/>
    </row>
    <row r="1475" spans="1:20">
      <c r="A1475" s="3">
        <v>3</v>
      </c>
      <c r="B1475" s="3">
        <v>1</v>
      </c>
      <c r="C1475" s="2">
        <v>25</v>
      </c>
      <c r="D1475" s="2">
        <v>5</v>
      </c>
      <c r="E1475" s="2">
        <v>1</v>
      </c>
      <c r="F1475" s="17">
        <v>87</v>
      </c>
      <c r="H1475" s="360">
        <v>0.5620046929679936</v>
      </c>
      <c r="I1475" s="360">
        <v>-0.91510233958346532</v>
      </c>
      <c r="K1475" s="363"/>
      <c r="N1475" s="10"/>
      <c r="O1475" s="4"/>
      <c r="P1475" s="4"/>
      <c r="Q1475" s="3"/>
      <c r="R1475" s="3"/>
      <c r="S1475" s="3"/>
      <c r="T1475" s="3"/>
    </row>
    <row r="1476" spans="1:20">
      <c r="A1476" s="3">
        <v>3</v>
      </c>
      <c r="B1476" s="3">
        <v>1</v>
      </c>
      <c r="C1476" s="2">
        <v>25</v>
      </c>
      <c r="D1476" s="2">
        <v>5</v>
      </c>
      <c r="E1476" s="2">
        <v>16</v>
      </c>
      <c r="F1476" s="17">
        <v>87</v>
      </c>
      <c r="H1476" s="361">
        <v>1</v>
      </c>
      <c r="I1476" s="361">
        <v>-0.9317982367429859</v>
      </c>
      <c r="K1476" s="363"/>
      <c r="N1476" s="10"/>
      <c r="O1476" s="4"/>
      <c r="P1476" s="4"/>
      <c r="Q1476" s="3"/>
      <c r="R1476" s="3"/>
      <c r="S1476" s="3"/>
      <c r="T1476" s="3"/>
    </row>
    <row r="1477" spans="1:20">
      <c r="A1477" s="3">
        <v>2</v>
      </c>
      <c r="B1477" s="3">
        <v>1</v>
      </c>
      <c r="C1477" s="2">
        <v>25</v>
      </c>
      <c r="D1477" s="2">
        <v>5</v>
      </c>
      <c r="E1477" s="2">
        <v>16</v>
      </c>
      <c r="F1477" s="17">
        <v>87</v>
      </c>
      <c r="H1477" s="361">
        <v>1</v>
      </c>
      <c r="I1477" s="361">
        <v>-0.94220766711616255</v>
      </c>
      <c r="K1477" s="363"/>
      <c r="N1477" s="10"/>
      <c r="O1477" s="4"/>
      <c r="P1477" s="4"/>
      <c r="Q1477" s="3"/>
      <c r="R1477" s="3"/>
      <c r="S1477" s="3"/>
      <c r="T1477" s="3"/>
    </row>
    <row r="1478" spans="1:20">
      <c r="A1478" s="3">
        <v>2</v>
      </c>
      <c r="B1478" s="3">
        <v>1</v>
      </c>
      <c r="C1478" s="2">
        <v>25</v>
      </c>
      <c r="D1478" s="2">
        <v>5</v>
      </c>
      <c r="E1478" s="2">
        <v>1</v>
      </c>
      <c r="F1478" s="17">
        <v>87</v>
      </c>
      <c r="H1478" s="360">
        <v>1</v>
      </c>
      <c r="I1478" s="360">
        <v>-0.96827826540083706</v>
      </c>
      <c r="K1478" s="363"/>
      <c r="N1478" s="10"/>
      <c r="O1478" s="4"/>
      <c r="P1478" s="4"/>
      <c r="Q1478" s="3"/>
      <c r="R1478" s="3"/>
      <c r="S1478" s="3"/>
      <c r="T1478" s="3"/>
    </row>
    <row r="1479" spans="1:20">
      <c r="A1479" s="3">
        <v>2</v>
      </c>
      <c r="B1479" s="3">
        <v>2</v>
      </c>
      <c r="C1479" s="2">
        <v>25</v>
      </c>
      <c r="D1479" s="2">
        <v>5</v>
      </c>
      <c r="E1479" s="2">
        <v>1</v>
      </c>
      <c r="F1479" s="17">
        <v>87</v>
      </c>
      <c r="H1479" s="361">
        <v>1</v>
      </c>
      <c r="I1479" s="361">
        <v>-1</v>
      </c>
      <c r="K1479" s="363"/>
      <c r="N1479" s="10"/>
      <c r="O1479" s="4"/>
      <c r="P1479" s="4"/>
      <c r="Q1479" s="3"/>
      <c r="R1479" s="3"/>
      <c r="S1479" s="3"/>
      <c r="T1479" s="3"/>
    </row>
    <row r="1480" spans="1:20">
      <c r="A1480" s="3">
        <v>2</v>
      </c>
      <c r="B1480" s="3">
        <v>2</v>
      </c>
      <c r="C1480" s="2">
        <v>25</v>
      </c>
      <c r="D1480" s="2">
        <v>5</v>
      </c>
      <c r="E1480" s="2">
        <v>16</v>
      </c>
      <c r="F1480" s="17">
        <v>87</v>
      </c>
      <c r="H1480" s="361">
        <v>1</v>
      </c>
      <c r="I1480" s="361">
        <v>-1</v>
      </c>
      <c r="K1480" s="363"/>
      <c r="N1480" s="10"/>
      <c r="O1480" s="4"/>
      <c r="P1480" s="4"/>
      <c r="Q1480" s="3"/>
      <c r="R1480" s="3"/>
      <c r="S1480" s="3"/>
      <c r="T1480" s="3"/>
    </row>
    <row r="1481" spans="1:20">
      <c r="A1481" s="3">
        <v>1</v>
      </c>
      <c r="B1481" s="3">
        <v>1</v>
      </c>
      <c r="C1481" s="2">
        <v>25</v>
      </c>
      <c r="D1481" s="2">
        <v>5</v>
      </c>
      <c r="E1481" s="2">
        <v>1</v>
      </c>
      <c r="F1481" s="17">
        <v>88</v>
      </c>
      <c r="H1481" s="360">
        <v>3.0735862259552049E-2</v>
      </c>
      <c r="I1481" s="360">
        <v>0.24359722492381508</v>
      </c>
      <c r="K1481" s="363"/>
      <c r="N1481" s="10"/>
      <c r="O1481" s="4"/>
      <c r="P1481" s="4"/>
      <c r="Q1481" s="3"/>
      <c r="R1481" s="3"/>
      <c r="S1481" s="3"/>
      <c r="T1481" s="3"/>
    </row>
    <row r="1482" spans="1:20">
      <c r="A1482" s="3">
        <v>4</v>
      </c>
      <c r="B1482" s="3">
        <v>2</v>
      </c>
      <c r="C1482" s="2">
        <v>50</v>
      </c>
      <c r="D1482" s="2">
        <v>5</v>
      </c>
      <c r="E1482" s="2">
        <v>16</v>
      </c>
      <c r="F1482" s="17">
        <v>88</v>
      </c>
      <c r="H1482" s="360">
        <v>0.66770589905839384</v>
      </c>
      <c r="I1482" s="359">
        <v>0.20918734026976329</v>
      </c>
      <c r="K1482" s="363"/>
      <c r="N1482" s="10"/>
      <c r="O1482" s="4"/>
      <c r="P1482" s="4"/>
      <c r="Q1482" s="3"/>
      <c r="R1482" s="3"/>
      <c r="S1482" s="3"/>
      <c r="T1482" s="3"/>
    </row>
    <row r="1483" spans="1:20">
      <c r="A1483" s="3">
        <v>1</v>
      </c>
      <c r="B1483" s="3">
        <v>1</v>
      </c>
      <c r="C1483" s="2">
        <v>25</v>
      </c>
      <c r="D1483" s="2">
        <v>30</v>
      </c>
      <c r="E1483" s="2">
        <v>16</v>
      </c>
      <c r="F1483" s="17">
        <v>88</v>
      </c>
      <c r="H1483" s="360">
        <v>7.5724941917860056E-2</v>
      </c>
      <c r="I1483" s="360">
        <v>0.14485152038168964</v>
      </c>
      <c r="K1483" s="363"/>
      <c r="N1483" s="10"/>
      <c r="O1483" s="4"/>
      <c r="P1483" s="4"/>
      <c r="Q1483" s="3"/>
      <c r="R1483" s="3"/>
      <c r="S1483" s="3"/>
      <c r="T1483" s="3"/>
    </row>
    <row r="1484" spans="1:20">
      <c r="A1484" s="3">
        <v>5</v>
      </c>
      <c r="B1484" s="3">
        <v>2</v>
      </c>
      <c r="C1484" s="2">
        <v>50</v>
      </c>
      <c r="D1484" s="2">
        <v>5</v>
      </c>
      <c r="E1484" s="2">
        <v>16</v>
      </c>
      <c r="F1484" s="17">
        <v>88</v>
      </c>
      <c r="H1484" s="360">
        <v>0.46093504058768919</v>
      </c>
      <c r="I1484" s="359">
        <v>0.11749974088600627</v>
      </c>
      <c r="K1484" s="363"/>
      <c r="N1484" s="10"/>
      <c r="O1484" s="4"/>
      <c r="P1484" s="4"/>
      <c r="Q1484" s="3"/>
      <c r="R1484" s="3"/>
      <c r="S1484" s="3"/>
      <c r="T1484" s="3"/>
    </row>
    <row r="1485" spans="1:20">
      <c r="A1485" s="3">
        <v>1</v>
      </c>
      <c r="B1485" s="3">
        <v>2</v>
      </c>
      <c r="C1485" s="2">
        <v>25</v>
      </c>
      <c r="D1485" s="2">
        <v>5</v>
      </c>
      <c r="E1485" s="2">
        <v>16</v>
      </c>
      <c r="F1485" s="17">
        <v>88</v>
      </c>
      <c r="H1485" s="360">
        <v>1.4372992315435207E-2</v>
      </c>
      <c r="I1485" s="360">
        <v>6.2845122271890611E-2</v>
      </c>
      <c r="K1485" s="363"/>
      <c r="N1485" s="10"/>
      <c r="O1485" s="4"/>
      <c r="P1485" s="4"/>
      <c r="Q1485" s="3"/>
      <c r="R1485" s="3"/>
      <c r="S1485" s="3"/>
      <c r="T1485" s="3"/>
    </row>
    <row r="1486" spans="1:20">
      <c r="A1486" s="3">
        <v>1</v>
      </c>
      <c r="B1486" s="3">
        <v>1</v>
      </c>
      <c r="C1486" s="2">
        <v>25</v>
      </c>
      <c r="D1486" s="2">
        <v>5</v>
      </c>
      <c r="E1486" s="2">
        <v>16</v>
      </c>
      <c r="F1486" s="17">
        <v>88</v>
      </c>
      <c r="H1486" s="360">
        <v>0</v>
      </c>
      <c r="I1486" s="360">
        <v>0</v>
      </c>
      <c r="K1486" s="363"/>
      <c r="N1486" s="10"/>
      <c r="O1486" s="4"/>
      <c r="P1486" s="4"/>
      <c r="Q1486" s="3"/>
      <c r="R1486" s="3"/>
      <c r="S1486" s="3"/>
      <c r="T1486" s="3"/>
    </row>
    <row r="1487" spans="1:20">
      <c r="A1487" s="3">
        <v>1</v>
      </c>
      <c r="B1487" s="3">
        <v>2</v>
      </c>
      <c r="C1487" s="2">
        <v>25</v>
      </c>
      <c r="D1487" s="2">
        <v>5</v>
      </c>
      <c r="E1487" s="2">
        <v>1</v>
      </c>
      <c r="F1487" s="17">
        <v>88</v>
      </c>
      <c r="H1487" s="360">
        <v>0</v>
      </c>
      <c r="I1487" s="360">
        <v>0</v>
      </c>
      <c r="K1487" s="363"/>
      <c r="N1487" s="10"/>
      <c r="O1487" s="4"/>
      <c r="P1487" s="4"/>
      <c r="Q1487" s="3"/>
      <c r="R1487" s="3"/>
      <c r="S1487" s="3"/>
      <c r="T1487" s="3"/>
    </row>
    <row r="1488" spans="1:20">
      <c r="A1488" s="3">
        <v>2</v>
      </c>
      <c r="B1488" s="3">
        <v>2</v>
      </c>
      <c r="C1488" s="2">
        <v>25</v>
      </c>
      <c r="D1488" s="2">
        <v>5</v>
      </c>
      <c r="E1488" s="2">
        <v>1</v>
      </c>
      <c r="F1488" s="17">
        <v>88</v>
      </c>
      <c r="H1488" s="361">
        <v>0</v>
      </c>
      <c r="I1488" s="361">
        <v>0</v>
      </c>
      <c r="K1488" s="363"/>
      <c r="N1488" s="10"/>
      <c r="O1488" s="4"/>
      <c r="P1488" s="4"/>
      <c r="Q1488" s="3"/>
      <c r="R1488" s="3"/>
      <c r="S1488" s="3"/>
      <c r="T1488" s="3"/>
    </row>
    <row r="1489" spans="1:20">
      <c r="A1489" s="3">
        <v>2</v>
      </c>
      <c r="B1489" s="3">
        <v>2</v>
      </c>
      <c r="C1489" s="2">
        <v>25</v>
      </c>
      <c r="D1489" s="2">
        <v>5</v>
      </c>
      <c r="E1489" s="2">
        <v>16</v>
      </c>
      <c r="F1489" s="17">
        <v>88</v>
      </c>
      <c r="H1489" s="361">
        <v>0</v>
      </c>
      <c r="I1489" s="361">
        <v>0</v>
      </c>
      <c r="K1489" s="363"/>
      <c r="N1489" s="10"/>
      <c r="O1489" s="4"/>
      <c r="P1489" s="4"/>
      <c r="Q1489" s="3"/>
      <c r="R1489" s="3"/>
      <c r="S1489" s="3"/>
      <c r="T1489" s="3"/>
    </row>
    <row r="1490" spans="1:20">
      <c r="A1490" s="3">
        <v>3</v>
      </c>
      <c r="B1490" s="3">
        <v>2</v>
      </c>
      <c r="C1490" s="2">
        <v>25</v>
      </c>
      <c r="D1490" s="2">
        <v>5</v>
      </c>
      <c r="E1490" s="2">
        <v>1</v>
      </c>
      <c r="F1490" s="17">
        <v>88</v>
      </c>
      <c r="H1490" s="361">
        <v>0</v>
      </c>
      <c r="I1490" s="361">
        <v>0</v>
      </c>
      <c r="K1490" s="363"/>
      <c r="N1490" s="10"/>
      <c r="O1490" s="4"/>
      <c r="P1490" s="4"/>
      <c r="Q1490" s="3"/>
      <c r="R1490" s="3"/>
      <c r="S1490" s="3"/>
      <c r="T1490" s="3"/>
    </row>
    <row r="1491" spans="1:20">
      <c r="A1491" s="3">
        <v>2</v>
      </c>
      <c r="B1491" s="3">
        <v>1</v>
      </c>
      <c r="C1491" s="2">
        <v>25</v>
      </c>
      <c r="D1491" s="2">
        <v>5</v>
      </c>
      <c r="E1491" s="2">
        <v>1</v>
      </c>
      <c r="F1491" s="17">
        <v>88</v>
      </c>
      <c r="H1491" s="360">
        <v>0</v>
      </c>
      <c r="I1491" s="360">
        <v>0</v>
      </c>
      <c r="K1491" s="363"/>
      <c r="N1491" s="10"/>
      <c r="O1491" s="4"/>
      <c r="P1491" s="4"/>
      <c r="Q1491" s="3"/>
      <c r="R1491" s="3"/>
      <c r="S1491" s="3"/>
      <c r="T1491" s="3"/>
    </row>
    <row r="1492" spans="1:20">
      <c r="A1492" s="3">
        <v>2</v>
      </c>
      <c r="B1492" s="3">
        <v>1</v>
      </c>
      <c r="C1492" s="2">
        <v>25</v>
      </c>
      <c r="D1492" s="2">
        <v>5</v>
      </c>
      <c r="E1492" s="2">
        <v>16</v>
      </c>
      <c r="F1492" s="17">
        <v>88</v>
      </c>
      <c r="H1492" s="361">
        <v>0</v>
      </c>
      <c r="I1492" s="361">
        <v>0</v>
      </c>
      <c r="K1492" s="363"/>
      <c r="N1492" s="10"/>
      <c r="O1492" s="4"/>
      <c r="P1492" s="4"/>
      <c r="Q1492" s="3"/>
      <c r="R1492" s="3"/>
      <c r="S1492" s="3"/>
      <c r="T1492" s="3"/>
    </row>
    <row r="1493" spans="1:20">
      <c r="A1493" s="3">
        <v>3</v>
      </c>
      <c r="B1493" s="3">
        <v>1</v>
      </c>
      <c r="C1493" s="2">
        <v>25</v>
      </c>
      <c r="D1493" s="2">
        <v>5</v>
      </c>
      <c r="E1493" s="2">
        <v>1</v>
      </c>
      <c r="F1493" s="17">
        <v>88</v>
      </c>
      <c r="H1493" s="360">
        <v>0</v>
      </c>
      <c r="I1493" s="360">
        <v>0</v>
      </c>
      <c r="K1493" s="363"/>
      <c r="N1493" s="10"/>
      <c r="O1493" s="4"/>
      <c r="P1493" s="4"/>
      <c r="Q1493" s="3"/>
      <c r="R1493" s="3"/>
      <c r="S1493" s="3"/>
      <c r="T1493" s="3"/>
    </row>
    <row r="1494" spans="1:20">
      <c r="A1494" s="3">
        <v>3</v>
      </c>
      <c r="B1494" s="3">
        <v>1</v>
      </c>
      <c r="C1494" s="2">
        <v>25</v>
      </c>
      <c r="D1494" s="2">
        <v>5</v>
      </c>
      <c r="E1494" s="2">
        <v>16</v>
      </c>
      <c r="F1494" s="17">
        <v>88</v>
      </c>
      <c r="H1494" s="361">
        <v>0</v>
      </c>
      <c r="I1494" s="361">
        <v>0</v>
      </c>
      <c r="K1494" s="363"/>
      <c r="N1494" s="10"/>
      <c r="O1494" s="4"/>
      <c r="P1494" s="4"/>
      <c r="Q1494" s="3"/>
      <c r="R1494" s="3"/>
      <c r="S1494" s="3"/>
      <c r="T1494" s="3"/>
    </row>
    <row r="1495" spans="1:20">
      <c r="A1495" s="3">
        <v>1</v>
      </c>
      <c r="B1495" s="3">
        <v>2</v>
      </c>
      <c r="C1495" s="2">
        <v>25</v>
      </c>
      <c r="D1495" s="2">
        <v>30</v>
      </c>
      <c r="E1495" s="2">
        <v>16</v>
      </c>
      <c r="F1495" s="17">
        <v>88</v>
      </c>
      <c r="H1495" s="360">
        <v>5.9254245250193738E-2</v>
      </c>
      <c r="I1495" s="360">
        <v>-8.4678318097825847E-2</v>
      </c>
      <c r="K1495" s="363"/>
      <c r="N1495" s="10"/>
      <c r="O1495" s="4"/>
      <c r="P1495" s="4"/>
      <c r="Q1495" s="3"/>
      <c r="R1495" s="3"/>
      <c r="S1495" s="3"/>
      <c r="T1495" s="3"/>
    </row>
    <row r="1496" spans="1:20">
      <c r="A1496" s="3">
        <v>1</v>
      </c>
      <c r="B1496" s="3">
        <v>2</v>
      </c>
      <c r="C1496" s="2">
        <v>25</v>
      </c>
      <c r="D1496" s="2">
        <v>5</v>
      </c>
      <c r="E1496" s="2">
        <v>16</v>
      </c>
      <c r="F1496" s="17">
        <v>88</v>
      </c>
      <c r="H1496" s="361">
        <v>1.3689458956586242E-2</v>
      </c>
      <c r="I1496" s="361">
        <v>-9.0988245537657816E-2</v>
      </c>
      <c r="K1496" s="363"/>
      <c r="N1496" s="10"/>
      <c r="O1496" s="4"/>
      <c r="P1496" s="4"/>
      <c r="Q1496" s="3"/>
      <c r="R1496" s="3"/>
      <c r="S1496" s="3"/>
      <c r="T1496" s="3"/>
    </row>
    <row r="1497" spans="1:20">
      <c r="A1497" s="3">
        <v>3</v>
      </c>
      <c r="B1497" s="3">
        <v>2</v>
      </c>
      <c r="C1497" s="2">
        <v>25</v>
      </c>
      <c r="D1497" s="2">
        <v>5</v>
      </c>
      <c r="E1497" s="2">
        <v>16</v>
      </c>
      <c r="F1497" s="17">
        <v>88</v>
      </c>
      <c r="H1497" s="360">
        <v>2.1679305333951793E-2</v>
      </c>
      <c r="I1497" s="360">
        <v>-0.21876602290206804</v>
      </c>
      <c r="K1497" s="363"/>
      <c r="N1497" s="10"/>
      <c r="O1497" s="4"/>
      <c r="P1497" s="4"/>
      <c r="Q1497" s="3"/>
      <c r="R1497" s="3"/>
      <c r="S1497" s="3"/>
      <c r="T1497" s="3"/>
    </row>
    <row r="1498" spans="1:20">
      <c r="A1498" s="3">
        <v>1</v>
      </c>
      <c r="B1498" s="3">
        <v>2</v>
      </c>
      <c r="C1498" s="2">
        <v>25</v>
      </c>
      <c r="D1498" s="2">
        <v>5</v>
      </c>
      <c r="E1498" s="2">
        <v>16</v>
      </c>
      <c r="F1498" s="17">
        <v>89</v>
      </c>
      <c r="H1498" s="361">
        <v>1</v>
      </c>
      <c r="I1498" s="361">
        <v>0.26514742226000426</v>
      </c>
      <c r="K1498" s="363"/>
      <c r="N1498" s="10"/>
      <c r="O1498" s="4"/>
      <c r="P1498" s="4"/>
      <c r="Q1498" s="3"/>
      <c r="R1498" s="3"/>
      <c r="S1498" s="3"/>
      <c r="T1498" s="3"/>
    </row>
    <row r="1499" spans="1:20">
      <c r="A1499" s="3">
        <v>2</v>
      </c>
      <c r="B1499" s="3">
        <v>2</v>
      </c>
      <c r="C1499" s="2">
        <v>25</v>
      </c>
      <c r="D1499" s="2">
        <v>5</v>
      </c>
      <c r="E1499" s="2">
        <v>1</v>
      </c>
      <c r="F1499" s="17">
        <v>89</v>
      </c>
      <c r="H1499" s="361">
        <v>1</v>
      </c>
      <c r="I1499" s="361">
        <v>0.25137385307409504</v>
      </c>
      <c r="K1499" s="363"/>
      <c r="N1499" s="10"/>
      <c r="O1499" s="4"/>
      <c r="P1499" s="4"/>
      <c r="Q1499" s="3"/>
      <c r="R1499" s="3"/>
      <c r="S1499" s="3"/>
      <c r="T1499" s="3"/>
    </row>
    <row r="1500" spans="1:20">
      <c r="A1500" s="3">
        <v>1</v>
      </c>
      <c r="B1500" s="3">
        <v>2</v>
      </c>
      <c r="C1500" s="2">
        <v>25</v>
      </c>
      <c r="D1500" s="2">
        <v>5</v>
      </c>
      <c r="E1500" s="2">
        <v>16</v>
      </c>
      <c r="F1500" s="17">
        <v>89</v>
      </c>
      <c r="H1500" s="360">
        <v>1</v>
      </c>
      <c r="I1500" s="360">
        <v>0.24710294880574143</v>
      </c>
      <c r="K1500" s="363"/>
      <c r="N1500" s="10"/>
      <c r="O1500" s="4"/>
      <c r="P1500" s="4"/>
      <c r="Q1500" s="3"/>
      <c r="R1500" s="3"/>
      <c r="S1500" s="3"/>
      <c r="T1500" s="3"/>
    </row>
    <row r="1501" spans="1:20">
      <c r="A1501" s="3">
        <v>2</v>
      </c>
      <c r="B1501" s="3">
        <v>2</v>
      </c>
      <c r="C1501" s="2">
        <v>25</v>
      </c>
      <c r="D1501" s="2">
        <v>5</v>
      </c>
      <c r="E1501" s="2">
        <v>16</v>
      </c>
      <c r="F1501" s="17">
        <v>89</v>
      </c>
      <c r="H1501" s="361">
        <v>1</v>
      </c>
      <c r="I1501" s="361">
        <v>0.24360739575137688</v>
      </c>
      <c r="K1501" s="363"/>
      <c r="N1501" s="10"/>
      <c r="O1501" s="4"/>
      <c r="P1501" s="4"/>
      <c r="Q1501" s="3"/>
      <c r="R1501" s="3"/>
      <c r="S1501" s="3"/>
      <c r="T1501" s="3"/>
    </row>
    <row r="1502" spans="1:20">
      <c r="A1502" s="3">
        <v>1</v>
      </c>
      <c r="B1502" s="3">
        <v>2</v>
      </c>
      <c r="C1502" s="2">
        <v>25</v>
      </c>
      <c r="D1502" s="2">
        <v>5</v>
      </c>
      <c r="E1502" s="2">
        <v>1</v>
      </c>
      <c r="F1502" s="17">
        <v>89</v>
      </c>
      <c r="H1502" s="360">
        <v>0.52651647170645011</v>
      </c>
      <c r="I1502" s="360">
        <v>0.24149391719721638</v>
      </c>
      <c r="K1502" s="363"/>
      <c r="N1502" s="10"/>
      <c r="O1502" s="4"/>
      <c r="P1502" s="4"/>
      <c r="Q1502" s="3"/>
      <c r="R1502" s="3"/>
      <c r="S1502" s="3"/>
      <c r="T1502" s="3"/>
    </row>
    <row r="1503" spans="1:20">
      <c r="A1503" s="3">
        <v>3</v>
      </c>
      <c r="B1503" s="3">
        <v>2</v>
      </c>
      <c r="C1503" s="2">
        <v>25</v>
      </c>
      <c r="D1503" s="2">
        <v>5</v>
      </c>
      <c r="E1503" s="2">
        <v>16</v>
      </c>
      <c r="F1503" s="17">
        <v>89</v>
      </c>
      <c r="H1503" s="360">
        <v>1</v>
      </c>
      <c r="I1503" s="360">
        <v>0.23627067237704263</v>
      </c>
      <c r="K1503" s="363"/>
      <c r="N1503" s="10"/>
      <c r="O1503" s="4"/>
      <c r="P1503" s="4"/>
      <c r="Q1503" s="3"/>
      <c r="R1503" s="3"/>
      <c r="S1503" s="3"/>
      <c r="T1503" s="3"/>
    </row>
    <row r="1504" spans="1:20">
      <c r="A1504" s="3">
        <v>1</v>
      </c>
      <c r="B1504" s="3">
        <v>2</v>
      </c>
      <c r="C1504" s="2">
        <v>25</v>
      </c>
      <c r="D1504" s="2">
        <v>30</v>
      </c>
      <c r="E1504" s="2">
        <v>16</v>
      </c>
      <c r="F1504" s="17">
        <v>89</v>
      </c>
      <c r="H1504" s="360">
        <v>1</v>
      </c>
      <c r="I1504" s="360">
        <v>0.2341781748364884</v>
      </c>
      <c r="K1504" s="363"/>
      <c r="N1504" s="10"/>
      <c r="O1504" s="4"/>
      <c r="P1504" s="4"/>
      <c r="Q1504" s="3"/>
      <c r="R1504" s="3"/>
      <c r="S1504" s="3"/>
      <c r="T1504" s="3"/>
    </row>
    <row r="1505" spans="1:20">
      <c r="A1505" s="3">
        <v>3</v>
      </c>
      <c r="B1505" s="3">
        <v>1</v>
      </c>
      <c r="C1505" s="2">
        <v>25</v>
      </c>
      <c r="D1505" s="2">
        <v>5</v>
      </c>
      <c r="E1505" s="2">
        <v>16</v>
      </c>
      <c r="F1505" s="17">
        <v>89</v>
      </c>
      <c r="H1505" s="361">
        <v>1</v>
      </c>
      <c r="I1505" s="361">
        <v>0.22022348875553566</v>
      </c>
      <c r="K1505" s="363"/>
      <c r="N1505" s="10"/>
      <c r="O1505" s="4"/>
      <c r="P1505" s="4"/>
      <c r="Q1505" s="3"/>
      <c r="R1505" s="3"/>
      <c r="S1505" s="3"/>
      <c r="T1505" s="3"/>
    </row>
    <row r="1506" spans="1:20">
      <c r="A1506" s="3">
        <v>3</v>
      </c>
      <c r="B1506" s="3">
        <v>1</v>
      </c>
      <c r="C1506" s="2">
        <v>25</v>
      </c>
      <c r="D1506" s="2">
        <v>5</v>
      </c>
      <c r="E1506" s="2">
        <v>1</v>
      </c>
      <c r="F1506" s="17">
        <v>89</v>
      </c>
      <c r="H1506" s="360">
        <v>1</v>
      </c>
      <c r="I1506" s="360">
        <v>0.21191078554869852</v>
      </c>
      <c r="K1506" s="363"/>
      <c r="N1506" s="10"/>
      <c r="O1506" s="4"/>
      <c r="P1506" s="4"/>
      <c r="Q1506" s="3"/>
      <c r="R1506" s="3"/>
      <c r="S1506" s="3"/>
      <c r="T1506" s="3"/>
    </row>
    <row r="1507" spans="1:20">
      <c r="A1507" s="3">
        <v>2</v>
      </c>
      <c r="B1507" s="3">
        <v>1</v>
      </c>
      <c r="C1507" s="2">
        <v>25</v>
      </c>
      <c r="D1507" s="2">
        <v>5</v>
      </c>
      <c r="E1507" s="2">
        <v>16</v>
      </c>
      <c r="F1507" s="17">
        <v>89</v>
      </c>
      <c r="H1507" s="361">
        <v>1</v>
      </c>
      <c r="I1507" s="361">
        <v>0.20100721320492032</v>
      </c>
      <c r="K1507" s="363"/>
      <c r="N1507" s="10"/>
      <c r="O1507" s="4"/>
      <c r="P1507" s="4"/>
      <c r="Q1507" s="3"/>
      <c r="R1507" s="3"/>
      <c r="S1507" s="3"/>
      <c r="T1507" s="3"/>
    </row>
    <row r="1508" spans="1:20">
      <c r="A1508" s="3">
        <v>3</v>
      </c>
      <c r="B1508" s="3">
        <v>2</v>
      </c>
      <c r="C1508" s="2">
        <v>25</v>
      </c>
      <c r="D1508" s="2">
        <v>5</v>
      </c>
      <c r="E1508" s="2">
        <v>1</v>
      </c>
      <c r="F1508" s="17">
        <v>89</v>
      </c>
      <c r="H1508" s="361">
        <v>1</v>
      </c>
      <c r="I1508" s="361">
        <v>0.18060031528998385</v>
      </c>
      <c r="K1508" s="363"/>
      <c r="N1508" s="10"/>
      <c r="O1508" s="4"/>
      <c r="P1508" s="4"/>
      <c r="Q1508" s="3"/>
      <c r="R1508" s="3"/>
      <c r="S1508" s="3"/>
      <c r="T1508" s="3"/>
    </row>
    <row r="1509" spans="1:20">
      <c r="A1509" s="3">
        <v>1</v>
      </c>
      <c r="B1509" s="3">
        <v>1</v>
      </c>
      <c r="C1509" s="2">
        <v>25</v>
      </c>
      <c r="D1509" s="2">
        <v>30</v>
      </c>
      <c r="E1509" s="2">
        <v>16</v>
      </c>
      <c r="F1509" s="17">
        <v>89</v>
      </c>
      <c r="H1509" s="360">
        <v>1</v>
      </c>
      <c r="I1509" s="360">
        <v>0.15763485882463138</v>
      </c>
      <c r="K1509" s="363"/>
      <c r="N1509" s="10"/>
      <c r="O1509" s="4"/>
      <c r="P1509" s="4"/>
      <c r="Q1509" s="3"/>
      <c r="R1509" s="3"/>
      <c r="S1509" s="3"/>
      <c r="T1509" s="3"/>
    </row>
    <row r="1510" spans="1:20">
      <c r="A1510" s="3">
        <v>2</v>
      </c>
      <c r="B1510" s="3">
        <v>1</v>
      </c>
      <c r="C1510" s="2">
        <v>25</v>
      </c>
      <c r="D1510" s="2">
        <v>5</v>
      </c>
      <c r="E1510" s="2">
        <v>1</v>
      </c>
      <c r="F1510" s="17">
        <v>89</v>
      </c>
      <c r="H1510" s="360">
        <v>1</v>
      </c>
      <c r="I1510" s="360">
        <v>0.14797731702369718</v>
      </c>
      <c r="K1510" s="363"/>
      <c r="N1510" s="10"/>
      <c r="O1510" s="4"/>
      <c r="P1510" s="4"/>
      <c r="Q1510" s="3"/>
      <c r="R1510" s="3"/>
      <c r="S1510" s="3"/>
      <c r="T1510" s="3"/>
    </row>
    <row r="1511" spans="1:20">
      <c r="A1511" s="3">
        <v>1</v>
      </c>
      <c r="B1511" s="3">
        <v>1</v>
      </c>
      <c r="C1511" s="2">
        <v>25</v>
      </c>
      <c r="D1511" s="2">
        <v>5</v>
      </c>
      <c r="E1511" s="2">
        <v>1</v>
      </c>
      <c r="F1511" s="17">
        <v>89</v>
      </c>
      <c r="H1511" s="360">
        <v>1</v>
      </c>
      <c r="I1511" s="360">
        <v>0.1340992697624889</v>
      </c>
      <c r="K1511" s="363"/>
      <c r="N1511" s="10"/>
      <c r="O1511" s="4"/>
      <c r="P1511" s="4"/>
      <c r="Q1511" s="3"/>
      <c r="R1511" s="3"/>
      <c r="S1511" s="3"/>
      <c r="T1511" s="3"/>
    </row>
    <row r="1512" spans="1:20">
      <c r="A1512" s="3">
        <v>1</v>
      </c>
      <c r="B1512" s="3">
        <v>1</v>
      </c>
      <c r="C1512" s="2">
        <v>25</v>
      </c>
      <c r="D1512" s="2">
        <v>5</v>
      </c>
      <c r="E1512" s="2">
        <v>16</v>
      </c>
      <c r="F1512" s="17">
        <v>89</v>
      </c>
      <c r="H1512" s="360">
        <v>1</v>
      </c>
      <c r="I1512" s="360">
        <v>0.12061816261900427</v>
      </c>
      <c r="K1512" s="363"/>
      <c r="N1512" s="10"/>
      <c r="O1512" s="4"/>
      <c r="P1512" s="4"/>
      <c r="Q1512" s="3"/>
      <c r="R1512" s="3"/>
      <c r="S1512" s="3"/>
      <c r="T1512" s="3"/>
    </row>
    <row r="1513" spans="1:20">
      <c r="A1513" s="3">
        <v>4</v>
      </c>
      <c r="B1513" s="3">
        <v>2</v>
      </c>
      <c r="C1513" s="2">
        <v>50</v>
      </c>
      <c r="D1513" s="2">
        <v>5</v>
      </c>
      <c r="E1513" s="2">
        <v>16</v>
      </c>
      <c r="F1513" s="17">
        <v>89</v>
      </c>
      <c r="H1513" s="360">
        <v>0.61275005843452157</v>
      </c>
      <c r="I1513" s="359">
        <v>0.10608563373378666</v>
      </c>
      <c r="K1513" s="363"/>
      <c r="N1513" s="10"/>
      <c r="O1513" s="4"/>
      <c r="P1513" s="4"/>
      <c r="Q1513" s="3"/>
      <c r="R1513" s="3"/>
      <c r="S1513" s="3"/>
      <c r="T1513" s="3"/>
    </row>
    <row r="1514" spans="1:20">
      <c r="A1514" s="3">
        <v>5</v>
      </c>
      <c r="B1514" s="3">
        <v>2</v>
      </c>
      <c r="C1514" s="2">
        <v>50</v>
      </c>
      <c r="D1514" s="2">
        <v>5</v>
      </c>
      <c r="E1514" s="2">
        <v>16</v>
      </c>
      <c r="F1514" s="17">
        <v>89</v>
      </c>
      <c r="H1514" s="360">
        <v>0.89276025238653522</v>
      </c>
      <c r="I1514" s="359">
        <v>-0.16699532561297781</v>
      </c>
      <c r="K1514" s="363"/>
      <c r="N1514" s="10"/>
      <c r="O1514" s="4"/>
      <c r="P1514" s="4"/>
      <c r="Q1514" s="3"/>
      <c r="R1514" s="3"/>
      <c r="S1514" s="3"/>
      <c r="T1514" s="3"/>
    </row>
    <row r="1515" spans="1:20">
      <c r="A1515" s="3">
        <v>1</v>
      </c>
      <c r="B1515" s="3">
        <v>1</v>
      </c>
      <c r="C1515" s="2">
        <v>25</v>
      </c>
      <c r="D1515" s="2">
        <v>5</v>
      </c>
      <c r="E1515" s="2">
        <v>1</v>
      </c>
      <c r="F1515" s="17">
        <v>90</v>
      </c>
      <c r="H1515" s="360">
        <v>1</v>
      </c>
      <c r="I1515" s="360">
        <v>0.61313496548679058</v>
      </c>
      <c r="K1515" s="363"/>
      <c r="N1515" s="10"/>
      <c r="O1515" s="4"/>
      <c r="P1515" s="4"/>
      <c r="Q1515" s="3"/>
      <c r="R1515" s="3"/>
      <c r="S1515" s="3"/>
      <c r="T1515" s="3"/>
    </row>
    <row r="1516" spans="1:20">
      <c r="A1516" s="3">
        <v>2</v>
      </c>
      <c r="B1516" s="3">
        <v>1</v>
      </c>
      <c r="C1516" s="2">
        <v>25</v>
      </c>
      <c r="D1516" s="2">
        <v>5</v>
      </c>
      <c r="E1516" s="2">
        <v>16</v>
      </c>
      <c r="F1516" s="17">
        <v>90</v>
      </c>
      <c r="H1516" s="361">
        <v>1</v>
      </c>
      <c r="I1516" s="361">
        <v>0.61022725536044509</v>
      </c>
      <c r="K1516" s="363"/>
      <c r="N1516" s="10"/>
      <c r="O1516" s="4"/>
      <c r="P1516" s="4"/>
      <c r="Q1516" s="3"/>
      <c r="R1516" s="3"/>
      <c r="S1516" s="3"/>
      <c r="T1516" s="3"/>
    </row>
    <row r="1517" spans="1:20">
      <c r="A1517" s="3">
        <v>2</v>
      </c>
      <c r="B1517" s="3">
        <v>1</v>
      </c>
      <c r="C1517" s="2">
        <v>25</v>
      </c>
      <c r="D1517" s="2">
        <v>5</v>
      </c>
      <c r="E1517" s="2">
        <v>1</v>
      </c>
      <c r="F1517" s="17">
        <v>90</v>
      </c>
      <c r="H1517" s="360">
        <v>1</v>
      </c>
      <c r="I1517" s="360">
        <v>0.57420013329013431</v>
      </c>
      <c r="K1517" s="363"/>
      <c r="N1517" s="10"/>
      <c r="O1517" s="4"/>
      <c r="P1517" s="4"/>
      <c r="Q1517" s="3"/>
      <c r="R1517" s="3"/>
      <c r="S1517" s="3"/>
      <c r="T1517" s="3"/>
    </row>
    <row r="1518" spans="1:20">
      <c r="A1518" s="3">
        <v>1</v>
      </c>
      <c r="B1518" s="3">
        <v>1</v>
      </c>
      <c r="C1518" s="2">
        <v>25</v>
      </c>
      <c r="D1518" s="2">
        <v>30</v>
      </c>
      <c r="E1518" s="2">
        <v>16</v>
      </c>
      <c r="F1518" s="17">
        <v>90</v>
      </c>
      <c r="H1518" s="360">
        <v>1</v>
      </c>
      <c r="I1518" s="360">
        <v>0.5447828833070163</v>
      </c>
      <c r="K1518" s="363"/>
      <c r="N1518" s="10"/>
      <c r="O1518" s="4"/>
      <c r="P1518" s="4"/>
      <c r="Q1518" s="3"/>
      <c r="R1518" s="3"/>
      <c r="S1518" s="3"/>
      <c r="T1518" s="3"/>
    </row>
    <row r="1519" spans="1:20">
      <c r="A1519" s="3">
        <v>3</v>
      </c>
      <c r="B1519" s="3">
        <v>1</v>
      </c>
      <c r="C1519" s="2">
        <v>25</v>
      </c>
      <c r="D1519" s="2">
        <v>5</v>
      </c>
      <c r="E1519" s="2">
        <v>1</v>
      </c>
      <c r="F1519" s="17">
        <v>90</v>
      </c>
      <c r="H1519" s="360">
        <v>0.43629105658153389</v>
      </c>
      <c r="I1519" s="360">
        <v>0.54102948775577842</v>
      </c>
      <c r="K1519" s="363"/>
      <c r="N1519" s="10"/>
      <c r="O1519" s="4"/>
      <c r="P1519" s="4"/>
      <c r="Q1519" s="3"/>
      <c r="R1519" s="3"/>
      <c r="S1519" s="3"/>
      <c r="T1519" s="3"/>
    </row>
    <row r="1520" spans="1:20">
      <c r="A1520" s="3">
        <v>1</v>
      </c>
      <c r="B1520" s="3">
        <v>1</v>
      </c>
      <c r="C1520" s="2">
        <v>25</v>
      </c>
      <c r="D1520" s="2">
        <v>5</v>
      </c>
      <c r="E1520" s="2">
        <v>16</v>
      </c>
      <c r="F1520" s="17">
        <v>90</v>
      </c>
      <c r="H1520" s="360">
        <v>1</v>
      </c>
      <c r="I1520" s="360">
        <v>0.50679891985503145</v>
      </c>
      <c r="K1520" s="363"/>
      <c r="N1520" s="10"/>
      <c r="O1520" s="4"/>
      <c r="P1520" s="4"/>
      <c r="Q1520" s="3"/>
      <c r="R1520" s="3"/>
      <c r="S1520" s="3"/>
      <c r="T1520" s="3"/>
    </row>
    <row r="1521" spans="1:20">
      <c r="A1521" s="3">
        <v>3</v>
      </c>
      <c r="B1521" s="3">
        <v>1</v>
      </c>
      <c r="C1521" s="2">
        <v>25</v>
      </c>
      <c r="D1521" s="2">
        <v>5</v>
      </c>
      <c r="E1521" s="2">
        <v>16</v>
      </c>
      <c r="F1521" s="17">
        <v>90</v>
      </c>
      <c r="H1521" s="361">
        <v>0.5605237744221756</v>
      </c>
      <c r="I1521" s="361">
        <v>0.45709339296514756</v>
      </c>
      <c r="K1521" s="363"/>
      <c r="N1521" s="10"/>
      <c r="O1521" s="4"/>
      <c r="P1521" s="4"/>
      <c r="Q1521" s="3"/>
      <c r="R1521" s="3"/>
      <c r="S1521" s="3"/>
      <c r="T1521" s="3"/>
    </row>
    <row r="1522" spans="1:20">
      <c r="A1522" s="3">
        <v>1</v>
      </c>
      <c r="B1522" s="3">
        <v>2</v>
      </c>
      <c r="C1522" s="2">
        <v>25</v>
      </c>
      <c r="D1522" s="2">
        <v>5</v>
      </c>
      <c r="E1522" s="2">
        <v>1</v>
      </c>
      <c r="F1522" s="17">
        <v>90</v>
      </c>
      <c r="H1522" s="360">
        <v>0.76650920631403063</v>
      </c>
      <c r="I1522" s="360">
        <v>0.29036370291974295</v>
      </c>
      <c r="K1522" s="363"/>
      <c r="N1522" s="10"/>
      <c r="O1522" s="4"/>
      <c r="P1522" s="4"/>
      <c r="Q1522" s="3"/>
      <c r="R1522" s="3"/>
      <c r="S1522" s="3"/>
      <c r="T1522" s="3"/>
    </row>
    <row r="1523" spans="1:20">
      <c r="A1523" s="3">
        <v>1</v>
      </c>
      <c r="B1523" s="3">
        <v>2</v>
      </c>
      <c r="C1523" s="2">
        <v>25</v>
      </c>
      <c r="D1523" s="2">
        <v>5</v>
      </c>
      <c r="E1523" s="2">
        <v>16</v>
      </c>
      <c r="F1523" s="17">
        <v>90</v>
      </c>
      <c r="H1523" s="360">
        <v>1</v>
      </c>
      <c r="I1523" s="360">
        <v>0.2202128593514997</v>
      </c>
      <c r="K1523" s="363"/>
      <c r="N1523" s="10"/>
      <c r="O1523" s="4"/>
      <c r="P1523" s="4"/>
      <c r="Q1523" s="3"/>
      <c r="R1523" s="3"/>
      <c r="S1523" s="3"/>
      <c r="T1523" s="3"/>
    </row>
    <row r="1524" spans="1:20">
      <c r="A1524" s="3">
        <v>3</v>
      </c>
      <c r="B1524" s="3">
        <v>2</v>
      </c>
      <c r="C1524" s="2">
        <v>25</v>
      </c>
      <c r="D1524" s="2">
        <v>5</v>
      </c>
      <c r="E1524" s="2">
        <v>1</v>
      </c>
      <c r="F1524" s="17">
        <v>90</v>
      </c>
      <c r="H1524" s="361">
        <v>2.6963014772774185E-2</v>
      </c>
      <c r="I1524" s="361">
        <v>0.19940909449468261</v>
      </c>
      <c r="K1524" s="363"/>
      <c r="N1524" s="10"/>
      <c r="O1524" s="4"/>
      <c r="P1524" s="4"/>
      <c r="Q1524" s="3"/>
      <c r="R1524" s="3"/>
      <c r="S1524" s="3"/>
      <c r="T1524" s="3"/>
    </row>
    <row r="1525" spans="1:20">
      <c r="A1525" s="3">
        <v>1</v>
      </c>
      <c r="B1525" s="3">
        <v>2</v>
      </c>
      <c r="C1525" s="2">
        <v>25</v>
      </c>
      <c r="D1525" s="2">
        <v>30</v>
      </c>
      <c r="E1525" s="2">
        <v>16</v>
      </c>
      <c r="F1525" s="17">
        <v>90</v>
      </c>
      <c r="H1525" s="360">
        <v>1</v>
      </c>
      <c r="I1525" s="360">
        <v>9.5120685149525458E-2</v>
      </c>
      <c r="K1525" s="363"/>
      <c r="N1525" s="10"/>
      <c r="O1525" s="4"/>
      <c r="P1525" s="4"/>
      <c r="Q1525" s="3"/>
      <c r="R1525" s="3"/>
      <c r="S1525" s="3"/>
      <c r="T1525" s="3"/>
    </row>
    <row r="1526" spans="1:20">
      <c r="A1526" s="3">
        <v>2</v>
      </c>
      <c r="B1526" s="3">
        <v>2</v>
      </c>
      <c r="C1526" s="2">
        <v>25</v>
      </c>
      <c r="D1526" s="2">
        <v>5</v>
      </c>
      <c r="E1526" s="2">
        <v>16</v>
      </c>
      <c r="F1526" s="17">
        <v>90</v>
      </c>
      <c r="H1526" s="361">
        <v>1</v>
      </c>
      <c r="I1526" s="361">
        <v>8.5514125513103223E-2</v>
      </c>
      <c r="K1526" s="363"/>
      <c r="N1526" s="10"/>
      <c r="O1526" s="4"/>
      <c r="P1526" s="4"/>
      <c r="Q1526" s="3"/>
      <c r="R1526" s="3"/>
      <c r="S1526" s="3"/>
      <c r="T1526" s="3"/>
    </row>
    <row r="1527" spans="1:20">
      <c r="A1527" s="3">
        <v>4</v>
      </c>
      <c r="B1527" s="3">
        <v>2</v>
      </c>
      <c r="C1527" s="2">
        <v>50</v>
      </c>
      <c r="D1527" s="2">
        <v>5</v>
      </c>
      <c r="E1527" s="2">
        <v>16</v>
      </c>
      <c r="F1527" s="17">
        <v>90</v>
      </c>
      <c r="H1527" s="360">
        <v>0.21440229420828827</v>
      </c>
      <c r="I1527" s="359">
        <v>7.1740862584693796E-2</v>
      </c>
      <c r="K1527" s="363"/>
      <c r="N1527" s="10"/>
      <c r="O1527" s="4"/>
      <c r="P1527" s="4"/>
      <c r="Q1527" s="3"/>
      <c r="R1527" s="3"/>
      <c r="S1527" s="3"/>
      <c r="T1527" s="3"/>
    </row>
    <row r="1528" spans="1:20">
      <c r="A1528" s="3">
        <v>1</v>
      </c>
      <c r="B1528" s="3">
        <v>2</v>
      </c>
      <c r="C1528" s="2">
        <v>25</v>
      </c>
      <c r="D1528" s="2">
        <v>5</v>
      </c>
      <c r="E1528" s="2">
        <v>16</v>
      </c>
      <c r="F1528" s="17">
        <v>90</v>
      </c>
      <c r="H1528" s="361">
        <v>1</v>
      </c>
      <c r="I1528" s="361">
        <v>2.567032010305088E-2</v>
      </c>
      <c r="K1528" s="363"/>
      <c r="N1528" s="10"/>
      <c r="O1528" s="4"/>
      <c r="P1528" s="4"/>
      <c r="Q1528" s="3"/>
      <c r="R1528" s="3"/>
      <c r="S1528" s="3"/>
      <c r="T1528" s="3"/>
    </row>
    <row r="1529" spans="1:20">
      <c r="A1529" s="3">
        <v>5</v>
      </c>
      <c r="B1529" s="3">
        <v>2</v>
      </c>
      <c r="C1529" s="2">
        <v>50</v>
      </c>
      <c r="D1529" s="2">
        <v>5</v>
      </c>
      <c r="E1529" s="2">
        <v>16</v>
      </c>
      <c r="F1529" s="17">
        <v>90</v>
      </c>
      <c r="H1529" s="360">
        <v>1</v>
      </c>
      <c r="I1529" s="359">
        <v>-2.271473540526019E-2</v>
      </c>
      <c r="K1529" s="363"/>
      <c r="N1529" s="10"/>
      <c r="O1529" s="4"/>
      <c r="P1529" s="4"/>
      <c r="Q1529" s="3"/>
      <c r="R1529" s="3"/>
      <c r="S1529" s="3"/>
      <c r="T1529" s="3"/>
    </row>
    <row r="1530" spans="1:20">
      <c r="A1530" s="3">
        <v>3</v>
      </c>
      <c r="B1530" s="3">
        <v>2</v>
      </c>
      <c r="C1530" s="2">
        <v>25</v>
      </c>
      <c r="D1530" s="2">
        <v>5</v>
      </c>
      <c r="E1530" s="2">
        <v>16</v>
      </c>
      <c r="F1530" s="17">
        <v>90</v>
      </c>
      <c r="H1530" s="360">
        <v>0.46240839638936637</v>
      </c>
      <c r="I1530" s="360">
        <v>-3.8730219704709225E-2</v>
      </c>
      <c r="K1530" s="363"/>
      <c r="N1530" s="10"/>
      <c r="O1530" s="4"/>
      <c r="P1530" s="4"/>
      <c r="Q1530" s="3"/>
      <c r="R1530" s="3"/>
      <c r="S1530" s="3"/>
      <c r="T1530" s="3"/>
    </row>
    <row r="1531" spans="1:20">
      <c r="A1531" s="3">
        <v>2</v>
      </c>
      <c r="B1531" s="3">
        <v>2</v>
      </c>
      <c r="C1531" s="2">
        <v>25</v>
      </c>
      <c r="D1531" s="2">
        <v>5</v>
      </c>
      <c r="E1531" s="2">
        <v>1</v>
      </c>
      <c r="F1531" s="17">
        <v>90</v>
      </c>
      <c r="H1531" s="361">
        <v>0.34565752582736897</v>
      </c>
      <c r="I1531" s="361">
        <v>-0.10058632663516821</v>
      </c>
      <c r="K1531" s="363"/>
      <c r="N1531" s="10"/>
      <c r="O1531" s="4"/>
      <c r="P1531" s="4"/>
      <c r="Q1531" s="3"/>
      <c r="R1531" s="3"/>
      <c r="S1531" s="3"/>
      <c r="T1531" s="3"/>
    </row>
    <row r="1532" spans="1:20">
      <c r="A1532" s="3">
        <v>3</v>
      </c>
      <c r="B1532" s="3">
        <v>2</v>
      </c>
      <c r="C1532" s="2">
        <v>25</v>
      </c>
      <c r="D1532" s="2">
        <v>5</v>
      </c>
      <c r="E1532" s="2">
        <v>1</v>
      </c>
      <c r="F1532" s="17">
        <v>91</v>
      </c>
      <c r="H1532" s="361">
        <v>4.2385972797413296E-2</v>
      </c>
      <c r="I1532" s="361">
        <v>0.34431746668733981</v>
      </c>
      <c r="K1532" s="363"/>
      <c r="N1532" s="10"/>
      <c r="O1532" s="4"/>
      <c r="P1532" s="4"/>
      <c r="Q1532" s="3"/>
      <c r="R1532" s="3"/>
      <c r="S1532" s="3"/>
      <c r="T1532" s="3"/>
    </row>
    <row r="1533" spans="1:20">
      <c r="A1533" s="3">
        <v>4</v>
      </c>
      <c r="B1533" s="3">
        <v>2</v>
      </c>
      <c r="C1533" s="2">
        <v>50</v>
      </c>
      <c r="D1533" s="2">
        <v>5</v>
      </c>
      <c r="E1533" s="2">
        <v>16</v>
      </c>
      <c r="F1533" s="17">
        <v>91</v>
      </c>
      <c r="H1533" s="360">
        <v>1.3914972260174251E-2</v>
      </c>
      <c r="I1533" s="359">
        <v>0.26240765450580922</v>
      </c>
      <c r="K1533" s="363"/>
      <c r="N1533" s="10"/>
      <c r="O1533" s="4"/>
      <c r="P1533" s="4"/>
      <c r="Q1533" s="3"/>
      <c r="R1533" s="3"/>
      <c r="S1533" s="3"/>
      <c r="T1533" s="3"/>
    </row>
    <row r="1534" spans="1:20">
      <c r="A1534" s="3">
        <v>1</v>
      </c>
      <c r="B1534" s="3">
        <v>2</v>
      </c>
      <c r="C1534" s="2">
        <v>25</v>
      </c>
      <c r="D1534" s="2">
        <v>5</v>
      </c>
      <c r="E1534" s="2">
        <v>16</v>
      </c>
      <c r="F1534" s="17">
        <v>91</v>
      </c>
      <c r="H1534" s="361">
        <v>0.90259897088123031</v>
      </c>
      <c r="I1534" s="361">
        <v>0.10096523486188688</v>
      </c>
      <c r="K1534" s="363"/>
      <c r="N1534" s="10"/>
      <c r="O1534" s="4"/>
      <c r="P1534" s="4"/>
      <c r="Q1534" s="3"/>
      <c r="R1534" s="3"/>
      <c r="S1534" s="3"/>
      <c r="T1534" s="3"/>
    </row>
    <row r="1535" spans="1:20">
      <c r="A1535" s="3">
        <v>5</v>
      </c>
      <c r="B1535" s="3">
        <v>2</v>
      </c>
      <c r="C1535" s="2">
        <v>50</v>
      </c>
      <c r="D1535" s="2">
        <v>5</v>
      </c>
      <c r="E1535" s="2">
        <v>16</v>
      </c>
      <c r="F1535" s="17">
        <v>91</v>
      </c>
      <c r="H1535" s="360">
        <v>0.2248785887503196</v>
      </c>
      <c r="I1535" s="359">
        <v>3.6295608747526908E-2</v>
      </c>
      <c r="K1535" s="363"/>
      <c r="N1535" s="10"/>
      <c r="O1535" s="4"/>
      <c r="P1535" s="4"/>
      <c r="Q1535" s="3"/>
      <c r="R1535" s="3"/>
      <c r="S1535" s="3"/>
      <c r="T1535" s="3"/>
    </row>
    <row r="1536" spans="1:20">
      <c r="A1536" s="3">
        <v>3</v>
      </c>
      <c r="B1536" s="3">
        <v>2</v>
      </c>
      <c r="C1536" s="2">
        <v>25</v>
      </c>
      <c r="D1536" s="2">
        <v>5</v>
      </c>
      <c r="E1536" s="2">
        <v>16</v>
      </c>
      <c r="F1536" s="17">
        <v>91</v>
      </c>
      <c r="H1536" s="360">
        <v>0.5780911215568787</v>
      </c>
      <c r="I1536" s="360">
        <v>1.0743715249122678E-2</v>
      </c>
      <c r="K1536" s="363"/>
      <c r="N1536" s="10"/>
      <c r="O1536" s="4"/>
      <c r="P1536" s="4"/>
      <c r="Q1536" s="3"/>
      <c r="R1536" s="3"/>
      <c r="S1536" s="3"/>
      <c r="T1536" s="3"/>
    </row>
    <row r="1537" spans="1:20">
      <c r="A1537" s="3">
        <v>1</v>
      </c>
      <c r="B1537" s="3">
        <v>2</v>
      </c>
      <c r="C1537" s="2">
        <v>25</v>
      </c>
      <c r="D1537" s="2">
        <v>5</v>
      </c>
      <c r="E1537" s="2">
        <v>16</v>
      </c>
      <c r="F1537" s="17">
        <v>91</v>
      </c>
      <c r="H1537" s="360">
        <v>0.88529529097177051</v>
      </c>
      <c r="I1537" s="360">
        <v>-2.2125781977076209E-3</v>
      </c>
      <c r="K1537" s="363"/>
      <c r="N1537" s="10"/>
      <c r="O1537" s="4"/>
      <c r="P1537" s="4"/>
      <c r="Q1537" s="3"/>
      <c r="R1537" s="3"/>
      <c r="S1537" s="3"/>
      <c r="T1537" s="3"/>
    </row>
    <row r="1538" spans="1:20">
      <c r="A1538" s="3">
        <v>2</v>
      </c>
      <c r="B1538" s="3">
        <v>2</v>
      </c>
      <c r="C1538" s="2">
        <v>25</v>
      </c>
      <c r="D1538" s="2">
        <v>5</v>
      </c>
      <c r="E1538" s="2">
        <v>16</v>
      </c>
      <c r="F1538" s="17">
        <v>91</v>
      </c>
      <c r="H1538" s="361">
        <v>1</v>
      </c>
      <c r="I1538" s="361">
        <v>-0.10462382750772564</v>
      </c>
      <c r="K1538" s="363"/>
      <c r="N1538" s="10"/>
      <c r="O1538" s="4"/>
      <c r="P1538" s="4"/>
      <c r="Q1538" s="3"/>
      <c r="R1538" s="3"/>
      <c r="S1538" s="3"/>
      <c r="T1538" s="3"/>
    </row>
    <row r="1539" spans="1:20">
      <c r="A1539" s="3">
        <v>1</v>
      </c>
      <c r="B1539" s="3">
        <v>2</v>
      </c>
      <c r="C1539" s="2">
        <v>25</v>
      </c>
      <c r="D1539" s="2">
        <v>5</v>
      </c>
      <c r="E1539" s="2">
        <v>1</v>
      </c>
      <c r="F1539" s="17">
        <v>91</v>
      </c>
      <c r="H1539" s="360">
        <v>5.1267043222722353E-2</v>
      </c>
      <c r="I1539" s="360">
        <v>-0.13345009825187246</v>
      </c>
      <c r="K1539" s="363"/>
      <c r="N1539" s="10"/>
      <c r="O1539" s="4"/>
      <c r="P1539" s="4"/>
      <c r="Q1539" s="3"/>
      <c r="R1539" s="3"/>
      <c r="S1539" s="3"/>
      <c r="T1539" s="3"/>
    </row>
    <row r="1540" spans="1:20">
      <c r="A1540" s="3">
        <v>1</v>
      </c>
      <c r="B1540" s="3">
        <v>2</v>
      </c>
      <c r="C1540" s="2">
        <v>25</v>
      </c>
      <c r="D1540" s="2">
        <v>30</v>
      </c>
      <c r="E1540" s="2">
        <v>16</v>
      </c>
      <c r="F1540" s="17">
        <v>91</v>
      </c>
      <c r="H1540" s="360">
        <v>1</v>
      </c>
      <c r="I1540" s="360">
        <v>-0.18167744423462426</v>
      </c>
      <c r="K1540" s="363"/>
      <c r="N1540" s="10"/>
      <c r="O1540" s="4"/>
      <c r="P1540" s="4"/>
      <c r="Q1540" s="3"/>
      <c r="R1540" s="3"/>
      <c r="S1540" s="3"/>
      <c r="T1540" s="3"/>
    </row>
    <row r="1541" spans="1:20">
      <c r="A1541" s="3">
        <v>2</v>
      </c>
      <c r="B1541" s="3">
        <v>2</v>
      </c>
      <c r="C1541" s="2">
        <v>25</v>
      </c>
      <c r="D1541" s="2">
        <v>5</v>
      </c>
      <c r="E1541" s="2">
        <v>1</v>
      </c>
      <c r="F1541" s="17">
        <v>91</v>
      </c>
      <c r="H1541" s="361">
        <v>0.17803722067030925</v>
      </c>
      <c r="I1541" s="361">
        <v>-0.32714669051878353</v>
      </c>
      <c r="K1541" s="363"/>
      <c r="N1541" s="10"/>
      <c r="O1541" s="4"/>
      <c r="P1541" s="4"/>
      <c r="Q1541" s="3"/>
      <c r="R1541" s="3"/>
      <c r="S1541" s="3"/>
      <c r="T1541" s="3"/>
    </row>
    <row r="1542" spans="1:20">
      <c r="A1542" s="3">
        <v>3</v>
      </c>
      <c r="B1542" s="3">
        <v>1</v>
      </c>
      <c r="C1542" s="2">
        <v>25</v>
      </c>
      <c r="D1542" s="2">
        <v>5</v>
      </c>
      <c r="E1542" s="2">
        <v>1</v>
      </c>
      <c r="F1542" s="17">
        <v>91</v>
      </c>
      <c r="H1542" s="360">
        <v>0.63698715590787602</v>
      </c>
      <c r="I1542" s="360">
        <v>-0.66492950744588353</v>
      </c>
      <c r="K1542" s="363"/>
      <c r="N1542" s="10"/>
      <c r="O1542" s="4"/>
      <c r="P1542" s="4"/>
      <c r="Q1542" s="3"/>
      <c r="R1542" s="3"/>
      <c r="S1542" s="3"/>
      <c r="T1542" s="3"/>
    </row>
    <row r="1543" spans="1:20">
      <c r="A1543" s="3">
        <v>3</v>
      </c>
      <c r="B1543" s="3">
        <v>1</v>
      </c>
      <c r="C1543" s="2">
        <v>25</v>
      </c>
      <c r="D1543" s="2">
        <v>5</v>
      </c>
      <c r="E1543" s="2">
        <v>16</v>
      </c>
      <c r="F1543" s="17">
        <v>91</v>
      </c>
      <c r="H1543" s="361">
        <v>1</v>
      </c>
      <c r="I1543" s="361">
        <v>-0.68177731395223651</v>
      </c>
      <c r="K1543" s="363"/>
      <c r="N1543" s="10"/>
      <c r="O1543" s="4"/>
      <c r="P1543" s="4"/>
      <c r="Q1543" s="3"/>
      <c r="R1543" s="3"/>
      <c r="S1543" s="3"/>
      <c r="T1543" s="3"/>
    </row>
    <row r="1544" spans="1:20">
      <c r="A1544" s="3">
        <v>1</v>
      </c>
      <c r="B1544" s="3">
        <v>1</v>
      </c>
      <c r="C1544" s="2">
        <v>25</v>
      </c>
      <c r="D1544" s="2">
        <v>5</v>
      </c>
      <c r="E1544" s="2">
        <v>16</v>
      </c>
      <c r="F1544" s="17">
        <v>91</v>
      </c>
      <c r="H1544" s="360">
        <v>1</v>
      </c>
      <c r="I1544" s="360">
        <v>-0.72766491516950371</v>
      </c>
      <c r="K1544" s="363"/>
      <c r="N1544" s="10"/>
      <c r="O1544" s="4"/>
      <c r="P1544" s="4"/>
      <c r="Q1544" s="3"/>
      <c r="R1544" s="3"/>
      <c r="S1544" s="3"/>
      <c r="T1544" s="3"/>
    </row>
    <row r="1545" spans="1:20">
      <c r="A1545" s="3">
        <v>1</v>
      </c>
      <c r="B1545" s="3">
        <v>1</v>
      </c>
      <c r="C1545" s="2">
        <v>25</v>
      </c>
      <c r="D1545" s="2">
        <v>30</v>
      </c>
      <c r="E1545" s="2">
        <v>16</v>
      </c>
      <c r="F1545" s="17">
        <v>91</v>
      </c>
      <c r="H1545" s="360">
        <v>1</v>
      </c>
      <c r="I1545" s="360">
        <v>-0.73482072910945662</v>
      </c>
      <c r="K1545" s="363"/>
      <c r="N1545" s="10"/>
      <c r="O1545" s="4"/>
      <c r="P1545" s="4"/>
      <c r="Q1545" s="3"/>
      <c r="R1545" s="3"/>
      <c r="S1545" s="3"/>
      <c r="T1545" s="3"/>
    </row>
    <row r="1546" spans="1:20">
      <c r="A1546" s="3">
        <v>1</v>
      </c>
      <c r="B1546" s="3">
        <v>1</v>
      </c>
      <c r="C1546" s="2">
        <v>25</v>
      </c>
      <c r="D1546" s="2">
        <v>5</v>
      </c>
      <c r="E1546" s="2">
        <v>1</v>
      </c>
      <c r="F1546" s="17">
        <v>91</v>
      </c>
      <c r="H1546" s="360">
        <v>1</v>
      </c>
      <c r="I1546" s="360">
        <v>-0.76044985318216229</v>
      </c>
      <c r="K1546" s="363"/>
      <c r="N1546" s="10"/>
      <c r="O1546" s="4"/>
      <c r="P1546" s="4"/>
      <c r="Q1546" s="3"/>
      <c r="R1546" s="3"/>
      <c r="S1546" s="3"/>
      <c r="T1546" s="3"/>
    </row>
    <row r="1547" spans="1:20">
      <c r="A1547" s="3">
        <v>2</v>
      </c>
      <c r="B1547" s="3">
        <v>1</v>
      </c>
      <c r="C1547" s="2">
        <v>25</v>
      </c>
      <c r="D1547" s="2">
        <v>5</v>
      </c>
      <c r="E1547" s="2">
        <v>16</v>
      </c>
      <c r="F1547" s="17">
        <v>91</v>
      </c>
      <c r="H1547" s="361">
        <v>1</v>
      </c>
      <c r="I1547" s="361">
        <v>-0.83938096525041606</v>
      </c>
      <c r="K1547" s="363"/>
      <c r="N1547" s="10"/>
      <c r="O1547" s="4"/>
      <c r="P1547" s="4"/>
      <c r="Q1547" s="3"/>
      <c r="R1547" s="3"/>
      <c r="S1547" s="3"/>
      <c r="T1547" s="3"/>
    </row>
    <row r="1548" spans="1:20">
      <c r="A1548" s="3">
        <v>2</v>
      </c>
      <c r="B1548" s="3">
        <v>1</v>
      </c>
      <c r="C1548" s="2">
        <v>25</v>
      </c>
      <c r="D1548" s="2">
        <v>5</v>
      </c>
      <c r="E1548" s="2">
        <v>1</v>
      </c>
      <c r="F1548" s="17">
        <v>91</v>
      </c>
      <c r="H1548" s="360">
        <v>1</v>
      </c>
      <c r="I1548" s="360">
        <v>-0.89605624010197382</v>
      </c>
      <c r="K1548" s="363"/>
      <c r="N1548" s="10"/>
      <c r="O1548" s="4"/>
      <c r="P1548" s="4"/>
      <c r="Q1548" s="3"/>
      <c r="R1548" s="3"/>
      <c r="S1548" s="3"/>
      <c r="T1548" s="3"/>
    </row>
    <row r="1549" spans="1:20">
      <c r="A1549" s="3">
        <v>2</v>
      </c>
      <c r="B1549" s="3">
        <v>2</v>
      </c>
      <c r="C1549" s="2">
        <v>25</v>
      </c>
      <c r="D1549" s="2">
        <v>5</v>
      </c>
      <c r="E1549" s="2">
        <v>16</v>
      </c>
      <c r="F1549" s="17">
        <v>92</v>
      </c>
      <c r="H1549" s="361">
        <v>1</v>
      </c>
      <c r="I1549" s="361">
        <v>0.36982732040468025</v>
      </c>
      <c r="K1549" s="363"/>
      <c r="N1549" s="10"/>
      <c r="O1549" s="4"/>
      <c r="P1549" s="4"/>
      <c r="Q1549" s="3"/>
      <c r="R1549" s="3"/>
      <c r="S1549" s="3"/>
      <c r="T1549" s="3"/>
    </row>
    <row r="1550" spans="1:20">
      <c r="A1550" s="3">
        <v>3</v>
      </c>
      <c r="B1550" s="3">
        <v>2</v>
      </c>
      <c r="C1550" s="2">
        <v>25</v>
      </c>
      <c r="D1550" s="2">
        <v>5</v>
      </c>
      <c r="E1550" s="2">
        <v>1</v>
      </c>
      <c r="F1550" s="17">
        <v>92</v>
      </c>
      <c r="H1550" s="361">
        <v>2.2610311157070351E-2</v>
      </c>
      <c r="I1550" s="361">
        <v>0.29330758250062977</v>
      </c>
      <c r="K1550" s="363"/>
      <c r="N1550" s="10"/>
      <c r="O1550" s="4"/>
      <c r="P1550" s="4"/>
      <c r="Q1550" s="3"/>
      <c r="R1550" s="3"/>
      <c r="S1550" s="3"/>
      <c r="T1550" s="3"/>
    </row>
    <row r="1551" spans="1:20">
      <c r="A1551" s="3">
        <v>1</v>
      </c>
      <c r="B1551" s="3">
        <v>2</v>
      </c>
      <c r="C1551" s="2">
        <v>25</v>
      </c>
      <c r="D1551" s="2">
        <v>5</v>
      </c>
      <c r="E1551" s="2">
        <v>16</v>
      </c>
      <c r="F1551" s="17">
        <v>92</v>
      </c>
      <c r="H1551" s="360">
        <v>1</v>
      </c>
      <c r="I1551" s="360">
        <v>0.27945354984655618</v>
      </c>
      <c r="K1551" s="363"/>
      <c r="N1551" s="10"/>
      <c r="O1551" s="4"/>
      <c r="P1551" s="4"/>
      <c r="Q1551" s="3"/>
      <c r="R1551" s="3"/>
      <c r="S1551" s="3"/>
      <c r="T1551" s="3"/>
    </row>
    <row r="1552" spans="1:20">
      <c r="A1552" s="3">
        <v>1</v>
      </c>
      <c r="B1552" s="3">
        <v>2</v>
      </c>
      <c r="C1552" s="2">
        <v>25</v>
      </c>
      <c r="D1552" s="2">
        <v>5</v>
      </c>
      <c r="E1552" s="2">
        <v>16</v>
      </c>
      <c r="F1552" s="17">
        <v>92</v>
      </c>
      <c r="H1552" s="361">
        <v>1</v>
      </c>
      <c r="I1552" s="361">
        <v>0.25447112633580438</v>
      </c>
      <c r="K1552" s="363"/>
      <c r="N1552" s="10"/>
      <c r="O1552" s="4"/>
      <c r="P1552" s="4"/>
      <c r="Q1552" s="3"/>
      <c r="R1552" s="3"/>
      <c r="S1552" s="3"/>
      <c r="T1552" s="3"/>
    </row>
    <row r="1553" spans="1:20">
      <c r="A1553" s="3">
        <v>2</v>
      </c>
      <c r="B1553" s="3">
        <v>2</v>
      </c>
      <c r="C1553" s="2">
        <v>25</v>
      </c>
      <c r="D1553" s="2">
        <v>5</v>
      </c>
      <c r="E1553" s="2">
        <v>1</v>
      </c>
      <c r="F1553" s="17">
        <v>92</v>
      </c>
      <c r="H1553" s="361">
        <v>0.10042834948950463</v>
      </c>
      <c r="I1553" s="361">
        <v>0.18870778020500756</v>
      </c>
      <c r="K1553" s="363"/>
      <c r="N1553" s="10"/>
      <c r="O1553" s="4"/>
      <c r="P1553" s="4"/>
      <c r="Q1553" s="3"/>
      <c r="R1553" s="3"/>
      <c r="S1553" s="3"/>
      <c r="T1553" s="3"/>
    </row>
    <row r="1554" spans="1:20">
      <c r="A1554" s="3">
        <v>1</v>
      </c>
      <c r="B1554" s="3">
        <v>2</v>
      </c>
      <c r="C1554" s="2">
        <v>25</v>
      </c>
      <c r="D1554" s="2">
        <v>5</v>
      </c>
      <c r="E1554" s="2">
        <v>1</v>
      </c>
      <c r="F1554" s="17">
        <v>92</v>
      </c>
      <c r="H1554" s="360">
        <v>0.13742190817744682</v>
      </c>
      <c r="I1554" s="360">
        <v>0.15584366167754293</v>
      </c>
      <c r="K1554" s="363"/>
      <c r="N1554" s="10"/>
      <c r="O1554" s="4"/>
      <c r="P1554" s="4"/>
      <c r="Q1554" s="3"/>
      <c r="R1554" s="3"/>
      <c r="S1554" s="3"/>
      <c r="T1554" s="3"/>
    </row>
    <row r="1555" spans="1:20">
      <c r="A1555" s="3">
        <v>1</v>
      </c>
      <c r="B1555" s="3">
        <v>2</v>
      </c>
      <c r="C1555" s="2">
        <v>25</v>
      </c>
      <c r="D1555" s="2">
        <v>30</v>
      </c>
      <c r="E1555" s="2">
        <v>16</v>
      </c>
      <c r="F1555" s="17">
        <v>92</v>
      </c>
      <c r="H1555" s="360">
        <v>1</v>
      </c>
      <c r="I1555" s="360">
        <v>0.1474987689376209</v>
      </c>
      <c r="K1555" s="363"/>
      <c r="N1555" s="10"/>
      <c r="O1555" s="4"/>
      <c r="P1555" s="4"/>
      <c r="Q1555" s="3"/>
      <c r="R1555" s="3"/>
      <c r="S1555" s="3"/>
      <c r="T1555" s="3"/>
    </row>
    <row r="1556" spans="1:20">
      <c r="A1556" s="3">
        <v>4</v>
      </c>
      <c r="B1556" s="3">
        <v>2</v>
      </c>
      <c r="C1556" s="2">
        <v>50</v>
      </c>
      <c r="D1556" s="2">
        <v>5</v>
      </c>
      <c r="E1556" s="2">
        <v>16</v>
      </c>
      <c r="F1556" s="17">
        <v>92</v>
      </c>
      <c r="H1556" s="360">
        <v>4.1057702254314828E-2</v>
      </c>
      <c r="I1556" s="359">
        <v>7.7956518183623633E-2</v>
      </c>
      <c r="K1556" s="363"/>
      <c r="N1556" s="10"/>
      <c r="O1556" s="4"/>
      <c r="P1556" s="4"/>
      <c r="Q1556" s="3"/>
      <c r="R1556" s="3"/>
      <c r="S1556" s="3"/>
      <c r="T1556" s="3"/>
    </row>
    <row r="1557" spans="1:20">
      <c r="A1557" s="3">
        <v>5</v>
      </c>
      <c r="B1557" s="3">
        <v>2</v>
      </c>
      <c r="C1557" s="2">
        <v>50</v>
      </c>
      <c r="D1557" s="2">
        <v>5</v>
      </c>
      <c r="E1557" s="2">
        <v>16</v>
      </c>
      <c r="F1557" s="17">
        <v>92</v>
      </c>
      <c r="H1557" s="360">
        <v>0.54649435429664173</v>
      </c>
      <c r="I1557" s="359">
        <v>-2.1516978429798215E-3</v>
      </c>
      <c r="K1557" s="363"/>
      <c r="N1557" s="10"/>
      <c r="O1557" s="4"/>
      <c r="P1557" s="4"/>
      <c r="Q1557" s="3"/>
      <c r="R1557" s="3"/>
      <c r="S1557" s="3"/>
      <c r="T1557" s="3"/>
    </row>
    <row r="1558" spans="1:20">
      <c r="A1558" s="3">
        <v>3</v>
      </c>
      <c r="B1558" s="3">
        <v>2</v>
      </c>
      <c r="C1558" s="2">
        <v>25</v>
      </c>
      <c r="D1558" s="2">
        <v>5</v>
      </c>
      <c r="E1558" s="2">
        <v>16</v>
      </c>
      <c r="F1558" s="17">
        <v>92</v>
      </c>
      <c r="H1558" s="360">
        <v>0.47027848523085425</v>
      </c>
      <c r="I1558" s="360">
        <v>-7.9266565332609271E-2</v>
      </c>
      <c r="K1558" s="363"/>
      <c r="N1558" s="10"/>
      <c r="O1558" s="4"/>
      <c r="P1558" s="4"/>
      <c r="Q1558" s="3"/>
      <c r="R1558" s="3"/>
      <c r="S1558" s="3"/>
      <c r="T1558" s="3"/>
    </row>
    <row r="1559" spans="1:20">
      <c r="A1559" s="3">
        <v>3</v>
      </c>
      <c r="B1559" s="3">
        <v>1</v>
      </c>
      <c r="C1559" s="2">
        <v>25</v>
      </c>
      <c r="D1559" s="2">
        <v>5</v>
      </c>
      <c r="E1559" s="2">
        <v>16</v>
      </c>
      <c r="F1559" s="17">
        <v>92</v>
      </c>
      <c r="H1559" s="361">
        <v>0.7088225364491314</v>
      </c>
      <c r="I1559" s="361">
        <v>-0.48388206269522938</v>
      </c>
      <c r="K1559" s="363"/>
      <c r="N1559" s="10"/>
      <c r="O1559" s="4"/>
      <c r="P1559" s="4"/>
      <c r="Q1559" s="3"/>
      <c r="R1559" s="3"/>
      <c r="S1559" s="3"/>
      <c r="T1559" s="3"/>
    </row>
    <row r="1560" spans="1:20">
      <c r="A1560" s="3">
        <v>3</v>
      </c>
      <c r="B1560" s="3">
        <v>1</v>
      </c>
      <c r="C1560" s="2">
        <v>25</v>
      </c>
      <c r="D1560" s="2">
        <v>5</v>
      </c>
      <c r="E1560" s="2">
        <v>1</v>
      </c>
      <c r="F1560" s="17">
        <v>92</v>
      </c>
      <c r="H1560" s="360">
        <v>0.46772882984614905</v>
      </c>
      <c r="I1560" s="360">
        <v>-0.57746137881493198</v>
      </c>
      <c r="K1560" s="363"/>
      <c r="N1560" s="10"/>
      <c r="O1560" s="4"/>
      <c r="P1560" s="4"/>
      <c r="Q1560" s="3"/>
      <c r="R1560" s="3"/>
      <c r="S1560" s="3"/>
      <c r="T1560" s="3"/>
    </row>
    <row r="1561" spans="1:20">
      <c r="A1561" s="3">
        <v>1</v>
      </c>
      <c r="B1561" s="3">
        <v>1</v>
      </c>
      <c r="C1561" s="2">
        <v>25</v>
      </c>
      <c r="D1561" s="2">
        <v>5</v>
      </c>
      <c r="E1561" s="2">
        <v>16</v>
      </c>
      <c r="F1561" s="17">
        <v>92</v>
      </c>
      <c r="H1561" s="360">
        <v>1</v>
      </c>
      <c r="I1561" s="360">
        <v>-0.62442738489169669</v>
      </c>
      <c r="K1561" s="363"/>
      <c r="N1561" s="10"/>
      <c r="O1561" s="4"/>
      <c r="P1561" s="4"/>
      <c r="Q1561" s="3"/>
      <c r="R1561" s="3"/>
      <c r="S1561" s="3"/>
      <c r="T1561" s="3"/>
    </row>
    <row r="1562" spans="1:20">
      <c r="A1562" s="3">
        <v>1</v>
      </c>
      <c r="B1562" s="3">
        <v>1</v>
      </c>
      <c r="C1562" s="2">
        <v>25</v>
      </c>
      <c r="D1562" s="2">
        <v>30</v>
      </c>
      <c r="E1562" s="2">
        <v>16</v>
      </c>
      <c r="F1562" s="17">
        <v>92</v>
      </c>
      <c r="H1562" s="360">
        <v>1</v>
      </c>
      <c r="I1562" s="360">
        <v>-0.63894697592326333</v>
      </c>
      <c r="K1562" s="363"/>
      <c r="N1562" s="10"/>
      <c r="O1562" s="4"/>
      <c r="P1562" s="4"/>
      <c r="Q1562" s="3"/>
      <c r="R1562" s="3"/>
      <c r="S1562" s="3"/>
      <c r="T1562" s="3"/>
    </row>
    <row r="1563" spans="1:20">
      <c r="A1563" s="3">
        <v>1</v>
      </c>
      <c r="B1563" s="3">
        <v>1</v>
      </c>
      <c r="C1563" s="2">
        <v>25</v>
      </c>
      <c r="D1563" s="2">
        <v>5</v>
      </c>
      <c r="E1563" s="2">
        <v>1</v>
      </c>
      <c r="F1563" s="17">
        <v>92</v>
      </c>
      <c r="H1563" s="360">
        <v>1</v>
      </c>
      <c r="I1563" s="360">
        <v>-0.85309564187696374</v>
      </c>
      <c r="K1563" s="363"/>
      <c r="N1563" s="10"/>
      <c r="O1563" s="4"/>
      <c r="P1563" s="4"/>
      <c r="Q1563" s="3"/>
      <c r="R1563" s="3"/>
      <c r="S1563" s="3"/>
      <c r="T1563" s="3"/>
    </row>
    <row r="1564" spans="1:20">
      <c r="A1564" s="3">
        <v>2</v>
      </c>
      <c r="B1564" s="3">
        <v>1</v>
      </c>
      <c r="C1564" s="2">
        <v>25</v>
      </c>
      <c r="D1564" s="2">
        <v>5</v>
      </c>
      <c r="E1564" s="2">
        <v>16</v>
      </c>
      <c r="F1564" s="17">
        <v>92</v>
      </c>
      <c r="H1564" s="361">
        <v>1</v>
      </c>
      <c r="I1564" s="361">
        <v>-0.89658192090395483</v>
      </c>
      <c r="K1564" s="363"/>
      <c r="N1564" s="10"/>
      <c r="O1564" s="4"/>
      <c r="P1564" s="4"/>
      <c r="Q1564" s="3"/>
      <c r="R1564" s="3"/>
      <c r="S1564" s="3"/>
      <c r="T1564" s="3"/>
    </row>
    <row r="1565" spans="1:20">
      <c r="A1565" s="3">
        <v>2</v>
      </c>
      <c r="B1565" s="3">
        <v>1</v>
      </c>
      <c r="C1565" s="2">
        <v>25</v>
      </c>
      <c r="D1565" s="2">
        <v>5</v>
      </c>
      <c r="E1565" s="2">
        <v>1</v>
      </c>
      <c r="F1565" s="17">
        <v>92</v>
      </c>
      <c r="H1565" s="360">
        <v>1</v>
      </c>
      <c r="I1565" s="360">
        <v>-0.93255367860899696</v>
      </c>
      <c r="K1565" s="363"/>
      <c r="N1565" s="10"/>
      <c r="O1565" s="4"/>
      <c r="P1565" s="4"/>
      <c r="Q1565" s="3"/>
      <c r="R1565" s="3"/>
      <c r="S1565" s="3"/>
      <c r="T1565" s="3"/>
    </row>
    <row r="1566" spans="1:20">
      <c r="A1566" s="3">
        <v>2</v>
      </c>
      <c r="B1566" s="3">
        <v>2</v>
      </c>
      <c r="C1566" s="2">
        <v>25</v>
      </c>
      <c r="D1566" s="2">
        <v>5</v>
      </c>
      <c r="E1566" s="2">
        <v>16</v>
      </c>
      <c r="F1566" s="17">
        <v>93</v>
      </c>
      <c r="H1566" s="361">
        <v>1</v>
      </c>
      <c r="I1566" s="361">
        <v>0.28424994773313295</v>
      </c>
      <c r="K1566" s="363"/>
      <c r="N1566" s="10"/>
      <c r="O1566" s="4"/>
      <c r="P1566" s="4"/>
      <c r="Q1566" s="3"/>
      <c r="R1566" s="3"/>
      <c r="S1566" s="3"/>
      <c r="T1566" s="3"/>
    </row>
    <row r="1567" spans="1:20">
      <c r="A1567" s="3">
        <v>4</v>
      </c>
      <c r="B1567" s="3">
        <v>2</v>
      </c>
      <c r="C1567" s="2">
        <v>50</v>
      </c>
      <c r="D1567" s="2">
        <v>5</v>
      </c>
      <c r="E1567" s="2">
        <v>16</v>
      </c>
      <c r="F1567" s="17">
        <v>93</v>
      </c>
      <c r="H1567" s="360">
        <v>3.5741858716261038E-2</v>
      </c>
      <c r="I1567" s="359">
        <v>7.9196014430510192E-2</v>
      </c>
      <c r="K1567" s="363"/>
      <c r="N1567" s="10"/>
      <c r="O1567" s="4"/>
      <c r="P1567" s="4"/>
      <c r="Q1567" s="3"/>
      <c r="R1567" s="3"/>
      <c r="S1567" s="3"/>
      <c r="T1567" s="3"/>
    </row>
    <row r="1568" spans="1:20">
      <c r="A1568" s="3">
        <v>1</v>
      </c>
      <c r="B1568" s="3">
        <v>2</v>
      </c>
      <c r="C1568" s="2">
        <v>25</v>
      </c>
      <c r="D1568" s="2">
        <v>30</v>
      </c>
      <c r="E1568" s="2">
        <v>16</v>
      </c>
      <c r="F1568" s="17">
        <v>93</v>
      </c>
      <c r="H1568" s="360">
        <v>1</v>
      </c>
      <c r="I1568" s="360">
        <v>-3.9917096071860419E-4</v>
      </c>
      <c r="K1568" s="363"/>
      <c r="N1568" s="10"/>
      <c r="O1568" s="4"/>
      <c r="P1568" s="4"/>
      <c r="Q1568" s="3"/>
      <c r="R1568" s="3"/>
      <c r="S1568" s="3"/>
      <c r="T1568" s="3"/>
    </row>
    <row r="1569" spans="1:20">
      <c r="A1569" s="3">
        <v>1</v>
      </c>
      <c r="B1569" s="3">
        <v>2</v>
      </c>
      <c r="C1569" s="2">
        <v>25</v>
      </c>
      <c r="D1569" s="2">
        <v>5</v>
      </c>
      <c r="E1569" s="2">
        <v>16</v>
      </c>
      <c r="F1569" s="17">
        <v>93</v>
      </c>
      <c r="H1569" s="361">
        <v>0.97425252475397472</v>
      </c>
      <c r="I1569" s="361">
        <v>-1.9729479096806755E-2</v>
      </c>
      <c r="K1569" s="363"/>
      <c r="N1569" s="10"/>
      <c r="O1569" s="4"/>
      <c r="P1569" s="4"/>
      <c r="Q1569" s="3"/>
      <c r="R1569" s="3"/>
      <c r="S1569" s="3"/>
      <c r="T1569" s="3"/>
    </row>
    <row r="1570" spans="1:20">
      <c r="A1570" s="3">
        <v>2</v>
      </c>
      <c r="B1570" s="3">
        <v>2</v>
      </c>
      <c r="C1570" s="2">
        <v>25</v>
      </c>
      <c r="D1570" s="2">
        <v>5</v>
      </c>
      <c r="E1570" s="2">
        <v>1</v>
      </c>
      <c r="F1570" s="17">
        <v>93</v>
      </c>
      <c r="H1570" s="361">
        <v>0.13922731074243888</v>
      </c>
      <c r="I1570" s="361">
        <v>-3.4492123845736015E-2</v>
      </c>
      <c r="K1570" s="363"/>
      <c r="N1570" s="10"/>
      <c r="O1570" s="4"/>
      <c r="P1570" s="4"/>
      <c r="Q1570" s="3"/>
      <c r="R1570" s="3"/>
      <c r="S1570" s="3"/>
      <c r="T1570" s="3"/>
    </row>
    <row r="1571" spans="1:20">
      <c r="A1571" s="3">
        <v>5</v>
      </c>
      <c r="B1571" s="3">
        <v>2</v>
      </c>
      <c r="C1571" s="2">
        <v>50</v>
      </c>
      <c r="D1571" s="2">
        <v>5</v>
      </c>
      <c r="E1571" s="2">
        <v>16</v>
      </c>
      <c r="F1571" s="17">
        <v>93</v>
      </c>
      <c r="H1571" s="360">
        <v>0.38194630905388327</v>
      </c>
      <c r="I1571" s="359">
        <v>-4.343462983441268E-2</v>
      </c>
      <c r="K1571" s="363"/>
      <c r="N1571" s="10"/>
      <c r="O1571" s="4"/>
      <c r="P1571" s="4"/>
      <c r="Q1571" s="3"/>
      <c r="R1571" s="3"/>
      <c r="S1571" s="3"/>
      <c r="T1571" s="3"/>
    </row>
    <row r="1572" spans="1:20">
      <c r="A1572" s="3">
        <v>3</v>
      </c>
      <c r="B1572" s="3">
        <v>2</v>
      </c>
      <c r="C1572" s="2">
        <v>25</v>
      </c>
      <c r="D1572" s="2">
        <v>5</v>
      </c>
      <c r="E1572" s="2">
        <v>1</v>
      </c>
      <c r="F1572" s="17">
        <v>93</v>
      </c>
      <c r="H1572" s="361">
        <v>4.4801677278903496E-2</v>
      </c>
      <c r="I1572" s="361">
        <v>-5.4638832470024545E-2</v>
      </c>
      <c r="K1572" s="363"/>
      <c r="N1572" s="10"/>
      <c r="O1572" s="4"/>
      <c r="P1572" s="4"/>
      <c r="Q1572" s="3"/>
      <c r="R1572" s="3"/>
      <c r="S1572" s="3"/>
      <c r="T1572" s="3"/>
    </row>
    <row r="1573" spans="1:20">
      <c r="A1573" s="3">
        <v>3</v>
      </c>
      <c r="B1573" s="3">
        <v>2</v>
      </c>
      <c r="C1573" s="2">
        <v>25</v>
      </c>
      <c r="D1573" s="2">
        <v>5</v>
      </c>
      <c r="E1573" s="2">
        <v>16</v>
      </c>
      <c r="F1573" s="17">
        <v>93</v>
      </c>
      <c r="H1573" s="360">
        <v>0.41626157790566165</v>
      </c>
      <c r="I1573" s="360">
        <v>-5.6086878654684716E-2</v>
      </c>
      <c r="K1573" s="363"/>
      <c r="N1573" s="10"/>
      <c r="O1573" s="4"/>
      <c r="P1573" s="4"/>
      <c r="Q1573" s="3"/>
      <c r="R1573" s="3"/>
      <c r="S1573" s="3"/>
      <c r="T1573" s="3"/>
    </row>
    <row r="1574" spans="1:20">
      <c r="A1574" s="3">
        <v>1</v>
      </c>
      <c r="B1574" s="3">
        <v>2</v>
      </c>
      <c r="C1574" s="2">
        <v>25</v>
      </c>
      <c r="D1574" s="2">
        <v>5</v>
      </c>
      <c r="E1574" s="2">
        <v>16</v>
      </c>
      <c r="F1574" s="17">
        <v>93</v>
      </c>
      <c r="H1574" s="360">
        <v>1</v>
      </c>
      <c r="I1574" s="360">
        <v>-0.13308935277116499</v>
      </c>
      <c r="K1574" s="363"/>
      <c r="N1574" s="10"/>
      <c r="O1574" s="4"/>
      <c r="P1574" s="4"/>
      <c r="Q1574" s="3"/>
      <c r="R1574" s="3"/>
      <c r="S1574" s="3"/>
      <c r="T1574" s="3"/>
    </row>
    <row r="1575" spans="1:20">
      <c r="A1575" s="3">
        <v>1</v>
      </c>
      <c r="B1575" s="3">
        <v>2</v>
      </c>
      <c r="C1575" s="2">
        <v>25</v>
      </c>
      <c r="D1575" s="2">
        <v>5</v>
      </c>
      <c r="E1575" s="2">
        <v>1</v>
      </c>
      <c r="F1575" s="17">
        <v>93</v>
      </c>
      <c r="H1575" s="360">
        <v>8.9779711459696987E-2</v>
      </c>
      <c r="I1575" s="360">
        <v>-0.15874895011310261</v>
      </c>
      <c r="K1575" s="363"/>
      <c r="N1575" s="10"/>
      <c r="O1575" s="4"/>
      <c r="P1575" s="4"/>
      <c r="Q1575" s="3"/>
      <c r="R1575" s="3"/>
      <c r="S1575" s="3"/>
      <c r="T1575" s="3"/>
    </row>
    <row r="1576" spans="1:20">
      <c r="A1576" s="3">
        <v>1</v>
      </c>
      <c r="B1576" s="3">
        <v>1</v>
      </c>
      <c r="C1576" s="2">
        <v>25</v>
      </c>
      <c r="D1576" s="2">
        <v>5</v>
      </c>
      <c r="E1576" s="2">
        <v>16</v>
      </c>
      <c r="F1576" s="17">
        <v>93</v>
      </c>
      <c r="H1576" s="360">
        <v>1</v>
      </c>
      <c r="I1576" s="360">
        <v>-0.57614470441718113</v>
      </c>
      <c r="K1576" s="363"/>
      <c r="N1576" s="10"/>
      <c r="O1576" s="4"/>
      <c r="P1576" s="4"/>
      <c r="Q1576" s="3"/>
      <c r="R1576" s="3"/>
      <c r="S1576" s="3"/>
      <c r="T1576" s="3"/>
    </row>
    <row r="1577" spans="1:20">
      <c r="A1577" s="3">
        <v>3</v>
      </c>
      <c r="B1577" s="3">
        <v>1</v>
      </c>
      <c r="C1577" s="2">
        <v>25</v>
      </c>
      <c r="D1577" s="2">
        <v>5</v>
      </c>
      <c r="E1577" s="2">
        <v>16</v>
      </c>
      <c r="F1577" s="17">
        <v>93</v>
      </c>
      <c r="H1577" s="361">
        <v>0.65616202088325037</v>
      </c>
      <c r="I1577" s="361">
        <v>-0.67552882151725313</v>
      </c>
      <c r="K1577" s="363"/>
      <c r="N1577" s="10"/>
      <c r="O1577" s="4"/>
      <c r="P1577" s="4"/>
      <c r="Q1577" s="3"/>
      <c r="R1577" s="3"/>
      <c r="S1577" s="3"/>
      <c r="T1577" s="3"/>
    </row>
    <row r="1578" spans="1:20">
      <c r="A1578" s="3">
        <v>3</v>
      </c>
      <c r="B1578" s="3">
        <v>1</v>
      </c>
      <c r="C1578" s="2">
        <v>25</v>
      </c>
      <c r="D1578" s="2">
        <v>5</v>
      </c>
      <c r="E1578" s="2">
        <v>1</v>
      </c>
      <c r="F1578" s="17">
        <v>93</v>
      </c>
      <c r="H1578" s="360">
        <v>0.49967346664527601</v>
      </c>
      <c r="I1578" s="360">
        <v>-0.7893957678176492</v>
      </c>
      <c r="K1578" s="363"/>
      <c r="N1578" s="10"/>
      <c r="O1578" s="4"/>
      <c r="P1578" s="4"/>
      <c r="Q1578" s="3"/>
      <c r="R1578" s="3"/>
      <c r="S1578" s="3"/>
      <c r="T1578" s="3"/>
    </row>
    <row r="1579" spans="1:20">
      <c r="A1579" s="3">
        <v>2</v>
      </c>
      <c r="B1579" s="3">
        <v>1</v>
      </c>
      <c r="C1579" s="2">
        <v>25</v>
      </c>
      <c r="D1579" s="2">
        <v>5</v>
      </c>
      <c r="E1579" s="2">
        <v>16</v>
      </c>
      <c r="F1579" s="17">
        <v>93</v>
      </c>
      <c r="H1579" s="361">
        <v>1</v>
      </c>
      <c r="I1579" s="361">
        <v>-0.79946344735077124</v>
      </c>
      <c r="K1579" s="363"/>
      <c r="N1579" s="10"/>
      <c r="O1579" s="4"/>
      <c r="P1579" s="4"/>
      <c r="Q1579" s="3"/>
      <c r="R1579" s="3"/>
      <c r="S1579" s="3"/>
      <c r="T1579" s="3"/>
    </row>
    <row r="1580" spans="1:20">
      <c r="A1580" s="3">
        <v>1</v>
      </c>
      <c r="B1580" s="3">
        <v>1</v>
      </c>
      <c r="C1580" s="2">
        <v>25</v>
      </c>
      <c r="D1580" s="2">
        <v>30</v>
      </c>
      <c r="E1580" s="2">
        <v>16</v>
      </c>
      <c r="F1580" s="17">
        <v>93</v>
      </c>
      <c r="H1580" s="360">
        <v>1</v>
      </c>
      <c r="I1580" s="360">
        <v>-0.80917696811302131</v>
      </c>
      <c r="K1580" s="363"/>
      <c r="N1580" s="10"/>
      <c r="O1580" s="4"/>
      <c r="P1580" s="4"/>
      <c r="Q1580" s="3"/>
      <c r="R1580" s="3"/>
      <c r="S1580" s="3"/>
      <c r="T1580" s="3"/>
    </row>
    <row r="1581" spans="1:20">
      <c r="A1581" s="3">
        <v>1</v>
      </c>
      <c r="B1581" s="3">
        <v>1</v>
      </c>
      <c r="C1581" s="2">
        <v>25</v>
      </c>
      <c r="D1581" s="2">
        <v>5</v>
      </c>
      <c r="E1581" s="2">
        <v>1</v>
      </c>
      <c r="F1581" s="17">
        <v>93</v>
      </c>
      <c r="H1581" s="360">
        <v>0.96443046310758584</v>
      </c>
      <c r="I1581" s="360">
        <v>-0.85531984184014809</v>
      </c>
      <c r="K1581" s="363"/>
      <c r="N1581" s="10"/>
      <c r="O1581" s="4"/>
      <c r="P1581" s="4"/>
      <c r="Q1581" s="3"/>
      <c r="R1581" s="3"/>
      <c r="S1581" s="3"/>
      <c r="T1581" s="3"/>
    </row>
    <row r="1582" spans="1:20">
      <c r="A1582" s="3">
        <v>2</v>
      </c>
      <c r="B1582" s="3">
        <v>1</v>
      </c>
      <c r="C1582" s="2">
        <v>25</v>
      </c>
      <c r="D1582" s="2">
        <v>5</v>
      </c>
      <c r="E1582" s="2">
        <v>1</v>
      </c>
      <c r="F1582" s="17">
        <v>93</v>
      </c>
      <c r="H1582" s="360">
        <v>1</v>
      </c>
      <c r="I1582" s="360">
        <v>-0.86355217492942049</v>
      </c>
      <c r="K1582" s="363"/>
      <c r="N1582" s="10"/>
      <c r="O1582" s="4"/>
      <c r="P1582" s="4"/>
      <c r="Q1582" s="3"/>
      <c r="R1582" s="3"/>
      <c r="S1582" s="3"/>
      <c r="T1582" s="3"/>
    </row>
    <row r="1583" spans="1:20">
      <c r="A1583" s="3">
        <v>4</v>
      </c>
      <c r="B1583" s="3">
        <v>2</v>
      </c>
      <c r="C1583" s="2">
        <v>50</v>
      </c>
      <c r="D1583" s="2">
        <v>5</v>
      </c>
      <c r="E1583" s="2">
        <v>16</v>
      </c>
      <c r="F1583" s="17">
        <v>94</v>
      </c>
      <c r="H1583" s="360">
        <v>0.2077648465418708</v>
      </c>
      <c r="I1583" s="359">
        <v>1.916272212675529E-2</v>
      </c>
      <c r="K1583" s="363"/>
      <c r="N1583" s="10"/>
      <c r="O1583" s="4"/>
      <c r="P1583" s="4"/>
      <c r="Q1583" s="3"/>
      <c r="R1583" s="3"/>
      <c r="S1583" s="3"/>
      <c r="T1583" s="3"/>
    </row>
    <row r="1584" spans="1:20">
      <c r="A1584" s="3">
        <v>5</v>
      </c>
      <c r="B1584" s="3">
        <v>2</v>
      </c>
      <c r="C1584" s="2">
        <v>50</v>
      </c>
      <c r="D1584" s="2">
        <v>5</v>
      </c>
      <c r="E1584" s="2">
        <v>16</v>
      </c>
      <c r="F1584" s="17">
        <v>94</v>
      </c>
      <c r="H1584" s="360">
        <v>1</v>
      </c>
      <c r="I1584" s="359">
        <v>1.898064220449143E-2</v>
      </c>
      <c r="K1584" s="363"/>
      <c r="N1584" s="10"/>
      <c r="O1584" s="4"/>
      <c r="P1584" s="4"/>
      <c r="Q1584" s="3"/>
      <c r="R1584" s="3"/>
      <c r="S1584" s="3"/>
      <c r="T1584" s="3"/>
    </row>
    <row r="1585" spans="1:20">
      <c r="A1585" s="3">
        <v>1</v>
      </c>
      <c r="B1585" s="3">
        <v>2</v>
      </c>
      <c r="C1585" s="2">
        <v>25</v>
      </c>
      <c r="D1585" s="2">
        <v>5</v>
      </c>
      <c r="E1585" s="2">
        <v>16</v>
      </c>
      <c r="F1585" s="17">
        <v>94</v>
      </c>
      <c r="H1585" s="360">
        <v>1</v>
      </c>
      <c r="I1585" s="360">
        <v>-2.6745711807310547E-2</v>
      </c>
      <c r="K1585" s="363"/>
      <c r="N1585" s="10"/>
      <c r="O1585" s="4"/>
      <c r="P1585" s="4"/>
      <c r="Q1585" s="3"/>
      <c r="R1585" s="3"/>
      <c r="S1585" s="3"/>
      <c r="T1585" s="3"/>
    </row>
    <row r="1586" spans="1:20">
      <c r="A1586" s="3">
        <v>1</v>
      </c>
      <c r="B1586" s="3">
        <v>2</v>
      </c>
      <c r="C1586" s="2">
        <v>25</v>
      </c>
      <c r="D1586" s="2">
        <v>5</v>
      </c>
      <c r="E1586" s="2">
        <v>1</v>
      </c>
      <c r="F1586" s="17">
        <v>94</v>
      </c>
      <c r="H1586" s="360">
        <v>0.22894569389938468</v>
      </c>
      <c r="I1586" s="360">
        <v>-7.4646768411893077E-2</v>
      </c>
      <c r="K1586" s="363"/>
      <c r="N1586" s="10"/>
      <c r="O1586" s="4"/>
      <c r="P1586" s="4"/>
      <c r="Q1586" s="3"/>
      <c r="R1586" s="3"/>
      <c r="S1586" s="3"/>
      <c r="T1586" s="3"/>
    </row>
    <row r="1587" spans="1:20">
      <c r="A1587" s="3">
        <v>1</v>
      </c>
      <c r="B1587" s="3">
        <v>2</v>
      </c>
      <c r="C1587" s="2">
        <v>25</v>
      </c>
      <c r="D1587" s="2">
        <v>30</v>
      </c>
      <c r="E1587" s="2">
        <v>16</v>
      </c>
      <c r="F1587" s="17">
        <v>94</v>
      </c>
      <c r="H1587" s="360">
        <v>1</v>
      </c>
      <c r="I1587" s="360">
        <v>-0.12429928623673292</v>
      </c>
      <c r="K1587" s="363"/>
      <c r="N1587" s="10"/>
      <c r="O1587" s="4"/>
      <c r="P1587" s="4"/>
      <c r="Q1587" s="3"/>
      <c r="R1587" s="3"/>
      <c r="S1587" s="3"/>
      <c r="T1587" s="3"/>
    </row>
    <row r="1588" spans="1:20">
      <c r="A1588" s="3">
        <v>1</v>
      </c>
      <c r="B1588" s="3">
        <v>1</v>
      </c>
      <c r="C1588" s="2">
        <v>25</v>
      </c>
      <c r="D1588" s="2">
        <v>30</v>
      </c>
      <c r="E1588" s="2">
        <v>16</v>
      </c>
      <c r="F1588" s="17">
        <v>94</v>
      </c>
      <c r="H1588" s="360">
        <v>1</v>
      </c>
      <c r="I1588" s="360">
        <v>-0.12869085367261174</v>
      </c>
      <c r="K1588" s="363"/>
      <c r="N1588" s="10"/>
      <c r="O1588" s="4"/>
      <c r="P1588" s="4"/>
      <c r="Q1588" s="3"/>
      <c r="R1588" s="3"/>
      <c r="S1588" s="3"/>
      <c r="T1588" s="3"/>
    </row>
    <row r="1589" spans="1:20">
      <c r="A1589" s="3">
        <v>1</v>
      </c>
      <c r="B1589" s="3">
        <v>2</v>
      </c>
      <c r="C1589" s="2">
        <v>25</v>
      </c>
      <c r="D1589" s="2">
        <v>5</v>
      </c>
      <c r="E1589" s="2">
        <v>16</v>
      </c>
      <c r="F1589" s="17">
        <v>94</v>
      </c>
      <c r="H1589" s="361">
        <v>1</v>
      </c>
      <c r="I1589" s="361">
        <v>-0.17500511902613647</v>
      </c>
      <c r="K1589" s="363"/>
      <c r="N1589" s="10"/>
      <c r="O1589" s="4"/>
      <c r="P1589" s="4"/>
      <c r="Q1589" s="3"/>
      <c r="R1589" s="3"/>
      <c r="S1589" s="3"/>
      <c r="T1589" s="3"/>
    </row>
    <row r="1590" spans="1:20">
      <c r="A1590" s="3">
        <v>3</v>
      </c>
      <c r="B1590" s="3">
        <v>2</v>
      </c>
      <c r="C1590" s="2">
        <v>25</v>
      </c>
      <c r="D1590" s="2">
        <v>5</v>
      </c>
      <c r="E1590" s="2">
        <v>16</v>
      </c>
      <c r="F1590" s="17">
        <v>94</v>
      </c>
      <c r="H1590" s="360">
        <v>0.29655577493970064</v>
      </c>
      <c r="I1590" s="360">
        <v>-0.25542612350669236</v>
      </c>
      <c r="K1590" s="363"/>
      <c r="N1590" s="10"/>
      <c r="O1590" s="4"/>
      <c r="P1590" s="4"/>
      <c r="Q1590" s="3"/>
      <c r="R1590" s="3"/>
      <c r="S1590" s="3"/>
      <c r="T1590" s="3"/>
    </row>
    <row r="1591" spans="1:20">
      <c r="A1591" s="3">
        <v>2</v>
      </c>
      <c r="B1591" s="3">
        <v>2</v>
      </c>
      <c r="C1591" s="2">
        <v>25</v>
      </c>
      <c r="D1591" s="2">
        <v>5</v>
      </c>
      <c r="E1591" s="2">
        <v>1</v>
      </c>
      <c r="F1591" s="17">
        <v>94</v>
      </c>
      <c r="H1591" s="361">
        <v>0.7617224036001059</v>
      </c>
      <c r="I1591" s="361">
        <v>-0.27196904756388574</v>
      </c>
      <c r="K1591" s="363"/>
      <c r="N1591" s="10"/>
      <c r="O1591" s="4"/>
      <c r="P1591" s="4"/>
      <c r="Q1591" s="3"/>
      <c r="R1591" s="3"/>
      <c r="S1591" s="3"/>
      <c r="T1591" s="3"/>
    </row>
    <row r="1592" spans="1:20">
      <c r="A1592" s="3">
        <v>3</v>
      </c>
      <c r="B1592" s="3">
        <v>2</v>
      </c>
      <c r="C1592" s="2">
        <v>25</v>
      </c>
      <c r="D1592" s="2">
        <v>5</v>
      </c>
      <c r="E1592" s="2">
        <v>1</v>
      </c>
      <c r="F1592" s="17">
        <v>94</v>
      </c>
      <c r="H1592" s="361">
        <v>9.1787849167167312E-2</v>
      </c>
      <c r="I1592" s="361">
        <v>-0.33098452649369037</v>
      </c>
      <c r="K1592" s="363"/>
      <c r="N1592" s="10"/>
      <c r="O1592" s="4"/>
      <c r="P1592" s="4"/>
      <c r="Q1592" s="3"/>
      <c r="R1592" s="3"/>
      <c r="S1592" s="3"/>
      <c r="T1592" s="3"/>
    </row>
    <row r="1593" spans="1:20">
      <c r="A1593" s="3">
        <v>1</v>
      </c>
      <c r="B1593" s="3">
        <v>1</v>
      </c>
      <c r="C1593" s="2">
        <v>25</v>
      </c>
      <c r="D1593" s="2">
        <v>5</v>
      </c>
      <c r="E1593" s="2">
        <v>16</v>
      </c>
      <c r="F1593" s="17">
        <v>94</v>
      </c>
      <c r="H1593" s="360">
        <v>0.89582204068566407</v>
      </c>
      <c r="I1593" s="360">
        <v>-0.36400797721232275</v>
      </c>
      <c r="K1593" s="363"/>
      <c r="N1593" s="10"/>
      <c r="O1593" s="4"/>
      <c r="P1593" s="4"/>
      <c r="Q1593" s="3"/>
      <c r="R1593" s="3"/>
      <c r="S1593" s="3"/>
      <c r="T1593" s="3"/>
    </row>
    <row r="1594" spans="1:20">
      <c r="A1594" s="3">
        <v>3</v>
      </c>
      <c r="B1594" s="3">
        <v>1</v>
      </c>
      <c r="C1594" s="2">
        <v>25</v>
      </c>
      <c r="D1594" s="2">
        <v>5</v>
      </c>
      <c r="E1594" s="2">
        <v>16</v>
      </c>
      <c r="F1594" s="17">
        <v>94</v>
      </c>
      <c r="H1594" s="361">
        <v>0.21469044529296055</v>
      </c>
      <c r="I1594" s="361">
        <v>-0.42607662155109688</v>
      </c>
      <c r="K1594" s="363"/>
      <c r="N1594" s="10"/>
      <c r="O1594" s="4"/>
      <c r="P1594" s="4"/>
      <c r="Q1594" s="3"/>
      <c r="R1594" s="3"/>
      <c r="S1594" s="3"/>
      <c r="T1594" s="3"/>
    </row>
    <row r="1595" spans="1:20">
      <c r="A1595" s="3">
        <v>2</v>
      </c>
      <c r="B1595" s="3">
        <v>2</v>
      </c>
      <c r="C1595" s="2">
        <v>25</v>
      </c>
      <c r="D1595" s="2">
        <v>5</v>
      </c>
      <c r="E1595" s="2">
        <v>16</v>
      </c>
      <c r="F1595" s="17">
        <v>94</v>
      </c>
      <c r="H1595" s="361">
        <v>1</v>
      </c>
      <c r="I1595" s="361">
        <v>-0.46783279848211562</v>
      </c>
      <c r="K1595" s="363"/>
      <c r="N1595" s="10"/>
      <c r="O1595" s="4"/>
      <c r="P1595" s="4"/>
      <c r="Q1595" s="3"/>
      <c r="R1595" s="3"/>
      <c r="S1595" s="3"/>
      <c r="T1595" s="3"/>
    </row>
    <row r="1596" spans="1:20">
      <c r="A1596" s="3">
        <v>3</v>
      </c>
      <c r="B1596" s="3">
        <v>1</v>
      </c>
      <c r="C1596" s="2">
        <v>25</v>
      </c>
      <c r="D1596" s="2">
        <v>5</v>
      </c>
      <c r="E1596" s="2">
        <v>1</v>
      </c>
      <c r="F1596" s="17">
        <v>94</v>
      </c>
      <c r="H1596" s="360">
        <v>0.10695572057708125</v>
      </c>
      <c r="I1596" s="360">
        <v>-0.52717718328618746</v>
      </c>
      <c r="K1596" s="363"/>
      <c r="N1596" s="10"/>
      <c r="O1596" s="4"/>
      <c r="P1596" s="4"/>
      <c r="Q1596" s="3"/>
      <c r="R1596" s="3"/>
      <c r="S1596" s="3"/>
      <c r="T1596" s="3"/>
    </row>
    <row r="1597" spans="1:20">
      <c r="A1597" s="3">
        <v>1</v>
      </c>
      <c r="B1597" s="3">
        <v>1</v>
      </c>
      <c r="C1597" s="2">
        <v>25</v>
      </c>
      <c r="D1597" s="2">
        <v>5</v>
      </c>
      <c r="E1597" s="2">
        <v>1</v>
      </c>
      <c r="F1597" s="17">
        <v>94</v>
      </c>
      <c r="H1597" s="360">
        <v>0.27741899802573478</v>
      </c>
      <c r="I1597" s="360">
        <v>-0.63226991080454709</v>
      </c>
      <c r="K1597" s="363"/>
      <c r="N1597" s="10"/>
      <c r="O1597" s="4"/>
      <c r="P1597" s="4"/>
      <c r="Q1597" s="3"/>
      <c r="R1597" s="3"/>
      <c r="S1597" s="3"/>
      <c r="T1597" s="3"/>
    </row>
    <row r="1598" spans="1:20">
      <c r="A1598" s="3">
        <v>2</v>
      </c>
      <c r="B1598" s="3">
        <v>1</v>
      </c>
      <c r="C1598" s="2">
        <v>25</v>
      </c>
      <c r="D1598" s="2">
        <v>5</v>
      </c>
      <c r="E1598" s="2">
        <v>16</v>
      </c>
      <c r="F1598" s="17">
        <v>94</v>
      </c>
      <c r="H1598" s="361">
        <v>1</v>
      </c>
      <c r="I1598" s="361">
        <v>-0.68680816720004945</v>
      </c>
      <c r="K1598" s="363"/>
      <c r="N1598" s="10"/>
      <c r="O1598" s="4"/>
      <c r="P1598" s="4"/>
      <c r="Q1598" s="3"/>
      <c r="R1598" s="3"/>
      <c r="S1598" s="3"/>
      <c r="T1598" s="3"/>
    </row>
    <row r="1599" spans="1:20">
      <c r="A1599" s="3">
        <v>2</v>
      </c>
      <c r="B1599" s="3">
        <v>1</v>
      </c>
      <c r="C1599" s="2">
        <v>25</v>
      </c>
      <c r="D1599" s="2">
        <v>5</v>
      </c>
      <c r="E1599" s="2">
        <v>1</v>
      </c>
      <c r="F1599" s="17">
        <v>94</v>
      </c>
      <c r="H1599" s="360">
        <v>1</v>
      </c>
      <c r="I1599" s="360">
        <v>-0.73224779002231266</v>
      </c>
      <c r="K1599" s="363"/>
      <c r="N1599" s="10"/>
      <c r="O1599" s="4"/>
      <c r="P1599" s="4"/>
      <c r="Q1599" s="3"/>
      <c r="R1599" s="3"/>
      <c r="S1599" s="3"/>
      <c r="T1599" s="3"/>
    </row>
    <row r="1600" spans="1:20">
      <c r="A1600" s="3">
        <v>3</v>
      </c>
      <c r="B1600" s="3">
        <v>2</v>
      </c>
      <c r="C1600" s="2">
        <v>25</v>
      </c>
      <c r="D1600" s="2">
        <v>5</v>
      </c>
      <c r="E1600" s="2">
        <v>1</v>
      </c>
      <c r="F1600" s="17">
        <v>95</v>
      </c>
      <c r="H1600" s="361">
        <v>1</v>
      </c>
      <c r="I1600" s="361">
        <v>0.92739527234136776</v>
      </c>
      <c r="K1600" s="363"/>
      <c r="N1600" s="10"/>
      <c r="O1600" s="4"/>
      <c r="P1600" s="4"/>
      <c r="Q1600" s="3"/>
      <c r="R1600" s="3"/>
      <c r="S1600" s="3"/>
      <c r="T1600" s="3"/>
    </row>
    <row r="1601" spans="1:20">
      <c r="A1601" s="3">
        <v>3</v>
      </c>
      <c r="B1601" s="3">
        <v>2</v>
      </c>
      <c r="C1601" s="2">
        <v>25</v>
      </c>
      <c r="D1601" s="2">
        <v>5</v>
      </c>
      <c r="E1601" s="2">
        <v>16</v>
      </c>
      <c r="F1601" s="17">
        <v>95</v>
      </c>
      <c r="H1601" s="360">
        <v>1</v>
      </c>
      <c r="I1601" s="360">
        <v>0.89466139793459187</v>
      </c>
      <c r="K1601" s="363"/>
      <c r="N1601" s="10"/>
      <c r="O1601" s="4"/>
      <c r="P1601" s="4"/>
      <c r="Q1601" s="3"/>
      <c r="R1601" s="3"/>
      <c r="S1601" s="3"/>
      <c r="T1601" s="3"/>
    </row>
    <row r="1602" spans="1:20">
      <c r="A1602" s="3">
        <v>1</v>
      </c>
      <c r="B1602" s="3">
        <v>2</v>
      </c>
      <c r="C1602" s="2">
        <v>25</v>
      </c>
      <c r="D1602" s="2">
        <v>5</v>
      </c>
      <c r="E1602" s="2">
        <v>16</v>
      </c>
      <c r="F1602" s="17">
        <v>95</v>
      </c>
      <c r="H1602" s="361">
        <v>1</v>
      </c>
      <c r="I1602" s="361">
        <v>0.89403120388663448</v>
      </c>
      <c r="K1602" s="363"/>
      <c r="N1602" s="10"/>
      <c r="O1602" s="4"/>
      <c r="P1602" s="4"/>
      <c r="Q1602" s="3"/>
      <c r="R1602" s="3"/>
      <c r="S1602" s="3"/>
      <c r="T1602" s="3"/>
    </row>
    <row r="1603" spans="1:20">
      <c r="A1603" s="3">
        <v>1</v>
      </c>
      <c r="B1603" s="3">
        <v>2</v>
      </c>
      <c r="C1603" s="2">
        <v>25</v>
      </c>
      <c r="D1603" s="2">
        <v>5</v>
      </c>
      <c r="E1603" s="2">
        <v>16</v>
      </c>
      <c r="F1603" s="17">
        <v>95</v>
      </c>
      <c r="H1603" s="360">
        <v>1</v>
      </c>
      <c r="I1603" s="360">
        <v>0.89154956820706077</v>
      </c>
      <c r="K1603" s="363"/>
      <c r="N1603" s="10"/>
      <c r="O1603" s="4"/>
      <c r="P1603" s="4"/>
      <c r="Q1603" s="3"/>
      <c r="R1603" s="3"/>
      <c r="S1603" s="3"/>
      <c r="T1603" s="3"/>
    </row>
    <row r="1604" spans="1:20">
      <c r="A1604" s="3">
        <v>1</v>
      </c>
      <c r="B1604" s="3">
        <v>2</v>
      </c>
      <c r="C1604" s="2">
        <v>25</v>
      </c>
      <c r="D1604" s="2">
        <v>5</v>
      </c>
      <c r="E1604" s="2">
        <v>1</v>
      </c>
      <c r="F1604" s="17">
        <v>95</v>
      </c>
      <c r="H1604" s="360">
        <v>0.96410565627555345</v>
      </c>
      <c r="I1604" s="360">
        <v>0.8660537680028304</v>
      </c>
      <c r="K1604" s="363"/>
      <c r="N1604" s="10"/>
      <c r="O1604" s="4"/>
      <c r="P1604" s="4"/>
      <c r="Q1604" s="3"/>
      <c r="R1604" s="3"/>
      <c r="S1604" s="3"/>
      <c r="T1604" s="3"/>
    </row>
    <row r="1605" spans="1:20">
      <c r="A1605" s="3">
        <v>1</v>
      </c>
      <c r="B1605" s="3">
        <v>1</v>
      </c>
      <c r="C1605" s="2">
        <v>25</v>
      </c>
      <c r="D1605" s="2">
        <v>5</v>
      </c>
      <c r="E1605" s="2">
        <v>1</v>
      </c>
      <c r="F1605" s="17">
        <v>95</v>
      </c>
      <c r="H1605" s="360">
        <v>1</v>
      </c>
      <c r="I1605" s="360">
        <v>0.84650517068228504</v>
      </c>
      <c r="K1605" s="363"/>
      <c r="N1605" s="10"/>
      <c r="O1605" s="4"/>
      <c r="P1605" s="4"/>
      <c r="Q1605" s="3"/>
      <c r="R1605" s="3"/>
      <c r="S1605" s="3"/>
      <c r="T1605" s="3"/>
    </row>
    <row r="1606" spans="1:20">
      <c r="A1606" s="3">
        <v>1</v>
      </c>
      <c r="B1606" s="3">
        <v>2</v>
      </c>
      <c r="C1606" s="2">
        <v>25</v>
      </c>
      <c r="D1606" s="2">
        <v>30</v>
      </c>
      <c r="E1606" s="2">
        <v>16</v>
      </c>
      <c r="F1606" s="17">
        <v>95</v>
      </c>
      <c r="H1606" s="360">
        <v>1</v>
      </c>
      <c r="I1606" s="360">
        <v>0.83324721822554948</v>
      </c>
      <c r="K1606" s="363"/>
      <c r="N1606" s="10"/>
      <c r="O1606" s="4"/>
      <c r="P1606" s="4"/>
      <c r="Q1606" s="3"/>
      <c r="R1606" s="3"/>
      <c r="S1606" s="3"/>
      <c r="T1606" s="3"/>
    </row>
    <row r="1607" spans="1:20">
      <c r="A1607" s="3">
        <v>1</v>
      </c>
      <c r="B1607" s="3">
        <v>1</v>
      </c>
      <c r="C1607" s="2">
        <v>25</v>
      </c>
      <c r="D1607" s="2">
        <v>5</v>
      </c>
      <c r="E1607" s="2">
        <v>16</v>
      </c>
      <c r="F1607" s="17">
        <v>95</v>
      </c>
      <c r="H1607" s="360">
        <v>1</v>
      </c>
      <c r="I1607" s="360">
        <v>0.82220213751042603</v>
      </c>
      <c r="K1607" s="363"/>
      <c r="N1607" s="10"/>
      <c r="O1607" s="4"/>
      <c r="P1607" s="4"/>
      <c r="Q1607" s="3"/>
      <c r="R1607" s="3"/>
      <c r="S1607" s="3"/>
      <c r="T1607" s="3"/>
    </row>
    <row r="1608" spans="1:20">
      <c r="A1608" s="3">
        <v>1</v>
      </c>
      <c r="B1608" s="3">
        <v>1</v>
      </c>
      <c r="C1608" s="2">
        <v>25</v>
      </c>
      <c r="D1608" s="2">
        <v>30</v>
      </c>
      <c r="E1608" s="2">
        <v>16</v>
      </c>
      <c r="F1608" s="17">
        <v>95</v>
      </c>
      <c r="H1608" s="360">
        <v>1</v>
      </c>
      <c r="I1608" s="360">
        <v>0.78123224999767793</v>
      </c>
      <c r="K1608" s="363"/>
      <c r="N1608" s="10"/>
      <c r="O1608" s="4"/>
      <c r="P1608" s="4"/>
      <c r="Q1608" s="3"/>
      <c r="R1608" s="3"/>
      <c r="S1608" s="3"/>
      <c r="T1608" s="3"/>
    </row>
    <row r="1609" spans="1:20">
      <c r="A1609" s="3">
        <v>2</v>
      </c>
      <c r="B1609" s="3">
        <v>2</v>
      </c>
      <c r="C1609" s="2">
        <v>25</v>
      </c>
      <c r="D1609" s="2">
        <v>5</v>
      </c>
      <c r="E1609" s="2">
        <v>1</v>
      </c>
      <c r="F1609" s="17">
        <v>95</v>
      </c>
      <c r="H1609" s="361">
        <v>1</v>
      </c>
      <c r="I1609" s="361">
        <v>0.52978768683808619</v>
      </c>
      <c r="K1609" s="363"/>
      <c r="N1609" s="10"/>
      <c r="O1609" s="4"/>
      <c r="P1609" s="4"/>
      <c r="Q1609" s="3"/>
      <c r="R1609" s="3"/>
      <c r="S1609" s="3"/>
      <c r="T1609" s="3"/>
    </row>
    <row r="1610" spans="1:20">
      <c r="A1610" s="3">
        <v>2</v>
      </c>
      <c r="B1610" s="3">
        <v>2</v>
      </c>
      <c r="C1610" s="2">
        <v>25</v>
      </c>
      <c r="D1610" s="2">
        <v>5</v>
      </c>
      <c r="E1610" s="2">
        <v>16</v>
      </c>
      <c r="F1610" s="17">
        <v>95</v>
      </c>
      <c r="H1610" s="361">
        <v>1</v>
      </c>
      <c r="I1610" s="361">
        <v>0.51712316142588555</v>
      </c>
      <c r="K1610" s="363"/>
      <c r="N1610" s="10"/>
      <c r="O1610" s="4"/>
      <c r="P1610" s="4"/>
      <c r="Q1610" s="3"/>
      <c r="R1610" s="3"/>
      <c r="S1610" s="3"/>
      <c r="T1610" s="3"/>
    </row>
    <row r="1611" spans="1:20">
      <c r="A1611" s="3">
        <v>3</v>
      </c>
      <c r="B1611" s="3">
        <v>1</v>
      </c>
      <c r="C1611" s="2">
        <v>25</v>
      </c>
      <c r="D1611" s="2">
        <v>5</v>
      </c>
      <c r="E1611" s="2">
        <v>1</v>
      </c>
      <c r="F1611" s="17">
        <v>95</v>
      </c>
      <c r="H1611" s="360">
        <v>1</v>
      </c>
      <c r="I1611" s="360">
        <v>0.48587641160314599</v>
      </c>
      <c r="K1611" s="363"/>
      <c r="N1611" s="10"/>
      <c r="O1611" s="4"/>
      <c r="P1611" s="4"/>
      <c r="Q1611" s="3"/>
      <c r="R1611" s="3"/>
      <c r="S1611" s="3"/>
      <c r="T1611" s="3"/>
    </row>
    <row r="1612" spans="1:20">
      <c r="A1612" s="3">
        <v>3</v>
      </c>
      <c r="B1612" s="3">
        <v>1</v>
      </c>
      <c r="C1612" s="2">
        <v>25</v>
      </c>
      <c r="D1612" s="2">
        <v>5</v>
      </c>
      <c r="E1612" s="2">
        <v>16</v>
      </c>
      <c r="F1612" s="17">
        <v>95</v>
      </c>
      <c r="H1612" s="361">
        <v>0.97887155673732018</v>
      </c>
      <c r="I1612" s="361">
        <v>0.44093301113067074</v>
      </c>
      <c r="K1612" s="363"/>
      <c r="N1612" s="10"/>
      <c r="O1612" s="4"/>
      <c r="P1612" s="4"/>
      <c r="Q1612" s="3"/>
      <c r="R1612" s="3"/>
      <c r="S1612" s="3"/>
      <c r="T1612" s="3"/>
    </row>
    <row r="1613" spans="1:20">
      <c r="A1613" s="3">
        <v>2</v>
      </c>
      <c r="B1613" s="3">
        <v>1</v>
      </c>
      <c r="C1613" s="2">
        <v>25</v>
      </c>
      <c r="D1613" s="2">
        <v>5</v>
      </c>
      <c r="E1613" s="2">
        <v>16</v>
      </c>
      <c r="F1613" s="17">
        <v>95</v>
      </c>
      <c r="H1613" s="361">
        <v>1</v>
      </c>
      <c r="I1613" s="361">
        <v>0.37610830421044644</v>
      </c>
      <c r="K1613" s="363"/>
      <c r="N1613" s="10"/>
      <c r="O1613" s="4"/>
      <c r="P1613" s="4"/>
      <c r="Q1613" s="3"/>
      <c r="R1613" s="3"/>
      <c r="S1613" s="3"/>
      <c r="T1613" s="3"/>
    </row>
    <row r="1614" spans="1:20">
      <c r="A1614" s="3">
        <v>2</v>
      </c>
      <c r="B1614" s="3">
        <v>1</v>
      </c>
      <c r="C1614" s="2">
        <v>25</v>
      </c>
      <c r="D1614" s="2">
        <v>5</v>
      </c>
      <c r="E1614" s="2">
        <v>1</v>
      </c>
      <c r="F1614" s="17">
        <v>95</v>
      </c>
      <c r="H1614" s="360">
        <v>1</v>
      </c>
      <c r="I1614" s="360">
        <v>0.33391350866683994</v>
      </c>
      <c r="K1614" s="363"/>
      <c r="N1614" s="10"/>
      <c r="O1614" s="4"/>
      <c r="P1614" s="4"/>
      <c r="Q1614" s="3"/>
      <c r="R1614" s="3"/>
      <c r="S1614" s="3"/>
      <c r="T1614" s="3"/>
    </row>
    <row r="1615" spans="1:20">
      <c r="A1615" s="3">
        <v>5</v>
      </c>
      <c r="B1615" s="3">
        <v>2</v>
      </c>
      <c r="C1615" s="2">
        <v>50</v>
      </c>
      <c r="D1615" s="2">
        <v>5</v>
      </c>
      <c r="E1615" s="2">
        <v>16</v>
      </c>
      <c r="F1615" s="17">
        <v>95</v>
      </c>
      <c r="H1615" s="360">
        <v>1</v>
      </c>
      <c r="I1615" s="359">
        <v>0.27508345791932914</v>
      </c>
      <c r="K1615" s="363"/>
      <c r="N1615" s="10"/>
      <c r="O1615" s="4"/>
      <c r="P1615" s="4"/>
      <c r="Q1615" s="3"/>
      <c r="R1615" s="3"/>
      <c r="S1615" s="3"/>
      <c r="T1615" s="3"/>
    </row>
    <row r="1616" spans="1:20">
      <c r="A1616" s="3">
        <v>4</v>
      </c>
      <c r="B1616" s="3">
        <v>2</v>
      </c>
      <c r="C1616" s="2">
        <v>50</v>
      </c>
      <c r="D1616" s="2">
        <v>5</v>
      </c>
      <c r="E1616" s="2">
        <v>16</v>
      </c>
      <c r="F1616" s="17">
        <v>95</v>
      </c>
      <c r="H1616" s="360">
        <v>0.9830823264129458</v>
      </c>
      <c r="I1616" s="359">
        <v>-0.40936066524872322</v>
      </c>
      <c r="K1616" s="363"/>
      <c r="N1616" s="10"/>
      <c r="O1616" s="4"/>
      <c r="P1616" s="4"/>
      <c r="Q1616" s="3"/>
      <c r="R1616" s="3"/>
      <c r="S1616" s="3"/>
      <c r="T1616" s="3"/>
    </row>
    <row r="1617" spans="1:20">
      <c r="A1617" s="3">
        <v>3</v>
      </c>
      <c r="B1617" s="3">
        <v>2</v>
      </c>
      <c r="C1617" s="2">
        <v>25</v>
      </c>
      <c r="D1617" s="2">
        <v>5</v>
      </c>
      <c r="E1617" s="2">
        <v>16</v>
      </c>
      <c r="F1617" s="17">
        <v>96</v>
      </c>
      <c r="H1617" s="360">
        <v>1</v>
      </c>
      <c r="I1617" s="360">
        <v>0.93247541623216534</v>
      </c>
      <c r="K1617" s="363"/>
      <c r="N1617" s="10"/>
      <c r="O1617" s="4"/>
      <c r="P1617" s="4"/>
      <c r="Q1617" s="3"/>
      <c r="R1617" s="3"/>
      <c r="S1617" s="3"/>
      <c r="T1617" s="3"/>
    </row>
    <row r="1618" spans="1:20">
      <c r="A1618" s="3">
        <v>3</v>
      </c>
      <c r="B1618" s="3">
        <v>2</v>
      </c>
      <c r="C1618" s="2">
        <v>25</v>
      </c>
      <c r="D1618" s="2">
        <v>5</v>
      </c>
      <c r="E1618" s="2">
        <v>1</v>
      </c>
      <c r="F1618" s="17">
        <v>96</v>
      </c>
      <c r="H1618" s="361">
        <v>1</v>
      </c>
      <c r="I1618" s="361">
        <v>0.92203519032460723</v>
      </c>
      <c r="K1618" s="363"/>
      <c r="N1618" s="10"/>
      <c r="O1618" s="4"/>
      <c r="P1618" s="4"/>
      <c r="Q1618" s="3"/>
      <c r="R1618" s="3"/>
      <c r="S1618" s="3"/>
      <c r="T1618" s="3"/>
    </row>
    <row r="1619" spans="1:20">
      <c r="A1619" s="3">
        <v>1</v>
      </c>
      <c r="B1619" s="3">
        <v>2</v>
      </c>
      <c r="C1619" s="2">
        <v>25</v>
      </c>
      <c r="D1619" s="2">
        <v>5</v>
      </c>
      <c r="E1619" s="2">
        <v>16</v>
      </c>
      <c r="F1619" s="17">
        <v>96</v>
      </c>
      <c r="H1619" s="361">
        <v>1</v>
      </c>
      <c r="I1619" s="361">
        <v>0.73758406528466469</v>
      </c>
      <c r="K1619" s="363"/>
      <c r="N1619" s="10"/>
      <c r="O1619" s="4"/>
      <c r="P1619" s="4"/>
      <c r="Q1619" s="3"/>
      <c r="R1619" s="3"/>
      <c r="S1619" s="3"/>
      <c r="T1619" s="3"/>
    </row>
    <row r="1620" spans="1:20">
      <c r="A1620" s="3">
        <v>1</v>
      </c>
      <c r="B1620" s="3">
        <v>2</v>
      </c>
      <c r="C1620" s="2">
        <v>25</v>
      </c>
      <c r="D1620" s="2">
        <v>5</v>
      </c>
      <c r="E1620" s="2">
        <v>1</v>
      </c>
      <c r="F1620" s="17">
        <v>96</v>
      </c>
      <c r="H1620" s="360">
        <v>1</v>
      </c>
      <c r="I1620" s="360">
        <v>0.73013815601355847</v>
      </c>
      <c r="K1620" s="363"/>
      <c r="N1620" s="10"/>
      <c r="O1620" s="4"/>
      <c r="P1620" s="4"/>
      <c r="Q1620" s="3"/>
      <c r="R1620" s="3"/>
      <c r="S1620" s="3"/>
      <c r="T1620" s="3"/>
    </row>
    <row r="1621" spans="1:20">
      <c r="A1621" s="3">
        <v>1</v>
      </c>
      <c r="B1621" s="3">
        <v>2</v>
      </c>
      <c r="C1621" s="2">
        <v>25</v>
      </c>
      <c r="D1621" s="2">
        <v>5</v>
      </c>
      <c r="E1621" s="2">
        <v>16</v>
      </c>
      <c r="F1621" s="17">
        <v>96</v>
      </c>
      <c r="H1621" s="360">
        <v>1</v>
      </c>
      <c r="I1621" s="360">
        <v>0.7181710265100727</v>
      </c>
      <c r="K1621" s="363"/>
      <c r="N1621" s="10"/>
      <c r="O1621" s="4"/>
      <c r="P1621" s="4"/>
      <c r="Q1621" s="3"/>
      <c r="R1621" s="3"/>
      <c r="S1621" s="3"/>
      <c r="T1621" s="3"/>
    </row>
    <row r="1622" spans="1:20">
      <c r="A1622" s="3">
        <v>1</v>
      </c>
      <c r="B1622" s="3">
        <v>2</v>
      </c>
      <c r="C1622" s="2">
        <v>25</v>
      </c>
      <c r="D1622" s="2">
        <v>30</v>
      </c>
      <c r="E1622" s="2">
        <v>16</v>
      </c>
      <c r="F1622" s="17">
        <v>96</v>
      </c>
      <c r="H1622" s="360">
        <v>1</v>
      </c>
      <c r="I1622" s="360">
        <v>0.63124122900204804</v>
      </c>
      <c r="K1622" s="363"/>
      <c r="N1622" s="10"/>
      <c r="O1622" s="4"/>
      <c r="P1622" s="4"/>
      <c r="Q1622" s="3"/>
      <c r="R1622" s="3"/>
      <c r="S1622" s="3"/>
      <c r="T1622" s="3"/>
    </row>
    <row r="1623" spans="1:20">
      <c r="A1623" s="3">
        <v>1</v>
      </c>
      <c r="B1623" s="3">
        <v>1</v>
      </c>
      <c r="C1623" s="2">
        <v>25</v>
      </c>
      <c r="D1623" s="2">
        <v>30</v>
      </c>
      <c r="E1623" s="2">
        <v>16</v>
      </c>
      <c r="F1623" s="17">
        <v>96</v>
      </c>
      <c r="H1623" s="360">
        <v>1</v>
      </c>
      <c r="I1623" s="360">
        <v>0.50474765226930807</v>
      </c>
      <c r="K1623" s="363"/>
      <c r="N1623" s="10"/>
      <c r="O1623" s="4"/>
      <c r="P1623" s="4"/>
      <c r="Q1623" s="3"/>
      <c r="R1623" s="3"/>
      <c r="S1623" s="3"/>
      <c r="T1623" s="3"/>
    </row>
    <row r="1624" spans="1:20">
      <c r="A1624" s="3">
        <v>1</v>
      </c>
      <c r="B1624" s="3">
        <v>1</v>
      </c>
      <c r="C1624" s="2">
        <v>25</v>
      </c>
      <c r="D1624" s="2">
        <v>5</v>
      </c>
      <c r="E1624" s="2">
        <v>1</v>
      </c>
      <c r="F1624" s="17">
        <v>96</v>
      </c>
      <c r="H1624" s="360">
        <v>1</v>
      </c>
      <c r="I1624" s="360">
        <v>0.49058017416815097</v>
      </c>
      <c r="K1624" s="363"/>
      <c r="N1624" s="10"/>
      <c r="O1624" s="4"/>
      <c r="P1624" s="4"/>
      <c r="Q1624" s="3"/>
      <c r="R1624" s="3"/>
      <c r="S1624" s="3"/>
      <c r="T1624" s="3"/>
    </row>
    <row r="1625" spans="1:20">
      <c r="A1625" s="3">
        <v>1</v>
      </c>
      <c r="B1625" s="3">
        <v>1</v>
      </c>
      <c r="C1625" s="2">
        <v>25</v>
      </c>
      <c r="D1625" s="2">
        <v>5</v>
      </c>
      <c r="E1625" s="2">
        <v>16</v>
      </c>
      <c r="F1625" s="17">
        <v>96</v>
      </c>
      <c r="H1625" s="360">
        <v>1</v>
      </c>
      <c r="I1625" s="360">
        <v>0.44520074376475227</v>
      </c>
      <c r="K1625" s="363"/>
      <c r="N1625" s="10"/>
      <c r="O1625" s="4"/>
      <c r="P1625" s="4"/>
      <c r="Q1625" s="3"/>
      <c r="R1625" s="3"/>
      <c r="S1625" s="3"/>
      <c r="T1625" s="3"/>
    </row>
    <row r="1626" spans="1:20">
      <c r="A1626" s="3">
        <v>5</v>
      </c>
      <c r="B1626" s="3">
        <v>2</v>
      </c>
      <c r="C1626" s="2">
        <v>50</v>
      </c>
      <c r="D1626" s="2">
        <v>5</v>
      </c>
      <c r="E1626" s="2">
        <v>16</v>
      </c>
      <c r="F1626" s="17">
        <v>96</v>
      </c>
      <c r="H1626" s="360">
        <v>1</v>
      </c>
      <c r="I1626" s="359">
        <v>0.36714724916314639</v>
      </c>
      <c r="K1626" s="363"/>
      <c r="N1626" s="10"/>
      <c r="O1626" s="4"/>
      <c r="P1626" s="4"/>
      <c r="Q1626" s="3"/>
      <c r="R1626" s="3"/>
      <c r="S1626" s="3"/>
      <c r="T1626" s="3"/>
    </row>
    <row r="1627" spans="1:20">
      <c r="A1627" s="3">
        <v>2</v>
      </c>
      <c r="B1627" s="3">
        <v>2</v>
      </c>
      <c r="C1627" s="2">
        <v>25</v>
      </c>
      <c r="D1627" s="2">
        <v>5</v>
      </c>
      <c r="E1627" s="2">
        <v>1</v>
      </c>
      <c r="F1627" s="17">
        <v>96</v>
      </c>
      <c r="H1627" s="361">
        <v>1</v>
      </c>
      <c r="I1627" s="361">
        <v>0.32955356304921996</v>
      </c>
      <c r="K1627" s="363"/>
      <c r="N1627" s="10"/>
      <c r="O1627" s="4"/>
      <c r="P1627" s="4"/>
      <c r="Q1627" s="3"/>
      <c r="R1627" s="3"/>
      <c r="S1627" s="3"/>
      <c r="T1627" s="3"/>
    </row>
    <row r="1628" spans="1:20">
      <c r="A1628" s="3">
        <v>2</v>
      </c>
      <c r="B1628" s="3">
        <v>2</v>
      </c>
      <c r="C1628" s="2">
        <v>25</v>
      </c>
      <c r="D1628" s="2">
        <v>5</v>
      </c>
      <c r="E1628" s="2">
        <v>16</v>
      </c>
      <c r="F1628" s="17">
        <v>96</v>
      </c>
      <c r="H1628" s="361">
        <v>1</v>
      </c>
      <c r="I1628" s="361">
        <v>0.30278740268747667</v>
      </c>
      <c r="K1628" s="363"/>
      <c r="N1628" s="10"/>
      <c r="O1628" s="4"/>
      <c r="P1628" s="4"/>
      <c r="Q1628" s="3"/>
      <c r="R1628" s="3"/>
      <c r="S1628" s="3"/>
      <c r="T1628" s="3"/>
    </row>
    <row r="1629" spans="1:20">
      <c r="A1629" s="3">
        <v>3</v>
      </c>
      <c r="B1629" s="3">
        <v>1</v>
      </c>
      <c r="C1629" s="2">
        <v>25</v>
      </c>
      <c r="D1629" s="2">
        <v>5</v>
      </c>
      <c r="E1629" s="2">
        <v>1</v>
      </c>
      <c r="F1629" s="17">
        <v>96</v>
      </c>
      <c r="H1629" s="360">
        <v>0.77147454648651204</v>
      </c>
      <c r="I1629" s="360">
        <v>0.26878659731732718</v>
      </c>
      <c r="K1629" s="363"/>
      <c r="N1629" s="10"/>
      <c r="O1629" s="4"/>
      <c r="P1629" s="4"/>
      <c r="Q1629" s="3"/>
      <c r="R1629" s="3"/>
      <c r="S1629" s="3"/>
      <c r="T1629" s="3"/>
    </row>
    <row r="1630" spans="1:20">
      <c r="A1630" s="3">
        <v>3</v>
      </c>
      <c r="B1630" s="3">
        <v>1</v>
      </c>
      <c r="C1630" s="2">
        <v>25</v>
      </c>
      <c r="D1630" s="2">
        <v>5</v>
      </c>
      <c r="E1630" s="2">
        <v>16</v>
      </c>
      <c r="F1630" s="17">
        <v>96</v>
      </c>
      <c r="H1630" s="361">
        <v>1</v>
      </c>
      <c r="I1630" s="361">
        <v>0.18604930116261026</v>
      </c>
      <c r="K1630" s="363"/>
      <c r="N1630" s="10"/>
      <c r="O1630" s="4"/>
      <c r="P1630" s="4"/>
      <c r="Q1630" s="3"/>
      <c r="R1630" s="3"/>
      <c r="S1630" s="3"/>
      <c r="T1630" s="3"/>
    </row>
    <row r="1631" spans="1:20">
      <c r="A1631" s="3">
        <v>2</v>
      </c>
      <c r="B1631" s="3">
        <v>1</v>
      </c>
      <c r="C1631" s="2">
        <v>25</v>
      </c>
      <c r="D1631" s="2">
        <v>5</v>
      </c>
      <c r="E1631" s="2">
        <v>16</v>
      </c>
      <c r="F1631" s="17">
        <v>96</v>
      </c>
      <c r="H1631" s="361">
        <v>1</v>
      </c>
      <c r="I1631" s="361">
        <v>2.0804923030834498E-2</v>
      </c>
      <c r="K1631" s="363"/>
      <c r="N1631" s="10"/>
      <c r="O1631" s="4"/>
      <c r="P1631" s="4"/>
      <c r="Q1631" s="3"/>
      <c r="R1631" s="3"/>
      <c r="S1631" s="3"/>
      <c r="T1631" s="3"/>
    </row>
    <row r="1632" spans="1:20">
      <c r="A1632" s="3">
        <v>2</v>
      </c>
      <c r="B1632" s="3">
        <v>1</v>
      </c>
      <c r="C1632" s="2">
        <v>25</v>
      </c>
      <c r="D1632" s="2">
        <v>5</v>
      </c>
      <c r="E1632" s="2">
        <v>1</v>
      </c>
      <c r="F1632" s="17">
        <v>96</v>
      </c>
      <c r="H1632" s="360">
        <v>1</v>
      </c>
      <c r="I1632" s="360">
        <v>-2.3853874115980334E-2</v>
      </c>
      <c r="K1632" s="363"/>
      <c r="N1632" s="10"/>
      <c r="O1632" s="4"/>
      <c r="P1632" s="4"/>
      <c r="Q1632" s="3"/>
      <c r="R1632" s="3"/>
      <c r="S1632" s="3"/>
      <c r="T1632" s="3"/>
    </row>
    <row r="1633" spans="1:20">
      <c r="A1633" s="3">
        <v>4</v>
      </c>
      <c r="B1633" s="3">
        <v>2</v>
      </c>
      <c r="C1633" s="2">
        <v>50</v>
      </c>
      <c r="D1633" s="2">
        <v>5</v>
      </c>
      <c r="E1633" s="2">
        <v>16</v>
      </c>
      <c r="F1633" s="17">
        <v>96</v>
      </c>
      <c r="H1633" s="360">
        <v>0.98822506938798393</v>
      </c>
      <c r="I1633" s="359">
        <v>-0.74404947658089604</v>
      </c>
      <c r="K1633" s="363"/>
      <c r="N1633" s="10"/>
      <c r="O1633" s="4"/>
      <c r="P1633" s="4"/>
      <c r="Q1633" s="3"/>
      <c r="R1633" s="3"/>
      <c r="S1633" s="3"/>
      <c r="T1633" s="3"/>
    </row>
    <row r="1634" spans="1:20">
      <c r="A1634" s="3">
        <v>2</v>
      </c>
      <c r="B1634" s="3">
        <v>1</v>
      </c>
      <c r="C1634" s="2">
        <v>25</v>
      </c>
      <c r="D1634" s="2">
        <v>5</v>
      </c>
      <c r="E1634" s="2">
        <v>16</v>
      </c>
      <c r="F1634" s="17">
        <v>97</v>
      </c>
      <c r="H1634" s="360">
        <v>1</v>
      </c>
      <c r="I1634" s="360">
        <v>0.10258609888153825</v>
      </c>
      <c r="K1634" s="363"/>
      <c r="N1634" s="10"/>
      <c r="O1634" s="4"/>
      <c r="P1634" s="4"/>
      <c r="Q1634" s="3"/>
      <c r="R1634" s="3"/>
      <c r="S1634" s="3"/>
      <c r="T1634" s="3"/>
    </row>
    <row r="1635" spans="1:20">
      <c r="A1635" s="3">
        <v>1</v>
      </c>
      <c r="B1635" s="3">
        <v>1</v>
      </c>
      <c r="C1635" s="2">
        <v>25</v>
      </c>
      <c r="D1635" s="2">
        <v>30</v>
      </c>
      <c r="E1635" s="2">
        <v>16</v>
      </c>
      <c r="F1635" s="17">
        <v>97</v>
      </c>
      <c r="H1635" s="360">
        <v>1</v>
      </c>
      <c r="I1635" s="360">
        <v>-2.4359629686207755E-2</v>
      </c>
      <c r="K1635" s="363"/>
      <c r="N1635" s="10"/>
      <c r="O1635" s="4"/>
      <c r="P1635" s="4"/>
      <c r="Q1635" s="3"/>
      <c r="R1635" s="3"/>
      <c r="S1635" s="3"/>
      <c r="T1635" s="3"/>
    </row>
    <row r="1636" spans="1:20">
      <c r="A1636" s="3">
        <v>2</v>
      </c>
      <c r="B1636" s="3">
        <v>1</v>
      </c>
      <c r="C1636" s="2">
        <v>25</v>
      </c>
      <c r="D1636" s="2">
        <v>5</v>
      </c>
      <c r="E1636" s="2">
        <v>1</v>
      </c>
      <c r="F1636" s="17">
        <v>97</v>
      </c>
      <c r="H1636" s="360">
        <v>1</v>
      </c>
      <c r="I1636" s="360">
        <v>-4.1918263761267172E-2</v>
      </c>
      <c r="K1636" s="363"/>
      <c r="N1636" s="10"/>
      <c r="O1636" s="4"/>
      <c r="P1636" s="4"/>
      <c r="Q1636" s="3"/>
      <c r="R1636" s="3"/>
      <c r="S1636" s="3"/>
      <c r="T1636" s="3"/>
    </row>
    <row r="1637" spans="1:20">
      <c r="A1637" s="3">
        <v>2</v>
      </c>
      <c r="B1637" s="3">
        <v>2</v>
      </c>
      <c r="C1637" s="2">
        <v>25</v>
      </c>
      <c r="D1637" s="2">
        <v>5</v>
      </c>
      <c r="E1637" s="2">
        <v>1</v>
      </c>
      <c r="F1637" s="17">
        <v>97</v>
      </c>
      <c r="H1637" s="360">
        <v>1</v>
      </c>
      <c r="I1637" s="360">
        <v>-4.9807403860373078E-2</v>
      </c>
      <c r="K1637" s="363"/>
      <c r="N1637" s="10"/>
      <c r="O1637" s="4"/>
      <c r="P1637" s="4"/>
      <c r="Q1637" s="3"/>
      <c r="R1637" s="3"/>
      <c r="S1637" s="3"/>
      <c r="T1637" s="3"/>
    </row>
    <row r="1638" spans="1:20">
      <c r="A1638" s="3">
        <v>2</v>
      </c>
      <c r="B1638" s="3">
        <v>2</v>
      </c>
      <c r="C1638" s="2">
        <v>25</v>
      </c>
      <c r="D1638" s="2">
        <v>5</v>
      </c>
      <c r="E1638" s="2">
        <v>16</v>
      </c>
      <c r="F1638" s="17">
        <v>97</v>
      </c>
      <c r="H1638" s="360">
        <v>1</v>
      </c>
      <c r="I1638" s="360">
        <v>-7.1227641790535104E-2</v>
      </c>
      <c r="K1638" s="363"/>
      <c r="N1638" s="10"/>
      <c r="O1638" s="4"/>
      <c r="P1638" s="4"/>
      <c r="Q1638" s="3"/>
      <c r="R1638" s="3"/>
      <c r="S1638" s="3"/>
      <c r="T1638" s="3"/>
    </row>
    <row r="1639" spans="1:20">
      <c r="A1639" s="3">
        <v>1</v>
      </c>
      <c r="B1639" s="3">
        <v>1</v>
      </c>
      <c r="C1639" s="2">
        <v>25</v>
      </c>
      <c r="D1639" s="2">
        <v>5</v>
      </c>
      <c r="E1639" s="2">
        <v>16</v>
      </c>
      <c r="F1639" s="17">
        <v>97</v>
      </c>
      <c r="H1639" s="360">
        <v>1</v>
      </c>
      <c r="I1639" s="360">
        <v>-9.5592288317140103E-2</v>
      </c>
      <c r="K1639" s="363"/>
      <c r="N1639" s="10"/>
      <c r="O1639" s="4"/>
      <c r="P1639" s="4"/>
      <c r="Q1639" s="3"/>
      <c r="R1639" s="3"/>
      <c r="S1639" s="3"/>
      <c r="T1639" s="3"/>
    </row>
    <row r="1640" spans="1:20">
      <c r="A1640" s="3">
        <v>1</v>
      </c>
      <c r="B1640" s="3">
        <v>1</v>
      </c>
      <c r="C1640" s="2">
        <v>25</v>
      </c>
      <c r="D1640" s="2">
        <v>5</v>
      </c>
      <c r="E1640" s="2">
        <v>1</v>
      </c>
      <c r="F1640" s="17">
        <v>97</v>
      </c>
      <c r="H1640" s="360">
        <v>1</v>
      </c>
      <c r="I1640" s="360">
        <v>-9.7756214247509965E-2</v>
      </c>
      <c r="K1640" s="363"/>
      <c r="N1640" s="10"/>
      <c r="O1640" s="4"/>
      <c r="P1640" s="4"/>
      <c r="Q1640" s="3"/>
      <c r="R1640" s="3"/>
      <c r="S1640" s="3"/>
      <c r="T1640" s="3"/>
    </row>
    <row r="1641" spans="1:20">
      <c r="A1641" s="3">
        <v>1</v>
      </c>
      <c r="B1641" s="3">
        <v>2</v>
      </c>
      <c r="C1641" s="2">
        <v>25</v>
      </c>
      <c r="D1641" s="2">
        <v>5</v>
      </c>
      <c r="E1641" s="2">
        <v>16</v>
      </c>
      <c r="F1641" s="17">
        <v>97</v>
      </c>
      <c r="H1641" s="360">
        <v>1</v>
      </c>
      <c r="I1641" s="360">
        <v>-0.12658895191114627</v>
      </c>
      <c r="K1641" s="363"/>
      <c r="N1641" s="10"/>
      <c r="O1641" s="4"/>
      <c r="P1641" s="4"/>
      <c r="Q1641" s="3"/>
      <c r="R1641" s="3"/>
      <c r="S1641" s="3"/>
      <c r="T1641" s="3"/>
    </row>
    <row r="1642" spans="1:20">
      <c r="A1642" s="3">
        <v>1</v>
      </c>
      <c r="B1642" s="3">
        <v>2</v>
      </c>
      <c r="C1642" s="2">
        <v>25</v>
      </c>
      <c r="D1642" s="2">
        <v>5</v>
      </c>
      <c r="E1642" s="2">
        <v>16</v>
      </c>
      <c r="F1642" s="17">
        <v>97</v>
      </c>
      <c r="H1642" s="360">
        <v>1</v>
      </c>
      <c r="I1642" s="360">
        <v>-0.12989460810658066</v>
      </c>
      <c r="K1642" s="363"/>
      <c r="N1642" s="10"/>
      <c r="O1642" s="4"/>
      <c r="P1642" s="4"/>
      <c r="Q1642" s="3"/>
      <c r="R1642" s="3"/>
      <c r="S1642" s="3"/>
      <c r="T1642" s="3"/>
    </row>
    <row r="1643" spans="1:20">
      <c r="A1643" s="3">
        <v>1</v>
      </c>
      <c r="B1643" s="3">
        <v>2</v>
      </c>
      <c r="C1643" s="2">
        <v>25</v>
      </c>
      <c r="D1643" s="2">
        <v>30</v>
      </c>
      <c r="E1643" s="2">
        <v>16</v>
      </c>
      <c r="F1643" s="17">
        <v>97</v>
      </c>
      <c r="H1643" s="360">
        <v>1</v>
      </c>
      <c r="I1643" s="360">
        <v>-0.13426102902366127</v>
      </c>
      <c r="K1643" s="363"/>
      <c r="N1643" s="10"/>
      <c r="O1643" s="4"/>
      <c r="P1643" s="4"/>
      <c r="Q1643" s="3"/>
      <c r="R1643" s="3"/>
      <c r="S1643" s="3"/>
      <c r="T1643" s="3"/>
    </row>
    <row r="1644" spans="1:20">
      <c r="A1644" s="3">
        <v>1</v>
      </c>
      <c r="B1644" s="3">
        <v>2</v>
      </c>
      <c r="C1644" s="2">
        <v>25</v>
      </c>
      <c r="D1644" s="2">
        <v>5</v>
      </c>
      <c r="E1644" s="2">
        <v>1</v>
      </c>
      <c r="F1644" s="17">
        <v>97</v>
      </c>
      <c r="H1644" s="360">
        <v>1</v>
      </c>
      <c r="I1644" s="360">
        <v>-0.13785717491517394</v>
      </c>
      <c r="K1644" s="363"/>
      <c r="N1644" s="10"/>
      <c r="O1644" s="4"/>
      <c r="P1644" s="4"/>
      <c r="Q1644" s="3"/>
      <c r="R1644" s="3"/>
      <c r="S1644" s="3"/>
      <c r="T1644" s="3"/>
    </row>
    <row r="1645" spans="1:20">
      <c r="A1645" s="3">
        <v>3</v>
      </c>
      <c r="B1645" s="3">
        <v>1</v>
      </c>
      <c r="C1645" s="2">
        <v>25</v>
      </c>
      <c r="D1645" s="2">
        <v>5</v>
      </c>
      <c r="E1645" s="2">
        <v>1</v>
      </c>
      <c r="F1645" s="17">
        <v>97</v>
      </c>
      <c r="H1645" s="360">
        <v>1</v>
      </c>
      <c r="I1645" s="360">
        <v>-0.1458020728200585</v>
      </c>
      <c r="K1645" s="363"/>
      <c r="N1645" s="10"/>
      <c r="O1645" s="4"/>
      <c r="P1645" s="4"/>
      <c r="Q1645" s="3"/>
      <c r="R1645" s="3"/>
      <c r="S1645" s="3"/>
      <c r="T1645" s="3"/>
    </row>
    <row r="1646" spans="1:20">
      <c r="A1646" s="3">
        <v>3</v>
      </c>
      <c r="B1646" s="3">
        <v>1</v>
      </c>
      <c r="C1646" s="2">
        <v>25</v>
      </c>
      <c r="D1646" s="2">
        <v>5</v>
      </c>
      <c r="E1646" s="2">
        <v>16</v>
      </c>
      <c r="F1646" s="17">
        <v>97</v>
      </c>
      <c r="H1646" s="360">
        <v>1</v>
      </c>
      <c r="I1646" s="360">
        <v>-0.19066653841083905</v>
      </c>
      <c r="K1646" s="363"/>
      <c r="N1646" s="10"/>
      <c r="O1646" s="4"/>
      <c r="P1646" s="4"/>
      <c r="Q1646" s="3"/>
      <c r="R1646" s="3"/>
      <c r="S1646" s="3"/>
      <c r="T1646" s="3"/>
    </row>
    <row r="1647" spans="1:20">
      <c r="A1647" s="3">
        <v>3</v>
      </c>
      <c r="B1647" s="3">
        <v>2</v>
      </c>
      <c r="C1647" s="2">
        <v>25</v>
      </c>
      <c r="D1647" s="2">
        <v>5</v>
      </c>
      <c r="E1647" s="2">
        <v>1</v>
      </c>
      <c r="F1647" s="17">
        <v>97</v>
      </c>
      <c r="H1647" s="360">
        <v>1</v>
      </c>
      <c r="I1647" s="360">
        <v>-0.19197967765651341</v>
      </c>
      <c r="K1647" s="363"/>
      <c r="N1647" s="10"/>
      <c r="O1647" s="4"/>
      <c r="P1647" s="4"/>
      <c r="Q1647" s="3"/>
      <c r="R1647" s="3"/>
      <c r="S1647" s="3"/>
      <c r="T1647" s="3"/>
    </row>
    <row r="1648" spans="1:20">
      <c r="A1648" s="3">
        <v>3</v>
      </c>
      <c r="B1648" s="3">
        <v>2</v>
      </c>
      <c r="C1648" s="2">
        <v>25</v>
      </c>
      <c r="D1648" s="2">
        <v>5</v>
      </c>
      <c r="E1648" s="2">
        <v>16</v>
      </c>
      <c r="F1648" s="17">
        <v>97</v>
      </c>
      <c r="H1648" s="360">
        <v>1</v>
      </c>
      <c r="I1648" s="360">
        <v>-0.19650714608056777</v>
      </c>
      <c r="K1648" s="363"/>
      <c r="N1648" s="10"/>
      <c r="O1648" s="4"/>
      <c r="P1648" s="4"/>
      <c r="Q1648" s="3"/>
      <c r="R1648" s="3"/>
      <c r="S1648" s="3"/>
      <c r="T1648" s="3"/>
    </row>
    <row r="1649" spans="1:20">
      <c r="A1649" s="3">
        <v>5</v>
      </c>
      <c r="B1649" s="3">
        <v>2</v>
      </c>
      <c r="C1649" s="2">
        <v>50</v>
      </c>
      <c r="D1649" s="2">
        <v>5</v>
      </c>
      <c r="E1649" s="2">
        <v>16</v>
      </c>
      <c r="F1649" s="17">
        <v>97</v>
      </c>
      <c r="H1649" s="360">
        <v>1</v>
      </c>
      <c r="I1649" s="360">
        <v>-0.55844217451059086</v>
      </c>
      <c r="K1649" s="363"/>
      <c r="N1649" s="10"/>
      <c r="O1649" s="4"/>
      <c r="P1649" s="4"/>
      <c r="Q1649" s="3"/>
      <c r="R1649" s="3"/>
      <c r="S1649" s="3"/>
      <c r="T1649" s="3"/>
    </row>
    <row r="1650" spans="1:20">
      <c r="A1650" s="3">
        <v>5</v>
      </c>
      <c r="B1650" s="3">
        <v>2</v>
      </c>
      <c r="C1650" s="2">
        <v>25</v>
      </c>
      <c r="D1650" s="2">
        <v>5</v>
      </c>
      <c r="E1650" s="2">
        <v>16</v>
      </c>
      <c r="F1650" s="17">
        <v>97</v>
      </c>
      <c r="H1650" s="360">
        <v>1</v>
      </c>
      <c r="I1650" s="360">
        <v>-0.57039229220060172</v>
      </c>
      <c r="K1650" s="363"/>
      <c r="N1650" s="10"/>
      <c r="O1650" s="4"/>
      <c r="P1650" s="4"/>
      <c r="Q1650" s="3"/>
      <c r="R1650" s="3"/>
      <c r="S1650" s="3"/>
      <c r="T1650" s="3"/>
    </row>
    <row r="1651" spans="1:20">
      <c r="A1651" s="3">
        <v>4</v>
      </c>
      <c r="B1651" s="3">
        <v>2</v>
      </c>
      <c r="C1651" s="2">
        <v>50</v>
      </c>
      <c r="D1651" s="2">
        <v>5</v>
      </c>
      <c r="E1651" s="2">
        <v>16</v>
      </c>
      <c r="F1651" s="17">
        <v>97</v>
      </c>
      <c r="H1651" s="360">
        <v>1</v>
      </c>
      <c r="I1651" s="360">
        <v>-0.73896741682004929</v>
      </c>
      <c r="K1651" s="363"/>
      <c r="N1651" s="10"/>
      <c r="O1651" s="4"/>
      <c r="P1651" s="4"/>
      <c r="Q1651" s="3"/>
      <c r="R1651" s="3"/>
      <c r="S1651" s="3"/>
      <c r="T1651" s="3"/>
    </row>
    <row r="1652" spans="1:20">
      <c r="A1652" s="3">
        <v>4</v>
      </c>
      <c r="B1652" s="3">
        <v>2</v>
      </c>
      <c r="C1652" s="2">
        <v>50</v>
      </c>
      <c r="D1652" s="2">
        <v>5</v>
      </c>
      <c r="E1652" s="2">
        <v>16</v>
      </c>
      <c r="F1652" s="17">
        <v>98</v>
      </c>
      <c r="H1652" s="360">
        <v>0.30374742932202869</v>
      </c>
      <c r="I1652" s="360">
        <v>-2.4351046361317821E-2</v>
      </c>
      <c r="K1652" s="363"/>
      <c r="N1652" s="10"/>
      <c r="O1652" s="4"/>
      <c r="P1652" s="4"/>
      <c r="Q1652" s="3"/>
      <c r="R1652" s="3"/>
      <c r="S1652" s="3"/>
      <c r="T1652" s="3"/>
    </row>
    <row r="1653" spans="1:20">
      <c r="A1653" s="3">
        <v>5</v>
      </c>
      <c r="B1653" s="3">
        <v>2</v>
      </c>
      <c r="C1653" s="2">
        <v>50</v>
      </c>
      <c r="D1653" s="2">
        <v>5</v>
      </c>
      <c r="E1653" s="2">
        <v>16</v>
      </c>
      <c r="F1653" s="17">
        <v>98</v>
      </c>
      <c r="H1653" s="360">
        <v>1</v>
      </c>
      <c r="I1653" s="360">
        <v>-0.23952908030758707</v>
      </c>
      <c r="K1653" s="363"/>
      <c r="N1653" s="10"/>
      <c r="O1653" s="4"/>
      <c r="P1653" s="4"/>
      <c r="Q1653" s="3"/>
      <c r="R1653" s="3"/>
      <c r="S1653" s="3"/>
      <c r="T1653" s="3"/>
    </row>
    <row r="1654" spans="1:20">
      <c r="A1654" s="3">
        <v>5</v>
      </c>
      <c r="B1654" s="3">
        <v>2</v>
      </c>
      <c r="C1654" s="2">
        <v>25</v>
      </c>
      <c r="D1654" s="2">
        <v>5</v>
      </c>
      <c r="E1654" s="2">
        <v>16</v>
      </c>
      <c r="F1654" s="17">
        <v>98</v>
      </c>
      <c r="H1654" s="360">
        <v>0.67659329486330277</v>
      </c>
      <c r="I1654" s="360">
        <v>-0.33953074803429534</v>
      </c>
      <c r="K1654" s="363"/>
      <c r="N1654" s="10"/>
      <c r="O1654" s="4"/>
      <c r="P1654" s="4"/>
      <c r="Q1654" s="3"/>
      <c r="R1654" s="3"/>
      <c r="S1654" s="3"/>
      <c r="T1654" s="3"/>
    </row>
    <row r="1655" spans="1:20">
      <c r="A1655" s="3">
        <v>1</v>
      </c>
      <c r="B1655" s="3">
        <v>1</v>
      </c>
      <c r="C1655" s="2">
        <v>25</v>
      </c>
      <c r="D1655" s="2">
        <v>30</v>
      </c>
      <c r="E1655" s="2">
        <v>16</v>
      </c>
      <c r="F1655" s="17">
        <v>98</v>
      </c>
      <c r="H1655" s="360">
        <v>1</v>
      </c>
      <c r="I1655" s="360">
        <v>-0.68677247047655288</v>
      </c>
      <c r="K1655" s="363"/>
      <c r="N1655" s="10"/>
      <c r="O1655" s="4"/>
      <c r="P1655" s="4"/>
      <c r="Q1655" s="3"/>
      <c r="R1655" s="3"/>
      <c r="S1655" s="3"/>
      <c r="T1655" s="3"/>
    </row>
    <row r="1656" spans="1:20">
      <c r="A1656" s="3">
        <v>2</v>
      </c>
      <c r="B1656" s="3">
        <v>1</v>
      </c>
      <c r="C1656" s="2">
        <v>25</v>
      </c>
      <c r="D1656" s="2">
        <v>5</v>
      </c>
      <c r="E1656" s="2">
        <v>16</v>
      </c>
      <c r="F1656" s="17">
        <v>98</v>
      </c>
      <c r="H1656" s="360">
        <v>1</v>
      </c>
      <c r="I1656" s="360">
        <v>-0.80340446328897641</v>
      </c>
      <c r="K1656" s="363"/>
      <c r="N1656" s="10"/>
      <c r="O1656" s="4"/>
      <c r="P1656" s="4"/>
      <c r="Q1656" s="3"/>
      <c r="R1656" s="3"/>
      <c r="S1656" s="3"/>
      <c r="T1656" s="3"/>
    </row>
    <row r="1657" spans="1:20">
      <c r="A1657" s="3">
        <v>2</v>
      </c>
      <c r="B1657" s="3">
        <v>1</v>
      </c>
      <c r="C1657" s="2">
        <v>25</v>
      </c>
      <c r="D1657" s="2">
        <v>5</v>
      </c>
      <c r="E1657" s="2">
        <v>1</v>
      </c>
      <c r="F1657" s="17">
        <v>98</v>
      </c>
      <c r="H1657" s="360">
        <v>1</v>
      </c>
      <c r="I1657" s="360">
        <v>-0.80349526209793032</v>
      </c>
      <c r="K1657" s="363"/>
      <c r="N1657" s="10"/>
      <c r="O1657" s="4"/>
      <c r="P1657" s="4"/>
      <c r="Q1657" s="3"/>
      <c r="R1657" s="3"/>
      <c r="S1657" s="3"/>
      <c r="T1657" s="3"/>
    </row>
    <row r="1658" spans="1:20">
      <c r="A1658" s="3">
        <v>1</v>
      </c>
      <c r="B1658" s="3">
        <v>1</v>
      </c>
      <c r="C1658" s="2">
        <v>25</v>
      </c>
      <c r="D1658" s="2">
        <v>5</v>
      </c>
      <c r="E1658" s="2">
        <v>1</v>
      </c>
      <c r="F1658" s="17">
        <v>98</v>
      </c>
      <c r="H1658" s="360">
        <v>1</v>
      </c>
      <c r="I1658" s="360">
        <v>-0.82886894166498293</v>
      </c>
      <c r="K1658" s="363"/>
      <c r="N1658" s="10"/>
      <c r="O1658" s="4"/>
      <c r="P1658" s="4"/>
      <c r="Q1658" s="3"/>
      <c r="R1658" s="3"/>
      <c r="S1658" s="3"/>
      <c r="T1658" s="3"/>
    </row>
    <row r="1659" spans="1:20">
      <c r="A1659" s="3">
        <v>1</v>
      </c>
      <c r="B1659" s="3">
        <v>2</v>
      </c>
      <c r="C1659" s="2">
        <v>25</v>
      </c>
      <c r="D1659" s="2">
        <v>30</v>
      </c>
      <c r="E1659" s="2">
        <v>16</v>
      </c>
      <c r="F1659" s="17">
        <v>98</v>
      </c>
      <c r="H1659" s="360">
        <v>1</v>
      </c>
      <c r="I1659" s="360">
        <v>-0.83414128730649129</v>
      </c>
      <c r="K1659" s="363"/>
      <c r="N1659" s="10"/>
      <c r="O1659" s="4"/>
      <c r="P1659" s="4"/>
      <c r="Q1659" s="3"/>
      <c r="R1659" s="3"/>
      <c r="S1659" s="3"/>
      <c r="T1659" s="3"/>
    </row>
    <row r="1660" spans="1:20">
      <c r="A1660" s="3">
        <v>1</v>
      </c>
      <c r="B1660" s="3">
        <v>1</v>
      </c>
      <c r="C1660" s="2">
        <v>25</v>
      </c>
      <c r="D1660" s="2">
        <v>5</v>
      </c>
      <c r="E1660" s="2">
        <v>16</v>
      </c>
      <c r="F1660" s="17">
        <v>98</v>
      </c>
      <c r="H1660" s="360">
        <v>1</v>
      </c>
      <c r="I1660" s="360">
        <v>-0.8378712153269452</v>
      </c>
      <c r="K1660" s="363"/>
      <c r="N1660" s="10"/>
      <c r="O1660" s="4"/>
      <c r="P1660" s="4"/>
      <c r="Q1660" s="3"/>
      <c r="R1660" s="3"/>
      <c r="S1660" s="3"/>
      <c r="T1660" s="3"/>
    </row>
    <row r="1661" spans="1:20">
      <c r="A1661" s="3">
        <v>1</v>
      </c>
      <c r="B1661" s="3">
        <v>2</v>
      </c>
      <c r="C1661" s="2">
        <v>25</v>
      </c>
      <c r="D1661" s="2">
        <v>5</v>
      </c>
      <c r="E1661" s="2">
        <v>16</v>
      </c>
      <c r="F1661" s="17">
        <v>98</v>
      </c>
      <c r="H1661" s="360">
        <v>1</v>
      </c>
      <c r="I1661" s="360">
        <v>-0.86259517836968447</v>
      </c>
      <c r="K1661" s="363"/>
      <c r="N1661" s="10"/>
      <c r="O1661" s="4"/>
      <c r="P1661" s="4"/>
      <c r="Q1661" s="3"/>
      <c r="R1661" s="3"/>
      <c r="S1661" s="3"/>
      <c r="T1661" s="3"/>
    </row>
    <row r="1662" spans="1:20">
      <c r="A1662" s="3">
        <v>2</v>
      </c>
      <c r="B1662" s="3">
        <v>2</v>
      </c>
      <c r="C1662" s="2">
        <v>25</v>
      </c>
      <c r="D1662" s="2">
        <v>5</v>
      </c>
      <c r="E1662" s="2">
        <v>1</v>
      </c>
      <c r="F1662" s="17">
        <v>98</v>
      </c>
      <c r="H1662" s="360">
        <v>0.99697531030083497</v>
      </c>
      <c r="I1662" s="360">
        <v>-0.87130321758354656</v>
      </c>
      <c r="K1662" s="363"/>
      <c r="N1662" s="10"/>
      <c r="O1662" s="4"/>
      <c r="P1662" s="4"/>
      <c r="Q1662" s="3"/>
      <c r="R1662" s="3"/>
      <c r="S1662" s="3"/>
      <c r="T1662" s="3"/>
    </row>
    <row r="1663" spans="1:20">
      <c r="A1663" s="3">
        <v>1</v>
      </c>
      <c r="B1663" s="3">
        <v>2</v>
      </c>
      <c r="C1663" s="2">
        <v>25</v>
      </c>
      <c r="D1663" s="2">
        <v>5</v>
      </c>
      <c r="E1663" s="2">
        <v>16</v>
      </c>
      <c r="F1663" s="17">
        <v>98</v>
      </c>
      <c r="H1663" s="360">
        <v>1</v>
      </c>
      <c r="I1663" s="360">
        <v>-0.87203557059578707</v>
      </c>
      <c r="K1663" s="363"/>
      <c r="N1663" s="10"/>
      <c r="O1663" s="4"/>
      <c r="P1663" s="4"/>
      <c r="Q1663" s="3"/>
      <c r="R1663" s="3"/>
      <c r="S1663" s="3"/>
      <c r="T1663" s="3"/>
    </row>
    <row r="1664" spans="1:20">
      <c r="A1664" s="3">
        <v>1</v>
      </c>
      <c r="B1664" s="3">
        <v>2</v>
      </c>
      <c r="C1664" s="2">
        <v>25</v>
      </c>
      <c r="D1664" s="2">
        <v>5</v>
      </c>
      <c r="E1664" s="2">
        <v>1</v>
      </c>
      <c r="F1664" s="17">
        <v>98</v>
      </c>
      <c r="H1664" s="360">
        <v>1</v>
      </c>
      <c r="I1664" s="360">
        <v>-0.87729728712667887</v>
      </c>
      <c r="K1664" s="363"/>
      <c r="N1664" s="10"/>
      <c r="O1664" s="4"/>
      <c r="P1664" s="4"/>
      <c r="Q1664" s="3"/>
      <c r="R1664" s="3"/>
      <c r="S1664" s="3"/>
      <c r="T1664" s="3"/>
    </row>
    <row r="1665" spans="1:20">
      <c r="A1665" s="3">
        <v>2</v>
      </c>
      <c r="B1665" s="3">
        <v>2</v>
      </c>
      <c r="C1665" s="2">
        <v>25</v>
      </c>
      <c r="D1665" s="2">
        <v>5</v>
      </c>
      <c r="E1665" s="2">
        <v>16</v>
      </c>
      <c r="F1665" s="17">
        <v>98</v>
      </c>
      <c r="H1665" s="360">
        <v>1</v>
      </c>
      <c r="I1665" s="360">
        <v>-0.88052275290687476</v>
      </c>
      <c r="K1665" s="363"/>
      <c r="N1665" s="10"/>
      <c r="O1665" s="4"/>
      <c r="P1665" s="4"/>
      <c r="Q1665" s="3"/>
      <c r="R1665" s="3"/>
      <c r="S1665" s="3"/>
      <c r="T1665" s="3"/>
    </row>
    <row r="1666" spans="1:20">
      <c r="A1666" s="3">
        <v>3</v>
      </c>
      <c r="B1666" s="3">
        <v>2</v>
      </c>
      <c r="C1666" s="2">
        <v>25</v>
      </c>
      <c r="D1666" s="2">
        <v>5</v>
      </c>
      <c r="E1666" s="2">
        <v>1</v>
      </c>
      <c r="F1666" s="17">
        <v>98</v>
      </c>
      <c r="H1666" s="360">
        <v>1</v>
      </c>
      <c r="I1666" s="360">
        <v>-0.93061708662202891</v>
      </c>
      <c r="K1666" s="363"/>
      <c r="N1666" s="10"/>
      <c r="O1666" s="4"/>
      <c r="P1666" s="4"/>
      <c r="Q1666" s="3"/>
      <c r="R1666" s="3"/>
      <c r="S1666" s="3"/>
      <c r="T1666" s="3"/>
    </row>
    <row r="1667" spans="1:20">
      <c r="A1667" s="3">
        <v>3</v>
      </c>
      <c r="B1667" s="3">
        <v>2</v>
      </c>
      <c r="C1667" s="2">
        <v>25</v>
      </c>
      <c r="D1667" s="2">
        <v>5</v>
      </c>
      <c r="E1667" s="2">
        <v>16</v>
      </c>
      <c r="F1667" s="17">
        <v>98</v>
      </c>
      <c r="H1667" s="360">
        <v>1</v>
      </c>
      <c r="I1667" s="360">
        <v>-0.9463826011719132</v>
      </c>
      <c r="K1667" s="363"/>
      <c r="N1667" s="10"/>
      <c r="O1667" s="4"/>
      <c r="P1667" s="4"/>
      <c r="Q1667" s="3"/>
      <c r="R1667" s="3"/>
      <c r="S1667" s="3"/>
      <c r="T1667" s="3"/>
    </row>
    <row r="1668" spans="1:20">
      <c r="A1668" s="3">
        <v>3</v>
      </c>
      <c r="B1668" s="3">
        <v>1</v>
      </c>
      <c r="C1668" s="2">
        <v>25</v>
      </c>
      <c r="D1668" s="2">
        <v>5</v>
      </c>
      <c r="E1668" s="2">
        <v>16</v>
      </c>
      <c r="F1668" s="17">
        <v>98</v>
      </c>
      <c r="H1668" s="360">
        <v>0.99250857651873048</v>
      </c>
      <c r="I1668" s="360">
        <v>-0.97420733784948754</v>
      </c>
      <c r="K1668" s="363"/>
      <c r="N1668" s="10"/>
      <c r="O1668" s="4"/>
      <c r="P1668" s="4"/>
      <c r="Q1668" s="3"/>
      <c r="R1668" s="3"/>
      <c r="S1668" s="3"/>
      <c r="T1668" s="3"/>
    </row>
    <row r="1669" spans="1:20">
      <c r="A1669" s="3">
        <v>3</v>
      </c>
      <c r="B1669" s="3">
        <v>1</v>
      </c>
      <c r="C1669" s="2">
        <v>25</v>
      </c>
      <c r="D1669" s="2">
        <v>5</v>
      </c>
      <c r="E1669" s="2">
        <v>1</v>
      </c>
      <c r="F1669" s="17">
        <v>98</v>
      </c>
      <c r="H1669" s="360">
        <v>0.99193342873941459</v>
      </c>
      <c r="I1669" s="360">
        <v>-0.97643223528987111</v>
      </c>
      <c r="K1669" s="363"/>
      <c r="N1669" s="10"/>
      <c r="O1669" s="4"/>
      <c r="P1669" s="4"/>
      <c r="Q1669" s="3"/>
      <c r="R1669" s="3"/>
      <c r="S1669" s="3"/>
      <c r="T1669" s="3"/>
    </row>
    <row r="1670" spans="1:20">
      <c r="A1670" s="3">
        <v>4</v>
      </c>
      <c r="B1670" s="3">
        <v>2</v>
      </c>
      <c r="C1670" s="2">
        <v>50</v>
      </c>
      <c r="D1670" s="2">
        <v>5</v>
      </c>
      <c r="E1670" s="2">
        <v>16</v>
      </c>
      <c r="F1670" s="17">
        <v>99</v>
      </c>
      <c r="H1670" s="360">
        <v>0.25724929726432799</v>
      </c>
      <c r="I1670" s="360">
        <v>9.9747861038728125E-2</v>
      </c>
      <c r="K1670" s="363"/>
      <c r="N1670" s="10"/>
      <c r="O1670" s="4"/>
      <c r="P1670" s="4"/>
      <c r="Q1670" s="3"/>
      <c r="R1670" s="3"/>
      <c r="S1670" s="3"/>
      <c r="T1670" s="3"/>
    </row>
    <row r="1671" spans="1:20">
      <c r="A1671" s="3">
        <v>1</v>
      </c>
      <c r="B1671" s="3">
        <v>2</v>
      </c>
      <c r="C1671" s="2">
        <v>25</v>
      </c>
      <c r="D1671" s="2">
        <v>5</v>
      </c>
      <c r="E1671" s="2">
        <v>1</v>
      </c>
      <c r="F1671" s="17">
        <v>99</v>
      </c>
      <c r="H1671" s="360">
        <v>0</v>
      </c>
      <c r="I1671" s="360">
        <v>0</v>
      </c>
      <c r="K1671" s="363"/>
      <c r="N1671" s="10"/>
      <c r="O1671" s="4"/>
      <c r="P1671" s="4"/>
      <c r="Q1671" s="3"/>
      <c r="R1671" s="3"/>
      <c r="S1671" s="3"/>
      <c r="T1671" s="3"/>
    </row>
    <row r="1672" spans="1:20">
      <c r="A1672" s="3">
        <v>2</v>
      </c>
      <c r="B1672" s="3">
        <v>2</v>
      </c>
      <c r="C1672" s="2">
        <v>25</v>
      </c>
      <c r="D1672" s="2">
        <v>5</v>
      </c>
      <c r="E1672" s="2">
        <v>1</v>
      </c>
      <c r="F1672" s="17">
        <v>99</v>
      </c>
      <c r="H1672" s="360">
        <v>0</v>
      </c>
      <c r="I1672" s="360">
        <v>0</v>
      </c>
      <c r="K1672" s="363"/>
      <c r="N1672" s="10"/>
      <c r="O1672" s="4"/>
      <c r="P1672" s="4"/>
      <c r="Q1672" s="3"/>
      <c r="R1672" s="3"/>
      <c r="S1672" s="3"/>
      <c r="T1672" s="3"/>
    </row>
    <row r="1673" spans="1:20">
      <c r="A1673" s="3">
        <v>2</v>
      </c>
      <c r="B1673" s="3">
        <v>1</v>
      </c>
      <c r="C1673" s="2">
        <v>25</v>
      </c>
      <c r="D1673" s="2">
        <v>5</v>
      </c>
      <c r="E1673" s="2">
        <v>1</v>
      </c>
      <c r="F1673" s="17">
        <v>99</v>
      </c>
      <c r="H1673" s="360">
        <v>0</v>
      </c>
      <c r="I1673" s="360">
        <v>0</v>
      </c>
      <c r="K1673" s="363"/>
      <c r="N1673" s="10"/>
      <c r="O1673" s="4"/>
      <c r="P1673" s="4"/>
      <c r="Q1673" s="3"/>
      <c r="R1673" s="3"/>
      <c r="S1673" s="3"/>
      <c r="T1673" s="3"/>
    </row>
    <row r="1674" spans="1:20">
      <c r="A1674" s="3">
        <v>1</v>
      </c>
      <c r="B1674" s="3">
        <v>2</v>
      </c>
      <c r="C1674" s="2">
        <v>25</v>
      </c>
      <c r="D1674" s="2">
        <v>30</v>
      </c>
      <c r="E1674" s="2">
        <v>16</v>
      </c>
      <c r="F1674" s="17">
        <v>99</v>
      </c>
      <c r="H1674" s="360">
        <v>0.19331787973650427</v>
      </c>
      <c r="I1674" s="360">
        <v>-8.5718424829538174E-4</v>
      </c>
      <c r="K1674" s="363"/>
      <c r="N1674" s="10"/>
      <c r="O1674" s="4"/>
      <c r="P1674" s="4"/>
      <c r="Q1674" s="3"/>
      <c r="R1674" s="3"/>
      <c r="S1674" s="3"/>
      <c r="T1674" s="3"/>
    </row>
    <row r="1675" spans="1:20">
      <c r="A1675" s="3">
        <v>1</v>
      </c>
      <c r="B1675" s="3">
        <v>2</v>
      </c>
      <c r="C1675" s="2">
        <v>25</v>
      </c>
      <c r="D1675" s="2">
        <v>5</v>
      </c>
      <c r="E1675" s="2">
        <v>16</v>
      </c>
      <c r="F1675" s="17">
        <v>99</v>
      </c>
      <c r="H1675" s="360">
        <v>7.1654705113644912E-2</v>
      </c>
      <c r="I1675" s="360">
        <v>-1.6373334598983318E-2</v>
      </c>
      <c r="K1675" s="363"/>
      <c r="N1675" s="10"/>
      <c r="O1675" s="4"/>
      <c r="P1675" s="4"/>
      <c r="Q1675" s="3"/>
      <c r="R1675" s="3"/>
      <c r="S1675" s="3"/>
      <c r="T1675" s="3"/>
    </row>
    <row r="1676" spans="1:20">
      <c r="A1676" s="3">
        <v>1</v>
      </c>
      <c r="B1676" s="3">
        <v>2</v>
      </c>
      <c r="C1676" s="2">
        <v>25</v>
      </c>
      <c r="D1676" s="2">
        <v>5</v>
      </c>
      <c r="E1676" s="2">
        <v>16</v>
      </c>
      <c r="F1676" s="17">
        <v>99</v>
      </c>
      <c r="H1676" s="360">
        <v>7.2407279815623005E-2</v>
      </c>
      <c r="I1676" s="360">
        <v>-0.11177059920674064</v>
      </c>
      <c r="K1676" s="363"/>
      <c r="N1676" s="10"/>
      <c r="O1676" s="4"/>
      <c r="P1676" s="4"/>
      <c r="Q1676" s="3"/>
      <c r="R1676" s="3"/>
      <c r="S1676" s="3"/>
      <c r="T1676" s="3"/>
    </row>
    <row r="1677" spans="1:20">
      <c r="A1677" s="3">
        <v>1</v>
      </c>
      <c r="B1677" s="3">
        <v>1</v>
      </c>
      <c r="C1677" s="2">
        <v>25</v>
      </c>
      <c r="D1677" s="2">
        <v>30</v>
      </c>
      <c r="E1677" s="2">
        <v>16</v>
      </c>
      <c r="F1677" s="17">
        <v>99</v>
      </c>
      <c r="H1677" s="360">
        <v>0.73814626980481735</v>
      </c>
      <c r="I1677" s="360">
        <v>-0.11648922082392038</v>
      </c>
      <c r="K1677" s="363"/>
      <c r="N1677" s="10"/>
      <c r="O1677" s="4"/>
      <c r="P1677" s="4"/>
      <c r="Q1677" s="3"/>
      <c r="R1677" s="3"/>
      <c r="S1677" s="3"/>
      <c r="T1677" s="3"/>
    </row>
    <row r="1678" spans="1:20">
      <c r="A1678" s="3">
        <v>3</v>
      </c>
      <c r="B1678" s="3">
        <v>2</v>
      </c>
      <c r="C1678" s="2">
        <v>25</v>
      </c>
      <c r="D1678" s="2">
        <v>5</v>
      </c>
      <c r="E1678" s="2">
        <v>16</v>
      </c>
      <c r="F1678" s="17">
        <v>99</v>
      </c>
      <c r="H1678" s="360">
        <v>0.12381409428057544</v>
      </c>
      <c r="I1678" s="360">
        <v>-0.25425974281281921</v>
      </c>
      <c r="K1678" s="363"/>
      <c r="N1678" s="10"/>
      <c r="O1678" s="4"/>
      <c r="P1678" s="4"/>
      <c r="Q1678" s="3"/>
      <c r="R1678" s="3"/>
      <c r="S1678" s="3"/>
      <c r="T1678" s="3"/>
    </row>
    <row r="1679" spans="1:20">
      <c r="A1679" s="3">
        <v>2</v>
      </c>
      <c r="B1679" s="3">
        <v>2</v>
      </c>
      <c r="C1679" s="2">
        <v>25</v>
      </c>
      <c r="D1679" s="2">
        <v>5</v>
      </c>
      <c r="E1679" s="2">
        <v>16</v>
      </c>
      <c r="F1679" s="17">
        <v>99</v>
      </c>
      <c r="H1679" s="360">
        <v>0.17239415623539855</v>
      </c>
      <c r="I1679" s="360">
        <v>-0.2691328015990142</v>
      </c>
      <c r="K1679" s="363"/>
      <c r="N1679" s="10"/>
      <c r="O1679" s="4"/>
      <c r="P1679" s="4"/>
      <c r="Q1679" s="3"/>
      <c r="R1679" s="3"/>
      <c r="S1679" s="3"/>
      <c r="T1679" s="3"/>
    </row>
    <row r="1680" spans="1:20">
      <c r="A1680" s="3">
        <v>2</v>
      </c>
      <c r="B1680" s="3">
        <v>1</v>
      </c>
      <c r="C1680" s="2">
        <v>25</v>
      </c>
      <c r="D1680" s="2">
        <v>5</v>
      </c>
      <c r="E1680" s="2">
        <v>16</v>
      </c>
      <c r="F1680" s="17">
        <v>99</v>
      </c>
      <c r="H1680" s="360">
        <v>0.2218883907742395</v>
      </c>
      <c r="I1680" s="360">
        <v>-0.31044202556208361</v>
      </c>
      <c r="K1680" s="363"/>
      <c r="N1680" s="10"/>
      <c r="O1680" s="4"/>
      <c r="P1680" s="4"/>
      <c r="Q1680" s="3"/>
      <c r="R1680" s="3"/>
      <c r="S1680" s="3"/>
      <c r="T1680" s="3"/>
    </row>
    <row r="1681" spans="1:20">
      <c r="A1681" s="3">
        <v>3</v>
      </c>
      <c r="B1681" s="3">
        <v>1</v>
      </c>
      <c r="C1681" s="2">
        <v>25</v>
      </c>
      <c r="D1681" s="2">
        <v>5</v>
      </c>
      <c r="E1681" s="2">
        <v>16</v>
      </c>
      <c r="F1681" s="17">
        <v>99</v>
      </c>
      <c r="H1681" s="360">
        <v>0.11814342998427774</v>
      </c>
      <c r="I1681" s="360">
        <v>-0.3437976139140434</v>
      </c>
      <c r="K1681" s="363"/>
      <c r="N1681" s="10"/>
      <c r="O1681" s="4"/>
      <c r="P1681" s="4"/>
      <c r="Q1681" s="3"/>
      <c r="R1681" s="3"/>
      <c r="S1681" s="3"/>
      <c r="T1681" s="3"/>
    </row>
    <row r="1682" spans="1:20">
      <c r="A1682" s="3">
        <v>1</v>
      </c>
      <c r="B1682" s="3">
        <v>1</v>
      </c>
      <c r="C1682" s="2">
        <v>25</v>
      </c>
      <c r="D1682" s="2">
        <v>5</v>
      </c>
      <c r="E1682" s="2">
        <v>16</v>
      </c>
      <c r="F1682" s="17">
        <v>99</v>
      </c>
      <c r="H1682" s="360">
        <v>0.31430150836544624</v>
      </c>
      <c r="I1682" s="360">
        <v>-0.42113936918588485</v>
      </c>
      <c r="K1682" s="363"/>
      <c r="N1682" s="10"/>
      <c r="O1682" s="4"/>
      <c r="P1682" s="4"/>
      <c r="Q1682" s="3"/>
      <c r="R1682" s="3"/>
      <c r="S1682" s="3"/>
      <c r="T1682" s="3"/>
    </row>
    <row r="1683" spans="1:20">
      <c r="A1683" s="3">
        <v>3</v>
      </c>
      <c r="B1683" s="3">
        <v>1</v>
      </c>
      <c r="C1683" s="2">
        <v>25</v>
      </c>
      <c r="D1683" s="2">
        <v>5</v>
      </c>
      <c r="E1683" s="2">
        <v>1</v>
      </c>
      <c r="F1683" s="17">
        <v>99</v>
      </c>
      <c r="H1683" s="360">
        <v>3.7607045633485492E-2</v>
      </c>
      <c r="I1683" s="360">
        <v>-0.54115685542346537</v>
      </c>
      <c r="K1683" s="363"/>
      <c r="N1683" s="10"/>
      <c r="O1683" s="4"/>
      <c r="P1683" s="4"/>
      <c r="Q1683" s="3"/>
      <c r="R1683" s="3"/>
      <c r="S1683" s="3"/>
      <c r="T1683" s="3"/>
    </row>
    <row r="1684" spans="1:20">
      <c r="A1684" s="3">
        <v>5</v>
      </c>
      <c r="B1684" s="3">
        <v>2</v>
      </c>
      <c r="C1684" s="2">
        <v>25</v>
      </c>
      <c r="D1684" s="2">
        <v>5</v>
      </c>
      <c r="E1684" s="2">
        <v>16</v>
      </c>
      <c r="F1684" s="17">
        <v>99</v>
      </c>
      <c r="H1684" s="360">
        <v>2.6784545833783757E-2</v>
      </c>
      <c r="I1684" s="360">
        <v>-0.56000164331785873</v>
      </c>
      <c r="K1684" s="363"/>
      <c r="N1684" s="10"/>
      <c r="O1684" s="4"/>
      <c r="P1684" s="4"/>
      <c r="Q1684" s="3"/>
      <c r="R1684" s="3"/>
      <c r="S1684" s="3"/>
      <c r="T1684" s="3"/>
    </row>
    <row r="1685" spans="1:20">
      <c r="A1685" s="3">
        <v>5</v>
      </c>
      <c r="B1685" s="3">
        <v>2</v>
      </c>
      <c r="C1685" s="2">
        <v>50</v>
      </c>
      <c r="D1685" s="2">
        <v>5</v>
      </c>
      <c r="E1685" s="2">
        <v>16</v>
      </c>
      <c r="F1685" s="17">
        <v>99</v>
      </c>
      <c r="H1685" s="360">
        <v>0.42486348595967627</v>
      </c>
      <c r="I1685" s="360">
        <v>-0.56679974402668132</v>
      </c>
      <c r="K1685" s="363"/>
      <c r="N1685" s="10"/>
      <c r="O1685" s="4"/>
      <c r="P1685" s="4"/>
      <c r="Q1685" s="3"/>
      <c r="R1685" s="3"/>
      <c r="S1685" s="3"/>
      <c r="T1685" s="3"/>
    </row>
    <row r="1686" spans="1:20">
      <c r="A1686" s="3">
        <v>1</v>
      </c>
      <c r="B1686" s="3">
        <v>1</v>
      </c>
      <c r="C1686" s="2">
        <v>25</v>
      </c>
      <c r="D1686" s="2">
        <v>5</v>
      </c>
      <c r="E1686" s="2">
        <v>1</v>
      </c>
      <c r="F1686" s="17">
        <v>99</v>
      </c>
      <c r="H1686" s="360">
        <v>1.9005741272638321E-2</v>
      </c>
      <c r="I1686" s="360">
        <v>-1</v>
      </c>
      <c r="K1686" s="363"/>
      <c r="N1686" s="10"/>
      <c r="O1686" s="4"/>
      <c r="P1686" s="4"/>
      <c r="Q1686" s="3"/>
      <c r="R1686" s="3"/>
      <c r="S1686" s="3"/>
      <c r="T1686" s="3"/>
    </row>
    <row r="1687" spans="1:20">
      <c r="A1687" s="3">
        <v>3</v>
      </c>
      <c r="B1687" s="3">
        <v>2</v>
      </c>
      <c r="C1687" s="2">
        <v>25</v>
      </c>
      <c r="D1687" s="2">
        <v>5</v>
      </c>
      <c r="E1687" s="2">
        <v>1</v>
      </c>
      <c r="F1687" s="17">
        <v>99</v>
      </c>
      <c r="H1687" s="360">
        <v>2.2433621881451593E-2</v>
      </c>
      <c r="I1687" s="360">
        <v>-1</v>
      </c>
      <c r="K1687" s="363"/>
      <c r="N1687" s="10"/>
      <c r="O1687" s="4"/>
      <c r="P1687" s="4"/>
      <c r="Q1687" s="3"/>
      <c r="R1687" s="3"/>
      <c r="S1687" s="3"/>
      <c r="T1687" s="3"/>
    </row>
    <row r="1688" spans="1:20">
      <c r="A1688" s="3">
        <v>2</v>
      </c>
      <c r="B1688" s="3">
        <v>1</v>
      </c>
      <c r="C1688" s="2">
        <v>25</v>
      </c>
      <c r="D1688" s="2">
        <v>5</v>
      </c>
      <c r="E1688" s="2">
        <v>16</v>
      </c>
      <c r="F1688" s="17">
        <v>100</v>
      </c>
      <c r="H1688" s="360">
        <v>1</v>
      </c>
      <c r="I1688" s="360">
        <v>0.38635985566611203</v>
      </c>
      <c r="K1688" s="363"/>
      <c r="N1688" s="10"/>
      <c r="O1688" s="4"/>
      <c r="P1688" s="4"/>
      <c r="Q1688" s="3"/>
      <c r="R1688" s="3"/>
      <c r="S1688" s="3"/>
      <c r="T1688" s="3"/>
    </row>
    <row r="1689" spans="1:20">
      <c r="A1689" s="3">
        <v>2</v>
      </c>
      <c r="B1689" s="3">
        <v>2</v>
      </c>
      <c r="C1689" s="2">
        <v>25</v>
      </c>
      <c r="D1689" s="2">
        <v>5</v>
      </c>
      <c r="E1689" s="2">
        <v>1</v>
      </c>
      <c r="F1689" s="17">
        <v>100</v>
      </c>
      <c r="H1689" s="360">
        <v>1</v>
      </c>
      <c r="I1689" s="360">
        <v>0.37983711504223644</v>
      </c>
      <c r="K1689" s="363"/>
      <c r="N1689" s="10"/>
      <c r="O1689" s="4"/>
      <c r="P1689" s="4"/>
      <c r="Q1689" s="3"/>
      <c r="R1689" s="3"/>
      <c r="S1689" s="3"/>
      <c r="T1689" s="3"/>
    </row>
    <row r="1690" spans="1:20">
      <c r="A1690" s="3">
        <v>2</v>
      </c>
      <c r="B1690" s="3">
        <v>2</v>
      </c>
      <c r="C1690" s="2">
        <v>25</v>
      </c>
      <c r="D1690" s="2">
        <v>5</v>
      </c>
      <c r="E1690" s="2">
        <v>16</v>
      </c>
      <c r="F1690" s="17">
        <v>100</v>
      </c>
      <c r="H1690" s="360">
        <v>1</v>
      </c>
      <c r="I1690" s="360">
        <v>0.37815901650738881</v>
      </c>
      <c r="K1690" s="363"/>
      <c r="N1690" s="10"/>
      <c r="O1690" s="4"/>
      <c r="P1690" s="4"/>
      <c r="Q1690" s="3"/>
      <c r="R1690" s="3"/>
      <c r="S1690" s="3"/>
      <c r="T1690" s="3"/>
    </row>
    <row r="1691" spans="1:20">
      <c r="A1691" s="3">
        <v>2</v>
      </c>
      <c r="B1691" s="3">
        <v>1</v>
      </c>
      <c r="C1691" s="2">
        <v>25</v>
      </c>
      <c r="D1691" s="2">
        <v>5</v>
      </c>
      <c r="E1691" s="2">
        <v>1</v>
      </c>
      <c r="F1691" s="17">
        <v>100</v>
      </c>
      <c r="H1691" s="360">
        <v>0.79494333684633189</v>
      </c>
      <c r="I1691" s="360">
        <v>0.37245295779987253</v>
      </c>
      <c r="K1691" s="363"/>
      <c r="N1691" s="10"/>
      <c r="O1691" s="4"/>
      <c r="P1691" s="4"/>
      <c r="Q1691" s="3"/>
      <c r="R1691" s="3"/>
      <c r="S1691" s="3"/>
      <c r="T1691" s="3"/>
    </row>
    <row r="1692" spans="1:20">
      <c r="A1692" s="3">
        <v>1</v>
      </c>
      <c r="B1692" s="3">
        <v>2</v>
      </c>
      <c r="C1692" s="2">
        <v>25</v>
      </c>
      <c r="D1692" s="2">
        <v>5</v>
      </c>
      <c r="E1692" s="2">
        <v>16</v>
      </c>
      <c r="F1692" s="17">
        <v>100</v>
      </c>
      <c r="H1692" s="360">
        <v>1</v>
      </c>
      <c r="I1692" s="360">
        <v>0.10914602660529313</v>
      </c>
      <c r="K1692" s="363"/>
      <c r="N1692" s="10"/>
      <c r="O1692" s="4"/>
      <c r="P1692" s="4"/>
      <c r="Q1692" s="3"/>
      <c r="R1692" s="3"/>
      <c r="S1692" s="3"/>
      <c r="T1692" s="3"/>
    </row>
    <row r="1693" spans="1:20">
      <c r="A1693" s="3">
        <v>1</v>
      </c>
      <c r="B1693" s="3">
        <v>2</v>
      </c>
      <c r="C1693" s="2">
        <v>25</v>
      </c>
      <c r="D1693" s="2">
        <v>30</v>
      </c>
      <c r="E1693" s="2">
        <v>16</v>
      </c>
      <c r="F1693" s="17">
        <v>100</v>
      </c>
      <c r="H1693" s="360">
        <v>1</v>
      </c>
      <c r="I1693" s="360">
        <v>6.6243621558727261E-2</v>
      </c>
      <c r="K1693" s="363"/>
      <c r="N1693" s="10"/>
      <c r="O1693" s="4"/>
      <c r="P1693" s="4"/>
      <c r="Q1693" s="3"/>
      <c r="R1693" s="3"/>
      <c r="S1693" s="3"/>
      <c r="T1693" s="3"/>
    </row>
    <row r="1694" spans="1:20">
      <c r="A1694" s="3">
        <v>1</v>
      </c>
      <c r="B1694" s="3">
        <v>1</v>
      </c>
      <c r="C1694" s="2">
        <v>25</v>
      </c>
      <c r="D1694" s="2">
        <v>5</v>
      </c>
      <c r="E1694" s="2">
        <v>1</v>
      </c>
      <c r="F1694" s="17">
        <v>100</v>
      </c>
      <c r="H1694" s="360">
        <v>0.1062360440286636</v>
      </c>
      <c r="I1694" s="360">
        <v>6.4293512494497801E-2</v>
      </c>
      <c r="K1694" s="363"/>
      <c r="N1694" s="10"/>
      <c r="O1694" s="4"/>
      <c r="P1694" s="4"/>
      <c r="Q1694" s="3"/>
      <c r="R1694" s="3"/>
      <c r="S1694" s="3"/>
      <c r="T1694" s="3"/>
    </row>
    <row r="1695" spans="1:20">
      <c r="A1695" s="3">
        <v>1</v>
      </c>
      <c r="B1695" s="3">
        <v>2</v>
      </c>
      <c r="C1695" s="2">
        <v>25</v>
      </c>
      <c r="D1695" s="2">
        <v>5</v>
      </c>
      <c r="E1695" s="2">
        <v>1</v>
      </c>
      <c r="F1695" s="17">
        <v>100</v>
      </c>
      <c r="H1695" s="360">
        <v>4.5568541750263147E-2</v>
      </c>
      <c r="I1695" s="360">
        <v>2.8204510255856057E-2</v>
      </c>
      <c r="K1695" s="363"/>
      <c r="N1695" s="10"/>
      <c r="O1695" s="4"/>
      <c r="P1695" s="4"/>
      <c r="Q1695" s="3"/>
      <c r="R1695" s="3"/>
      <c r="S1695" s="3"/>
      <c r="T1695" s="3"/>
    </row>
    <row r="1696" spans="1:20">
      <c r="A1696" s="3">
        <v>1</v>
      </c>
      <c r="B1696" s="3">
        <v>1</v>
      </c>
      <c r="C1696" s="2">
        <v>25</v>
      </c>
      <c r="D1696" s="2">
        <v>5</v>
      </c>
      <c r="E1696" s="2">
        <v>16</v>
      </c>
      <c r="F1696" s="17">
        <v>100</v>
      </c>
      <c r="H1696" s="360">
        <v>1</v>
      </c>
      <c r="I1696" s="360">
        <v>1.6081686418644502E-2</v>
      </c>
      <c r="K1696" s="363"/>
      <c r="N1696" s="10"/>
      <c r="O1696" s="4"/>
      <c r="P1696" s="4"/>
      <c r="Q1696" s="3"/>
      <c r="R1696" s="3"/>
      <c r="S1696" s="3"/>
      <c r="T1696" s="3"/>
    </row>
    <row r="1697" spans="1:20">
      <c r="A1697" s="3">
        <v>1</v>
      </c>
      <c r="B1697" s="3">
        <v>2</v>
      </c>
      <c r="C1697" s="2">
        <v>25</v>
      </c>
      <c r="D1697" s="2">
        <v>5</v>
      </c>
      <c r="E1697" s="2">
        <v>16</v>
      </c>
      <c r="F1697" s="17">
        <v>100</v>
      </c>
      <c r="H1697" s="360">
        <v>1</v>
      </c>
      <c r="I1697" s="360">
        <v>1.1613620745385909E-2</v>
      </c>
      <c r="K1697" s="363"/>
      <c r="N1697" s="10"/>
      <c r="O1697" s="4"/>
      <c r="P1697" s="4"/>
      <c r="Q1697" s="3"/>
      <c r="R1697" s="3"/>
      <c r="S1697" s="3"/>
      <c r="T1697" s="3"/>
    </row>
    <row r="1698" spans="1:20">
      <c r="A1698" s="3">
        <v>3</v>
      </c>
      <c r="B1698" s="3">
        <v>1</v>
      </c>
      <c r="C1698" s="2">
        <v>25</v>
      </c>
      <c r="D1698" s="2">
        <v>5</v>
      </c>
      <c r="E1698" s="2">
        <v>16</v>
      </c>
      <c r="F1698" s="17">
        <v>100</v>
      </c>
      <c r="H1698" s="360">
        <v>0.93739174332061737</v>
      </c>
      <c r="I1698" s="360">
        <v>-9.0825400344180199E-2</v>
      </c>
      <c r="K1698" s="363"/>
      <c r="N1698" s="10"/>
      <c r="O1698" s="4"/>
      <c r="P1698" s="4"/>
      <c r="Q1698" s="3"/>
      <c r="R1698" s="3"/>
      <c r="S1698" s="3"/>
      <c r="T1698" s="3"/>
    </row>
    <row r="1699" spans="1:20">
      <c r="A1699" s="3">
        <v>1</v>
      </c>
      <c r="B1699" s="3">
        <v>1</v>
      </c>
      <c r="C1699" s="2">
        <v>25</v>
      </c>
      <c r="D1699" s="2">
        <v>30</v>
      </c>
      <c r="E1699" s="2">
        <v>16</v>
      </c>
      <c r="F1699" s="17">
        <v>100</v>
      </c>
      <c r="H1699" s="360">
        <v>1</v>
      </c>
      <c r="I1699" s="360">
        <v>-9.4678438132800358E-2</v>
      </c>
      <c r="K1699" s="363"/>
      <c r="N1699" s="10"/>
      <c r="O1699" s="4"/>
      <c r="P1699" s="4"/>
      <c r="Q1699" s="3"/>
      <c r="R1699" s="3"/>
      <c r="S1699" s="3"/>
      <c r="T1699" s="3"/>
    </row>
    <row r="1700" spans="1:20">
      <c r="A1700" s="3">
        <v>3</v>
      </c>
      <c r="B1700" s="3">
        <v>1</v>
      </c>
      <c r="C1700" s="2">
        <v>25</v>
      </c>
      <c r="D1700" s="2">
        <v>5</v>
      </c>
      <c r="E1700" s="2">
        <v>1</v>
      </c>
      <c r="F1700" s="17">
        <v>100</v>
      </c>
      <c r="H1700" s="360">
        <v>0.1691830616971346</v>
      </c>
      <c r="I1700" s="360">
        <v>-0.1354706098837932</v>
      </c>
      <c r="K1700" s="363"/>
      <c r="N1700" s="10"/>
      <c r="O1700" s="4"/>
      <c r="P1700" s="4"/>
      <c r="Q1700" s="3"/>
      <c r="R1700" s="3"/>
      <c r="S1700" s="3"/>
      <c r="T1700" s="3"/>
    </row>
    <row r="1701" spans="1:20">
      <c r="A1701" s="3">
        <v>3</v>
      </c>
      <c r="B1701" s="3">
        <v>2</v>
      </c>
      <c r="C1701" s="2">
        <v>25</v>
      </c>
      <c r="D1701" s="2">
        <v>5</v>
      </c>
      <c r="E1701" s="2">
        <v>16</v>
      </c>
      <c r="F1701" s="17">
        <v>100</v>
      </c>
      <c r="H1701" s="360">
        <v>1</v>
      </c>
      <c r="I1701" s="360">
        <v>-0.27380816792712409</v>
      </c>
      <c r="K1701" s="363"/>
      <c r="N1701" s="10"/>
      <c r="O1701" s="4"/>
      <c r="P1701" s="4"/>
      <c r="Q1701" s="3"/>
      <c r="R1701" s="3"/>
      <c r="S1701" s="3"/>
      <c r="T1701" s="3"/>
    </row>
    <row r="1702" spans="1:20">
      <c r="A1702" s="3">
        <v>3</v>
      </c>
      <c r="B1702" s="3">
        <v>2</v>
      </c>
      <c r="C1702" s="2">
        <v>25</v>
      </c>
      <c r="D1702" s="2">
        <v>5</v>
      </c>
      <c r="E1702" s="2">
        <v>1</v>
      </c>
      <c r="F1702" s="17">
        <v>100</v>
      </c>
      <c r="H1702" s="360">
        <v>0.99423199772366899</v>
      </c>
      <c r="I1702" s="360">
        <v>-0.27563952731474484</v>
      </c>
      <c r="K1702" s="363"/>
      <c r="N1702" s="10"/>
      <c r="O1702" s="4"/>
      <c r="P1702" s="4"/>
      <c r="Q1702" s="3"/>
      <c r="R1702" s="3"/>
      <c r="S1702" s="3"/>
      <c r="T1702" s="3"/>
    </row>
    <row r="1703" spans="1:20">
      <c r="A1703" s="3">
        <v>4</v>
      </c>
      <c r="B1703" s="3">
        <v>2</v>
      </c>
      <c r="C1703" s="2">
        <v>50</v>
      </c>
      <c r="D1703" s="2">
        <v>5</v>
      </c>
      <c r="E1703" s="2">
        <v>16</v>
      </c>
      <c r="F1703" s="17">
        <v>100</v>
      </c>
      <c r="H1703" s="360">
        <v>1</v>
      </c>
      <c r="I1703" s="360">
        <v>-0.36200886107913643</v>
      </c>
      <c r="K1703" s="363"/>
      <c r="N1703" s="10"/>
      <c r="O1703" s="4"/>
      <c r="P1703" s="4"/>
      <c r="Q1703" s="3"/>
      <c r="R1703" s="3"/>
      <c r="S1703" s="3"/>
      <c r="T1703" s="3"/>
    </row>
    <row r="1704" spans="1:20">
      <c r="A1704" s="3">
        <v>5</v>
      </c>
      <c r="B1704" s="3">
        <v>2</v>
      </c>
      <c r="C1704" s="2">
        <v>50</v>
      </c>
      <c r="D1704" s="2">
        <v>5</v>
      </c>
      <c r="E1704" s="2">
        <v>16</v>
      </c>
      <c r="F1704" s="17">
        <v>100</v>
      </c>
      <c r="H1704" s="360">
        <v>1</v>
      </c>
      <c r="I1704" s="360">
        <v>-0.73224453494079134</v>
      </c>
      <c r="K1704" s="363"/>
      <c r="N1704" s="10"/>
      <c r="O1704" s="4"/>
      <c r="P1704" s="4"/>
      <c r="Q1704" s="3"/>
      <c r="R1704" s="3"/>
      <c r="S1704" s="3"/>
      <c r="T1704" s="3"/>
    </row>
    <row r="1705" spans="1:20">
      <c r="A1705" s="3">
        <v>5</v>
      </c>
      <c r="B1705" s="3">
        <v>2</v>
      </c>
      <c r="C1705" s="2">
        <v>25</v>
      </c>
      <c r="D1705" s="2">
        <v>5</v>
      </c>
      <c r="E1705" s="2">
        <v>16</v>
      </c>
      <c r="F1705" s="17">
        <v>100</v>
      </c>
      <c r="H1705" s="360">
        <v>1</v>
      </c>
      <c r="I1705" s="360">
        <v>-0.74005726736049871</v>
      </c>
      <c r="K1705" s="363"/>
      <c r="N1705" s="10"/>
      <c r="O1705" s="4"/>
      <c r="P1705" s="4"/>
      <c r="Q1705" s="3"/>
      <c r="R1705" s="3"/>
      <c r="S1705" s="3"/>
      <c r="T1705" s="3"/>
    </row>
    <row r="1706" spans="1:20">
      <c r="A1706" s="3">
        <v>1</v>
      </c>
      <c r="B1706" s="3">
        <v>1</v>
      </c>
      <c r="C1706" s="2">
        <v>25</v>
      </c>
      <c r="D1706" s="2">
        <v>5</v>
      </c>
      <c r="E1706" s="2">
        <v>1</v>
      </c>
      <c r="F1706" s="17">
        <v>101</v>
      </c>
      <c r="H1706" s="360">
        <v>0.55403191471837832</v>
      </c>
      <c r="I1706" s="360">
        <v>0.91379700760737748</v>
      </c>
      <c r="K1706" s="363"/>
      <c r="N1706" s="10"/>
      <c r="O1706" s="4"/>
      <c r="P1706" s="4"/>
      <c r="Q1706" s="3"/>
      <c r="R1706" s="3"/>
      <c r="S1706" s="3"/>
      <c r="T1706" s="3"/>
    </row>
    <row r="1707" spans="1:20">
      <c r="A1707" s="3">
        <v>1</v>
      </c>
      <c r="B1707" s="3">
        <v>1</v>
      </c>
      <c r="C1707" s="2">
        <v>25</v>
      </c>
      <c r="D1707" s="2">
        <v>5</v>
      </c>
      <c r="E1707" s="2">
        <v>16</v>
      </c>
      <c r="F1707" s="17">
        <v>101</v>
      </c>
      <c r="H1707" s="360">
        <v>0.81065553512647981</v>
      </c>
      <c r="I1707" s="360">
        <v>0.65362190929905928</v>
      </c>
      <c r="K1707" s="363"/>
      <c r="N1707" s="10"/>
      <c r="O1707" s="4"/>
      <c r="P1707" s="4"/>
      <c r="Q1707" s="3"/>
      <c r="R1707" s="3"/>
      <c r="S1707" s="3"/>
      <c r="T1707" s="3"/>
    </row>
    <row r="1708" spans="1:20">
      <c r="A1708" s="3">
        <v>1</v>
      </c>
      <c r="B1708" s="3">
        <v>1</v>
      </c>
      <c r="C1708" s="2">
        <v>25</v>
      </c>
      <c r="D1708" s="2">
        <v>30</v>
      </c>
      <c r="E1708" s="2">
        <v>16</v>
      </c>
      <c r="F1708" s="17">
        <v>101</v>
      </c>
      <c r="H1708" s="360">
        <v>0.99151110844573753</v>
      </c>
      <c r="I1708" s="360">
        <v>0.45361900377379821</v>
      </c>
      <c r="K1708" s="363"/>
      <c r="N1708" s="10"/>
      <c r="O1708" s="4"/>
      <c r="P1708" s="4"/>
      <c r="Q1708" s="3"/>
      <c r="R1708" s="3"/>
      <c r="S1708" s="3"/>
      <c r="T1708" s="3"/>
    </row>
    <row r="1709" spans="1:20">
      <c r="A1709" s="3">
        <v>1</v>
      </c>
      <c r="B1709" s="3">
        <v>2</v>
      </c>
      <c r="C1709" s="2">
        <v>25</v>
      </c>
      <c r="D1709" s="2">
        <v>5</v>
      </c>
      <c r="E1709" s="2">
        <v>16</v>
      </c>
      <c r="F1709" s="17">
        <v>101</v>
      </c>
      <c r="H1709" s="360">
        <v>0.3870352952175905</v>
      </c>
      <c r="I1709" s="360">
        <v>0.13173958417201337</v>
      </c>
      <c r="K1709" s="363"/>
      <c r="N1709" s="10"/>
      <c r="O1709" s="4"/>
      <c r="P1709" s="4"/>
      <c r="Q1709" s="3"/>
      <c r="R1709" s="3"/>
      <c r="S1709" s="3"/>
      <c r="T1709" s="3"/>
    </row>
    <row r="1710" spans="1:20">
      <c r="A1710" s="3">
        <v>1</v>
      </c>
      <c r="B1710" s="3">
        <v>2</v>
      </c>
      <c r="C1710" s="2">
        <v>25</v>
      </c>
      <c r="D1710" s="2">
        <v>5</v>
      </c>
      <c r="E1710" s="2">
        <v>16</v>
      </c>
      <c r="F1710" s="17">
        <v>101</v>
      </c>
      <c r="H1710" s="360">
        <v>0.62271560658206304</v>
      </c>
      <c r="I1710" s="360">
        <v>9.8310138751255993E-2</v>
      </c>
      <c r="K1710" s="363"/>
      <c r="N1710" s="10"/>
      <c r="O1710" s="4"/>
      <c r="P1710" s="4"/>
      <c r="Q1710" s="3"/>
      <c r="R1710" s="3"/>
      <c r="S1710" s="3"/>
      <c r="T1710" s="3"/>
    </row>
    <row r="1711" spans="1:20">
      <c r="A1711" s="3">
        <v>1</v>
      </c>
      <c r="B1711" s="3">
        <v>2</v>
      </c>
      <c r="C1711" s="2">
        <v>25</v>
      </c>
      <c r="D1711" s="2">
        <v>30</v>
      </c>
      <c r="E1711" s="2">
        <v>16</v>
      </c>
      <c r="F1711" s="17">
        <v>101</v>
      </c>
      <c r="H1711" s="360">
        <v>0.63352554220383728</v>
      </c>
      <c r="I1711" s="360">
        <v>7.303077292343961E-2</v>
      </c>
      <c r="K1711" s="363"/>
      <c r="N1711" s="10"/>
      <c r="O1711" s="4"/>
      <c r="P1711" s="4"/>
      <c r="Q1711" s="3"/>
      <c r="R1711" s="3"/>
      <c r="S1711" s="3"/>
      <c r="T1711" s="3"/>
    </row>
    <row r="1712" spans="1:20">
      <c r="A1712" s="3">
        <v>4</v>
      </c>
      <c r="B1712" s="3">
        <v>2</v>
      </c>
      <c r="C1712" s="2">
        <v>50</v>
      </c>
      <c r="D1712" s="2">
        <v>5</v>
      </c>
      <c r="E1712" s="2">
        <v>16</v>
      </c>
      <c r="F1712" s="17">
        <v>101</v>
      </c>
      <c r="H1712" s="360">
        <v>1</v>
      </c>
      <c r="I1712" s="360">
        <v>5.0311271410705523E-2</v>
      </c>
      <c r="K1712" s="363"/>
      <c r="N1712" s="10"/>
      <c r="O1712" s="4"/>
      <c r="P1712" s="4"/>
      <c r="Q1712" s="3"/>
      <c r="R1712" s="3"/>
      <c r="S1712" s="3"/>
      <c r="T1712" s="3"/>
    </row>
    <row r="1713" spans="1:20">
      <c r="A1713" s="3">
        <v>5</v>
      </c>
      <c r="B1713" s="3">
        <v>2</v>
      </c>
      <c r="C1713" s="2">
        <v>50</v>
      </c>
      <c r="D1713" s="2">
        <v>5</v>
      </c>
      <c r="E1713" s="2">
        <v>16</v>
      </c>
      <c r="F1713" s="17">
        <v>101</v>
      </c>
      <c r="H1713" s="360">
        <v>1</v>
      </c>
      <c r="I1713" s="360">
        <v>1.7453501966237222E-2</v>
      </c>
      <c r="K1713" s="363"/>
      <c r="N1713" s="10"/>
      <c r="O1713" s="4"/>
      <c r="P1713" s="4"/>
      <c r="Q1713" s="3"/>
      <c r="R1713" s="3"/>
      <c r="S1713" s="3"/>
      <c r="T1713" s="3"/>
    </row>
    <row r="1714" spans="1:20">
      <c r="A1714" s="3">
        <v>2</v>
      </c>
      <c r="B1714" s="3">
        <v>1</v>
      </c>
      <c r="C1714" s="2">
        <v>25</v>
      </c>
      <c r="D1714" s="2">
        <v>5</v>
      </c>
      <c r="E1714" s="2">
        <v>16</v>
      </c>
      <c r="F1714" s="17">
        <v>101</v>
      </c>
      <c r="H1714" s="360">
        <v>0.45735298823232395</v>
      </c>
      <c r="I1714" s="360">
        <v>8.0614466126956025E-3</v>
      </c>
      <c r="K1714" s="363"/>
      <c r="N1714" s="10"/>
      <c r="O1714" s="4"/>
      <c r="P1714" s="4"/>
      <c r="Q1714" s="3"/>
      <c r="R1714" s="3"/>
      <c r="S1714" s="3"/>
      <c r="T1714" s="3"/>
    </row>
    <row r="1715" spans="1:20">
      <c r="A1715" s="3">
        <v>2</v>
      </c>
      <c r="B1715" s="3">
        <v>1</v>
      </c>
      <c r="C1715" s="2">
        <v>25</v>
      </c>
      <c r="D1715" s="2">
        <v>5</v>
      </c>
      <c r="E1715" s="2">
        <v>1</v>
      </c>
      <c r="F1715" s="17">
        <v>101</v>
      </c>
      <c r="H1715" s="360">
        <v>0</v>
      </c>
      <c r="I1715" s="360">
        <v>0</v>
      </c>
      <c r="K1715" s="363"/>
      <c r="N1715" s="10"/>
      <c r="O1715" s="4"/>
      <c r="P1715" s="4"/>
      <c r="Q1715" s="3"/>
      <c r="R1715" s="3"/>
      <c r="S1715" s="3"/>
      <c r="T1715" s="3"/>
    </row>
    <row r="1716" spans="1:20">
      <c r="A1716" s="3">
        <v>5</v>
      </c>
      <c r="B1716" s="3">
        <v>2</v>
      </c>
      <c r="C1716" s="2">
        <v>25</v>
      </c>
      <c r="D1716" s="2">
        <v>5</v>
      </c>
      <c r="E1716" s="2">
        <v>16</v>
      </c>
      <c r="F1716" s="17">
        <v>101</v>
      </c>
      <c r="H1716" s="360">
        <v>1</v>
      </c>
      <c r="I1716" s="360">
        <v>-5.5254335218678499E-3</v>
      </c>
      <c r="K1716" s="363"/>
      <c r="N1716" s="10"/>
      <c r="O1716" s="4"/>
      <c r="P1716" s="4"/>
      <c r="Q1716" s="3"/>
      <c r="R1716" s="3"/>
      <c r="S1716" s="3"/>
      <c r="T1716" s="3"/>
    </row>
    <row r="1717" spans="1:20">
      <c r="A1717" s="3">
        <v>3</v>
      </c>
      <c r="B1717" s="3">
        <v>1</v>
      </c>
      <c r="C1717" s="2">
        <v>25</v>
      </c>
      <c r="D1717" s="2">
        <v>5</v>
      </c>
      <c r="E1717" s="2">
        <v>16</v>
      </c>
      <c r="F1717" s="17">
        <v>101</v>
      </c>
      <c r="H1717" s="360">
        <v>3.3232170628489155E-2</v>
      </c>
      <c r="I1717" s="360">
        <v>-2.2006657729443092E-2</v>
      </c>
      <c r="K1717" s="363"/>
      <c r="N1717" s="10"/>
      <c r="O1717" s="4"/>
      <c r="P1717" s="4"/>
      <c r="Q1717" s="3"/>
      <c r="R1717" s="3"/>
      <c r="S1717" s="3"/>
      <c r="T1717" s="3"/>
    </row>
    <row r="1718" spans="1:20">
      <c r="A1718" s="3">
        <v>2</v>
      </c>
      <c r="B1718" s="3">
        <v>2</v>
      </c>
      <c r="C1718" s="2">
        <v>25</v>
      </c>
      <c r="D1718" s="2">
        <v>5</v>
      </c>
      <c r="E1718" s="2">
        <v>1</v>
      </c>
      <c r="F1718" s="17">
        <v>101</v>
      </c>
      <c r="H1718" s="360">
        <v>1</v>
      </c>
      <c r="I1718" s="360">
        <v>-2.7183764668329783E-2</v>
      </c>
      <c r="K1718" s="363"/>
      <c r="N1718" s="10"/>
      <c r="O1718" s="4"/>
      <c r="P1718" s="4"/>
      <c r="Q1718" s="3"/>
      <c r="R1718" s="3"/>
      <c r="S1718" s="3"/>
      <c r="T1718" s="3"/>
    </row>
    <row r="1719" spans="1:20">
      <c r="A1719" s="3">
        <v>2</v>
      </c>
      <c r="B1719" s="3">
        <v>2</v>
      </c>
      <c r="C1719" s="2">
        <v>25</v>
      </c>
      <c r="D1719" s="2">
        <v>5</v>
      </c>
      <c r="E1719" s="2">
        <v>16</v>
      </c>
      <c r="F1719" s="17">
        <v>101</v>
      </c>
      <c r="H1719" s="360">
        <v>1</v>
      </c>
      <c r="I1719" s="360">
        <v>-4.5959705635722277E-2</v>
      </c>
      <c r="K1719" s="363"/>
      <c r="N1719" s="10"/>
      <c r="O1719" s="4"/>
      <c r="P1719" s="4"/>
      <c r="Q1719" s="3"/>
      <c r="R1719" s="3"/>
      <c r="S1719" s="3"/>
      <c r="T1719" s="3"/>
    </row>
    <row r="1720" spans="1:20">
      <c r="A1720" s="3">
        <v>1</v>
      </c>
      <c r="B1720" s="3">
        <v>2</v>
      </c>
      <c r="C1720" s="2">
        <v>25</v>
      </c>
      <c r="D1720" s="2">
        <v>5</v>
      </c>
      <c r="E1720" s="2">
        <v>1</v>
      </c>
      <c r="F1720" s="17">
        <v>101</v>
      </c>
      <c r="H1720" s="360">
        <v>2.2799642820490629E-2</v>
      </c>
      <c r="I1720" s="360">
        <v>-8.6051353226925739E-2</v>
      </c>
      <c r="K1720" s="363"/>
      <c r="N1720" s="10"/>
      <c r="O1720" s="4"/>
      <c r="P1720" s="4"/>
      <c r="Q1720" s="3"/>
      <c r="R1720" s="3"/>
      <c r="S1720" s="3"/>
      <c r="T1720" s="3"/>
    </row>
    <row r="1721" spans="1:20">
      <c r="A1721" s="3">
        <v>3</v>
      </c>
      <c r="B1721" s="3">
        <v>2</v>
      </c>
      <c r="C1721" s="2">
        <v>25</v>
      </c>
      <c r="D1721" s="2">
        <v>5</v>
      </c>
      <c r="E1721" s="2">
        <v>1</v>
      </c>
      <c r="F1721" s="17">
        <v>101</v>
      </c>
      <c r="H1721" s="360">
        <v>0.13026406821464687</v>
      </c>
      <c r="I1721" s="360">
        <v>-0.15379529335750433</v>
      </c>
      <c r="K1721" s="363"/>
      <c r="N1721" s="10"/>
      <c r="O1721" s="4"/>
      <c r="P1721" s="4"/>
      <c r="Q1721" s="3"/>
      <c r="R1721" s="3"/>
      <c r="S1721" s="3"/>
      <c r="T1721" s="3"/>
    </row>
    <row r="1722" spans="1:20">
      <c r="A1722" s="3">
        <v>3</v>
      </c>
      <c r="B1722" s="3">
        <v>2</v>
      </c>
      <c r="C1722" s="2">
        <v>25</v>
      </c>
      <c r="D1722" s="2">
        <v>5</v>
      </c>
      <c r="E1722" s="2">
        <v>16</v>
      </c>
      <c r="F1722" s="17">
        <v>101</v>
      </c>
      <c r="H1722" s="360">
        <v>0.31374041775088135</v>
      </c>
      <c r="I1722" s="360">
        <v>-0.20441122529887348</v>
      </c>
      <c r="K1722" s="363"/>
      <c r="N1722" s="10"/>
      <c r="O1722" s="4"/>
      <c r="P1722" s="4"/>
      <c r="Q1722" s="3"/>
      <c r="R1722" s="3"/>
      <c r="S1722" s="3"/>
      <c r="T1722" s="3"/>
    </row>
    <row r="1723" spans="1:20">
      <c r="A1723" s="3">
        <v>3</v>
      </c>
      <c r="B1723" s="3">
        <v>1</v>
      </c>
      <c r="C1723" s="2">
        <v>25</v>
      </c>
      <c r="D1723" s="2">
        <v>5</v>
      </c>
      <c r="E1723" s="2">
        <v>1</v>
      </c>
      <c r="F1723" s="17">
        <v>101</v>
      </c>
      <c r="H1723" s="360">
        <v>1.160483344149843E-2</v>
      </c>
      <c r="I1723" s="360">
        <v>-1</v>
      </c>
      <c r="K1723" s="363"/>
      <c r="N1723" s="10"/>
      <c r="O1723" s="4"/>
      <c r="P1723" s="4"/>
      <c r="Q1723" s="3"/>
      <c r="R1723" s="3"/>
      <c r="S1723" s="3"/>
      <c r="T1723" s="3"/>
    </row>
    <row r="1724" spans="1:20">
      <c r="A1724" s="3">
        <v>4</v>
      </c>
      <c r="B1724" s="3">
        <v>2</v>
      </c>
      <c r="C1724" s="2">
        <v>50</v>
      </c>
      <c r="D1724" s="2">
        <v>5</v>
      </c>
      <c r="E1724" s="2">
        <v>16</v>
      </c>
      <c r="F1724" s="17">
        <v>102</v>
      </c>
      <c r="H1724" s="360">
        <v>0.72592496954563157</v>
      </c>
      <c r="I1724" s="360">
        <v>-0.14068344006303896</v>
      </c>
      <c r="K1724" s="363"/>
      <c r="N1724" s="10"/>
      <c r="O1724" s="4"/>
      <c r="P1724" s="4"/>
      <c r="Q1724" s="3"/>
      <c r="R1724" s="3"/>
      <c r="S1724" s="3"/>
      <c r="T1724" s="3"/>
    </row>
    <row r="1725" spans="1:20">
      <c r="A1725" s="3">
        <v>5</v>
      </c>
      <c r="B1725" s="3">
        <v>2</v>
      </c>
      <c r="C1725" s="2">
        <v>50</v>
      </c>
      <c r="D1725" s="2">
        <v>5</v>
      </c>
      <c r="E1725" s="2">
        <v>16</v>
      </c>
      <c r="F1725" s="17">
        <v>102</v>
      </c>
      <c r="H1725" s="360">
        <v>1</v>
      </c>
      <c r="I1725" s="360">
        <v>-0.59129809347359119</v>
      </c>
      <c r="K1725" s="363"/>
      <c r="N1725" s="10"/>
      <c r="O1725" s="4"/>
      <c r="P1725" s="4"/>
      <c r="Q1725" s="3"/>
      <c r="R1725" s="3"/>
      <c r="S1725" s="3"/>
      <c r="T1725" s="3"/>
    </row>
    <row r="1726" spans="1:20">
      <c r="A1726" s="3">
        <v>2</v>
      </c>
      <c r="B1726" s="3">
        <v>1</v>
      </c>
      <c r="C1726" s="2">
        <v>25</v>
      </c>
      <c r="D1726" s="2">
        <v>5</v>
      </c>
      <c r="E1726" s="2">
        <v>16</v>
      </c>
      <c r="F1726" s="17">
        <v>102</v>
      </c>
      <c r="H1726" s="360">
        <v>1</v>
      </c>
      <c r="I1726" s="360">
        <v>-0.61443127862655156</v>
      </c>
      <c r="K1726" s="363"/>
      <c r="N1726" s="10"/>
      <c r="O1726" s="4"/>
      <c r="P1726" s="4"/>
      <c r="Q1726" s="3"/>
      <c r="R1726" s="3"/>
      <c r="S1726" s="3"/>
      <c r="T1726" s="3"/>
    </row>
    <row r="1727" spans="1:20">
      <c r="A1727" s="3">
        <v>2</v>
      </c>
      <c r="B1727" s="3">
        <v>1</v>
      </c>
      <c r="C1727" s="2">
        <v>25</v>
      </c>
      <c r="D1727" s="2">
        <v>5</v>
      </c>
      <c r="E1727" s="2">
        <v>1</v>
      </c>
      <c r="F1727" s="17">
        <v>102</v>
      </c>
      <c r="H1727" s="360">
        <v>1</v>
      </c>
      <c r="I1727" s="360">
        <v>-0.66105226642177228</v>
      </c>
      <c r="K1727" s="363"/>
      <c r="N1727" s="10"/>
      <c r="O1727" s="4"/>
      <c r="P1727" s="4"/>
      <c r="Q1727" s="3"/>
      <c r="R1727" s="3"/>
      <c r="S1727" s="3"/>
      <c r="T1727" s="3"/>
    </row>
    <row r="1728" spans="1:20">
      <c r="A1728" s="3">
        <v>5</v>
      </c>
      <c r="B1728" s="3">
        <v>2</v>
      </c>
      <c r="C1728" s="2">
        <v>25</v>
      </c>
      <c r="D1728" s="2">
        <v>5</v>
      </c>
      <c r="E1728" s="2">
        <v>16</v>
      </c>
      <c r="F1728" s="17">
        <v>102</v>
      </c>
      <c r="H1728" s="360">
        <v>1</v>
      </c>
      <c r="I1728" s="360">
        <v>-0.6696250752529288</v>
      </c>
      <c r="K1728" s="363"/>
      <c r="N1728" s="10"/>
      <c r="O1728" s="4"/>
      <c r="P1728" s="4"/>
      <c r="Q1728" s="3"/>
      <c r="R1728" s="3"/>
      <c r="S1728" s="3"/>
      <c r="T1728" s="3"/>
    </row>
    <row r="1729" spans="1:20">
      <c r="A1729" s="3">
        <v>3</v>
      </c>
      <c r="B1729" s="3">
        <v>1</v>
      </c>
      <c r="C1729" s="2">
        <v>25</v>
      </c>
      <c r="D1729" s="2">
        <v>5</v>
      </c>
      <c r="E1729" s="2">
        <v>1</v>
      </c>
      <c r="F1729" s="17">
        <v>102</v>
      </c>
      <c r="H1729" s="360">
        <v>0.96737152217013533</v>
      </c>
      <c r="I1729" s="360">
        <v>-0.72773043067267951</v>
      </c>
      <c r="K1729" s="363"/>
      <c r="N1729" s="10"/>
      <c r="O1729" s="4"/>
      <c r="P1729" s="4"/>
      <c r="Q1729" s="3"/>
      <c r="R1729" s="3"/>
      <c r="S1729" s="3"/>
      <c r="T1729" s="3"/>
    </row>
    <row r="1730" spans="1:20">
      <c r="A1730" s="3">
        <v>1</v>
      </c>
      <c r="B1730" s="3">
        <v>2</v>
      </c>
      <c r="C1730" s="2">
        <v>25</v>
      </c>
      <c r="D1730" s="2">
        <v>30</v>
      </c>
      <c r="E1730" s="2">
        <v>16</v>
      </c>
      <c r="F1730" s="17">
        <v>102</v>
      </c>
      <c r="H1730" s="360">
        <v>1</v>
      </c>
      <c r="I1730" s="360">
        <v>-0.75696691385231352</v>
      </c>
      <c r="K1730" s="363"/>
      <c r="N1730" s="10"/>
      <c r="O1730" s="4"/>
      <c r="P1730" s="4"/>
      <c r="Q1730" s="3"/>
      <c r="R1730" s="3"/>
      <c r="S1730" s="3"/>
      <c r="T1730" s="3"/>
    </row>
    <row r="1731" spans="1:20">
      <c r="A1731" s="3">
        <v>3</v>
      </c>
      <c r="B1731" s="3">
        <v>1</v>
      </c>
      <c r="C1731" s="2">
        <v>25</v>
      </c>
      <c r="D1731" s="2">
        <v>5</v>
      </c>
      <c r="E1731" s="2">
        <v>16</v>
      </c>
      <c r="F1731" s="17">
        <v>102</v>
      </c>
      <c r="H1731" s="360">
        <v>0.96299153355609091</v>
      </c>
      <c r="I1731" s="360">
        <v>-0.77480191328322612</v>
      </c>
      <c r="K1731" s="363"/>
      <c r="N1731" s="10"/>
      <c r="O1731" s="4"/>
      <c r="P1731" s="4"/>
      <c r="Q1731" s="3"/>
      <c r="R1731" s="3"/>
      <c r="S1731" s="3"/>
      <c r="T1731" s="3"/>
    </row>
    <row r="1732" spans="1:20">
      <c r="A1732" s="3">
        <v>1</v>
      </c>
      <c r="B1732" s="3">
        <v>2</v>
      </c>
      <c r="C1732" s="2">
        <v>25</v>
      </c>
      <c r="D1732" s="2">
        <v>5</v>
      </c>
      <c r="E1732" s="2">
        <v>1</v>
      </c>
      <c r="F1732" s="17">
        <v>102</v>
      </c>
      <c r="H1732" s="360">
        <v>0.34074030815032841</v>
      </c>
      <c r="I1732" s="360">
        <v>-0.83691190661344339</v>
      </c>
      <c r="K1732" s="363"/>
      <c r="N1732" s="10"/>
      <c r="O1732" s="4"/>
      <c r="P1732" s="4"/>
      <c r="Q1732" s="3"/>
      <c r="R1732" s="3"/>
      <c r="S1732" s="3"/>
      <c r="T1732" s="3"/>
    </row>
    <row r="1733" spans="1:20">
      <c r="A1733" s="3">
        <v>1</v>
      </c>
      <c r="B1733" s="3">
        <v>1</v>
      </c>
      <c r="C1733" s="2">
        <v>25</v>
      </c>
      <c r="D1733" s="2">
        <v>30</v>
      </c>
      <c r="E1733" s="2">
        <v>16</v>
      </c>
      <c r="F1733" s="17">
        <v>102</v>
      </c>
      <c r="H1733" s="360">
        <v>1</v>
      </c>
      <c r="I1733" s="360">
        <v>-0.85209929776228432</v>
      </c>
      <c r="K1733" s="363"/>
      <c r="N1733" s="10"/>
      <c r="O1733" s="4"/>
      <c r="P1733" s="4"/>
      <c r="Q1733" s="3"/>
      <c r="R1733" s="3"/>
      <c r="S1733" s="3"/>
      <c r="T1733" s="3"/>
    </row>
    <row r="1734" spans="1:20">
      <c r="A1734" s="3">
        <v>2</v>
      </c>
      <c r="B1734" s="3">
        <v>2</v>
      </c>
      <c r="C1734" s="2">
        <v>25</v>
      </c>
      <c r="D1734" s="2">
        <v>5</v>
      </c>
      <c r="E1734" s="2">
        <v>1</v>
      </c>
      <c r="F1734" s="17">
        <v>102</v>
      </c>
      <c r="H1734" s="360">
        <v>0.7459835223298581</v>
      </c>
      <c r="I1734" s="360">
        <v>-0.85502960814526119</v>
      </c>
      <c r="K1734" s="363"/>
      <c r="N1734" s="10"/>
      <c r="O1734" s="4"/>
      <c r="P1734" s="4"/>
      <c r="Q1734" s="3"/>
      <c r="R1734" s="3"/>
      <c r="S1734" s="3"/>
      <c r="T1734" s="3"/>
    </row>
    <row r="1735" spans="1:20">
      <c r="A1735" s="3">
        <v>2</v>
      </c>
      <c r="B1735" s="3">
        <v>2</v>
      </c>
      <c r="C1735" s="2">
        <v>25</v>
      </c>
      <c r="D1735" s="2">
        <v>5</v>
      </c>
      <c r="E1735" s="2">
        <v>16</v>
      </c>
      <c r="F1735" s="17">
        <v>102</v>
      </c>
      <c r="H1735" s="360">
        <v>1</v>
      </c>
      <c r="I1735" s="360">
        <v>-0.86635313155119198</v>
      </c>
      <c r="K1735" s="363"/>
      <c r="N1735" s="10"/>
      <c r="O1735" s="4"/>
      <c r="P1735" s="4"/>
      <c r="Q1735" s="3"/>
      <c r="R1735" s="3"/>
      <c r="S1735" s="3"/>
      <c r="T1735" s="3"/>
    </row>
    <row r="1736" spans="1:20">
      <c r="A1736" s="3">
        <v>1</v>
      </c>
      <c r="B1736" s="3">
        <v>1</v>
      </c>
      <c r="C1736" s="2">
        <v>25</v>
      </c>
      <c r="D1736" s="2">
        <v>5</v>
      </c>
      <c r="E1736" s="2">
        <v>16</v>
      </c>
      <c r="F1736" s="17">
        <v>102</v>
      </c>
      <c r="H1736" s="360">
        <v>1</v>
      </c>
      <c r="I1736" s="360">
        <v>-0.88701148556179676</v>
      </c>
      <c r="K1736" s="363"/>
      <c r="N1736" s="10"/>
      <c r="O1736" s="4"/>
      <c r="P1736" s="4"/>
      <c r="Q1736" s="3"/>
      <c r="R1736" s="3"/>
      <c r="S1736" s="3"/>
      <c r="T1736" s="3"/>
    </row>
    <row r="1737" spans="1:20">
      <c r="A1737" s="3">
        <v>3</v>
      </c>
      <c r="B1737" s="3">
        <v>2</v>
      </c>
      <c r="C1737" s="2">
        <v>25</v>
      </c>
      <c r="D1737" s="2">
        <v>5</v>
      </c>
      <c r="E1737" s="2">
        <v>1</v>
      </c>
      <c r="F1737" s="17">
        <v>102</v>
      </c>
      <c r="H1737" s="360">
        <v>0.99004441751983541</v>
      </c>
      <c r="I1737" s="360">
        <v>-0.91163432025517011</v>
      </c>
      <c r="K1737" s="363"/>
      <c r="N1737" s="10"/>
      <c r="O1737" s="4"/>
      <c r="P1737" s="4"/>
      <c r="Q1737" s="3"/>
      <c r="R1737" s="3"/>
      <c r="S1737" s="3"/>
      <c r="T1737" s="3"/>
    </row>
    <row r="1738" spans="1:20">
      <c r="A1738" s="3">
        <v>1</v>
      </c>
      <c r="B1738" s="3">
        <v>1</v>
      </c>
      <c r="C1738" s="2">
        <v>25</v>
      </c>
      <c r="D1738" s="2">
        <v>5</v>
      </c>
      <c r="E1738" s="2">
        <v>1</v>
      </c>
      <c r="F1738" s="17">
        <v>102</v>
      </c>
      <c r="H1738" s="360">
        <v>1</v>
      </c>
      <c r="I1738" s="360">
        <v>-0.91588026096586261</v>
      </c>
      <c r="K1738" s="363"/>
      <c r="N1738" s="10"/>
      <c r="O1738" s="4"/>
      <c r="P1738" s="4"/>
      <c r="Q1738" s="3"/>
      <c r="R1738" s="3"/>
      <c r="S1738" s="3"/>
      <c r="T1738" s="3"/>
    </row>
    <row r="1739" spans="1:20">
      <c r="A1739" s="3">
        <v>1</v>
      </c>
      <c r="B1739" s="3">
        <v>2</v>
      </c>
      <c r="C1739" s="2">
        <v>25</v>
      </c>
      <c r="D1739" s="2">
        <v>5</v>
      </c>
      <c r="E1739" s="2">
        <v>16</v>
      </c>
      <c r="F1739" s="17">
        <v>102</v>
      </c>
      <c r="H1739" s="360">
        <v>1</v>
      </c>
      <c r="I1739" s="360">
        <v>-0.92543434975093275</v>
      </c>
      <c r="K1739" s="363"/>
      <c r="N1739" s="10"/>
      <c r="O1739" s="4"/>
      <c r="P1739" s="4"/>
      <c r="Q1739" s="3"/>
      <c r="R1739" s="3"/>
      <c r="S1739" s="3"/>
      <c r="T1739" s="3"/>
    </row>
    <row r="1740" spans="1:20">
      <c r="A1740" s="3">
        <v>1</v>
      </c>
      <c r="B1740" s="3">
        <v>2</v>
      </c>
      <c r="C1740" s="2">
        <v>25</v>
      </c>
      <c r="D1740" s="2">
        <v>5</v>
      </c>
      <c r="E1740" s="2">
        <v>16</v>
      </c>
      <c r="F1740" s="17">
        <v>102</v>
      </c>
      <c r="H1740" s="360">
        <v>1</v>
      </c>
      <c r="I1740" s="360">
        <v>-0.93561148231763303</v>
      </c>
      <c r="K1740" s="363"/>
      <c r="N1740" s="10"/>
      <c r="O1740" s="4"/>
      <c r="P1740" s="4"/>
      <c r="Q1740" s="3"/>
      <c r="R1740" s="3"/>
      <c r="S1740" s="3"/>
      <c r="T1740" s="3"/>
    </row>
    <row r="1741" spans="1:20">
      <c r="A1741" s="3">
        <v>3</v>
      </c>
      <c r="B1741" s="3">
        <v>2</v>
      </c>
      <c r="C1741" s="2">
        <v>25</v>
      </c>
      <c r="D1741" s="2">
        <v>5</v>
      </c>
      <c r="E1741" s="2">
        <v>16</v>
      </c>
      <c r="F1741" s="17">
        <v>102</v>
      </c>
      <c r="H1741" s="360">
        <v>1</v>
      </c>
      <c r="I1741" s="360">
        <v>-0.94993725640625537</v>
      </c>
      <c r="K1741" s="363"/>
      <c r="N1741" s="10"/>
      <c r="O1741" s="4"/>
      <c r="P1741" s="4"/>
      <c r="Q1741" s="3"/>
      <c r="R1741" s="3"/>
      <c r="S1741" s="3"/>
      <c r="T1741" s="3"/>
    </row>
    <row r="1742" spans="1:20">
      <c r="A1742" s="3">
        <v>1</v>
      </c>
      <c r="B1742" s="3">
        <v>1</v>
      </c>
      <c r="C1742" s="2">
        <v>25</v>
      </c>
      <c r="D1742" s="2">
        <v>5</v>
      </c>
      <c r="E1742" s="2">
        <v>1</v>
      </c>
      <c r="F1742" s="17">
        <v>103</v>
      </c>
      <c r="H1742" s="360">
        <v>0.20428820709347062</v>
      </c>
      <c r="I1742" s="360">
        <v>0.3888539484635421</v>
      </c>
      <c r="K1742" s="363"/>
      <c r="N1742" s="10"/>
      <c r="O1742" s="4"/>
      <c r="P1742" s="4"/>
      <c r="Q1742" s="3"/>
      <c r="R1742" s="3"/>
      <c r="S1742" s="3"/>
      <c r="T1742" s="3"/>
    </row>
    <row r="1743" spans="1:20">
      <c r="A1743" s="3">
        <v>1</v>
      </c>
      <c r="B1743" s="3">
        <v>1</v>
      </c>
      <c r="C1743" s="2">
        <v>25</v>
      </c>
      <c r="D1743" s="2">
        <v>5</v>
      </c>
      <c r="E1743" s="2">
        <v>16</v>
      </c>
      <c r="F1743" s="17">
        <v>103</v>
      </c>
      <c r="H1743" s="360">
        <v>0.86586178486714738</v>
      </c>
      <c r="I1743" s="360">
        <v>0.26155909608977868</v>
      </c>
      <c r="K1743" s="363"/>
      <c r="N1743" s="10"/>
      <c r="O1743" s="4"/>
      <c r="P1743" s="4"/>
      <c r="Q1743" s="3"/>
      <c r="R1743" s="3"/>
      <c r="S1743" s="3"/>
      <c r="T1743" s="3"/>
    </row>
    <row r="1744" spans="1:20">
      <c r="A1744" s="3">
        <v>1</v>
      </c>
      <c r="B1744" s="3">
        <v>2</v>
      </c>
      <c r="C1744" s="2">
        <v>25</v>
      </c>
      <c r="D1744" s="2">
        <v>5</v>
      </c>
      <c r="E1744" s="2">
        <v>16</v>
      </c>
      <c r="F1744" s="17">
        <v>103</v>
      </c>
      <c r="H1744" s="360">
        <v>0.66444106558002614</v>
      </c>
      <c r="I1744" s="360">
        <v>0.22020191251552201</v>
      </c>
      <c r="K1744" s="363"/>
      <c r="N1744" s="10"/>
      <c r="O1744" s="4"/>
      <c r="P1744" s="4"/>
      <c r="Q1744" s="3"/>
      <c r="R1744" s="3"/>
      <c r="S1744" s="3"/>
      <c r="T1744" s="3"/>
    </row>
    <row r="1745" spans="1:20">
      <c r="A1745" s="3">
        <v>1</v>
      </c>
      <c r="B1745" s="3">
        <v>2</v>
      </c>
      <c r="C1745" s="2">
        <v>25</v>
      </c>
      <c r="D1745" s="2">
        <v>5</v>
      </c>
      <c r="E1745" s="2">
        <v>16</v>
      </c>
      <c r="F1745" s="17">
        <v>103</v>
      </c>
      <c r="H1745" s="360">
        <v>0.55247347356152021</v>
      </c>
      <c r="I1745" s="360">
        <v>0.17161707518641842</v>
      </c>
      <c r="K1745" s="363"/>
      <c r="N1745" s="10"/>
      <c r="O1745" s="4"/>
      <c r="P1745" s="4"/>
      <c r="Q1745" s="3"/>
      <c r="R1745" s="3"/>
      <c r="S1745" s="3"/>
      <c r="T1745" s="3"/>
    </row>
    <row r="1746" spans="1:20">
      <c r="A1746" s="3">
        <v>4</v>
      </c>
      <c r="B1746" s="3">
        <v>2</v>
      </c>
      <c r="C1746" s="2">
        <v>50</v>
      </c>
      <c r="D1746" s="2">
        <v>5</v>
      </c>
      <c r="E1746" s="2">
        <v>16</v>
      </c>
      <c r="F1746" s="17">
        <v>103</v>
      </c>
      <c r="H1746" s="360">
        <v>1</v>
      </c>
      <c r="I1746" s="360">
        <v>7.1165229470733601E-2</v>
      </c>
      <c r="K1746" s="363"/>
      <c r="N1746" s="10"/>
      <c r="O1746" s="4"/>
      <c r="P1746" s="4"/>
      <c r="Q1746" s="3"/>
      <c r="R1746" s="3"/>
      <c r="S1746" s="3"/>
      <c r="T1746" s="3"/>
    </row>
    <row r="1747" spans="1:20">
      <c r="A1747" s="3">
        <v>2</v>
      </c>
      <c r="B1747" s="3">
        <v>1</v>
      </c>
      <c r="C1747" s="2">
        <v>25</v>
      </c>
      <c r="D1747" s="2">
        <v>5</v>
      </c>
      <c r="E1747" s="2">
        <v>1</v>
      </c>
      <c r="F1747" s="17">
        <v>103</v>
      </c>
      <c r="H1747" s="360">
        <v>0.42036002850069465</v>
      </c>
      <c r="I1747" s="360">
        <v>3.9184972084745369E-2</v>
      </c>
      <c r="K1747" s="363"/>
      <c r="N1747" s="10"/>
      <c r="O1747" s="4"/>
      <c r="P1747" s="4"/>
      <c r="Q1747" s="3"/>
      <c r="R1747" s="3"/>
      <c r="S1747" s="3"/>
      <c r="T1747" s="3"/>
    </row>
    <row r="1748" spans="1:20">
      <c r="A1748" s="3">
        <v>1</v>
      </c>
      <c r="B1748" s="3">
        <v>2</v>
      </c>
      <c r="C1748" s="2">
        <v>25</v>
      </c>
      <c r="D1748" s="2">
        <v>30</v>
      </c>
      <c r="E1748" s="2">
        <v>16</v>
      </c>
      <c r="F1748" s="17">
        <v>103</v>
      </c>
      <c r="H1748" s="360">
        <v>0.55137419901469342</v>
      </c>
      <c r="I1748" s="360">
        <v>3.2494110859631123E-2</v>
      </c>
      <c r="K1748" s="363"/>
      <c r="N1748" s="10"/>
      <c r="O1748" s="4"/>
      <c r="P1748" s="4"/>
      <c r="Q1748" s="3"/>
      <c r="R1748" s="3"/>
      <c r="S1748" s="3"/>
      <c r="T1748" s="3"/>
    </row>
    <row r="1749" spans="1:20">
      <c r="A1749" s="3">
        <v>1</v>
      </c>
      <c r="B1749" s="3">
        <v>1</v>
      </c>
      <c r="C1749" s="2">
        <v>25</v>
      </c>
      <c r="D1749" s="2">
        <v>30</v>
      </c>
      <c r="E1749" s="2">
        <v>16</v>
      </c>
      <c r="F1749" s="17">
        <v>103</v>
      </c>
      <c r="H1749" s="360">
        <v>0.9692558972837465</v>
      </c>
      <c r="I1749" s="360">
        <v>7.688333911808151E-3</v>
      </c>
      <c r="K1749" s="363"/>
      <c r="N1749" s="10"/>
      <c r="O1749" s="4"/>
      <c r="P1749" s="4"/>
      <c r="Q1749" s="3"/>
      <c r="R1749" s="3"/>
      <c r="S1749" s="3"/>
      <c r="T1749" s="3"/>
    </row>
    <row r="1750" spans="1:20">
      <c r="A1750" s="3">
        <v>1</v>
      </c>
      <c r="B1750" s="3">
        <v>2</v>
      </c>
      <c r="C1750" s="2">
        <v>25</v>
      </c>
      <c r="D1750" s="2">
        <v>5</v>
      </c>
      <c r="E1750" s="2">
        <v>1</v>
      </c>
      <c r="F1750" s="17">
        <v>103</v>
      </c>
      <c r="H1750" s="360">
        <v>0</v>
      </c>
      <c r="I1750" s="360">
        <v>0</v>
      </c>
      <c r="K1750" s="363"/>
      <c r="N1750" s="10"/>
      <c r="O1750" s="4"/>
      <c r="P1750" s="4"/>
      <c r="Q1750" s="3"/>
      <c r="R1750" s="3"/>
      <c r="S1750" s="3"/>
      <c r="T1750" s="3"/>
    </row>
    <row r="1751" spans="1:20">
      <c r="A1751" s="3">
        <v>2</v>
      </c>
      <c r="B1751" s="3">
        <v>2</v>
      </c>
      <c r="C1751" s="2">
        <v>25</v>
      </c>
      <c r="D1751" s="2">
        <v>5</v>
      </c>
      <c r="E1751" s="2">
        <v>16</v>
      </c>
      <c r="F1751" s="17">
        <v>103</v>
      </c>
      <c r="H1751" s="360">
        <v>0.75475941283818659</v>
      </c>
      <c r="I1751" s="360">
        <v>-1.8734605240818242E-2</v>
      </c>
      <c r="K1751" s="363"/>
      <c r="N1751" s="10"/>
      <c r="O1751" s="4"/>
      <c r="P1751" s="4"/>
      <c r="Q1751" s="3"/>
      <c r="R1751" s="3"/>
      <c r="S1751" s="3"/>
      <c r="T1751" s="3"/>
    </row>
    <row r="1752" spans="1:20">
      <c r="A1752" s="3">
        <v>2</v>
      </c>
      <c r="B1752" s="3">
        <v>1</v>
      </c>
      <c r="C1752" s="2">
        <v>25</v>
      </c>
      <c r="D1752" s="2">
        <v>5</v>
      </c>
      <c r="E1752" s="2">
        <v>16</v>
      </c>
      <c r="F1752" s="17">
        <v>103</v>
      </c>
      <c r="H1752" s="360">
        <v>1</v>
      </c>
      <c r="I1752" s="360">
        <v>-2.783400724134024E-2</v>
      </c>
      <c r="K1752" s="363"/>
      <c r="N1752" s="10"/>
      <c r="O1752" s="4"/>
      <c r="P1752" s="4"/>
      <c r="Q1752" s="3"/>
      <c r="R1752" s="3"/>
      <c r="S1752" s="3"/>
      <c r="T1752" s="3"/>
    </row>
    <row r="1753" spans="1:20">
      <c r="A1753" s="3">
        <v>2</v>
      </c>
      <c r="B1753" s="3">
        <v>2</v>
      </c>
      <c r="C1753" s="2">
        <v>25</v>
      </c>
      <c r="D1753" s="2">
        <v>5</v>
      </c>
      <c r="E1753" s="2">
        <v>1</v>
      </c>
      <c r="F1753" s="17">
        <v>103</v>
      </c>
      <c r="H1753" s="360">
        <v>0.25606946861083668</v>
      </c>
      <c r="I1753" s="360">
        <v>-4.9607789874869516E-2</v>
      </c>
      <c r="K1753" s="363"/>
      <c r="N1753" s="10"/>
      <c r="O1753" s="4"/>
      <c r="P1753" s="4"/>
      <c r="Q1753" s="3"/>
      <c r="R1753" s="3"/>
      <c r="S1753" s="3"/>
      <c r="T1753" s="3"/>
    </row>
    <row r="1754" spans="1:20">
      <c r="A1754" s="3">
        <v>3</v>
      </c>
      <c r="B1754" s="3">
        <v>2</v>
      </c>
      <c r="C1754" s="2">
        <v>25</v>
      </c>
      <c r="D1754" s="2">
        <v>5</v>
      </c>
      <c r="E1754" s="2">
        <v>16</v>
      </c>
      <c r="F1754" s="17">
        <v>103</v>
      </c>
      <c r="H1754" s="360">
        <v>0.9914981835474671</v>
      </c>
      <c r="I1754" s="360">
        <v>-0.24127130952670742</v>
      </c>
      <c r="K1754" s="363"/>
      <c r="N1754" s="10"/>
      <c r="O1754" s="4"/>
      <c r="P1754" s="4"/>
      <c r="Q1754" s="3"/>
      <c r="R1754" s="3"/>
      <c r="S1754" s="3"/>
      <c r="T1754" s="3"/>
    </row>
    <row r="1755" spans="1:20">
      <c r="A1755" s="3">
        <v>3</v>
      </c>
      <c r="B1755" s="3">
        <v>2</v>
      </c>
      <c r="C1755" s="2">
        <v>25</v>
      </c>
      <c r="D1755" s="2">
        <v>5</v>
      </c>
      <c r="E1755" s="2">
        <v>1</v>
      </c>
      <c r="F1755" s="17">
        <v>103</v>
      </c>
      <c r="H1755" s="360">
        <v>0.27815064901078057</v>
      </c>
      <c r="I1755" s="360">
        <v>-0.27294155770652118</v>
      </c>
      <c r="K1755" s="363"/>
      <c r="N1755" s="10"/>
      <c r="O1755" s="4"/>
      <c r="P1755" s="4"/>
      <c r="Q1755" s="3"/>
      <c r="R1755" s="3"/>
      <c r="S1755" s="3"/>
      <c r="T1755" s="3"/>
    </row>
    <row r="1756" spans="1:20">
      <c r="A1756" s="3">
        <v>3</v>
      </c>
      <c r="B1756" s="3">
        <v>1</v>
      </c>
      <c r="C1756" s="2">
        <v>25</v>
      </c>
      <c r="D1756" s="2">
        <v>5</v>
      </c>
      <c r="E1756" s="2">
        <v>1</v>
      </c>
      <c r="F1756" s="17">
        <v>103</v>
      </c>
      <c r="H1756" s="360">
        <v>4.2164122560153894E-2</v>
      </c>
      <c r="I1756" s="360">
        <v>-0.35304364934601817</v>
      </c>
      <c r="K1756" s="363"/>
      <c r="N1756" s="10"/>
      <c r="O1756" s="4"/>
      <c r="P1756" s="4"/>
      <c r="Q1756" s="3"/>
      <c r="R1756" s="3"/>
      <c r="S1756" s="3"/>
      <c r="T1756" s="3"/>
    </row>
    <row r="1757" spans="1:20">
      <c r="A1757" s="3">
        <v>3</v>
      </c>
      <c r="B1757" s="3">
        <v>1</v>
      </c>
      <c r="C1757" s="2">
        <v>25</v>
      </c>
      <c r="D1757" s="2">
        <v>5</v>
      </c>
      <c r="E1757" s="2">
        <v>16</v>
      </c>
      <c r="F1757" s="17">
        <v>103</v>
      </c>
      <c r="H1757" s="360">
        <v>0.23464008365901434</v>
      </c>
      <c r="I1757" s="360">
        <v>-0.4001062745165806</v>
      </c>
      <c r="K1757" s="363"/>
      <c r="N1757" s="10"/>
      <c r="O1757" s="4"/>
      <c r="P1757" s="4"/>
      <c r="Q1757" s="3"/>
      <c r="R1757" s="3"/>
      <c r="S1757" s="3"/>
      <c r="T1757" s="3"/>
    </row>
    <row r="1758" spans="1:20">
      <c r="A1758" s="3">
        <v>5</v>
      </c>
      <c r="B1758" s="3">
        <v>2</v>
      </c>
      <c r="C1758" s="2">
        <v>50</v>
      </c>
      <c r="D1758" s="2">
        <v>5</v>
      </c>
      <c r="E1758" s="2">
        <v>16</v>
      </c>
      <c r="F1758" s="17">
        <v>103</v>
      </c>
      <c r="H1758" s="360">
        <v>1</v>
      </c>
      <c r="I1758" s="360">
        <v>-0.76558239529019401</v>
      </c>
      <c r="K1758" s="363"/>
      <c r="N1758" s="10"/>
      <c r="O1758" s="4"/>
      <c r="P1758" s="4"/>
      <c r="Q1758" s="3"/>
      <c r="R1758" s="3"/>
      <c r="S1758" s="3"/>
      <c r="T1758" s="3"/>
    </row>
    <row r="1759" spans="1:20">
      <c r="A1759" s="3">
        <v>5</v>
      </c>
      <c r="B1759" s="3">
        <v>2</v>
      </c>
      <c r="C1759" s="2">
        <v>25</v>
      </c>
      <c r="D1759" s="2">
        <v>5</v>
      </c>
      <c r="E1759" s="2">
        <v>16</v>
      </c>
      <c r="F1759" s="17">
        <v>103</v>
      </c>
      <c r="H1759" s="360">
        <v>1</v>
      </c>
      <c r="I1759" s="360">
        <v>-0.7924857976317522</v>
      </c>
      <c r="K1759" s="363"/>
      <c r="N1759" s="10"/>
      <c r="O1759" s="4"/>
      <c r="P1759" s="4"/>
      <c r="Q1759" s="3"/>
      <c r="R1759" s="3"/>
      <c r="S1759" s="3"/>
      <c r="T1759" s="3"/>
    </row>
    <row r="1760" spans="1:20">
      <c r="A1760" s="3">
        <v>4</v>
      </c>
      <c r="B1760" s="3">
        <v>2</v>
      </c>
      <c r="C1760" s="2">
        <v>50</v>
      </c>
      <c r="D1760" s="2">
        <v>5</v>
      </c>
      <c r="E1760" s="2">
        <v>16</v>
      </c>
      <c r="F1760" s="17">
        <v>104</v>
      </c>
      <c r="H1760" s="360">
        <v>0.39978310567874453</v>
      </c>
      <c r="I1760" s="360">
        <v>0.23066508715518699</v>
      </c>
      <c r="K1760" s="363"/>
      <c r="N1760" s="10"/>
      <c r="O1760" s="4"/>
      <c r="P1760" s="4"/>
      <c r="Q1760" s="3"/>
      <c r="R1760" s="3"/>
      <c r="S1760" s="3"/>
      <c r="T1760" s="3"/>
    </row>
    <row r="1761" spans="1:20">
      <c r="A1761" s="3">
        <v>5</v>
      </c>
      <c r="B1761" s="3">
        <v>2</v>
      </c>
      <c r="C1761" s="2">
        <v>50</v>
      </c>
      <c r="D1761" s="2">
        <v>5</v>
      </c>
      <c r="E1761" s="2">
        <v>16</v>
      </c>
      <c r="F1761" s="17">
        <v>104</v>
      </c>
      <c r="H1761" s="360">
        <v>0.47311461827419832</v>
      </c>
      <c r="I1761" s="360">
        <v>-0.24467454854397078</v>
      </c>
      <c r="K1761" s="363"/>
      <c r="N1761" s="10"/>
      <c r="O1761" s="4"/>
      <c r="P1761" s="4"/>
      <c r="Q1761" s="3"/>
      <c r="R1761" s="3"/>
      <c r="S1761" s="3"/>
      <c r="T1761" s="3"/>
    </row>
    <row r="1762" spans="1:20">
      <c r="A1762" s="3">
        <v>5</v>
      </c>
      <c r="B1762" s="3">
        <v>2</v>
      </c>
      <c r="C1762" s="2">
        <v>25</v>
      </c>
      <c r="D1762" s="2">
        <v>5</v>
      </c>
      <c r="E1762" s="2">
        <v>16</v>
      </c>
      <c r="F1762" s="17">
        <v>104</v>
      </c>
      <c r="H1762" s="360">
        <v>7.9036637257149156E-2</v>
      </c>
      <c r="I1762" s="360">
        <v>-0.26926675500877079</v>
      </c>
      <c r="K1762" s="363"/>
      <c r="N1762" s="10"/>
      <c r="O1762" s="4"/>
      <c r="P1762" s="4"/>
      <c r="Q1762" s="3"/>
      <c r="R1762" s="3"/>
      <c r="S1762" s="3"/>
      <c r="T1762" s="3"/>
    </row>
    <row r="1763" spans="1:20">
      <c r="A1763" s="3">
        <v>3</v>
      </c>
      <c r="B1763" s="3">
        <v>2</v>
      </c>
      <c r="C1763" s="2">
        <v>25</v>
      </c>
      <c r="D1763" s="2">
        <v>5</v>
      </c>
      <c r="E1763" s="2">
        <v>1</v>
      </c>
      <c r="F1763" s="17">
        <v>104</v>
      </c>
      <c r="H1763" s="360">
        <v>0.96917401183267937</v>
      </c>
      <c r="I1763" s="360">
        <v>-0.45279884321090674</v>
      </c>
      <c r="K1763" s="363"/>
      <c r="N1763" s="10"/>
      <c r="O1763" s="4"/>
      <c r="P1763" s="4"/>
      <c r="Q1763" s="3"/>
      <c r="R1763" s="3"/>
      <c r="S1763" s="3"/>
      <c r="T1763" s="3"/>
    </row>
    <row r="1764" spans="1:20">
      <c r="A1764" s="3">
        <v>3</v>
      </c>
      <c r="B1764" s="3">
        <v>2</v>
      </c>
      <c r="C1764" s="2">
        <v>25</v>
      </c>
      <c r="D1764" s="2">
        <v>5</v>
      </c>
      <c r="E1764" s="2">
        <v>16</v>
      </c>
      <c r="F1764" s="17">
        <v>104</v>
      </c>
      <c r="H1764" s="360">
        <v>1</v>
      </c>
      <c r="I1764" s="360">
        <v>-0.51441355534365141</v>
      </c>
      <c r="K1764" s="363"/>
      <c r="N1764" s="10"/>
      <c r="O1764" s="4"/>
      <c r="P1764" s="4"/>
      <c r="Q1764" s="3"/>
      <c r="R1764" s="3"/>
      <c r="S1764" s="3"/>
      <c r="T1764" s="3"/>
    </row>
    <row r="1765" spans="1:20">
      <c r="A1765" s="3">
        <v>1</v>
      </c>
      <c r="B1765" s="3">
        <v>2</v>
      </c>
      <c r="C1765" s="2">
        <v>25</v>
      </c>
      <c r="D1765" s="2">
        <v>30</v>
      </c>
      <c r="E1765" s="2">
        <v>16</v>
      </c>
      <c r="F1765" s="17">
        <v>104</v>
      </c>
      <c r="H1765" s="360">
        <v>1</v>
      </c>
      <c r="I1765" s="360">
        <v>-0.5501212107949186</v>
      </c>
      <c r="K1765" s="363"/>
      <c r="N1765" s="10"/>
      <c r="O1765" s="4"/>
      <c r="P1765" s="4"/>
      <c r="Q1765" s="3"/>
      <c r="R1765" s="3"/>
      <c r="S1765" s="3"/>
      <c r="T1765" s="3"/>
    </row>
    <row r="1766" spans="1:20">
      <c r="A1766" s="3">
        <v>1</v>
      </c>
      <c r="B1766" s="3">
        <v>2</v>
      </c>
      <c r="C1766" s="2">
        <v>25</v>
      </c>
      <c r="D1766" s="2">
        <v>5</v>
      </c>
      <c r="E1766" s="2">
        <v>16</v>
      </c>
      <c r="F1766" s="17">
        <v>104</v>
      </c>
      <c r="H1766" s="360">
        <v>1</v>
      </c>
      <c r="I1766" s="360">
        <v>-0.59778660183627286</v>
      </c>
      <c r="K1766" s="363"/>
      <c r="N1766" s="10"/>
      <c r="O1766" s="4"/>
      <c r="P1766" s="4"/>
      <c r="Q1766" s="3"/>
      <c r="R1766" s="3"/>
      <c r="S1766" s="3"/>
      <c r="T1766" s="3"/>
    </row>
    <row r="1767" spans="1:20">
      <c r="A1767" s="3">
        <v>1</v>
      </c>
      <c r="B1767" s="3">
        <v>2</v>
      </c>
      <c r="C1767" s="2">
        <v>25</v>
      </c>
      <c r="D1767" s="2">
        <v>5</v>
      </c>
      <c r="E1767" s="2">
        <v>16</v>
      </c>
      <c r="F1767" s="17">
        <v>104</v>
      </c>
      <c r="H1767" s="360">
        <v>1</v>
      </c>
      <c r="I1767" s="360">
        <v>-0.65004097601016775</v>
      </c>
      <c r="K1767" s="363"/>
      <c r="N1767" s="10"/>
      <c r="O1767" s="4"/>
      <c r="P1767" s="4"/>
      <c r="Q1767" s="3"/>
      <c r="R1767" s="3"/>
      <c r="S1767" s="3"/>
      <c r="T1767" s="3"/>
    </row>
    <row r="1768" spans="1:20">
      <c r="A1768" s="3">
        <v>1</v>
      </c>
      <c r="B1768" s="3">
        <v>2</v>
      </c>
      <c r="C1768" s="2">
        <v>25</v>
      </c>
      <c r="D1768" s="2">
        <v>5</v>
      </c>
      <c r="E1768" s="2">
        <v>1</v>
      </c>
      <c r="F1768" s="17">
        <v>104</v>
      </c>
      <c r="H1768" s="360">
        <v>0.18527462628337765</v>
      </c>
      <c r="I1768" s="360">
        <v>-0.81671585480877473</v>
      </c>
      <c r="K1768" s="363"/>
      <c r="N1768" s="10"/>
      <c r="O1768" s="4"/>
      <c r="P1768" s="4"/>
      <c r="Q1768" s="3"/>
      <c r="R1768" s="3"/>
      <c r="S1768" s="3"/>
      <c r="T1768" s="3"/>
    </row>
    <row r="1769" spans="1:20">
      <c r="A1769" s="3">
        <v>2</v>
      </c>
      <c r="B1769" s="3">
        <v>2</v>
      </c>
      <c r="C1769" s="2">
        <v>25</v>
      </c>
      <c r="D1769" s="2">
        <v>5</v>
      </c>
      <c r="E1769" s="2">
        <v>1</v>
      </c>
      <c r="F1769" s="17">
        <v>104</v>
      </c>
      <c r="H1769" s="360">
        <v>0.99623641180520006</v>
      </c>
      <c r="I1769" s="360">
        <v>-0.9337951616342155</v>
      </c>
      <c r="K1769" s="363"/>
      <c r="N1769" s="10"/>
      <c r="O1769" s="4"/>
      <c r="P1769" s="4"/>
      <c r="Q1769" s="3"/>
      <c r="R1769" s="3"/>
      <c r="S1769" s="3"/>
      <c r="T1769" s="3"/>
    </row>
    <row r="1770" spans="1:20">
      <c r="A1770" s="3">
        <v>2</v>
      </c>
      <c r="B1770" s="3">
        <v>2</v>
      </c>
      <c r="C1770" s="2">
        <v>25</v>
      </c>
      <c r="D1770" s="2">
        <v>5</v>
      </c>
      <c r="E1770" s="2">
        <v>16</v>
      </c>
      <c r="F1770" s="17">
        <v>104</v>
      </c>
      <c r="H1770" s="360">
        <v>1</v>
      </c>
      <c r="I1770" s="360">
        <v>-0.93793835734374098</v>
      </c>
      <c r="K1770" s="363"/>
      <c r="N1770" s="10"/>
      <c r="O1770" s="4"/>
      <c r="P1770" s="4"/>
      <c r="Q1770" s="3"/>
      <c r="R1770" s="3"/>
      <c r="S1770" s="3"/>
      <c r="T1770" s="3"/>
    </row>
    <row r="1771" spans="1:20">
      <c r="A1771" s="3">
        <v>3</v>
      </c>
      <c r="B1771" s="3">
        <v>1</v>
      </c>
      <c r="C1771" s="2">
        <v>25</v>
      </c>
      <c r="D1771" s="2">
        <v>5</v>
      </c>
      <c r="E1771" s="2">
        <v>1</v>
      </c>
      <c r="F1771" s="17">
        <v>104</v>
      </c>
      <c r="H1771" s="360">
        <v>0.98109139065793693</v>
      </c>
      <c r="I1771" s="360">
        <v>-0.94557812733745017</v>
      </c>
      <c r="K1771" s="363"/>
      <c r="N1771" s="10"/>
      <c r="O1771" s="4"/>
      <c r="P1771" s="4"/>
      <c r="Q1771" s="3"/>
      <c r="R1771" s="3"/>
      <c r="S1771" s="3"/>
      <c r="T1771" s="3"/>
    </row>
    <row r="1772" spans="1:20">
      <c r="A1772" s="3">
        <v>1</v>
      </c>
      <c r="B1772" s="3">
        <v>1</v>
      </c>
      <c r="C1772" s="2">
        <v>25</v>
      </c>
      <c r="D1772" s="2">
        <v>5</v>
      </c>
      <c r="E1772" s="2">
        <v>1</v>
      </c>
      <c r="F1772" s="17">
        <v>104</v>
      </c>
      <c r="H1772" s="360">
        <v>1</v>
      </c>
      <c r="I1772" s="360">
        <v>-0.94893996011494497</v>
      </c>
      <c r="K1772" s="363"/>
      <c r="N1772" s="10"/>
      <c r="O1772" s="4"/>
      <c r="P1772" s="4"/>
      <c r="Q1772" s="3"/>
      <c r="R1772" s="3"/>
      <c r="S1772" s="3"/>
      <c r="T1772" s="3"/>
    </row>
    <row r="1773" spans="1:20">
      <c r="A1773" s="3">
        <v>1</v>
      </c>
      <c r="B1773" s="3">
        <v>1</v>
      </c>
      <c r="C1773" s="2">
        <v>25</v>
      </c>
      <c r="D1773" s="2">
        <v>5</v>
      </c>
      <c r="E1773" s="2">
        <v>16</v>
      </c>
      <c r="F1773" s="17">
        <v>104</v>
      </c>
      <c r="H1773" s="360">
        <v>1</v>
      </c>
      <c r="I1773" s="360">
        <v>-0.95024711560175845</v>
      </c>
      <c r="K1773" s="363"/>
      <c r="N1773" s="10"/>
      <c r="O1773" s="4"/>
      <c r="P1773" s="4"/>
      <c r="Q1773" s="3"/>
      <c r="R1773" s="3"/>
      <c r="S1773" s="3"/>
      <c r="T1773" s="3"/>
    </row>
    <row r="1774" spans="1:20">
      <c r="A1774" s="3">
        <v>1</v>
      </c>
      <c r="B1774" s="3">
        <v>1</v>
      </c>
      <c r="C1774" s="2">
        <v>25</v>
      </c>
      <c r="D1774" s="2">
        <v>30</v>
      </c>
      <c r="E1774" s="2">
        <v>16</v>
      </c>
      <c r="F1774" s="17">
        <v>104</v>
      </c>
      <c r="H1774" s="360">
        <v>0.9965818557096584</v>
      </c>
      <c r="I1774" s="360">
        <v>-0.95093965771594624</v>
      </c>
      <c r="K1774" s="363"/>
      <c r="N1774" s="10"/>
      <c r="O1774" s="4"/>
      <c r="P1774" s="4"/>
      <c r="Q1774" s="3"/>
      <c r="R1774" s="3"/>
      <c r="S1774" s="3"/>
      <c r="T1774" s="3"/>
    </row>
    <row r="1775" spans="1:20">
      <c r="A1775" s="3">
        <v>3</v>
      </c>
      <c r="B1775" s="3">
        <v>1</v>
      </c>
      <c r="C1775" s="2">
        <v>25</v>
      </c>
      <c r="D1775" s="2">
        <v>5</v>
      </c>
      <c r="E1775" s="2">
        <v>16</v>
      </c>
      <c r="F1775" s="17">
        <v>104</v>
      </c>
      <c r="H1775" s="360">
        <v>0.98082411548839543</v>
      </c>
      <c r="I1775" s="360">
        <v>-0.95255296858602234</v>
      </c>
      <c r="K1775" s="363"/>
      <c r="N1775" s="10"/>
      <c r="O1775" s="4"/>
      <c r="P1775" s="4"/>
      <c r="Q1775" s="3"/>
      <c r="R1775" s="3"/>
      <c r="S1775" s="3"/>
      <c r="T1775" s="3"/>
    </row>
    <row r="1776" spans="1:20">
      <c r="A1776" s="3">
        <v>2</v>
      </c>
      <c r="B1776" s="3">
        <v>1</v>
      </c>
      <c r="C1776" s="2">
        <v>25</v>
      </c>
      <c r="D1776" s="2">
        <v>5</v>
      </c>
      <c r="E1776" s="2">
        <v>1</v>
      </c>
      <c r="F1776" s="17">
        <v>104</v>
      </c>
      <c r="H1776" s="360">
        <v>1</v>
      </c>
      <c r="I1776" s="360">
        <v>-0.95849452411733338</v>
      </c>
      <c r="K1776" s="363"/>
      <c r="N1776" s="10"/>
      <c r="O1776" s="4"/>
      <c r="P1776" s="4"/>
      <c r="Q1776" s="3"/>
      <c r="R1776" s="3"/>
      <c r="S1776" s="3"/>
      <c r="T1776" s="3"/>
    </row>
    <row r="1777" spans="1:20">
      <c r="A1777" s="3">
        <v>2</v>
      </c>
      <c r="B1777" s="3">
        <v>1</v>
      </c>
      <c r="C1777" s="2">
        <v>25</v>
      </c>
      <c r="D1777" s="2">
        <v>5</v>
      </c>
      <c r="E1777" s="2">
        <v>16</v>
      </c>
      <c r="F1777" s="17">
        <v>104</v>
      </c>
      <c r="H1777" s="360">
        <v>1</v>
      </c>
      <c r="I1777" s="360">
        <v>-0.97947198096754484</v>
      </c>
      <c r="K1777" s="363"/>
      <c r="N1777" s="10"/>
      <c r="O1777" s="4"/>
      <c r="P1777" s="4"/>
      <c r="Q1777" s="3"/>
      <c r="R1777" s="3"/>
      <c r="S1777" s="3"/>
      <c r="T1777" s="3"/>
    </row>
    <row r="1778" spans="1:20">
      <c r="A1778" s="3">
        <v>4</v>
      </c>
      <c r="B1778" s="3">
        <v>2</v>
      </c>
      <c r="C1778" s="2">
        <v>50</v>
      </c>
      <c r="D1778" s="2">
        <v>5</v>
      </c>
      <c r="E1778" s="2">
        <v>16</v>
      </c>
      <c r="F1778" s="17">
        <v>105</v>
      </c>
      <c r="H1778" s="360">
        <v>0.62959400642454122</v>
      </c>
      <c r="I1778" s="360">
        <v>0.27971058096614881</v>
      </c>
      <c r="K1778" s="363"/>
      <c r="N1778" s="10"/>
      <c r="O1778" s="4"/>
      <c r="P1778" s="4"/>
      <c r="Q1778" s="3"/>
      <c r="R1778" s="3"/>
      <c r="S1778" s="3"/>
      <c r="T1778" s="3"/>
    </row>
    <row r="1779" spans="1:20">
      <c r="A1779" s="3">
        <v>5</v>
      </c>
      <c r="B1779" s="3">
        <v>2</v>
      </c>
      <c r="C1779" s="2">
        <v>50</v>
      </c>
      <c r="D1779" s="2">
        <v>5</v>
      </c>
      <c r="E1779" s="2">
        <v>16</v>
      </c>
      <c r="F1779" s="17">
        <v>105</v>
      </c>
      <c r="H1779" s="360">
        <v>0.56071685382261416</v>
      </c>
      <c r="I1779" s="360">
        <v>0.11678551696215886</v>
      </c>
      <c r="K1779" s="363"/>
      <c r="N1779" s="10"/>
      <c r="O1779" s="4"/>
      <c r="P1779" s="4"/>
      <c r="Q1779" s="3"/>
      <c r="R1779" s="3"/>
      <c r="S1779" s="3"/>
      <c r="T1779" s="3"/>
    </row>
    <row r="1780" spans="1:20">
      <c r="A1780" s="3">
        <v>5</v>
      </c>
      <c r="B1780" s="3">
        <v>2</v>
      </c>
      <c r="C1780" s="2">
        <v>25</v>
      </c>
      <c r="D1780" s="2">
        <v>5</v>
      </c>
      <c r="E1780" s="2">
        <v>16</v>
      </c>
      <c r="F1780" s="17">
        <v>105</v>
      </c>
      <c r="H1780" s="360">
        <v>5.5572924656283718E-2</v>
      </c>
      <c r="I1780" s="360">
        <v>7.087359930963924E-2</v>
      </c>
      <c r="K1780" s="363"/>
      <c r="N1780" s="10"/>
      <c r="O1780" s="4"/>
      <c r="P1780" s="4"/>
      <c r="Q1780" s="3"/>
      <c r="R1780" s="3"/>
      <c r="S1780" s="3"/>
      <c r="T1780" s="3"/>
    </row>
    <row r="1781" spans="1:20">
      <c r="A1781" s="3">
        <v>1</v>
      </c>
      <c r="B1781" s="3">
        <v>2</v>
      </c>
      <c r="C1781" s="2">
        <v>25</v>
      </c>
      <c r="D1781" s="2">
        <v>5</v>
      </c>
      <c r="E1781" s="2">
        <v>1</v>
      </c>
      <c r="F1781" s="17">
        <v>105</v>
      </c>
      <c r="H1781" s="360">
        <v>0</v>
      </c>
      <c r="I1781" s="360">
        <v>0</v>
      </c>
      <c r="K1781" s="363"/>
      <c r="N1781" s="10"/>
      <c r="O1781" s="4"/>
      <c r="P1781" s="4"/>
      <c r="Q1781" s="3"/>
      <c r="R1781" s="3"/>
      <c r="S1781" s="3"/>
      <c r="T1781" s="3"/>
    </row>
    <row r="1782" spans="1:20">
      <c r="A1782" s="3">
        <v>3</v>
      </c>
      <c r="B1782" s="3">
        <v>2</v>
      </c>
      <c r="C1782" s="2">
        <v>25</v>
      </c>
      <c r="D1782" s="2">
        <v>5</v>
      </c>
      <c r="E1782" s="2">
        <v>1</v>
      </c>
      <c r="F1782" s="17">
        <v>105</v>
      </c>
      <c r="H1782" s="360">
        <v>0.18109172523022099</v>
      </c>
      <c r="I1782" s="360">
        <v>-0.20437151905898229</v>
      </c>
      <c r="K1782" s="363"/>
      <c r="N1782" s="10"/>
      <c r="O1782" s="4"/>
      <c r="P1782" s="4"/>
      <c r="Q1782" s="3"/>
      <c r="R1782" s="3"/>
      <c r="S1782" s="3"/>
      <c r="T1782" s="3"/>
    </row>
    <row r="1783" spans="1:20">
      <c r="A1783" s="3">
        <v>1</v>
      </c>
      <c r="B1783" s="3">
        <v>2</v>
      </c>
      <c r="C1783" s="2">
        <v>25</v>
      </c>
      <c r="D1783" s="2">
        <v>30</v>
      </c>
      <c r="E1783" s="2">
        <v>16</v>
      </c>
      <c r="F1783" s="17">
        <v>105</v>
      </c>
      <c r="H1783" s="360">
        <v>0.49040194836549234</v>
      </c>
      <c r="I1783" s="360">
        <v>-0.32419000448485358</v>
      </c>
      <c r="K1783" s="363"/>
      <c r="N1783" s="10"/>
      <c r="O1783" s="4"/>
      <c r="P1783" s="4"/>
      <c r="Q1783" s="3"/>
      <c r="R1783" s="3"/>
      <c r="S1783" s="3"/>
      <c r="T1783" s="3"/>
    </row>
    <row r="1784" spans="1:20">
      <c r="A1784" s="3">
        <v>1</v>
      </c>
      <c r="B1784" s="3">
        <v>2</v>
      </c>
      <c r="C1784" s="2">
        <v>25</v>
      </c>
      <c r="D1784" s="2">
        <v>5</v>
      </c>
      <c r="E1784" s="2">
        <v>16</v>
      </c>
      <c r="F1784" s="17">
        <v>105</v>
      </c>
      <c r="H1784" s="360">
        <v>0.40792715588206185</v>
      </c>
      <c r="I1784" s="360">
        <v>-0.35653699527553234</v>
      </c>
      <c r="K1784" s="363"/>
      <c r="N1784" s="10"/>
      <c r="O1784" s="4"/>
      <c r="P1784" s="4"/>
      <c r="Q1784" s="3"/>
      <c r="R1784" s="3"/>
      <c r="S1784" s="3"/>
      <c r="T1784" s="3"/>
    </row>
    <row r="1785" spans="1:20">
      <c r="A1785" s="3">
        <v>1</v>
      </c>
      <c r="B1785" s="3">
        <v>2</v>
      </c>
      <c r="C1785" s="2">
        <v>25</v>
      </c>
      <c r="D1785" s="2">
        <v>5</v>
      </c>
      <c r="E1785" s="2">
        <v>16</v>
      </c>
      <c r="F1785" s="17">
        <v>105</v>
      </c>
      <c r="H1785" s="360">
        <v>7.3547558029987581E-2</v>
      </c>
      <c r="I1785" s="360">
        <v>-0.38871814356201156</v>
      </c>
      <c r="K1785" s="363"/>
      <c r="N1785" s="10"/>
      <c r="O1785" s="4"/>
      <c r="P1785" s="4"/>
      <c r="Q1785" s="3"/>
      <c r="R1785" s="3"/>
      <c r="S1785" s="3"/>
      <c r="T1785" s="3"/>
    </row>
    <row r="1786" spans="1:20">
      <c r="A1786" s="3">
        <v>3</v>
      </c>
      <c r="B1786" s="3">
        <v>2</v>
      </c>
      <c r="C1786" s="2">
        <v>25</v>
      </c>
      <c r="D1786" s="2">
        <v>5</v>
      </c>
      <c r="E1786" s="2">
        <v>16</v>
      </c>
      <c r="F1786" s="17">
        <v>105</v>
      </c>
      <c r="H1786" s="360">
        <v>0.40417674730586828</v>
      </c>
      <c r="I1786" s="360">
        <v>-0.44823952732514494</v>
      </c>
      <c r="K1786" s="363"/>
      <c r="N1786" s="10"/>
      <c r="O1786" s="4"/>
      <c r="P1786" s="4"/>
      <c r="Q1786" s="3"/>
      <c r="R1786" s="3"/>
      <c r="S1786" s="3"/>
      <c r="T1786" s="3"/>
    </row>
    <row r="1787" spans="1:20">
      <c r="A1787" s="3">
        <v>3</v>
      </c>
      <c r="B1787" s="3">
        <v>1</v>
      </c>
      <c r="C1787" s="2">
        <v>25</v>
      </c>
      <c r="D1787" s="2">
        <v>5</v>
      </c>
      <c r="E1787" s="2">
        <v>16</v>
      </c>
      <c r="F1787" s="17">
        <v>105</v>
      </c>
      <c r="H1787" s="360">
        <v>7.2094084199648689E-2</v>
      </c>
      <c r="I1787" s="360">
        <v>-0.53367336777933905</v>
      </c>
      <c r="K1787" s="363"/>
      <c r="N1787" s="10"/>
      <c r="O1787" s="4"/>
      <c r="P1787" s="4"/>
      <c r="Q1787" s="3"/>
      <c r="R1787" s="3"/>
      <c r="S1787" s="3"/>
      <c r="T1787" s="3"/>
    </row>
    <row r="1788" spans="1:20">
      <c r="A1788" s="3">
        <v>1</v>
      </c>
      <c r="B1788" s="3">
        <v>1</v>
      </c>
      <c r="C1788" s="2">
        <v>25</v>
      </c>
      <c r="D1788" s="2">
        <v>5</v>
      </c>
      <c r="E1788" s="2">
        <v>16</v>
      </c>
      <c r="F1788" s="17">
        <v>105</v>
      </c>
      <c r="H1788" s="360">
        <v>0.36938174191367734</v>
      </c>
      <c r="I1788" s="360">
        <v>-0.56765029511943499</v>
      </c>
      <c r="K1788" s="363"/>
      <c r="N1788" s="10"/>
      <c r="O1788" s="4"/>
      <c r="P1788" s="4"/>
      <c r="Q1788" s="3"/>
      <c r="R1788" s="3"/>
      <c r="S1788" s="3"/>
      <c r="T1788" s="3"/>
    </row>
    <row r="1789" spans="1:20">
      <c r="A1789" s="3">
        <v>1</v>
      </c>
      <c r="B1789" s="3">
        <v>1</v>
      </c>
      <c r="C1789" s="2">
        <v>25</v>
      </c>
      <c r="D1789" s="2">
        <v>5</v>
      </c>
      <c r="E1789" s="2">
        <v>1</v>
      </c>
      <c r="F1789" s="17">
        <v>105</v>
      </c>
      <c r="H1789" s="360">
        <v>0.11306165900985754</v>
      </c>
      <c r="I1789" s="360">
        <v>-0.6315856192556335</v>
      </c>
      <c r="K1789" s="363"/>
      <c r="N1789" s="10"/>
      <c r="O1789" s="4"/>
      <c r="P1789" s="4"/>
      <c r="Q1789" s="3"/>
      <c r="R1789" s="3"/>
      <c r="S1789" s="3"/>
      <c r="T1789" s="3"/>
    </row>
    <row r="1790" spans="1:20">
      <c r="A1790" s="3">
        <v>1</v>
      </c>
      <c r="B1790" s="3">
        <v>1</v>
      </c>
      <c r="C1790" s="2">
        <v>25</v>
      </c>
      <c r="D1790" s="2">
        <v>30</v>
      </c>
      <c r="E1790" s="2">
        <v>16</v>
      </c>
      <c r="F1790" s="17">
        <v>105</v>
      </c>
      <c r="H1790" s="360">
        <v>0.53666930943881219</v>
      </c>
      <c r="I1790" s="360">
        <v>-0.67657167948025665</v>
      </c>
      <c r="K1790" s="363"/>
      <c r="N1790" s="10"/>
      <c r="O1790" s="4"/>
      <c r="P1790" s="4"/>
      <c r="Q1790" s="3"/>
      <c r="R1790" s="3"/>
      <c r="S1790" s="3"/>
      <c r="T1790" s="3"/>
    </row>
    <row r="1791" spans="1:20">
      <c r="A1791" s="3">
        <v>2</v>
      </c>
      <c r="B1791" s="3">
        <v>1</v>
      </c>
      <c r="C1791" s="2">
        <v>25</v>
      </c>
      <c r="D1791" s="2">
        <v>5</v>
      </c>
      <c r="E1791" s="2">
        <v>16</v>
      </c>
      <c r="F1791" s="17">
        <v>105</v>
      </c>
      <c r="H1791" s="360">
        <v>1</v>
      </c>
      <c r="I1791" s="360">
        <v>-0.69520191217475058</v>
      </c>
      <c r="K1791" s="363"/>
      <c r="N1791" s="10"/>
      <c r="O1791" s="4"/>
      <c r="P1791" s="4"/>
      <c r="Q1791" s="3"/>
      <c r="R1791" s="3"/>
      <c r="S1791" s="3"/>
      <c r="T1791" s="3"/>
    </row>
    <row r="1792" spans="1:20">
      <c r="A1792" s="3">
        <v>2</v>
      </c>
      <c r="B1792" s="3">
        <v>1</v>
      </c>
      <c r="C1792" s="2">
        <v>25</v>
      </c>
      <c r="D1792" s="2">
        <v>5</v>
      </c>
      <c r="E1792" s="2">
        <v>1</v>
      </c>
      <c r="F1792" s="17">
        <v>105</v>
      </c>
      <c r="H1792" s="360">
        <v>0.73298200120852319</v>
      </c>
      <c r="I1792" s="360">
        <v>-0.72787140665326666</v>
      </c>
      <c r="K1792" s="363"/>
      <c r="N1792" s="10"/>
      <c r="O1792" s="4"/>
      <c r="P1792" s="4"/>
      <c r="Q1792" s="3"/>
      <c r="R1792" s="3"/>
      <c r="S1792" s="3"/>
      <c r="T1792" s="3"/>
    </row>
    <row r="1793" spans="1:20">
      <c r="A1793" s="3">
        <v>2</v>
      </c>
      <c r="B1793" s="3">
        <v>2</v>
      </c>
      <c r="C1793" s="2">
        <v>25</v>
      </c>
      <c r="D1793" s="2">
        <v>5</v>
      </c>
      <c r="E1793" s="2">
        <v>16</v>
      </c>
      <c r="F1793" s="17">
        <v>105</v>
      </c>
      <c r="H1793" s="360">
        <v>1</v>
      </c>
      <c r="I1793" s="360">
        <v>-0.73926869384628502</v>
      </c>
      <c r="K1793" s="363"/>
      <c r="N1793" s="10"/>
      <c r="O1793" s="4"/>
      <c r="P1793" s="4"/>
      <c r="Q1793" s="3"/>
      <c r="R1793" s="3"/>
      <c r="S1793" s="3"/>
      <c r="T1793" s="3"/>
    </row>
    <row r="1794" spans="1:20">
      <c r="A1794" s="3">
        <v>2</v>
      </c>
      <c r="B1794" s="3">
        <v>2</v>
      </c>
      <c r="C1794" s="2">
        <v>25</v>
      </c>
      <c r="D1794" s="2">
        <v>5</v>
      </c>
      <c r="E1794" s="2">
        <v>1</v>
      </c>
      <c r="F1794" s="17">
        <v>105</v>
      </c>
      <c r="H1794" s="360">
        <v>0.70481241495471747</v>
      </c>
      <c r="I1794" s="360">
        <v>-0.75689828793488712</v>
      </c>
      <c r="K1794" s="363"/>
      <c r="N1794" s="10"/>
      <c r="O1794" s="4"/>
      <c r="P1794" s="4"/>
      <c r="Q1794" s="3"/>
      <c r="R1794" s="3"/>
      <c r="S1794" s="3"/>
      <c r="T1794" s="3"/>
    </row>
    <row r="1795" spans="1:20">
      <c r="A1795" s="3">
        <v>3</v>
      </c>
      <c r="B1795" s="3">
        <v>1</v>
      </c>
      <c r="C1795" s="2">
        <v>25</v>
      </c>
      <c r="D1795" s="2">
        <v>5</v>
      </c>
      <c r="E1795" s="2">
        <v>1</v>
      </c>
      <c r="F1795" s="17">
        <v>105</v>
      </c>
      <c r="H1795" s="360">
        <v>2.525674662369648E-2</v>
      </c>
      <c r="I1795" s="360">
        <v>-1</v>
      </c>
      <c r="K1795" s="363"/>
      <c r="N1795" s="10"/>
      <c r="O1795" s="4"/>
      <c r="P1795" s="4"/>
      <c r="Q1795" s="3"/>
      <c r="R1795" s="3"/>
      <c r="S1795" s="3"/>
      <c r="T1795" s="3"/>
    </row>
    <row r="1796" spans="1:20">
      <c r="A1796" s="3">
        <v>1</v>
      </c>
      <c r="B1796" s="3">
        <v>2</v>
      </c>
      <c r="C1796" s="2">
        <v>25</v>
      </c>
      <c r="D1796" s="2">
        <v>5</v>
      </c>
      <c r="E1796" s="2">
        <v>16</v>
      </c>
      <c r="F1796" s="17">
        <v>106</v>
      </c>
      <c r="H1796" s="360">
        <v>1</v>
      </c>
      <c r="I1796" s="360">
        <v>0.89822224708271581</v>
      </c>
      <c r="K1796" s="363"/>
      <c r="N1796" s="10"/>
      <c r="O1796" s="4"/>
      <c r="P1796" s="4"/>
      <c r="Q1796" s="3"/>
      <c r="R1796" s="3"/>
      <c r="S1796" s="3"/>
      <c r="T1796" s="3"/>
    </row>
    <row r="1797" spans="1:20">
      <c r="A1797" s="3">
        <v>1</v>
      </c>
      <c r="B1797" s="3">
        <v>1</v>
      </c>
      <c r="C1797" s="2">
        <v>25</v>
      </c>
      <c r="D1797" s="2">
        <v>5</v>
      </c>
      <c r="E1797" s="2">
        <v>1</v>
      </c>
      <c r="F1797" s="17">
        <v>106</v>
      </c>
      <c r="H1797" s="360">
        <v>1</v>
      </c>
      <c r="I1797" s="360">
        <v>0.88948441441956572</v>
      </c>
      <c r="K1797" s="363"/>
      <c r="N1797" s="10"/>
      <c r="O1797" s="4"/>
      <c r="P1797" s="4"/>
      <c r="Q1797" s="3"/>
      <c r="R1797" s="3"/>
      <c r="S1797" s="3"/>
      <c r="T1797" s="3"/>
    </row>
    <row r="1798" spans="1:20">
      <c r="A1798" s="3">
        <v>2</v>
      </c>
      <c r="B1798" s="3">
        <v>2</v>
      </c>
      <c r="C1798" s="2">
        <v>25</v>
      </c>
      <c r="D1798" s="2">
        <v>5</v>
      </c>
      <c r="E1798" s="2">
        <v>1</v>
      </c>
      <c r="F1798" s="17">
        <v>106</v>
      </c>
      <c r="H1798" s="360">
        <v>1</v>
      </c>
      <c r="I1798" s="360">
        <v>0.8861538432903765</v>
      </c>
      <c r="K1798" s="363"/>
      <c r="N1798" s="10"/>
      <c r="O1798" s="4"/>
      <c r="P1798" s="4"/>
      <c r="Q1798" s="3"/>
      <c r="R1798" s="3"/>
      <c r="S1798" s="3"/>
      <c r="T1798" s="3"/>
    </row>
    <row r="1799" spans="1:20">
      <c r="A1799" s="3">
        <v>2</v>
      </c>
      <c r="B1799" s="3">
        <v>2</v>
      </c>
      <c r="C1799" s="2">
        <v>25</v>
      </c>
      <c r="D1799" s="2">
        <v>5</v>
      </c>
      <c r="E1799" s="2">
        <v>16</v>
      </c>
      <c r="F1799" s="17">
        <v>106</v>
      </c>
      <c r="H1799" s="360">
        <v>1</v>
      </c>
      <c r="I1799" s="360">
        <v>0.88288763504481083</v>
      </c>
      <c r="K1799" s="363"/>
      <c r="N1799" s="10"/>
      <c r="O1799" s="4"/>
      <c r="P1799" s="4"/>
      <c r="Q1799" s="3"/>
      <c r="R1799" s="3"/>
      <c r="S1799" s="3"/>
      <c r="T1799" s="3"/>
    </row>
    <row r="1800" spans="1:20">
      <c r="A1800" s="3">
        <v>1</v>
      </c>
      <c r="B1800" s="3">
        <v>1</v>
      </c>
      <c r="C1800" s="2">
        <v>25</v>
      </c>
      <c r="D1800" s="2">
        <v>5</v>
      </c>
      <c r="E1800" s="2">
        <v>16</v>
      </c>
      <c r="F1800" s="17">
        <v>106</v>
      </c>
      <c r="H1800" s="360">
        <v>1</v>
      </c>
      <c r="I1800" s="360">
        <v>0.88254169007111682</v>
      </c>
      <c r="K1800" s="363"/>
      <c r="N1800" s="10"/>
      <c r="O1800" s="4"/>
      <c r="P1800" s="4"/>
      <c r="Q1800" s="3"/>
      <c r="R1800" s="3"/>
      <c r="S1800" s="3"/>
      <c r="T1800" s="3"/>
    </row>
    <row r="1801" spans="1:20">
      <c r="A1801" s="3">
        <v>1</v>
      </c>
      <c r="B1801" s="3">
        <v>2</v>
      </c>
      <c r="C1801" s="2">
        <v>25</v>
      </c>
      <c r="D1801" s="2">
        <v>5</v>
      </c>
      <c r="E1801" s="2">
        <v>16</v>
      </c>
      <c r="F1801" s="17">
        <v>106</v>
      </c>
      <c r="H1801" s="360">
        <v>1</v>
      </c>
      <c r="I1801" s="360">
        <v>0.87643195174279243</v>
      </c>
      <c r="K1801" s="363"/>
      <c r="N1801" s="10"/>
      <c r="O1801" s="4"/>
      <c r="P1801" s="4"/>
      <c r="Q1801" s="3"/>
      <c r="R1801" s="3"/>
      <c r="S1801" s="3"/>
      <c r="T1801" s="3"/>
    </row>
    <row r="1802" spans="1:20">
      <c r="A1802" s="3">
        <v>1</v>
      </c>
      <c r="B1802" s="3">
        <v>1</v>
      </c>
      <c r="C1802" s="2">
        <v>25</v>
      </c>
      <c r="D1802" s="2">
        <v>30</v>
      </c>
      <c r="E1802" s="2">
        <v>16</v>
      </c>
      <c r="F1802" s="17">
        <v>106</v>
      </c>
      <c r="H1802" s="360">
        <v>1</v>
      </c>
      <c r="I1802" s="360">
        <v>0.87267344833098148</v>
      </c>
      <c r="K1802" s="363"/>
      <c r="N1802" s="10"/>
      <c r="O1802" s="4"/>
      <c r="P1802" s="4"/>
      <c r="Q1802" s="3"/>
      <c r="R1802" s="3"/>
      <c r="S1802" s="3"/>
      <c r="T1802" s="3"/>
    </row>
    <row r="1803" spans="1:20">
      <c r="A1803" s="3">
        <v>1</v>
      </c>
      <c r="B1803" s="3">
        <v>2</v>
      </c>
      <c r="C1803" s="2">
        <v>25</v>
      </c>
      <c r="D1803" s="2">
        <v>5</v>
      </c>
      <c r="E1803" s="2">
        <v>1</v>
      </c>
      <c r="F1803" s="17">
        <v>106</v>
      </c>
      <c r="H1803" s="360">
        <v>0.45658486299178169</v>
      </c>
      <c r="I1803" s="360">
        <v>0.86667556910122068</v>
      </c>
      <c r="K1803" s="363"/>
      <c r="N1803" s="10"/>
      <c r="O1803" s="4"/>
      <c r="P1803" s="4"/>
      <c r="Q1803" s="3"/>
      <c r="R1803" s="3"/>
      <c r="S1803" s="3"/>
      <c r="T1803" s="3"/>
    </row>
    <row r="1804" spans="1:20">
      <c r="A1804" s="3">
        <v>1</v>
      </c>
      <c r="B1804" s="3">
        <v>2</v>
      </c>
      <c r="C1804" s="2">
        <v>25</v>
      </c>
      <c r="D1804" s="2">
        <v>30</v>
      </c>
      <c r="E1804" s="2">
        <v>16</v>
      </c>
      <c r="F1804" s="17">
        <v>106</v>
      </c>
      <c r="H1804" s="360">
        <v>1</v>
      </c>
      <c r="I1804" s="360">
        <v>0.8656557317921556</v>
      </c>
      <c r="K1804" s="363"/>
      <c r="N1804" s="10"/>
      <c r="O1804" s="4"/>
      <c r="P1804" s="4"/>
      <c r="Q1804" s="3"/>
      <c r="R1804" s="3"/>
      <c r="S1804" s="3"/>
      <c r="T1804" s="3"/>
    </row>
    <row r="1805" spans="1:20">
      <c r="A1805" s="3">
        <v>3</v>
      </c>
      <c r="B1805" s="3">
        <v>2</v>
      </c>
      <c r="C1805" s="2">
        <v>25</v>
      </c>
      <c r="D1805" s="2">
        <v>5</v>
      </c>
      <c r="E1805" s="2">
        <v>1</v>
      </c>
      <c r="F1805" s="17">
        <v>106</v>
      </c>
      <c r="H1805" s="360">
        <v>0.99295316707962156</v>
      </c>
      <c r="I1805" s="360">
        <v>0.82961449499493634</v>
      </c>
      <c r="K1805" s="363"/>
      <c r="N1805" s="10"/>
      <c r="O1805" s="4"/>
      <c r="P1805" s="4"/>
      <c r="Q1805" s="3"/>
      <c r="R1805" s="3"/>
      <c r="S1805" s="3"/>
      <c r="T1805" s="3"/>
    </row>
    <row r="1806" spans="1:20">
      <c r="A1806" s="3">
        <v>3</v>
      </c>
      <c r="B1806" s="3">
        <v>2</v>
      </c>
      <c r="C1806" s="2">
        <v>25</v>
      </c>
      <c r="D1806" s="2">
        <v>5</v>
      </c>
      <c r="E1806" s="2">
        <v>16</v>
      </c>
      <c r="F1806" s="17">
        <v>106</v>
      </c>
      <c r="H1806" s="360">
        <v>1</v>
      </c>
      <c r="I1806" s="360">
        <v>0.81403144620544521</v>
      </c>
      <c r="K1806" s="363"/>
      <c r="N1806" s="10"/>
      <c r="O1806" s="4"/>
      <c r="P1806" s="4"/>
      <c r="Q1806" s="3"/>
      <c r="R1806" s="3"/>
      <c r="S1806" s="3"/>
      <c r="T1806" s="3"/>
    </row>
    <row r="1807" spans="1:20">
      <c r="A1807" s="3">
        <v>2</v>
      </c>
      <c r="B1807" s="3">
        <v>1</v>
      </c>
      <c r="C1807" s="2">
        <v>25</v>
      </c>
      <c r="D1807" s="2">
        <v>5</v>
      </c>
      <c r="E1807" s="2">
        <v>16</v>
      </c>
      <c r="F1807" s="17">
        <v>106</v>
      </c>
      <c r="H1807" s="360">
        <v>1</v>
      </c>
      <c r="I1807" s="360">
        <v>0.75955255275631761</v>
      </c>
      <c r="K1807" s="363"/>
      <c r="N1807" s="10"/>
      <c r="O1807" s="4"/>
      <c r="P1807" s="4"/>
      <c r="Q1807" s="3"/>
      <c r="R1807" s="3"/>
      <c r="S1807" s="3"/>
      <c r="T1807" s="3"/>
    </row>
    <row r="1808" spans="1:20">
      <c r="A1808" s="3">
        <v>3</v>
      </c>
      <c r="B1808" s="3">
        <v>1</v>
      </c>
      <c r="C1808" s="2">
        <v>25</v>
      </c>
      <c r="D1808" s="2">
        <v>5</v>
      </c>
      <c r="E1808" s="2">
        <v>1</v>
      </c>
      <c r="F1808" s="17">
        <v>106</v>
      </c>
      <c r="H1808" s="360">
        <v>0.96977061196097025</v>
      </c>
      <c r="I1808" s="360">
        <v>0.74228432945313794</v>
      </c>
      <c r="K1808" s="363"/>
      <c r="N1808" s="10"/>
      <c r="O1808" s="4"/>
      <c r="P1808" s="4"/>
      <c r="Q1808" s="3"/>
      <c r="R1808" s="3"/>
      <c r="S1808" s="3"/>
      <c r="T1808" s="3"/>
    </row>
    <row r="1809" spans="1:20">
      <c r="A1809" s="3">
        <v>3</v>
      </c>
      <c r="B1809" s="3">
        <v>1</v>
      </c>
      <c r="C1809" s="2">
        <v>25</v>
      </c>
      <c r="D1809" s="2">
        <v>5</v>
      </c>
      <c r="E1809" s="2">
        <v>16</v>
      </c>
      <c r="F1809" s="17">
        <v>106</v>
      </c>
      <c r="H1809" s="360">
        <v>0.96562296352479293</v>
      </c>
      <c r="I1809" s="360">
        <v>0.73000854947675031</v>
      </c>
      <c r="K1809" s="363"/>
      <c r="N1809" s="10"/>
      <c r="O1809" s="4"/>
      <c r="P1809" s="4"/>
      <c r="Q1809" s="3"/>
      <c r="R1809" s="3"/>
      <c r="S1809" s="3"/>
      <c r="T1809" s="3"/>
    </row>
    <row r="1810" spans="1:20">
      <c r="A1810" s="3">
        <v>2</v>
      </c>
      <c r="B1810" s="3">
        <v>1</v>
      </c>
      <c r="C1810" s="2">
        <v>25</v>
      </c>
      <c r="D1810" s="2">
        <v>5</v>
      </c>
      <c r="E1810" s="2">
        <v>1</v>
      </c>
      <c r="F1810" s="17">
        <v>106</v>
      </c>
      <c r="H1810" s="360">
        <v>1</v>
      </c>
      <c r="I1810" s="360">
        <v>0.72320871496668238</v>
      </c>
      <c r="K1810" s="363"/>
      <c r="N1810" s="10"/>
      <c r="O1810" s="4"/>
      <c r="P1810" s="4"/>
      <c r="Q1810" s="3"/>
      <c r="R1810" s="3"/>
      <c r="S1810" s="3"/>
      <c r="T1810" s="3"/>
    </row>
    <row r="1811" spans="1:20">
      <c r="A1811" s="3">
        <v>5</v>
      </c>
      <c r="B1811" s="3">
        <v>2</v>
      </c>
      <c r="C1811" s="2">
        <v>50</v>
      </c>
      <c r="D1811" s="2">
        <v>5</v>
      </c>
      <c r="E1811" s="2">
        <v>16</v>
      </c>
      <c r="F1811" s="17">
        <v>106</v>
      </c>
      <c r="H1811" s="360">
        <v>0.35280813551553425</v>
      </c>
      <c r="I1811" s="360">
        <v>0.14715663024701287</v>
      </c>
      <c r="K1811" s="363"/>
      <c r="N1811" s="10"/>
      <c r="O1811" s="4"/>
      <c r="P1811" s="4"/>
      <c r="Q1811" s="3"/>
      <c r="R1811" s="3"/>
      <c r="S1811" s="3"/>
      <c r="T1811" s="3"/>
    </row>
    <row r="1812" spans="1:20">
      <c r="A1812" s="3">
        <v>5</v>
      </c>
      <c r="B1812" s="3">
        <v>2</v>
      </c>
      <c r="C1812" s="2">
        <v>25</v>
      </c>
      <c r="D1812" s="2">
        <v>5</v>
      </c>
      <c r="E1812" s="2">
        <v>16</v>
      </c>
      <c r="F1812" s="17">
        <v>106</v>
      </c>
      <c r="H1812" s="360">
        <v>4.9784411598096656E-2</v>
      </c>
      <c r="I1812" s="360">
        <v>0.12130695018666242</v>
      </c>
      <c r="K1812" s="363"/>
      <c r="N1812" s="10"/>
      <c r="O1812" s="4"/>
      <c r="P1812" s="4"/>
      <c r="Q1812" s="3"/>
      <c r="R1812" s="3"/>
      <c r="S1812" s="3"/>
      <c r="T1812" s="3"/>
    </row>
    <row r="1813" spans="1:20">
      <c r="A1813" s="3">
        <v>4</v>
      </c>
      <c r="B1813" s="3">
        <v>2</v>
      </c>
      <c r="C1813" s="2">
        <v>50</v>
      </c>
      <c r="D1813" s="2">
        <v>5</v>
      </c>
      <c r="E1813" s="2">
        <v>16</v>
      </c>
      <c r="F1813" s="17">
        <v>106</v>
      </c>
      <c r="H1813" s="360">
        <v>0.526249920307991</v>
      </c>
      <c r="I1813" s="360">
        <v>0.11305149197808693</v>
      </c>
      <c r="K1813" s="363"/>
      <c r="N1813" s="10"/>
      <c r="O1813" s="4"/>
      <c r="P1813" s="4"/>
      <c r="Q1813" s="3"/>
      <c r="R1813" s="3"/>
      <c r="S1813" s="3"/>
      <c r="T1813" s="3"/>
    </row>
    <row r="1814" spans="1:20">
      <c r="A1814" s="3">
        <v>3</v>
      </c>
      <c r="B1814" s="3">
        <v>1</v>
      </c>
      <c r="C1814" s="2">
        <v>25</v>
      </c>
      <c r="D1814" s="2">
        <v>5</v>
      </c>
      <c r="E1814" s="2">
        <v>1</v>
      </c>
      <c r="F1814" s="17">
        <v>107</v>
      </c>
      <c r="H1814" s="360">
        <v>1.320832888068546E-2</v>
      </c>
      <c r="I1814" s="360">
        <v>0.26877540201449018</v>
      </c>
      <c r="K1814" s="363"/>
      <c r="N1814" s="10"/>
      <c r="O1814" s="4"/>
      <c r="P1814" s="4"/>
      <c r="Q1814" s="3"/>
      <c r="R1814" s="3"/>
      <c r="S1814" s="3"/>
      <c r="T1814" s="3"/>
    </row>
    <row r="1815" spans="1:20">
      <c r="A1815" s="3">
        <v>3</v>
      </c>
      <c r="B1815" s="3">
        <v>2</v>
      </c>
      <c r="C1815" s="2">
        <v>25</v>
      </c>
      <c r="D1815" s="2">
        <v>5</v>
      </c>
      <c r="E1815" s="2">
        <v>1</v>
      </c>
      <c r="F1815" s="17">
        <v>107</v>
      </c>
      <c r="H1815" s="360">
        <v>3.9828757183971164E-2</v>
      </c>
      <c r="I1815" s="360">
        <v>0.17427468795019824</v>
      </c>
      <c r="K1815" s="363"/>
      <c r="N1815" s="10"/>
      <c r="O1815" s="4"/>
      <c r="P1815" s="4"/>
      <c r="Q1815" s="3"/>
      <c r="R1815" s="3"/>
      <c r="S1815" s="3"/>
      <c r="T1815" s="3"/>
    </row>
    <row r="1816" spans="1:20">
      <c r="A1816" s="3">
        <v>1</v>
      </c>
      <c r="B1816" s="3">
        <v>1</v>
      </c>
      <c r="C1816" s="2">
        <v>25</v>
      </c>
      <c r="D1816" s="2">
        <v>5</v>
      </c>
      <c r="E1816" s="2">
        <v>16</v>
      </c>
      <c r="F1816" s="17">
        <v>107</v>
      </c>
      <c r="H1816" s="360">
        <v>4.5972016528653237E-2</v>
      </c>
      <c r="I1816" s="360">
        <v>0.10555144649216919</v>
      </c>
      <c r="K1816" s="363"/>
      <c r="N1816" s="10"/>
      <c r="O1816" s="4"/>
      <c r="P1816" s="4"/>
      <c r="Q1816" s="3"/>
      <c r="R1816" s="3"/>
      <c r="S1816" s="3"/>
      <c r="T1816" s="3"/>
    </row>
    <row r="1817" spans="1:20">
      <c r="A1817" s="3">
        <v>1</v>
      </c>
      <c r="B1817" s="3">
        <v>1</v>
      </c>
      <c r="C1817" s="2">
        <v>25</v>
      </c>
      <c r="D1817" s="2">
        <v>30</v>
      </c>
      <c r="E1817" s="2">
        <v>16</v>
      </c>
      <c r="F1817" s="17">
        <v>107</v>
      </c>
      <c r="H1817" s="360">
        <v>8.7481849448328597E-2</v>
      </c>
      <c r="I1817" s="360">
        <v>9.2820454183080894E-2</v>
      </c>
      <c r="K1817" s="363"/>
      <c r="N1817" s="10"/>
      <c r="O1817" s="4"/>
      <c r="P1817" s="4"/>
      <c r="Q1817" s="3"/>
      <c r="R1817" s="3"/>
      <c r="S1817" s="3"/>
      <c r="T1817" s="3"/>
    </row>
    <row r="1818" spans="1:20">
      <c r="A1818" s="3">
        <v>1</v>
      </c>
      <c r="B1818" s="3">
        <v>2</v>
      </c>
      <c r="C1818" s="2">
        <v>25</v>
      </c>
      <c r="D1818" s="2">
        <v>5</v>
      </c>
      <c r="E1818" s="2">
        <v>16</v>
      </c>
      <c r="F1818" s="17">
        <v>107</v>
      </c>
      <c r="H1818" s="360">
        <v>9.8864505000332836E-2</v>
      </c>
      <c r="I1818" s="360">
        <v>9.0483136238682454E-2</v>
      </c>
      <c r="K1818" s="363"/>
      <c r="N1818" s="10"/>
      <c r="O1818" s="4"/>
      <c r="P1818" s="4"/>
      <c r="Q1818" s="3"/>
      <c r="R1818" s="3"/>
      <c r="S1818" s="3"/>
      <c r="T1818" s="3"/>
    </row>
    <row r="1819" spans="1:20">
      <c r="A1819" s="3">
        <v>1</v>
      </c>
      <c r="B1819" s="3">
        <v>2</v>
      </c>
      <c r="C1819" s="2">
        <v>25</v>
      </c>
      <c r="D1819" s="2">
        <v>5</v>
      </c>
      <c r="E1819" s="2">
        <v>16</v>
      </c>
      <c r="F1819" s="17">
        <v>107</v>
      </c>
      <c r="H1819" s="360">
        <v>9.1294672954637113E-2</v>
      </c>
      <c r="I1819" s="360">
        <v>8.7535255879013715E-2</v>
      </c>
      <c r="K1819" s="363"/>
      <c r="N1819" s="10"/>
      <c r="O1819" s="4"/>
      <c r="P1819" s="4"/>
      <c r="Q1819" s="3"/>
      <c r="R1819" s="3"/>
      <c r="S1819" s="3"/>
      <c r="T1819" s="3"/>
    </row>
    <row r="1820" spans="1:20">
      <c r="A1820" s="3">
        <v>1</v>
      </c>
      <c r="B1820" s="3">
        <v>2</v>
      </c>
      <c r="C1820" s="2">
        <v>25</v>
      </c>
      <c r="D1820" s="2">
        <v>30</v>
      </c>
      <c r="E1820" s="2">
        <v>16</v>
      </c>
      <c r="F1820" s="17">
        <v>107</v>
      </c>
      <c r="H1820" s="360">
        <v>0.12112987416629484</v>
      </c>
      <c r="I1820" s="360">
        <v>5.4555401279249433E-2</v>
      </c>
      <c r="K1820" s="363"/>
      <c r="N1820" s="10"/>
      <c r="O1820" s="4"/>
      <c r="P1820" s="4"/>
      <c r="Q1820" s="3"/>
      <c r="R1820" s="3"/>
      <c r="S1820" s="3"/>
      <c r="T1820" s="3"/>
    </row>
    <row r="1821" spans="1:20">
      <c r="A1821" s="3">
        <v>4</v>
      </c>
      <c r="B1821" s="3">
        <v>2</v>
      </c>
      <c r="C1821" s="2">
        <v>50</v>
      </c>
      <c r="D1821" s="2">
        <v>5</v>
      </c>
      <c r="E1821" s="2">
        <v>16</v>
      </c>
      <c r="F1821" s="17">
        <v>107</v>
      </c>
      <c r="H1821" s="360">
        <v>0.86110171050703532</v>
      </c>
      <c r="I1821" s="360">
        <v>3.9593325168820685E-2</v>
      </c>
      <c r="K1821" s="363"/>
      <c r="N1821" s="10"/>
      <c r="O1821" s="4"/>
      <c r="P1821" s="4"/>
      <c r="Q1821" s="3"/>
      <c r="R1821" s="3"/>
      <c r="S1821" s="3"/>
      <c r="T1821" s="3"/>
    </row>
    <row r="1822" spans="1:20">
      <c r="A1822" s="3">
        <v>3</v>
      </c>
      <c r="B1822" s="3">
        <v>2</v>
      </c>
      <c r="C1822" s="2">
        <v>25</v>
      </c>
      <c r="D1822" s="2">
        <v>5</v>
      </c>
      <c r="E1822" s="2">
        <v>16</v>
      </c>
      <c r="F1822" s="17">
        <v>107</v>
      </c>
      <c r="H1822" s="360">
        <v>0.11104025357453251</v>
      </c>
      <c r="I1822" s="360">
        <v>2.7638045271574851E-3</v>
      </c>
      <c r="K1822" s="363"/>
      <c r="N1822" s="10"/>
      <c r="O1822" s="4"/>
      <c r="P1822" s="4"/>
      <c r="Q1822" s="3"/>
      <c r="R1822" s="3"/>
      <c r="S1822" s="3"/>
      <c r="T1822" s="3"/>
    </row>
    <row r="1823" spans="1:20">
      <c r="A1823" s="3">
        <v>1</v>
      </c>
      <c r="B1823" s="3">
        <v>1</v>
      </c>
      <c r="C1823" s="2">
        <v>25</v>
      </c>
      <c r="D1823" s="2">
        <v>5</v>
      </c>
      <c r="E1823" s="2">
        <v>1</v>
      </c>
      <c r="F1823" s="17">
        <v>107</v>
      </c>
      <c r="H1823" s="360">
        <v>0</v>
      </c>
      <c r="I1823" s="360">
        <v>0</v>
      </c>
      <c r="K1823" s="363"/>
      <c r="N1823" s="10"/>
      <c r="O1823" s="4"/>
      <c r="P1823" s="4"/>
      <c r="Q1823" s="3"/>
      <c r="R1823" s="3"/>
      <c r="S1823" s="3"/>
      <c r="T1823" s="3"/>
    </row>
    <row r="1824" spans="1:20">
      <c r="A1824" s="3">
        <v>1</v>
      </c>
      <c r="B1824" s="3">
        <v>2</v>
      </c>
      <c r="C1824" s="2">
        <v>25</v>
      </c>
      <c r="D1824" s="2">
        <v>5</v>
      </c>
      <c r="E1824" s="2">
        <v>1</v>
      </c>
      <c r="F1824" s="17">
        <v>107</v>
      </c>
      <c r="H1824" s="360">
        <v>0</v>
      </c>
      <c r="I1824" s="360">
        <v>0</v>
      </c>
      <c r="K1824" s="363"/>
      <c r="N1824" s="10"/>
      <c r="O1824" s="4"/>
      <c r="P1824" s="4"/>
      <c r="Q1824" s="3"/>
      <c r="R1824" s="3"/>
      <c r="S1824" s="3"/>
      <c r="T1824" s="3"/>
    </row>
    <row r="1825" spans="1:20">
      <c r="A1825" s="3">
        <v>2</v>
      </c>
      <c r="B1825" s="3">
        <v>1</v>
      </c>
      <c r="C1825" s="2">
        <v>25</v>
      </c>
      <c r="D1825" s="2">
        <v>5</v>
      </c>
      <c r="E1825" s="2">
        <v>1</v>
      </c>
      <c r="F1825" s="17">
        <v>107</v>
      </c>
      <c r="H1825" s="360">
        <v>0</v>
      </c>
      <c r="I1825" s="360">
        <v>0</v>
      </c>
      <c r="K1825" s="363"/>
      <c r="N1825" s="10"/>
      <c r="O1825" s="4"/>
      <c r="P1825" s="4"/>
      <c r="Q1825" s="3"/>
      <c r="R1825" s="3"/>
      <c r="S1825" s="3"/>
      <c r="T1825" s="3"/>
    </row>
    <row r="1826" spans="1:20">
      <c r="A1826" s="3">
        <v>3</v>
      </c>
      <c r="B1826" s="3">
        <v>1</v>
      </c>
      <c r="C1826" s="2">
        <v>25</v>
      </c>
      <c r="D1826" s="2">
        <v>5</v>
      </c>
      <c r="E1826" s="2">
        <v>16</v>
      </c>
      <c r="F1826" s="17">
        <v>107</v>
      </c>
      <c r="H1826" s="360">
        <v>3.9732790661412998E-2</v>
      </c>
      <c r="I1826" s="360">
        <v>-5.5993451058356089E-3</v>
      </c>
      <c r="K1826" s="363"/>
      <c r="N1826" s="10"/>
      <c r="O1826" s="4"/>
      <c r="P1826" s="4"/>
      <c r="Q1826" s="3"/>
      <c r="R1826" s="3"/>
      <c r="S1826" s="3"/>
      <c r="T1826" s="3"/>
    </row>
    <row r="1827" spans="1:20">
      <c r="A1827" s="3">
        <v>5</v>
      </c>
      <c r="B1827" s="3">
        <v>2</v>
      </c>
      <c r="C1827" s="2">
        <v>25</v>
      </c>
      <c r="D1827" s="2">
        <v>5</v>
      </c>
      <c r="E1827" s="2">
        <v>16</v>
      </c>
      <c r="F1827" s="17">
        <v>107</v>
      </c>
      <c r="H1827" s="360">
        <v>0.88747349282013499</v>
      </c>
      <c r="I1827" s="360">
        <v>-1.9924734069238323E-2</v>
      </c>
      <c r="K1827" s="363"/>
      <c r="N1827" s="10"/>
      <c r="O1827" s="4"/>
      <c r="P1827" s="4"/>
      <c r="Q1827" s="3"/>
      <c r="R1827" s="3"/>
      <c r="S1827" s="3"/>
      <c r="T1827" s="3"/>
    </row>
    <row r="1828" spans="1:20">
      <c r="A1828" s="3">
        <v>5</v>
      </c>
      <c r="B1828" s="3">
        <v>2</v>
      </c>
      <c r="C1828" s="2">
        <v>50</v>
      </c>
      <c r="D1828" s="2">
        <v>5</v>
      </c>
      <c r="E1828" s="2">
        <v>16</v>
      </c>
      <c r="F1828" s="17">
        <v>107</v>
      </c>
      <c r="H1828" s="360">
        <v>1</v>
      </c>
      <c r="I1828" s="360">
        <v>-2.6434724093621537E-2</v>
      </c>
      <c r="K1828" s="363"/>
      <c r="N1828" s="10"/>
      <c r="O1828" s="4"/>
      <c r="P1828" s="4"/>
      <c r="Q1828" s="3"/>
      <c r="R1828" s="3"/>
      <c r="S1828" s="3"/>
      <c r="T1828" s="3"/>
    </row>
    <row r="1829" spans="1:20">
      <c r="A1829" s="3">
        <v>2</v>
      </c>
      <c r="B1829" s="3">
        <v>2</v>
      </c>
      <c r="C1829" s="2">
        <v>25</v>
      </c>
      <c r="D1829" s="2">
        <v>5</v>
      </c>
      <c r="E1829" s="2">
        <v>16</v>
      </c>
      <c r="F1829" s="17">
        <v>107</v>
      </c>
      <c r="H1829" s="360">
        <v>0.92436784640544889</v>
      </c>
      <c r="I1829" s="360">
        <v>-2.8913413352491479E-2</v>
      </c>
      <c r="K1829" s="363"/>
      <c r="N1829" s="10"/>
      <c r="O1829" s="4"/>
      <c r="P1829" s="4"/>
      <c r="Q1829" s="3"/>
      <c r="R1829" s="3"/>
      <c r="S1829" s="3"/>
      <c r="T1829" s="3"/>
    </row>
    <row r="1830" spans="1:20">
      <c r="A1830" s="3">
        <v>2</v>
      </c>
      <c r="B1830" s="3">
        <v>2</v>
      </c>
      <c r="C1830" s="2">
        <v>25</v>
      </c>
      <c r="D1830" s="2">
        <v>5</v>
      </c>
      <c r="E1830" s="2">
        <v>1</v>
      </c>
      <c r="F1830" s="17">
        <v>107</v>
      </c>
      <c r="H1830" s="360">
        <v>0.37898693328710409</v>
      </c>
      <c r="I1830" s="360">
        <v>-6.117290879507857E-2</v>
      </c>
      <c r="K1830" s="363"/>
      <c r="N1830" s="10"/>
      <c r="O1830" s="4"/>
      <c r="P1830" s="4"/>
      <c r="Q1830" s="3"/>
      <c r="R1830" s="3"/>
      <c r="S1830" s="3"/>
      <c r="T1830" s="3"/>
    </row>
    <row r="1831" spans="1:20">
      <c r="A1831" s="3">
        <v>2</v>
      </c>
      <c r="B1831" s="3">
        <v>1</v>
      </c>
      <c r="C1831" s="2">
        <v>25</v>
      </c>
      <c r="D1831" s="2">
        <v>5</v>
      </c>
      <c r="E1831" s="2">
        <v>16</v>
      </c>
      <c r="F1831" s="17">
        <v>107</v>
      </c>
      <c r="H1831" s="360">
        <v>8.610143268199022E-2</v>
      </c>
      <c r="I1831" s="360">
        <v>-0.21892653081044328</v>
      </c>
      <c r="K1831" s="363"/>
      <c r="N1831" s="10"/>
      <c r="O1831" s="4"/>
      <c r="P1831" s="4"/>
      <c r="Q1831" s="3"/>
      <c r="R1831" s="3"/>
      <c r="S1831" s="3"/>
      <c r="T1831" s="3"/>
    </row>
    <row r="1832" spans="1:20">
      <c r="A1832" s="3">
        <v>4</v>
      </c>
      <c r="B1832" s="3">
        <v>2</v>
      </c>
      <c r="C1832" s="2">
        <v>50</v>
      </c>
      <c r="D1832" s="2">
        <v>5</v>
      </c>
      <c r="E1832" s="2">
        <v>16</v>
      </c>
      <c r="F1832" s="17">
        <v>108</v>
      </c>
      <c r="H1832" s="360">
        <v>0.19243118882184806</v>
      </c>
      <c r="I1832" s="360">
        <v>8.8680391895296959E-2</v>
      </c>
      <c r="K1832" s="363"/>
      <c r="N1832" s="10"/>
      <c r="O1832" s="4"/>
      <c r="P1832" s="4"/>
      <c r="Q1832" s="3"/>
      <c r="R1832" s="3"/>
      <c r="S1832" s="3"/>
      <c r="T1832" s="3"/>
    </row>
    <row r="1833" spans="1:20">
      <c r="A1833" s="3">
        <v>5</v>
      </c>
      <c r="B1833" s="3">
        <v>2</v>
      </c>
      <c r="C1833" s="2">
        <v>50</v>
      </c>
      <c r="D1833" s="2">
        <v>5</v>
      </c>
      <c r="E1833" s="2">
        <v>16</v>
      </c>
      <c r="F1833" s="17">
        <v>108</v>
      </c>
      <c r="H1833" s="360">
        <v>1</v>
      </c>
      <c r="I1833" s="360">
        <v>-7.4516504535831751E-2</v>
      </c>
      <c r="K1833" s="363"/>
      <c r="N1833" s="10"/>
      <c r="O1833" s="4"/>
      <c r="P1833" s="4"/>
      <c r="Q1833" s="3"/>
      <c r="R1833" s="3"/>
      <c r="S1833" s="3"/>
      <c r="T1833" s="3"/>
    </row>
    <row r="1834" spans="1:20">
      <c r="A1834" s="3">
        <v>5</v>
      </c>
      <c r="B1834" s="3">
        <v>2</v>
      </c>
      <c r="C1834" s="2">
        <v>25</v>
      </c>
      <c r="D1834" s="2">
        <v>5</v>
      </c>
      <c r="E1834" s="2">
        <v>16</v>
      </c>
      <c r="F1834" s="17">
        <v>108</v>
      </c>
      <c r="H1834" s="360">
        <v>0.90884437647433836</v>
      </c>
      <c r="I1834" s="360">
        <v>-8.1802275769474325E-2</v>
      </c>
      <c r="K1834" s="363"/>
      <c r="N1834" s="10"/>
      <c r="O1834" s="4"/>
      <c r="P1834" s="4"/>
      <c r="Q1834" s="3"/>
      <c r="R1834" s="3"/>
      <c r="S1834" s="3"/>
      <c r="T1834" s="3"/>
    </row>
    <row r="1835" spans="1:20">
      <c r="A1835" s="3">
        <v>1</v>
      </c>
      <c r="B1835" s="3">
        <v>1</v>
      </c>
      <c r="C1835" s="2">
        <v>25</v>
      </c>
      <c r="D1835" s="2">
        <v>30</v>
      </c>
      <c r="E1835" s="2">
        <v>16</v>
      </c>
      <c r="F1835" s="17">
        <v>108</v>
      </c>
      <c r="H1835" s="360">
        <v>1</v>
      </c>
      <c r="I1835" s="360">
        <v>-0.71740665148265403</v>
      </c>
      <c r="K1835" s="363"/>
      <c r="N1835" s="10"/>
      <c r="O1835" s="4"/>
      <c r="P1835" s="4"/>
      <c r="Q1835" s="3"/>
      <c r="R1835" s="3"/>
      <c r="S1835" s="3"/>
      <c r="T1835" s="3"/>
    </row>
    <row r="1836" spans="1:20">
      <c r="A1836" s="3">
        <v>1</v>
      </c>
      <c r="B1836" s="3">
        <v>2</v>
      </c>
      <c r="C1836" s="2">
        <v>25</v>
      </c>
      <c r="D1836" s="2">
        <v>30</v>
      </c>
      <c r="E1836" s="2">
        <v>16</v>
      </c>
      <c r="F1836" s="17">
        <v>108</v>
      </c>
      <c r="H1836" s="360">
        <v>1</v>
      </c>
      <c r="I1836" s="360">
        <v>-0.77292609792774358</v>
      </c>
      <c r="K1836" s="363"/>
      <c r="N1836" s="10"/>
      <c r="O1836" s="4"/>
      <c r="P1836" s="4"/>
      <c r="Q1836" s="3"/>
      <c r="R1836" s="3"/>
      <c r="S1836" s="3"/>
      <c r="T1836" s="3"/>
    </row>
    <row r="1837" spans="1:20">
      <c r="A1837" s="3">
        <v>2</v>
      </c>
      <c r="B1837" s="3">
        <v>2</v>
      </c>
      <c r="C1837" s="2">
        <v>25</v>
      </c>
      <c r="D1837" s="2">
        <v>5</v>
      </c>
      <c r="E1837" s="2">
        <v>16</v>
      </c>
      <c r="F1837" s="17">
        <v>108</v>
      </c>
      <c r="H1837" s="360">
        <v>1</v>
      </c>
      <c r="I1837" s="360">
        <v>-0.77934921020126036</v>
      </c>
      <c r="K1837" s="363"/>
      <c r="N1837" s="10"/>
      <c r="O1837" s="4"/>
      <c r="P1837" s="4"/>
      <c r="Q1837" s="3"/>
      <c r="R1837" s="3"/>
      <c r="S1837" s="3"/>
      <c r="T1837" s="3"/>
    </row>
    <row r="1838" spans="1:20">
      <c r="A1838" s="3">
        <v>1</v>
      </c>
      <c r="B1838" s="3">
        <v>1</v>
      </c>
      <c r="C1838" s="2">
        <v>25</v>
      </c>
      <c r="D1838" s="2">
        <v>5</v>
      </c>
      <c r="E1838" s="2">
        <v>1</v>
      </c>
      <c r="F1838" s="17">
        <v>108</v>
      </c>
      <c r="H1838" s="360">
        <v>1</v>
      </c>
      <c r="I1838" s="360">
        <v>-0.79383230544215266</v>
      </c>
      <c r="K1838" s="363"/>
      <c r="N1838" s="10"/>
      <c r="O1838" s="4"/>
      <c r="P1838" s="4"/>
      <c r="Q1838" s="3"/>
      <c r="R1838" s="3"/>
      <c r="S1838" s="3"/>
      <c r="T1838" s="3"/>
    </row>
    <row r="1839" spans="1:20">
      <c r="A1839" s="3">
        <v>2</v>
      </c>
      <c r="B1839" s="3">
        <v>2</v>
      </c>
      <c r="C1839" s="2">
        <v>25</v>
      </c>
      <c r="D1839" s="2">
        <v>5</v>
      </c>
      <c r="E1839" s="2">
        <v>1</v>
      </c>
      <c r="F1839" s="17">
        <v>108</v>
      </c>
      <c r="H1839" s="360">
        <v>1</v>
      </c>
      <c r="I1839" s="360">
        <v>-0.79955937482237993</v>
      </c>
      <c r="K1839" s="363"/>
      <c r="N1839" s="10"/>
      <c r="O1839" s="4"/>
      <c r="P1839" s="4"/>
      <c r="Q1839" s="3"/>
      <c r="R1839" s="3"/>
      <c r="S1839" s="3"/>
      <c r="T1839" s="3"/>
    </row>
    <row r="1840" spans="1:20">
      <c r="A1840" s="3">
        <v>1</v>
      </c>
      <c r="B1840" s="3">
        <v>1</v>
      </c>
      <c r="C1840" s="2">
        <v>25</v>
      </c>
      <c r="D1840" s="2">
        <v>5</v>
      </c>
      <c r="E1840" s="2">
        <v>16</v>
      </c>
      <c r="F1840" s="17">
        <v>108</v>
      </c>
      <c r="H1840" s="360">
        <v>1</v>
      </c>
      <c r="I1840" s="360">
        <v>-0.79961372443196765</v>
      </c>
      <c r="K1840" s="363"/>
      <c r="N1840" s="10"/>
      <c r="O1840" s="4"/>
      <c r="P1840" s="4"/>
      <c r="Q1840" s="3"/>
      <c r="R1840" s="3"/>
      <c r="S1840" s="3"/>
      <c r="T1840" s="3"/>
    </row>
    <row r="1841" spans="1:20">
      <c r="A1841" s="3">
        <v>2</v>
      </c>
      <c r="B1841" s="3">
        <v>1</v>
      </c>
      <c r="C1841" s="2">
        <v>25</v>
      </c>
      <c r="D1841" s="2">
        <v>5</v>
      </c>
      <c r="E1841" s="2">
        <v>1</v>
      </c>
      <c r="F1841" s="17">
        <v>108</v>
      </c>
      <c r="H1841" s="360">
        <v>1</v>
      </c>
      <c r="I1841" s="360">
        <v>-0.80704705771619545</v>
      </c>
      <c r="K1841" s="363"/>
      <c r="N1841" s="10"/>
      <c r="O1841" s="4"/>
      <c r="P1841" s="4"/>
      <c r="Q1841" s="3"/>
      <c r="R1841" s="3"/>
      <c r="S1841" s="3"/>
      <c r="T1841" s="3"/>
    </row>
    <row r="1842" spans="1:20">
      <c r="A1842" s="3">
        <v>1</v>
      </c>
      <c r="B1842" s="3">
        <v>2</v>
      </c>
      <c r="C1842" s="2">
        <v>25</v>
      </c>
      <c r="D1842" s="2">
        <v>5</v>
      </c>
      <c r="E1842" s="2">
        <v>16</v>
      </c>
      <c r="F1842" s="17">
        <v>108</v>
      </c>
      <c r="H1842" s="360">
        <v>1</v>
      </c>
      <c r="I1842" s="360">
        <v>-0.82004047946401915</v>
      </c>
      <c r="K1842" s="363"/>
      <c r="N1842" s="10"/>
      <c r="O1842" s="4"/>
      <c r="P1842" s="4"/>
      <c r="Q1842" s="3"/>
      <c r="R1842" s="3"/>
      <c r="S1842" s="3"/>
      <c r="T1842" s="3"/>
    </row>
    <row r="1843" spans="1:20">
      <c r="A1843" s="3">
        <v>2</v>
      </c>
      <c r="B1843" s="3">
        <v>1</v>
      </c>
      <c r="C1843" s="2">
        <v>25</v>
      </c>
      <c r="D1843" s="2">
        <v>5</v>
      </c>
      <c r="E1843" s="2">
        <v>16</v>
      </c>
      <c r="F1843" s="17">
        <v>108</v>
      </c>
      <c r="H1843" s="360">
        <v>1</v>
      </c>
      <c r="I1843" s="360">
        <v>-0.82055963286199685</v>
      </c>
      <c r="K1843" s="363"/>
      <c r="N1843" s="10"/>
      <c r="O1843" s="4"/>
      <c r="P1843" s="4"/>
      <c r="Q1843" s="3"/>
      <c r="R1843" s="3"/>
      <c r="S1843" s="3"/>
      <c r="T1843" s="3"/>
    </row>
    <row r="1844" spans="1:20">
      <c r="A1844" s="3">
        <v>1</v>
      </c>
      <c r="B1844" s="3">
        <v>2</v>
      </c>
      <c r="C1844" s="2">
        <v>25</v>
      </c>
      <c r="D1844" s="2">
        <v>5</v>
      </c>
      <c r="E1844" s="2">
        <v>16</v>
      </c>
      <c r="F1844" s="17">
        <v>108</v>
      </c>
      <c r="H1844" s="360">
        <v>1</v>
      </c>
      <c r="I1844" s="360">
        <v>-0.83235623041797169</v>
      </c>
      <c r="K1844" s="363"/>
      <c r="N1844" s="10"/>
      <c r="O1844" s="4"/>
      <c r="P1844" s="4"/>
      <c r="Q1844" s="3"/>
      <c r="R1844" s="3"/>
      <c r="S1844" s="3"/>
      <c r="T1844" s="3"/>
    </row>
    <row r="1845" spans="1:20">
      <c r="A1845" s="3">
        <v>3</v>
      </c>
      <c r="B1845" s="3">
        <v>1</v>
      </c>
      <c r="C1845" s="2">
        <v>25</v>
      </c>
      <c r="D1845" s="2">
        <v>5</v>
      </c>
      <c r="E1845" s="2">
        <v>1</v>
      </c>
      <c r="F1845" s="17">
        <v>108</v>
      </c>
      <c r="H1845" s="360">
        <v>0.98148842133179692</v>
      </c>
      <c r="I1845" s="360">
        <v>-0.83296703090739688</v>
      </c>
      <c r="K1845" s="363"/>
      <c r="N1845" s="10"/>
      <c r="O1845" s="4"/>
      <c r="P1845" s="4"/>
      <c r="Q1845" s="3"/>
      <c r="R1845" s="3"/>
      <c r="S1845" s="3"/>
      <c r="T1845" s="3"/>
    </row>
    <row r="1846" spans="1:20">
      <c r="A1846" s="3">
        <v>3</v>
      </c>
      <c r="B1846" s="3">
        <v>1</v>
      </c>
      <c r="C1846" s="2">
        <v>25</v>
      </c>
      <c r="D1846" s="2">
        <v>5</v>
      </c>
      <c r="E1846" s="2">
        <v>16</v>
      </c>
      <c r="F1846" s="17">
        <v>108</v>
      </c>
      <c r="H1846" s="360">
        <v>0.95406712088904755</v>
      </c>
      <c r="I1846" s="360">
        <v>-0.83849108174065323</v>
      </c>
      <c r="K1846" s="363"/>
      <c r="N1846" s="10"/>
      <c r="O1846" s="4"/>
      <c r="P1846" s="4"/>
      <c r="Q1846" s="3"/>
      <c r="R1846" s="3"/>
      <c r="S1846" s="3"/>
      <c r="T1846" s="3"/>
    </row>
    <row r="1847" spans="1:20">
      <c r="A1847" s="3">
        <v>1</v>
      </c>
      <c r="B1847" s="3">
        <v>2</v>
      </c>
      <c r="C1847" s="2">
        <v>25</v>
      </c>
      <c r="D1847" s="2">
        <v>5</v>
      </c>
      <c r="E1847" s="2">
        <v>1</v>
      </c>
      <c r="F1847" s="17">
        <v>108</v>
      </c>
      <c r="H1847" s="360">
        <v>1</v>
      </c>
      <c r="I1847" s="360">
        <v>-0.84196235017078747</v>
      </c>
      <c r="K1847" s="363"/>
      <c r="N1847" s="10"/>
      <c r="O1847" s="4"/>
      <c r="P1847" s="4"/>
      <c r="Q1847" s="3"/>
      <c r="R1847" s="3"/>
      <c r="S1847" s="3"/>
      <c r="T1847" s="3"/>
    </row>
    <row r="1848" spans="1:20">
      <c r="A1848" s="3">
        <v>3</v>
      </c>
      <c r="B1848" s="3">
        <v>2</v>
      </c>
      <c r="C1848" s="2">
        <v>25</v>
      </c>
      <c r="D1848" s="2">
        <v>5</v>
      </c>
      <c r="E1848" s="2">
        <v>16</v>
      </c>
      <c r="F1848" s="17">
        <v>108</v>
      </c>
      <c r="H1848" s="360">
        <v>1</v>
      </c>
      <c r="I1848" s="360">
        <v>-0.87968571500248804</v>
      </c>
      <c r="K1848" s="363"/>
      <c r="N1848" s="10"/>
      <c r="O1848" s="4"/>
      <c r="P1848" s="4"/>
      <c r="Q1848" s="3"/>
      <c r="R1848" s="3"/>
      <c r="S1848" s="3"/>
      <c r="T1848" s="3"/>
    </row>
    <row r="1849" spans="1:20">
      <c r="A1849" s="3">
        <v>3</v>
      </c>
      <c r="B1849" s="3">
        <v>2</v>
      </c>
      <c r="C1849" s="2">
        <v>25</v>
      </c>
      <c r="D1849" s="2">
        <v>5</v>
      </c>
      <c r="E1849" s="2">
        <v>1</v>
      </c>
      <c r="F1849" s="17">
        <v>108</v>
      </c>
      <c r="H1849" s="360">
        <v>0.98583605164844401</v>
      </c>
      <c r="I1849" s="360">
        <v>-0.88467654067315993</v>
      </c>
      <c r="K1849" s="363"/>
      <c r="N1849" s="10"/>
      <c r="O1849" s="4"/>
      <c r="P1849" s="4"/>
      <c r="Q1849" s="3"/>
      <c r="R1849" s="3"/>
      <c r="S1849" s="3"/>
      <c r="T1849" s="3"/>
    </row>
    <row r="1850" spans="1:20">
      <c r="A1850" s="3">
        <v>2</v>
      </c>
      <c r="B1850" s="3">
        <v>1</v>
      </c>
      <c r="C1850" s="2">
        <v>25</v>
      </c>
      <c r="D1850" s="2">
        <v>5</v>
      </c>
      <c r="E1850" s="2">
        <v>1</v>
      </c>
      <c r="F1850" s="17">
        <v>109</v>
      </c>
      <c r="H1850" s="360">
        <v>0.19841983470949298</v>
      </c>
      <c r="I1850" s="360">
        <v>0.76992049792127593</v>
      </c>
      <c r="K1850" s="363"/>
      <c r="N1850" s="10"/>
      <c r="O1850" s="4"/>
      <c r="P1850" s="4"/>
      <c r="Q1850" s="3"/>
      <c r="R1850" s="3"/>
      <c r="S1850" s="3"/>
      <c r="T1850" s="3"/>
    </row>
    <row r="1851" spans="1:20">
      <c r="A1851" s="3">
        <v>2</v>
      </c>
      <c r="B1851" s="3">
        <v>1</v>
      </c>
      <c r="C1851" s="2">
        <v>25</v>
      </c>
      <c r="D1851" s="2">
        <v>5</v>
      </c>
      <c r="E1851" s="2">
        <v>16</v>
      </c>
      <c r="F1851" s="17">
        <v>109</v>
      </c>
      <c r="H1851" s="360">
        <v>1</v>
      </c>
      <c r="I1851" s="360">
        <v>0.68963999502377105</v>
      </c>
      <c r="K1851" s="363"/>
      <c r="N1851" s="10"/>
      <c r="O1851" s="4"/>
      <c r="P1851" s="4"/>
      <c r="Q1851" s="3"/>
      <c r="R1851" s="3"/>
      <c r="S1851" s="3"/>
      <c r="T1851" s="3"/>
    </row>
    <row r="1852" spans="1:20">
      <c r="A1852" s="3">
        <v>1</v>
      </c>
      <c r="B1852" s="3">
        <v>1</v>
      </c>
      <c r="C1852" s="2">
        <v>25</v>
      </c>
      <c r="D1852" s="2">
        <v>5</v>
      </c>
      <c r="E1852" s="2">
        <v>16</v>
      </c>
      <c r="F1852" s="17">
        <v>109</v>
      </c>
      <c r="H1852" s="360">
        <v>0.16803676039373683</v>
      </c>
      <c r="I1852" s="360">
        <v>0.61255006449956639</v>
      </c>
      <c r="K1852" s="363"/>
      <c r="N1852" s="10"/>
      <c r="O1852" s="4"/>
      <c r="P1852" s="4"/>
      <c r="Q1852" s="3"/>
      <c r="R1852" s="3"/>
      <c r="S1852" s="3"/>
      <c r="T1852" s="3"/>
    </row>
    <row r="1853" spans="1:20">
      <c r="A1853" s="3">
        <v>2</v>
      </c>
      <c r="B1853" s="3">
        <v>2</v>
      </c>
      <c r="C1853" s="2">
        <v>25</v>
      </c>
      <c r="D1853" s="2">
        <v>5</v>
      </c>
      <c r="E1853" s="2">
        <v>16</v>
      </c>
      <c r="F1853" s="17">
        <v>109</v>
      </c>
      <c r="H1853" s="360">
        <v>0.27242380847404435</v>
      </c>
      <c r="I1853" s="360">
        <v>0.58658162129652414</v>
      </c>
      <c r="K1853" s="363"/>
      <c r="N1853" s="10"/>
      <c r="O1853" s="4"/>
      <c r="P1853" s="4"/>
      <c r="Q1853" s="3"/>
      <c r="R1853" s="3"/>
      <c r="S1853" s="3"/>
      <c r="T1853" s="3"/>
    </row>
    <row r="1854" spans="1:20">
      <c r="A1854" s="3">
        <v>1</v>
      </c>
      <c r="B1854" s="3">
        <v>1</v>
      </c>
      <c r="C1854" s="2">
        <v>25</v>
      </c>
      <c r="D1854" s="2">
        <v>5</v>
      </c>
      <c r="E1854" s="2">
        <v>1</v>
      </c>
      <c r="F1854" s="17">
        <v>109</v>
      </c>
      <c r="H1854" s="360">
        <v>4.7625906880044533E-2</v>
      </c>
      <c r="I1854" s="360">
        <v>0.56557246645807924</v>
      </c>
      <c r="K1854" s="363"/>
      <c r="N1854" s="10"/>
      <c r="O1854" s="4"/>
      <c r="P1854" s="4"/>
      <c r="Q1854" s="3"/>
      <c r="R1854" s="3"/>
      <c r="S1854" s="3"/>
      <c r="T1854" s="3"/>
    </row>
    <row r="1855" spans="1:20">
      <c r="A1855" s="3">
        <v>2</v>
      </c>
      <c r="B1855" s="3">
        <v>2</v>
      </c>
      <c r="C1855" s="2">
        <v>25</v>
      </c>
      <c r="D1855" s="2">
        <v>5</v>
      </c>
      <c r="E1855" s="2">
        <v>1</v>
      </c>
      <c r="F1855" s="17">
        <v>109</v>
      </c>
      <c r="H1855" s="360">
        <v>0.13307542273982542</v>
      </c>
      <c r="I1855" s="360">
        <v>0.53575269588952756</v>
      </c>
      <c r="K1855" s="363"/>
      <c r="N1855" s="10"/>
      <c r="O1855" s="4"/>
      <c r="P1855" s="4"/>
      <c r="Q1855" s="3"/>
      <c r="R1855" s="3"/>
      <c r="S1855" s="3"/>
      <c r="T1855" s="3"/>
    </row>
    <row r="1856" spans="1:20">
      <c r="A1856" s="3">
        <v>1</v>
      </c>
      <c r="B1856" s="3">
        <v>2</v>
      </c>
      <c r="C1856" s="2">
        <v>25</v>
      </c>
      <c r="D1856" s="2">
        <v>30</v>
      </c>
      <c r="E1856" s="2">
        <v>16</v>
      </c>
      <c r="F1856" s="17">
        <v>109</v>
      </c>
      <c r="H1856" s="360">
        <v>0.35331861223340799</v>
      </c>
      <c r="I1856" s="360">
        <v>0.38127363498902545</v>
      </c>
      <c r="K1856" s="363"/>
      <c r="N1856" s="10"/>
      <c r="O1856" s="4"/>
      <c r="P1856" s="4"/>
      <c r="Q1856" s="3"/>
      <c r="R1856" s="3"/>
      <c r="S1856" s="3"/>
      <c r="T1856" s="3"/>
    </row>
    <row r="1857" spans="1:20">
      <c r="A1857" s="3">
        <v>1</v>
      </c>
      <c r="B1857" s="3">
        <v>2</v>
      </c>
      <c r="C1857" s="2">
        <v>25</v>
      </c>
      <c r="D1857" s="2">
        <v>5</v>
      </c>
      <c r="E1857" s="2">
        <v>16</v>
      </c>
      <c r="F1857" s="17">
        <v>109</v>
      </c>
      <c r="H1857" s="360">
        <v>0.15674969848043518</v>
      </c>
      <c r="I1857" s="360">
        <v>0.3407183417556815</v>
      </c>
      <c r="K1857" s="363"/>
      <c r="N1857" s="10"/>
      <c r="O1857" s="4"/>
      <c r="P1857" s="4"/>
      <c r="Q1857" s="3"/>
      <c r="R1857" s="3"/>
      <c r="S1857" s="3"/>
      <c r="T1857" s="3"/>
    </row>
    <row r="1858" spans="1:20">
      <c r="A1858" s="3">
        <v>1</v>
      </c>
      <c r="B1858" s="3">
        <v>2</v>
      </c>
      <c r="C1858" s="2">
        <v>25</v>
      </c>
      <c r="D1858" s="2">
        <v>5</v>
      </c>
      <c r="E1858" s="2">
        <v>16</v>
      </c>
      <c r="F1858" s="17">
        <v>109</v>
      </c>
      <c r="H1858" s="360">
        <v>0.22830563734602272</v>
      </c>
      <c r="I1858" s="360">
        <v>0.22649875348099421</v>
      </c>
      <c r="K1858" s="363"/>
      <c r="N1858" s="10"/>
      <c r="O1858" s="4"/>
      <c r="P1858" s="4"/>
      <c r="Q1858" s="3"/>
      <c r="R1858" s="3"/>
      <c r="S1858" s="3"/>
      <c r="T1858" s="3"/>
    </row>
    <row r="1859" spans="1:20">
      <c r="A1859" s="3">
        <v>5</v>
      </c>
      <c r="B1859" s="3">
        <v>2</v>
      </c>
      <c r="C1859" s="2">
        <v>25</v>
      </c>
      <c r="D1859" s="2">
        <v>5</v>
      </c>
      <c r="E1859" s="2">
        <v>16</v>
      </c>
      <c r="F1859" s="17">
        <v>109</v>
      </c>
      <c r="H1859" s="360">
        <v>0.12596753189332355</v>
      </c>
      <c r="I1859" s="360">
        <v>0.20084681053023978</v>
      </c>
      <c r="K1859" s="363"/>
      <c r="N1859" s="10"/>
      <c r="O1859" s="4"/>
      <c r="P1859" s="4"/>
      <c r="Q1859" s="3"/>
      <c r="R1859" s="3"/>
      <c r="S1859" s="3"/>
      <c r="T1859" s="3"/>
    </row>
    <row r="1860" spans="1:20">
      <c r="A1860" s="3">
        <v>1</v>
      </c>
      <c r="B1860" s="3">
        <v>1</v>
      </c>
      <c r="C1860" s="2">
        <v>25</v>
      </c>
      <c r="D1860" s="2">
        <v>30</v>
      </c>
      <c r="E1860" s="2">
        <v>16</v>
      </c>
      <c r="F1860" s="17">
        <v>109</v>
      </c>
      <c r="H1860" s="360">
        <v>0.20356236792239801</v>
      </c>
      <c r="I1860" s="360">
        <v>0.17463694198296154</v>
      </c>
      <c r="K1860" s="363"/>
      <c r="N1860" s="10"/>
      <c r="O1860" s="4"/>
      <c r="P1860" s="4"/>
      <c r="Q1860" s="3"/>
      <c r="R1860" s="3"/>
      <c r="S1860" s="3"/>
      <c r="T1860" s="3"/>
    </row>
    <row r="1861" spans="1:20">
      <c r="A1861" s="3">
        <v>5</v>
      </c>
      <c r="B1861" s="3">
        <v>2</v>
      </c>
      <c r="C1861" s="2">
        <v>50</v>
      </c>
      <c r="D1861" s="2">
        <v>5</v>
      </c>
      <c r="E1861" s="2">
        <v>16</v>
      </c>
      <c r="F1861" s="17">
        <v>109</v>
      </c>
      <c r="H1861" s="360">
        <v>1</v>
      </c>
      <c r="I1861" s="360">
        <v>0.14004651530829673</v>
      </c>
      <c r="K1861" s="363"/>
      <c r="N1861" s="10"/>
      <c r="O1861" s="4"/>
      <c r="P1861" s="4"/>
      <c r="Q1861" s="3"/>
      <c r="R1861" s="3"/>
      <c r="S1861" s="3"/>
      <c r="T1861" s="3"/>
    </row>
    <row r="1862" spans="1:20">
      <c r="A1862" s="3">
        <v>3</v>
      </c>
      <c r="B1862" s="3">
        <v>2</v>
      </c>
      <c r="C1862" s="2">
        <v>25</v>
      </c>
      <c r="D1862" s="2">
        <v>5</v>
      </c>
      <c r="E1862" s="2">
        <v>16</v>
      </c>
      <c r="F1862" s="17">
        <v>109</v>
      </c>
      <c r="H1862" s="360">
        <v>0.14188857257632426</v>
      </c>
      <c r="I1862" s="360">
        <v>0.10920279787203134</v>
      </c>
      <c r="K1862" s="363"/>
      <c r="N1862" s="10"/>
      <c r="O1862" s="4"/>
      <c r="P1862" s="4"/>
      <c r="Q1862" s="3"/>
      <c r="R1862" s="3"/>
      <c r="S1862" s="3"/>
      <c r="T1862" s="3"/>
    </row>
    <row r="1863" spans="1:20">
      <c r="A1863" s="3">
        <v>1</v>
      </c>
      <c r="B1863" s="3">
        <v>2</v>
      </c>
      <c r="C1863" s="2">
        <v>25</v>
      </c>
      <c r="D1863" s="2">
        <v>5</v>
      </c>
      <c r="E1863" s="2">
        <v>1</v>
      </c>
      <c r="F1863" s="17">
        <v>109</v>
      </c>
      <c r="H1863" s="360">
        <v>0</v>
      </c>
      <c r="I1863" s="360">
        <v>0</v>
      </c>
      <c r="K1863" s="363"/>
      <c r="N1863" s="10"/>
      <c r="O1863" s="4"/>
      <c r="P1863" s="4"/>
      <c r="Q1863" s="3"/>
      <c r="R1863" s="3"/>
      <c r="S1863" s="3"/>
      <c r="T1863" s="3"/>
    </row>
    <row r="1864" spans="1:20">
      <c r="A1864" s="3">
        <v>4</v>
      </c>
      <c r="B1864" s="3">
        <v>2</v>
      </c>
      <c r="C1864" s="2">
        <v>50</v>
      </c>
      <c r="D1864" s="2">
        <v>5</v>
      </c>
      <c r="E1864" s="2">
        <v>16</v>
      </c>
      <c r="F1864" s="17">
        <v>109</v>
      </c>
      <c r="H1864" s="360">
        <v>0.55032160638028249</v>
      </c>
      <c r="I1864" s="360">
        <v>-1.7482151017276725E-3</v>
      </c>
      <c r="K1864" s="363"/>
      <c r="N1864" s="10"/>
      <c r="O1864" s="4"/>
      <c r="P1864" s="4"/>
      <c r="Q1864" s="3"/>
      <c r="R1864" s="3"/>
      <c r="S1864" s="3"/>
      <c r="T1864" s="3"/>
    </row>
    <row r="1865" spans="1:20">
      <c r="A1865" s="3">
        <v>3</v>
      </c>
      <c r="B1865" s="3">
        <v>2</v>
      </c>
      <c r="C1865" s="2">
        <v>25</v>
      </c>
      <c r="D1865" s="2">
        <v>5</v>
      </c>
      <c r="E1865" s="2">
        <v>1</v>
      </c>
      <c r="F1865" s="17">
        <v>109</v>
      </c>
      <c r="H1865" s="360">
        <v>2.3574638571349782E-2</v>
      </c>
      <c r="I1865" s="360">
        <v>-0.19126622539327776</v>
      </c>
      <c r="K1865" s="363"/>
      <c r="N1865" s="10"/>
      <c r="O1865" s="4"/>
      <c r="P1865" s="4"/>
      <c r="Q1865" s="3"/>
      <c r="R1865" s="3"/>
      <c r="S1865" s="3"/>
      <c r="T1865" s="3"/>
    </row>
    <row r="1866" spans="1:20">
      <c r="A1866" s="3">
        <v>3</v>
      </c>
      <c r="B1866" s="3">
        <v>1</v>
      </c>
      <c r="C1866" s="2">
        <v>25</v>
      </c>
      <c r="D1866" s="2">
        <v>5</v>
      </c>
      <c r="E1866" s="2">
        <v>16</v>
      </c>
      <c r="F1866" s="17">
        <v>109</v>
      </c>
      <c r="H1866" s="360">
        <v>4.4691210720972707E-2</v>
      </c>
      <c r="I1866" s="360">
        <v>-0.24040171852338341</v>
      </c>
      <c r="K1866" s="363"/>
      <c r="N1866" s="10"/>
      <c r="O1866" s="4"/>
      <c r="P1866" s="4"/>
      <c r="Q1866" s="3"/>
      <c r="R1866" s="3"/>
      <c r="S1866" s="3"/>
      <c r="T1866" s="3"/>
    </row>
    <row r="1867" spans="1:20">
      <c r="A1867" s="3">
        <v>3</v>
      </c>
      <c r="B1867" s="3">
        <v>1</v>
      </c>
      <c r="C1867" s="2">
        <v>25</v>
      </c>
      <c r="D1867" s="2">
        <v>5</v>
      </c>
      <c r="E1867" s="2">
        <v>1</v>
      </c>
      <c r="F1867" s="17">
        <v>109</v>
      </c>
      <c r="H1867" s="360">
        <v>3.4763720457742564E-2</v>
      </c>
      <c r="I1867" s="360">
        <v>-0.26962582538517976</v>
      </c>
      <c r="K1867" s="363"/>
      <c r="N1867" s="10"/>
      <c r="O1867" s="4"/>
      <c r="P1867" s="4"/>
      <c r="Q1867" s="3"/>
      <c r="R1867" s="3"/>
      <c r="S1867" s="3"/>
      <c r="T1867" s="3"/>
    </row>
    <row r="1868" spans="1:20">
      <c r="A1868" s="3">
        <v>4</v>
      </c>
      <c r="B1868" s="3">
        <v>2</v>
      </c>
      <c r="C1868" s="2">
        <v>50</v>
      </c>
      <c r="D1868" s="2">
        <v>5</v>
      </c>
      <c r="E1868" s="2">
        <v>16</v>
      </c>
      <c r="F1868" s="17">
        <v>110</v>
      </c>
      <c r="H1868" s="360">
        <v>0.69014177226329998</v>
      </c>
      <c r="I1868" s="360">
        <v>0.23200357258164284</v>
      </c>
      <c r="K1868" s="363"/>
      <c r="N1868" s="10"/>
      <c r="O1868" s="4"/>
      <c r="P1868" s="4"/>
      <c r="Q1868" s="3"/>
      <c r="R1868" s="3"/>
      <c r="S1868" s="3"/>
      <c r="T1868" s="3"/>
    </row>
    <row r="1869" spans="1:20">
      <c r="A1869" s="3">
        <v>5</v>
      </c>
      <c r="B1869" s="3">
        <v>2</v>
      </c>
      <c r="C1869" s="2">
        <v>50</v>
      </c>
      <c r="D1869" s="2">
        <v>5</v>
      </c>
      <c r="E1869" s="2">
        <v>16</v>
      </c>
      <c r="F1869" s="17">
        <v>110</v>
      </c>
      <c r="H1869" s="360">
        <v>1</v>
      </c>
      <c r="I1869" s="360">
        <v>-0.24497272848643806</v>
      </c>
      <c r="K1869" s="363"/>
      <c r="N1869" s="10"/>
      <c r="O1869" s="4"/>
      <c r="P1869" s="4"/>
      <c r="Q1869" s="3"/>
      <c r="R1869" s="3"/>
      <c r="S1869" s="3"/>
      <c r="T1869" s="3"/>
    </row>
    <row r="1870" spans="1:20">
      <c r="A1870" s="3">
        <v>5</v>
      </c>
      <c r="B1870" s="3">
        <v>2</v>
      </c>
      <c r="C1870" s="2">
        <v>25</v>
      </c>
      <c r="D1870" s="2">
        <v>5</v>
      </c>
      <c r="E1870" s="2">
        <v>16</v>
      </c>
      <c r="F1870" s="17">
        <v>110</v>
      </c>
      <c r="H1870" s="360">
        <v>0.43658610260013575</v>
      </c>
      <c r="I1870" s="360">
        <v>-0.28541491847345168</v>
      </c>
      <c r="K1870" s="363"/>
      <c r="N1870" s="10"/>
      <c r="O1870" s="4"/>
      <c r="P1870" s="4"/>
      <c r="Q1870" s="3"/>
      <c r="R1870" s="3"/>
      <c r="S1870" s="3"/>
      <c r="T1870" s="3"/>
    </row>
    <row r="1871" spans="1:20">
      <c r="A1871" s="3">
        <v>1</v>
      </c>
      <c r="B1871" s="3">
        <v>1</v>
      </c>
      <c r="C1871" s="2">
        <v>25</v>
      </c>
      <c r="D1871" s="2">
        <v>30</v>
      </c>
      <c r="E1871" s="2">
        <v>16</v>
      </c>
      <c r="F1871" s="17">
        <v>110</v>
      </c>
      <c r="H1871" s="360">
        <v>1</v>
      </c>
      <c r="I1871" s="360">
        <v>-0.94887144359786024</v>
      </c>
      <c r="K1871" s="363"/>
      <c r="N1871" s="10"/>
      <c r="O1871" s="4"/>
      <c r="P1871" s="4"/>
      <c r="Q1871" s="3"/>
      <c r="R1871" s="3"/>
      <c r="S1871" s="3"/>
      <c r="T1871" s="3"/>
    </row>
    <row r="1872" spans="1:20">
      <c r="A1872" s="3">
        <v>3</v>
      </c>
      <c r="B1872" s="3">
        <v>1</v>
      </c>
      <c r="C1872" s="2">
        <v>25</v>
      </c>
      <c r="D1872" s="2">
        <v>5</v>
      </c>
      <c r="E1872" s="2">
        <v>16</v>
      </c>
      <c r="F1872" s="17">
        <v>110</v>
      </c>
      <c r="H1872" s="360">
        <v>0.943525563810235</v>
      </c>
      <c r="I1872" s="360">
        <v>-0.97218800542386163</v>
      </c>
      <c r="K1872" s="363"/>
      <c r="N1872" s="10"/>
      <c r="O1872" s="4"/>
      <c r="P1872" s="4"/>
      <c r="Q1872" s="3"/>
      <c r="R1872" s="3"/>
      <c r="S1872" s="3"/>
      <c r="T1872" s="3"/>
    </row>
    <row r="1873" spans="1:20">
      <c r="A1873" s="3">
        <v>3</v>
      </c>
      <c r="B1873" s="3">
        <v>1</v>
      </c>
      <c r="C1873" s="2">
        <v>25</v>
      </c>
      <c r="D1873" s="2">
        <v>5</v>
      </c>
      <c r="E1873" s="2">
        <v>1</v>
      </c>
      <c r="F1873" s="17">
        <v>110</v>
      </c>
      <c r="H1873" s="360">
        <v>0.84242824792445181</v>
      </c>
      <c r="I1873" s="360">
        <v>-0.98471322805540396</v>
      </c>
      <c r="K1873" s="363"/>
      <c r="N1873" s="10"/>
      <c r="O1873" s="4"/>
      <c r="P1873" s="4"/>
      <c r="Q1873" s="3"/>
      <c r="R1873" s="3"/>
      <c r="S1873" s="3"/>
      <c r="T1873" s="3"/>
    </row>
    <row r="1874" spans="1:20">
      <c r="A1874" s="3">
        <v>1</v>
      </c>
      <c r="B1874" s="3">
        <v>1</v>
      </c>
      <c r="C1874" s="2">
        <v>25</v>
      </c>
      <c r="D1874" s="2">
        <v>5</v>
      </c>
      <c r="E1874" s="2">
        <v>16</v>
      </c>
      <c r="F1874" s="17">
        <v>110</v>
      </c>
      <c r="H1874" s="360">
        <v>1</v>
      </c>
      <c r="I1874" s="360">
        <v>-0.98669475016888142</v>
      </c>
      <c r="K1874" s="363"/>
      <c r="N1874" s="10"/>
      <c r="O1874" s="4"/>
      <c r="P1874" s="4"/>
      <c r="Q1874" s="3"/>
      <c r="R1874" s="3"/>
      <c r="S1874" s="3"/>
      <c r="T1874" s="3"/>
    </row>
    <row r="1875" spans="1:20">
      <c r="A1875" s="3">
        <v>3</v>
      </c>
      <c r="B1875" s="3">
        <v>2</v>
      </c>
      <c r="C1875" s="2">
        <v>25</v>
      </c>
      <c r="D1875" s="2">
        <v>5</v>
      </c>
      <c r="E1875" s="2">
        <v>1</v>
      </c>
      <c r="F1875" s="17">
        <v>110</v>
      </c>
      <c r="H1875" s="360">
        <v>0.98076997735629923</v>
      </c>
      <c r="I1875" s="360">
        <v>-0.98740357366521658</v>
      </c>
      <c r="K1875" s="363"/>
      <c r="N1875" s="10"/>
      <c r="O1875" s="4"/>
      <c r="P1875" s="4"/>
      <c r="Q1875" s="3"/>
      <c r="R1875" s="3"/>
      <c r="S1875" s="3"/>
      <c r="T1875" s="3"/>
    </row>
    <row r="1876" spans="1:20">
      <c r="A1876" s="3">
        <v>2</v>
      </c>
      <c r="B1876" s="3">
        <v>1</v>
      </c>
      <c r="C1876" s="2">
        <v>25</v>
      </c>
      <c r="D1876" s="2">
        <v>5</v>
      </c>
      <c r="E1876" s="2">
        <v>16</v>
      </c>
      <c r="F1876" s="17">
        <v>110</v>
      </c>
      <c r="H1876" s="360">
        <v>1</v>
      </c>
      <c r="I1876" s="360">
        <v>-0.9874954429066275</v>
      </c>
      <c r="K1876" s="363"/>
      <c r="N1876" s="10"/>
      <c r="O1876" s="4"/>
      <c r="P1876" s="4"/>
      <c r="Q1876" s="3"/>
      <c r="R1876" s="3"/>
      <c r="S1876" s="3"/>
      <c r="T1876" s="3"/>
    </row>
    <row r="1877" spans="1:20">
      <c r="A1877" s="3">
        <v>2</v>
      </c>
      <c r="B1877" s="3">
        <v>1</v>
      </c>
      <c r="C1877" s="2">
        <v>25</v>
      </c>
      <c r="D1877" s="2">
        <v>5</v>
      </c>
      <c r="E1877" s="2">
        <v>1</v>
      </c>
      <c r="F1877" s="17">
        <v>110</v>
      </c>
      <c r="H1877" s="360">
        <v>1</v>
      </c>
      <c r="I1877" s="360">
        <v>-0.98814323794576864</v>
      </c>
      <c r="K1877" s="363"/>
      <c r="N1877" s="10"/>
      <c r="O1877" s="4"/>
      <c r="P1877" s="4"/>
      <c r="Q1877" s="3"/>
      <c r="R1877" s="3"/>
      <c r="S1877" s="3"/>
      <c r="T1877" s="3"/>
    </row>
    <row r="1878" spans="1:20">
      <c r="A1878" s="3">
        <v>3</v>
      </c>
      <c r="B1878" s="3">
        <v>2</v>
      </c>
      <c r="C1878" s="2">
        <v>25</v>
      </c>
      <c r="D1878" s="2">
        <v>5</v>
      </c>
      <c r="E1878" s="2">
        <v>16</v>
      </c>
      <c r="F1878" s="17">
        <v>110</v>
      </c>
      <c r="H1878" s="360">
        <v>1</v>
      </c>
      <c r="I1878" s="360">
        <v>-0.98890057501487105</v>
      </c>
      <c r="K1878" s="363"/>
      <c r="N1878" s="10"/>
      <c r="O1878" s="4"/>
      <c r="P1878" s="4"/>
      <c r="Q1878" s="3"/>
      <c r="R1878" s="3"/>
      <c r="S1878" s="3"/>
      <c r="T1878" s="3"/>
    </row>
    <row r="1879" spans="1:20">
      <c r="A1879" s="3">
        <v>1</v>
      </c>
      <c r="B1879" s="3">
        <v>1</v>
      </c>
      <c r="C1879" s="2">
        <v>25</v>
      </c>
      <c r="D1879" s="2">
        <v>5</v>
      </c>
      <c r="E1879" s="2">
        <v>1</v>
      </c>
      <c r="F1879" s="17">
        <v>110</v>
      </c>
      <c r="H1879" s="360">
        <v>1</v>
      </c>
      <c r="I1879" s="360">
        <v>-0.99264852274697779</v>
      </c>
      <c r="K1879" s="363"/>
      <c r="N1879" s="10"/>
      <c r="O1879" s="4"/>
      <c r="P1879" s="4"/>
      <c r="Q1879" s="3"/>
      <c r="R1879" s="3"/>
      <c r="S1879" s="3"/>
      <c r="T1879" s="3"/>
    </row>
    <row r="1880" spans="1:20">
      <c r="A1880" s="3">
        <v>1</v>
      </c>
      <c r="B1880" s="3">
        <v>2</v>
      </c>
      <c r="C1880" s="2">
        <v>25</v>
      </c>
      <c r="D1880" s="2">
        <v>30</v>
      </c>
      <c r="E1880" s="2">
        <v>16</v>
      </c>
      <c r="F1880" s="17">
        <v>110</v>
      </c>
      <c r="H1880" s="360">
        <v>0.98188459922518379</v>
      </c>
      <c r="I1880" s="360">
        <v>-0.99387630531603166</v>
      </c>
      <c r="K1880" s="363"/>
      <c r="N1880" s="10"/>
      <c r="O1880" s="4"/>
      <c r="P1880" s="4"/>
      <c r="Q1880" s="3"/>
      <c r="R1880" s="3"/>
      <c r="S1880" s="3"/>
      <c r="T1880" s="3"/>
    </row>
    <row r="1881" spans="1:20">
      <c r="A1881" s="3">
        <v>1</v>
      </c>
      <c r="B1881" s="3">
        <v>2</v>
      </c>
      <c r="C1881" s="2">
        <v>25</v>
      </c>
      <c r="D1881" s="2">
        <v>5</v>
      </c>
      <c r="E1881" s="2">
        <v>16</v>
      </c>
      <c r="F1881" s="17">
        <v>110</v>
      </c>
      <c r="H1881" s="360">
        <v>1</v>
      </c>
      <c r="I1881" s="360">
        <v>-0.99484301371313599</v>
      </c>
      <c r="K1881" s="363"/>
      <c r="N1881" s="10"/>
      <c r="O1881" s="4"/>
      <c r="P1881" s="4"/>
      <c r="Q1881" s="3"/>
      <c r="R1881" s="3"/>
      <c r="S1881" s="3"/>
      <c r="T1881" s="3"/>
    </row>
    <row r="1882" spans="1:20">
      <c r="A1882" s="3">
        <v>1</v>
      </c>
      <c r="B1882" s="3">
        <v>2</v>
      </c>
      <c r="C1882" s="2">
        <v>25</v>
      </c>
      <c r="D1882" s="2">
        <v>5</v>
      </c>
      <c r="E1882" s="2">
        <v>1</v>
      </c>
      <c r="F1882" s="17">
        <v>110</v>
      </c>
      <c r="H1882" s="360">
        <v>1</v>
      </c>
      <c r="I1882" s="360">
        <v>-1</v>
      </c>
      <c r="K1882" s="363"/>
      <c r="N1882" s="10"/>
      <c r="O1882" s="4"/>
      <c r="P1882" s="4"/>
      <c r="Q1882" s="3"/>
      <c r="R1882" s="3"/>
      <c r="S1882" s="3"/>
      <c r="T1882" s="3"/>
    </row>
    <row r="1883" spans="1:20">
      <c r="A1883" s="3">
        <v>1</v>
      </c>
      <c r="B1883" s="3">
        <v>2</v>
      </c>
      <c r="C1883" s="2">
        <v>25</v>
      </c>
      <c r="D1883" s="2">
        <v>5</v>
      </c>
      <c r="E1883" s="2">
        <v>16</v>
      </c>
      <c r="F1883" s="17">
        <v>110</v>
      </c>
      <c r="H1883" s="360">
        <v>1</v>
      </c>
      <c r="I1883" s="360">
        <v>-1</v>
      </c>
      <c r="K1883" s="363"/>
      <c r="N1883" s="10"/>
      <c r="O1883" s="4"/>
      <c r="P1883" s="4"/>
      <c r="Q1883" s="3"/>
      <c r="R1883" s="3"/>
      <c r="S1883" s="3"/>
      <c r="T1883" s="3"/>
    </row>
    <row r="1884" spans="1:20">
      <c r="A1884" s="3">
        <v>2</v>
      </c>
      <c r="B1884" s="3">
        <v>2</v>
      </c>
      <c r="C1884" s="2">
        <v>25</v>
      </c>
      <c r="D1884" s="2">
        <v>5</v>
      </c>
      <c r="E1884" s="2">
        <v>1</v>
      </c>
      <c r="F1884" s="17">
        <v>110</v>
      </c>
      <c r="H1884" s="360">
        <v>1</v>
      </c>
      <c r="I1884" s="360">
        <v>-1</v>
      </c>
      <c r="K1884" s="363"/>
      <c r="N1884" s="10"/>
      <c r="O1884" s="4"/>
      <c r="P1884" s="4"/>
      <c r="Q1884" s="3"/>
      <c r="R1884" s="3"/>
      <c r="S1884" s="3"/>
      <c r="T1884" s="3"/>
    </row>
    <row r="1885" spans="1:20">
      <c r="A1885" s="3">
        <v>2</v>
      </c>
      <c r="B1885" s="3">
        <v>2</v>
      </c>
      <c r="C1885" s="2">
        <v>25</v>
      </c>
      <c r="D1885" s="2">
        <v>5</v>
      </c>
      <c r="E1885" s="2">
        <v>16</v>
      </c>
      <c r="F1885" s="17">
        <v>110</v>
      </c>
      <c r="H1885" s="360">
        <v>1</v>
      </c>
      <c r="I1885" s="360">
        <v>-1</v>
      </c>
      <c r="K1885" s="363"/>
      <c r="N1885" s="10"/>
      <c r="O1885" s="4"/>
      <c r="P1885" s="4"/>
      <c r="Q1885" s="3"/>
      <c r="R1885" s="3"/>
      <c r="S1885" s="3"/>
      <c r="T1885" s="3"/>
    </row>
    <row r="1886" spans="1:20">
      <c r="A1886" s="3">
        <v>1</v>
      </c>
      <c r="B1886" s="3">
        <v>2</v>
      </c>
      <c r="C1886" s="2">
        <v>25</v>
      </c>
      <c r="D1886" s="2">
        <v>5</v>
      </c>
      <c r="E1886" s="2">
        <v>1</v>
      </c>
      <c r="F1886" s="17">
        <v>111</v>
      </c>
      <c r="H1886" s="360">
        <v>0.21585374889779119</v>
      </c>
      <c r="I1886" s="360">
        <v>1</v>
      </c>
      <c r="K1886" s="363"/>
      <c r="N1886" s="10"/>
      <c r="O1886" s="4"/>
      <c r="P1886" s="4"/>
      <c r="Q1886" s="3"/>
      <c r="R1886" s="3"/>
      <c r="S1886" s="3"/>
      <c r="T1886" s="3"/>
    </row>
    <row r="1887" spans="1:20">
      <c r="A1887" s="3">
        <v>1</v>
      </c>
      <c r="B1887" s="3">
        <v>2</v>
      </c>
      <c r="C1887" s="2">
        <v>25</v>
      </c>
      <c r="D1887" s="2">
        <v>5</v>
      </c>
      <c r="E1887" s="2">
        <v>16</v>
      </c>
      <c r="F1887" s="17">
        <v>111</v>
      </c>
      <c r="H1887" s="360">
        <v>1</v>
      </c>
      <c r="I1887" s="360">
        <v>1</v>
      </c>
      <c r="K1887" s="363"/>
      <c r="N1887" s="10"/>
      <c r="O1887" s="4"/>
      <c r="P1887" s="4"/>
      <c r="Q1887" s="3"/>
      <c r="R1887" s="3"/>
      <c r="S1887" s="3"/>
      <c r="T1887" s="3"/>
    </row>
    <row r="1888" spans="1:20">
      <c r="A1888" s="3">
        <v>2</v>
      </c>
      <c r="B1888" s="3">
        <v>2</v>
      </c>
      <c r="C1888" s="2">
        <v>25</v>
      </c>
      <c r="D1888" s="2">
        <v>5</v>
      </c>
      <c r="E1888" s="2">
        <v>1</v>
      </c>
      <c r="F1888" s="17">
        <v>111</v>
      </c>
      <c r="H1888" s="360">
        <v>8.5734812576200858E-2</v>
      </c>
      <c r="I1888" s="360">
        <v>1</v>
      </c>
      <c r="K1888" s="363"/>
      <c r="N1888" s="10"/>
      <c r="O1888" s="4"/>
      <c r="P1888" s="4"/>
      <c r="Q1888" s="3"/>
      <c r="R1888" s="3"/>
      <c r="S1888" s="3"/>
      <c r="T1888" s="3"/>
    </row>
    <row r="1889" spans="1:20">
      <c r="A1889" s="3">
        <v>1</v>
      </c>
      <c r="B1889" s="3">
        <v>1</v>
      </c>
      <c r="C1889" s="2">
        <v>25</v>
      </c>
      <c r="D1889" s="2">
        <v>5</v>
      </c>
      <c r="E1889" s="2">
        <v>1</v>
      </c>
      <c r="F1889" s="17">
        <v>111</v>
      </c>
      <c r="H1889" s="360">
        <v>1</v>
      </c>
      <c r="I1889" s="360">
        <v>1</v>
      </c>
      <c r="K1889" s="363"/>
      <c r="N1889" s="10"/>
      <c r="O1889" s="4"/>
      <c r="P1889" s="4"/>
      <c r="Q1889" s="3"/>
      <c r="R1889" s="3"/>
      <c r="S1889" s="3"/>
      <c r="T1889" s="3"/>
    </row>
    <row r="1890" spans="1:20">
      <c r="A1890" s="3">
        <v>1</v>
      </c>
      <c r="B1890" s="3">
        <v>1</v>
      </c>
      <c r="C1890" s="2">
        <v>25</v>
      </c>
      <c r="D1890" s="2">
        <v>5</v>
      </c>
      <c r="E1890" s="2">
        <v>16</v>
      </c>
      <c r="F1890" s="17">
        <v>111</v>
      </c>
      <c r="H1890" s="360">
        <v>1</v>
      </c>
      <c r="I1890" s="360">
        <v>1</v>
      </c>
      <c r="K1890" s="363"/>
      <c r="N1890" s="10"/>
      <c r="O1890" s="4"/>
      <c r="P1890" s="4"/>
      <c r="Q1890" s="3"/>
      <c r="R1890" s="3"/>
      <c r="S1890" s="3"/>
      <c r="T1890" s="3"/>
    </row>
    <row r="1891" spans="1:20">
      <c r="A1891" s="3">
        <v>1</v>
      </c>
      <c r="B1891" s="3">
        <v>1</v>
      </c>
      <c r="C1891" s="2">
        <v>25</v>
      </c>
      <c r="D1891" s="2">
        <v>30</v>
      </c>
      <c r="E1891" s="2">
        <v>16</v>
      </c>
      <c r="F1891" s="17">
        <v>111</v>
      </c>
      <c r="H1891" s="360">
        <v>1</v>
      </c>
      <c r="I1891" s="360">
        <v>1</v>
      </c>
      <c r="K1891" s="363"/>
      <c r="N1891" s="10"/>
      <c r="O1891" s="4"/>
      <c r="P1891" s="4"/>
      <c r="Q1891" s="3"/>
      <c r="R1891" s="3"/>
      <c r="S1891" s="3"/>
      <c r="T1891" s="3"/>
    </row>
    <row r="1892" spans="1:20">
      <c r="A1892" s="3">
        <v>2</v>
      </c>
      <c r="B1892" s="3">
        <v>1</v>
      </c>
      <c r="C1892" s="2">
        <v>25</v>
      </c>
      <c r="D1892" s="2">
        <v>5</v>
      </c>
      <c r="E1892" s="2">
        <v>1</v>
      </c>
      <c r="F1892" s="17">
        <v>111</v>
      </c>
      <c r="H1892" s="360">
        <v>0.72276733803483584</v>
      </c>
      <c r="I1892" s="360">
        <v>1</v>
      </c>
      <c r="K1892" s="363"/>
      <c r="N1892" s="10"/>
      <c r="O1892" s="4"/>
      <c r="P1892" s="4"/>
      <c r="Q1892" s="3"/>
      <c r="R1892" s="3"/>
      <c r="S1892" s="3"/>
      <c r="T1892" s="3"/>
    </row>
    <row r="1893" spans="1:20">
      <c r="A1893" s="3">
        <v>2</v>
      </c>
      <c r="B1893" s="3">
        <v>1</v>
      </c>
      <c r="C1893" s="2">
        <v>25</v>
      </c>
      <c r="D1893" s="2">
        <v>5</v>
      </c>
      <c r="E1893" s="2">
        <v>16</v>
      </c>
      <c r="F1893" s="17">
        <v>111</v>
      </c>
      <c r="H1893" s="360">
        <v>1</v>
      </c>
      <c r="I1893" s="360">
        <v>1</v>
      </c>
      <c r="K1893" s="363"/>
      <c r="N1893" s="10"/>
      <c r="O1893" s="4"/>
      <c r="P1893" s="4"/>
      <c r="Q1893" s="3"/>
      <c r="R1893" s="3"/>
      <c r="S1893" s="3"/>
      <c r="T1893" s="3"/>
    </row>
    <row r="1894" spans="1:20">
      <c r="A1894" s="3">
        <v>1</v>
      </c>
      <c r="B1894" s="3">
        <v>2</v>
      </c>
      <c r="C1894" s="2">
        <v>25</v>
      </c>
      <c r="D1894" s="2">
        <v>5</v>
      </c>
      <c r="E1894" s="2">
        <v>16</v>
      </c>
      <c r="F1894" s="17">
        <v>111</v>
      </c>
      <c r="H1894" s="360">
        <v>1</v>
      </c>
      <c r="I1894" s="360">
        <v>0.99809022810398262</v>
      </c>
      <c r="K1894" s="363"/>
      <c r="N1894" s="10"/>
      <c r="O1894" s="4"/>
      <c r="P1894" s="4"/>
      <c r="Q1894" s="3"/>
      <c r="R1894" s="3"/>
      <c r="S1894" s="3"/>
      <c r="T1894" s="3"/>
    </row>
    <row r="1895" spans="1:20">
      <c r="A1895" s="3">
        <v>1</v>
      </c>
      <c r="B1895" s="3">
        <v>2</v>
      </c>
      <c r="C1895" s="2">
        <v>25</v>
      </c>
      <c r="D1895" s="2">
        <v>30</v>
      </c>
      <c r="E1895" s="2">
        <v>16</v>
      </c>
      <c r="F1895" s="17">
        <v>111</v>
      </c>
      <c r="H1895" s="360">
        <v>1</v>
      </c>
      <c r="I1895" s="360">
        <v>0.98777889068896674</v>
      </c>
      <c r="K1895" s="363"/>
      <c r="N1895" s="10"/>
      <c r="O1895" s="4"/>
      <c r="P1895" s="4"/>
      <c r="Q1895" s="3"/>
      <c r="R1895" s="3"/>
      <c r="S1895" s="3"/>
      <c r="T1895" s="3"/>
    </row>
    <row r="1896" spans="1:20">
      <c r="A1896" s="3">
        <v>3</v>
      </c>
      <c r="B1896" s="3">
        <v>2</v>
      </c>
      <c r="C1896" s="2">
        <v>25</v>
      </c>
      <c r="D1896" s="2">
        <v>5</v>
      </c>
      <c r="E1896" s="2">
        <v>1</v>
      </c>
      <c r="F1896" s="17">
        <v>111</v>
      </c>
      <c r="H1896" s="360">
        <v>0.98132298080999325</v>
      </c>
      <c r="I1896" s="360">
        <v>0.9411077544619959</v>
      </c>
      <c r="K1896" s="363"/>
      <c r="N1896" s="10"/>
      <c r="O1896" s="4"/>
      <c r="P1896" s="4"/>
      <c r="Q1896" s="3"/>
      <c r="R1896" s="3"/>
      <c r="S1896" s="3"/>
      <c r="T1896" s="3"/>
    </row>
    <row r="1897" spans="1:20">
      <c r="A1897" s="3">
        <v>3</v>
      </c>
      <c r="B1897" s="3">
        <v>2</v>
      </c>
      <c r="C1897" s="2">
        <v>25</v>
      </c>
      <c r="D1897" s="2">
        <v>5</v>
      </c>
      <c r="E1897" s="2">
        <v>16</v>
      </c>
      <c r="F1897" s="17">
        <v>111</v>
      </c>
      <c r="H1897" s="360">
        <v>1</v>
      </c>
      <c r="I1897" s="360">
        <v>0.92919497401924944</v>
      </c>
      <c r="K1897" s="363"/>
      <c r="N1897" s="10"/>
      <c r="O1897" s="4"/>
      <c r="P1897" s="4"/>
      <c r="Q1897" s="3"/>
      <c r="R1897" s="3"/>
      <c r="S1897" s="3"/>
      <c r="T1897" s="3"/>
    </row>
    <row r="1898" spans="1:20">
      <c r="A1898" s="3">
        <v>3</v>
      </c>
      <c r="B1898" s="3">
        <v>1</v>
      </c>
      <c r="C1898" s="2">
        <v>25</v>
      </c>
      <c r="D1898" s="2">
        <v>5</v>
      </c>
      <c r="E1898" s="2">
        <v>1</v>
      </c>
      <c r="F1898" s="17">
        <v>111</v>
      </c>
      <c r="H1898" s="360">
        <v>0.36789281166364429</v>
      </c>
      <c r="I1898" s="360">
        <v>0.91680186525477247</v>
      </c>
      <c r="K1898" s="363"/>
      <c r="N1898" s="10"/>
      <c r="O1898" s="4"/>
      <c r="P1898" s="4"/>
      <c r="Q1898" s="3"/>
      <c r="R1898" s="3"/>
      <c r="S1898" s="3"/>
      <c r="T1898" s="3"/>
    </row>
    <row r="1899" spans="1:20">
      <c r="A1899" s="3">
        <v>3</v>
      </c>
      <c r="B1899" s="3">
        <v>1</v>
      </c>
      <c r="C1899" s="2">
        <v>25</v>
      </c>
      <c r="D1899" s="2">
        <v>5</v>
      </c>
      <c r="E1899" s="2">
        <v>16</v>
      </c>
      <c r="F1899" s="17">
        <v>111</v>
      </c>
      <c r="H1899" s="360">
        <v>0.97363320714859525</v>
      </c>
      <c r="I1899" s="360">
        <v>0.8672605642165615</v>
      </c>
      <c r="K1899" s="363"/>
      <c r="N1899" s="10"/>
      <c r="O1899" s="4"/>
      <c r="P1899" s="4"/>
      <c r="Q1899" s="3"/>
      <c r="R1899" s="3"/>
      <c r="S1899" s="3"/>
      <c r="T1899" s="3"/>
    </row>
    <row r="1900" spans="1:20">
      <c r="A1900" s="3">
        <v>2</v>
      </c>
      <c r="B1900" s="3">
        <v>2</v>
      </c>
      <c r="C1900" s="2">
        <v>25</v>
      </c>
      <c r="D1900" s="2">
        <v>5</v>
      </c>
      <c r="E1900" s="2">
        <v>16</v>
      </c>
      <c r="F1900" s="17">
        <v>111</v>
      </c>
      <c r="H1900" s="360">
        <v>0.80456773054994457</v>
      </c>
      <c r="I1900" s="360">
        <v>0.86021711519566724</v>
      </c>
      <c r="K1900" s="363"/>
      <c r="N1900" s="10"/>
      <c r="O1900" s="4"/>
      <c r="P1900" s="4"/>
      <c r="Q1900" s="3"/>
      <c r="R1900" s="3"/>
      <c r="S1900" s="3"/>
      <c r="T1900" s="3"/>
    </row>
    <row r="1901" spans="1:20">
      <c r="A1901" s="3">
        <v>4</v>
      </c>
      <c r="B1901" s="3">
        <v>2</v>
      </c>
      <c r="C1901" s="2">
        <v>50</v>
      </c>
      <c r="D1901" s="2">
        <v>5</v>
      </c>
      <c r="E1901" s="2">
        <v>16</v>
      </c>
      <c r="F1901" s="17">
        <v>111</v>
      </c>
      <c r="H1901" s="360">
        <v>0.37140336971000365</v>
      </c>
      <c r="I1901" s="360">
        <v>5.8255561013262229E-2</v>
      </c>
      <c r="K1901" s="363"/>
      <c r="N1901" s="10"/>
      <c r="O1901" s="4"/>
      <c r="P1901" s="4"/>
      <c r="Q1901" s="3"/>
      <c r="R1901" s="3"/>
      <c r="S1901" s="3"/>
      <c r="T1901" s="3"/>
    </row>
    <row r="1902" spans="1:20">
      <c r="A1902" s="3">
        <v>5</v>
      </c>
      <c r="B1902" s="3">
        <v>2</v>
      </c>
      <c r="C1902" s="2">
        <v>50</v>
      </c>
      <c r="D1902" s="2">
        <v>5</v>
      </c>
      <c r="E1902" s="2">
        <v>16</v>
      </c>
      <c r="F1902" s="17">
        <v>111</v>
      </c>
      <c r="H1902" s="360">
        <v>0.91690296165468677</v>
      </c>
      <c r="I1902" s="360">
        <v>4.9531228715404538E-2</v>
      </c>
      <c r="K1902" s="363"/>
      <c r="N1902" s="10"/>
      <c r="O1902" s="4"/>
      <c r="P1902" s="4"/>
      <c r="Q1902" s="3"/>
      <c r="R1902" s="3"/>
      <c r="S1902" s="3"/>
      <c r="T1902" s="3"/>
    </row>
    <row r="1903" spans="1:20">
      <c r="A1903" s="3">
        <v>5</v>
      </c>
      <c r="B1903" s="3">
        <v>2</v>
      </c>
      <c r="C1903" s="2">
        <v>25</v>
      </c>
      <c r="D1903" s="2">
        <v>5</v>
      </c>
      <c r="E1903" s="2">
        <v>16</v>
      </c>
      <c r="F1903" s="17">
        <v>111</v>
      </c>
      <c r="H1903" s="360">
        <v>5.9671265393701711E-2</v>
      </c>
      <c r="I1903" s="360">
        <v>-0.10512082246040599</v>
      </c>
      <c r="K1903" s="363"/>
      <c r="N1903" s="10"/>
      <c r="O1903" s="4"/>
      <c r="P1903" s="4"/>
      <c r="Q1903" s="3"/>
      <c r="R1903" s="3"/>
      <c r="S1903" s="3"/>
      <c r="T1903" s="3"/>
    </row>
    <row r="1904" spans="1:20">
      <c r="A1904" s="3">
        <v>4</v>
      </c>
      <c r="B1904" s="3">
        <v>2</v>
      </c>
      <c r="C1904" s="2">
        <v>50</v>
      </c>
      <c r="D1904" s="2">
        <v>5</v>
      </c>
      <c r="E1904" s="2">
        <v>16</v>
      </c>
      <c r="F1904" s="17">
        <v>112</v>
      </c>
      <c r="H1904" s="360">
        <v>1</v>
      </c>
      <c r="I1904" s="360">
        <v>0.22467882481519361</v>
      </c>
      <c r="K1904" s="363"/>
      <c r="N1904" s="10"/>
      <c r="O1904" s="4"/>
      <c r="P1904" s="4"/>
      <c r="Q1904" s="3"/>
      <c r="R1904" s="3"/>
      <c r="S1904" s="3"/>
      <c r="T1904" s="3"/>
    </row>
    <row r="1905" spans="1:20">
      <c r="A1905" s="3">
        <v>2</v>
      </c>
      <c r="B1905" s="3">
        <v>1</v>
      </c>
      <c r="C1905" s="2">
        <v>25</v>
      </c>
      <c r="D1905" s="2">
        <v>5</v>
      </c>
      <c r="E1905" s="2">
        <v>1</v>
      </c>
      <c r="F1905" s="17">
        <v>112</v>
      </c>
      <c r="H1905" s="360">
        <v>1</v>
      </c>
      <c r="I1905" s="360">
        <v>0.18023097011076594</v>
      </c>
      <c r="K1905" s="363"/>
      <c r="N1905" s="10"/>
      <c r="O1905" s="4"/>
      <c r="P1905" s="4"/>
      <c r="Q1905" s="3"/>
      <c r="R1905" s="3"/>
      <c r="S1905" s="3"/>
      <c r="T1905" s="3"/>
    </row>
    <row r="1906" spans="1:20">
      <c r="A1906" s="3">
        <v>2</v>
      </c>
      <c r="B1906" s="3">
        <v>1</v>
      </c>
      <c r="C1906" s="2">
        <v>25</v>
      </c>
      <c r="D1906" s="2">
        <v>5</v>
      </c>
      <c r="E1906" s="2">
        <v>16</v>
      </c>
      <c r="F1906" s="17">
        <v>112</v>
      </c>
      <c r="H1906" s="360">
        <v>1</v>
      </c>
      <c r="I1906" s="360">
        <v>0.14090873634524806</v>
      </c>
      <c r="K1906" s="363"/>
      <c r="N1906" s="10"/>
      <c r="O1906" s="4"/>
      <c r="P1906" s="4"/>
      <c r="Q1906" s="3"/>
      <c r="R1906" s="3"/>
      <c r="S1906" s="3"/>
      <c r="T1906" s="3"/>
    </row>
    <row r="1907" spans="1:20">
      <c r="A1907" s="3">
        <v>2</v>
      </c>
      <c r="B1907" s="3">
        <v>2</v>
      </c>
      <c r="C1907" s="2">
        <v>25</v>
      </c>
      <c r="D1907" s="2">
        <v>5</v>
      </c>
      <c r="E1907" s="2">
        <v>1</v>
      </c>
      <c r="F1907" s="17">
        <v>112</v>
      </c>
      <c r="H1907" s="360">
        <v>0.99712372246327585</v>
      </c>
      <c r="I1907" s="360">
        <v>0.11532130643374532</v>
      </c>
      <c r="K1907" s="363"/>
      <c r="N1907" s="10"/>
      <c r="O1907" s="4"/>
      <c r="P1907" s="4"/>
      <c r="Q1907" s="3"/>
      <c r="R1907" s="3"/>
      <c r="S1907" s="3"/>
      <c r="T1907" s="3"/>
    </row>
    <row r="1908" spans="1:20">
      <c r="A1908" s="3">
        <v>2</v>
      </c>
      <c r="B1908" s="3">
        <v>2</v>
      </c>
      <c r="C1908" s="2">
        <v>25</v>
      </c>
      <c r="D1908" s="2">
        <v>5</v>
      </c>
      <c r="E1908" s="2">
        <v>16</v>
      </c>
      <c r="F1908" s="17">
        <v>112</v>
      </c>
      <c r="H1908" s="360">
        <v>1</v>
      </c>
      <c r="I1908" s="360">
        <v>0.11303802618677589</v>
      </c>
      <c r="K1908" s="363"/>
      <c r="N1908" s="10"/>
      <c r="O1908" s="4"/>
      <c r="P1908" s="4"/>
      <c r="Q1908" s="3"/>
      <c r="R1908" s="3"/>
      <c r="S1908" s="3"/>
      <c r="T1908" s="3"/>
    </row>
    <row r="1909" spans="1:20">
      <c r="A1909" s="3">
        <v>1</v>
      </c>
      <c r="B1909" s="3">
        <v>2</v>
      </c>
      <c r="C1909" s="2">
        <v>25</v>
      </c>
      <c r="D1909" s="2">
        <v>5</v>
      </c>
      <c r="E1909" s="2">
        <v>16</v>
      </c>
      <c r="F1909" s="17">
        <v>112</v>
      </c>
      <c r="H1909" s="360">
        <v>1</v>
      </c>
      <c r="I1909" s="360">
        <v>-2.2283028056826207E-2</v>
      </c>
      <c r="K1909" s="363"/>
      <c r="N1909" s="10"/>
      <c r="O1909" s="4"/>
      <c r="P1909" s="4"/>
      <c r="Q1909" s="3"/>
      <c r="R1909" s="3"/>
      <c r="S1909" s="3"/>
      <c r="T1909" s="3"/>
    </row>
    <row r="1910" spans="1:20">
      <c r="A1910" s="3">
        <v>1</v>
      </c>
      <c r="B1910" s="3">
        <v>2</v>
      </c>
      <c r="C1910" s="2">
        <v>25</v>
      </c>
      <c r="D1910" s="2">
        <v>5</v>
      </c>
      <c r="E1910" s="2">
        <v>1</v>
      </c>
      <c r="F1910" s="17">
        <v>112</v>
      </c>
      <c r="H1910" s="360">
        <v>0.26460626729093129</v>
      </c>
      <c r="I1910" s="360">
        <v>-2.411334568584142E-2</v>
      </c>
      <c r="K1910" s="363"/>
      <c r="N1910" s="10"/>
      <c r="O1910" s="4"/>
      <c r="P1910" s="4"/>
      <c r="Q1910" s="3"/>
      <c r="R1910" s="3"/>
      <c r="S1910" s="3"/>
      <c r="T1910" s="3"/>
    </row>
    <row r="1911" spans="1:20">
      <c r="A1911" s="3">
        <v>1</v>
      </c>
      <c r="B1911" s="3">
        <v>2</v>
      </c>
      <c r="C1911" s="2">
        <v>25</v>
      </c>
      <c r="D1911" s="2">
        <v>5</v>
      </c>
      <c r="E1911" s="2">
        <v>16</v>
      </c>
      <c r="F1911" s="17">
        <v>112</v>
      </c>
      <c r="H1911" s="360">
        <v>1</v>
      </c>
      <c r="I1911" s="360">
        <v>-2.6092742523236803E-2</v>
      </c>
      <c r="K1911" s="363"/>
      <c r="N1911" s="10"/>
      <c r="O1911" s="4"/>
      <c r="P1911" s="4"/>
      <c r="Q1911" s="3"/>
      <c r="R1911" s="3"/>
      <c r="S1911" s="3"/>
      <c r="T1911" s="3"/>
    </row>
    <row r="1912" spans="1:20">
      <c r="A1912" s="3">
        <v>1</v>
      </c>
      <c r="B1912" s="3">
        <v>2</v>
      </c>
      <c r="C1912" s="2">
        <v>25</v>
      </c>
      <c r="D1912" s="2">
        <v>30</v>
      </c>
      <c r="E1912" s="2">
        <v>16</v>
      </c>
      <c r="F1912" s="17">
        <v>112</v>
      </c>
      <c r="H1912" s="360">
        <v>1</v>
      </c>
      <c r="I1912" s="360">
        <v>-2.9090476760677834E-2</v>
      </c>
      <c r="K1912" s="363"/>
      <c r="N1912" s="10"/>
      <c r="O1912" s="4"/>
      <c r="P1912" s="4"/>
      <c r="Q1912" s="3"/>
      <c r="R1912" s="3"/>
      <c r="S1912" s="3"/>
      <c r="T1912" s="3"/>
    </row>
    <row r="1913" spans="1:20">
      <c r="A1913" s="3">
        <v>3</v>
      </c>
      <c r="B1913" s="3">
        <v>2</v>
      </c>
      <c r="C1913" s="2">
        <v>25</v>
      </c>
      <c r="D1913" s="2">
        <v>5</v>
      </c>
      <c r="E1913" s="2">
        <v>1</v>
      </c>
      <c r="F1913" s="17">
        <v>112</v>
      </c>
      <c r="H1913" s="360">
        <v>1</v>
      </c>
      <c r="I1913" s="360">
        <v>-6.8411211499111321E-2</v>
      </c>
      <c r="K1913" s="363"/>
      <c r="N1913" s="10"/>
      <c r="O1913" s="4"/>
      <c r="P1913" s="4"/>
      <c r="Q1913" s="3"/>
      <c r="R1913" s="3"/>
      <c r="S1913" s="3"/>
      <c r="T1913" s="3"/>
    </row>
    <row r="1914" spans="1:20">
      <c r="A1914" s="3">
        <v>3</v>
      </c>
      <c r="B1914" s="3">
        <v>2</v>
      </c>
      <c r="C1914" s="2">
        <v>25</v>
      </c>
      <c r="D1914" s="2">
        <v>5</v>
      </c>
      <c r="E1914" s="2">
        <v>16</v>
      </c>
      <c r="F1914" s="17">
        <v>112</v>
      </c>
      <c r="H1914" s="360">
        <v>1</v>
      </c>
      <c r="I1914" s="360">
        <v>-7.7563576948773999E-2</v>
      </c>
      <c r="K1914" s="363"/>
      <c r="N1914" s="10"/>
      <c r="O1914" s="4"/>
      <c r="P1914" s="4"/>
      <c r="Q1914" s="3"/>
      <c r="R1914" s="3"/>
      <c r="S1914" s="3"/>
      <c r="T1914" s="3"/>
    </row>
    <row r="1915" spans="1:20">
      <c r="A1915" s="3">
        <v>1</v>
      </c>
      <c r="B1915" s="3">
        <v>1</v>
      </c>
      <c r="C1915" s="2">
        <v>25</v>
      </c>
      <c r="D1915" s="2">
        <v>5</v>
      </c>
      <c r="E1915" s="2">
        <v>1</v>
      </c>
      <c r="F1915" s="17">
        <v>112</v>
      </c>
      <c r="H1915" s="360">
        <v>1</v>
      </c>
      <c r="I1915" s="360">
        <v>-8.7499210608337971E-2</v>
      </c>
      <c r="K1915" s="363"/>
      <c r="N1915" s="10"/>
      <c r="O1915" s="4"/>
      <c r="P1915" s="4"/>
      <c r="Q1915" s="3"/>
      <c r="R1915" s="3"/>
      <c r="S1915" s="3"/>
      <c r="T1915" s="3"/>
    </row>
    <row r="1916" spans="1:20">
      <c r="A1916" s="3">
        <v>1</v>
      </c>
      <c r="B1916" s="3">
        <v>1</v>
      </c>
      <c r="C1916" s="2">
        <v>25</v>
      </c>
      <c r="D1916" s="2">
        <v>5</v>
      </c>
      <c r="E1916" s="2">
        <v>16</v>
      </c>
      <c r="F1916" s="17">
        <v>112</v>
      </c>
      <c r="H1916" s="360">
        <v>1</v>
      </c>
      <c r="I1916" s="360">
        <v>-9.1614032773489687E-2</v>
      </c>
      <c r="K1916" s="363"/>
      <c r="N1916" s="10"/>
      <c r="O1916" s="4"/>
      <c r="P1916" s="4"/>
      <c r="Q1916" s="3"/>
      <c r="R1916" s="3"/>
      <c r="S1916" s="3"/>
      <c r="T1916" s="3"/>
    </row>
    <row r="1917" spans="1:20">
      <c r="A1917" s="3">
        <v>5</v>
      </c>
      <c r="B1917" s="3">
        <v>2</v>
      </c>
      <c r="C1917" s="2">
        <v>25</v>
      </c>
      <c r="D1917" s="2">
        <v>5</v>
      </c>
      <c r="E1917" s="2">
        <v>16</v>
      </c>
      <c r="F1917" s="17">
        <v>112</v>
      </c>
      <c r="H1917" s="360">
        <v>1</v>
      </c>
      <c r="I1917" s="360">
        <v>-0.10329624097531906</v>
      </c>
      <c r="K1917" s="363"/>
      <c r="N1917" s="10"/>
      <c r="O1917" s="4"/>
      <c r="P1917" s="4"/>
      <c r="Q1917" s="3"/>
      <c r="R1917" s="3"/>
      <c r="S1917" s="3"/>
      <c r="T1917" s="3"/>
    </row>
    <row r="1918" spans="1:20">
      <c r="A1918" s="3">
        <v>5</v>
      </c>
      <c r="B1918" s="3">
        <v>2</v>
      </c>
      <c r="C1918" s="2">
        <v>50</v>
      </c>
      <c r="D1918" s="2">
        <v>5</v>
      </c>
      <c r="E1918" s="2">
        <v>16</v>
      </c>
      <c r="F1918" s="17">
        <v>112</v>
      </c>
      <c r="H1918" s="360">
        <v>1</v>
      </c>
      <c r="I1918" s="360">
        <v>-0.10927385659904158</v>
      </c>
      <c r="K1918" s="363"/>
      <c r="N1918" s="10"/>
      <c r="O1918" s="4"/>
      <c r="P1918" s="4"/>
      <c r="Q1918" s="3"/>
      <c r="R1918" s="3"/>
      <c r="S1918" s="3"/>
      <c r="T1918" s="3"/>
    </row>
    <row r="1919" spans="1:20">
      <c r="A1919" s="3">
        <v>1</v>
      </c>
      <c r="B1919" s="3">
        <v>1</v>
      </c>
      <c r="C1919" s="2">
        <v>25</v>
      </c>
      <c r="D1919" s="2">
        <v>30</v>
      </c>
      <c r="E1919" s="2">
        <v>16</v>
      </c>
      <c r="F1919" s="17">
        <v>112</v>
      </c>
      <c r="H1919" s="360">
        <v>1</v>
      </c>
      <c r="I1919" s="360">
        <v>-0.11850726893208248</v>
      </c>
      <c r="K1919" s="363"/>
      <c r="N1919" s="10"/>
      <c r="O1919" s="4"/>
      <c r="P1919" s="4"/>
      <c r="Q1919" s="3"/>
      <c r="R1919" s="3"/>
      <c r="S1919" s="3"/>
      <c r="T1919" s="3"/>
    </row>
    <row r="1920" spans="1:20">
      <c r="A1920" s="3">
        <v>3</v>
      </c>
      <c r="B1920" s="3">
        <v>1</v>
      </c>
      <c r="C1920" s="2">
        <v>25</v>
      </c>
      <c r="D1920" s="2">
        <v>5</v>
      </c>
      <c r="E1920" s="2">
        <v>16</v>
      </c>
      <c r="F1920" s="17">
        <v>112</v>
      </c>
      <c r="H1920" s="360">
        <v>1</v>
      </c>
      <c r="I1920" s="360">
        <v>-0.20189563465098304</v>
      </c>
      <c r="K1920" s="363"/>
      <c r="N1920" s="10"/>
      <c r="O1920" s="4"/>
      <c r="P1920" s="4"/>
      <c r="Q1920" s="3"/>
      <c r="R1920" s="3"/>
      <c r="S1920" s="3"/>
      <c r="T1920" s="3"/>
    </row>
    <row r="1921" spans="1:20">
      <c r="A1921" s="3">
        <v>3</v>
      </c>
      <c r="B1921" s="3">
        <v>1</v>
      </c>
      <c r="C1921" s="2">
        <v>25</v>
      </c>
      <c r="D1921" s="2">
        <v>5</v>
      </c>
      <c r="E1921" s="2">
        <v>1</v>
      </c>
      <c r="F1921" s="17">
        <v>112</v>
      </c>
      <c r="H1921" s="360">
        <v>0.9836468234961645</v>
      </c>
      <c r="I1921" s="360">
        <v>-0.22314269147331714</v>
      </c>
      <c r="K1921" s="363"/>
      <c r="N1921" s="10"/>
      <c r="O1921" s="4"/>
      <c r="P1921" s="4"/>
      <c r="Q1921" s="3"/>
      <c r="R1921" s="3"/>
      <c r="S1921" s="3"/>
      <c r="T1921" s="3"/>
    </row>
    <row r="1922" spans="1:20">
      <c r="A1922" s="3">
        <v>2</v>
      </c>
      <c r="B1922" s="3">
        <v>2</v>
      </c>
      <c r="C1922" s="2">
        <v>25</v>
      </c>
      <c r="D1922" s="2">
        <v>5</v>
      </c>
      <c r="E1922" s="2">
        <v>1</v>
      </c>
      <c r="F1922" s="17">
        <v>113</v>
      </c>
      <c r="H1922" s="360">
        <v>0.67262754501870126</v>
      </c>
      <c r="I1922" s="360">
        <v>1</v>
      </c>
      <c r="K1922" s="363"/>
      <c r="N1922" s="10"/>
      <c r="O1922" s="4"/>
      <c r="P1922" s="4"/>
      <c r="Q1922" s="3"/>
      <c r="R1922" s="3"/>
      <c r="S1922" s="3"/>
      <c r="T1922" s="3"/>
    </row>
    <row r="1923" spans="1:20">
      <c r="A1923" s="3">
        <v>2</v>
      </c>
      <c r="B1923" s="3">
        <v>2</v>
      </c>
      <c r="C1923" s="2">
        <v>25</v>
      </c>
      <c r="D1923" s="2">
        <v>5</v>
      </c>
      <c r="E1923" s="2">
        <v>16</v>
      </c>
      <c r="F1923" s="17">
        <v>113</v>
      </c>
      <c r="H1923" s="360">
        <v>1</v>
      </c>
      <c r="I1923" s="360">
        <v>1</v>
      </c>
      <c r="K1923" s="363"/>
      <c r="N1923" s="10"/>
      <c r="O1923" s="4"/>
      <c r="P1923" s="4"/>
      <c r="Q1923" s="3"/>
      <c r="R1923" s="3"/>
      <c r="S1923" s="3"/>
      <c r="T1923" s="3"/>
    </row>
    <row r="1924" spans="1:20">
      <c r="A1924" s="3">
        <v>1</v>
      </c>
      <c r="B1924" s="3">
        <v>1</v>
      </c>
      <c r="C1924" s="2">
        <v>25</v>
      </c>
      <c r="D1924" s="2">
        <v>5</v>
      </c>
      <c r="E1924" s="2">
        <v>16</v>
      </c>
      <c r="F1924" s="17">
        <v>113</v>
      </c>
      <c r="H1924" s="360">
        <v>1</v>
      </c>
      <c r="I1924" s="360">
        <v>0.98640479918929236</v>
      </c>
      <c r="K1924" s="363"/>
      <c r="N1924" s="10"/>
      <c r="O1924" s="4"/>
      <c r="P1924" s="4"/>
      <c r="Q1924" s="3"/>
      <c r="R1924" s="3"/>
      <c r="S1924" s="3"/>
      <c r="T1924" s="3"/>
    </row>
    <row r="1925" spans="1:20">
      <c r="A1925" s="3">
        <v>1</v>
      </c>
      <c r="B1925" s="3">
        <v>1</v>
      </c>
      <c r="C1925" s="2">
        <v>25</v>
      </c>
      <c r="D1925" s="2">
        <v>5</v>
      </c>
      <c r="E1925" s="2">
        <v>1</v>
      </c>
      <c r="F1925" s="17">
        <v>113</v>
      </c>
      <c r="H1925" s="360">
        <v>1</v>
      </c>
      <c r="I1925" s="360">
        <v>0.98386222338006157</v>
      </c>
      <c r="K1925" s="363"/>
      <c r="N1925" s="10"/>
      <c r="O1925" s="4"/>
      <c r="P1925" s="4"/>
      <c r="Q1925" s="3"/>
      <c r="R1925" s="3"/>
      <c r="S1925" s="3"/>
      <c r="T1925" s="3"/>
    </row>
    <row r="1926" spans="1:20">
      <c r="A1926" s="3">
        <v>1</v>
      </c>
      <c r="B1926" s="3">
        <v>2</v>
      </c>
      <c r="C1926" s="2">
        <v>25</v>
      </c>
      <c r="D1926" s="2">
        <v>5</v>
      </c>
      <c r="E1926" s="2">
        <v>1</v>
      </c>
      <c r="F1926" s="17">
        <v>113</v>
      </c>
      <c r="H1926" s="360">
        <v>0.8938745881844401</v>
      </c>
      <c r="I1926" s="360">
        <v>0.98385298990811865</v>
      </c>
      <c r="K1926" s="363"/>
      <c r="N1926" s="10"/>
      <c r="O1926" s="4"/>
      <c r="P1926" s="4"/>
      <c r="Q1926" s="3"/>
      <c r="R1926" s="3"/>
      <c r="S1926" s="3"/>
      <c r="T1926" s="3"/>
    </row>
    <row r="1927" spans="1:20">
      <c r="A1927" s="3">
        <v>1</v>
      </c>
      <c r="B1927" s="3">
        <v>2</v>
      </c>
      <c r="C1927" s="2">
        <v>25</v>
      </c>
      <c r="D1927" s="2">
        <v>5</v>
      </c>
      <c r="E1927" s="2">
        <v>16</v>
      </c>
      <c r="F1927" s="17">
        <v>113</v>
      </c>
      <c r="H1927" s="360">
        <v>1</v>
      </c>
      <c r="I1927" s="360">
        <v>0.97966132933993777</v>
      </c>
      <c r="K1927" s="363"/>
      <c r="N1927" s="10"/>
      <c r="O1927" s="4"/>
      <c r="P1927" s="4"/>
      <c r="Q1927" s="3"/>
      <c r="R1927" s="3"/>
      <c r="S1927" s="3"/>
      <c r="T1927" s="3"/>
    </row>
    <row r="1928" spans="1:20">
      <c r="A1928" s="3">
        <v>1</v>
      </c>
      <c r="B1928" s="3">
        <v>2</v>
      </c>
      <c r="C1928" s="2">
        <v>25</v>
      </c>
      <c r="D1928" s="2">
        <v>5</v>
      </c>
      <c r="E1928" s="2">
        <v>16</v>
      </c>
      <c r="F1928" s="17">
        <v>113</v>
      </c>
      <c r="H1928" s="360">
        <v>1</v>
      </c>
      <c r="I1928" s="360">
        <v>0.97859622861182149</v>
      </c>
      <c r="K1928" s="363"/>
      <c r="N1928" s="10"/>
      <c r="O1928" s="4"/>
      <c r="P1928" s="4"/>
      <c r="Q1928" s="3"/>
      <c r="R1928" s="3"/>
      <c r="S1928" s="3"/>
      <c r="T1928" s="3"/>
    </row>
    <row r="1929" spans="1:20">
      <c r="A1929" s="3">
        <v>1</v>
      </c>
      <c r="B1929" s="3">
        <v>2</v>
      </c>
      <c r="C1929" s="2">
        <v>25</v>
      </c>
      <c r="D1929" s="2">
        <v>30</v>
      </c>
      <c r="E1929" s="2">
        <v>16</v>
      </c>
      <c r="F1929" s="17">
        <v>113</v>
      </c>
      <c r="H1929" s="360">
        <v>1</v>
      </c>
      <c r="I1929" s="360">
        <v>0.95348984503652412</v>
      </c>
      <c r="K1929" s="363"/>
      <c r="N1929" s="10"/>
      <c r="O1929" s="4"/>
      <c r="P1929" s="4"/>
      <c r="Q1929" s="3"/>
      <c r="R1929" s="3"/>
      <c r="S1929" s="3"/>
      <c r="T1929" s="3"/>
    </row>
    <row r="1930" spans="1:20">
      <c r="A1930" s="3">
        <v>2</v>
      </c>
      <c r="B1930" s="3">
        <v>1</v>
      </c>
      <c r="C1930" s="2">
        <v>25</v>
      </c>
      <c r="D1930" s="2">
        <v>5</v>
      </c>
      <c r="E1930" s="2">
        <v>1</v>
      </c>
      <c r="F1930" s="17">
        <v>113</v>
      </c>
      <c r="H1930" s="360">
        <v>0.65885758088921476</v>
      </c>
      <c r="I1930" s="360">
        <v>0.95058055295217059</v>
      </c>
      <c r="K1930" s="363"/>
      <c r="N1930" s="10"/>
      <c r="O1930" s="4"/>
      <c r="P1930" s="4"/>
      <c r="Q1930" s="3"/>
      <c r="R1930" s="3"/>
      <c r="S1930" s="3"/>
      <c r="T1930" s="3"/>
    </row>
    <row r="1931" spans="1:20">
      <c r="A1931" s="3">
        <v>2</v>
      </c>
      <c r="B1931" s="3">
        <v>1</v>
      </c>
      <c r="C1931" s="2">
        <v>25</v>
      </c>
      <c r="D1931" s="2">
        <v>5</v>
      </c>
      <c r="E1931" s="2">
        <v>16</v>
      </c>
      <c r="F1931" s="17">
        <v>113</v>
      </c>
      <c r="H1931" s="360">
        <v>1</v>
      </c>
      <c r="I1931" s="360">
        <v>0.94983155041214118</v>
      </c>
      <c r="K1931" s="363"/>
      <c r="N1931" s="10"/>
      <c r="O1931" s="4"/>
      <c r="P1931" s="4"/>
      <c r="Q1931" s="3"/>
      <c r="R1931" s="3"/>
      <c r="S1931" s="3"/>
      <c r="T1931" s="3"/>
    </row>
    <row r="1932" spans="1:20">
      <c r="A1932" s="3">
        <v>3</v>
      </c>
      <c r="B1932" s="3">
        <v>2</v>
      </c>
      <c r="C1932" s="2">
        <v>25</v>
      </c>
      <c r="D1932" s="2">
        <v>5</v>
      </c>
      <c r="E1932" s="2">
        <v>16</v>
      </c>
      <c r="F1932" s="17">
        <v>113</v>
      </c>
      <c r="H1932" s="360">
        <v>1</v>
      </c>
      <c r="I1932" s="360">
        <v>0.93548274980325563</v>
      </c>
      <c r="K1932" s="363"/>
      <c r="N1932" s="10"/>
      <c r="O1932" s="4"/>
      <c r="P1932" s="4"/>
      <c r="Q1932" s="3"/>
      <c r="R1932" s="3"/>
      <c r="S1932" s="3"/>
      <c r="T1932" s="3"/>
    </row>
    <row r="1933" spans="1:20">
      <c r="A1933" s="3">
        <v>3</v>
      </c>
      <c r="B1933" s="3">
        <v>2</v>
      </c>
      <c r="C1933" s="2">
        <v>25</v>
      </c>
      <c r="D1933" s="2">
        <v>5</v>
      </c>
      <c r="E1933" s="2">
        <v>1</v>
      </c>
      <c r="F1933" s="17">
        <v>113</v>
      </c>
      <c r="H1933" s="360">
        <v>1</v>
      </c>
      <c r="I1933" s="360">
        <v>0.92075348422442072</v>
      </c>
      <c r="K1933" s="363"/>
      <c r="N1933" s="10"/>
      <c r="O1933" s="4"/>
      <c r="P1933" s="4"/>
      <c r="Q1933" s="3"/>
      <c r="R1933" s="3"/>
      <c r="S1933" s="3"/>
      <c r="T1933" s="3"/>
    </row>
    <row r="1934" spans="1:20">
      <c r="A1934" s="3">
        <v>1</v>
      </c>
      <c r="B1934" s="3">
        <v>1</v>
      </c>
      <c r="C1934" s="2">
        <v>25</v>
      </c>
      <c r="D1934" s="2">
        <v>30</v>
      </c>
      <c r="E1934" s="2">
        <v>16</v>
      </c>
      <c r="F1934" s="17">
        <v>113</v>
      </c>
      <c r="H1934" s="360">
        <v>1</v>
      </c>
      <c r="I1934" s="360">
        <v>0.90875102251302209</v>
      </c>
      <c r="K1934" s="363"/>
      <c r="N1934" s="10"/>
      <c r="O1934" s="4"/>
      <c r="P1934" s="4"/>
      <c r="Q1934" s="3"/>
      <c r="R1934" s="3"/>
      <c r="S1934" s="3"/>
      <c r="T1934" s="3"/>
    </row>
    <row r="1935" spans="1:20">
      <c r="A1935" s="3">
        <v>3</v>
      </c>
      <c r="B1935" s="3">
        <v>1</v>
      </c>
      <c r="C1935" s="2">
        <v>25</v>
      </c>
      <c r="D1935" s="2">
        <v>5</v>
      </c>
      <c r="E1935" s="2">
        <v>1</v>
      </c>
      <c r="F1935" s="17">
        <v>113</v>
      </c>
      <c r="H1935" s="360">
        <v>0.96826975168753993</v>
      </c>
      <c r="I1935" s="360">
        <v>0.85598426751419754</v>
      </c>
      <c r="K1935" s="363"/>
      <c r="N1935" s="10"/>
      <c r="O1935" s="4"/>
      <c r="P1935" s="4"/>
      <c r="Q1935" s="3"/>
      <c r="R1935" s="3"/>
      <c r="S1935" s="3"/>
      <c r="T1935" s="3"/>
    </row>
    <row r="1936" spans="1:20">
      <c r="A1936" s="3">
        <v>3</v>
      </c>
      <c r="B1936" s="3">
        <v>1</v>
      </c>
      <c r="C1936" s="2">
        <v>25</v>
      </c>
      <c r="D1936" s="2">
        <v>5</v>
      </c>
      <c r="E1936" s="2">
        <v>16</v>
      </c>
      <c r="F1936" s="17">
        <v>113</v>
      </c>
      <c r="H1936" s="360">
        <v>0.97631894712542211</v>
      </c>
      <c r="I1936" s="360">
        <v>0.84662554370137866</v>
      </c>
      <c r="K1936" s="363"/>
      <c r="N1936" s="10"/>
      <c r="O1936" s="4"/>
      <c r="P1936" s="4"/>
      <c r="Q1936" s="3"/>
      <c r="R1936" s="3"/>
      <c r="S1936" s="3"/>
      <c r="T1936" s="3"/>
    </row>
    <row r="1937" spans="1:20">
      <c r="A1937" s="3">
        <v>4</v>
      </c>
      <c r="B1937" s="3">
        <v>2</v>
      </c>
      <c r="C1937" s="2">
        <v>50</v>
      </c>
      <c r="D1937" s="2">
        <v>5</v>
      </c>
      <c r="E1937" s="2">
        <v>16</v>
      </c>
      <c r="F1937" s="17">
        <v>113</v>
      </c>
      <c r="H1937" s="360">
        <v>0.12646616167077207</v>
      </c>
      <c r="I1937" s="360">
        <v>-0.12433075550267698</v>
      </c>
      <c r="K1937" s="363"/>
      <c r="N1937" s="10"/>
      <c r="O1937" s="4"/>
      <c r="P1937" s="4"/>
      <c r="Q1937" s="3"/>
      <c r="R1937" s="3"/>
      <c r="S1937" s="3"/>
      <c r="T1937" s="3"/>
    </row>
    <row r="1938" spans="1:20">
      <c r="A1938" s="3">
        <v>5</v>
      </c>
      <c r="B1938" s="3">
        <v>2</v>
      </c>
      <c r="C1938" s="2">
        <v>50</v>
      </c>
      <c r="D1938" s="2">
        <v>5</v>
      </c>
      <c r="E1938" s="2">
        <v>16</v>
      </c>
      <c r="F1938" s="17">
        <v>113</v>
      </c>
      <c r="H1938" s="360">
        <v>0.77064756434511517</v>
      </c>
      <c r="I1938" s="360">
        <v>-0.50552909881851493</v>
      </c>
      <c r="K1938" s="363"/>
      <c r="N1938" s="10"/>
      <c r="O1938" s="4"/>
      <c r="P1938" s="4"/>
      <c r="Q1938" s="3"/>
      <c r="R1938" s="3"/>
      <c r="S1938" s="3"/>
      <c r="T1938" s="3"/>
    </row>
    <row r="1939" spans="1:20">
      <c r="A1939" s="3">
        <v>5</v>
      </c>
      <c r="B1939" s="3">
        <v>2</v>
      </c>
      <c r="C1939" s="2">
        <v>25</v>
      </c>
      <c r="D1939" s="2">
        <v>5</v>
      </c>
      <c r="E1939" s="2">
        <v>16</v>
      </c>
      <c r="F1939" s="17">
        <v>113</v>
      </c>
      <c r="H1939" s="360">
        <v>0.16172873052893455</v>
      </c>
      <c r="I1939" s="360">
        <v>-0.57366548400647643</v>
      </c>
      <c r="K1939" s="363"/>
      <c r="N1939" s="10"/>
      <c r="O1939" s="4"/>
      <c r="P1939" s="4"/>
      <c r="Q1939" s="3"/>
      <c r="R1939" s="3"/>
      <c r="S1939" s="3"/>
      <c r="T1939" s="3"/>
    </row>
    <row r="1940" spans="1:20">
      <c r="A1940" s="3">
        <v>1</v>
      </c>
      <c r="B1940" s="3">
        <v>1</v>
      </c>
      <c r="C1940" s="2">
        <v>25</v>
      </c>
      <c r="D1940" s="2">
        <v>5</v>
      </c>
      <c r="E1940" s="2">
        <v>1</v>
      </c>
      <c r="F1940" s="17">
        <v>114</v>
      </c>
      <c r="H1940" s="360">
        <v>0.10060153167350516</v>
      </c>
      <c r="I1940" s="360">
        <v>0.81303839778254849</v>
      </c>
      <c r="K1940" s="363"/>
      <c r="N1940" s="10"/>
      <c r="O1940" s="4"/>
      <c r="P1940" s="4"/>
      <c r="Q1940" s="3"/>
      <c r="R1940" s="3"/>
      <c r="S1940" s="3"/>
      <c r="T1940" s="3"/>
    </row>
    <row r="1941" spans="1:20">
      <c r="A1941" s="3">
        <v>1</v>
      </c>
      <c r="B1941" s="3">
        <v>1</v>
      </c>
      <c r="C1941" s="2">
        <v>25</v>
      </c>
      <c r="D1941" s="2">
        <v>5</v>
      </c>
      <c r="E1941" s="2">
        <v>16</v>
      </c>
      <c r="F1941" s="17">
        <v>114</v>
      </c>
      <c r="H1941" s="360">
        <v>0.44653109673797586</v>
      </c>
      <c r="I1941" s="360">
        <v>0.76171821753611946</v>
      </c>
      <c r="K1941" s="363"/>
      <c r="N1941" s="10"/>
      <c r="O1941" s="4"/>
      <c r="P1941" s="4"/>
      <c r="Q1941" s="3"/>
      <c r="R1941" s="3"/>
      <c r="S1941" s="3"/>
      <c r="T1941" s="3"/>
    </row>
    <row r="1942" spans="1:20">
      <c r="A1942" s="3">
        <v>2</v>
      </c>
      <c r="B1942" s="3">
        <v>1</v>
      </c>
      <c r="C1942" s="2">
        <v>25</v>
      </c>
      <c r="D1942" s="2">
        <v>5</v>
      </c>
      <c r="E1942" s="2">
        <v>1</v>
      </c>
      <c r="F1942" s="17">
        <v>114</v>
      </c>
      <c r="H1942" s="360">
        <v>0.41938070581179565</v>
      </c>
      <c r="I1942" s="360">
        <v>0.72392279330838649</v>
      </c>
      <c r="K1942" s="363"/>
      <c r="N1942" s="10"/>
      <c r="O1942" s="4"/>
      <c r="P1942" s="4"/>
      <c r="Q1942" s="3"/>
      <c r="R1942" s="3"/>
      <c r="S1942" s="3"/>
      <c r="T1942" s="3"/>
    </row>
    <row r="1943" spans="1:20">
      <c r="A1943" s="3">
        <v>2</v>
      </c>
      <c r="B1943" s="3">
        <v>2</v>
      </c>
      <c r="C1943" s="2">
        <v>25</v>
      </c>
      <c r="D1943" s="2">
        <v>5</v>
      </c>
      <c r="E1943" s="2">
        <v>16</v>
      </c>
      <c r="F1943" s="17">
        <v>114</v>
      </c>
      <c r="H1943" s="360">
        <v>1</v>
      </c>
      <c r="I1943" s="360">
        <v>0.70362156335095194</v>
      </c>
      <c r="K1943" s="363"/>
      <c r="N1943" s="10"/>
      <c r="O1943" s="4"/>
      <c r="P1943" s="4"/>
      <c r="Q1943" s="3"/>
      <c r="R1943" s="3"/>
      <c r="S1943" s="3"/>
      <c r="T1943" s="3"/>
    </row>
    <row r="1944" spans="1:20">
      <c r="A1944" s="3">
        <v>2</v>
      </c>
      <c r="B1944" s="3">
        <v>2</v>
      </c>
      <c r="C1944" s="2">
        <v>25</v>
      </c>
      <c r="D1944" s="2">
        <v>5</v>
      </c>
      <c r="E1944" s="2">
        <v>1</v>
      </c>
      <c r="F1944" s="17">
        <v>114</v>
      </c>
      <c r="H1944" s="360">
        <v>0.63543523513687694</v>
      </c>
      <c r="I1944" s="360">
        <v>0.70336522487772568</v>
      </c>
      <c r="K1944" s="363"/>
      <c r="N1944" s="10"/>
      <c r="O1944" s="4"/>
      <c r="P1944" s="4"/>
      <c r="Q1944" s="3"/>
      <c r="R1944" s="3"/>
      <c r="S1944" s="3"/>
      <c r="T1944" s="3"/>
    </row>
    <row r="1945" spans="1:20">
      <c r="A1945" s="3">
        <v>2</v>
      </c>
      <c r="B1945" s="3">
        <v>1</v>
      </c>
      <c r="C1945" s="2">
        <v>25</v>
      </c>
      <c r="D1945" s="2">
        <v>5</v>
      </c>
      <c r="E1945" s="2">
        <v>16</v>
      </c>
      <c r="F1945" s="17">
        <v>114</v>
      </c>
      <c r="H1945" s="360">
        <v>1</v>
      </c>
      <c r="I1945" s="360">
        <v>0.67902336293906773</v>
      </c>
      <c r="K1945" s="363"/>
      <c r="N1945" s="10"/>
      <c r="O1945" s="4"/>
      <c r="P1945" s="4"/>
      <c r="Q1945" s="3"/>
      <c r="R1945" s="3"/>
      <c r="S1945" s="3"/>
      <c r="T1945" s="3"/>
    </row>
    <row r="1946" spans="1:20">
      <c r="A1946" s="3">
        <v>1</v>
      </c>
      <c r="B1946" s="3">
        <v>1</v>
      </c>
      <c r="C1946" s="2">
        <v>25</v>
      </c>
      <c r="D1946" s="2">
        <v>30</v>
      </c>
      <c r="E1946" s="2">
        <v>16</v>
      </c>
      <c r="F1946" s="17">
        <v>114</v>
      </c>
      <c r="H1946" s="360">
        <v>0.19010326862817661</v>
      </c>
      <c r="I1946" s="360">
        <v>0.6410403331309692</v>
      </c>
      <c r="K1946" s="363"/>
      <c r="N1946" s="10"/>
      <c r="O1946" s="4"/>
      <c r="P1946" s="4"/>
      <c r="Q1946" s="3"/>
      <c r="R1946" s="3"/>
      <c r="S1946" s="3"/>
      <c r="T1946" s="3"/>
    </row>
    <row r="1947" spans="1:20">
      <c r="A1947" s="3">
        <v>3</v>
      </c>
      <c r="B1947" s="3">
        <v>2</v>
      </c>
      <c r="C1947" s="2">
        <v>25</v>
      </c>
      <c r="D1947" s="2">
        <v>5</v>
      </c>
      <c r="E1947" s="2">
        <v>16</v>
      </c>
      <c r="F1947" s="17">
        <v>114</v>
      </c>
      <c r="H1947" s="360">
        <v>0.36626739688270527</v>
      </c>
      <c r="I1947" s="360">
        <v>0.5261065472583214</v>
      </c>
      <c r="K1947" s="363"/>
      <c r="N1947" s="10"/>
      <c r="O1947" s="4"/>
      <c r="P1947" s="4"/>
      <c r="Q1947" s="3"/>
      <c r="R1947" s="3"/>
      <c r="S1947" s="3"/>
      <c r="T1947" s="3"/>
    </row>
    <row r="1948" spans="1:20">
      <c r="A1948" s="3">
        <v>1</v>
      </c>
      <c r="B1948" s="3">
        <v>2</v>
      </c>
      <c r="C1948" s="2">
        <v>25</v>
      </c>
      <c r="D1948" s="2">
        <v>5</v>
      </c>
      <c r="E1948" s="2">
        <v>16</v>
      </c>
      <c r="F1948" s="17">
        <v>114</v>
      </c>
      <c r="H1948" s="360">
        <v>2.883971952826403E-2</v>
      </c>
      <c r="I1948" s="360">
        <v>0.47922943485802977</v>
      </c>
      <c r="K1948" s="363"/>
      <c r="N1948" s="10"/>
      <c r="O1948" s="4"/>
      <c r="P1948" s="4"/>
      <c r="Q1948" s="3"/>
      <c r="R1948" s="3"/>
      <c r="S1948" s="3"/>
      <c r="T1948" s="3"/>
    </row>
    <row r="1949" spans="1:20">
      <c r="A1949" s="3">
        <v>3</v>
      </c>
      <c r="B1949" s="3">
        <v>1</v>
      </c>
      <c r="C1949" s="2">
        <v>25</v>
      </c>
      <c r="D1949" s="2">
        <v>5</v>
      </c>
      <c r="E1949" s="2">
        <v>1</v>
      </c>
      <c r="F1949" s="17">
        <v>114</v>
      </c>
      <c r="H1949" s="360">
        <v>2.1351889320146422E-2</v>
      </c>
      <c r="I1949" s="360">
        <v>0.41331470206607446</v>
      </c>
      <c r="K1949" s="363"/>
      <c r="N1949" s="10"/>
      <c r="O1949" s="4"/>
      <c r="P1949" s="4"/>
      <c r="Q1949" s="3"/>
      <c r="R1949" s="3"/>
      <c r="S1949" s="3"/>
      <c r="T1949" s="3"/>
    </row>
    <row r="1950" spans="1:20">
      <c r="A1950" s="3">
        <v>1</v>
      </c>
      <c r="B1950" s="3">
        <v>2</v>
      </c>
      <c r="C1950" s="2">
        <v>25</v>
      </c>
      <c r="D1950" s="2">
        <v>5</v>
      </c>
      <c r="E1950" s="2">
        <v>16</v>
      </c>
      <c r="F1950" s="17">
        <v>114</v>
      </c>
      <c r="H1950" s="360">
        <v>0.4626382079313931</v>
      </c>
      <c r="I1950" s="360">
        <v>0.39558868514788759</v>
      </c>
      <c r="K1950" s="363"/>
      <c r="N1950" s="10"/>
      <c r="O1950" s="4"/>
      <c r="P1950" s="4"/>
      <c r="Q1950" s="3"/>
      <c r="R1950" s="3"/>
      <c r="S1950" s="3"/>
      <c r="T1950" s="3"/>
    </row>
    <row r="1951" spans="1:20">
      <c r="A1951" s="3">
        <v>1</v>
      </c>
      <c r="B1951" s="3">
        <v>2</v>
      </c>
      <c r="C1951" s="2">
        <v>25</v>
      </c>
      <c r="D1951" s="2">
        <v>30</v>
      </c>
      <c r="E1951" s="2">
        <v>16</v>
      </c>
      <c r="F1951" s="17">
        <v>114</v>
      </c>
      <c r="H1951" s="360">
        <v>0.46986051311781785</v>
      </c>
      <c r="I1951" s="360">
        <v>0.38270464644951818</v>
      </c>
      <c r="K1951" s="363"/>
      <c r="N1951" s="10"/>
      <c r="O1951" s="4"/>
      <c r="P1951" s="4"/>
      <c r="Q1951" s="3"/>
      <c r="R1951" s="3"/>
      <c r="S1951" s="3"/>
      <c r="T1951" s="3"/>
    </row>
    <row r="1952" spans="1:20">
      <c r="A1952" s="3">
        <v>3</v>
      </c>
      <c r="B1952" s="3">
        <v>1</v>
      </c>
      <c r="C1952" s="2">
        <v>25</v>
      </c>
      <c r="D1952" s="2">
        <v>5</v>
      </c>
      <c r="E1952" s="2">
        <v>16</v>
      </c>
      <c r="F1952" s="17">
        <v>114</v>
      </c>
      <c r="H1952" s="360">
        <v>0.12098047252535715</v>
      </c>
      <c r="I1952" s="360">
        <v>0.3486033287676919</v>
      </c>
      <c r="K1952" s="363"/>
      <c r="N1952" s="10"/>
      <c r="O1952" s="4"/>
      <c r="P1952" s="4"/>
      <c r="Q1952" s="3"/>
      <c r="R1952" s="3"/>
      <c r="S1952" s="3"/>
      <c r="T1952" s="3"/>
    </row>
    <row r="1953" spans="1:20">
      <c r="A1953" s="3">
        <v>3</v>
      </c>
      <c r="B1953" s="3">
        <v>2</v>
      </c>
      <c r="C1953" s="2">
        <v>25</v>
      </c>
      <c r="D1953" s="2">
        <v>5</v>
      </c>
      <c r="E1953" s="2">
        <v>1</v>
      </c>
      <c r="F1953" s="17">
        <v>114</v>
      </c>
      <c r="H1953" s="360">
        <v>7.4160264891336869E-2</v>
      </c>
      <c r="I1953" s="360">
        <v>0.32711085499413545</v>
      </c>
      <c r="K1953" s="363"/>
      <c r="N1953" s="10"/>
      <c r="O1953" s="4"/>
      <c r="P1953" s="4"/>
      <c r="Q1953" s="3"/>
      <c r="R1953" s="3"/>
      <c r="S1953" s="3"/>
      <c r="T1953" s="3"/>
    </row>
    <row r="1954" spans="1:20">
      <c r="A1954" s="3">
        <v>1</v>
      </c>
      <c r="B1954" s="3">
        <v>2</v>
      </c>
      <c r="C1954" s="2">
        <v>25</v>
      </c>
      <c r="D1954" s="2">
        <v>5</v>
      </c>
      <c r="E1954" s="2">
        <v>1</v>
      </c>
      <c r="F1954" s="17">
        <v>114</v>
      </c>
      <c r="H1954" s="360">
        <v>0</v>
      </c>
      <c r="I1954" s="360">
        <v>0</v>
      </c>
      <c r="K1954" s="363"/>
      <c r="N1954" s="10"/>
      <c r="O1954" s="4"/>
      <c r="P1954" s="4"/>
      <c r="Q1954" s="3"/>
      <c r="R1954" s="3"/>
      <c r="S1954" s="3"/>
      <c r="T1954" s="3"/>
    </row>
    <row r="1955" spans="1:20">
      <c r="A1955" s="3">
        <v>4</v>
      </c>
      <c r="B1955" s="3">
        <v>2</v>
      </c>
      <c r="C1955" s="2">
        <v>50</v>
      </c>
      <c r="D1955" s="2">
        <v>5</v>
      </c>
      <c r="E1955" s="2">
        <v>16</v>
      </c>
      <c r="F1955" s="17">
        <v>114</v>
      </c>
      <c r="H1955" s="360">
        <v>0.75562691023267936</v>
      </c>
      <c r="I1955" s="360">
        <v>-8.1382649771707519E-2</v>
      </c>
      <c r="K1955" s="363"/>
      <c r="N1955" s="10"/>
      <c r="O1955" s="4"/>
      <c r="P1955" s="4"/>
      <c r="Q1955" s="3"/>
      <c r="R1955" s="3"/>
      <c r="S1955" s="3"/>
      <c r="T1955" s="3"/>
    </row>
    <row r="1956" spans="1:20">
      <c r="A1956" s="3">
        <v>5</v>
      </c>
      <c r="B1956" s="3">
        <v>2</v>
      </c>
      <c r="C1956" s="2">
        <v>50</v>
      </c>
      <c r="D1956" s="2">
        <v>5</v>
      </c>
      <c r="E1956" s="2">
        <v>16</v>
      </c>
      <c r="F1956" s="17">
        <v>114</v>
      </c>
      <c r="H1956" s="360">
        <v>0.64750382542609819</v>
      </c>
      <c r="I1956" s="360">
        <v>-9.3805318490865805E-2</v>
      </c>
      <c r="K1956" s="363"/>
      <c r="N1956" s="10"/>
      <c r="O1956" s="4"/>
      <c r="P1956" s="4"/>
      <c r="Q1956" s="3"/>
      <c r="R1956" s="3"/>
      <c r="S1956" s="3"/>
      <c r="T1956" s="3"/>
    </row>
    <row r="1957" spans="1:20">
      <c r="A1957" s="3">
        <v>5</v>
      </c>
      <c r="B1957" s="3">
        <v>2</v>
      </c>
      <c r="C1957" s="2">
        <v>25</v>
      </c>
      <c r="D1957" s="2">
        <v>5</v>
      </c>
      <c r="E1957" s="2">
        <v>16</v>
      </c>
      <c r="F1957" s="17">
        <v>114</v>
      </c>
      <c r="H1957" s="360">
        <v>5.959138867773428E-2</v>
      </c>
      <c r="I1957" s="360">
        <v>-0.13947681731761366</v>
      </c>
      <c r="K1957" s="363"/>
      <c r="N1957" s="10"/>
      <c r="O1957" s="4"/>
      <c r="P1957" s="4"/>
      <c r="Q1957" s="3"/>
      <c r="R1957" s="3"/>
      <c r="S1957" s="3"/>
      <c r="T1957" s="3"/>
    </row>
    <row r="1958" spans="1:20">
      <c r="A1958" s="3">
        <v>4</v>
      </c>
      <c r="B1958" s="3">
        <v>2</v>
      </c>
      <c r="C1958" s="2">
        <v>50</v>
      </c>
      <c r="D1958" s="2">
        <v>5</v>
      </c>
      <c r="E1958" s="2">
        <v>16</v>
      </c>
      <c r="F1958" s="17">
        <v>115</v>
      </c>
      <c r="H1958" s="360">
        <v>0.95111967648832096</v>
      </c>
      <c r="I1958" s="360">
        <v>0.13911421726249046</v>
      </c>
      <c r="K1958" s="363"/>
      <c r="N1958" s="10"/>
      <c r="O1958" s="4"/>
      <c r="P1958" s="4"/>
      <c r="Q1958" s="3"/>
      <c r="R1958" s="3"/>
      <c r="S1958" s="3"/>
      <c r="T1958" s="3"/>
    </row>
    <row r="1959" spans="1:20">
      <c r="A1959" s="3">
        <v>5</v>
      </c>
      <c r="B1959" s="3">
        <v>2</v>
      </c>
      <c r="C1959" s="2">
        <v>50</v>
      </c>
      <c r="D1959" s="2">
        <v>5</v>
      </c>
      <c r="E1959" s="2">
        <v>16</v>
      </c>
      <c r="F1959" s="17">
        <v>115</v>
      </c>
      <c r="H1959" s="360">
        <v>1</v>
      </c>
      <c r="I1959" s="360">
        <v>4.3305617225220285E-2</v>
      </c>
      <c r="K1959" s="363"/>
      <c r="N1959" s="10"/>
      <c r="O1959" s="4"/>
      <c r="P1959" s="4"/>
      <c r="Q1959" s="3"/>
      <c r="R1959" s="3"/>
      <c r="S1959" s="3"/>
      <c r="T1959" s="3"/>
    </row>
    <row r="1960" spans="1:20">
      <c r="A1960" s="3">
        <v>5</v>
      </c>
      <c r="B1960" s="3">
        <v>2</v>
      </c>
      <c r="C1960" s="2">
        <v>25</v>
      </c>
      <c r="D1960" s="2">
        <v>5</v>
      </c>
      <c r="E1960" s="2">
        <v>16</v>
      </c>
      <c r="F1960" s="17">
        <v>115</v>
      </c>
      <c r="H1960" s="360">
        <v>0.45991831534371808</v>
      </c>
      <c r="I1960" s="360">
        <v>1.7318828681893422E-2</v>
      </c>
      <c r="K1960" s="363"/>
      <c r="N1960" s="10"/>
      <c r="O1960" s="4"/>
      <c r="P1960" s="4"/>
      <c r="Q1960" s="3"/>
      <c r="R1960" s="3"/>
      <c r="S1960" s="3"/>
      <c r="T1960" s="3"/>
    </row>
    <row r="1961" spans="1:20">
      <c r="A1961" s="3">
        <v>1</v>
      </c>
      <c r="B1961" s="3">
        <v>2</v>
      </c>
      <c r="C1961" s="2">
        <v>25</v>
      </c>
      <c r="D1961" s="2">
        <v>5</v>
      </c>
      <c r="E1961" s="2">
        <v>1</v>
      </c>
      <c r="F1961" s="17">
        <v>115</v>
      </c>
      <c r="H1961" s="360">
        <v>0</v>
      </c>
      <c r="I1961" s="360">
        <v>0</v>
      </c>
      <c r="K1961" s="363"/>
      <c r="N1961" s="10"/>
      <c r="O1961" s="4"/>
      <c r="P1961" s="4"/>
      <c r="Q1961" s="3"/>
      <c r="R1961" s="3"/>
      <c r="S1961" s="3"/>
      <c r="T1961" s="3"/>
    </row>
    <row r="1962" spans="1:20">
      <c r="A1962" s="3">
        <v>1</v>
      </c>
      <c r="B1962" s="3">
        <v>2</v>
      </c>
      <c r="C1962" s="2">
        <v>25</v>
      </c>
      <c r="D1962" s="2">
        <v>5</v>
      </c>
      <c r="E1962" s="2">
        <v>16</v>
      </c>
      <c r="F1962" s="17">
        <v>115</v>
      </c>
      <c r="H1962" s="360">
        <v>3.457012197808873E-2</v>
      </c>
      <c r="I1962" s="360">
        <v>-1.7012617012617012E-2</v>
      </c>
      <c r="K1962" s="363"/>
      <c r="N1962" s="10"/>
      <c r="O1962" s="4"/>
      <c r="P1962" s="4"/>
      <c r="Q1962" s="3"/>
      <c r="R1962" s="3"/>
      <c r="S1962" s="3"/>
      <c r="T1962" s="3"/>
    </row>
    <row r="1963" spans="1:20">
      <c r="A1963" s="3">
        <v>1</v>
      </c>
      <c r="B1963" s="3">
        <v>2</v>
      </c>
      <c r="C1963" s="2">
        <v>25</v>
      </c>
      <c r="D1963" s="2">
        <v>30</v>
      </c>
      <c r="E1963" s="2">
        <v>16</v>
      </c>
      <c r="F1963" s="17">
        <v>115</v>
      </c>
      <c r="H1963" s="360">
        <v>0.40965930905801529</v>
      </c>
      <c r="I1963" s="360">
        <v>-9.3465368387588357E-2</v>
      </c>
      <c r="K1963" s="363"/>
      <c r="N1963" s="10"/>
      <c r="O1963" s="4"/>
      <c r="P1963" s="4"/>
      <c r="Q1963" s="3"/>
      <c r="R1963" s="3"/>
      <c r="S1963" s="3"/>
      <c r="T1963" s="3"/>
    </row>
    <row r="1964" spans="1:20">
      <c r="A1964" s="3">
        <v>3</v>
      </c>
      <c r="B1964" s="3">
        <v>2</v>
      </c>
      <c r="C1964" s="2">
        <v>25</v>
      </c>
      <c r="D1964" s="2">
        <v>5</v>
      </c>
      <c r="E1964" s="2">
        <v>1</v>
      </c>
      <c r="F1964" s="17">
        <v>115</v>
      </c>
      <c r="H1964" s="360">
        <v>8.5762823145772105E-2</v>
      </c>
      <c r="I1964" s="360">
        <v>-0.23263930082651166</v>
      </c>
      <c r="K1964" s="363"/>
      <c r="N1964" s="10"/>
      <c r="O1964" s="4"/>
      <c r="P1964" s="4"/>
      <c r="Q1964" s="3"/>
      <c r="R1964" s="3"/>
      <c r="S1964" s="3"/>
      <c r="T1964" s="3"/>
    </row>
    <row r="1965" spans="1:20">
      <c r="A1965" s="3">
        <v>1</v>
      </c>
      <c r="B1965" s="3">
        <v>2</v>
      </c>
      <c r="C1965" s="2">
        <v>25</v>
      </c>
      <c r="D1965" s="2">
        <v>5</v>
      </c>
      <c r="E1965" s="2">
        <v>16</v>
      </c>
      <c r="F1965" s="17">
        <v>115</v>
      </c>
      <c r="H1965" s="360">
        <v>0.15957504042653514</v>
      </c>
      <c r="I1965" s="360">
        <v>-0.2579881743984152</v>
      </c>
      <c r="K1965" s="363"/>
      <c r="N1965" s="10"/>
      <c r="O1965" s="4"/>
      <c r="P1965" s="4"/>
      <c r="Q1965" s="3"/>
      <c r="R1965" s="3"/>
      <c r="S1965" s="3"/>
      <c r="T1965" s="3"/>
    </row>
    <row r="1966" spans="1:20">
      <c r="A1966" s="3">
        <v>3</v>
      </c>
      <c r="B1966" s="3">
        <v>2</v>
      </c>
      <c r="C1966" s="2">
        <v>25</v>
      </c>
      <c r="D1966" s="2">
        <v>5</v>
      </c>
      <c r="E1966" s="2">
        <v>16</v>
      </c>
      <c r="F1966" s="17">
        <v>115</v>
      </c>
      <c r="H1966" s="360">
        <v>0.87036633233079774</v>
      </c>
      <c r="I1966" s="360">
        <v>-0.27657338129195852</v>
      </c>
      <c r="K1966" s="363"/>
      <c r="N1966" s="10"/>
      <c r="O1966" s="4"/>
      <c r="P1966" s="4"/>
      <c r="Q1966" s="3"/>
      <c r="R1966" s="3"/>
      <c r="S1966" s="3"/>
      <c r="T1966" s="3"/>
    </row>
    <row r="1967" spans="1:20">
      <c r="A1967" s="3">
        <v>2</v>
      </c>
      <c r="B1967" s="3">
        <v>2</v>
      </c>
      <c r="C1967" s="2">
        <v>25</v>
      </c>
      <c r="D1967" s="2">
        <v>5</v>
      </c>
      <c r="E1967" s="2">
        <v>16</v>
      </c>
      <c r="F1967" s="17">
        <v>115</v>
      </c>
      <c r="H1967" s="360">
        <v>0.47949911170919979</v>
      </c>
      <c r="I1967" s="360">
        <v>-0.42030797901034778</v>
      </c>
      <c r="K1967" s="363"/>
      <c r="N1967" s="10"/>
      <c r="O1967" s="4"/>
      <c r="P1967" s="4"/>
      <c r="Q1967" s="3"/>
      <c r="R1967" s="3"/>
      <c r="S1967" s="3"/>
      <c r="T1967" s="3"/>
    </row>
    <row r="1968" spans="1:20">
      <c r="A1968" s="3">
        <v>2</v>
      </c>
      <c r="B1968" s="3">
        <v>1</v>
      </c>
      <c r="C1968" s="2">
        <v>25</v>
      </c>
      <c r="D1968" s="2">
        <v>5</v>
      </c>
      <c r="E1968" s="2">
        <v>16</v>
      </c>
      <c r="F1968" s="17">
        <v>115</v>
      </c>
      <c r="H1968" s="360">
        <v>0.90636209944017176</v>
      </c>
      <c r="I1968" s="360">
        <v>-0.42227581670686248</v>
      </c>
      <c r="K1968" s="363"/>
      <c r="N1968" s="10"/>
      <c r="O1968" s="4"/>
      <c r="P1968" s="4"/>
      <c r="Q1968" s="3"/>
      <c r="R1968" s="3"/>
      <c r="S1968" s="3"/>
      <c r="T1968" s="3"/>
    </row>
    <row r="1969" spans="1:20">
      <c r="A1969" s="3">
        <v>2</v>
      </c>
      <c r="B1969" s="3">
        <v>1</v>
      </c>
      <c r="C1969" s="2">
        <v>25</v>
      </c>
      <c r="D1969" s="2">
        <v>5</v>
      </c>
      <c r="E1969" s="2">
        <v>1</v>
      </c>
      <c r="F1969" s="17">
        <v>115</v>
      </c>
      <c r="H1969" s="360">
        <v>0.26455771102803616</v>
      </c>
      <c r="I1969" s="360">
        <v>-0.5158035989947789</v>
      </c>
      <c r="K1969" s="363"/>
      <c r="N1969" s="10"/>
      <c r="O1969" s="4"/>
      <c r="P1969" s="4"/>
      <c r="Q1969" s="3"/>
      <c r="R1969" s="3"/>
      <c r="S1969" s="3"/>
      <c r="T1969" s="3"/>
    </row>
    <row r="1970" spans="1:20">
      <c r="A1970" s="3">
        <v>2</v>
      </c>
      <c r="B1970" s="3">
        <v>2</v>
      </c>
      <c r="C1970" s="2">
        <v>25</v>
      </c>
      <c r="D1970" s="2">
        <v>5</v>
      </c>
      <c r="E1970" s="2">
        <v>1</v>
      </c>
      <c r="F1970" s="17">
        <v>115</v>
      </c>
      <c r="H1970" s="360">
        <v>0.13229160120825734</v>
      </c>
      <c r="I1970" s="360">
        <v>-0.56022649050738316</v>
      </c>
      <c r="K1970" s="363"/>
      <c r="N1970" s="10"/>
      <c r="O1970" s="4"/>
      <c r="P1970" s="4"/>
      <c r="Q1970" s="3"/>
      <c r="R1970" s="3"/>
      <c r="S1970" s="3"/>
      <c r="T1970" s="3"/>
    </row>
    <row r="1971" spans="1:20">
      <c r="A1971" s="3">
        <v>3</v>
      </c>
      <c r="B1971" s="3">
        <v>1</v>
      </c>
      <c r="C1971" s="2">
        <v>25</v>
      </c>
      <c r="D1971" s="2">
        <v>5</v>
      </c>
      <c r="E1971" s="2">
        <v>1</v>
      </c>
      <c r="F1971" s="17">
        <v>115</v>
      </c>
      <c r="H1971" s="360">
        <v>6.1853398882020239E-2</v>
      </c>
      <c r="I1971" s="360">
        <v>-0.5625001652149777</v>
      </c>
      <c r="K1971" s="363"/>
      <c r="N1971" s="10"/>
      <c r="O1971" s="4"/>
      <c r="P1971" s="4"/>
      <c r="Q1971" s="3"/>
      <c r="R1971" s="3"/>
      <c r="S1971" s="3"/>
      <c r="T1971" s="3"/>
    </row>
    <row r="1972" spans="1:20">
      <c r="A1972" s="3">
        <v>1</v>
      </c>
      <c r="B1972" s="3">
        <v>1</v>
      </c>
      <c r="C1972" s="2">
        <v>25</v>
      </c>
      <c r="D1972" s="2">
        <v>30</v>
      </c>
      <c r="E1972" s="2">
        <v>16</v>
      </c>
      <c r="F1972" s="17">
        <v>115</v>
      </c>
      <c r="H1972" s="360">
        <v>0.51391487792271673</v>
      </c>
      <c r="I1972" s="360">
        <v>-0.5858269821009946</v>
      </c>
      <c r="K1972" s="363"/>
      <c r="N1972" s="10"/>
      <c r="O1972" s="4"/>
      <c r="P1972" s="4"/>
      <c r="Q1972" s="3"/>
      <c r="R1972" s="3"/>
      <c r="S1972" s="3"/>
      <c r="T1972" s="3"/>
    </row>
    <row r="1973" spans="1:20">
      <c r="A1973" s="3">
        <v>1</v>
      </c>
      <c r="B1973" s="3">
        <v>1</v>
      </c>
      <c r="C1973" s="2">
        <v>25</v>
      </c>
      <c r="D1973" s="2">
        <v>5</v>
      </c>
      <c r="E1973" s="2">
        <v>16</v>
      </c>
      <c r="F1973" s="17">
        <v>115</v>
      </c>
      <c r="H1973" s="360">
        <v>0.41026495434218768</v>
      </c>
      <c r="I1973" s="360">
        <v>-0.62216353070569652</v>
      </c>
      <c r="K1973" s="363"/>
      <c r="N1973" s="10"/>
      <c r="O1973" s="4"/>
      <c r="P1973" s="4"/>
      <c r="Q1973" s="3"/>
      <c r="R1973" s="3"/>
      <c r="S1973" s="3"/>
      <c r="T1973" s="3"/>
    </row>
    <row r="1974" spans="1:20">
      <c r="A1974" s="3">
        <v>3</v>
      </c>
      <c r="B1974" s="3">
        <v>1</v>
      </c>
      <c r="C1974" s="2">
        <v>25</v>
      </c>
      <c r="D1974" s="2">
        <v>5</v>
      </c>
      <c r="E1974" s="2">
        <v>16</v>
      </c>
      <c r="F1974" s="17">
        <v>115</v>
      </c>
      <c r="H1974" s="360">
        <v>0.7137748918986091</v>
      </c>
      <c r="I1974" s="360">
        <v>-0.65989515114179387</v>
      </c>
      <c r="K1974" s="363"/>
      <c r="N1974" s="10"/>
      <c r="O1974" s="4"/>
      <c r="P1974" s="4"/>
      <c r="Q1974" s="3"/>
      <c r="R1974" s="3"/>
      <c r="S1974" s="3"/>
      <c r="T1974" s="3"/>
    </row>
    <row r="1975" spans="1:20">
      <c r="A1975" s="3">
        <v>1</v>
      </c>
      <c r="B1975" s="3">
        <v>1</v>
      </c>
      <c r="C1975" s="2">
        <v>25</v>
      </c>
      <c r="D1975" s="2">
        <v>5</v>
      </c>
      <c r="E1975" s="2">
        <v>1</v>
      </c>
      <c r="F1975" s="17">
        <v>115</v>
      </c>
      <c r="H1975" s="360">
        <v>8.6790870104106799E-2</v>
      </c>
      <c r="I1975" s="360">
        <v>-0.74246156459695911</v>
      </c>
      <c r="K1975" s="363"/>
      <c r="N1975" s="10"/>
      <c r="O1975" s="4"/>
      <c r="P1975" s="4"/>
      <c r="Q1975" s="3"/>
      <c r="R1975" s="3"/>
      <c r="S1975" s="3"/>
      <c r="T1975" s="3"/>
    </row>
    <row r="1976" spans="1:20">
      <c r="A1976" s="3">
        <v>4</v>
      </c>
      <c r="B1976" s="3">
        <v>2</v>
      </c>
      <c r="C1976" s="2">
        <v>50</v>
      </c>
      <c r="D1976" s="2">
        <v>5</v>
      </c>
      <c r="E1976" s="2">
        <v>16</v>
      </c>
      <c r="F1976" s="17">
        <v>116</v>
      </c>
      <c r="H1976" s="360">
        <v>0.99326981777950829</v>
      </c>
      <c r="I1976" s="360">
        <v>6.445187621495628E-2</v>
      </c>
      <c r="K1976" s="363"/>
      <c r="N1976" s="10"/>
      <c r="O1976" s="4"/>
      <c r="P1976" s="4"/>
      <c r="Q1976" s="3"/>
      <c r="R1976" s="3"/>
      <c r="S1976" s="3"/>
      <c r="T1976" s="3"/>
    </row>
    <row r="1977" spans="1:20">
      <c r="A1977" s="3">
        <v>1</v>
      </c>
      <c r="B1977" s="3">
        <v>1</v>
      </c>
      <c r="C1977" s="2">
        <v>25</v>
      </c>
      <c r="D1977" s="2">
        <v>30</v>
      </c>
      <c r="E1977" s="2">
        <v>16</v>
      </c>
      <c r="F1977" s="17">
        <v>116</v>
      </c>
      <c r="H1977" s="360">
        <v>0.16510492157969281</v>
      </c>
      <c r="I1977" s="360">
        <v>5.1710228325368771E-2</v>
      </c>
      <c r="K1977" s="363"/>
      <c r="N1977" s="10"/>
      <c r="O1977" s="4"/>
      <c r="P1977" s="4"/>
      <c r="Q1977" s="3"/>
      <c r="R1977" s="3"/>
      <c r="S1977" s="3"/>
      <c r="T1977" s="3"/>
    </row>
    <row r="1978" spans="1:20">
      <c r="A1978" s="3">
        <v>1</v>
      </c>
      <c r="B1978" s="3">
        <v>2</v>
      </c>
      <c r="C1978" s="2">
        <v>25</v>
      </c>
      <c r="D1978" s="2">
        <v>30</v>
      </c>
      <c r="E1978" s="2">
        <v>16</v>
      </c>
      <c r="F1978" s="17">
        <v>116</v>
      </c>
      <c r="H1978" s="360">
        <v>1</v>
      </c>
      <c r="I1978" s="360">
        <v>3.9411713210189971E-2</v>
      </c>
      <c r="K1978" s="363"/>
      <c r="N1978" s="10"/>
      <c r="O1978" s="4"/>
      <c r="P1978" s="4"/>
      <c r="Q1978" s="3"/>
      <c r="R1978" s="3"/>
      <c r="S1978" s="3"/>
      <c r="T1978" s="3"/>
    </row>
    <row r="1979" spans="1:20">
      <c r="A1979" s="3">
        <v>5</v>
      </c>
      <c r="B1979" s="3">
        <v>2</v>
      </c>
      <c r="C1979" s="2">
        <v>50</v>
      </c>
      <c r="D1979" s="2">
        <v>5</v>
      </c>
      <c r="E1979" s="2">
        <v>16</v>
      </c>
      <c r="F1979" s="17">
        <v>116</v>
      </c>
      <c r="H1979" s="360">
        <v>1</v>
      </c>
      <c r="I1979" s="360">
        <v>1.1868421964330109E-2</v>
      </c>
      <c r="K1979" s="363"/>
      <c r="N1979" s="10"/>
      <c r="O1979" s="4"/>
      <c r="P1979" s="4"/>
      <c r="Q1979" s="3"/>
      <c r="R1979" s="3"/>
      <c r="S1979" s="3"/>
      <c r="T1979" s="3"/>
    </row>
    <row r="1980" spans="1:20">
      <c r="A1980" s="3">
        <v>5</v>
      </c>
      <c r="B1980" s="3">
        <v>2</v>
      </c>
      <c r="C1980" s="2">
        <v>25</v>
      </c>
      <c r="D1980" s="2">
        <v>5</v>
      </c>
      <c r="E1980" s="2">
        <v>16</v>
      </c>
      <c r="F1980" s="17">
        <v>116</v>
      </c>
      <c r="H1980" s="360">
        <v>1</v>
      </c>
      <c r="I1980" s="360">
        <v>8.2253393690791127E-3</v>
      </c>
      <c r="K1980" s="363"/>
      <c r="N1980" s="10"/>
      <c r="O1980" s="4"/>
      <c r="P1980" s="4"/>
      <c r="Q1980" s="3"/>
      <c r="R1980" s="3"/>
      <c r="S1980" s="3"/>
      <c r="T1980" s="3"/>
    </row>
    <row r="1981" spans="1:20">
      <c r="A1981" s="3">
        <v>1</v>
      </c>
      <c r="B1981" s="3">
        <v>1</v>
      </c>
      <c r="C1981" s="2">
        <v>25</v>
      </c>
      <c r="D1981" s="2">
        <v>5</v>
      </c>
      <c r="E1981" s="2">
        <v>1</v>
      </c>
      <c r="F1981" s="17">
        <v>116</v>
      </c>
      <c r="H1981" s="360">
        <v>0</v>
      </c>
      <c r="I1981" s="360">
        <v>0</v>
      </c>
      <c r="K1981" s="363"/>
      <c r="N1981" s="10"/>
      <c r="O1981" s="4"/>
      <c r="P1981" s="4"/>
      <c r="Q1981" s="3"/>
      <c r="R1981" s="3"/>
      <c r="S1981" s="3"/>
      <c r="T1981" s="3"/>
    </row>
    <row r="1982" spans="1:20">
      <c r="A1982" s="3">
        <v>1</v>
      </c>
      <c r="B1982" s="3">
        <v>1</v>
      </c>
      <c r="C1982" s="2">
        <v>25</v>
      </c>
      <c r="D1982" s="2">
        <v>5</v>
      </c>
      <c r="E1982" s="2">
        <v>16</v>
      </c>
      <c r="F1982" s="17">
        <v>116</v>
      </c>
      <c r="H1982" s="360">
        <v>0</v>
      </c>
      <c r="I1982" s="360">
        <v>0</v>
      </c>
      <c r="K1982" s="363"/>
      <c r="N1982" s="10"/>
      <c r="O1982" s="4"/>
      <c r="P1982" s="4"/>
      <c r="Q1982" s="3"/>
      <c r="R1982" s="3"/>
      <c r="S1982" s="3"/>
      <c r="T1982" s="3"/>
    </row>
    <row r="1983" spans="1:20">
      <c r="A1983" s="3">
        <v>1</v>
      </c>
      <c r="B1983" s="3">
        <v>2</v>
      </c>
      <c r="C1983" s="2">
        <v>25</v>
      </c>
      <c r="D1983" s="2">
        <v>5</v>
      </c>
      <c r="E1983" s="2">
        <v>1</v>
      </c>
      <c r="F1983" s="17">
        <v>116</v>
      </c>
      <c r="H1983" s="360">
        <v>0</v>
      </c>
      <c r="I1983" s="360">
        <v>0</v>
      </c>
      <c r="K1983" s="363"/>
      <c r="N1983" s="10"/>
      <c r="O1983" s="4"/>
      <c r="P1983" s="4"/>
      <c r="Q1983" s="3"/>
      <c r="R1983" s="3"/>
      <c r="S1983" s="3"/>
      <c r="T1983" s="3"/>
    </row>
    <row r="1984" spans="1:20">
      <c r="A1984" s="3">
        <v>2</v>
      </c>
      <c r="B1984" s="3">
        <v>1</v>
      </c>
      <c r="C1984" s="2">
        <v>25</v>
      </c>
      <c r="D1984" s="2">
        <v>5</v>
      </c>
      <c r="E1984" s="2">
        <v>1</v>
      </c>
      <c r="F1984" s="17">
        <v>116</v>
      </c>
      <c r="H1984" s="360">
        <v>0</v>
      </c>
      <c r="I1984" s="360">
        <v>0</v>
      </c>
      <c r="K1984" s="363"/>
      <c r="N1984" s="10"/>
      <c r="O1984" s="4"/>
      <c r="P1984" s="4"/>
      <c r="Q1984" s="3"/>
      <c r="R1984" s="3"/>
      <c r="S1984" s="3"/>
      <c r="T1984" s="3"/>
    </row>
    <row r="1985" spans="1:20">
      <c r="A1985" s="3">
        <v>2</v>
      </c>
      <c r="B1985" s="3">
        <v>1</v>
      </c>
      <c r="C1985" s="2">
        <v>25</v>
      </c>
      <c r="D1985" s="2">
        <v>5</v>
      </c>
      <c r="E1985" s="2">
        <v>16</v>
      </c>
      <c r="F1985" s="17">
        <v>116</v>
      </c>
      <c r="H1985" s="360">
        <v>0</v>
      </c>
      <c r="I1985" s="360">
        <v>0</v>
      </c>
      <c r="K1985" s="363"/>
      <c r="N1985" s="10"/>
      <c r="O1985" s="4"/>
      <c r="P1985" s="4"/>
      <c r="Q1985" s="3"/>
      <c r="R1985" s="3"/>
      <c r="S1985" s="3"/>
      <c r="T1985" s="3"/>
    </row>
    <row r="1986" spans="1:20">
      <c r="A1986" s="3">
        <v>3</v>
      </c>
      <c r="B1986" s="3">
        <v>1</v>
      </c>
      <c r="C1986" s="2">
        <v>25</v>
      </c>
      <c r="D1986" s="2">
        <v>5</v>
      </c>
      <c r="E1986" s="2">
        <v>1</v>
      </c>
      <c r="F1986" s="17">
        <v>116</v>
      </c>
      <c r="H1986" s="360">
        <v>0</v>
      </c>
      <c r="I1986" s="360">
        <v>0</v>
      </c>
      <c r="K1986" s="363"/>
      <c r="N1986" s="10"/>
      <c r="O1986" s="4"/>
      <c r="P1986" s="4"/>
      <c r="Q1986" s="3"/>
      <c r="R1986" s="3"/>
      <c r="S1986" s="3"/>
      <c r="T1986" s="3"/>
    </row>
    <row r="1987" spans="1:20">
      <c r="A1987" s="3">
        <v>1</v>
      </c>
      <c r="B1987" s="3">
        <v>2</v>
      </c>
      <c r="C1987" s="2">
        <v>25</v>
      </c>
      <c r="D1987" s="2">
        <v>5</v>
      </c>
      <c r="E1987" s="2">
        <v>16</v>
      </c>
      <c r="F1987" s="17">
        <v>116</v>
      </c>
      <c r="H1987" s="360">
        <v>0.61342488333558964</v>
      </c>
      <c r="I1987" s="360">
        <v>-3.265670330064524E-2</v>
      </c>
      <c r="K1987" s="363"/>
      <c r="N1987" s="10"/>
      <c r="O1987" s="4"/>
      <c r="P1987" s="4"/>
      <c r="Q1987" s="3"/>
      <c r="R1987" s="3"/>
      <c r="S1987" s="3"/>
      <c r="T1987" s="3"/>
    </row>
    <row r="1988" spans="1:20">
      <c r="A1988" s="3">
        <v>2</v>
      </c>
      <c r="B1988" s="3">
        <v>2</v>
      </c>
      <c r="C1988" s="2">
        <v>25</v>
      </c>
      <c r="D1988" s="2">
        <v>5</v>
      </c>
      <c r="E1988" s="2">
        <v>16</v>
      </c>
      <c r="F1988" s="17">
        <v>116</v>
      </c>
      <c r="H1988" s="360">
        <v>1</v>
      </c>
      <c r="I1988" s="360">
        <v>-3.5970764774689835E-2</v>
      </c>
      <c r="K1988" s="363"/>
      <c r="N1988" s="10"/>
      <c r="O1988" s="4"/>
      <c r="P1988" s="4"/>
      <c r="Q1988" s="3"/>
      <c r="R1988" s="3"/>
      <c r="S1988" s="3"/>
      <c r="T1988" s="3"/>
    </row>
    <row r="1989" spans="1:20">
      <c r="A1989" s="3">
        <v>2</v>
      </c>
      <c r="B1989" s="3">
        <v>2</v>
      </c>
      <c r="C1989" s="2">
        <v>25</v>
      </c>
      <c r="D1989" s="2">
        <v>5</v>
      </c>
      <c r="E1989" s="2">
        <v>1</v>
      </c>
      <c r="F1989" s="17">
        <v>116</v>
      </c>
      <c r="H1989" s="360">
        <v>1</v>
      </c>
      <c r="I1989" s="360">
        <v>-3.8286363263824653E-2</v>
      </c>
      <c r="K1989" s="363"/>
      <c r="N1989" s="10"/>
      <c r="O1989" s="4"/>
      <c r="P1989" s="4"/>
      <c r="Q1989" s="3"/>
      <c r="R1989" s="3"/>
      <c r="S1989" s="3"/>
      <c r="T1989" s="3"/>
    </row>
    <row r="1990" spans="1:20">
      <c r="A1990" s="3">
        <v>1</v>
      </c>
      <c r="B1990" s="3">
        <v>2</v>
      </c>
      <c r="C1990" s="2">
        <v>25</v>
      </c>
      <c r="D1990" s="2">
        <v>5</v>
      </c>
      <c r="E1990" s="2">
        <v>16</v>
      </c>
      <c r="F1990" s="17">
        <v>116</v>
      </c>
      <c r="H1990" s="360">
        <v>0.70101754757086709</v>
      </c>
      <c r="I1990" s="360">
        <v>-6.2513559536276644E-2</v>
      </c>
      <c r="K1990" s="363"/>
      <c r="N1990" s="10"/>
      <c r="O1990" s="4"/>
      <c r="P1990" s="4"/>
      <c r="Q1990" s="3"/>
      <c r="R1990" s="3"/>
      <c r="S1990" s="3"/>
      <c r="T1990" s="3"/>
    </row>
    <row r="1991" spans="1:20">
      <c r="A1991" s="3">
        <v>3</v>
      </c>
      <c r="B1991" s="3">
        <v>2</v>
      </c>
      <c r="C1991" s="2">
        <v>25</v>
      </c>
      <c r="D1991" s="2">
        <v>5</v>
      </c>
      <c r="E1991" s="2">
        <v>16</v>
      </c>
      <c r="F1991" s="17">
        <v>116</v>
      </c>
      <c r="H1991" s="360">
        <v>0.36270785485804302</v>
      </c>
      <c r="I1991" s="360">
        <v>-7.3361172428984475E-2</v>
      </c>
      <c r="K1991" s="363"/>
      <c r="N1991" s="10"/>
      <c r="O1991" s="4"/>
      <c r="P1991" s="4"/>
      <c r="Q1991" s="3"/>
      <c r="R1991" s="3"/>
      <c r="S1991" s="3"/>
      <c r="T1991" s="3"/>
    </row>
    <row r="1992" spans="1:20">
      <c r="A1992" s="3">
        <v>3</v>
      </c>
      <c r="B1992" s="3">
        <v>2</v>
      </c>
      <c r="C1992" s="2">
        <v>25</v>
      </c>
      <c r="D1992" s="2">
        <v>5</v>
      </c>
      <c r="E1992" s="2">
        <v>1</v>
      </c>
      <c r="F1992" s="17">
        <v>116</v>
      </c>
      <c r="H1992" s="360">
        <v>1.3179000859779078E-2</v>
      </c>
      <c r="I1992" s="360">
        <v>-0.16330390920554855</v>
      </c>
      <c r="K1992" s="363"/>
      <c r="N1992" s="10"/>
      <c r="O1992" s="4"/>
      <c r="P1992" s="4"/>
      <c r="Q1992" s="3"/>
      <c r="R1992" s="3"/>
      <c r="S1992" s="3"/>
      <c r="T1992" s="3"/>
    </row>
    <row r="1993" spans="1:20">
      <c r="A1993" s="3">
        <v>3</v>
      </c>
      <c r="B1993" s="3">
        <v>1</v>
      </c>
      <c r="C1993" s="2">
        <v>25</v>
      </c>
      <c r="D1993" s="2">
        <v>5</v>
      </c>
      <c r="E1993" s="2">
        <v>16</v>
      </c>
      <c r="F1993" s="17">
        <v>116</v>
      </c>
      <c r="H1993" s="360">
        <v>4.8758556332398895E-3</v>
      </c>
      <c r="I1993" s="360">
        <v>-1</v>
      </c>
      <c r="K1993" s="363"/>
      <c r="N1993" s="10"/>
      <c r="O1993" s="4"/>
      <c r="P1993" s="4"/>
      <c r="Q1993" s="3"/>
      <c r="R1993" s="3"/>
      <c r="S1993" s="3"/>
      <c r="T1993" s="3"/>
    </row>
    <row r="1994" spans="1:20">
      <c r="A1994" s="3">
        <v>2</v>
      </c>
      <c r="B1994" s="3">
        <v>2</v>
      </c>
      <c r="C1994" s="2">
        <v>25</v>
      </c>
      <c r="D1994" s="2">
        <v>5</v>
      </c>
      <c r="E1994" s="2">
        <v>1</v>
      </c>
      <c r="F1994" s="17">
        <v>117</v>
      </c>
      <c r="H1994" s="360">
        <v>1</v>
      </c>
      <c r="I1994" s="360">
        <v>0.62003347968045031</v>
      </c>
      <c r="K1994" s="363"/>
      <c r="N1994" s="10"/>
      <c r="O1994" s="4"/>
      <c r="P1994" s="4"/>
      <c r="Q1994" s="3"/>
      <c r="R1994" s="3"/>
      <c r="S1994" s="3"/>
      <c r="T1994" s="3"/>
    </row>
    <row r="1995" spans="1:20">
      <c r="A1995" s="3">
        <v>2</v>
      </c>
      <c r="B1995" s="3">
        <v>2</v>
      </c>
      <c r="C1995" s="2">
        <v>25</v>
      </c>
      <c r="D1995" s="2">
        <v>5</v>
      </c>
      <c r="E1995" s="2">
        <v>16</v>
      </c>
      <c r="F1995" s="17">
        <v>117</v>
      </c>
      <c r="H1995" s="360">
        <v>1</v>
      </c>
      <c r="I1995" s="360">
        <v>0.60128003895960924</v>
      </c>
      <c r="K1995" s="363"/>
      <c r="N1995" s="10"/>
      <c r="O1995" s="4"/>
      <c r="P1995" s="4"/>
      <c r="Q1995" s="3"/>
      <c r="R1995" s="3"/>
      <c r="S1995" s="3"/>
      <c r="T1995" s="3"/>
    </row>
    <row r="1996" spans="1:20">
      <c r="A1996" s="3">
        <v>2</v>
      </c>
      <c r="B1996" s="3">
        <v>1</v>
      </c>
      <c r="C1996" s="2">
        <v>25</v>
      </c>
      <c r="D1996" s="2">
        <v>5</v>
      </c>
      <c r="E1996" s="2">
        <v>1</v>
      </c>
      <c r="F1996" s="17">
        <v>117</v>
      </c>
      <c r="H1996" s="360">
        <v>1</v>
      </c>
      <c r="I1996" s="360">
        <v>0.54077294440470025</v>
      </c>
      <c r="K1996" s="363"/>
      <c r="N1996" s="10"/>
      <c r="O1996" s="4"/>
      <c r="P1996" s="4"/>
      <c r="Q1996" s="3"/>
      <c r="R1996" s="3"/>
      <c r="S1996" s="3"/>
      <c r="T1996" s="3"/>
    </row>
    <row r="1997" spans="1:20">
      <c r="A1997" s="3">
        <v>2</v>
      </c>
      <c r="B1997" s="3">
        <v>1</v>
      </c>
      <c r="C1997" s="2">
        <v>25</v>
      </c>
      <c r="D1997" s="2">
        <v>5</v>
      </c>
      <c r="E1997" s="2">
        <v>16</v>
      </c>
      <c r="F1997" s="17">
        <v>117</v>
      </c>
      <c r="H1997" s="360">
        <v>1</v>
      </c>
      <c r="I1997" s="360">
        <v>0.52150515103389183</v>
      </c>
      <c r="K1997" s="363"/>
      <c r="N1997" s="10"/>
      <c r="O1997" s="4"/>
      <c r="P1997" s="4"/>
      <c r="Q1997" s="3"/>
      <c r="R1997" s="3"/>
      <c r="S1997" s="3"/>
      <c r="T1997" s="3"/>
    </row>
    <row r="1998" spans="1:20">
      <c r="A1998" s="3">
        <v>1</v>
      </c>
      <c r="B1998" s="3">
        <v>2</v>
      </c>
      <c r="C1998" s="2">
        <v>25</v>
      </c>
      <c r="D1998" s="2">
        <v>5</v>
      </c>
      <c r="E1998" s="2">
        <v>1</v>
      </c>
      <c r="F1998" s="17">
        <v>117</v>
      </c>
      <c r="H1998" s="360">
        <v>0.5626636485749017</v>
      </c>
      <c r="I1998" s="360">
        <v>0.50581647377206462</v>
      </c>
      <c r="K1998" s="363"/>
      <c r="N1998" s="10"/>
      <c r="O1998" s="4"/>
      <c r="P1998" s="4"/>
      <c r="Q1998" s="3"/>
      <c r="R1998" s="3"/>
      <c r="S1998" s="3"/>
      <c r="T1998" s="3"/>
    </row>
    <row r="1999" spans="1:20">
      <c r="A1999" s="3">
        <v>3</v>
      </c>
      <c r="B1999" s="3">
        <v>2</v>
      </c>
      <c r="C1999" s="2">
        <v>25</v>
      </c>
      <c r="D1999" s="2">
        <v>5</v>
      </c>
      <c r="E1999" s="2">
        <v>1</v>
      </c>
      <c r="F1999" s="17">
        <v>117</v>
      </c>
      <c r="H1999" s="360">
        <v>0.98065374738148769</v>
      </c>
      <c r="I1999" s="360">
        <v>0.50039681667772595</v>
      </c>
      <c r="K1999" s="363"/>
      <c r="N1999" s="10"/>
      <c r="O1999" s="4"/>
      <c r="P1999" s="4"/>
      <c r="Q1999" s="3"/>
      <c r="R1999" s="3"/>
      <c r="S1999" s="3"/>
      <c r="T1999" s="3"/>
    </row>
    <row r="2000" spans="1:20">
      <c r="A2000" s="3">
        <v>3</v>
      </c>
      <c r="B2000" s="3">
        <v>2</v>
      </c>
      <c r="C2000" s="2">
        <v>25</v>
      </c>
      <c r="D2000" s="2">
        <v>5</v>
      </c>
      <c r="E2000" s="2">
        <v>16</v>
      </c>
      <c r="F2000" s="17">
        <v>117</v>
      </c>
      <c r="H2000" s="360">
        <v>1</v>
      </c>
      <c r="I2000" s="360">
        <v>0.4821289125257297</v>
      </c>
      <c r="K2000" s="363"/>
      <c r="N2000" s="10"/>
      <c r="O2000" s="4"/>
      <c r="P2000" s="4"/>
      <c r="Q2000" s="3"/>
      <c r="R2000" s="3"/>
      <c r="S2000" s="3"/>
      <c r="T2000" s="3"/>
    </row>
    <row r="2001" spans="1:20">
      <c r="A2001" s="3">
        <v>1</v>
      </c>
      <c r="B2001" s="3">
        <v>1</v>
      </c>
      <c r="C2001" s="2">
        <v>25</v>
      </c>
      <c r="D2001" s="2">
        <v>5</v>
      </c>
      <c r="E2001" s="2">
        <v>16</v>
      </c>
      <c r="F2001" s="17">
        <v>117</v>
      </c>
      <c r="H2001" s="360">
        <v>1</v>
      </c>
      <c r="I2001" s="360">
        <v>0.48170799673720371</v>
      </c>
      <c r="K2001" s="363"/>
      <c r="N2001" s="10"/>
      <c r="O2001" s="4"/>
      <c r="P2001" s="4"/>
      <c r="Q2001" s="3"/>
      <c r="R2001" s="3"/>
      <c r="S2001" s="3"/>
      <c r="T2001" s="3"/>
    </row>
    <row r="2002" spans="1:20">
      <c r="A2002" s="3">
        <v>1</v>
      </c>
      <c r="B2002" s="3">
        <v>1</v>
      </c>
      <c r="C2002" s="2">
        <v>25</v>
      </c>
      <c r="D2002" s="2">
        <v>5</v>
      </c>
      <c r="E2002" s="2">
        <v>1</v>
      </c>
      <c r="F2002" s="17">
        <v>117</v>
      </c>
      <c r="H2002" s="360">
        <v>1</v>
      </c>
      <c r="I2002" s="360">
        <v>0.3968125902805491</v>
      </c>
      <c r="K2002" s="363"/>
      <c r="N2002" s="10"/>
      <c r="O2002" s="4"/>
      <c r="P2002" s="4"/>
      <c r="Q2002" s="3"/>
      <c r="R2002" s="3"/>
      <c r="S2002" s="3"/>
      <c r="T2002" s="3"/>
    </row>
    <row r="2003" spans="1:20">
      <c r="A2003" s="3">
        <v>1</v>
      </c>
      <c r="B2003" s="3">
        <v>2</v>
      </c>
      <c r="C2003" s="2">
        <v>25</v>
      </c>
      <c r="D2003" s="2">
        <v>5</v>
      </c>
      <c r="E2003" s="2">
        <v>16</v>
      </c>
      <c r="F2003" s="17">
        <v>117</v>
      </c>
      <c r="H2003" s="360">
        <v>1</v>
      </c>
      <c r="I2003" s="360">
        <v>0.35918712733344965</v>
      </c>
      <c r="K2003" s="363"/>
      <c r="N2003" s="10"/>
      <c r="O2003" s="4"/>
      <c r="P2003" s="4"/>
      <c r="Q2003" s="3"/>
      <c r="R2003" s="3"/>
      <c r="S2003" s="3"/>
      <c r="T2003" s="3"/>
    </row>
    <row r="2004" spans="1:20">
      <c r="A2004" s="3">
        <v>1</v>
      </c>
      <c r="B2004" s="3">
        <v>2</v>
      </c>
      <c r="C2004" s="2">
        <v>25</v>
      </c>
      <c r="D2004" s="2">
        <v>5</v>
      </c>
      <c r="E2004" s="2">
        <v>16</v>
      </c>
      <c r="F2004" s="17">
        <v>117</v>
      </c>
      <c r="H2004" s="360">
        <v>1</v>
      </c>
      <c r="I2004" s="360">
        <v>0.34969032402696404</v>
      </c>
      <c r="K2004" s="363"/>
      <c r="N2004" s="10"/>
      <c r="O2004" s="4"/>
      <c r="P2004" s="4"/>
      <c r="Q2004" s="3"/>
      <c r="R2004" s="3"/>
      <c r="S2004" s="3"/>
      <c r="T2004" s="3"/>
    </row>
    <row r="2005" spans="1:20">
      <c r="A2005" s="3">
        <v>4</v>
      </c>
      <c r="B2005" s="3">
        <v>2</v>
      </c>
      <c r="C2005" s="2">
        <v>50</v>
      </c>
      <c r="D2005" s="2">
        <v>5</v>
      </c>
      <c r="E2005" s="2">
        <v>16</v>
      </c>
      <c r="F2005" s="17">
        <v>117</v>
      </c>
      <c r="H2005" s="360">
        <v>1</v>
      </c>
      <c r="I2005" s="360">
        <v>0.2311279110070564</v>
      </c>
      <c r="K2005" s="363"/>
      <c r="N2005" s="10"/>
      <c r="O2005" s="4"/>
      <c r="P2005" s="4"/>
      <c r="Q2005" s="3"/>
      <c r="R2005" s="3"/>
      <c r="S2005" s="3"/>
      <c r="T2005" s="3"/>
    </row>
    <row r="2006" spans="1:20">
      <c r="A2006" s="3">
        <v>3</v>
      </c>
      <c r="B2006" s="3">
        <v>1</v>
      </c>
      <c r="C2006" s="2">
        <v>25</v>
      </c>
      <c r="D2006" s="2">
        <v>5</v>
      </c>
      <c r="E2006" s="2">
        <v>1</v>
      </c>
      <c r="F2006" s="17">
        <v>117</v>
      </c>
      <c r="H2006" s="360">
        <v>0.96208235721010837</v>
      </c>
      <c r="I2006" s="360">
        <v>7.104698342605914E-2</v>
      </c>
      <c r="K2006" s="363"/>
      <c r="N2006" s="10"/>
      <c r="O2006" s="4"/>
      <c r="P2006" s="4"/>
      <c r="Q2006" s="3"/>
      <c r="R2006" s="3"/>
      <c r="S2006" s="3"/>
      <c r="T2006" s="3"/>
    </row>
    <row r="2007" spans="1:20">
      <c r="A2007" s="3">
        <v>3</v>
      </c>
      <c r="B2007" s="3">
        <v>1</v>
      </c>
      <c r="C2007" s="2">
        <v>25</v>
      </c>
      <c r="D2007" s="2">
        <v>5</v>
      </c>
      <c r="E2007" s="2">
        <v>16</v>
      </c>
      <c r="F2007" s="17">
        <v>117</v>
      </c>
      <c r="H2007" s="360">
        <v>0.98146747509036825</v>
      </c>
      <c r="I2007" s="360">
        <v>3.3201176991553304E-2</v>
      </c>
      <c r="K2007" s="363"/>
      <c r="N2007" s="10"/>
      <c r="O2007" s="4"/>
      <c r="P2007" s="4"/>
      <c r="Q2007" s="3"/>
      <c r="R2007" s="3"/>
      <c r="S2007" s="3"/>
      <c r="T2007" s="3"/>
    </row>
    <row r="2008" spans="1:20">
      <c r="A2008" s="3">
        <v>1</v>
      </c>
      <c r="B2008" s="3">
        <v>1</v>
      </c>
      <c r="C2008" s="2">
        <v>25</v>
      </c>
      <c r="D2008" s="2">
        <v>30</v>
      </c>
      <c r="E2008" s="2">
        <v>16</v>
      </c>
      <c r="F2008" s="17">
        <v>117</v>
      </c>
      <c r="H2008" s="360">
        <v>1</v>
      </c>
      <c r="I2008" s="360">
        <v>-3.6751536813518365E-2</v>
      </c>
      <c r="K2008" s="363"/>
      <c r="N2008" s="10"/>
      <c r="O2008" s="4"/>
      <c r="P2008" s="4"/>
      <c r="Q2008" s="3"/>
      <c r="R2008" s="3"/>
      <c r="S2008" s="3"/>
      <c r="T2008" s="3"/>
    </row>
    <row r="2009" spans="1:20">
      <c r="A2009" s="3">
        <v>1</v>
      </c>
      <c r="B2009" s="3">
        <v>2</v>
      </c>
      <c r="C2009" s="2">
        <v>25</v>
      </c>
      <c r="D2009" s="2">
        <v>30</v>
      </c>
      <c r="E2009" s="2">
        <v>16</v>
      </c>
      <c r="F2009" s="17">
        <v>117</v>
      </c>
      <c r="H2009" s="360">
        <v>1</v>
      </c>
      <c r="I2009" s="360">
        <v>-7.8985561953040087E-2</v>
      </c>
      <c r="K2009" s="363"/>
      <c r="N2009" s="10"/>
      <c r="O2009" s="4"/>
      <c r="P2009" s="4"/>
      <c r="Q2009" s="3"/>
      <c r="R2009" s="3"/>
      <c r="S2009" s="3"/>
      <c r="T2009" s="3"/>
    </row>
    <row r="2010" spans="1:20">
      <c r="A2010" s="3">
        <v>5</v>
      </c>
      <c r="B2010" s="3">
        <v>2</v>
      </c>
      <c r="C2010" s="2">
        <v>50</v>
      </c>
      <c r="D2010" s="2">
        <v>5</v>
      </c>
      <c r="E2010" s="2">
        <v>16</v>
      </c>
      <c r="F2010" s="17">
        <v>117</v>
      </c>
      <c r="H2010" s="360">
        <v>1</v>
      </c>
      <c r="I2010" s="360">
        <v>-0.17845001340567268</v>
      </c>
      <c r="K2010" s="363"/>
      <c r="N2010" s="10"/>
      <c r="O2010" s="4"/>
      <c r="P2010" s="4"/>
      <c r="Q2010" s="3"/>
      <c r="R2010" s="3"/>
      <c r="S2010" s="3"/>
      <c r="T2010" s="3"/>
    </row>
    <row r="2011" spans="1:20">
      <c r="A2011" s="3">
        <v>5</v>
      </c>
      <c r="B2011" s="3">
        <v>2</v>
      </c>
      <c r="C2011" s="2">
        <v>25</v>
      </c>
      <c r="D2011" s="2">
        <v>5</v>
      </c>
      <c r="E2011" s="2">
        <v>16</v>
      </c>
      <c r="F2011" s="17">
        <v>117</v>
      </c>
      <c r="H2011" s="360">
        <v>1</v>
      </c>
      <c r="I2011" s="360">
        <v>-0.33091019282540929</v>
      </c>
      <c r="K2011" s="363"/>
      <c r="N2011" s="10"/>
      <c r="O2011" s="4"/>
      <c r="P2011" s="4"/>
      <c r="Q2011" s="3"/>
      <c r="R2011" s="3"/>
      <c r="S2011" s="3"/>
      <c r="T2011" s="3"/>
    </row>
    <row r="2012" spans="1:20">
      <c r="A2012" s="3">
        <v>4</v>
      </c>
      <c r="B2012" s="3">
        <v>2</v>
      </c>
      <c r="C2012" s="2">
        <v>50</v>
      </c>
      <c r="D2012" s="2">
        <v>5</v>
      </c>
      <c r="E2012" s="2">
        <v>16</v>
      </c>
      <c r="F2012" s="17">
        <v>118</v>
      </c>
      <c r="H2012" s="360">
        <v>1</v>
      </c>
      <c r="I2012" s="360">
        <v>0.47871985776197357</v>
      </c>
      <c r="K2012" s="363"/>
      <c r="N2012" s="10"/>
      <c r="O2012" s="4"/>
      <c r="P2012" s="4"/>
      <c r="Q2012" s="3"/>
      <c r="R2012" s="3"/>
      <c r="S2012" s="3"/>
      <c r="T2012" s="3"/>
    </row>
    <row r="2013" spans="1:20">
      <c r="A2013" s="3">
        <v>5</v>
      </c>
      <c r="B2013" s="3">
        <v>2</v>
      </c>
      <c r="C2013" s="2">
        <v>50</v>
      </c>
      <c r="D2013" s="2">
        <v>5</v>
      </c>
      <c r="E2013" s="2">
        <v>16</v>
      </c>
      <c r="F2013" s="17">
        <v>118</v>
      </c>
      <c r="H2013" s="360">
        <v>1</v>
      </c>
      <c r="I2013" s="360">
        <v>0.34056981554773352</v>
      </c>
      <c r="K2013" s="363"/>
      <c r="N2013" s="10"/>
      <c r="O2013" s="4"/>
      <c r="P2013" s="4"/>
      <c r="Q2013" s="3"/>
      <c r="R2013" s="3"/>
      <c r="S2013" s="3"/>
      <c r="T2013" s="3"/>
    </row>
    <row r="2014" spans="1:20">
      <c r="A2014" s="3">
        <v>5</v>
      </c>
      <c r="B2014" s="3">
        <v>2</v>
      </c>
      <c r="C2014" s="2">
        <v>25</v>
      </c>
      <c r="D2014" s="2">
        <v>5</v>
      </c>
      <c r="E2014" s="2">
        <v>16</v>
      </c>
      <c r="F2014" s="17">
        <v>118</v>
      </c>
      <c r="H2014" s="360">
        <v>1</v>
      </c>
      <c r="I2014" s="360">
        <v>0.32078258556402783</v>
      </c>
      <c r="K2014" s="363"/>
      <c r="N2014" s="10"/>
      <c r="O2014" s="4"/>
      <c r="P2014" s="4"/>
      <c r="Q2014" s="3"/>
      <c r="R2014" s="3"/>
      <c r="S2014" s="3"/>
      <c r="T2014" s="3"/>
    </row>
    <row r="2015" spans="1:20">
      <c r="A2015" s="3">
        <v>2</v>
      </c>
      <c r="B2015" s="3">
        <v>1</v>
      </c>
      <c r="C2015" s="2">
        <v>25</v>
      </c>
      <c r="D2015" s="2">
        <v>5</v>
      </c>
      <c r="E2015" s="2">
        <v>16</v>
      </c>
      <c r="F2015" s="17">
        <v>118</v>
      </c>
      <c r="H2015" s="360">
        <v>1</v>
      </c>
      <c r="I2015" s="360">
        <v>0.10944240396845943</v>
      </c>
      <c r="K2015" s="363"/>
      <c r="N2015" s="10"/>
      <c r="O2015" s="4"/>
      <c r="P2015" s="4"/>
      <c r="Q2015" s="3"/>
      <c r="R2015" s="3"/>
      <c r="S2015" s="3"/>
      <c r="T2015" s="3"/>
    </row>
    <row r="2016" spans="1:20">
      <c r="A2016" s="3">
        <v>2</v>
      </c>
      <c r="B2016" s="3">
        <v>1</v>
      </c>
      <c r="C2016" s="2">
        <v>25</v>
      </c>
      <c r="D2016" s="2">
        <v>5</v>
      </c>
      <c r="E2016" s="2">
        <v>1</v>
      </c>
      <c r="F2016" s="17">
        <v>118</v>
      </c>
      <c r="H2016" s="360">
        <v>1</v>
      </c>
      <c r="I2016" s="360">
        <v>3.1558408493322858E-2</v>
      </c>
      <c r="K2016" s="363"/>
      <c r="N2016" s="10"/>
      <c r="O2016" s="4"/>
      <c r="P2016" s="4"/>
      <c r="Q2016" s="3"/>
      <c r="R2016" s="3"/>
      <c r="S2016" s="3"/>
      <c r="T2016" s="3"/>
    </row>
    <row r="2017" spans="1:20">
      <c r="A2017" s="3">
        <v>2</v>
      </c>
      <c r="B2017" s="3">
        <v>2</v>
      </c>
      <c r="C2017" s="2">
        <v>25</v>
      </c>
      <c r="D2017" s="2">
        <v>5</v>
      </c>
      <c r="E2017" s="2">
        <v>16</v>
      </c>
      <c r="F2017" s="17">
        <v>118</v>
      </c>
      <c r="H2017" s="360">
        <v>1</v>
      </c>
      <c r="I2017" s="360">
        <v>-3.4989644290322863E-2</v>
      </c>
      <c r="K2017" s="363"/>
      <c r="N2017" s="10"/>
      <c r="O2017" s="4"/>
      <c r="P2017" s="4"/>
      <c r="Q2017" s="3"/>
      <c r="R2017" s="3"/>
      <c r="S2017" s="3"/>
      <c r="T2017" s="3"/>
    </row>
    <row r="2018" spans="1:20">
      <c r="A2018" s="3">
        <v>2</v>
      </c>
      <c r="B2018" s="3">
        <v>2</v>
      </c>
      <c r="C2018" s="2">
        <v>25</v>
      </c>
      <c r="D2018" s="2">
        <v>5</v>
      </c>
      <c r="E2018" s="2">
        <v>1</v>
      </c>
      <c r="F2018" s="17">
        <v>118</v>
      </c>
      <c r="H2018" s="360">
        <v>1</v>
      </c>
      <c r="I2018" s="360">
        <v>-5.1574831067349947E-2</v>
      </c>
      <c r="K2018" s="363"/>
      <c r="N2018" s="10"/>
      <c r="O2018" s="4"/>
      <c r="P2018" s="4"/>
      <c r="Q2018" s="3"/>
      <c r="R2018" s="3"/>
      <c r="S2018" s="3"/>
      <c r="T2018" s="3"/>
    </row>
    <row r="2019" spans="1:20">
      <c r="A2019" s="3">
        <v>1</v>
      </c>
      <c r="B2019" s="3">
        <v>2</v>
      </c>
      <c r="C2019" s="2">
        <v>25</v>
      </c>
      <c r="D2019" s="2">
        <v>30</v>
      </c>
      <c r="E2019" s="2">
        <v>16</v>
      </c>
      <c r="F2019" s="17">
        <v>118</v>
      </c>
      <c r="H2019" s="360">
        <v>1</v>
      </c>
      <c r="I2019" s="360">
        <v>-0.18583169222299534</v>
      </c>
      <c r="K2019" s="363"/>
      <c r="N2019" s="10"/>
      <c r="O2019" s="4"/>
      <c r="P2019" s="4"/>
      <c r="Q2019" s="3"/>
      <c r="R2019" s="3"/>
      <c r="S2019" s="3"/>
      <c r="T2019" s="3"/>
    </row>
    <row r="2020" spans="1:20">
      <c r="A2020" s="3">
        <v>1</v>
      </c>
      <c r="B2020" s="3">
        <v>2</v>
      </c>
      <c r="C2020" s="2">
        <v>25</v>
      </c>
      <c r="D2020" s="2">
        <v>5</v>
      </c>
      <c r="E2020" s="2">
        <v>1</v>
      </c>
      <c r="F2020" s="17">
        <v>118</v>
      </c>
      <c r="H2020" s="360">
        <v>1</v>
      </c>
      <c r="I2020" s="360">
        <v>-0.1868980147396069</v>
      </c>
      <c r="K2020" s="363"/>
      <c r="N2020" s="10"/>
      <c r="O2020" s="4"/>
      <c r="P2020" s="4"/>
      <c r="Q2020" s="3"/>
      <c r="R2020" s="3"/>
      <c r="S2020" s="3"/>
      <c r="T2020" s="3"/>
    </row>
    <row r="2021" spans="1:20">
      <c r="A2021" s="3">
        <v>1</v>
      </c>
      <c r="B2021" s="3">
        <v>2</v>
      </c>
      <c r="C2021" s="2">
        <v>25</v>
      </c>
      <c r="D2021" s="2">
        <v>5</v>
      </c>
      <c r="E2021" s="2">
        <v>16</v>
      </c>
      <c r="F2021" s="17">
        <v>118</v>
      </c>
      <c r="H2021" s="360">
        <v>1</v>
      </c>
      <c r="I2021" s="360">
        <v>-0.18950828446498363</v>
      </c>
      <c r="K2021" s="363"/>
      <c r="N2021" s="10"/>
      <c r="O2021" s="4"/>
      <c r="P2021" s="4"/>
      <c r="Q2021" s="3"/>
      <c r="R2021" s="3"/>
      <c r="S2021" s="3"/>
      <c r="T2021" s="3"/>
    </row>
    <row r="2022" spans="1:20">
      <c r="A2022" s="3">
        <v>1</v>
      </c>
      <c r="B2022" s="3">
        <v>2</v>
      </c>
      <c r="C2022" s="2">
        <v>25</v>
      </c>
      <c r="D2022" s="2">
        <v>5</v>
      </c>
      <c r="E2022" s="2">
        <v>16</v>
      </c>
      <c r="F2022" s="17">
        <v>118</v>
      </c>
      <c r="H2022" s="360">
        <v>1</v>
      </c>
      <c r="I2022" s="360">
        <v>-0.19405089622097285</v>
      </c>
      <c r="K2022" s="363"/>
      <c r="N2022" s="10"/>
      <c r="O2022" s="4"/>
      <c r="P2022" s="4"/>
      <c r="Q2022" s="3"/>
      <c r="R2022" s="3"/>
      <c r="S2022" s="3"/>
      <c r="T2022" s="3"/>
    </row>
    <row r="2023" spans="1:20">
      <c r="A2023" s="3">
        <v>1</v>
      </c>
      <c r="B2023" s="3">
        <v>1</v>
      </c>
      <c r="C2023" s="2">
        <v>25</v>
      </c>
      <c r="D2023" s="2">
        <v>5</v>
      </c>
      <c r="E2023" s="2">
        <v>16</v>
      </c>
      <c r="F2023" s="17">
        <v>118</v>
      </c>
      <c r="H2023" s="360">
        <v>1</v>
      </c>
      <c r="I2023" s="360">
        <v>-0.20194681720519153</v>
      </c>
      <c r="K2023" s="363"/>
      <c r="N2023" s="10"/>
      <c r="O2023" s="4"/>
      <c r="P2023" s="4"/>
      <c r="Q2023" s="3"/>
      <c r="R2023" s="3"/>
      <c r="S2023" s="3"/>
      <c r="T2023" s="3"/>
    </row>
    <row r="2024" spans="1:20">
      <c r="A2024" s="3">
        <v>1</v>
      </c>
      <c r="B2024" s="3">
        <v>1</v>
      </c>
      <c r="C2024" s="2">
        <v>25</v>
      </c>
      <c r="D2024" s="2">
        <v>5</v>
      </c>
      <c r="E2024" s="2">
        <v>1</v>
      </c>
      <c r="F2024" s="17">
        <v>118</v>
      </c>
      <c r="H2024" s="360">
        <v>1</v>
      </c>
      <c r="I2024" s="360">
        <v>-0.21042760176935468</v>
      </c>
      <c r="K2024" s="363"/>
      <c r="N2024" s="10"/>
      <c r="O2024" s="4"/>
      <c r="P2024" s="4"/>
      <c r="Q2024" s="3"/>
      <c r="R2024" s="3"/>
      <c r="S2024" s="3"/>
      <c r="T2024" s="3"/>
    </row>
    <row r="2025" spans="1:20">
      <c r="A2025" s="3">
        <v>1</v>
      </c>
      <c r="B2025" s="3">
        <v>1</v>
      </c>
      <c r="C2025" s="2">
        <v>25</v>
      </c>
      <c r="D2025" s="2">
        <v>30</v>
      </c>
      <c r="E2025" s="2">
        <v>16</v>
      </c>
      <c r="F2025" s="17">
        <v>118</v>
      </c>
      <c r="H2025" s="360">
        <v>1</v>
      </c>
      <c r="I2025" s="360">
        <v>-0.22374714794072703</v>
      </c>
      <c r="K2025" s="363"/>
      <c r="N2025" s="10"/>
      <c r="O2025" s="4"/>
      <c r="P2025" s="4"/>
      <c r="Q2025" s="3"/>
      <c r="R2025" s="3"/>
      <c r="S2025" s="3"/>
      <c r="T2025" s="3"/>
    </row>
    <row r="2026" spans="1:20">
      <c r="A2026" s="3">
        <v>3</v>
      </c>
      <c r="B2026" s="3">
        <v>1</v>
      </c>
      <c r="C2026" s="2">
        <v>25</v>
      </c>
      <c r="D2026" s="2">
        <v>5</v>
      </c>
      <c r="E2026" s="2">
        <v>1</v>
      </c>
      <c r="F2026" s="17">
        <v>118</v>
      </c>
      <c r="H2026" s="360">
        <v>0.98985752393271365</v>
      </c>
      <c r="I2026" s="360">
        <v>-0.25575627029585035</v>
      </c>
      <c r="K2026" s="363"/>
      <c r="N2026" s="10"/>
      <c r="O2026" s="4"/>
      <c r="P2026" s="4"/>
      <c r="Q2026" s="3"/>
      <c r="R2026" s="3"/>
      <c r="S2026" s="3"/>
      <c r="T2026" s="3"/>
    </row>
    <row r="2027" spans="1:20">
      <c r="A2027" s="3">
        <v>3</v>
      </c>
      <c r="B2027" s="3">
        <v>1</v>
      </c>
      <c r="C2027" s="2">
        <v>25</v>
      </c>
      <c r="D2027" s="2">
        <v>5</v>
      </c>
      <c r="E2027" s="2">
        <v>16</v>
      </c>
      <c r="F2027" s="17">
        <v>118</v>
      </c>
      <c r="H2027" s="360">
        <v>1</v>
      </c>
      <c r="I2027" s="360">
        <v>-0.26114580099373169</v>
      </c>
      <c r="K2027" s="363"/>
      <c r="N2027" s="10"/>
      <c r="O2027" s="4"/>
      <c r="P2027" s="4"/>
      <c r="Q2027" s="3"/>
      <c r="R2027" s="3"/>
      <c r="S2027" s="3"/>
      <c r="T2027" s="3"/>
    </row>
    <row r="2028" spans="1:20">
      <c r="A2028" s="3">
        <v>3</v>
      </c>
      <c r="B2028" s="3">
        <v>2</v>
      </c>
      <c r="C2028" s="2">
        <v>25</v>
      </c>
      <c r="D2028" s="2">
        <v>5</v>
      </c>
      <c r="E2028" s="2">
        <v>1</v>
      </c>
      <c r="F2028" s="17">
        <v>118</v>
      </c>
      <c r="H2028" s="360">
        <v>1</v>
      </c>
      <c r="I2028" s="360">
        <v>-0.49151965405275994</v>
      </c>
      <c r="K2028" s="363"/>
      <c r="N2028" s="10"/>
      <c r="O2028" s="4"/>
      <c r="P2028" s="4"/>
      <c r="Q2028" s="3"/>
      <c r="R2028" s="3"/>
      <c r="S2028" s="3"/>
      <c r="T2028" s="3"/>
    </row>
    <row r="2029" spans="1:20">
      <c r="A2029" s="3">
        <v>3</v>
      </c>
      <c r="B2029" s="3">
        <v>2</v>
      </c>
      <c r="C2029" s="2">
        <v>25</v>
      </c>
      <c r="D2029" s="2">
        <v>5</v>
      </c>
      <c r="E2029" s="2">
        <v>16</v>
      </c>
      <c r="F2029" s="17">
        <v>118</v>
      </c>
      <c r="H2029" s="360">
        <v>1</v>
      </c>
      <c r="I2029" s="360">
        <v>-0.50406031603030965</v>
      </c>
      <c r="K2029" s="363"/>
      <c r="N2029" s="10"/>
      <c r="O2029" s="4"/>
      <c r="P2029" s="4"/>
      <c r="Q2029" s="3"/>
      <c r="R2029" s="3"/>
      <c r="S2029" s="3"/>
      <c r="T2029" s="3"/>
    </row>
    <row r="2030" spans="1:20">
      <c r="A2030" s="3">
        <v>4</v>
      </c>
      <c r="B2030" s="3">
        <v>2</v>
      </c>
      <c r="C2030" s="2">
        <v>50</v>
      </c>
      <c r="D2030" s="2">
        <v>5</v>
      </c>
      <c r="E2030" s="2">
        <v>16</v>
      </c>
      <c r="F2030" s="17">
        <v>119</v>
      </c>
      <c r="H2030" s="360">
        <v>1</v>
      </c>
      <c r="I2030" s="360">
        <v>0.40641212319113418</v>
      </c>
      <c r="K2030" s="363"/>
      <c r="N2030" s="10"/>
      <c r="O2030" s="4"/>
      <c r="P2030" s="4"/>
      <c r="Q2030" s="3"/>
      <c r="R2030" s="3"/>
      <c r="S2030" s="3"/>
      <c r="T2030" s="3"/>
    </row>
    <row r="2031" spans="1:20">
      <c r="A2031" s="3">
        <v>5</v>
      </c>
      <c r="B2031" s="3">
        <v>2</v>
      </c>
      <c r="C2031" s="2">
        <v>50</v>
      </c>
      <c r="D2031" s="2">
        <v>5</v>
      </c>
      <c r="E2031" s="2">
        <v>16</v>
      </c>
      <c r="F2031" s="17">
        <v>119</v>
      </c>
      <c r="H2031" s="360">
        <v>1</v>
      </c>
      <c r="I2031" s="360">
        <v>0.18403634171550332</v>
      </c>
      <c r="K2031" s="363"/>
      <c r="N2031" s="10"/>
      <c r="O2031" s="4"/>
      <c r="P2031" s="4"/>
      <c r="Q2031" s="3"/>
      <c r="R2031" s="3"/>
      <c r="S2031" s="3"/>
      <c r="T2031" s="3"/>
    </row>
    <row r="2032" spans="1:20">
      <c r="A2032" s="3">
        <v>5</v>
      </c>
      <c r="B2032" s="3">
        <v>2</v>
      </c>
      <c r="C2032" s="2">
        <v>25</v>
      </c>
      <c r="D2032" s="2">
        <v>5</v>
      </c>
      <c r="E2032" s="2">
        <v>16</v>
      </c>
      <c r="F2032" s="17">
        <v>119</v>
      </c>
      <c r="H2032" s="360">
        <v>1</v>
      </c>
      <c r="I2032" s="360">
        <v>0.18203548091421851</v>
      </c>
      <c r="K2032" s="363"/>
      <c r="N2032" s="10"/>
      <c r="O2032" s="4"/>
      <c r="P2032" s="4"/>
      <c r="Q2032" s="3"/>
      <c r="R2032" s="3"/>
      <c r="S2032" s="3"/>
      <c r="T2032" s="3"/>
    </row>
    <row r="2033" spans="1:20">
      <c r="A2033" s="3">
        <v>2</v>
      </c>
      <c r="B2033" s="3">
        <v>1</v>
      </c>
      <c r="C2033" s="2">
        <v>25</v>
      </c>
      <c r="D2033" s="2">
        <v>5</v>
      </c>
      <c r="E2033" s="2">
        <v>16</v>
      </c>
      <c r="F2033" s="17">
        <v>119</v>
      </c>
      <c r="H2033" s="360">
        <v>1</v>
      </c>
      <c r="I2033" s="360">
        <v>-0.21002590227286144</v>
      </c>
      <c r="K2033" s="363"/>
      <c r="N2033" s="10"/>
      <c r="O2033" s="4"/>
      <c r="P2033" s="4"/>
      <c r="Q2033" s="3"/>
      <c r="R2033" s="3"/>
      <c r="S2033" s="3"/>
      <c r="T2033" s="3"/>
    </row>
    <row r="2034" spans="1:20">
      <c r="A2034" s="3">
        <v>2</v>
      </c>
      <c r="B2034" s="3">
        <v>1</v>
      </c>
      <c r="C2034" s="2">
        <v>25</v>
      </c>
      <c r="D2034" s="2">
        <v>5</v>
      </c>
      <c r="E2034" s="2">
        <v>1</v>
      </c>
      <c r="F2034" s="17">
        <v>119</v>
      </c>
      <c r="H2034" s="360">
        <v>1</v>
      </c>
      <c r="I2034" s="360">
        <v>-0.23623300566930971</v>
      </c>
      <c r="K2034" s="363"/>
      <c r="N2034" s="10"/>
      <c r="O2034" s="4"/>
      <c r="P2034" s="4"/>
      <c r="Q2034" s="3"/>
      <c r="R2034" s="3"/>
      <c r="S2034" s="3"/>
      <c r="T2034" s="3"/>
    </row>
    <row r="2035" spans="1:20">
      <c r="A2035" s="3">
        <v>2</v>
      </c>
      <c r="B2035" s="3">
        <v>2</v>
      </c>
      <c r="C2035" s="2">
        <v>25</v>
      </c>
      <c r="D2035" s="2">
        <v>5</v>
      </c>
      <c r="E2035" s="2">
        <v>16</v>
      </c>
      <c r="F2035" s="17">
        <v>119</v>
      </c>
      <c r="H2035" s="360">
        <v>1</v>
      </c>
      <c r="I2035" s="360">
        <v>-0.27937970867949558</v>
      </c>
      <c r="K2035" s="363"/>
      <c r="N2035" s="10"/>
      <c r="O2035" s="4"/>
      <c r="P2035" s="4"/>
      <c r="Q2035" s="3"/>
      <c r="R2035" s="3"/>
      <c r="S2035" s="3"/>
      <c r="T2035" s="3"/>
    </row>
    <row r="2036" spans="1:20">
      <c r="A2036" s="3">
        <v>2</v>
      </c>
      <c r="B2036" s="3">
        <v>2</v>
      </c>
      <c r="C2036" s="2">
        <v>25</v>
      </c>
      <c r="D2036" s="2">
        <v>5</v>
      </c>
      <c r="E2036" s="2">
        <v>1</v>
      </c>
      <c r="F2036" s="17">
        <v>119</v>
      </c>
      <c r="H2036" s="360">
        <v>1</v>
      </c>
      <c r="I2036" s="360">
        <v>-0.30512263331276523</v>
      </c>
      <c r="K2036" s="363"/>
      <c r="N2036" s="10"/>
      <c r="O2036" s="4"/>
      <c r="P2036" s="4"/>
      <c r="Q2036" s="3"/>
      <c r="R2036" s="3"/>
      <c r="S2036" s="3"/>
      <c r="T2036" s="3"/>
    </row>
    <row r="2037" spans="1:20">
      <c r="A2037" s="3">
        <v>1</v>
      </c>
      <c r="B2037" s="3">
        <v>2</v>
      </c>
      <c r="C2037" s="2">
        <v>25</v>
      </c>
      <c r="D2037" s="2">
        <v>30</v>
      </c>
      <c r="E2037" s="2">
        <v>16</v>
      </c>
      <c r="F2037" s="17">
        <v>119</v>
      </c>
      <c r="H2037" s="360">
        <v>1</v>
      </c>
      <c r="I2037" s="360">
        <v>-0.35899187415118483</v>
      </c>
      <c r="K2037" s="363"/>
      <c r="N2037" s="10"/>
      <c r="O2037" s="4"/>
      <c r="P2037" s="4"/>
      <c r="Q2037" s="3"/>
      <c r="R2037" s="3"/>
      <c r="S2037" s="3"/>
      <c r="T2037" s="3"/>
    </row>
    <row r="2038" spans="1:20">
      <c r="A2038" s="3">
        <v>3</v>
      </c>
      <c r="B2038" s="3">
        <v>1</v>
      </c>
      <c r="C2038" s="2">
        <v>25</v>
      </c>
      <c r="D2038" s="2">
        <v>5</v>
      </c>
      <c r="E2038" s="2">
        <v>1</v>
      </c>
      <c r="F2038" s="17">
        <v>119</v>
      </c>
      <c r="H2038" s="360">
        <v>0.79869912668154397</v>
      </c>
      <c r="I2038" s="360">
        <v>-0.40136366929362916</v>
      </c>
      <c r="K2038" s="363"/>
      <c r="N2038" s="10"/>
      <c r="O2038" s="4"/>
      <c r="P2038" s="4"/>
      <c r="Q2038" s="3"/>
      <c r="R2038" s="3"/>
      <c r="S2038" s="3"/>
      <c r="T2038" s="3"/>
    </row>
    <row r="2039" spans="1:20">
      <c r="A2039" s="3">
        <v>3</v>
      </c>
      <c r="B2039" s="3">
        <v>1</v>
      </c>
      <c r="C2039" s="2">
        <v>25</v>
      </c>
      <c r="D2039" s="2">
        <v>5</v>
      </c>
      <c r="E2039" s="2">
        <v>16</v>
      </c>
      <c r="F2039" s="17">
        <v>119</v>
      </c>
      <c r="H2039" s="360">
        <v>1</v>
      </c>
      <c r="I2039" s="360">
        <v>-0.42969192224271263</v>
      </c>
      <c r="K2039" s="363"/>
      <c r="N2039" s="10"/>
      <c r="O2039" s="4"/>
      <c r="P2039" s="4"/>
      <c r="Q2039" s="3"/>
      <c r="R2039" s="3"/>
      <c r="S2039" s="3"/>
      <c r="T2039" s="3"/>
    </row>
    <row r="2040" spans="1:20">
      <c r="A2040" s="3">
        <v>1</v>
      </c>
      <c r="B2040" s="3">
        <v>2</v>
      </c>
      <c r="C2040" s="2">
        <v>25</v>
      </c>
      <c r="D2040" s="2">
        <v>5</v>
      </c>
      <c r="E2040" s="2">
        <v>1</v>
      </c>
      <c r="F2040" s="17">
        <v>119</v>
      </c>
      <c r="H2040" s="360">
        <v>9.6466811995450485E-2</v>
      </c>
      <c r="I2040" s="360">
        <v>-0.43126620052712977</v>
      </c>
      <c r="K2040" s="363"/>
      <c r="N2040" s="10"/>
      <c r="O2040" s="4"/>
      <c r="P2040" s="4"/>
      <c r="Q2040" s="3"/>
      <c r="R2040" s="3"/>
      <c r="S2040" s="3"/>
      <c r="T2040" s="3"/>
    </row>
    <row r="2041" spans="1:20">
      <c r="A2041" s="3">
        <v>1</v>
      </c>
      <c r="B2041" s="3">
        <v>2</v>
      </c>
      <c r="C2041" s="2">
        <v>25</v>
      </c>
      <c r="D2041" s="2">
        <v>5</v>
      </c>
      <c r="E2041" s="2">
        <v>16</v>
      </c>
      <c r="F2041" s="17">
        <v>119</v>
      </c>
      <c r="H2041" s="360">
        <v>1</v>
      </c>
      <c r="I2041" s="360">
        <v>-0.51257493559650935</v>
      </c>
      <c r="K2041" s="363"/>
      <c r="N2041" s="10"/>
      <c r="O2041" s="4"/>
      <c r="P2041" s="4"/>
      <c r="Q2041" s="3"/>
      <c r="R2041" s="3"/>
      <c r="S2041" s="3"/>
      <c r="T2041" s="3"/>
    </row>
    <row r="2042" spans="1:20">
      <c r="A2042" s="3">
        <v>1</v>
      </c>
      <c r="B2042" s="3">
        <v>2</v>
      </c>
      <c r="C2042" s="2">
        <v>25</v>
      </c>
      <c r="D2042" s="2">
        <v>5</v>
      </c>
      <c r="E2042" s="2">
        <v>16</v>
      </c>
      <c r="F2042" s="17">
        <v>119</v>
      </c>
      <c r="H2042" s="360">
        <v>1</v>
      </c>
      <c r="I2042" s="360">
        <v>-0.53078931875617952</v>
      </c>
      <c r="K2042" s="363"/>
      <c r="N2042" s="10"/>
      <c r="O2042" s="4"/>
      <c r="P2042" s="4"/>
      <c r="Q2042" s="3"/>
      <c r="R2042" s="3"/>
      <c r="S2042" s="3"/>
      <c r="T2042" s="3"/>
    </row>
    <row r="2043" spans="1:20">
      <c r="A2043" s="3">
        <v>1</v>
      </c>
      <c r="B2043" s="3">
        <v>1</v>
      </c>
      <c r="C2043" s="2">
        <v>25</v>
      </c>
      <c r="D2043" s="2">
        <v>30</v>
      </c>
      <c r="E2043" s="2">
        <v>16</v>
      </c>
      <c r="F2043" s="17">
        <v>119</v>
      </c>
      <c r="H2043" s="360">
        <v>1</v>
      </c>
      <c r="I2043" s="360">
        <v>-0.54112736447035314</v>
      </c>
      <c r="K2043" s="363"/>
      <c r="N2043" s="10"/>
      <c r="O2043" s="4"/>
      <c r="P2043" s="4"/>
      <c r="Q2043" s="3"/>
      <c r="R2043" s="3"/>
      <c r="S2043" s="3"/>
      <c r="T2043" s="3"/>
    </row>
    <row r="2044" spans="1:20">
      <c r="A2044" s="3">
        <v>1</v>
      </c>
      <c r="B2044" s="3">
        <v>1</v>
      </c>
      <c r="C2044" s="2">
        <v>25</v>
      </c>
      <c r="D2044" s="2">
        <v>5</v>
      </c>
      <c r="E2044" s="2">
        <v>16</v>
      </c>
      <c r="F2044" s="17">
        <v>119</v>
      </c>
      <c r="H2044" s="360">
        <v>1</v>
      </c>
      <c r="I2044" s="360">
        <v>-0.61270848989566629</v>
      </c>
      <c r="K2044" s="363"/>
      <c r="N2044" s="10"/>
      <c r="O2044" s="4"/>
      <c r="P2044" s="4"/>
      <c r="Q2044" s="3"/>
      <c r="R2044" s="3"/>
      <c r="S2044" s="3"/>
      <c r="T2044" s="3"/>
    </row>
    <row r="2045" spans="1:20">
      <c r="A2045" s="3">
        <v>1</v>
      </c>
      <c r="B2045" s="3">
        <v>1</v>
      </c>
      <c r="C2045" s="2">
        <v>25</v>
      </c>
      <c r="D2045" s="2">
        <v>5</v>
      </c>
      <c r="E2045" s="2">
        <v>1</v>
      </c>
      <c r="F2045" s="17">
        <v>119</v>
      </c>
      <c r="H2045" s="360">
        <v>1</v>
      </c>
      <c r="I2045" s="360">
        <v>-0.63046707871830776</v>
      </c>
      <c r="K2045" s="363"/>
      <c r="N2045" s="10"/>
      <c r="O2045" s="4"/>
      <c r="P2045" s="4"/>
      <c r="Q2045" s="3"/>
      <c r="R2045" s="3"/>
      <c r="S2045" s="3"/>
      <c r="T2045" s="3"/>
    </row>
    <row r="2046" spans="1:20">
      <c r="A2046" s="3">
        <v>3</v>
      </c>
      <c r="B2046" s="3">
        <v>2</v>
      </c>
      <c r="C2046" s="2">
        <v>25</v>
      </c>
      <c r="D2046" s="2">
        <v>5</v>
      </c>
      <c r="E2046" s="2">
        <v>1</v>
      </c>
      <c r="F2046" s="17">
        <v>119</v>
      </c>
      <c r="H2046" s="360">
        <v>0.99061787612649466</v>
      </c>
      <c r="I2046" s="360">
        <v>-0.63953626461181601</v>
      </c>
      <c r="K2046" s="363"/>
      <c r="N2046" s="10"/>
      <c r="O2046" s="4"/>
      <c r="P2046" s="4"/>
      <c r="Q2046" s="3"/>
      <c r="R2046" s="3"/>
      <c r="S2046" s="3"/>
      <c r="T2046" s="3"/>
    </row>
    <row r="2047" spans="1:20">
      <c r="A2047" s="3">
        <v>3</v>
      </c>
      <c r="B2047" s="3">
        <v>2</v>
      </c>
      <c r="C2047" s="2">
        <v>25</v>
      </c>
      <c r="D2047" s="2">
        <v>5</v>
      </c>
      <c r="E2047" s="2">
        <v>16</v>
      </c>
      <c r="F2047" s="17">
        <v>119</v>
      </c>
      <c r="H2047" s="360">
        <v>0.9931698209547658</v>
      </c>
      <c r="I2047" s="360">
        <v>-0.6806858492779474</v>
      </c>
      <c r="K2047" s="363"/>
      <c r="N2047" s="10"/>
      <c r="O2047" s="4"/>
      <c r="P2047" s="4"/>
      <c r="Q2047" s="3"/>
      <c r="R2047" s="3"/>
      <c r="S2047" s="3"/>
      <c r="T2047" s="3"/>
    </row>
    <row r="2048" spans="1:20">
      <c r="A2048" s="3">
        <v>2</v>
      </c>
      <c r="B2048" s="3">
        <v>1</v>
      </c>
      <c r="C2048" s="2">
        <v>25</v>
      </c>
      <c r="D2048" s="2">
        <v>5</v>
      </c>
      <c r="E2048" s="2">
        <v>1</v>
      </c>
      <c r="F2048" s="17">
        <v>120</v>
      </c>
      <c r="H2048" s="360">
        <v>0.86764996471576028</v>
      </c>
      <c r="I2048" s="360">
        <v>0.65728941365834248</v>
      </c>
      <c r="K2048" s="363"/>
      <c r="N2048" s="10"/>
      <c r="O2048" s="4"/>
      <c r="P2048" s="4"/>
      <c r="Q2048" s="3"/>
      <c r="R2048" s="3"/>
      <c r="S2048" s="3"/>
      <c r="T2048" s="3"/>
    </row>
    <row r="2049" spans="1:20">
      <c r="A2049" s="3">
        <v>2</v>
      </c>
      <c r="B2049" s="3">
        <v>2</v>
      </c>
      <c r="C2049" s="2">
        <v>25</v>
      </c>
      <c r="D2049" s="2">
        <v>5</v>
      </c>
      <c r="E2049" s="2">
        <v>1</v>
      </c>
      <c r="F2049" s="17">
        <v>120</v>
      </c>
      <c r="H2049" s="360">
        <v>1</v>
      </c>
      <c r="I2049" s="360">
        <v>0.63793334340787267</v>
      </c>
      <c r="K2049" s="363"/>
      <c r="N2049" s="10"/>
      <c r="O2049" s="4"/>
      <c r="P2049" s="4"/>
      <c r="Q2049" s="3"/>
      <c r="R2049" s="3"/>
      <c r="S2049" s="3"/>
      <c r="T2049" s="3"/>
    </row>
    <row r="2050" spans="1:20">
      <c r="A2050" s="3">
        <v>1</v>
      </c>
      <c r="B2050" s="3">
        <v>1</v>
      </c>
      <c r="C2050" s="2">
        <v>25</v>
      </c>
      <c r="D2050" s="2">
        <v>30</v>
      </c>
      <c r="E2050" s="2">
        <v>16</v>
      </c>
      <c r="F2050" s="17">
        <v>120</v>
      </c>
      <c r="H2050" s="360">
        <v>1</v>
      </c>
      <c r="I2050" s="360">
        <v>0.63669592697587152</v>
      </c>
      <c r="K2050" s="363"/>
      <c r="N2050" s="10"/>
      <c r="O2050" s="4"/>
      <c r="P2050" s="4"/>
      <c r="Q2050" s="3"/>
      <c r="R2050" s="3"/>
      <c r="S2050" s="3"/>
      <c r="T2050" s="3"/>
    </row>
    <row r="2051" spans="1:20">
      <c r="A2051" s="3">
        <v>2</v>
      </c>
      <c r="B2051" s="3">
        <v>2</v>
      </c>
      <c r="C2051" s="2">
        <v>25</v>
      </c>
      <c r="D2051" s="2">
        <v>5</v>
      </c>
      <c r="E2051" s="2">
        <v>16</v>
      </c>
      <c r="F2051" s="17">
        <v>120</v>
      </c>
      <c r="H2051" s="360">
        <v>1</v>
      </c>
      <c r="I2051" s="360">
        <v>0.63082553501680538</v>
      </c>
      <c r="K2051" s="363"/>
      <c r="N2051" s="10"/>
      <c r="O2051" s="4"/>
      <c r="P2051" s="4"/>
      <c r="Q2051" s="3"/>
      <c r="R2051" s="3"/>
      <c r="S2051" s="3"/>
      <c r="T2051" s="3"/>
    </row>
    <row r="2052" spans="1:20">
      <c r="A2052" s="3">
        <v>1</v>
      </c>
      <c r="B2052" s="3">
        <v>1</v>
      </c>
      <c r="C2052" s="2">
        <v>25</v>
      </c>
      <c r="D2052" s="2">
        <v>5</v>
      </c>
      <c r="E2052" s="2">
        <v>1</v>
      </c>
      <c r="F2052" s="17">
        <v>120</v>
      </c>
      <c r="H2052" s="360">
        <v>1</v>
      </c>
      <c r="I2052" s="360">
        <v>0.62016998258830147</v>
      </c>
      <c r="K2052" s="363"/>
      <c r="N2052" s="10"/>
      <c r="O2052" s="4"/>
      <c r="P2052" s="4"/>
      <c r="Q2052" s="3"/>
      <c r="R2052" s="3"/>
      <c r="S2052" s="3"/>
      <c r="T2052" s="3"/>
    </row>
    <row r="2053" spans="1:20">
      <c r="A2053" s="3">
        <v>1</v>
      </c>
      <c r="B2053" s="3">
        <v>1</v>
      </c>
      <c r="C2053" s="2">
        <v>25</v>
      </c>
      <c r="D2053" s="2">
        <v>5</v>
      </c>
      <c r="E2053" s="2">
        <v>16</v>
      </c>
      <c r="F2053" s="17">
        <v>120</v>
      </c>
      <c r="H2053" s="360">
        <v>1</v>
      </c>
      <c r="I2053" s="360">
        <v>0.61687234216959419</v>
      </c>
      <c r="K2053" s="363"/>
      <c r="N2053" s="10"/>
      <c r="O2053" s="4"/>
      <c r="P2053" s="4"/>
      <c r="Q2053" s="3"/>
      <c r="R2053" s="3"/>
      <c r="S2053" s="3"/>
      <c r="T2053" s="3"/>
    </row>
    <row r="2054" spans="1:20">
      <c r="A2054" s="3">
        <v>2</v>
      </c>
      <c r="B2054" s="3">
        <v>1</v>
      </c>
      <c r="C2054" s="2">
        <v>25</v>
      </c>
      <c r="D2054" s="2">
        <v>5</v>
      </c>
      <c r="E2054" s="2">
        <v>16</v>
      </c>
      <c r="F2054" s="17">
        <v>120</v>
      </c>
      <c r="H2054" s="360">
        <v>1</v>
      </c>
      <c r="I2054" s="360">
        <v>0.61619470713210545</v>
      </c>
      <c r="K2054" s="363"/>
      <c r="N2054" s="10"/>
      <c r="O2054" s="4"/>
      <c r="P2054" s="4"/>
      <c r="Q2054" s="3"/>
      <c r="R2054" s="3"/>
      <c r="S2054" s="3"/>
      <c r="T2054" s="3"/>
    </row>
    <row r="2055" spans="1:20">
      <c r="A2055" s="3">
        <v>1</v>
      </c>
      <c r="B2055" s="3">
        <v>2</v>
      </c>
      <c r="C2055" s="2">
        <v>25</v>
      </c>
      <c r="D2055" s="2">
        <v>30</v>
      </c>
      <c r="E2055" s="2">
        <v>16</v>
      </c>
      <c r="F2055" s="17">
        <v>120</v>
      </c>
      <c r="H2055" s="360">
        <v>1</v>
      </c>
      <c r="I2055" s="360">
        <v>0.575664082245812</v>
      </c>
      <c r="K2055" s="363"/>
      <c r="N2055" s="10"/>
      <c r="O2055" s="4"/>
      <c r="P2055" s="4"/>
      <c r="Q2055" s="3"/>
      <c r="R2055" s="3"/>
      <c r="S2055" s="3"/>
      <c r="T2055" s="3"/>
    </row>
    <row r="2056" spans="1:20">
      <c r="A2056" s="3">
        <v>1</v>
      </c>
      <c r="B2056" s="3">
        <v>2</v>
      </c>
      <c r="C2056" s="2">
        <v>25</v>
      </c>
      <c r="D2056" s="2">
        <v>5</v>
      </c>
      <c r="E2056" s="2">
        <v>16</v>
      </c>
      <c r="F2056" s="17">
        <v>120</v>
      </c>
      <c r="H2056" s="360">
        <v>1</v>
      </c>
      <c r="I2056" s="360">
        <v>0.55152945830173872</v>
      </c>
      <c r="K2056" s="363"/>
      <c r="N2056" s="10"/>
      <c r="O2056" s="4"/>
      <c r="P2056" s="4"/>
      <c r="Q2056" s="3"/>
      <c r="R2056" s="3"/>
      <c r="S2056" s="3"/>
      <c r="T2056" s="3"/>
    </row>
    <row r="2057" spans="1:20">
      <c r="A2057" s="3">
        <v>3</v>
      </c>
      <c r="B2057" s="3">
        <v>2</v>
      </c>
      <c r="C2057" s="2">
        <v>25</v>
      </c>
      <c r="D2057" s="2">
        <v>5</v>
      </c>
      <c r="E2057" s="2">
        <v>1</v>
      </c>
      <c r="F2057" s="17">
        <v>120</v>
      </c>
      <c r="H2057" s="360">
        <v>0.71306302019082857</v>
      </c>
      <c r="I2057" s="360">
        <v>0.537736711008308</v>
      </c>
      <c r="K2057" s="363"/>
      <c r="N2057" s="10"/>
      <c r="O2057" s="4"/>
      <c r="P2057" s="4"/>
      <c r="Q2057" s="3"/>
      <c r="R2057" s="3"/>
      <c r="S2057" s="3"/>
      <c r="T2057" s="3"/>
    </row>
    <row r="2058" spans="1:20">
      <c r="A2058" s="3">
        <v>3</v>
      </c>
      <c r="B2058" s="3">
        <v>2</v>
      </c>
      <c r="C2058" s="2">
        <v>25</v>
      </c>
      <c r="D2058" s="2">
        <v>5</v>
      </c>
      <c r="E2058" s="2">
        <v>16</v>
      </c>
      <c r="F2058" s="17">
        <v>120</v>
      </c>
      <c r="H2058" s="360">
        <v>1</v>
      </c>
      <c r="I2058" s="360">
        <v>0.51473108088479613</v>
      </c>
      <c r="K2058" s="363"/>
      <c r="N2058" s="10"/>
      <c r="O2058" s="4"/>
      <c r="P2058" s="4"/>
      <c r="Q2058" s="3"/>
      <c r="R2058" s="3"/>
      <c r="S2058" s="3"/>
      <c r="T2058" s="3"/>
    </row>
    <row r="2059" spans="1:20">
      <c r="A2059" s="3">
        <v>3</v>
      </c>
      <c r="B2059" s="3">
        <v>1</v>
      </c>
      <c r="C2059" s="2">
        <v>25</v>
      </c>
      <c r="D2059" s="2">
        <v>5</v>
      </c>
      <c r="E2059" s="2">
        <v>1</v>
      </c>
      <c r="F2059" s="17">
        <v>120</v>
      </c>
      <c r="H2059" s="360">
        <v>0.97737133451674385</v>
      </c>
      <c r="I2059" s="360">
        <v>0.50842394311884065</v>
      </c>
      <c r="K2059" s="363"/>
      <c r="N2059" s="10"/>
      <c r="O2059" s="4"/>
      <c r="P2059" s="4"/>
      <c r="Q2059" s="3"/>
      <c r="R2059" s="3"/>
      <c r="S2059" s="3"/>
      <c r="T2059" s="3"/>
    </row>
    <row r="2060" spans="1:20">
      <c r="A2060" s="3">
        <v>3</v>
      </c>
      <c r="B2060" s="3">
        <v>1</v>
      </c>
      <c r="C2060" s="2">
        <v>25</v>
      </c>
      <c r="D2060" s="2">
        <v>5</v>
      </c>
      <c r="E2060" s="2">
        <v>16</v>
      </c>
      <c r="F2060" s="17">
        <v>120</v>
      </c>
      <c r="H2060" s="360">
        <v>0.9896154328297182</v>
      </c>
      <c r="I2060" s="360">
        <v>0.48842378191193608</v>
      </c>
      <c r="K2060" s="363"/>
      <c r="N2060" s="10"/>
      <c r="O2060" s="4"/>
      <c r="P2060" s="4"/>
      <c r="Q2060" s="3"/>
      <c r="R2060" s="3"/>
      <c r="S2060" s="3"/>
      <c r="T2060" s="3"/>
    </row>
    <row r="2061" spans="1:20">
      <c r="A2061" s="3">
        <v>1</v>
      </c>
      <c r="B2061" s="3">
        <v>2</v>
      </c>
      <c r="C2061" s="2">
        <v>25</v>
      </c>
      <c r="D2061" s="2">
        <v>5</v>
      </c>
      <c r="E2061" s="2">
        <v>16</v>
      </c>
      <c r="F2061" s="17">
        <v>120</v>
      </c>
      <c r="H2061" s="360">
        <v>1</v>
      </c>
      <c r="I2061" s="360">
        <v>0.29319419962922766</v>
      </c>
      <c r="K2061" s="363"/>
      <c r="N2061" s="10"/>
      <c r="O2061" s="4"/>
      <c r="P2061" s="4"/>
      <c r="Q2061" s="3"/>
      <c r="R2061" s="3"/>
      <c r="S2061" s="3"/>
      <c r="T2061" s="3"/>
    </row>
    <row r="2062" spans="1:20">
      <c r="A2062" s="3">
        <v>1</v>
      </c>
      <c r="B2062" s="3">
        <v>2</v>
      </c>
      <c r="C2062" s="2">
        <v>25</v>
      </c>
      <c r="D2062" s="2">
        <v>5</v>
      </c>
      <c r="E2062" s="2">
        <v>1</v>
      </c>
      <c r="F2062" s="17">
        <v>120</v>
      </c>
      <c r="H2062" s="360">
        <v>2.6558675501240359E-2</v>
      </c>
      <c r="I2062" s="360">
        <v>0.21359560714533954</v>
      </c>
      <c r="K2062" s="363"/>
      <c r="N2062" s="10"/>
      <c r="O2062" s="4"/>
      <c r="P2062" s="4"/>
      <c r="Q2062" s="3"/>
      <c r="R2062" s="3"/>
      <c r="S2062" s="3"/>
      <c r="T2062" s="3"/>
    </row>
    <row r="2063" spans="1:20">
      <c r="A2063" s="3">
        <v>5</v>
      </c>
      <c r="B2063" s="3">
        <v>2</v>
      </c>
      <c r="C2063" s="2">
        <v>50</v>
      </c>
      <c r="D2063" s="2">
        <v>5</v>
      </c>
      <c r="E2063" s="2">
        <v>16</v>
      </c>
      <c r="F2063" s="17">
        <v>120</v>
      </c>
      <c r="H2063" s="360">
        <v>0.3728837074289002</v>
      </c>
      <c r="I2063" s="360">
        <v>2.2497123546477676E-2</v>
      </c>
      <c r="K2063" s="363"/>
      <c r="N2063" s="10"/>
      <c r="O2063" s="4"/>
      <c r="P2063" s="4"/>
      <c r="Q2063" s="3"/>
      <c r="R2063" s="3"/>
      <c r="S2063" s="3"/>
      <c r="T2063" s="3"/>
    </row>
    <row r="2064" spans="1:20">
      <c r="A2064" s="3">
        <v>5</v>
      </c>
      <c r="B2064" s="3">
        <v>2</v>
      </c>
      <c r="C2064" s="2">
        <v>25</v>
      </c>
      <c r="D2064" s="2">
        <v>5</v>
      </c>
      <c r="E2064" s="2">
        <v>16</v>
      </c>
      <c r="F2064" s="17">
        <v>120</v>
      </c>
      <c r="H2064" s="360">
        <v>2.4932157111779651E-2</v>
      </c>
      <c r="I2064" s="360">
        <v>-1.4313838485491424E-2</v>
      </c>
      <c r="K2064" s="363"/>
      <c r="N2064" s="10"/>
      <c r="O2064" s="4"/>
      <c r="P2064" s="4"/>
      <c r="Q2064" s="3"/>
      <c r="R2064" s="3"/>
      <c r="S2064" s="3"/>
      <c r="T2064" s="3"/>
    </row>
    <row r="2065" spans="1:20">
      <c r="A2065" s="3">
        <v>4</v>
      </c>
      <c r="B2065" s="3">
        <v>2</v>
      </c>
      <c r="C2065" s="2">
        <v>50</v>
      </c>
      <c r="D2065" s="2">
        <v>5</v>
      </c>
      <c r="E2065" s="2">
        <v>16</v>
      </c>
      <c r="F2065" s="17">
        <v>120</v>
      </c>
      <c r="H2065" s="360">
        <v>0.31514839422808483</v>
      </c>
      <c r="I2065" s="360">
        <v>-3.5442216376866051E-2</v>
      </c>
      <c r="K2065" s="363"/>
      <c r="N2065" s="10"/>
      <c r="O2065" s="4"/>
      <c r="P2065" s="4"/>
      <c r="Q2065" s="3"/>
      <c r="R2065" s="3"/>
      <c r="S2065" s="3"/>
      <c r="T2065" s="3"/>
    </row>
    <row r="2066" spans="1:20">
      <c r="A2066" s="3">
        <v>2</v>
      </c>
      <c r="B2066" s="3">
        <v>2</v>
      </c>
      <c r="C2066" s="2">
        <v>25</v>
      </c>
      <c r="D2066" s="2">
        <v>5</v>
      </c>
      <c r="E2066" s="2">
        <v>16</v>
      </c>
      <c r="F2066" s="17">
        <v>121</v>
      </c>
      <c r="H2066" s="360">
        <v>1</v>
      </c>
      <c r="I2066" s="360">
        <v>0.93462944947807358</v>
      </c>
      <c r="K2066" s="363"/>
      <c r="N2066" s="10"/>
      <c r="O2066" s="4"/>
      <c r="P2066" s="4"/>
      <c r="Q2066" s="3"/>
      <c r="R2066" s="3"/>
      <c r="S2066" s="3"/>
      <c r="T2066" s="3"/>
    </row>
    <row r="2067" spans="1:20">
      <c r="A2067" s="3">
        <v>2</v>
      </c>
      <c r="B2067" s="3">
        <v>2</v>
      </c>
      <c r="C2067" s="2">
        <v>25</v>
      </c>
      <c r="D2067" s="2">
        <v>5</v>
      </c>
      <c r="E2067" s="2">
        <v>1</v>
      </c>
      <c r="F2067" s="17">
        <v>121</v>
      </c>
      <c r="H2067" s="360">
        <v>0.99772766670689017</v>
      </c>
      <c r="I2067" s="360">
        <v>0.93269824929085887</v>
      </c>
      <c r="K2067" s="363"/>
      <c r="N2067" s="10"/>
      <c r="O2067" s="4"/>
      <c r="P2067" s="4"/>
      <c r="Q2067" s="3"/>
      <c r="R2067" s="3"/>
      <c r="S2067" s="3"/>
      <c r="T2067" s="3"/>
    </row>
    <row r="2068" spans="1:20">
      <c r="A2068" s="3">
        <v>2</v>
      </c>
      <c r="B2068" s="3">
        <v>1</v>
      </c>
      <c r="C2068" s="2">
        <v>25</v>
      </c>
      <c r="D2068" s="2">
        <v>5</v>
      </c>
      <c r="E2068" s="2">
        <v>1</v>
      </c>
      <c r="F2068" s="17">
        <v>121</v>
      </c>
      <c r="H2068" s="360">
        <v>0.99745296121957894</v>
      </c>
      <c r="I2068" s="360">
        <v>0.91477146143474197</v>
      </c>
      <c r="K2068" s="363"/>
      <c r="N2068" s="10"/>
      <c r="O2068" s="4"/>
      <c r="P2068" s="4"/>
      <c r="Q2068" s="3"/>
      <c r="R2068" s="3"/>
      <c r="S2068" s="3"/>
      <c r="T2068" s="3"/>
    </row>
    <row r="2069" spans="1:20">
      <c r="A2069" s="3">
        <v>2</v>
      </c>
      <c r="B2069" s="3">
        <v>1</v>
      </c>
      <c r="C2069" s="2">
        <v>25</v>
      </c>
      <c r="D2069" s="2">
        <v>5</v>
      </c>
      <c r="E2069" s="2">
        <v>16</v>
      </c>
      <c r="F2069" s="17">
        <v>121</v>
      </c>
      <c r="H2069" s="360">
        <v>1</v>
      </c>
      <c r="I2069" s="360">
        <v>0.89634518377884109</v>
      </c>
      <c r="K2069" s="363"/>
      <c r="N2069" s="10"/>
      <c r="O2069" s="4"/>
      <c r="P2069" s="4"/>
      <c r="Q2069" s="3"/>
      <c r="R2069" s="3"/>
      <c r="S2069" s="3"/>
      <c r="T2069" s="3"/>
    </row>
    <row r="2070" spans="1:20">
      <c r="A2070" s="3">
        <v>1</v>
      </c>
      <c r="B2070" s="3">
        <v>2</v>
      </c>
      <c r="C2070" s="2">
        <v>25</v>
      </c>
      <c r="D2070" s="2">
        <v>5</v>
      </c>
      <c r="E2070" s="2">
        <v>16</v>
      </c>
      <c r="F2070" s="17">
        <v>121</v>
      </c>
      <c r="H2070" s="360">
        <v>1</v>
      </c>
      <c r="I2070" s="360">
        <v>0.84179645414697202</v>
      </c>
      <c r="K2070" s="363"/>
      <c r="N2070" s="10"/>
      <c r="O2070" s="4"/>
      <c r="P2070" s="4"/>
      <c r="Q2070" s="3"/>
      <c r="R2070" s="3"/>
      <c r="S2070" s="3"/>
      <c r="T2070" s="3"/>
    </row>
    <row r="2071" spans="1:20">
      <c r="A2071" s="3">
        <v>1</v>
      </c>
      <c r="B2071" s="3">
        <v>2</v>
      </c>
      <c r="C2071" s="2">
        <v>25</v>
      </c>
      <c r="D2071" s="2">
        <v>5</v>
      </c>
      <c r="E2071" s="2">
        <v>16</v>
      </c>
      <c r="F2071" s="17">
        <v>121</v>
      </c>
      <c r="H2071" s="360">
        <v>1</v>
      </c>
      <c r="I2071" s="360">
        <v>0.8365679089520216</v>
      </c>
      <c r="K2071" s="363"/>
      <c r="N2071" s="10"/>
      <c r="O2071" s="4"/>
      <c r="P2071" s="4"/>
      <c r="Q2071" s="3"/>
      <c r="R2071" s="3"/>
      <c r="S2071" s="3"/>
      <c r="T2071" s="3"/>
    </row>
    <row r="2072" spans="1:20">
      <c r="A2072" s="3">
        <v>1</v>
      </c>
      <c r="B2072" s="3">
        <v>2</v>
      </c>
      <c r="C2072" s="2">
        <v>25</v>
      </c>
      <c r="D2072" s="2">
        <v>5</v>
      </c>
      <c r="E2072" s="2">
        <v>1</v>
      </c>
      <c r="F2072" s="17">
        <v>121</v>
      </c>
      <c r="H2072" s="360">
        <v>0.83298943062623698</v>
      </c>
      <c r="I2072" s="360">
        <v>0.83432571157470181</v>
      </c>
      <c r="K2072" s="363"/>
      <c r="N2072" s="10"/>
      <c r="O2072" s="4"/>
      <c r="P2072" s="4"/>
      <c r="Q2072" s="3"/>
      <c r="R2072" s="3"/>
      <c r="S2072" s="3"/>
      <c r="T2072" s="3"/>
    </row>
    <row r="2073" spans="1:20">
      <c r="A2073" s="3">
        <v>1</v>
      </c>
      <c r="B2073" s="3">
        <v>2</v>
      </c>
      <c r="C2073" s="2">
        <v>25</v>
      </c>
      <c r="D2073" s="2">
        <v>30</v>
      </c>
      <c r="E2073" s="2">
        <v>16</v>
      </c>
      <c r="F2073" s="17">
        <v>121</v>
      </c>
      <c r="H2073" s="360">
        <v>1</v>
      </c>
      <c r="I2073" s="360">
        <v>0.76852433501862427</v>
      </c>
      <c r="K2073" s="363"/>
      <c r="N2073" s="10"/>
      <c r="O2073" s="4"/>
      <c r="P2073" s="4"/>
      <c r="Q2073" s="3"/>
      <c r="R2073" s="3"/>
      <c r="S2073" s="3"/>
      <c r="T2073" s="3"/>
    </row>
    <row r="2074" spans="1:20">
      <c r="A2074" s="3">
        <v>1</v>
      </c>
      <c r="B2074" s="3">
        <v>1</v>
      </c>
      <c r="C2074" s="2">
        <v>25</v>
      </c>
      <c r="D2074" s="2">
        <v>5</v>
      </c>
      <c r="E2074" s="2">
        <v>16</v>
      </c>
      <c r="F2074" s="17">
        <v>121</v>
      </c>
      <c r="H2074" s="360">
        <v>1</v>
      </c>
      <c r="I2074" s="360">
        <v>0.63743148948429296</v>
      </c>
      <c r="K2074" s="363"/>
      <c r="N2074" s="10"/>
      <c r="O2074" s="4"/>
      <c r="P2074" s="4"/>
      <c r="Q2074" s="3"/>
      <c r="R2074" s="3"/>
      <c r="S2074" s="3"/>
      <c r="T2074" s="3"/>
    </row>
    <row r="2075" spans="1:20">
      <c r="A2075" s="3">
        <v>3</v>
      </c>
      <c r="B2075" s="3">
        <v>2</v>
      </c>
      <c r="C2075" s="2">
        <v>25</v>
      </c>
      <c r="D2075" s="2">
        <v>5</v>
      </c>
      <c r="E2075" s="2">
        <v>1</v>
      </c>
      <c r="F2075" s="17">
        <v>121</v>
      </c>
      <c r="H2075" s="360">
        <v>1</v>
      </c>
      <c r="I2075" s="360">
        <v>0.63739989626697779</v>
      </c>
      <c r="K2075" s="363"/>
      <c r="N2075" s="10"/>
      <c r="O2075" s="4"/>
      <c r="P2075" s="4"/>
      <c r="Q2075" s="3"/>
      <c r="R2075" s="3"/>
      <c r="S2075" s="3"/>
      <c r="T2075" s="3"/>
    </row>
    <row r="2076" spans="1:20">
      <c r="A2076" s="3">
        <v>3</v>
      </c>
      <c r="B2076" s="3">
        <v>1</v>
      </c>
      <c r="C2076" s="2">
        <v>25</v>
      </c>
      <c r="D2076" s="2">
        <v>5</v>
      </c>
      <c r="E2076" s="2">
        <v>1</v>
      </c>
      <c r="F2076" s="17">
        <v>121</v>
      </c>
      <c r="H2076" s="360">
        <v>0.98227906122645192</v>
      </c>
      <c r="I2076" s="360">
        <v>0.63478614728167593</v>
      </c>
      <c r="K2076" s="363"/>
      <c r="N2076" s="10"/>
      <c r="O2076" s="4"/>
      <c r="P2076" s="4"/>
      <c r="Q2076" s="3"/>
      <c r="R2076" s="3"/>
      <c r="S2076" s="3"/>
      <c r="T2076" s="3"/>
    </row>
    <row r="2077" spans="1:20">
      <c r="A2077" s="3">
        <v>1</v>
      </c>
      <c r="B2077" s="3">
        <v>1</v>
      </c>
      <c r="C2077" s="2">
        <v>25</v>
      </c>
      <c r="D2077" s="2">
        <v>5</v>
      </c>
      <c r="E2077" s="2">
        <v>1</v>
      </c>
      <c r="F2077" s="17">
        <v>121</v>
      </c>
      <c r="H2077" s="360">
        <v>1</v>
      </c>
      <c r="I2077" s="360">
        <v>0.60739854616575817</v>
      </c>
      <c r="K2077" s="363"/>
      <c r="N2077" s="10"/>
      <c r="O2077" s="4"/>
      <c r="P2077" s="4"/>
      <c r="Q2077" s="3"/>
      <c r="R2077" s="3"/>
      <c r="S2077" s="3"/>
      <c r="T2077" s="3"/>
    </row>
    <row r="2078" spans="1:20">
      <c r="A2078" s="3">
        <v>1</v>
      </c>
      <c r="B2078" s="3">
        <v>1</v>
      </c>
      <c r="C2078" s="2">
        <v>25</v>
      </c>
      <c r="D2078" s="2">
        <v>30</v>
      </c>
      <c r="E2078" s="2">
        <v>16</v>
      </c>
      <c r="F2078" s="17">
        <v>121</v>
      </c>
      <c r="H2078" s="360">
        <v>1</v>
      </c>
      <c r="I2078" s="360">
        <v>0.60017095557788869</v>
      </c>
      <c r="K2078" s="363"/>
      <c r="N2078" s="10"/>
      <c r="O2078" s="4"/>
      <c r="P2078" s="4"/>
      <c r="Q2078" s="3"/>
      <c r="R2078" s="3"/>
      <c r="S2078" s="3"/>
      <c r="T2078" s="3"/>
    </row>
    <row r="2079" spans="1:20">
      <c r="A2079" s="3">
        <v>3</v>
      </c>
      <c r="B2079" s="3">
        <v>1</v>
      </c>
      <c r="C2079" s="2">
        <v>25</v>
      </c>
      <c r="D2079" s="2">
        <v>5</v>
      </c>
      <c r="E2079" s="2">
        <v>16</v>
      </c>
      <c r="F2079" s="17">
        <v>121</v>
      </c>
      <c r="H2079" s="360">
        <v>0.98455492986758641</v>
      </c>
      <c r="I2079" s="360">
        <v>0.59878686644248824</v>
      </c>
      <c r="K2079" s="363"/>
      <c r="N2079" s="10"/>
      <c r="O2079" s="4"/>
      <c r="P2079" s="4"/>
      <c r="Q2079" s="3"/>
      <c r="R2079" s="3"/>
      <c r="S2079" s="3"/>
      <c r="T2079" s="3"/>
    </row>
    <row r="2080" spans="1:20">
      <c r="A2080" s="3">
        <v>3</v>
      </c>
      <c r="B2080" s="3">
        <v>2</v>
      </c>
      <c r="C2080" s="2">
        <v>25</v>
      </c>
      <c r="D2080" s="2">
        <v>5</v>
      </c>
      <c r="E2080" s="2">
        <v>16</v>
      </c>
      <c r="F2080" s="17">
        <v>121</v>
      </c>
      <c r="H2080" s="360">
        <v>1</v>
      </c>
      <c r="I2080" s="360">
        <v>0.56979538632139248</v>
      </c>
      <c r="K2080" s="363"/>
      <c r="N2080" s="10"/>
      <c r="O2080" s="4"/>
      <c r="P2080" s="4"/>
      <c r="Q2080" s="3"/>
      <c r="R2080" s="3"/>
      <c r="S2080" s="3"/>
      <c r="T2080" s="3"/>
    </row>
    <row r="2081" spans="1:20">
      <c r="A2081" s="3">
        <v>4</v>
      </c>
      <c r="B2081" s="3">
        <v>2</v>
      </c>
      <c r="C2081" s="2">
        <v>50</v>
      </c>
      <c r="D2081" s="2">
        <v>5</v>
      </c>
      <c r="E2081" s="2">
        <v>16</v>
      </c>
      <c r="F2081" s="17">
        <v>121</v>
      </c>
      <c r="H2081" s="360">
        <v>0.41387853513369977</v>
      </c>
      <c r="I2081" s="360">
        <v>-4.6268437875722122E-2</v>
      </c>
      <c r="K2081" s="363"/>
      <c r="N2081" s="10"/>
      <c r="O2081" s="4"/>
      <c r="P2081" s="4"/>
      <c r="Q2081" s="3"/>
      <c r="R2081" s="3"/>
      <c r="S2081" s="3"/>
      <c r="T2081" s="3"/>
    </row>
    <row r="2082" spans="1:20">
      <c r="A2082" s="3">
        <v>5</v>
      </c>
      <c r="B2082" s="3">
        <v>2</v>
      </c>
      <c r="C2082" s="2">
        <v>50</v>
      </c>
      <c r="D2082" s="2">
        <v>5</v>
      </c>
      <c r="E2082" s="2">
        <v>16</v>
      </c>
      <c r="F2082" s="17">
        <v>121</v>
      </c>
      <c r="H2082" s="360">
        <v>1</v>
      </c>
      <c r="I2082" s="360">
        <v>-0.27193751545026984</v>
      </c>
      <c r="K2082" s="363"/>
      <c r="N2082" s="10"/>
      <c r="O2082" s="4"/>
      <c r="P2082" s="4"/>
      <c r="Q2082" s="3"/>
      <c r="R2082" s="3"/>
      <c r="S2082" s="3"/>
      <c r="T2082" s="3"/>
    </row>
    <row r="2083" spans="1:20">
      <c r="A2083" s="3">
        <v>5</v>
      </c>
      <c r="B2083" s="3">
        <v>2</v>
      </c>
      <c r="C2083" s="2">
        <v>25</v>
      </c>
      <c r="D2083" s="2">
        <v>5</v>
      </c>
      <c r="E2083" s="2">
        <v>16</v>
      </c>
      <c r="F2083" s="17">
        <v>121</v>
      </c>
      <c r="H2083" s="360">
        <v>0.98422417372630899</v>
      </c>
      <c r="I2083" s="360">
        <v>-0.30452911475856298</v>
      </c>
      <c r="K2083" s="363"/>
      <c r="N2083" s="10"/>
      <c r="O2083" s="4"/>
      <c r="P2083" s="4"/>
      <c r="Q2083" s="3"/>
      <c r="R2083" s="3"/>
      <c r="S2083" s="3"/>
      <c r="T2083" s="3"/>
    </row>
    <row r="2084" spans="1:20">
      <c r="A2084" s="3">
        <v>2</v>
      </c>
      <c r="B2084" s="3">
        <v>1</v>
      </c>
      <c r="C2084" s="2">
        <v>25</v>
      </c>
      <c r="D2084" s="2">
        <v>5</v>
      </c>
      <c r="E2084" s="2">
        <v>1</v>
      </c>
      <c r="F2084" s="17">
        <v>122</v>
      </c>
      <c r="H2084" s="360">
        <v>1</v>
      </c>
      <c r="I2084" s="360">
        <v>0.48145872987624694</v>
      </c>
      <c r="K2084" s="363"/>
      <c r="N2084" s="10"/>
      <c r="O2084" s="4"/>
      <c r="P2084" s="4"/>
      <c r="Q2084" s="3"/>
      <c r="R2084" s="3"/>
      <c r="S2084" s="3"/>
      <c r="T2084" s="3"/>
    </row>
    <row r="2085" spans="1:20">
      <c r="A2085" s="3">
        <v>2</v>
      </c>
      <c r="B2085" s="3">
        <v>2</v>
      </c>
      <c r="C2085" s="2">
        <v>25</v>
      </c>
      <c r="D2085" s="2">
        <v>5</v>
      </c>
      <c r="E2085" s="2">
        <v>16</v>
      </c>
      <c r="F2085" s="17">
        <v>122</v>
      </c>
      <c r="H2085" s="360">
        <v>1</v>
      </c>
      <c r="I2085" s="360">
        <v>0.47180555191360157</v>
      </c>
      <c r="K2085" s="363"/>
      <c r="N2085" s="10"/>
      <c r="O2085" s="4"/>
      <c r="P2085" s="4"/>
      <c r="Q2085" s="3"/>
      <c r="R2085" s="3"/>
      <c r="S2085" s="3"/>
      <c r="T2085" s="3"/>
    </row>
    <row r="2086" spans="1:20">
      <c r="A2086" s="3">
        <v>1</v>
      </c>
      <c r="B2086" s="3">
        <v>2</v>
      </c>
      <c r="C2086" s="2">
        <v>25</v>
      </c>
      <c r="D2086" s="2">
        <v>5</v>
      </c>
      <c r="E2086" s="2">
        <v>16</v>
      </c>
      <c r="F2086" s="17">
        <v>122</v>
      </c>
      <c r="H2086" s="360">
        <v>1</v>
      </c>
      <c r="I2086" s="360">
        <v>0.46253628415139386</v>
      </c>
      <c r="K2086" s="363"/>
      <c r="N2086" s="10"/>
      <c r="O2086" s="4"/>
      <c r="P2086" s="4"/>
      <c r="Q2086" s="3"/>
      <c r="R2086" s="3"/>
      <c r="S2086" s="3"/>
      <c r="T2086" s="3"/>
    </row>
    <row r="2087" spans="1:20">
      <c r="A2087" s="3">
        <v>1</v>
      </c>
      <c r="B2087" s="3">
        <v>2</v>
      </c>
      <c r="C2087" s="2">
        <v>25</v>
      </c>
      <c r="D2087" s="2">
        <v>5</v>
      </c>
      <c r="E2087" s="2">
        <v>1</v>
      </c>
      <c r="F2087" s="17">
        <v>122</v>
      </c>
      <c r="H2087" s="360">
        <v>0.3418303493437439</v>
      </c>
      <c r="I2087" s="360">
        <v>0.46087929325002552</v>
      </c>
      <c r="K2087" s="363"/>
      <c r="N2087" s="10"/>
      <c r="O2087" s="4"/>
      <c r="P2087" s="4"/>
      <c r="Q2087" s="3"/>
      <c r="R2087" s="3"/>
      <c r="S2087" s="3"/>
      <c r="T2087" s="3"/>
    </row>
    <row r="2088" spans="1:20">
      <c r="A2088" s="3">
        <v>2</v>
      </c>
      <c r="B2088" s="3">
        <v>1</v>
      </c>
      <c r="C2088" s="2">
        <v>25</v>
      </c>
      <c r="D2088" s="2">
        <v>5</v>
      </c>
      <c r="E2088" s="2">
        <v>16</v>
      </c>
      <c r="F2088" s="17">
        <v>122</v>
      </c>
      <c r="H2088" s="360">
        <v>1</v>
      </c>
      <c r="I2088" s="360">
        <v>0.45121637615273108</v>
      </c>
      <c r="K2088" s="363"/>
      <c r="N2088" s="10"/>
      <c r="O2088" s="4"/>
      <c r="P2088" s="4"/>
      <c r="Q2088" s="3"/>
      <c r="R2088" s="3"/>
      <c r="S2088" s="3"/>
      <c r="T2088" s="3"/>
    </row>
    <row r="2089" spans="1:20">
      <c r="A2089" s="3">
        <v>1</v>
      </c>
      <c r="B2089" s="3">
        <v>2</v>
      </c>
      <c r="C2089" s="2">
        <v>25</v>
      </c>
      <c r="D2089" s="2">
        <v>5</v>
      </c>
      <c r="E2089" s="2">
        <v>16</v>
      </c>
      <c r="F2089" s="17">
        <v>122</v>
      </c>
      <c r="H2089" s="360">
        <v>1</v>
      </c>
      <c r="I2089" s="360">
        <v>0.45066408225209931</v>
      </c>
      <c r="K2089" s="363"/>
      <c r="N2089" s="10"/>
      <c r="O2089" s="4"/>
      <c r="P2089" s="4"/>
      <c r="Q2089" s="3"/>
      <c r="R2089" s="3"/>
      <c r="S2089" s="3"/>
      <c r="T2089" s="3"/>
    </row>
    <row r="2090" spans="1:20">
      <c r="A2090" s="3">
        <v>2</v>
      </c>
      <c r="B2090" s="3">
        <v>2</v>
      </c>
      <c r="C2090" s="2">
        <v>25</v>
      </c>
      <c r="D2090" s="2">
        <v>5</v>
      </c>
      <c r="E2090" s="2">
        <v>1</v>
      </c>
      <c r="F2090" s="17">
        <v>122</v>
      </c>
      <c r="H2090" s="360">
        <v>1</v>
      </c>
      <c r="I2090" s="360">
        <v>0.44810126251302446</v>
      </c>
      <c r="K2090" s="363"/>
      <c r="N2090" s="10"/>
      <c r="O2090" s="4"/>
      <c r="P2090" s="4"/>
      <c r="Q2090" s="3"/>
      <c r="R2090" s="3"/>
      <c r="S2090" s="3"/>
      <c r="T2090" s="3"/>
    </row>
    <row r="2091" spans="1:20">
      <c r="A2091" s="3">
        <v>3</v>
      </c>
      <c r="B2091" s="3">
        <v>1</v>
      </c>
      <c r="C2091" s="2">
        <v>25</v>
      </c>
      <c r="D2091" s="2">
        <v>5</v>
      </c>
      <c r="E2091" s="2">
        <v>16</v>
      </c>
      <c r="F2091" s="17">
        <v>122</v>
      </c>
      <c r="H2091" s="360">
        <v>0.98666203117262874</v>
      </c>
      <c r="I2091" s="360">
        <v>0.4431404086589239</v>
      </c>
      <c r="K2091" s="363"/>
      <c r="N2091" s="10"/>
      <c r="O2091" s="4"/>
      <c r="P2091" s="4"/>
      <c r="Q2091" s="3"/>
      <c r="R2091" s="3"/>
      <c r="S2091" s="3"/>
      <c r="T2091" s="3"/>
    </row>
    <row r="2092" spans="1:20">
      <c r="A2092" s="3">
        <v>3</v>
      </c>
      <c r="B2092" s="3">
        <v>1</v>
      </c>
      <c r="C2092" s="2">
        <v>25</v>
      </c>
      <c r="D2092" s="2">
        <v>5</v>
      </c>
      <c r="E2092" s="2">
        <v>1</v>
      </c>
      <c r="F2092" s="17">
        <v>122</v>
      </c>
      <c r="H2092" s="360">
        <v>0.96089556727313086</v>
      </c>
      <c r="I2092" s="360">
        <v>0.43535391858564948</v>
      </c>
      <c r="K2092" s="363"/>
      <c r="N2092" s="10"/>
      <c r="O2092" s="4"/>
      <c r="P2092" s="4"/>
      <c r="Q2092" s="3"/>
      <c r="R2092" s="3"/>
      <c r="S2092" s="3"/>
      <c r="T2092" s="3"/>
    </row>
    <row r="2093" spans="1:20">
      <c r="A2093" s="3">
        <v>1</v>
      </c>
      <c r="B2093" s="3">
        <v>2</v>
      </c>
      <c r="C2093" s="2">
        <v>25</v>
      </c>
      <c r="D2093" s="2">
        <v>30</v>
      </c>
      <c r="E2093" s="2">
        <v>16</v>
      </c>
      <c r="F2093" s="17">
        <v>122</v>
      </c>
      <c r="H2093" s="360">
        <v>1</v>
      </c>
      <c r="I2093" s="360">
        <v>0.42450797610890362</v>
      </c>
      <c r="K2093" s="363"/>
      <c r="N2093" s="10"/>
      <c r="O2093" s="4"/>
      <c r="P2093" s="4"/>
      <c r="Q2093" s="3"/>
      <c r="R2093" s="3"/>
      <c r="S2093" s="3"/>
      <c r="T2093" s="3"/>
    </row>
    <row r="2094" spans="1:20">
      <c r="A2094" s="3">
        <v>1</v>
      </c>
      <c r="B2094" s="3">
        <v>1</v>
      </c>
      <c r="C2094" s="2">
        <v>25</v>
      </c>
      <c r="D2094" s="2">
        <v>30</v>
      </c>
      <c r="E2094" s="2">
        <v>16</v>
      </c>
      <c r="F2094" s="17">
        <v>122</v>
      </c>
      <c r="H2094" s="360">
        <v>1</v>
      </c>
      <c r="I2094" s="360">
        <v>0.41654679775636999</v>
      </c>
      <c r="K2094" s="363"/>
      <c r="N2094" s="10"/>
      <c r="O2094" s="4"/>
      <c r="P2094" s="4"/>
      <c r="Q2094" s="3"/>
      <c r="R2094" s="3"/>
      <c r="S2094" s="3"/>
      <c r="T2094" s="3"/>
    </row>
    <row r="2095" spans="1:20">
      <c r="A2095" s="3">
        <v>1</v>
      </c>
      <c r="B2095" s="3">
        <v>1</v>
      </c>
      <c r="C2095" s="2">
        <v>25</v>
      </c>
      <c r="D2095" s="2">
        <v>5</v>
      </c>
      <c r="E2095" s="2">
        <v>16</v>
      </c>
      <c r="F2095" s="17">
        <v>122</v>
      </c>
      <c r="H2095" s="360">
        <v>1</v>
      </c>
      <c r="I2095" s="360">
        <v>0.4117725672871983</v>
      </c>
      <c r="K2095" s="363"/>
      <c r="N2095" s="10"/>
      <c r="O2095" s="4"/>
      <c r="P2095" s="4"/>
      <c r="Q2095" s="3"/>
      <c r="R2095" s="3"/>
      <c r="S2095" s="3"/>
      <c r="T2095" s="3"/>
    </row>
    <row r="2096" spans="1:20">
      <c r="A2096" s="3">
        <v>1</v>
      </c>
      <c r="B2096" s="3">
        <v>1</v>
      </c>
      <c r="C2096" s="2">
        <v>25</v>
      </c>
      <c r="D2096" s="2">
        <v>5</v>
      </c>
      <c r="E2096" s="2">
        <v>1</v>
      </c>
      <c r="F2096" s="17">
        <v>122</v>
      </c>
      <c r="H2096" s="360">
        <v>1</v>
      </c>
      <c r="I2096" s="360">
        <v>0.4100819463549073</v>
      </c>
      <c r="K2096" s="363"/>
      <c r="N2096" s="10"/>
      <c r="O2096" s="4"/>
      <c r="P2096" s="4"/>
      <c r="Q2096" s="3"/>
      <c r="R2096" s="3"/>
      <c r="S2096" s="3"/>
      <c r="T2096" s="3"/>
    </row>
    <row r="2097" spans="1:20">
      <c r="A2097" s="3">
        <v>3</v>
      </c>
      <c r="B2097" s="3">
        <v>2</v>
      </c>
      <c r="C2097" s="2">
        <v>25</v>
      </c>
      <c r="D2097" s="2">
        <v>5</v>
      </c>
      <c r="E2097" s="2">
        <v>1</v>
      </c>
      <c r="F2097" s="17">
        <v>122</v>
      </c>
      <c r="H2097" s="360">
        <v>1</v>
      </c>
      <c r="I2097" s="360">
        <v>0.35346014403790443</v>
      </c>
      <c r="K2097" s="363"/>
      <c r="N2097" s="10"/>
      <c r="O2097" s="4"/>
      <c r="P2097" s="4"/>
      <c r="Q2097" s="3"/>
      <c r="R2097" s="3"/>
      <c r="S2097" s="3"/>
      <c r="T2097" s="3"/>
    </row>
    <row r="2098" spans="1:20">
      <c r="A2098" s="3">
        <v>3</v>
      </c>
      <c r="B2098" s="3">
        <v>2</v>
      </c>
      <c r="C2098" s="2">
        <v>25</v>
      </c>
      <c r="D2098" s="2">
        <v>5</v>
      </c>
      <c r="E2098" s="2">
        <v>16</v>
      </c>
      <c r="F2098" s="17">
        <v>122</v>
      </c>
      <c r="H2098" s="360">
        <v>1</v>
      </c>
      <c r="I2098" s="360">
        <v>0.34627059536627486</v>
      </c>
      <c r="K2098" s="363"/>
      <c r="N2098" s="10"/>
      <c r="O2098" s="4"/>
      <c r="P2098" s="4"/>
      <c r="Q2098" s="3"/>
      <c r="R2098" s="3"/>
      <c r="S2098" s="3"/>
      <c r="T2098" s="3"/>
    </row>
    <row r="2099" spans="1:20">
      <c r="A2099" s="3">
        <v>5</v>
      </c>
      <c r="B2099" s="3">
        <v>2</v>
      </c>
      <c r="C2099" s="2">
        <v>25</v>
      </c>
      <c r="D2099" s="2">
        <v>5</v>
      </c>
      <c r="E2099" s="2">
        <v>16</v>
      </c>
      <c r="F2099" s="17">
        <v>122</v>
      </c>
      <c r="H2099" s="360">
        <v>0.21952140280358079</v>
      </c>
      <c r="I2099" s="360">
        <v>0.2824864981034918</v>
      </c>
      <c r="K2099" s="363"/>
      <c r="N2099" s="10"/>
      <c r="O2099" s="4"/>
      <c r="P2099" s="4"/>
      <c r="Q2099" s="3"/>
      <c r="R2099" s="3"/>
      <c r="S2099" s="3"/>
      <c r="T2099" s="3"/>
    </row>
    <row r="2100" spans="1:20">
      <c r="A2100" s="3">
        <v>5</v>
      </c>
      <c r="B2100" s="3">
        <v>2</v>
      </c>
      <c r="C2100" s="2">
        <v>50</v>
      </c>
      <c r="D2100" s="2">
        <v>5</v>
      </c>
      <c r="E2100" s="2">
        <v>16</v>
      </c>
      <c r="F2100" s="17">
        <v>122</v>
      </c>
      <c r="H2100" s="360">
        <v>0.96839448470989775</v>
      </c>
      <c r="I2100" s="360">
        <v>0.24969921108045157</v>
      </c>
      <c r="K2100" s="363"/>
      <c r="N2100" s="10"/>
      <c r="O2100" s="4"/>
      <c r="P2100" s="4"/>
      <c r="Q2100" s="3"/>
      <c r="R2100" s="3"/>
      <c r="S2100" s="3"/>
      <c r="T2100" s="3"/>
    </row>
    <row r="2101" spans="1:20">
      <c r="A2101" s="3">
        <v>4</v>
      </c>
      <c r="B2101" s="3">
        <v>2</v>
      </c>
      <c r="C2101" s="2">
        <v>50</v>
      </c>
      <c r="D2101" s="2">
        <v>5</v>
      </c>
      <c r="E2101" s="2">
        <v>16</v>
      </c>
      <c r="F2101" s="17">
        <v>122</v>
      </c>
      <c r="H2101" s="360">
        <v>0.85393807301373037</v>
      </c>
      <c r="I2101" s="360">
        <v>0.20076602306359484</v>
      </c>
      <c r="K2101" s="363"/>
      <c r="N2101" s="10"/>
      <c r="O2101" s="4"/>
      <c r="P2101" s="4"/>
      <c r="Q2101" s="3"/>
      <c r="R2101" s="3"/>
      <c r="S2101" s="3"/>
      <c r="T2101" s="3"/>
    </row>
    <row r="2102" spans="1:20">
      <c r="A2102" s="3">
        <v>1</v>
      </c>
      <c r="B2102" s="3">
        <v>1</v>
      </c>
      <c r="C2102" s="2">
        <v>25</v>
      </c>
      <c r="D2102" s="2">
        <v>5</v>
      </c>
      <c r="E2102" s="2">
        <v>1</v>
      </c>
      <c r="F2102" s="17">
        <v>123</v>
      </c>
      <c r="H2102" s="360">
        <v>1</v>
      </c>
      <c r="I2102" s="360">
        <v>0.98554429225345941</v>
      </c>
      <c r="K2102" s="363"/>
      <c r="N2102" s="10"/>
      <c r="O2102" s="4"/>
      <c r="P2102" s="4"/>
      <c r="Q2102" s="3"/>
      <c r="R2102" s="3"/>
      <c r="S2102" s="3"/>
      <c r="T2102" s="3"/>
    </row>
    <row r="2103" spans="1:20">
      <c r="A2103" s="3">
        <v>1</v>
      </c>
      <c r="B2103" s="3">
        <v>1</v>
      </c>
      <c r="C2103" s="2">
        <v>25</v>
      </c>
      <c r="D2103" s="2">
        <v>5</v>
      </c>
      <c r="E2103" s="2">
        <v>16</v>
      </c>
      <c r="F2103" s="17">
        <v>123</v>
      </c>
      <c r="H2103" s="360">
        <v>1</v>
      </c>
      <c r="I2103" s="360">
        <v>0.98004127880709424</v>
      </c>
      <c r="K2103" s="363"/>
      <c r="N2103" s="10"/>
      <c r="O2103" s="4"/>
      <c r="P2103" s="4"/>
      <c r="Q2103" s="3"/>
      <c r="R2103" s="3"/>
      <c r="S2103" s="3"/>
      <c r="T2103" s="3"/>
    </row>
    <row r="2104" spans="1:20">
      <c r="A2104" s="3">
        <v>2</v>
      </c>
      <c r="B2104" s="3">
        <v>2</v>
      </c>
      <c r="C2104" s="2">
        <v>25</v>
      </c>
      <c r="D2104" s="2">
        <v>5</v>
      </c>
      <c r="E2104" s="2">
        <v>1</v>
      </c>
      <c r="F2104" s="17">
        <v>123</v>
      </c>
      <c r="H2104" s="360">
        <v>1</v>
      </c>
      <c r="I2104" s="360">
        <v>0.97072697324706259</v>
      </c>
      <c r="K2104" s="363"/>
      <c r="N2104" s="10"/>
      <c r="O2104" s="4"/>
      <c r="P2104" s="4"/>
      <c r="Q2104" s="3"/>
      <c r="R2104" s="3"/>
      <c r="S2104" s="3"/>
      <c r="T2104" s="3"/>
    </row>
    <row r="2105" spans="1:20">
      <c r="A2105" s="3">
        <v>1</v>
      </c>
      <c r="B2105" s="3">
        <v>1</v>
      </c>
      <c r="C2105" s="2">
        <v>25</v>
      </c>
      <c r="D2105" s="2">
        <v>30</v>
      </c>
      <c r="E2105" s="2">
        <v>16</v>
      </c>
      <c r="F2105" s="17">
        <v>123</v>
      </c>
      <c r="H2105" s="360">
        <v>1</v>
      </c>
      <c r="I2105" s="360">
        <v>0.97065677366846903</v>
      </c>
      <c r="K2105" s="363"/>
      <c r="N2105" s="10"/>
      <c r="O2105" s="4"/>
      <c r="P2105" s="4"/>
      <c r="Q2105" s="3"/>
      <c r="R2105" s="3"/>
      <c r="S2105" s="3"/>
      <c r="T2105" s="3"/>
    </row>
    <row r="2106" spans="1:20">
      <c r="A2106" s="3">
        <v>2</v>
      </c>
      <c r="B2106" s="3">
        <v>2</v>
      </c>
      <c r="C2106" s="2">
        <v>25</v>
      </c>
      <c r="D2106" s="2">
        <v>5</v>
      </c>
      <c r="E2106" s="2">
        <v>16</v>
      </c>
      <c r="F2106" s="17">
        <v>123</v>
      </c>
      <c r="H2106" s="360">
        <v>1</v>
      </c>
      <c r="I2106" s="360">
        <v>0.95846451709519043</v>
      </c>
      <c r="K2106" s="363"/>
      <c r="N2106" s="10"/>
      <c r="O2106" s="4"/>
      <c r="P2106" s="4"/>
      <c r="Q2106" s="3"/>
      <c r="R2106" s="3"/>
      <c r="S2106" s="3"/>
      <c r="T2106" s="3"/>
    </row>
    <row r="2107" spans="1:20">
      <c r="A2107" s="3">
        <v>1</v>
      </c>
      <c r="B2107" s="3">
        <v>2</v>
      </c>
      <c r="C2107" s="2">
        <v>25</v>
      </c>
      <c r="D2107" s="2">
        <v>5</v>
      </c>
      <c r="E2107" s="2">
        <v>1</v>
      </c>
      <c r="F2107" s="17">
        <v>123</v>
      </c>
      <c r="H2107" s="360">
        <v>0.17939384204666065</v>
      </c>
      <c r="I2107" s="360">
        <v>0.93445103739397073</v>
      </c>
      <c r="K2107" s="363"/>
      <c r="N2107" s="10"/>
      <c r="O2107" s="4"/>
      <c r="P2107" s="4"/>
      <c r="Q2107" s="3"/>
      <c r="R2107" s="3"/>
      <c r="S2107" s="3"/>
      <c r="T2107" s="3"/>
    </row>
    <row r="2108" spans="1:20">
      <c r="A2108" s="3">
        <v>3</v>
      </c>
      <c r="B2108" s="3">
        <v>1</v>
      </c>
      <c r="C2108" s="2">
        <v>25</v>
      </c>
      <c r="D2108" s="2">
        <v>5</v>
      </c>
      <c r="E2108" s="2">
        <v>1</v>
      </c>
      <c r="F2108" s="17">
        <v>123</v>
      </c>
      <c r="H2108" s="360">
        <v>0.97855088174667826</v>
      </c>
      <c r="I2108" s="360">
        <v>0.9183720856597043</v>
      </c>
      <c r="K2108" s="363"/>
      <c r="N2108" s="10"/>
      <c r="O2108" s="4"/>
      <c r="P2108" s="4"/>
      <c r="Q2108" s="3"/>
      <c r="R2108" s="3"/>
      <c r="S2108" s="3"/>
      <c r="T2108" s="3"/>
    </row>
    <row r="2109" spans="1:20">
      <c r="A2109" s="3">
        <v>3</v>
      </c>
      <c r="B2109" s="3">
        <v>1</v>
      </c>
      <c r="C2109" s="2">
        <v>25</v>
      </c>
      <c r="D2109" s="2">
        <v>5</v>
      </c>
      <c r="E2109" s="2">
        <v>16</v>
      </c>
      <c r="F2109" s="17">
        <v>123</v>
      </c>
      <c r="H2109" s="360">
        <v>0.98891255633513753</v>
      </c>
      <c r="I2109" s="360">
        <v>0.90254957650309486</v>
      </c>
      <c r="K2109" s="363"/>
      <c r="N2109" s="10"/>
      <c r="O2109" s="4"/>
      <c r="P2109" s="4"/>
      <c r="Q2109" s="3"/>
      <c r="R2109" s="3"/>
      <c r="S2109" s="3"/>
      <c r="T2109" s="3"/>
    </row>
    <row r="2110" spans="1:20">
      <c r="A2110" s="3">
        <v>1</v>
      </c>
      <c r="B2110" s="3">
        <v>2</v>
      </c>
      <c r="C2110" s="2">
        <v>25</v>
      </c>
      <c r="D2110" s="2">
        <v>5</v>
      </c>
      <c r="E2110" s="2">
        <v>16</v>
      </c>
      <c r="F2110" s="17">
        <v>123</v>
      </c>
      <c r="H2110" s="360">
        <v>1</v>
      </c>
      <c r="I2110" s="360">
        <v>0.89002826098203447</v>
      </c>
      <c r="K2110" s="363"/>
      <c r="N2110" s="10"/>
      <c r="O2110" s="4"/>
      <c r="P2110" s="4"/>
      <c r="Q2110" s="3"/>
      <c r="R2110" s="3"/>
      <c r="S2110" s="3"/>
      <c r="T2110" s="3"/>
    </row>
    <row r="2111" spans="1:20">
      <c r="A2111" s="3">
        <v>1</v>
      </c>
      <c r="B2111" s="3">
        <v>2</v>
      </c>
      <c r="C2111" s="2">
        <v>25</v>
      </c>
      <c r="D2111" s="2">
        <v>30</v>
      </c>
      <c r="E2111" s="2">
        <v>16</v>
      </c>
      <c r="F2111" s="17">
        <v>123</v>
      </c>
      <c r="H2111" s="360">
        <v>1</v>
      </c>
      <c r="I2111" s="360">
        <v>0.88161820466872987</v>
      </c>
      <c r="K2111" s="363"/>
      <c r="N2111" s="10"/>
      <c r="O2111" s="4"/>
      <c r="P2111" s="4"/>
      <c r="Q2111" s="3"/>
      <c r="R2111" s="3"/>
      <c r="S2111" s="3"/>
      <c r="T2111" s="3"/>
    </row>
    <row r="2112" spans="1:20">
      <c r="A2112" s="3">
        <v>1</v>
      </c>
      <c r="B2112" s="3">
        <v>2</v>
      </c>
      <c r="C2112" s="2">
        <v>25</v>
      </c>
      <c r="D2112" s="2">
        <v>5</v>
      </c>
      <c r="E2112" s="2">
        <v>16</v>
      </c>
      <c r="F2112" s="17">
        <v>123</v>
      </c>
      <c r="H2112" s="360">
        <v>1</v>
      </c>
      <c r="I2112" s="360">
        <v>0.87162307523070448</v>
      </c>
      <c r="K2112" s="363"/>
      <c r="N2112" s="10"/>
      <c r="O2112" s="4"/>
      <c r="P2112" s="4"/>
      <c r="Q2112" s="3"/>
      <c r="R2112" s="3"/>
      <c r="S2112" s="3"/>
      <c r="T2112" s="3"/>
    </row>
    <row r="2113" spans="1:20">
      <c r="A2113" s="3">
        <v>3</v>
      </c>
      <c r="B2113" s="3">
        <v>2</v>
      </c>
      <c r="C2113" s="2">
        <v>25</v>
      </c>
      <c r="D2113" s="2">
        <v>5</v>
      </c>
      <c r="E2113" s="2">
        <v>1</v>
      </c>
      <c r="F2113" s="17">
        <v>123</v>
      </c>
      <c r="H2113" s="360">
        <v>0.86753883800864562</v>
      </c>
      <c r="I2113" s="360">
        <v>0.85255946223554824</v>
      </c>
      <c r="K2113" s="363"/>
      <c r="N2113" s="10"/>
      <c r="O2113" s="4"/>
      <c r="P2113" s="4"/>
      <c r="Q2113" s="3"/>
      <c r="R2113" s="3"/>
      <c r="S2113" s="3"/>
      <c r="T2113" s="3"/>
    </row>
    <row r="2114" spans="1:20">
      <c r="A2114" s="3">
        <v>2</v>
      </c>
      <c r="B2114" s="3">
        <v>1</v>
      </c>
      <c r="C2114" s="2">
        <v>25</v>
      </c>
      <c r="D2114" s="2">
        <v>5</v>
      </c>
      <c r="E2114" s="2">
        <v>1</v>
      </c>
      <c r="F2114" s="17">
        <v>123</v>
      </c>
      <c r="H2114" s="360">
        <v>1</v>
      </c>
      <c r="I2114" s="360">
        <v>0.84386335467994711</v>
      </c>
      <c r="K2114" s="363"/>
      <c r="N2114" s="10"/>
      <c r="O2114" s="4"/>
      <c r="P2114" s="4"/>
      <c r="Q2114" s="3"/>
      <c r="R2114" s="3"/>
      <c r="S2114" s="3"/>
      <c r="T2114" s="3"/>
    </row>
    <row r="2115" spans="1:20">
      <c r="A2115" s="3">
        <v>3</v>
      </c>
      <c r="B2115" s="3">
        <v>2</v>
      </c>
      <c r="C2115" s="2">
        <v>25</v>
      </c>
      <c r="D2115" s="2">
        <v>5</v>
      </c>
      <c r="E2115" s="2">
        <v>16</v>
      </c>
      <c r="F2115" s="17">
        <v>123</v>
      </c>
      <c r="H2115" s="360">
        <v>1</v>
      </c>
      <c r="I2115" s="360">
        <v>0.84065025273048433</v>
      </c>
      <c r="K2115" s="363"/>
      <c r="N2115" s="10"/>
      <c r="O2115" s="4"/>
      <c r="P2115" s="4"/>
      <c r="Q2115" s="3"/>
      <c r="R2115" s="3"/>
      <c r="S2115" s="3"/>
      <c r="T2115" s="3"/>
    </row>
    <row r="2116" spans="1:20">
      <c r="A2116" s="3">
        <v>2</v>
      </c>
      <c r="B2116" s="3">
        <v>1</v>
      </c>
      <c r="C2116" s="2">
        <v>25</v>
      </c>
      <c r="D2116" s="2">
        <v>5</v>
      </c>
      <c r="E2116" s="2">
        <v>16</v>
      </c>
      <c r="F2116" s="17">
        <v>123</v>
      </c>
      <c r="H2116" s="360">
        <v>1</v>
      </c>
      <c r="I2116" s="360">
        <v>0.78472461023261719</v>
      </c>
      <c r="K2116" s="363"/>
      <c r="N2116" s="10"/>
      <c r="O2116" s="4"/>
      <c r="P2116" s="4"/>
      <c r="Q2116" s="3"/>
      <c r="R2116" s="3"/>
      <c r="S2116" s="3"/>
      <c r="T2116" s="3"/>
    </row>
    <row r="2117" spans="1:20">
      <c r="A2117" s="3">
        <v>5</v>
      </c>
      <c r="B2117" s="3">
        <v>2</v>
      </c>
      <c r="C2117" s="2">
        <v>25</v>
      </c>
      <c r="D2117" s="2">
        <v>5</v>
      </c>
      <c r="E2117" s="2">
        <v>16</v>
      </c>
      <c r="F2117" s="17">
        <v>123</v>
      </c>
      <c r="H2117" s="360">
        <v>1.0150072094396112E-2</v>
      </c>
      <c r="I2117" s="360">
        <v>0.14820948043883253</v>
      </c>
      <c r="K2117" s="363"/>
      <c r="N2117" s="10"/>
      <c r="O2117" s="4"/>
      <c r="P2117" s="4"/>
      <c r="Q2117" s="3"/>
      <c r="R2117" s="3"/>
      <c r="S2117" s="3"/>
      <c r="T2117" s="3"/>
    </row>
    <row r="2118" spans="1:20">
      <c r="A2118" s="3">
        <v>4</v>
      </c>
      <c r="B2118" s="3">
        <v>2</v>
      </c>
      <c r="C2118" s="2">
        <v>50</v>
      </c>
      <c r="D2118" s="2">
        <v>5</v>
      </c>
      <c r="E2118" s="2">
        <v>16</v>
      </c>
      <c r="F2118" s="17">
        <v>123</v>
      </c>
      <c r="H2118" s="360">
        <v>0.62287479600462925</v>
      </c>
      <c r="I2118" s="360">
        <v>2.306454870227094E-2</v>
      </c>
      <c r="K2118" s="363"/>
      <c r="N2118" s="10"/>
      <c r="O2118" s="4"/>
      <c r="P2118" s="4"/>
      <c r="Q2118" s="3"/>
      <c r="R2118" s="3"/>
      <c r="S2118" s="3"/>
      <c r="T2118" s="3"/>
    </row>
    <row r="2119" spans="1:20">
      <c r="A2119" s="3">
        <v>5</v>
      </c>
      <c r="B2119" s="3">
        <v>2</v>
      </c>
      <c r="C2119" s="2">
        <v>50</v>
      </c>
      <c r="D2119" s="2">
        <v>5</v>
      </c>
      <c r="E2119" s="2">
        <v>16</v>
      </c>
      <c r="F2119" s="17">
        <v>123</v>
      </c>
      <c r="H2119" s="360">
        <v>8.4661274105576112E-2</v>
      </c>
      <c r="I2119" s="360">
        <v>2.7122731409577796E-3</v>
      </c>
      <c r="K2119" s="363"/>
      <c r="N2119" s="10"/>
      <c r="O2119" s="4"/>
      <c r="P2119" s="4"/>
      <c r="Q2119" s="3"/>
      <c r="R2119" s="3"/>
      <c r="S2119" s="3"/>
      <c r="T2119" s="3"/>
    </row>
    <row r="2120" spans="1:20">
      <c r="A2120" s="3">
        <v>2</v>
      </c>
      <c r="B2120" s="3">
        <v>1</v>
      </c>
      <c r="C2120" s="2">
        <v>25</v>
      </c>
      <c r="D2120" s="2">
        <v>5</v>
      </c>
      <c r="E2120" s="2">
        <v>1</v>
      </c>
      <c r="F2120" s="17">
        <v>124</v>
      </c>
      <c r="H2120" s="360">
        <v>4.9862134330499908E-2</v>
      </c>
      <c r="I2120" s="360">
        <v>1</v>
      </c>
      <c r="K2120" s="363"/>
      <c r="N2120" s="10"/>
      <c r="O2120" s="4"/>
      <c r="P2120" s="4"/>
      <c r="Q2120" s="3"/>
      <c r="R2120" s="3"/>
      <c r="S2120" s="3"/>
      <c r="T2120" s="3"/>
    </row>
    <row r="2121" spans="1:20">
      <c r="A2121" s="3">
        <v>2</v>
      </c>
      <c r="B2121" s="3">
        <v>2</v>
      </c>
      <c r="C2121" s="2">
        <v>25</v>
      </c>
      <c r="D2121" s="2">
        <v>5</v>
      </c>
      <c r="E2121" s="2">
        <v>1</v>
      </c>
      <c r="F2121" s="17">
        <v>124</v>
      </c>
      <c r="H2121" s="360">
        <v>8.7447617472106054E-2</v>
      </c>
      <c r="I2121" s="360">
        <v>0.31236447835331782</v>
      </c>
      <c r="K2121" s="363"/>
      <c r="N2121" s="10"/>
      <c r="O2121" s="4"/>
      <c r="P2121" s="4"/>
      <c r="Q2121" s="3"/>
      <c r="R2121" s="3"/>
      <c r="S2121" s="3"/>
      <c r="T2121" s="3"/>
    </row>
    <row r="2122" spans="1:20">
      <c r="A2122" s="3">
        <v>2</v>
      </c>
      <c r="B2122" s="3">
        <v>1</v>
      </c>
      <c r="C2122" s="2">
        <v>25</v>
      </c>
      <c r="D2122" s="2">
        <v>5</v>
      </c>
      <c r="E2122" s="2">
        <v>16</v>
      </c>
      <c r="F2122" s="17">
        <v>124</v>
      </c>
      <c r="H2122" s="360">
        <v>1</v>
      </c>
      <c r="I2122" s="360">
        <v>0.29502528851986798</v>
      </c>
      <c r="K2122" s="363"/>
      <c r="N2122" s="10"/>
      <c r="O2122" s="4"/>
      <c r="P2122" s="4"/>
      <c r="Q2122" s="3"/>
      <c r="R2122" s="3"/>
      <c r="S2122" s="3"/>
      <c r="T2122" s="3"/>
    </row>
    <row r="2123" spans="1:20">
      <c r="A2123" s="3">
        <v>2</v>
      </c>
      <c r="B2123" s="3">
        <v>2</v>
      </c>
      <c r="C2123" s="2">
        <v>25</v>
      </c>
      <c r="D2123" s="2">
        <v>5</v>
      </c>
      <c r="E2123" s="2">
        <v>16</v>
      </c>
      <c r="F2123" s="17">
        <v>124</v>
      </c>
      <c r="H2123" s="360">
        <v>0.67551614433461715</v>
      </c>
      <c r="I2123" s="360">
        <v>0.24358511383072057</v>
      </c>
      <c r="K2123" s="363"/>
      <c r="N2123" s="10"/>
      <c r="O2123" s="4"/>
      <c r="P2123" s="4"/>
      <c r="Q2123" s="3"/>
      <c r="R2123" s="3"/>
      <c r="S2123" s="3"/>
      <c r="T2123" s="3"/>
    </row>
    <row r="2124" spans="1:20">
      <c r="A2124" s="3">
        <v>1</v>
      </c>
      <c r="B2124" s="3">
        <v>1</v>
      </c>
      <c r="C2124" s="2">
        <v>25</v>
      </c>
      <c r="D2124" s="2">
        <v>5</v>
      </c>
      <c r="E2124" s="2">
        <v>1</v>
      </c>
      <c r="F2124" s="17">
        <v>124</v>
      </c>
      <c r="H2124" s="360">
        <v>0</v>
      </c>
      <c r="I2124" s="360">
        <v>0</v>
      </c>
      <c r="K2124" s="363"/>
      <c r="N2124" s="10"/>
      <c r="O2124" s="4"/>
      <c r="P2124" s="4"/>
      <c r="Q2124" s="3"/>
      <c r="R2124" s="3"/>
      <c r="S2124" s="3"/>
      <c r="T2124" s="3"/>
    </row>
    <row r="2125" spans="1:20">
      <c r="A2125" s="3">
        <v>1</v>
      </c>
      <c r="B2125" s="3">
        <v>2</v>
      </c>
      <c r="C2125" s="2">
        <v>25</v>
      </c>
      <c r="D2125" s="2">
        <v>5</v>
      </c>
      <c r="E2125" s="2">
        <v>1</v>
      </c>
      <c r="F2125" s="17">
        <v>124</v>
      </c>
      <c r="H2125" s="360">
        <v>0</v>
      </c>
      <c r="I2125" s="360">
        <v>0</v>
      </c>
      <c r="K2125" s="363"/>
      <c r="N2125" s="10"/>
      <c r="O2125" s="4"/>
      <c r="P2125" s="4"/>
      <c r="Q2125" s="3"/>
      <c r="R2125" s="3"/>
      <c r="S2125" s="3"/>
      <c r="T2125" s="3"/>
    </row>
    <row r="2126" spans="1:20">
      <c r="A2126" s="3">
        <v>5</v>
      </c>
      <c r="B2126" s="3">
        <v>2</v>
      </c>
      <c r="C2126" s="2">
        <v>50</v>
      </c>
      <c r="D2126" s="2">
        <v>5</v>
      </c>
      <c r="E2126" s="2">
        <v>16</v>
      </c>
      <c r="F2126" s="17">
        <v>124</v>
      </c>
      <c r="H2126" s="360">
        <v>0.36939795094219963</v>
      </c>
      <c r="I2126" s="360">
        <v>-6.9794808975464376E-2</v>
      </c>
      <c r="K2126" s="363"/>
      <c r="N2126" s="10"/>
      <c r="O2126" s="4"/>
      <c r="P2126" s="4"/>
      <c r="Q2126" s="3"/>
      <c r="R2126" s="3"/>
      <c r="S2126" s="3"/>
      <c r="T2126" s="3"/>
    </row>
    <row r="2127" spans="1:20">
      <c r="A2127" s="3">
        <v>5</v>
      </c>
      <c r="B2127" s="3">
        <v>2</v>
      </c>
      <c r="C2127" s="2">
        <v>25</v>
      </c>
      <c r="D2127" s="2">
        <v>5</v>
      </c>
      <c r="E2127" s="2">
        <v>16</v>
      </c>
      <c r="F2127" s="17">
        <v>124</v>
      </c>
      <c r="H2127" s="360">
        <v>8.0981001424935584E-2</v>
      </c>
      <c r="I2127" s="360">
        <v>-0.1796293203089345</v>
      </c>
      <c r="K2127" s="363"/>
      <c r="N2127" s="10"/>
      <c r="O2127" s="4"/>
      <c r="P2127" s="4"/>
      <c r="Q2127" s="3"/>
      <c r="R2127" s="3"/>
      <c r="S2127" s="3"/>
      <c r="T2127" s="3"/>
    </row>
    <row r="2128" spans="1:20">
      <c r="A2128" s="3">
        <v>3</v>
      </c>
      <c r="B2128" s="3">
        <v>2</v>
      </c>
      <c r="C2128" s="2">
        <v>25</v>
      </c>
      <c r="D2128" s="2">
        <v>5</v>
      </c>
      <c r="E2128" s="2">
        <v>1</v>
      </c>
      <c r="F2128" s="17">
        <v>124</v>
      </c>
      <c r="H2128" s="360">
        <v>0.79504211206368214</v>
      </c>
      <c r="I2128" s="360">
        <v>-0.23263165986125153</v>
      </c>
      <c r="K2128" s="363"/>
      <c r="N2128" s="10"/>
      <c r="O2128" s="4"/>
      <c r="P2128" s="4"/>
      <c r="Q2128" s="3"/>
      <c r="R2128" s="3"/>
      <c r="S2128" s="3"/>
      <c r="T2128" s="3"/>
    </row>
    <row r="2129" spans="1:20">
      <c r="A2129" s="3">
        <v>3</v>
      </c>
      <c r="B2129" s="3">
        <v>2</v>
      </c>
      <c r="C2129" s="2">
        <v>25</v>
      </c>
      <c r="D2129" s="2">
        <v>5</v>
      </c>
      <c r="E2129" s="2">
        <v>16</v>
      </c>
      <c r="F2129" s="17">
        <v>124</v>
      </c>
      <c r="H2129" s="360">
        <v>1</v>
      </c>
      <c r="I2129" s="360">
        <v>-0.25436811910525353</v>
      </c>
      <c r="K2129" s="363"/>
      <c r="N2129" s="10"/>
      <c r="O2129" s="4"/>
      <c r="P2129" s="4"/>
      <c r="Q2129" s="3"/>
      <c r="R2129" s="3"/>
      <c r="S2129" s="3"/>
      <c r="T2129" s="3"/>
    </row>
    <row r="2130" spans="1:20">
      <c r="A2130" s="3">
        <v>4</v>
      </c>
      <c r="B2130" s="3">
        <v>2</v>
      </c>
      <c r="C2130" s="2">
        <v>50</v>
      </c>
      <c r="D2130" s="2">
        <v>5</v>
      </c>
      <c r="E2130" s="2">
        <v>16</v>
      </c>
      <c r="F2130" s="17">
        <v>124</v>
      </c>
      <c r="H2130" s="360">
        <v>0.92013977204163155</v>
      </c>
      <c r="I2130" s="360">
        <v>-0.25974385170718489</v>
      </c>
      <c r="K2130" s="363"/>
      <c r="N2130" s="10"/>
      <c r="O2130" s="4"/>
      <c r="P2130" s="4"/>
      <c r="Q2130" s="3"/>
      <c r="R2130" s="3"/>
      <c r="S2130" s="3"/>
      <c r="T2130" s="3"/>
    </row>
    <row r="2131" spans="1:20">
      <c r="A2131" s="3">
        <v>1</v>
      </c>
      <c r="B2131" s="3">
        <v>2</v>
      </c>
      <c r="C2131" s="2">
        <v>25</v>
      </c>
      <c r="D2131" s="2">
        <v>30</v>
      </c>
      <c r="E2131" s="2">
        <v>16</v>
      </c>
      <c r="F2131" s="17">
        <v>124</v>
      </c>
      <c r="H2131" s="360">
        <v>1</v>
      </c>
      <c r="I2131" s="360">
        <v>-0.28479241706212444</v>
      </c>
      <c r="K2131" s="363"/>
      <c r="N2131" s="10"/>
      <c r="O2131" s="4"/>
      <c r="P2131" s="4"/>
      <c r="Q2131" s="3"/>
      <c r="R2131" s="3"/>
      <c r="S2131" s="3"/>
      <c r="T2131" s="3"/>
    </row>
    <row r="2132" spans="1:20">
      <c r="A2132" s="3">
        <v>1</v>
      </c>
      <c r="B2132" s="3">
        <v>2</v>
      </c>
      <c r="C2132" s="2">
        <v>25</v>
      </c>
      <c r="D2132" s="2">
        <v>5</v>
      </c>
      <c r="E2132" s="2">
        <v>16</v>
      </c>
      <c r="F2132" s="17">
        <v>124</v>
      </c>
      <c r="H2132" s="360">
        <v>1</v>
      </c>
      <c r="I2132" s="360">
        <v>-0.41390250180529603</v>
      </c>
      <c r="K2132" s="363"/>
      <c r="N2132" s="10"/>
      <c r="O2132" s="4"/>
      <c r="P2132" s="4"/>
      <c r="Q2132" s="3"/>
      <c r="R2132" s="3"/>
      <c r="S2132" s="3"/>
      <c r="T2132" s="3"/>
    </row>
    <row r="2133" spans="1:20">
      <c r="A2133" s="3">
        <v>1</v>
      </c>
      <c r="B2133" s="3">
        <v>2</v>
      </c>
      <c r="C2133" s="2">
        <v>25</v>
      </c>
      <c r="D2133" s="2">
        <v>5</v>
      </c>
      <c r="E2133" s="2">
        <v>16</v>
      </c>
      <c r="F2133" s="17">
        <v>124</v>
      </c>
      <c r="H2133" s="360">
        <v>0.97916701627859937</v>
      </c>
      <c r="I2133" s="360">
        <v>-0.41502985336050541</v>
      </c>
      <c r="K2133" s="363"/>
      <c r="N2133" s="10"/>
      <c r="O2133" s="4"/>
      <c r="P2133" s="4"/>
      <c r="Q2133" s="3"/>
      <c r="R2133" s="3"/>
      <c r="S2133" s="3"/>
      <c r="T2133" s="3"/>
    </row>
    <row r="2134" spans="1:20">
      <c r="A2134" s="3">
        <v>1</v>
      </c>
      <c r="B2134" s="3">
        <v>1</v>
      </c>
      <c r="C2134" s="2">
        <v>25</v>
      </c>
      <c r="D2134" s="2">
        <v>5</v>
      </c>
      <c r="E2134" s="2">
        <v>16</v>
      </c>
      <c r="F2134" s="17">
        <v>124</v>
      </c>
      <c r="H2134" s="360">
        <v>0.27446014932438612</v>
      </c>
      <c r="I2134" s="360">
        <v>-0.68304477410668185</v>
      </c>
      <c r="K2134" s="363"/>
      <c r="N2134" s="10"/>
      <c r="O2134" s="4"/>
      <c r="P2134" s="4"/>
      <c r="Q2134" s="3"/>
      <c r="R2134" s="3"/>
      <c r="S2134" s="3"/>
      <c r="T2134" s="3"/>
    </row>
    <row r="2135" spans="1:20">
      <c r="A2135" s="3">
        <v>1</v>
      </c>
      <c r="B2135" s="3">
        <v>1</v>
      </c>
      <c r="C2135" s="2">
        <v>25</v>
      </c>
      <c r="D2135" s="2">
        <v>30</v>
      </c>
      <c r="E2135" s="2">
        <v>16</v>
      </c>
      <c r="F2135" s="17">
        <v>124</v>
      </c>
      <c r="H2135" s="360">
        <v>1</v>
      </c>
      <c r="I2135" s="360">
        <v>-0.76442068106049788</v>
      </c>
      <c r="K2135" s="363"/>
      <c r="N2135" s="10"/>
      <c r="O2135" s="4"/>
      <c r="P2135" s="4"/>
      <c r="Q2135" s="3"/>
      <c r="R2135" s="3"/>
      <c r="S2135" s="3"/>
      <c r="T2135" s="3"/>
    </row>
    <row r="2136" spans="1:20">
      <c r="A2136" s="3">
        <v>3</v>
      </c>
      <c r="B2136" s="3">
        <v>1</v>
      </c>
      <c r="C2136" s="2">
        <v>25</v>
      </c>
      <c r="D2136" s="2">
        <v>5</v>
      </c>
      <c r="E2136" s="2">
        <v>1</v>
      </c>
      <c r="F2136" s="17">
        <v>124</v>
      </c>
      <c r="H2136" s="360">
        <v>0.13062681369148588</v>
      </c>
      <c r="I2136" s="360">
        <v>-0.7673918228535116</v>
      </c>
      <c r="K2136" s="363"/>
      <c r="N2136" s="10"/>
      <c r="O2136" s="4"/>
      <c r="P2136" s="4"/>
      <c r="Q2136" s="3"/>
      <c r="R2136" s="3"/>
      <c r="S2136" s="3"/>
      <c r="T2136" s="3"/>
    </row>
    <row r="2137" spans="1:20">
      <c r="A2137" s="3">
        <v>3</v>
      </c>
      <c r="B2137" s="3">
        <v>1</v>
      </c>
      <c r="C2137" s="2">
        <v>25</v>
      </c>
      <c r="D2137" s="2">
        <v>5</v>
      </c>
      <c r="E2137" s="2">
        <v>16</v>
      </c>
      <c r="F2137" s="17">
        <v>124</v>
      </c>
      <c r="H2137" s="360">
        <v>0.97861474230081358</v>
      </c>
      <c r="I2137" s="360">
        <v>-0.80588122972079368</v>
      </c>
      <c r="K2137" s="363"/>
      <c r="N2137" s="10"/>
      <c r="O2137" s="4"/>
      <c r="P2137" s="4"/>
      <c r="Q2137" s="3"/>
      <c r="R2137" s="3"/>
      <c r="S2137" s="3"/>
      <c r="T2137" s="3"/>
    </row>
    <row r="2138" spans="1:20">
      <c r="A2138" s="3">
        <v>1</v>
      </c>
      <c r="B2138" s="3">
        <v>2</v>
      </c>
      <c r="C2138" s="2">
        <v>25</v>
      </c>
      <c r="D2138" s="2">
        <v>5</v>
      </c>
      <c r="E2138" s="2">
        <v>1</v>
      </c>
      <c r="F2138" s="17">
        <v>125</v>
      </c>
      <c r="H2138" s="360">
        <v>0</v>
      </c>
      <c r="I2138" s="360">
        <v>0</v>
      </c>
      <c r="K2138" s="363"/>
      <c r="N2138" s="10"/>
      <c r="O2138" s="4"/>
      <c r="P2138" s="4"/>
      <c r="Q2138" s="3"/>
      <c r="R2138" s="3"/>
      <c r="S2138" s="3"/>
      <c r="T2138" s="3"/>
    </row>
    <row r="2139" spans="1:20">
      <c r="A2139" s="3">
        <v>4</v>
      </c>
      <c r="B2139" s="3">
        <v>2</v>
      </c>
      <c r="C2139" s="2">
        <v>50</v>
      </c>
      <c r="D2139" s="2">
        <v>5</v>
      </c>
      <c r="E2139" s="2">
        <v>16</v>
      </c>
      <c r="F2139" s="17">
        <v>125</v>
      </c>
      <c r="H2139" s="360">
        <v>0.38440900534780498</v>
      </c>
      <c r="I2139" s="360">
        <v>-2.4865697457878557E-2</v>
      </c>
      <c r="K2139" s="363"/>
      <c r="N2139" s="10"/>
      <c r="O2139" s="4"/>
      <c r="P2139" s="4"/>
      <c r="Q2139" s="3"/>
      <c r="R2139" s="3"/>
      <c r="S2139" s="3"/>
      <c r="T2139" s="3"/>
    </row>
    <row r="2140" spans="1:20">
      <c r="A2140" s="3">
        <v>1</v>
      </c>
      <c r="B2140" s="3">
        <v>2</v>
      </c>
      <c r="C2140" s="2">
        <v>25</v>
      </c>
      <c r="D2140" s="2">
        <v>5</v>
      </c>
      <c r="E2140" s="2">
        <v>16</v>
      </c>
      <c r="F2140" s="17">
        <v>125</v>
      </c>
      <c r="H2140" s="360">
        <v>0.99039334056414607</v>
      </c>
      <c r="I2140" s="360">
        <v>-4.1973494319833798E-2</v>
      </c>
      <c r="K2140" s="363"/>
      <c r="N2140" s="10"/>
      <c r="O2140" s="4"/>
      <c r="P2140" s="4"/>
      <c r="Q2140" s="3"/>
      <c r="R2140" s="3"/>
      <c r="S2140" s="3"/>
      <c r="T2140" s="3"/>
    </row>
    <row r="2141" spans="1:20">
      <c r="A2141" s="3">
        <v>1</v>
      </c>
      <c r="B2141" s="3">
        <v>2</v>
      </c>
      <c r="C2141" s="2">
        <v>25</v>
      </c>
      <c r="D2141" s="2">
        <v>5</v>
      </c>
      <c r="E2141" s="2">
        <v>16</v>
      </c>
      <c r="F2141" s="17">
        <v>125</v>
      </c>
      <c r="H2141" s="360">
        <v>1</v>
      </c>
      <c r="I2141" s="360">
        <v>-4.2413825512377129E-2</v>
      </c>
      <c r="K2141" s="363"/>
      <c r="N2141" s="10"/>
      <c r="O2141" s="4"/>
      <c r="P2141" s="4"/>
      <c r="Q2141" s="3"/>
      <c r="R2141" s="3"/>
      <c r="S2141" s="3"/>
      <c r="T2141" s="3"/>
    </row>
    <row r="2142" spans="1:20">
      <c r="A2142" s="3">
        <v>3</v>
      </c>
      <c r="B2142" s="3">
        <v>2</v>
      </c>
      <c r="C2142" s="2">
        <v>25</v>
      </c>
      <c r="D2142" s="2">
        <v>5</v>
      </c>
      <c r="E2142" s="2">
        <v>1</v>
      </c>
      <c r="F2142" s="17">
        <v>125</v>
      </c>
      <c r="H2142" s="360">
        <v>0.80232798412571071</v>
      </c>
      <c r="I2142" s="360">
        <v>-7.2811824552976884E-2</v>
      </c>
      <c r="K2142" s="363"/>
      <c r="N2142" s="10"/>
      <c r="O2142" s="4"/>
      <c r="P2142" s="4"/>
      <c r="Q2142" s="3"/>
      <c r="R2142" s="3"/>
      <c r="S2142" s="3"/>
      <c r="T2142" s="3"/>
    </row>
    <row r="2143" spans="1:20">
      <c r="A2143" s="3">
        <v>1</v>
      </c>
      <c r="B2143" s="3">
        <v>2</v>
      </c>
      <c r="C2143" s="2">
        <v>25</v>
      </c>
      <c r="D2143" s="2">
        <v>30</v>
      </c>
      <c r="E2143" s="2">
        <v>16</v>
      </c>
      <c r="F2143" s="17">
        <v>125</v>
      </c>
      <c r="H2143" s="360">
        <v>1</v>
      </c>
      <c r="I2143" s="360">
        <v>-7.5223758320408562E-2</v>
      </c>
      <c r="K2143" s="363"/>
      <c r="N2143" s="10"/>
      <c r="O2143" s="4"/>
      <c r="P2143" s="4"/>
      <c r="Q2143" s="3"/>
      <c r="R2143" s="3"/>
      <c r="S2143" s="3"/>
      <c r="T2143" s="3"/>
    </row>
    <row r="2144" spans="1:20">
      <c r="A2144" s="3">
        <v>3</v>
      </c>
      <c r="B2144" s="3">
        <v>2</v>
      </c>
      <c r="C2144" s="2">
        <v>25</v>
      </c>
      <c r="D2144" s="2">
        <v>5</v>
      </c>
      <c r="E2144" s="2">
        <v>16</v>
      </c>
      <c r="F2144" s="17">
        <v>125</v>
      </c>
      <c r="H2144" s="360">
        <v>1</v>
      </c>
      <c r="I2144" s="360">
        <v>-8.7058840459441553E-2</v>
      </c>
      <c r="K2144" s="363"/>
      <c r="N2144" s="10"/>
      <c r="O2144" s="4"/>
      <c r="P2144" s="4"/>
      <c r="Q2144" s="3"/>
      <c r="R2144" s="3"/>
      <c r="S2144" s="3"/>
      <c r="T2144" s="3"/>
    </row>
    <row r="2145" spans="1:20">
      <c r="A2145" s="3">
        <v>1</v>
      </c>
      <c r="B2145" s="3">
        <v>1</v>
      </c>
      <c r="C2145" s="2">
        <v>25</v>
      </c>
      <c r="D2145" s="2">
        <v>5</v>
      </c>
      <c r="E2145" s="2">
        <v>1</v>
      </c>
      <c r="F2145" s="17">
        <v>125</v>
      </c>
      <c r="H2145" s="360">
        <v>1</v>
      </c>
      <c r="I2145" s="360">
        <v>-0.10419265718215694</v>
      </c>
      <c r="K2145" s="363"/>
      <c r="N2145" s="10"/>
      <c r="O2145" s="4"/>
      <c r="P2145" s="4"/>
      <c r="Q2145" s="3"/>
      <c r="R2145" s="3"/>
      <c r="S2145" s="3"/>
      <c r="T2145" s="3"/>
    </row>
    <row r="2146" spans="1:20">
      <c r="A2146" s="3">
        <v>1</v>
      </c>
      <c r="B2146" s="3">
        <v>1</v>
      </c>
      <c r="C2146" s="2">
        <v>25</v>
      </c>
      <c r="D2146" s="2">
        <v>5</v>
      </c>
      <c r="E2146" s="2">
        <v>16</v>
      </c>
      <c r="F2146" s="17">
        <v>125</v>
      </c>
      <c r="H2146" s="360">
        <v>1</v>
      </c>
      <c r="I2146" s="360">
        <v>-0.11729975142318236</v>
      </c>
      <c r="K2146" s="363"/>
      <c r="N2146" s="10"/>
      <c r="O2146" s="4"/>
      <c r="P2146" s="4"/>
      <c r="Q2146" s="3"/>
      <c r="R2146" s="3"/>
      <c r="S2146" s="3"/>
      <c r="T2146" s="3"/>
    </row>
    <row r="2147" spans="1:20">
      <c r="A2147" s="3">
        <v>1</v>
      </c>
      <c r="B2147" s="3">
        <v>1</v>
      </c>
      <c r="C2147" s="2">
        <v>25</v>
      </c>
      <c r="D2147" s="2">
        <v>30</v>
      </c>
      <c r="E2147" s="2">
        <v>16</v>
      </c>
      <c r="F2147" s="17">
        <v>125</v>
      </c>
      <c r="H2147" s="360">
        <v>1</v>
      </c>
      <c r="I2147" s="360">
        <v>-0.12711230575183188</v>
      </c>
      <c r="K2147" s="363"/>
      <c r="N2147" s="10"/>
      <c r="O2147" s="4"/>
      <c r="P2147" s="4"/>
      <c r="Q2147" s="3"/>
      <c r="R2147" s="3"/>
      <c r="S2147" s="3"/>
      <c r="T2147" s="3"/>
    </row>
    <row r="2148" spans="1:20">
      <c r="A2148" s="3">
        <v>5</v>
      </c>
      <c r="B2148" s="3">
        <v>2</v>
      </c>
      <c r="C2148" s="2">
        <v>25</v>
      </c>
      <c r="D2148" s="2">
        <v>5</v>
      </c>
      <c r="E2148" s="2">
        <v>16</v>
      </c>
      <c r="F2148" s="17">
        <v>125</v>
      </c>
      <c r="H2148" s="360">
        <v>0.44599734659619683</v>
      </c>
      <c r="I2148" s="360">
        <v>-0.18436709172824478</v>
      </c>
      <c r="K2148" s="363"/>
      <c r="N2148" s="10"/>
      <c r="O2148" s="4"/>
      <c r="P2148" s="4"/>
      <c r="Q2148" s="3"/>
      <c r="R2148" s="3"/>
      <c r="S2148" s="3"/>
      <c r="T2148" s="3"/>
    </row>
    <row r="2149" spans="1:20">
      <c r="A2149" s="3">
        <v>3</v>
      </c>
      <c r="B2149" s="3">
        <v>1</v>
      </c>
      <c r="C2149" s="2">
        <v>25</v>
      </c>
      <c r="D2149" s="2">
        <v>5</v>
      </c>
      <c r="E2149" s="2">
        <v>1</v>
      </c>
      <c r="F2149" s="17">
        <v>125</v>
      </c>
      <c r="H2149" s="360">
        <v>0.41347450235296779</v>
      </c>
      <c r="I2149" s="360">
        <v>-0.19384169537068888</v>
      </c>
      <c r="K2149" s="363"/>
      <c r="N2149" s="10"/>
      <c r="O2149" s="4"/>
      <c r="P2149" s="4"/>
      <c r="Q2149" s="3"/>
      <c r="R2149" s="3"/>
      <c r="S2149" s="3"/>
      <c r="T2149" s="3"/>
    </row>
    <row r="2150" spans="1:20">
      <c r="A2150" s="3">
        <v>5</v>
      </c>
      <c r="B2150" s="3">
        <v>2</v>
      </c>
      <c r="C2150" s="2">
        <v>50</v>
      </c>
      <c r="D2150" s="2">
        <v>5</v>
      </c>
      <c r="E2150" s="2">
        <v>16</v>
      </c>
      <c r="F2150" s="17">
        <v>125</v>
      </c>
      <c r="H2150" s="360">
        <v>1</v>
      </c>
      <c r="I2150" s="360">
        <v>-0.2163687630845825</v>
      </c>
      <c r="K2150" s="363"/>
      <c r="N2150" s="10"/>
      <c r="O2150" s="4"/>
      <c r="P2150" s="4"/>
      <c r="Q2150" s="3"/>
      <c r="R2150" s="3"/>
      <c r="S2150" s="3"/>
      <c r="T2150" s="3"/>
    </row>
    <row r="2151" spans="1:20">
      <c r="A2151" s="3">
        <v>3</v>
      </c>
      <c r="B2151" s="3">
        <v>1</v>
      </c>
      <c r="C2151" s="2">
        <v>25</v>
      </c>
      <c r="D2151" s="2">
        <v>5</v>
      </c>
      <c r="E2151" s="2">
        <v>16</v>
      </c>
      <c r="F2151" s="17">
        <v>125</v>
      </c>
      <c r="H2151" s="360">
        <v>1</v>
      </c>
      <c r="I2151" s="360">
        <v>-0.21882692299705792</v>
      </c>
      <c r="K2151" s="363"/>
      <c r="N2151" s="10"/>
      <c r="O2151" s="4"/>
      <c r="P2151" s="4"/>
      <c r="Q2151" s="3"/>
      <c r="R2151" s="3"/>
      <c r="S2151" s="3"/>
      <c r="T2151" s="3"/>
    </row>
    <row r="2152" spans="1:20">
      <c r="A2152" s="3">
        <v>2</v>
      </c>
      <c r="B2152" s="3">
        <v>1</v>
      </c>
      <c r="C2152" s="2">
        <v>25</v>
      </c>
      <c r="D2152" s="2">
        <v>5</v>
      </c>
      <c r="E2152" s="2">
        <v>16</v>
      </c>
      <c r="F2152" s="17">
        <v>125</v>
      </c>
      <c r="H2152" s="360">
        <v>1</v>
      </c>
      <c r="I2152" s="360">
        <v>-0.28310961598834505</v>
      </c>
      <c r="K2152" s="363"/>
      <c r="N2152" s="10"/>
      <c r="O2152" s="4"/>
      <c r="P2152" s="4"/>
      <c r="Q2152" s="3"/>
      <c r="R2152" s="3"/>
      <c r="S2152" s="3"/>
      <c r="T2152" s="3"/>
    </row>
    <row r="2153" spans="1:20">
      <c r="A2153" s="3">
        <v>2</v>
      </c>
      <c r="B2153" s="3">
        <v>1</v>
      </c>
      <c r="C2153" s="2">
        <v>25</v>
      </c>
      <c r="D2153" s="2">
        <v>5</v>
      </c>
      <c r="E2153" s="2">
        <v>1</v>
      </c>
      <c r="F2153" s="17">
        <v>125</v>
      </c>
      <c r="H2153" s="360">
        <v>1</v>
      </c>
      <c r="I2153" s="360">
        <v>-0.30094255933986575</v>
      </c>
      <c r="K2153" s="363"/>
      <c r="N2153" s="10"/>
      <c r="O2153" s="4"/>
      <c r="P2153" s="4"/>
      <c r="Q2153" s="3"/>
      <c r="R2153" s="3"/>
      <c r="S2153" s="3"/>
      <c r="T2153" s="3"/>
    </row>
    <row r="2154" spans="1:20">
      <c r="A2154" s="3">
        <v>2</v>
      </c>
      <c r="B2154" s="3">
        <v>2</v>
      </c>
      <c r="C2154" s="2">
        <v>25</v>
      </c>
      <c r="D2154" s="2">
        <v>5</v>
      </c>
      <c r="E2154" s="2">
        <v>16</v>
      </c>
      <c r="F2154" s="17">
        <v>125</v>
      </c>
      <c r="H2154" s="360">
        <v>1</v>
      </c>
      <c r="I2154" s="360">
        <v>-0.31843166953577084</v>
      </c>
      <c r="K2154" s="363"/>
      <c r="N2154" s="10"/>
      <c r="O2154" s="4"/>
      <c r="P2154" s="4"/>
      <c r="Q2154" s="3"/>
      <c r="R2154" s="3"/>
      <c r="S2154" s="3"/>
      <c r="T2154" s="3"/>
    </row>
    <row r="2155" spans="1:20">
      <c r="A2155" s="3">
        <v>2</v>
      </c>
      <c r="B2155" s="3">
        <v>2</v>
      </c>
      <c r="C2155" s="2">
        <v>25</v>
      </c>
      <c r="D2155" s="2">
        <v>5</v>
      </c>
      <c r="E2155" s="2">
        <v>1</v>
      </c>
      <c r="F2155" s="17">
        <v>125</v>
      </c>
      <c r="H2155" s="360">
        <v>1</v>
      </c>
      <c r="I2155" s="360">
        <v>-0.32735681022600871</v>
      </c>
      <c r="K2155" s="363"/>
      <c r="N2155" s="10"/>
      <c r="O2155" s="4"/>
      <c r="P2155" s="4"/>
      <c r="Q2155" s="3"/>
      <c r="R2155" s="3"/>
      <c r="S2155" s="3"/>
      <c r="T2155" s="3"/>
    </row>
    <row r="2156" spans="1:20">
      <c r="A2156" s="3">
        <v>5</v>
      </c>
      <c r="B2156" s="3">
        <v>2</v>
      </c>
      <c r="C2156" s="2">
        <v>25</v>
      </c>
      <c r="D2156" s="2">
        <v>5</v>
      </c>
      <c r="E2156" s="2">
        <v>16</v>
      </c>
      <c r="F2156" s="17">
        <v>126</v>
      </c>
      <c r="H2156" s="360">
        <v>0.30366010844570379</v>
      </c>
      <c r="I2156" s="360">
        <v>0.35701902182881218</v>
      </c>
      <c r="K2156" s="363"/>
      <c r="N2156" s="10"/>
      <c r="O2156" s="4"/>
      <c r="P2156" s="4"/>
      <c r="Q2156" s="3"/>
      <c r="R2156" s="3"/>
      <c r="S2156" s="3"/>
      <c r="T2156" s="3"/>
    </row>
    <row r="2157" spans="1:20">
      <c r="A2157" s="3">
        <v>5</v>
      </c>
      <c r="B2157" s="3">
        <v>2</v>
      </c>
      <c r="C2157" s="2">
        <v>50</v>
      </c>
      <c r="D2157" s="2">
        <v>5</v>
      </c>
      <c r="E2157" s="2">
        <v>16</v>
      </c>
      <c r="F2157" s="17">
        <v>126</v>
      </c>
      <c r="H2157" s="360">
        <v>1</v>
      </c>
      <c r="I2157" s="360">
        <v>0.32499831974697568</v>
      </c>
      <c r="K2157" s="363"/>
      <c r="N2157" s="10"/>
      <c r="O2157" s="4"/>
      <c r="P2157" s="4"/>
      <c r="Q2157" s="3"/>
      <c r="R2157" s="3"/>
      <c r="S2157" s="3"/>
      <c r="T2157" s="3"/>
    </row>
    <row r="2158" spans="1:20">
      <c r="A2158" s="3">
        <v>1</v>
      </c>
      <c r="B2158" s="3">
        <v>2</v>
      </c>
      <c r="C2158" s="2">
        <v>25</v>
      </c>
      <c r="D2158" s="2">
        <v>5</v>
      </c>
      <c r="E2158" s="2">
        <v>1</v>
      </c>
      <c r="F2158" s="17">
        <v>126</v>
      </c>
      <c r="H2158" s="360">
        <v>2.9042922194536636E-2</v>
      </c>
      <c r="I2158" s="360">
        <v>0.30380397532556547</v>
      </c>
      <c r="K2158" s="363"/>
      <c r="N2158" s="10"/>
      <c r="O2158" s="4"/>
      <c r="P2158" s="4"/>
      <c r="Q2158" s="3"/>
      <c r="R2158" s="3"/>
      <c r="S2158" s="3"/>
      <c r="T2158" s="3"/>
    </row>
    <row r="2159" spans="1:20">
      <c r="A2159" s="3">
        <v>3</v>
      </c>
      <c r="B2159" s="3">
        <v>2</v>
      </c>
      <c r="C2159" s="2">
        <v>25</v>
      </c>
      <c r="D2159" s="2">
        <v>5</v>
      </c>
      <c r="E2159" s="2">
        <v>1</v>
      </c>
      <c r="F2159" s="17">
        <v>126</v>
      </c>
      <c r="H2159" s="360">
        <v>0.34629877591401981</v>
      </c>
      <c r="I2159" s="360">
        <v>-1.601120290387854E-2</v>
      </c>
      <c r="K2159" s="363"/>
      <c r="N2159" s="10"/>
      <c r="O2159" s="4"/>
      <c r="P2159" s="4"/>
      <c r="Q2159" s="3"/>
      <c r="R2159" s="3"/>
      <c r="S2159" s="3"/>
      <c r="T2159" s="3"/>
    </row>
    <row r="2160" spans="1:20">
      <c r="A2160" s="3">
        <v>3</v>
      </c>
      <c r="B2160" s="3">
        <v>2</v>
      </c>
      <c r="C2160" s="2">
        <v>25</v>
      </c>
      <c r="D2160" s="2">
        <v>5</v>
      </c>
      <c r="E2160" s="2">
        <v>16</v>
      </c>
      <c r="F2160" s="17">
        <v>126</v>
      </c>
      <c r="H2160" s="360">
        <v>0.71016279479736277</v>
      </c>
      <c r="I2160" s="360">
        <v>-0.1756420844476686</v>
      </c>
      <c r="K2160" s="363"/>
      <c r="N2160" s="10"/>
      <c r="O2160" s="4"/>
      <c r="P2160" s="4"/>
      <c r="Q2160" s="3"/>
      <c r="R2160" s="3"/>
      <c r="S2160" s="3"/>
      <c r="T2160" s="3"/>
    </row>
    <row r="2161" spans="1:20">
      <c r="A2161" s="3">
        <v>4</v>
      </c>
      <c r="B2161" s="3">
        <v>2</v>
      </c>
      <c r="C2161" s="2">
        <v>50</v>
      </c>
      <c r="D2161" s="2">
        <v>5</v>
      </c>
      <c r="E2161" s="2">
        <v>16</v>
      </c>
      <c r="F2161" s="17">
        <v>126</v>
      </c>
      <c r="H2161" s="360">
        <v>0.99827084597420135</v>
      </c>
      <c r="I2161" s="360">
        <v>-0.27433666097464865</v>
      </c>
      <c r="K2161" s="363"/>
      <c r="N2161" s="10"/>
      <c r="O2161" s="4"/>
      <c r="P2161" s="4"/>
      <c r="Q2161" s="3"/>
      <c r="R2161" s="3"/>
      <c r="S2161" s="3"/>
      <c r="T2161" s="3"/>
    </row>
    <row r="2162" spans="1:20">
      <c r="A2162" s="3">
        <v>2</v>
      </c>
      <c r="B2162" s="3">
        <v>2</v>
      </c>
      <c r="C2162" s="2">
        <v>25</v>
      </c>
      <c r="D2162" s="2">
        <v>5</v>
      </c>
      <c r="E2162" s="2">
        <v>16</v>
      </c>
      <c r="F2162" s="17">
        <v>126</v>
      </c>
      <c r="H2162" s="360">
        <v>0.98922655131225179</v>
      </c>
      <c r="I2162" s="360">
        <v>-0.44004858230168575</v>
      </c>
      <c r="K2162" s="363"/>
      <c r="N2162" s="10"/>
      <c r="O2162" s="4"/>
      <c r="P2162" s="4"/>
      <c r="Q2162" s="3"/>
      <c r="R2162" s="3"/>
      <c r="S2162" s="3"/>
      <c r="T2162" s="3"/>
    </row>
    <row r="2163" spans="1:20">
      <c r="A2163" s="3">
        <v>2</v>
      </c>
      <c r="B2163" s="3">
        <v>2</v>
      </c>
      <c r="C2163" s="2">
        <v>25</v>
      </c>
      <c r="D2163" s="2">
        <v>5</v>
      </c>
      <c r="E2163" s="2">
        <v>1</v>
      </c>
      <c r="F2163" s="17">
        <v>126</v>
      </c>
      <c r="H2163" s="360">
        <v>0.53597686860981675</v>
      </c>
      <c r="I2163" s="360">
        <v>-0.47498737558846044</v>
      </c>
      <c r="K2163" s="363"/>
      <c r="N2163" s="10"/>
      <c r="O2163" s="4"/>
      <c r="P2163" s="4"/>
      <c r="Q2163" s="3"/>
      <c r="R2163" s="3"/>
      <c r="S2163" s="3"/>
      <c r="T2163" s="3"/>
    </row>
    <row r="2164" spans="1:20">
      <c r="A2164" s="3">
        <v>1</v>
      </c>
      <c r="B2164" s="3">
        <v>2</v>
      </c>
      <c r="C2164" s="2">
        <v>25</v>
      </c>
      <c r="D2164" s="2">
        <v>5</v>
      </c>
      <c r="E2164" s="2">
        <v>16</v>
      </c>
      <c r="F2164" s="17">
        <v>126</v>
      </c>
      <c r="H2164" s="360">
        <v>0.87365652702734309</v>
      </c>
      <c r="I2164" s="360">
        <v>-0.5899697635465837</v>
      </c>
      <c r="K2164" s="363"/>
      <c r="N2164" s="10"/>
      <c r="O2164" s="4"/>
      <c r="P2164" s="4"/>
      <c r="Q2164" s="3"/>
      <c r="R2164" s="3"/>
      <c r="S2164" s="3"/>
      <c r="T2164" s="3"/>
    </row>
    <row r="2165" spans="1:20">
      <c r="A2165" s="3">
        <v>1</v>
      </c>
      <c r="B2165" s="3">
        <v>2</v>
      </c>
      <c r="C2165" s="2">
        <v>25</v>
      </c>
      <c r="D2165" s="2">
        <v>30</v>
      </c>
      <c r="E2165" s="2">
        <v>16</v>
      </c>
      <c r="F2165" s="17">
        <v>126</v>
      </c>
      <c r="H2165" s="360">
        <v>1</v>
      </c>
      <c r="I2165" s="360">
        <v>-0.6262119041423303</v>
      </c>
      <c r="K2165" s="363"/>
      <c r="N2165" s="10"/>
      <c r="O2165" s="4"/>
      <c r="P2165" s="4"/>
      <c r="Q2165" s="3"/>
      <c r="R2165" s="3"/>
      <c r="S2165" s="3"/>
      <c r="T2165" s="3"/>
    </row>
    <row r="2166" spans="1:20">
      <c r="A2166" s="3">
        <v>3</v>
      </c>
      <c r="B2166" s="3">
        <v>1</v>
      </c>
      <c r="C2166" s="2">
        <v>25</v>
      </c>
      <c r="D2166" s="2">
        <v>5</v>
      </c>
      <c r="E2166" s="2">
        <v>1</v>
      </c>
      <c r="F2166" s="17">
        <v>126</v>
      </c>
      <c r="H2166" s="360">
        <v>0.72942797266964687</v>
      </c>
      <c r="I2166" s="360">
        <v>-0.69221689812325049</v>
      </c>
      <c r="K2166" s="363"/>
      <c r="N2166" s="10"/>
      <c r="O2166" s="4"/>
      <c r="P2166" s="4"/>
      <c r="Q2166" s="3"/>
      <c r="R2166" s="3"/>
      <c r="S2166" s="3"/>
      <c r="T2166" s="3"/>
    </row>
    <row r="2167" spans="1:20">
      <c r="A2167" s="3">
        <v>2</v>
      </c>
      <c r="B2167" s="3">
        <v>1</v>
      </c>
      <c r="C2167" s="2">
        <v>25</v>
      </c>
      <c r="D2167" s="2">
        <v>5</v>
      </c>
      <c r="E2167" s="2">
        <v>1</v>
      </c>
      <c r="F2167" s="17">
        <v>126</v>
      </c>
      <c r="H2167" s="360">
        <v>1</v>
      </c>
      <c r="I2167" s="360">
        <v>-0.7079772760814752</v>
      </c>
      <c r="K2167" s="363"/>
      <c r="N2167" s="10"/>
      <c r="O2167" s="4"/>
      <c r="P2167" s="4"/>
      <c r="Q2167" s="3"/>
      <c r="R2167" s="3"/>
      <c r="S2167" s="3"/>
      <c r="T2167" s="3"/>
    </row>
    <row r="2168" spans="1:20">
      <c r="A2168" s="3">
        <v>2</v>
      </c>
      <c r="B2168" s="3">
        <v>1</v>
      </c>
      <c r="C2168" s="2">
        <v>25</v>
      </c>
      <c r="D2168" s="2">
        <v>5</v>
      </c>
      <c r="E2168" s="2">
        <v>16</v>
      </c>
      <c r="F2168" s="17">
        <v>126</v>
      </c>
      <c r="H2168" s="360">
        <v>1</v>
      </c>
      <c r="I2168" s="360">
        <v>-0.7108189560687096</v>
      </c>
      <c r="K2168" s="363"/>
      <c r="N2168" s="10"/>
      <c r="O2168" s="4"/>
      <c r="P2168" s="4"/>
      <c r="Q2168" s="3"/>
      <c r="R2168" s="3"/>
      <c r="S2168" s="3"/>
      <c r="T2168" s="3"/>
    </row>
    <row r="2169" spans="1:20">
      <c r="A2169" s="3">
        <v>1</v>
      </c>
      <c r="B2169" s="3">
        <v>2</v>
      </c>
      <c r="C2169" s="2">
        <v>25</v>
      </c>
      <c r="D2169" s="2">
        <v>5</v>
      </c>
      <c r="E2169" s="2">
        <v>16</v>
      </c>
      <c r="F2169" s="17">
        <v>126</v>
      </c>
      <c r="H2169" s="360">
        <v>1</v>
      </c>
      <c r="I2169" s="360">
        <v>-0.7414677845705574</v>
      </c>
      <c r="K2169" s="363"/>
      <c r="N2169" s="10"/>
      <c r="O2169" s="4"/>
      <c r="P2169" s="4"/>
      <c r="Q2169" s="3"/>
      <c r="R2169" s="3"/>
      <c r="S2169" s="3"/>
      <c r="T2169" s="3"/>
    </row>
    <row r="2170" spans="1:20">
      <c r="A2170" s="3">
        <v>1</v>
      </c>
      <c r="B2170" s="3">
        <v>1</v>
      </c>
      <c r="C2170" s="2">
        <v>25</v>
      </c>
      <c r="D2170" s="2">
        <v>30</v>
      </c>
      <c r="E2170" s="2">
        <v>16</v>
      </c>
      <c r="F2170" s="17">
        <v>126</v>
      </c>
      <c r="H2170" s="360">
        <v>1</v>
      </c>
      <c r="I2170" s="360">
        <v>-0.84264832072916507</v>
      </c>
      <c r="K2170" s="363"/>
      <c r="N2170" s="10"/>
      <c r="O2170" s="4"/>
      <c r="P2170" s="4"/>
      <c r="Q2170" s="3"/>
      <c r="R2170" s="3"/>
      <c r="S2170" s="3"/>
      <c r="T2170" s="3"/>
    </row>
    <row r="2171" spans="1:20">
      <c r="A2171" s="3">
        <v>1</v>
      </c>
      <c r="B2171" s="3">
        <v>1</v>
      </c>
      <c r="C2171" s="2">
        <v>25</v>
      </c>
      <c r="D2171" s="2">
        <v>5</v>
      </c>
      <c r="E2171" s="2">
        <v>1</v>
      </c>
      <c r="F2171" s="17">
        <v>126</v>
      </c>
      <c r="H2171" s="360">
        <v>1</v>
      </c>
      <c r="I2171" s="360">
        <v>-0.8957706067052984</v>
      </c>
      <c r="K2171" s="363"/>
      <c r="N2171" s="10"/>
      <c r="O2171" s="4"/>
      <c r="P2171" s="4"/>
      <c r="Q2171" s="3"/>
      <c r="R2171" s="3"/>
      <c r="S2171" s="3"/>
      <c r="T2171" s="3"/>
    </row>
    <row r="2172" spans="1:20">
      <c r="A2172" s="3">
        <v>1</v>
      </c>
      <c r="B2172" s="3">
        <v>1</v>
      </c>
      <c r="C2172" s="2">
        <v>25</v>
      </c>
      <c r="D2172" s="2">
        <v>5</v>
      </c>
      <c r="E2172" s="2">
        <v>16</v>
      </c>
      <c r="F2172" s="17">
        <v>126</v>
      </c>
      <c r="H2172" s="360">
        <v>1</v>
      </c>
      <c r="I2172" s="360">
        <v>-0.8963706466764787</v>
      </c>
      <c r="K2172" s="363"/>
      <c r="N2172" s="10"/>
      <c r="O2172" s="4"/>
      <c r="P2172" s="4"/>
      <c r="Q2172" s="3"/>
      <c r="R2172" s="3"/>
      <c r="S2172" s="3"/>
      <c r="T2172" s="3"/>
    </row>
    <row r="2173" spans="1:20">
      <c r="A2173" s="3">
        <v>3</v>
      </c>
      <c r="B2173" s="3">
        <v>1</v>
      </c>
      <c r="C2173" s="2">
        <v>25</v>
      </c>
      <c r="D2173" s="2">
        <v>5</v>
      </c>
      <c r="E2173" s="2">
        <v>16</v>
      </c>
      <c r="F2173" s="17">
        <v>126</v>
      </c>
      <c r="H2173" s="360">
        <v>0.98472845949104371</v>
      </c>
      <c r="I2173" s="360">
        <v>-0.91916645503638039</v>
      </c>
      <c r="K2173" s="363"/>
      <c r="N2173" s="10"/>
      <c r="O2173" s="4"/>
      <c r="P2173" s="4"/>
      <c r="Q2173" s="3"/>
      <c r="R2173" s="3"/>
      <c r="S2173" s="3"/>
      <c r="T2173" s="3"/>
    </row>
    <row r="2174" spans="1:20">
      <c r="A2174" s="3">
        <v>2</v>
      </c>
      <c r="B2174" s="3">
        <v>2</v>
      </c>
      <c r="C2174" s="2">
        <v>25</v>
      </c>
      <c r="D2174" s="2">
        <v>5</v>
      </c>
      <c r="E2174" s="2">
        <v>16</v>
      </c>
      <c r="F2174" s="17">
        <v>127</v>
      </c>
      <c r="H2174" s="360">
        <v>4.9834462949343794E-2</v>
      </c>
      <c r="I2174" s="360">
        <v>1</v>
      </c>
      <c r="K2174" s="363"/>
      <c r="N2174" s="10"/>
      <c r="O2174" s="4"/>
      <c r="P2174" s="4"/>
      <c r="Q2174" s="3"/>
      <c r="R2174" s="3"/>
      <c r="S2174" s="3"/>
      <c r="T2174" s="3"/>
    </row>
    <row r="2175" spans="1:20">
      <c r="A2175" s="3">
        <v>2</v>
      </c>
      <c r="B2175" s="3">
        <v>1</v>
      </c>
      <c r="C2175" s="2">
        <v>25</v>
      </c>
      <c r="D2175" s="2">
        <v>5</v>
      </c>
      <c r="E2175" s="2">
        <v>16</v>
      </c>
      <c r="F2175" s="17">
        <v>127</v>
      </c>
      <c r="H2175" s="360">
        <v>6.5795208480742273E-2</v>
      </c>
      <c r="I2175" s="360">
        <v>1</v>
      </c>
      <c r="K2175" s="363"/>
      <c r="N2175" s="10"/>
      <c r="O2175" s="4"/>
      <c r="P2175" s="4"/>
      <c r="Q2175" s="3"/>
      <c r="R2175" s="3"/>
      <c r="S2175" s="3"/>
      <c r="T2175" s="3"/>
    </row>
    <row r="2176" spans="1:20">
      <c r="A2176" s="3">
        <v>4</v>
      </c>
      <c r="B2176" s="3">
        <v>2</v>
      </c>
      <c r="C2176" s="2">
        <v>50</v>
      </c>
      <c r="D2176" s="2">
        <v>5</v>
      </c>
      <c r="E2176" s="2">
        <v>16</v>
      </c>
      <c r="F2176" s="17">
        <v>127</v>
      </c>
      <c r="H2176" s="360">
        <v>0.72980414168308072</v>
      </c>
      <c r="I2176" s="360">
        <v>0.31574439397455878</v>
      </c>
      <c r="K2176" s="363"/>
      <c r="N2176" s="10"/>
      <c r="O2176" s="4"/>
      <c r="P2176" s="4"/>
      <c r="Q2176" s="3"/>
      <c r="R2176" s="3"/>
      <c r="S2176" s="3"/>
      <c r="T2176" s="3"/>
    </row>
    <row r="2177" spans="1:20">
      <c r="A2177" s="3">
        <v>1</v>
      </c>
      <c r="B2177" s="3">
        <v>2</v>
      </c>
      <c r="C2177" s="2">
        <v>25</v>
      </c>
      <c r="D2177" s="2">
        <v>30</v>
      </c>
      <c r="E2177" s="2">
        <v>16</v>
      </c>
      <c r="F2177" s="17">
        <v>127</v>
      </c>
      <c r="H2177" s="360">
        <v>1.7597152879735845E-2</v>
      </c>
      <c r="I2177" s="360">
        <v>0.22579908675799087</v>
      </c>
      <c r="K2177" s="363"/>
      <c r="N2177" s="10"/>
      <c r="O2177" s="4"/>
      <c r="P2177" s="4"/>
      <c r="Q2177" s="3"/>
      <c r="R2177" s="3"/>
      <c r="S2177" s="3"/>
      <c r="T2177" s="3"/>
    </row>
    <row r="2178" spans="1:20">
      <c r="A2178" s="3">
        <v>1</v>
      </c>
      <c r="B2178" s="3">
        <v>2</v>
      </c>
      <c r="C2178" s="2">
        <v>25</v>
      </c>
      <c r="D2178" s="2">
        <v>5</v>
      </c>
      <c r="E2178" s="2">
        <v>16</v>
      </c>
      <c r="F2178" s="17">
        <v>127</v>
      </c>
      <c r="H2178" s="360">
        <v>6.8485362284701479E-3</v>
      </c>
      <c r="I2178" s="360">
        <v>0.22312069481880803</v>
      </c>
      <c r="K2178" s="363"/>
      <c r="N2178" s="10"/>
      <c r="O2178" s="4"/>
      <c r="P2178" s="4"/>
      <c r="Q2178" s="3"/>
      <c r="R2178" s="3"/>
      <c r="S2178" s="3"/>
      <c r="T2178" s="3"/>
    </row>
    <row r="2179" spans="1:20">
      <c r="A2179" s="3">
        <v>1</v>
      </c>
      <c r="B2179" s="3">
        <v>1</v>
      </c>
      <c r="C2179" s="2">
        <v>25</v>
      </c>
      <c r="D2179" s="2">
        <v>5</v>
      </c>
      <c r="E2179" s="2">
        <v>1</v>
      </c>
      <c r="F2179" s="17">
        <v>127</v>
      </c>
      <c r="H2179" s="360">
        <v>0</v>
      </c>
      <c r="I2179" s="360">
        <v>0</v>
      </c>
      <c r="K2179" s="363"/>
      <c r="N2179" s="10"/>
      <c r="O2179" s="4"/>
      <c r="P2179" s="4"/>
      <c r="Q2179" s="3"/>
      <c r="R2179" s="3"/>
      <c r="S2179" s="3"/>
      <c r="T2179" s="3"/>
    </row>
    <row r="2180" spans="1:20">
      <c r="A2180" s="3">
        <v>1</v>
      </c>
      <c r="B2180" s="3">
        <v>1</v>
      </c>
      <c r="C2180" s="2">
        <v>25</v>
      </c>
      <c r="D2180" s="2">
        <v>5</v>
      </c>
      <c r="E2180" s="2">
        <v>16</v>
      </c>
      <c r="F2180" s="17">
        <v>127</v>
      </c>
      <c r="H2180" s="360">
        <v>0</v>
      </c>
      <c r="I2180" s="360">
        <v>0</v>
      </c>
      <c r="K2180" s="363"/>
      <c r="N2180" s="10"/>
      <c r="O2180" s="4"/>
      <c r="P2180" s="4"/>
      <c r="Q2180" s="3"/>
      <c r="R2180" s="3"/>
      <c r="S2180" s="3"/>
      <c r="T2180" s="3"/>
    </row>
    <row r="2181" spans="1:20">
      <c r="A2181" s="3">
        <v>1</v>
      </c>
      <c r="B2181" s="3">
        <v>2</v>
      </c>
      <c r="C2181" s="2">
        <v>25</v>
      </c>
      <c r="D2181" s="2">
        <v>5</v>
      </c>
      <c r="E2181" s="2">
        <v>1</v>
      </c>
      <c r="F2181" s="17">
        <v>127</v>
      </c>
      <c r="H2181" s="360">
        <v>0</v>
      </c>
      <c r="I2181" s="360">
        <v>0</v>
      </c>
      <c r="K2181" s="363"/>
      <c r="N2181" s="10"/>
      <c r="O2181" s="4"/>
      <c r="P2181" s="4"/>
      <c r="Q2181" s="3"/>
      <c r="R2181" s="3"/>
      <c r="S2181" s="3"/>
      <c r="T2181" s="3"/>
    </row>
    <row r="2182" spans="1:20">
      <c r="A2182" s="3">
        <v>1</v>
      </c>
      <c r="B2182" s="3">
        <v>2</v>
      </c>
      <c r="C2182" s="2">
        <v>25</v>
      </c>
      <c r="D2182" s="2">
        <v>5</v>
      </c>
      <c r="E2182" s="2">
        <v>16</v>
      </c>
      <c r="F2182" s="17">
        <v>127</v>
      </c>
      <c r="H2182" s="360">
        <v>0</v>
      </c>
      <c r="I2182" s="360">
        <v>0</v>
      </c>
      <c r="K2182" s="363"/>
      <c r="N2182" s="10"/>
      <c r="O2182" s="4"/>
      <c r="P2182" s="4"/>
      <c r="Q2182" s="3"/>
      <c r="R2182" s="3"/>
      <c r="S2182" s="3"/>
      <c r="T2182" s="3"/>
    </row>
    <row r="2183" spans="1:20">
      <c r="A2183" s="3">
        <v>2</v>
      </c>
      <c r="B2183" s="3">
        <v>2</v>
      </c>
      <c r="C2183" s="2">
        <v>25</v>
      </c>
      <c r="D2183" s="2">
        <v>5</v>
      </c>
      <c r="E2183" s="2">
        <v>1</v>
      </c>
      <c r="F2183" s="17">
        <v>127</v>
      </c>
      <c r="H2183" s="360">
        <v>0</v>
      </c>
      <c r="I2183" s="360">
        <v>0</v>
      </c>
      <c r="K2183" s="363"/>
      <c r="N2183" s="10"/>
      <c r="O2183" s="4"/>
      <c r="P2183" s="4"/>
      <c r="Q2183" s="3"/>
      <c r="R2183" s="3"/>
      <c r="S2183" s="3"/>
      <c r="T2183" s="3"/>
    </row>
    <row r="2184" spans="1:20">
      <c r="A2184" s="3">
        <v>3</v>
      </c>
      <c r="B2184" s="3">
        <v>2</v>
      </c>
      <c r="C2184" s="2">
        <v>25</v>
      </c>
      <c r="D2184" s="2">
        <v>5</v>
      </c>
      <c r="E2184" s="2">
        <v>1</v>
      </c>
      <c r="F2184" s="17">
        <v>127</v>
      </c>
      <c r="H2184" s="360">
        <v>0</v>
      </c>
      <c r="I2184" s="360">
        <v>0</v>
      </c>
      <c r="K2184" s="363"/>
      <c r="N2184" s="10"/>
      <c r="O2184" s="4"/>
      <c r="P2184" s="4"/>
      <c r="Q2184" s="3"/>
      <c r="R2184" s="3"/>
      <c r="S2184" s="3"/>
      <c r="T2184" s="3"/>
    </row>
    <row r="2185" spans="1:20">
      <c r="A2185" s="3">
        <v>2</v>
      </c>
      <c r="B2185" s="3">
        <v>1</v>
      </c>
      <c r="C2185" s="2">
        <v>25</v>
      </c>
      <c r="D2185" s="2">
        <v>5</v>
      </c>
      <c r="E2185" s="2">
        <v>1</v>
      </c>
      <c r="F2185" s="17">
        <v>127</v>
      </c>
      <c r="H2185" s="360">
        <v>0</v>
      </c>
      <c r="I2185" s="360">
        <v>0</v>
      </c>
      <c r="K2185" s="363"/>
      <c r="N2185" s="10"/>
      <c r="O2185" s="4"/>
      <c r="P2185" s="4"/>
      <c r="Q2185" s="3"/>
      <c r="R2185" s="3"/>
      <c r="S2185" s="3"/>
      <c r="T2185" s="3"/>
    </row>
    <row r="2186" spans="1:20">
      <c r="A2186" s="3">
        <v>1</v>
      </c>
      <c r="B2186" s="3">
        <v>1</v>
      </c>
      <c r="C2186" s="2">
        <v>25</v>
      </c>
      <c r="D2186" s="2">
        <v>30</v>
      </c>
      <c r="E2186" s="2">
        <v>16</v>
      </c>
      <c r="F2186" s="17">
        <v>127</v>
      </c>
      <c r="H2186" s="360">
        <v>1.3413935337287741E-2</v>
      </c>
      <c r="I2186" s="360">
        <v>-7.6175602984556653E-2</v>
      </c>
      <c r="K2186" s="363"/>
      <c r="N2186" s="10"/>
      <c r="O2186" s="4"/>
      <c r="P2186" s="4"/>
      <c r="Q2186" s="3"/>
      <c r="R2186" s="3"/>
      <c r="S2186" s="3"/>
      <c r="T2186" s="3"/>
    </row>
    <row r="2187" spans="1:20">
      <c r="A2187" s="3">
        <v>5</v>
      </c>
      <c r="B2187" s="3">
        <v>2</v>
      </c>
      <c r="C2187" s="2">
        <v>25</v>
      </c>
      <c r="D2187" s="2">
        <v>5</v>
      </c>
      <c r="E2187" s="2">
        <v>16</v>
      </c>
      <c r="F2187" s="17">
        <v>127</v>
      </c>
      <c r="H2187" s="360">
        <v>7.87242954070968E-2</v>
      </c>
      <c r="I2187" s="360">
        <v>-8.0089285245495301E-2</v>
      </c>
      <c r="K2187" s="363"/>
      <c r="N2187" s="10"/>
      <c r="O2187" s="4"/>
      <c r="P2187" s="4"/>
      <c r="Q2187" s="3"/>
      <c r="R2187" s="3"/>
      <c r="S2187" s="3"/>
      <c r="T2187" s="3"/>
    </row>
    <row r="2188" spans="1:20">
      <c r="A2188" s="3">
        <v>5</v>
      </c>
      <c r="B2188" s="3">
        <v>2</v>
      </c>
      <c r="C2188" s="2">
        <v>50</v>
      </c>
      <c r="D2188" s="2">
        <v>5</v>
      </c>
      <c r="E2188" s="2">
        <v>16</v>
      </c>
      <c r="F2188" s="17">
        <v>127</v>
      </c>
      <c r="H2188" s="360">
        <v>0.22203462132142193</v>
      </c>
      <c r="I2188" s="360">
        <v>-0.13034034598799182</v>
      </c>
      <c r="K2188" s="363"/>
      <c r="N2188" s="10"/>
      <c r="O2188" s="4"/>
      <c r="P2188" s="4"/>
      <c r="Q2188" s="3"/>
      <c r="R2188" s="3"/>
      <c r="S2188" s="3"/>
      <c r="T2188" s="3"/>
    </row>
    <row r="2189" spans="1:20">
      <c r="A2189" s="3">
        <v>3</v>
      </c>
      <c r="B2189" s="3">
        <v>2</v>
      </c>
      <c r="C2189" s="2">
        <v>25</v>
      </c>
      <c r="D2189" s="2">
        <v>5</v>
      </c>
      <c r="E2189" s="2">
        <v>16</v>
      </c>
      <c r="F2189" s="17">
        <v>127</v>
      </c>
      <c r="H2189" s="360">
        <v>4.4811694786685119E-2</v>
      </c>
      <c r="I2189" s="360">
        <v>-0.23516535280344694</v>
      </c>
      <c r="K2189" s="363"/>
      <c r="N2189" s="10"/>
      <c r="O2189" s="4"/>
      <c r="P2189" s="4"/>
      <c r="Q2189" s="3"/>
      <c r="R2189" s="3"/>
      <c r="S2189" s="3"/>
      <c r="T2189" s="3"/>
    </row>
    <row r="2190" spans="1:20">
      <c r="A2190" s="3">
        <v>3</v>
      </c>
      <c r="B2190" s="3">
        <v>1</v>
      </c>
      <c r="C2190" s="2">
        <v>25</v>
      </c>
      <c r="D2190" s="2">
        <v>5</v>
      </c>
      <c r="E2190" s="2">
        <v>16</v>
      </c>
      <c r="F2190" s="17">
        <v>127</v>
      </c>
      <c r="H2190" s="360">
        <v>1.5424845281205246E-2</v>
      </c>
      <c r="I2190" s="360">
        <v>-0.36194331983805667</v>
      </c>
      <c r="K2190" s="363"/>
      <c r="N2190" s="10"/>
      <c r="O2190" s="4"/>
      <c r="P2190" s="4"/>
      <c r="Q2190" s="3"/>
      <c r="R2190" s="3"/>
      <c r="S2190" s="3"/>
      <c r="T2190" s="3"/>
    </row>
    <row r="2191" spans="1:20">
      <c r="A2191" s="3">
        <v>3</v>
      </c>
      <c r="B2191" s="3">
        <v>1</v>
      </c>
      <c r="C2191" s="2">
        <v>25</v>
      </c>
      <c r="D2191" s="2">
        <v>5</v>
      </c>
      <c r="E2191" s="2">
        <v>1</v>
      </c>
      <c r="F2191" s="17">
        <v>127</v>
      </c>
      <c r="H2191" s="360">
        <v>1.1946580254816319E-2</v>
      </c>
      <c r="I2191" s="360">
        <v>-1</v>
      </c>
      <c r="K2191" s="363"/>
      <c r="N2191" s="10"/>
      <c r="O2191" s="4"/>
      <c r="P2191" s="4"/>
      <c r="Q2191" s="3"/>
      <c r="R2191" s="3"/>
      <c r="S2191" s="3"/>
      <c r="T2191" s="3"/>
    </row>
    <row r="2192" spans="1:20">
      <c r="A2192" s="3">
        <v>1</v>
      </c>
      <c r="B2192" s="3">
        <v>1</v>
      </c>
      <c r="C2192" s="2">
        <v>25</v>
      </c>
      <c r="D2192" s="2">
        <v>5</v>
      </c>
      <c r="E2192" s="2">
        <v>16</v>
      </c>
      <c r="F2192" s="17">
        <v>128</v>
      </c>
      <c r="H2192" s="360">
        <v>1</v>
      </c>
      <c r="I2192" s="360">
        <v>2.7853020619161381E-2</v>
      </c>
      <c r="K2192" s="363"/>
      <c r="N2192" s="10"/>
      <c r="O2192" s="4"/>
      <c r="P2192" s="4"/>
      <c r="Q2192" s="3"/>
      <c r="R2192" s="3"/>
      <c r="S2192" s="3"/>
      <c r="T2192" s="3"/>
    </row>
    <row r="2193" spans="1:20">
      <c r="A2193" s="3">
        <v>1</v>
      </c>
      <c r="B2193" s="3">
        <v>1</v>
      </c>
      <c r="C2193" s="2">
        <v>25</v>
      </c>
      <c r="D2193" s="2">
        <v>5</v>
      </c>
      <c r="E2193" s="2">
        <v>1</v>
      </c>
      <c r="F2193" s="17">
        <v>128</v>
      </c>
      <c r="H2193" s="360">
        <v>1</v>
      </c>
      <c r="I2193" s="360">
        <v>2.1411018822467126E-2</v>
      </c>
      <c r="K2193" s="363"/>
      <c r="N2193" s="10"/>
      <c r="O2193" s="4"/>
      <c r="P2193" s="4"/>
      <c r="Q2193" s="3"/>
      <c r="R2193" s="3"/>
      <c r="S2193" s="3"/>
      <c r="T2193" s="3"/>
    </row>
    <row r="2194" spans="1:20">
      <c r="A2194" s="3">
        <v>1</v>
      </c>
      <c r="B2194" s="3">
        <v>1</v>
      </c>
      <c r="C2194" s="2">
        <v>25</v>
      </c>
      <c r="D2194" s="2">
        <v>30</v>
      </c>
      <c r="E2194" s="2">
        <v>16</v>
      </c>
      <c r="F2194" s="17">
        <v>128</v>
      </c>
      <c r="H2194" s="360">
        <v>1</v>
      </c>
      <c r="I2194" s="360">
        <v>-3.5758075943304597E-3</v>
      </c>
      <c r="K2194" s="363"/>
      <c r="N2194" s="10"/>
      <c r="O2194" s="4"/>
      <c r="P2194" s="4"/>
      <c r="Q2194" s="3"/>
      <c r="R2194" s="3"/>
      <c r="S2194" s="3"/>
      <c r="T2194" s="3"/>
    </row>
    <row r="2195" spans="1:20">
      <c r="A2195" s="3">
        <v>1</v>
      </c>
      <c r="B2195" s="3">
        <v>2</v>
      </c>
      <c r="C2195" s="2">
        <v>25</v>
      </c>
      <c r="D2195" s="2">
        <v>5</v>
      </c>
      <c r="E2195" s="2">
        <v>16</v>
      </c>
      <c r="F2195" s="17">
        <v>128</v>
      </c>
      <c r="H2195" s="360">
        <v>1</v>
      </c>
      <c r="I2195" s="360">
        <v>-7.7160755949838575E-3</v>
      </c>
      <c r="K2195" s="363"/>
      <c r="N2195" s="10"/>
      <c r="O2195" s="4"/>
      <c r="P2195" s="4"/>
      <c r="Q2195" s="3"/>
      <c r="R2195" s="3"/>
      <c r="S2195" s="3"/>
      <c r="T2195" s="3"/>
    </row>
    <row r="2196" spans="1:20">
      <c r="A2196" s="3">
        <v>1</v>
      </c>
      <c r="B2196" s="3">
        <v>2</v>
      </c>
      <c r="C2196" s="2">
        <v>25</v>
      </c>
      <c r="D2196" s="2">
        <v>5</v>
      </c>
      <c r="E2196" s="2">
        <v>1</v>
      </c>
      <c r="F2196" s="17">
        <v>128</v>
      </c>
      <c r="H2196" s="360">
        <v>1</v>
      </c>
      <c r="I2196" s="360">
        <v>-1.708527103252596E-2</v>
      </c>
      <c r="K2196" s="363"/>
      <c r="N2196" s="10"/>
      <c r="O2196" s="4"/>
      <c r="P2196" s="4"/>
      <c r="Q2196" s="3"/>
      <c r="R2196" s="3"/>
      <c r="S2196" s="3"/>
      <c r="T2196" s="3"/>
    </row>
    <row r="2197" spans="1:20">
      <c r="A2197" s="3">
        <v>1</v>
      </c>
      <c r="B2197" s="3">
        <v>2</v>
      </c>
      <c r="C2197" s="2">
        <v>25</v>
      </c>
      <c r="D2197" s="2">
        <v>5</v>
      </c>
      <c r="E2197" s="2">
        <v>16</v>
      </c>
      <c r="F2197" s="17">
        <v>128</v>
      </c>
      <c r="H2197" s="360">
        <v>1</v>
      </c>
      <c r="I2197" s="360">
        <v>-1.792445411199255E-2</v>
      </c>
      <c r="K2197" s="363"/>
      <c r="N2197" s="10"/>
      <c r="O2197" s="4"/>
      <c r="P2197" s="4"/>
      <c r="Q2197" s="3"/>
      <c r="R2197" s="3"/>
      <c r="S2197" s="3"/>
      <c r="T2197" s="3"/>
    </row>
    <row r="2198" spans="1:20">
      <c r="A2198" s="3">
        <v>1</v>
      </c>
      <c r="B2198" s="3">
        <v>2</v>
      </c>
      <c r="C2198" s="2">
        <v>25</v>
      </c>
      <c r="D2198" s="2">
        <v>30</v>
      </c>
      <c r="E2198" s="2">
        <v>16</v>
      </c>
      <c r="F2198" s="17">
        <v>128</v>
      </c>
      <c r="H2198" s="360">
        <v>1</v>
      </c>
      <c r="I2198" s="360">
        <v>-1.9318755210301183E-2</v>
      </c>
      <c r="K2198" s="363"/>
      <c r="N2198" s="10"/>
      <c r="O2198" s="4"/>
      <c r="P2198" s="4"/>
      <c r="Q2198" s="3"/>
      <c r="R2198" s="3"/>
      <c r="S2198" s="3"/>
      <c r="T2198" s="3"/>
    </row>
    <row r="2199" spans="1:20">
      <c r="A2199" s="3">
        <v>3</v>
      </c>
      <c r="B2199" s="3">
        <v>2</v>
      </c>
      <c r="C2199" s="2">
        <v>25</v>
      </c>
      <c r="D2199" s="2">
        <v>5</v>
      </c>
      <c r="E2199" s="2">
        <v>1</v>
      </c>
      <c r="F2199" s="17">
        <v>128</v>
      </c>
      <c r="H2199" s="360">
        <v>0.988544112013239</v>
      </c>
      <c r="I2199" s="360">
        <v>-0.14617179501008237</v>
      </c>
      <c r="K2199" s="363"/>
      <c r="N2199" s="10"/>
      <c r="O2199" s="4"/>
      <c r="P2199" s="4"/>
      <c r="Q2199" s="3"/>
      <c r="R2199" s="3"/>
      <c r="S2199" s="3"/>
      <c r="T2199" s="3"/>
    </row>
    <row r="2200" spans="1:20">
      <c r="A2200" s="3">
        <v>3</v>
      </c>
      <c r="B2200" s="3">
        <v>2</v>
      </c>
      <c r="C2200" s="2">
        <v>25</v>
      </c>
      <c r="D2200" s="2">
        <v>5</v>
      </c>
      <c r="E2200" s="2">
        <v>16</v>
      </c>
      <c r="F2200" s="17">
        <v>128</v>
      </c>
      <c r="H2200" s="360">
        <v>0.99722997651078249</v>
      </c>
      <c r="I2200" s="360">
        <v>-0.16780514214624706</v>
      </c>
      <c r="K2200" s="363"/>
      <c r="N2200" s="10"/>
      <c r="O2200" s="4"/>
      <c r="P2200" s="4"/>
      <c r="Q2200" s="3"/>
      <c r="R2200" s="3"/>
      <c r="S2200" s="3"/>
      <c r="T2200" s="3"/>
    </row>
    <row r="2201" spans="1:20">
      <c r="A2201" s="3">
        <v>3</v>
      </c>
      <c r="B2201" s="3">
        <v>1</v>
      </c>
      <c r="C2201" s="2">
        <v>25</v>
      </c>
      <c r="D2201" s="2">
        <v>5</v>
      </c>
      <c r="E2201" s="2">
        <v>1</v>
      </c>
      <c r="F2201" s="17">
        <v>128</v>
      </c>
      <c r="H2201" s="360">
        <v>0.98740329250858427</v>
      </c>
      <c r="I2201" s="360">
        <v>-0.18078654005468164</v>
      </c>
      <c r="K2201" s="363"/>
      <c r="N2201" s="10"/>
      <c r="O2201" s="4"/>
      <c r="P2201" s="4"/>
      <c r="Q2201" s="3"/>
      <c r="R2201" s="3"/>
      <c r="S2201" s="3"/>
      <c r="T2201" s="3"/>
    </row>
    <row r="2202" spans="1:20">
      <c r="A2202" s="3">
        <v>3</v>
      </c>
      <c r="B2202" s="3">
        <v>1</v>
      </c>
      <c r="C2202" s="2">
        <v>25</v>
      </c>
      <c r="D2202" s="2">
        <v>5</v>
      </c>
      <c r="E2202" s="2">
        <v>16</v>
      </c>
      <c r="F2202" s="17">
        <v>128</v>
      </c>
      <c r="H2202" s="360">
        <v>0.98335748517770172</v>
      </c>
      <c r="I2202" s="360">
        <v>-0.21827690998340829</v>
      </c>
      <c r="K2202" s="363"/>
      <c r="N2202" s="10"/>
      <c r="O2202" s="4"/>
      <c r="P2202" s="4"/>
      <c r="Q2202" s="3"/>
      <c r="R2202" s="3"/>
      <c r="S2202" s="3"/>
      <c r="T2202" s="3"/>
    </row>
    <row r="2203" spans="1:20">
      <c r="A2203" s="3">
        <v>5</v>
      </c>
      <c r="B2203" s="3">
        <v>2</v>
      </c>
      <c r="C2203" s="2">
        <v>25</v>
      </c>
      <c r="D2203" s="2">
        <v>5</v>
      </c>
      <c r="E2203" s="2">
        <v>16</v>
      </c>
      <c r="F2203" s="17">
        <v>128</v>
      </c>
      <c r="H2203" s="360">
        <v>1</v>
      </c>
      <c r="I2203" s="360">
        <v>-0.43086616587974219</v>
      </c>
      <c r="K2203" s="363"/>
      <c r="N2203" s="10"/>
      <c r="O2203" s="4"/>
      <c r="P2203" s="4"/>
      <c r="Q2203" s="3"/>
      <c r="R2203" s="3"/>
      <c r="S2203" s="3"/>
      <c r="T2203" s="3"/>
    </row>
    <row r="2204" spans="1:20">
      <c r="A2204" s="3">
        <v>5</v>
      </c>
      <c r="B2204" s="3">
        <v>2</v>
      </c>
      <c r="C2204" s="2">
        <v>50</v>
      </c>
      <c r="D2204" s="2">
        <v>5</v>
      </c>
      <c r="E2204" s="2">
        <v>16</v>
      </c>
      <c r="F2204" s="17">
        <v>128</v>
      </c>
      <c r="H2204" s="360">
        <v>1</v>
      </c>
      <c r="I2204" s="360">
        <v>-0.44865800636613307</v>
      </c>
      <c r="K2204" s="363"/>
      <c r="N2204" s="10"/>
      <c r="O2204" s="4"/>
      <c r="P2204" s="4"/>
      <c r="Q2204" s="3"/>
      <c r="R2204" s="3"/>
      <c r="S2204" s="3"/>
      <c r="T2204" s="3"/>
    </row>
    <row r="2205" spans="1:20">
      <c r="A2205" s="3">
        <v>2</v>
      </c>
      <c r="B2205" s="3">
        <v>1</v>
      </c>
      <c r="C2205" s="2">
        <v>25</v>
      </c>
      <c r="D2205" s="2">
        <v>5</v>
      </c>
      <c r="E2205" s="2">
        <v>1</v>
      </c>
      <c r="F2205" s="17">
        <v>128</v>
      </c>
      <c r="H2205" s="360">
        <v>0.81237828538983226</v>
      </c>
      <c r="I2205" s="360">
        <v>-0.61495850087381143</v>
      </c>
      <c r="K2205" s="363"/>
      <c r="N2205" s="10"/>
      <c r="O2205" s="4"/>
      <c r="P2205" s="4"/>
      <c r="Q2205" s="3"/>
      <c r="R2205" s="3"/>
      <c r="S2205" s="3"/>
      <c r="T2205" s="3"/>
    </row>
    <row r="2206" spans="1:20">
      <c r="A2206" s="3">
        <v>4</v>
      </c>
      <c r="B2206" s="3">
        <v>2</v>
      </c>
      <c r="C2206" s="2">
        <v>50</v>
      </c>
      <c r="D2206" s="2">
        <v>5</v>
      </c>
      <c r="E2206" s="2">
        <v>16</v>
      </c>
      <c r="F2206" s="17">
        <v>128</v>
      </c>
      <c r="H2206" s="360">
        <v>1</v>
      </c>
      <c r="I2206" s="360">
        <v>-0.62713224493221975</v>
      </c>
      <c r="K2206" s="363"/>
      <c r="N2206" s="10"/>
      <c r="O2206" s="4"/>
      <c r="P2206" s="4"/>
      <c r="Q2206" s="3"/>
      <c r="R2206" s="3"/>
      <c r="S2206" s="3"/>
      <c r="T2206" s="3"/>
    </row>
    <row r="2207" spans="1:20">
      <c r="A2207" s="3">
        <v>2</v>
      </c>
      <c r="B2207" s="3">
        <v>1</v>
      </c>
      <c r="C2207" s="2">
        <v>25</v>
      </c>
      <c r="D2207" s="2">
        <v>5</v>
      </c>
      <c r="E2207" s="2">
        <v>16</v>
      </c>
      <c r="F2207" s="17">
        <v>128</v>
      </c>
      <c r="H2207" s="360">
        <v>1</v>
      </c>
      <c r="I2207" s="360">
        <v>-0.62762987376898938</v>
      </c>
      <c r="K2207" s="363"/>
      <c r="N2207" s="10"/>
      <c r="O2207" s="4"/>
      <c r="P2207" s="4"/>
      <c r="Q2207" s="3"/>
      <c r="R2207" s="3"/>
      <c r="S2207" s="3"/>
      <c r="T2207" s="3"/>
    </row>
    <row r="2208" spans="1:20">
      <c r="A2208" s="3">
        <v>2</v>
      </c>
      <c r="B2208" s="3">
        <v>2</v>
      </c>
      <c r="C2208" s="2">
        <v>25</v>
      </c>
      <c r="D2208" s="2">
        <v>5</v>
      </c>
      <c r="E2208" s="2">
        <v>16</v>
      </c>
      <c r="F2208" s="17">
        <v>128</v>
      </c>
      <c r="H2208" s="360">
        <v>1</v>
      </c>
      <c r="I2208" s="360">
        <v>-0.65129990683377659</v>
      </c>
      <c r="K2208" s="363"/>
      <c r="N2208" s="10"/>
      <c r="O2208" s="4"/>
      <c r="P2208" s="4"/>
      <c r="Q2208" s="3"/>
      <c r="R2208" s="3"/>
      <c r="S2208" s="3"/>
      <c r="T2208" s="3"/>
    </row>
    <row r="2209" spans="1:20">
      <c r="A2209" s="3">
        <v>2</v>
      </c>
      <c r="B2209" s="3">
        <v>2</v>
      </c>
      <c r="C2209" s="2">
        <v>25</v>
      </c>
      <c r="D2209" s="2">
        <v>5</v>
      </c>
      <c r="E2209" s="2">
        <v>1</v>
      </c>
      <c r="F2209" s="17">
        <v>128</v>
      </c>
      <c r="H2209" s="360">
        <v>1</v>
      </c>
      <c r="I2209" s="360">
        <v>-0.68329713820003823</v>
      </c>
      <c r="K2209" s="363"/>
      <c r="N2209" s="10"/>
      <c r="O2209" s="4"/>
      <c r="P2209" s="4"/>
      <c r="Q2209" s="3"/>
      <c r="R2209" s="3"/>
      <c r="S2209" s="3"/>
      <c r="T2209" s="3"/>
    </row>
    <row r="2210" spans="1:20">
      <c r="A2210" s="3">
        <v>1</v>
      </c>
      <c r="B2210" s="3">
        <v>2</v>
      </c>
      <c r="C2210" s="2">
        <v>25</v>
      </c>
      <c r="D2210" s="2">
        <v>5</v>
      </c>
      <c r="E2210" s="2">
        <v>1</v>
      </c>
      <c r="F2210" s="17">
        <v>129</v>
      </c>
      <c r="H2210" s="360">
        <v>0</v>
      </c>
      <c r="I2210" s="360">
        <v>0</v>
      </c>
      <c r="K2210" s="363"/>
      <c r="N2210" s="10"/>
      <c r="O2210" s="4"/>
      <c r="P2210" s="4"/>
      <c r="Q2210" s="3"/>
      <c r="R2210" s="3"/>
      <c r="S2210" s="3"/>
      <c r="T2210" s="3"/>
    </row>
    <row r="2211" spans="1:20">
      <c r="A2211" s="3">
        <v>5</v>
      </c>
      <c r="B2211" s="3">
        <v>2</v>
      </c>
      <c r="C2211" s="2">
        <v>25</v>
      </c>
      <c r="D2211" s="2">
        <v>5</v>
      </c>
      <c r="E2211" s="2">
        <v>16</v>
      </c>
      <c r="F2211" s="17">
        <v>129</v>
      </c>
      <c r="H2211" s="360">
        <v>0.41724861910906119</v>
      </c>
      <c r="I2211" s="360">
        <v>-3.4613402182903409E-2</v>
      </c>
      <c r="K2211" s="363"/>
      <c r="N2211" s="10"/>
      <c r="O2211" s="4"/>
      <c r="P2211" s="4"/>
      <c r="Q2211" s="3"/>
      <c r="R2211" s="3"/>
      <c r="S2211" s="3"/>
      <c r="T2211" s="3"/>
    </row>
    <row r="2212" spans="1:20">
      <c r="A2212" s="3">
        <v>4</v>
      </c>
      <c r="B2212" s="3">
        <v>2</v>
      </c>
      <c r="C2212" s="2">
        <v>50</v>
      </c>
      <c r="D2212" s="2">
        <v>5</v>
      </c>
      <c r="E2212" s="2">
        <v>16</v>
      </c>
      <c r="F2212" s="17">
        <v>129</v>
      </c>
      <c r="H2212" s="360">
        <v>0.41733313802700822</v>
      </c>
      <c r="I2212" s="360">
        <v>-4.6659232192853416E-2</v>
      </c>
      <c r="K2212" s="363"/>
      <c r="N2212" s="10"/>
      <c r="O2212" s="4"/>
      <c r="P2212" s="4"/>
      <c r="Q2212" s="3"/>
      <c r="R2212" s="3"/>
      <c r="S2212" s="3"/>
      <c r="T2212" s="3"/>
    </row>
    <row r="2213" spans="1:20">
      <c r="A2213" s="3">
        <v>5</v>
      </c>
      <c r="B2213" s="3">
        <v>2</v>
      </c>
      <c r="C2213" s="2">
        <v>50</v>
      </c>
      <c r="D2213" s="2">
        <v>5</v>
      </c>
      <c r="E2213" s="2">
        <v>16</v>
      </c>
      <c r="F2213" s="17">
        <v>129</v>
      </c>
      <c r="H2213" s="360">
        <v>1</v>
      </c>
      <c r="I2213" s="360">
        <v>-7.3638868286184656E-2</v>
      </c>
      <c r="K2213" s="363"/>
      <c r="N2213" s="10"/>
      <c r="O2213" s="4"/>
      <c r="P2213" s="4"/>
      <c r="Q2213" s="3"/>
      <c r="R2213" s="3"/>
      <c r="S2213" s="3"/>
      <c r="T2213" s="3"/>
    </row>
    <row r="2214" spans="1:20">
      <c r="A2214" s="3">
        <v>1</v>
      </c>
      <c r="B2214" s="3">
        <v>2</v>
      </c>
      <c r="C2214" s="2">
        <v>25</v>
      </c>
      <c r="D2214" s="2">
        <v>5</v>
      </c>
      <c r="E2214" s="2">
        <v>16</v>
      </c>
      <c r="F2214" s="17">
        <v>129</v>
      </c>
      <c r="H2214" s="360">
        <v>0.90809577342023307</v>
      </c>
      <c r="I2214" s="360">
        <v>-0.27932645799620454</v>
      </c>
      <c r="K2214" s="363"/>
      <c r="N2214" s="10"/>
      <c r="O2214" s="4"/>
      <c r="P2214" s="4"/>
      <c r="Q2214" s="3"/>
      <c r="R2214" s="3"/>
      <c r="S2214" s="3"/>
      <c r="T2214" s="3"/>
    </row>
    <row r="2215" spans="1:20">
      <c r="A2215" s="3">
        <v>3</v>
      </c>
      <c r="B2215" s="3">
        <v>2</v>
      </c>
      <c r="C2215" s="2">
        <v>25</v>
      </c>
      <c r="D2215" s="2">
        <v>5</v>
      </c>
      <c r="E2215" s="2">
        <v>16</v>
      </c>
      <c r="F2215" s="17">
        <v>129</v>
      </c>
      <c r="H2215" s="360">
        <v>1</v>
      </c>
      <c r="I2215" s="360">
        <v>-0.28678373409370839</v>
      </c>
      <c r="K2215" s="363"/>
      <c r="N2215" s="10"/>
      <c r="O2215" s="4"/>
      <c r="P2215" s="4"/>
      <c r="Q2215" s="3"/>
      <c r="R2215" s="3"/>
      <c r="S2215" s="3"/>
      <c r="T2215" s="3"/>
    </row>
    <row r="2216" spans="1:20">
      <c r="A2216" s="3">
        <v>3</v>
      </c>
      <c r="B2216" s="3">
        <v>2</v>
      </c>
      <c r="C2216" s="2">
        <v>25</v>
      </c>
      <c r="D2216" s="2">
        <v>5</v>
      </c>
      <c r="E2216" s="2">
        <v>1</v>
      </c>
      <c r="F2216" s="17">
        <v>129</v>
      </c>
      <c r="H2216" s="360">
        <v>1</v>
      </c>
      <c r="I2216" s="360">
        <v>-0.29004747204088688</v>
      </c>
      <c r="K2216" s="363"/>
      <c r="N2216" s="10"/>
      <c r="O2216" s="4"/>
      <c r="P2216" s="4"/>
      <c r="Q2216" s="3"/>
      <c r="R2216" s="3"/>
      <c r="S2216" s="3"/>
      <c r="T2216" s="3"/>
    </row>
    <row r="2217" spans="1:20">
      <c r="A2217" s="3">
        <v>1</v>
      </c>
      <c r="B2217" s="3">
        <v>1</v>
      </c>
      <c r="C2217" s="2">
        <v>25</v>
      </c>
      <c r="D2217" s="2">
        <v>5</v>
      </c>
      <c r="E2217" s="2">
        <v>1</v>
      </c>
      <c r="F2217" s="17">
        <v>129</v>
      </c>
      <c r="H2217" s="360">
        <v>1</v>
      </c>
      <c r="I2217" s="360">
        <v>-0.29037354775913671</v>
      </c>
      <c r="K2217" s="363"/>
      <c r="N2217" s="10"/>
      <c r="O2217" s="4"/>
      <c r="P2217" s="4"/>
      <c r="Q2217" s="3"/>
      <c r="R2217" s="3"/>
      <c r="S2217" s="3"/>
      <c r="T2217" s="3"/>
    </row>
    <row r="2218" spans="1:20">
      <c r="A2218" s="3">
        <v>1</v>
      </c>
      <c r="B2218" s="3">
        <v>1</v>
      </c>
      <c r="C2218" s="2">
        <v>25</v>
      </c>
      <c r="D2218" s="2">
        <v>5</v>
      </c>
      <c r="E2218" s="2">
        <v>16</v>
      </c>
      <c r="F2218" s="17">
        <v>129</v>
      </c>
      <c r="H2218" s="360">
        <v>1</v>
      </c>
      <c r="I2218" s="360">
        <v>-0.29346986116502988</v>
      </c>
      <c r="K2218" s="363"/>
      <c r="N2218" s="10"/>
      <c r="O2218" s="4"/>
      <c r="P2218" s="4"/>
      <c r="Q2218" s="3"/>
      <c r="R2218" s="3"/>
      <c r="S2218" s="3"/>
      <c r="T2218" s="3"/>
    </row>
    <row r="2219" spans="1:20">
      <c r="A2219" s="3">
        <v>1</v>
      </c>
      <c r="B2219" s="3">
        <v>1</v>
      </c>
      <c r="C2219" s="2">
        <v>25</v>
      </c>
      <c r="D2219" s="2">
        <v>30</v>
      </c>
      <c r="E2219" s="2">
        <v>16</v>
      </c>
      <c r="F2219" s="17">
        <v>129</v>
      </c>
      <c r="H2219" s="360">
        <v>1</v>
      </c>
      <c r="I2219" s="360">
        <v>-0.30163858345249961</v>
      </c>
      <c r="K2219" s="363"/>
      <c r="N2219" s="10"/>
      <c r="O2219" s="4"/>
      <c r="P2219" s="4"/>
      <c r="Q2219" s="3"/>
      <c r="R2219" s="3"/>
      <c r="S2219" s="3"/>
      <c r="T2219" s="3"/>
    </row>
    <row r="2220" spans="1:20">
      <c r="A2220" s="3">
        <v>1</v>
      </c>
      <c r="B2220" s="3">
        <v>2</v>
      </c>
      <c r="C2220" s="2">
        <v>25</v>
      </c>
      <c r="D2220" s="2">
        <v>5</v>
      </c>
      <c r="E2220" s="2">
        <v>16</v>
      </c>
      <c r="F2220" s="17">
        <v>129</v>
      </c>
      <c r="H2220" s="360">
        <v>1</v>
      </c>
      <c r="I2220" s="360">
        <v>-0.35270085569174142</v>
      </c>
      <c r="K2220" s="363"/>
      <c r="N2220" s="10"/>
      <c r="O2220" s="4"/>
      <c r="P2220" s="4"/>
      <c r="Q2220" s="3"/>
      <c r="R2220" s="3"/>
      <c r="S2220" s="3"/>
      <c r="T2220" s="3"/>
    </row>
    <row r="2221" spans="1:20">
      <c r="A2221" s="3">
        <v>3</v>
      </c>
      <c r="B2221" s="3">
        <v>1</v>
      </c>
      <c r="C2221" s="2">
        <v>25</v>
      </c>
      <c r="D2221" s="2">
        <v>5</v>
      </c>
      <c r="E2221" s="2">
        <v>1</v>
      </c>
      <c r="F2221" s="17">
        <v>129</v>
      </c>
      <c r="H2221" s="360">
        <v>0.67832804704116834</v>
      </c>
      <c r="I2221" s="360">
        <v>-0.3569128823703927</v>
      </c>
      <c r="K2221" s="363"/>
      <c r="N2221" s="10"/>
      <c r="O2221" s="4"/>
      <c r="P2221" s="4"/>
      <c r="Q2221" s="3"/>
      <c r="R2221" s="3"/>
      <c r="S2221" s="3"/>
      <c r="T2221" s="3"/>
    </row>
    <row r="2222" spans="1:20">
      <c r="A2222" s="3">
        <v>1</v>
      </c>
      <c r="B2222" s="3">
        <v>2</v>
      </c>
      <c r="C2222" s="2">
        <v>25</v>
      </c>
      <c r="D2222" s="2">
        <v>30</v>
      </c>
      <c r="E2222" s="2">
        <v>16</v>
      </c>
      <c r="F2222" s="17">
        <v>129</v>
      </c>
      <c r="H2222" s="360">
        <v>1</v>
      </c>
      <c r="I2222" s="360">
        <v>-0.35887074111285888</v>
      </c>
      <c r="K2222" s="363"/>
      <c r="N2222" s="10"/>
      <c r="O2222" s="4"/>
      <c r="P2222" s="4"/>
      <c r="Q2222" s="3"/>
      <c r="R2222" s="3"/>
      <c r="S2222" s="3"/>
      <c r="T2222" s="3"/>
    </row>
    <row r="2223" spans="1:20">
      <c r="A2223" s="3">
        <v>3</v>
      </c>
      <c r="B2223" s="3">
        <v>1</v>
      </c>
      <c r="C2223" s="2">
        <v>25</v>
      </c>
      <c r="D2223" s="2">
        <v>5</v>
      </c>
      <c r="E2223" s="2">
        <v>16</v>
      </c>
      <c r="F2223" s="17">
        <v>129</v>
      </c>
      <c r="H2223" s="360">
        <v>0.99280680331582372</v>
      </c>
      <c r="I2223" s="360">
        <v>-0.36837017091628649</v>
      </c>
      <c r="K2223" s="363"/>
      <c r="N2223" s="10"/>
      <c r="O2223" s="4"/>
      <c r="P2223" s="4"/>
      <c r="Q2223" s="3"/>
      <c r="R2223" s="3"/>
      <c r="S2223" s="3"/>
      <c r="T2223" s="3"/>
    </row>
    <row r="2224" spans="1:20">
      <c r="A2224" s="3">
        <v>2</v>
      </c>
      <c r="B2224" s="3">
        <v>1</v>
      </c>
      <c r="C2224" s="2">
        <v>25</v>
      </c>
      <c r="D2224" s="2">
        <v>5</v>
      </c>
      <c r="E2224" s="2">
        <v>1</v>
      </c>
      <c r="F2224" s="17">
        <v>129</v>
      </c>
      <c r="H2224" s="360">
        <v>1</v>
      </c>
      <c r="I2224" s="360">
        <v>-0.46472962859497913</v>
      </c>
      <c r="K2224" s="363"/>
      <c r="N2224" s="10"/>
      <c r="O2224" s="4"/>
      <c r="P2224" s="4"/>
      <c r="Q2224" s="3"/>
      <c r="R2224" s="3"/>
      <c r="S2224" s="3"/>
      <c r="T2224" s="3"/>
    </row>
    <row r="2225" spans="1:20">
      <c r="A2225" s="3">
        <v>2</v>
      </c>
      <c r="B2225" s="3">
        <v>1</v>
      </c>
      <c r="C2225" s="2">
        <v>25</v>
      </c>
      <c r="D2225" s="2">
        <v>5</v>
      </c>
      <c r="E2225" s="2">
        <v>16</v>
      </c>
      <c r="F2225" s="17">
        <v>129</v>
      </c>
      <c r="H2225" s="360">
        <v>1</v>
      </c>
      <c r="I2225" s="360">
        <v>-0.47323194450253642</v>
      </c>
      <c r="K2225" s="363"/>
      <c r="N2225" s="10"/>
      <c r="O2225" s="4"/>
      <c r="P2225" s="4"/>
      <c r="Q2225" s="3"/>
      <c r="R2225" s="3"/>
      <c r="S2225" s="3"/>
      <c r="T2225" s="3"/>
    </row>
    <row r="2226" spans="1:20">
      <c r="A2226" s="3">
        <v>2</v>
      </c>
      <c r="B2226" s="3">
        <v>2</v>
      </c>
      <c r="C2226" s="2">
        <v>25</v>
      </c>
      <c r="D2226" s="2">
        <v>5</v>
      </c>
      <c r="E2226" s="2">
        <v>16</v>
      </c>
      <c r="F2226" s="17">
        <v>129</v>
      </c>
      <c r="H2226" s="360">
        <v>0.99801542429130796</v>
      </c>
      <c r="I2226" s="360">
        <v>-0.55856946398414187</v>
      </c>
      <c r="K2226" s="363"/>
      <c r="N2226" s="10"/>
      <c r="O2226" s="4"/>
      <c r="P2226" s="4"/>
      <c r="Q2226" s="3"/>
      <c r="R2226" s="3"/>
      <c r="S2226" s="3"/>
      <c r="T2226" s="3"/>
    </row>
    <row r="2227" spans="1:20">
      <c r="A2227" s="3">
        <v>2</v>
      </c>
      <c r="B2227" s="3">
        <v>2</v>
      </c>
      <c r="C2227" s="2">
        <v>25</v>
      </c>
      <c r="D2227" s="2">
        <v>5</v>
      </c>
      <c r="E2227" s="2">
        <v>1</v>
      </c>
      <c r="F2227" s="17">
        <v>129</v>
      </c>
      <c r="H2227" s="360">
        <v>1</v>
      </c>
      <c r="I2227" s="360">
        <v>-0.57326451318503335</v>
      </c>
      <c r="K2227" s="363"/>
      <c r="N2227" s="10"/>
      <c r="O2227" s="4"/>
      <c r="P2227" s="4"/>
      <c r="Q2227" s="3"/>
      <c r="R2227" s="3"/>
      <c r="S2227" s="3"/>
      <c r="T2227" s="3"/>
    </row>
    <row r="2228" spans="1:20">
      <c r="A2228" s="3">
        <v>1</v>
      </c>
      <c r="B2228" s="3">
        <v>1</v>
      </c>
      <c r="C2228" s="2">
        <v>25</v>
      </c>
      <c r="D2228" s="2">
        <v>5</v>
      </c>
      <c r="E2228" s="2">
        <v>16</v>
      </c>
      <c r="F2228" s="17">
        <v>130</v>
      </c>
      <c r="H2228" s="360">
        <v>1</v>
      </c>
      <c r="I2228" s="360">
        <v>0.91801051588592097</v>
      </c>
      <c r="K2228" s="363"/>
      <c r="N2228" s="10"/>
      <c r="O2228" s="4"/>
      <c r="P2228" s="4"/>
      <c r="Q2228" s="3"/>
      <c r="R2228" s="3"/>
      <c r="S2228" s="3"/>
      <c r="T2228" s="3"/>
    </row>
    <row r="2229" spans="1:20">
      <c r="A2229" s="3">
        <v>1</v>
      </c>
      <c r="B2229" s="3">
        <v>1</v>
      </c>
      <c r="C2229" s="2">
        <v>25</v>
      </c>
      <c r="D2229" s="2">
        <v>5</v>
      </c>
      <c r="E2229" s="2">
        <v>1</v>
      </c>
      <c r="F2229" s="17">
        <v>130</v>
      </c>
      <c r="H2229" s="360">
        <v>1</v>
      </c>
      <c r="I2229" s="360">
        <v>0.91267063729178677</v>
      </c>
      <c r="K2229" s="363"/>
      <c r="N2229" s="10"/>
      <c r="O2229" s="4"/>
      <c r="P2229" s="4"/>
      <c r="Q2229" s="3"/>
      <c r="R2229" s="3"/>
      <c r="S2229" s="3"/>
      <c r="T2229" s="3"/>
    </row>
    <row r="2230" spans="1:20">
      <c r="A2230" s="3">
        <v>1</v>
      </c>
      <c r="B2230" s="3">
        <v>1</v>
      </c>
      <c r="C2230" s="2">
        <v>25</v>
      </c>
      <c r="D2230" s="2">
        <v>30</v>
      </c>
      <c r="E2230" s="2">
        <v>16</v>
      </c>
      <c r="F2230" s="17">
        <v>130</v>
      </c>
      <c r="H2230" s="360">
        <v>1</v>
      </c>
      <c r="I2230" s="360">
        <v>0.88873608915523961</v>
      </c>
      <c r="K2230" s="363"/>
      <c r="N2230" s="10"/>
      <c r="O2230" s="4"/>
      <c r="P2230" s="4"/>
      <c r="Q2230" s="3"/>
      <c r="R2230" s="3"/>
      <c r="S2230" s="3"/>
      <c r="T2230" s="3"/>
    </row>
    <row r="2231" spans="1:20">
      <c r="A2231" s="3">
        <v>1</v>
      </c>
      <c r="B2231" s="3">
        <v>2</v>
      </c>
      <c r="C2231" s="2">
        <v>25</v>
      </c>
      <c r="D2231" s="2">
        <v>5</v>
      </c>
      <c r="E2231" s="2">
        <v>16</v>
      </c>
      <c r="F2231" s="17">
        <v>130</v>
      </c>
      <c r="H2231" s="360">
        <v>1</v>
      </c>
      <c r="I2231" s="360">
        <v>0.88207332400195892</v>
      </c>
      <c r="K2231" s="363"/>
      <c r="N2231" s="10"/>
      <c r="O2231" s="4"/>
      <c r="P2231" s="4"/>
      <c r="Q2231" s="3"/>
      <c r="R2231" s="3"/>
      <c r="S2231" s="3"/>
      <c r="T2231" s="3"/>
    </row>
    <row r="2232" spans="1:20">
      <c r="A2232" s="3">
        <v>1</v>
      </c>
      <c r="B2232" s="3">
        <v>2</v>
      </c>
      <c r="C2232" s="2">
        <v>25</v>
      </c>
      <c r="D2232" s="2">
        <v>5</v>
      </c>
      <c r="E2232" s="2">
        <v>16</v>
      </c>
      <c r="F2232" s="17">
        <v>130</v>
      </c>
      <c r="H2232" s="360">
        <v>1</v>
      </c>
      <c r="I2232" s="360">
        <v>0.88174908910896721</v>
      </c>
      <c r="K2232" s="363"/>
      <c r="N2232" s="10"/>
      <c r="O2232" s="4"/>
      <c r="P2232" s="4"/>
      <c r="Q2232" s="3"/>
      <c r="R2232" s="3"/>
      <c r="S2232" s="3"/>
      <c r="T2232" s="3"/>
    </row>
    <row r="2233" spans="1:20">
      <c r="A2233" s="3">
        <v>2</v>
      </c>
      <c r="B2233" s="3">
        <v>2</v>
      </c>
      <c r="C2233" s="2">
        <v>25</v>
      </c>
      <c r="D2233" s="2">
        <v>5</v>
      </c>
      <c r="E2233" s="2">
        <v>16</v>
      </c>
      <c r="F2233" s="17">
        <v>130</v>
      </c>
      <c r="H2233" s="360">
        <v>1</v>
      </c>
      <c r="I2233" s="360">
        <v>0.87783930698285062</v>
      </c>
      <c r="K2233" s="363"/>
      <c r="N2233" s="10"/>
      <c r="O2233" s="4"/>
      <c r="P2233" s="4"/>
      <c r="Q2233" s="3"/>
      <c r="R2233" s="3"/>
      <c r="S2233" s="3"/>
      <c r="T2233" s="3"/>
    </row>
    <row r="2234" spans="1:20">
      <c r="A2234" s="3">
        <v>1</v>
      </c>
      <c r="B2234" s="3">
        <v>2</v>
      </c>
      <c r="C2234" s="2">
        <v>25</v>
      </c>
      <c r="D2234" s="2">
        <v>5</v>
      </c>
      <c r="E2234" s="2">
        <v>1</v>
      </c>
      <c r="F2234" s="17">
        <v>130</v>
      </c>
      <c r="H2234" s="360">
        <v>1</v>
      </c>
      <c r="I2234" s="360">
        <v>0.87709389667504478</v>
      </c>
      <c r="K2234" s="363"/>
      <c r="N2234" s="10"/>
      <c r="O2234" s="4"/>
      <c r="P2234" s="4"/>
      <c r="Q2234" s="3"/>
      <c r="R2234" s="3"/>
      <c r="S2234" s="3"/>
      <c r="T2234" s="3"/>
    </row>
    <row r="2235" spans="1:20">
      <c r="A2235" s="3">
        <v>2</v>
      </c>
      <c r="B2235" s="3">
        <v>2</v>
      </c>
      <c r="C2235" s="2">
        <v>25</v>
      </c>
      <c r="D2235" s="2">
        <v>5</v>
      </c>
      <c r="E2235" s="2">
        <v>1</v>
      </c>
      <c r="F2235" s="17">
        <v>130</v>
      </c>
      <c r="H2235" s="360">
        <v>1</v>
      </c>
      <c r="I2235" s="360">
        <v>0.86793467974797178</v>
      </c>
      <c r="K2235" s="363"/>
      <c r="N2235" s="10"/>
      <c r="O2235" s="4"/>
      <c r="P2235" s="4"/>
      <c r="Q2235" s="3"/>
      <c r="R2235" s="3"/>
      <c r="S2235" s="3"/>
      <c r="T2235" s="3"/>
    </row>
    <row r="2236" spans="1:20">
      <c r="A2236" s="3">
        <v>2</v>
      </c>
      <c r="B2236" s="3">
        <v>1</v>
      </c>
      <c r="C2236" s="2">
        <v>25</v>
      </c>
      <c r="D2236" s="2">
        <v>5</v>
      </c>
      <c r="E2236" s="2">
        <v>1</v>
      </c>
      <c r="F2236" s="17">
        <v>130</v>
      </c>
      <c r="H2236" s="360">
        <v>1</v>
      </c>
      <c r="I2236" s="360">
        <v>0.82291054511315809</v>
      </c>
      <c r="K2236" s="363"/>
      <c r="N2236" s="10"/>
      <c r="O2236" s="4"/>
      <c r="P2236" s="4"/>
      <c r="Q2236" s="3"/>
      <c r="R2236" s="3"/>
      <c r="S2236" s="3"/>
      <c r="T2236" s="3"/>
    </row>
    <row r="2237" spans="1:20">
      <c r="A2237" s="3">
        <v>2</v>
      </c>
      <c r="B2237" s="3">
        <v>1</v>
      </c>
      <c r="C2237" s="2">
        <v>25</v>
      </c>
      <c r="D2237" s="2">
        <v>5</v>
      </c>
      <c r="E2237" s="2">
        <v>16</v>
      </c>
      <c r="F2237" s="17">
        <v>130</v>
      </c>
      <c r="H2237" s="360">
        <v>1</v>
      </c>
      <c r="I2237" s="360">
        <v>0.82270668306432515</v>
      </c>
      <c r="K2237" s="363"/>
      <c r="N2237" s="10"/>
      <c r="O2237" s="4"/>
      <c r="P2237" s="4"/>
      <c r="Q2237" s="3"/>
      <c r="R2237" s="3"/>
      <c r="S2237" s="3"/>
      <c r="T2237" s="3"/>
    </row>
    <row r="2238" spans="1:20">
      <c r="A2238" s="3">
        <v>1</v>
      </c>
      <c r="B2238" s="3">
        <v>2</v>
      </c>
      <c r="C2238" s="2">
        <v>25</v>
      </c>
      <c r="D2238" s="2">
        <v>30</v>
      </c>
      <c r="E2238" s="2">
        <v>16</v>
      </c>
      <c r="F2238" s="17">
        <v>130</v>
      </c>
      <c r="H2238" s="360">
        <v>1</v>
      </c>
      <c r="I2238" s="360">
        <v>0.80473677978313374</v>
      </c>
      <c r="K2238" s="363"/>
      <c r="N2238" s="10"/>
      <c r="O2238" s="4"/>
      <c r="P2238" s="4"/>
      <c r="Q2238" s="3"/>
      <c r="R2238" s="3"/>
      <c r="S2238" s="3"/>
      <c r="T2238" s="3"/>
    </row>
    <row r="2239" spans="1:20">
      <c r="A2239" s="3">
        <v>3</v>
      </c>
      <c r="B2239" s="3">
        <v>2</v>
      </c>
      <c r="C2239" s="2">
        <v>25</v>
      </c>
      <c r="D2239" s="2">
        <v>5</v>
      </c>
      <c r="E2239" s="2">
        <v>16</v>
      </c>
      <c r="F2239" s="17">
        <v>130</v>
      </c>
      <c r="H2239" s="360">
        <v>1</v>
      </c>
      <c r="I2239" s="360">
        <v>0.77884714017487811</v>
      </c>
      <c r="K2239" s="363"/>
      <c r="N2239" s="10"/>
      <c r="O2239" s="4"/>
      <c r="P2239" s="4"/>
      <c r="Q2239" s="3"/>
      <c r="R2239" s="3"/>
      <c r="S2239" s="3"/>
      <c r="T2239" s="3"/>
    </row>
    <row r="2240" spans="1:20">
      <c r="A2240" s="3">
        <v>3</v>
      </c>
      <c r="B2240" s="3">
        <v>2</v>
      </c>
      <c r="C2240" s="2">
        <v>25</v>
      </c>
      <c r="D2240" s="2">
        <v>5</v>
      </c>
      <c r="E2240" s="2">
        <v>1</v>
      </c>
      <c r="F2240" s="17">
        <v>130</v>
      </c>
      <c r="H2240" s="360">
        <v>1</v>
      </c>
      <c r="I2240" s="360">
        <v>0.76419256843128969</v>
      </c>
      <c r="K2240" s="363"/>
      <c r="N2240" s="10"/>
      <c r="O2240" s="4"/>
      <c r="P2240" s="4"/>
      <c r="Q2240" s="3"/>
      <c r="R2240" s="3"/>
      <c r="S2240" s="3"/>
      <c r="T2240" s="3"/>
    </row>
    <row r="2241" spans="1:20">
      <c r="A2241" s="3">
        <v>3</v>
      </c>
      <c r="B2241" s="3">
        <v>1</v>
      </c>
      <c r="C2241" s="2">
        <v>25</v>
      </c>
      <c r="D2241" s="2">
        <v>5</v>
      </c>
      <c r="E2241" s="2">
        <v>1</v>
      </c>
      <c r="F2241" s="17">
        <v>130</v>
      </c>
      <c r="H2241" s="360">
        <v>0.94881076206261017</v>
      </c>
      <c r="I2241" s="360">
        <v>0.74788789873554939</v>
      </c>
      <c r="K2241" s="363"/>
      <c r="N2241" s="10"/>
      <c r="O2241" s="4"/>
      <c r="P2241" s="4"/>
      <c r="Q2241" s="3"/>
      <c r="R2241" s="3"/>
      <c r="S2241" s="3"/>
      <c r="T2241" s="3"/>
    </row>
    <row r="2242" spans="1:20">
      <c r="A2242" s="3">
        <v>3</v>
      </c>
      <c r="B2242" s="3">
        <v>1</v>
      </c>
      <c r="C2242" s="2">
        <v>25</v>
      </c>
      <c r="D2242" s="2">
        <v>5</v>
      </c>
      <c r="E2242" s="2">
        <v>16</v>
      </c>
      <c r="F2242" s="17">
        <v>130</v>
      </c>
      <c r="H2242" s="360">
        <v>0.94545366925966379</v>
      </c>
      <c r="I2242" s="360">
        <v>0.7296353182908355</v>
      </c>
      <c r="K2242" s="363"/>
      <c r="N2242" s="10"/>
      <c r="O2242" s="4"/>
      <c r="P2242" s="4"/>
      <c r="Q2242" s="3"/>
      <c r="R2242" s="3"/>
      <c r="S2242" s="3"/>
      <c r="T2242" s="3"/>
    </row>
    <row r="2243" spans="1:20">
      <c r="A2243" s="3">
        <v>5</v>
      </c>
      <c r="B2243" s="3">
        <v>2</v>
      </c>
      <c r="C2243" s="2">
        <v>25</v>
      </c>
      <c r="D2243" s="2">
        <v>5</v>
      </c>
      <c r="E2243" s="2">
        <v>16</v>
      </c>
      <c r="F2243" s="17">
        <v>130</v>
      </c>
      <c r="H2243" s="360">
        <v>0.12475847600390133</v>
      </c>
      <c r="I2243" s="360">
        <v>0.23757892893192184</v>
      </c>
      <c r="K2243" s="363"/>
      <c r="N2243" s="10"/>
      <c r="O2243" s="4"/>
      <c r="P2243" s="4"/>
      <c r="Q2243" s="3"/>
      <c r="R2243" s="3"/>
      <c r="S2243" s="3"/>
      <c r="T2243" s="3"/>
    </row>
    <row r="2244" spans="1:20">
      <c r="A2244" s="3">
        <v>5</v>
      </c>
      <c r="B2244" s="3">
        <v>2</v>
      </c>
      <c r="C2244" s="2">
        <v>50</v>
      </c>
      <c r="D2244" s="2">
        <v>5</v>
      </c>
      <c r="E2244" s="2">
        <v>16</v>
      </c>
      <c r="F2244" s="17">
        <v>130</v>
      </c>
      <c r="H2244" s="360">
        <v>0.8282918925997822</v>
      </c>
      <c r="I2244" s="360">
        <v>0.10461494490744726</v>
      </c>
      <c r="K2244" s="363"/>
      <c r="N2244" s="10"/>
      <c r="O2244" s="4"/>
      <c r="P2244" s="4"/>
      <c r="Q2244" s="3"/>
      <c r="R2244" s="3"/>
      <c r="S2244" s="3"/>
      <c r="T2244" s="3"/>
    </row>
    <row r="2245" spans="1:20">
      <c r="A2245" s="3">
        <v>4</v>
      </c>
      <c r="B2245" s="3">
        <v>2</v>
      </c>
      <c r="C2245" s="2">
        <v>50</v>
      </c>
      <c r="D2245" s="2">
        <v>5</v>
      </c>
      <c r="E2245" s="2">
        <v>16</v>
      </c>
      <c r="F2245" s="17">
        <v>130</v>
      </c>
      <c r="H2245" s="360">
        <v>0.86579027598240832</v>
      </c>
      <c r="I2245" s="360">
        <v>0.10414229892825272</v>
      </c>
      <c r="K2245" s="363"/>
      <c r="N2245" s="10"/>
      <c r="O2245" s="4"/>
      <c r="P2245" s="4"/>
      <c r="Q2245" s="3"/>
      <c r="R2245" s="3"/>
      <c r="S2245" s="3"/>
      <c r="T2245" s="3"/>
    </row>
    <row r="2246" spans="1:20">
      <c r="A2246" s="3">
        <v>2</v>
      </c>
      <c r="B2246" s="3">
        <v>2</v>
      </c>
      <c r="C2246" s="2">
        <v>25</v>
      </c>
      <c r="D2246" s="2">
        <v>5</v>
      </c>
      <c r="E2246" s="2">
        <v>1</v>
      </c>
      <c r="F2246" s="17">
        <v>131</v>
      </c>
      <c r="H2246" s="360">
        <v>1.8883725628552339E-2</v>
      </c>
      <c r="I2246" s="360">
        <v>1</v>
      </c>
      <c r="K2246" s="363"/>
      <c r="N2246" s="10"/>
      <c r="O2246" s="4"/>
      <c r="P2246" s="4"/>
      <c r="Q2246" s="3"/>
      <c r="R2246" s="3"/>
      <c r="S2246" s="3"/>
      <c r="T2246" s="3"/>
    </row>
    <row r="2247" spans="1:20">
      <c r="A2247" s="3">
        <v>1</v>
      </c>
      <c r="B2247" s="3">
        <v>1</v>
      </c>
      <c r="C2247" s="2">
        <v>25</v>
      </c>
      <c r="D2247" s="2">
        <v>5</v>
      </c>
      <c r="E2247" s="2">
        <v>1</v>
      </c>
      <c r="F2247" s="17">
        <v>131</v>
      </c>
      <c r="H2247" s="360">
        <v>1.5207921436277139E-2</v>
      </c>
      <c r="I2247" s="360">
        <v>1</v>
      </c>
      <c r="K2247" s="363"/>
      <c r="N2247" s="10"/>
      <c r="O2247" s="4"/>
      <c r="P2247" s="4"/>
      <c r="Q2247" s="3"/>
      <c r="R2247" s="3"/>
      <c r="S2247" s="3"/>
      <c r="T2247" s="3"/>
    </row>
    <row r="2248" spans="1:20">
      <c r="A2248" s="3">
        <v>1</v>
      </c>
      <c r="B2248" s="3">
        <v>2</v>
      </c>
      <c r="C2248" s="2">
        <v>25</v>
      </c>
      <c r="D2248" s="2">
        <v>5</v>
      </c>
      <c r="E2248" s="2">
        <v>1</v>
      </c>
      <c r="F2248" s="17">
        <v>131</v>
      </c>
      <c r="H2248" s="360">
        <v>6.2641833389966428E-2</v>
      </c>
      <c r="I2248" s="360">
        <v>0.68496436403508776</v>
      </c>
      <c r="K2248" s="363"/>
      <c r="N2248" s="10"/>
      <c r="O2248" s="4"/>
      <c r="P2248" s="4"/>
      <c r="Q2248" s="3"/>
      <c r="R2248" s="3"/>
      <c r="S2248" s="3"/>
      <c r="T2248" s="3"/>
    </row>
    <row r="2249" spans="1:20">
      <c r="A2249" s="3">
        <v>1</v>
      </c>
      <c r="B2249" s="3">
        <v>2</v>
      </c>
      <c r="C2249" s="2">
        <v>25</v>
      </c>
      <c r="D2249" s="2">
        <v>5</v>
      </c>
      <c r="E2249" s="2">
        <v>16</v>
      </c>
      <c r="F2249" s="17">
        <v>131</v>
      </c>
      <c r="H2249" s="360">
        <v>0.43460171979814866</v>
      </c>
      <c r="I2249" s="360">
        <v>0.59858115618562568</v>
      </c>
      <c r="K2249" s="363"/>
      <c r="N2249" s="10"/>
      <c r="O2249" s="4"/>
      <c r="P2249" s="4"/>
      <c r="Q2249" s="3"/>
      <c r="R2249" s="3"/>
      <c r="S2249" s="3"/>
      <c r="T2249" s="3"/>
    </row>
    <row r="2250" spans="1:20">
      <c r="A2250" s="3">
        <v>1</v>
      </c>
      <c r="B2250" s="3">
        <v>2</v>
      </c>
      <c r="C2250" s="2">
        <v>25</v>
      </c>
      <c r="D2250" s="2">
        <v>5</v>
      </c>
      <c r="E2250" s="2">
        <v>16</v>
      </c>
      <c r="F2250" s="17">
        <v>131</v>
      </c>
      <c r="H2250" s="360">
        <v>0.43719883375186275</v>
      </c>
      <c r="I2250" s="360">
        <v>0.5900075314718376</v>
      </c>
      <c r="K2250" s="363"/>
      <c r="N2250" s="10"/>
      <c r="O2250" s="4"/>
      <c r="P2250" s="4"/>
      <c r="Q2250" s="3"/>
      <c r="R2250" s="3"/>
      <c r="S2250" s="3"/>
      <c r="T2250" s="3"/>
    </row>
    <row r="2251" spans="1:20">
      <c r="A2251" s="3">
        <v>5</v>
      </c>
      <c r="B2251" s="3">
        <v>2</v>
      </c>
      <c r="C2251" s="2">
        <v>25</v>
      </c>
      <c r="D2251" s="2">
        <v>5</v>
      </c>
      <c r="E2251" s="2">
        <v>16</v>
      </c>
      <c r="F2251" s="17">
        <v>131</v>
      </c>
      <c r="H2251" s="360">
        <v>0.52793900542082139</v>
      </c>
      <c r="I2251" s="360">
        <v>0.57456203897796509</v>
      </c>
      <c r="K2251" s="363"/>
      <c r="N2251" s="10"/>
      <c r="O2251" s="4"/>
      <c r="P2251" s="4"/>
      <c r="Q2251" s="3"/>
      <c r="R2251" s="3"/>
      <c r="S2251" s="3"/>
      <c r="T2251" s="3"/>
    </row>
    <row r="2252" spans="1:20">
      <c r="A2252" s="3">
        <v>1</v>
      </c>
      <c r="B2252" s="3">
        <v>2</v>
      </c>
      <c r="C2252" s="2">
        <v>25</v>
      </c>
      <c r="D2252" s="2">
        <v>30</v>
      </c>
      <c r="E2252" s="2">
        <v>16</v>
      </c>
      <c r="F2252" s="17">
        <v>131</v>
      </c>
      <c r="H2252" s="360">
        <v>0.48690110060808434</v>
      </c>
      <c r="I2252" s="360">
        <v>0.53857416176465112</v>
      </c>
      <c r="K2252" s="363"/>
      <c r="N2252" s="10"/>
      <c r="O2252" s="4"/>
      <c r="P2252" s="4"/>
      <c r="Q2252" s="3"/>
      <c r="R2252" s="3"/>
      <c r="S2252" s="3"/>
      <c r="T2252" s="3"/>
    </row>
    <row r="2253" spans="1:20">
      <c r="A2253" s="3">
        <v>5</v>
      </c>
      <c r="B2253" s="3">
        <v>2</v>
      </c>
      <c r="C2253" s="2">
        <v>50</v>
      </c>
      <c r="D2253" s="2">
        <v>5</v>
      </c>
      <c r="E2253" s="2">
        <v>16</v>
      </c>
      <c r="F2253" s="17">
        <v>131</v>
      </c>
      <c r="H2253" s="360">
        <v>1</v>
      </c>
      <c r="I2253" s="360">
        <v>0.47618477093169953</v>
      </c>
      <c r="K2253" s="363"/>
      <c r="N2253" s="10"/>
      <c r="O2253" s="4"/>
      <c r="P2253" s="4"/>
      <c r="Q2253" s="3"/>
      <c r="R2253" s="3"/>
      <c r="S2253" s="3"/>
      <c r="T2253" s="3"/>
    </row>
    <row r="2254" spans="1:20">
      <c r="A2254" s="3">
        <v>2</v>
      </c>
      <c r="B2254" s="3">
        <v>2</v>
      </c>
      <c r="C2254" s="2">
        <v>25</v>
      </c>
      <c r="D2254" s="2">
        <v>5</v>
      </c>
      <c r="E2254" s="2">
        <v>16</v>
      </c>
      <c r="F2254" s="17">
        <v>131</v>
      </c>
      <c r="H2254" s="360">
        <v>6.7223815821253807E-2</v>
      </c>
      <c r="I2254" s="360">
        <v>0.24831720193576773</v>
      </c>
      <c r="K2254" s="363"/>
      <c r="N2254" s="10"/>
      <c r="O2254" s="4"/>
      <c r="P2254" s="4"/>
      <c r="Q2254" s="3"/>
      <c r="R2254" s="3"/>
      <c r="S2254" s="3"/>
      <c r="T2254" s="3"/>
    </row>
    <row r="2255" spans="1:20">
      <c r="A2255" s="3">
        <v>2</v>
      </c>
      <c r="B2255" s="3">
        <v>1</v>
      </c>
      <c r="C2255" s="2">
        <v>25</v>
      </c>
      <c r="D2255" s="2">
        <v>5</v>
      </c>
      <c r="E2255" s="2">
        <v>16</v>
      </c>
      <c r="F2255" s="17">
        <v>131</v>
      </c>
      <c r="H2255" s="360">
        <v>0.38294859839319817</v>
      </c>
      <c r="I2255" s="360">
        <v>-0.10942928622054077</v>
      </c>
      <c r="K2255" s="363"/>
      <c r="N2255" s="10"/>
      <c r="O2255" s="4"/>
      <c r="P2255" s="4"/>
      <c r="Q2255" s="3"/>
      <c r="R2255" s="3"/>
      <c r="S2255" s="3"/>
      <c r="T2255" s="3"/>
    </row>
    <row r="2256" spans="1:20">
      <c r="A2256" s="3">
        <v>2</v>
      </c>
      <c r="B2256" s="3">
        <v>1</v>
      </c>
      <c r="C2256" s="2">
        <v>25</v>
      </c>
      <c r="D2256" s="2">
        <v>5</v>
      </c>
      <c r="E2256" s="2">
        <v>1</v>
      </c>
      <c r="F2256" s="17">
        <v>131</v>
      </c>
      <c r="H2256" s="360">
        <v>0.14638706545919677</v>
      </c>
      <c r="I2256" s="360">
        <v>-0.12436190199067601</v>
      </c>
      <c r="K2256" s="363"/>
      <c r="N2256" s="10"/>
      <c r="O2256" s="4"/>
      <c r="P2256" s="4"/>
      <c r="Q2256" s="3"/>
      <c r="R2256" s="3"/>
      <c r="S2256" s="3"/>
      <c r="T2256" s="3"/>
    </row>
    <row r="2257" spans="1:20">
      <c r="A2257" s="3">
        <v>3</v>
      </c>
      <c r="B2257" s="3">
        <v>1</v>
      </c>
      <c r="C2257" s="2">
        <v>25</v>
      </c>
      <c r="D2257" s="2">
        <v>5</v>
      </c>
      <c r="E2257" s="2">
        <v>16</v>
      </c>
      <c r="F2257" s="17">
        <v>131</v>
      </c>
      <c r="H2257" s="360">
        <v>7.9130461010518238E-2</v>
      </c>
      <c r="I2257" s="360">
        <v>-0.13813860538842671</v>
      </c>
      <c r="K2257" s="363"/>
      <c r="N2257" s="10"/>
      <c r="O2257" s="4"/>
      <c r="P2257" s="4"/>
      <c r="Q2257" s="3"/>
      <c r="R2257" s="3"/>
      <c r="S2257" s="3"/>
      <c r="T2257" s="3"/>
    </row>
    <row r="2258" spans="1:20">
      <c r="A2258" s="3">
        <v>3</v>
      </c>
      <c r="B2258" s="3">
        <v>2</v>
      </c>
      <c r="C2258" s="2">
        <v>25</v>
      </c>
      <c r="D2258" s="2">
        <v>5</v>
      </c>
      <c r="E2258" s="2">
        <v>1</v>
      </c>
      <c r="F2258" s="17">
        <v>131</v>
      </c>
      <c r="H2258" s="360">
        <v>4.031723263423892E-2</v>
      </c>
      <c r="I2258" s="360">
        <v>-0.14718712197778605</v>
      </c>
      <c r="K2258" s="363"/>
      <c r="N2258" s="10"/>
      <c r="O2258" s="4"/>
      <c r="P2258" s="4"/>
      <c r="Q2258" s="3"/>
      <c r="R2258" s="3"/>
      <c r="S2258" s="3"/>
      <c r="T2258" s="3"/>
    </row>
    <row r="2259" spans="1:20">
      <c r="A2259" s="3">
        <v>3</v>
      </c>
      <c r="B2259" s="3">
        <v>2</v>
      </c>
      <c r="C2259" s="2">
        <v>25</v>
      </c>
      <c r="D2259" s="2">
        <v>5</v>
      </c>
      <c r="E2259" s="2">
        <v>16</v>
      </c>
      <c r="F2259" s="17">
        <v>131</v>
      </c>
      <c r="H2259" s="360">
        <v>0.28513122351019127</v>
      </c>
      <c r="I2259" s="360">
        <v>-0.16198020456021756</v>
      </c>
      <c r="K2259" s="363"/>
      <c r="N2259" s="10"/>
      <c r="O2259" s="4"/>
      <c r="P2259" s="4"/>
      <c r="Q2259" s="3"/>
      <c r="R2259" s="3"/>
      <c r="S2259" s="3"/>
      <c r="T2259" s="3"/>
    </row>
    <row r="2260" spans="1:20">
      <c r="A2260" s="3">
        <v>3</v>
      </c>
      <c r="B2260" s="3">
        <v>1</v>
      </c>
      <c r="C2260" s="2">
        <v>25</v>
      </c>
      <c r="D2260" s="2">
        <v>5</v>
      </c>
      <c r="E2260" s="2">
        <v>1</v>
      </c>
      <c r="F2260" s="17">
        <v>131</v>
      </c>
      <c r="H2260" s="360">
        <v>2.6753383212739457E-2</v>
      </c>
      <c r="I2260" s="360">
        <v>-0.21884440656556053</v>
      </c>
      <c r="K2260" s="363"/>
      <c r="N2260" s="10"/>
      <c r="O2260" s="4"/>
      <c r="P2260" s="4"/>
      <c r="Q2260" s="3"/>
      <c r="R2260" s="3"/>
      <c r="S2260" s="3"/>
      <c r="T2260" s="3"/>
    </row>
    <row r="2261" spans="1:20">
      <c r="A2261" s="3">
        <v>1</v>
      </c>
      <c r="B2261" s="3">
        <v>1</v>
      </c>
      <c r="C2261" s="2">
        <v>25</v>
      </c>
      <c r="D2261" s="2">
        <v>5</v>
      </c>
      <c r="E2261" s="2">
        <v>16</v>
      </c>
      <c r="F2261" s="17">
        <v>131</v>
      </c>
      <c r="H2261" s="360">
        <v>7.3287584808816697E-2</v>
      </c>
      <c r="I2261" s="360">
        <v>-0.33377409947568043</v>
      </c>
      <c r="K2261" s="363"/>
      <c r="N2261" s="10"/>
      <c r="O2261" s="4"/>
      <c r="P2261" s="4"/>
      <c r="Q2261" s="3"/>
      <c r="R2261" s="3"/>
      <c r="S2261" s="3"/>
      <c r="T2261" s="3"/>
    </row>
    <row r="2262" spans="1:20">
      <c r="A2262" s="3">
        <v>1</v>
      </c>
      <c r="B2262" s="3">
        <v>1</v>
      </c>
      <c r="C2262" s="2">
        <v>25</v>
      </c>
      <c r="D2262" s="2">
        <v>30</v>
      </c>
      <c r="E2262" s="2">
        <v>16</v>
      </c>
      <c r="F2262" s="17">
        <v>131</v>
      </c>
      <c r="H2262" s="360">
        <v>0.4017685029949265</v>
      </c>
      <c r="I2262" s="360">
        <v>-0.44715122498998144</v>
      </c>
      <c r="K2262" s="363"/>
      <c r="N2262" s="10"/>
      <c r="O2262" s="4"/>
      <c r="P2262" s="4"/>
      <c r="Q2262" s="3"/>
      <c r="R2262" s="3"/>
      <c r="S2262" s="3"/>
      <c r="T2262" s="3"/>
    </row>
    <row r="2263" spans="1:20">
      <c r="A2263" s="3">
        <v>4</v>
      </c>
      <c r="B2263" s="3">
        <v>2</v>
      </c>
      <c r="C2263" s="2">
        <v>50</v>
      </c>
      <c r="D2263" s="2">
        <v>5</v>
      </c>
      <c r="E2263" s="2">
        <v>16</v>
      </c>
      <c r="F2263" s="17">
        <v>131</v>
      </c>
      <c r="H2263" s="360">
        <v>0.79469827421443029</v>
      </c>
      <c r="I2263" s="360">
        <v>-0.45673995585860933</v>
      </c>
      <c r="K2263" s="363"/>
      <c r="N2263" s="10"/>
      <c r="O2263" s="4"/>
      <c r="P2263" s="4"/>
      <c r="Q2263" s="3"/>
      <c r="R2263" s="3"/>
      <c r="S2263" s="3"/>
      <c r="T2263" s="3"/>
    </row>
    <row r="2264" spans="1:20">
      <c r="A2264" s="3">
        <v>1</v>
      </c>
      <c r="B2264" s="3">
        <v>1</v>
      </c>
      <c r="C2264" s="2">
        <v>25</v>
      </c>
      <c r="D2264" s="2">
        <v>5</v>
      </c>
      <c r="E2264" s="2">
        <v>1</v>
      </c>
      <c r="F2264" s="17">
        <v>132</v>
      </c>
      <c r="H2264" s="360">
        <v>1</v>
      </c>
      <c r="I2264" s="360">
        <v>1</v>
      </c>
      <c r="K2264" s="363"/>
      <c r="N2264" s="10"/>
      <c r="O2264" s="4"/>
      <c r="P2264" s="4"/>
      <c r="Q2264" s="3"/>
      <c r="R2264" s="3"/>
      <c r="S2264" s="3"/>
      <c r="T2264" s="3"/>
    </row>
    <row r="2265" spans="1:20">
      <c r="A2265" s="3">
        <v>1</v>
      </c>
      <c r="B2265" s="3">
        <v>1</v>
      </c>
      <c r="C2265" s="2">
        <v>25</v>
      </c>
      <c r="D2265" s="2">
        <v>5</v>
      </c>
      <c r="E2265" s="2">
        <v>16</v>
      </c>
      <c r="F2265" s="17">
        <v>132</v>
      </c>
      <c r="H2265" s="360">
        <v>1</v>
      </c>
      <c r="I2265" s="360">
        <v>1</v>
      </c>
      <c r="K2265" s="363"/>
      <c r="N2265" s="10"/>
      <c r="O2265" s="4"/>
      <c r="P2265" s="4"/>
      <c r="Q2265" s="3"/>
      <c r="R2265" s="3"/>
      <c r="S2265" s="3"/>
      <c r="T2265" s="3"/>
    </row>
    <row r="2266" spans="1:20">
      <c r="A2266" s="3">
        <v>1</v>
      </c>
      <c r="B2266" s="3">
        <v>1</v>
      </c>
      <c r="C2266" s="2">
        <v>25</v>
      </c>
      <c r="D2266" s="2">
        <v>30</v>
      </c>
      <c r="E2266" s="2">
        <v>16</v>
      </c>
      <c r="F2266" s="17">
        <v>132</v>
      </c>
      <c r="H2266" s="360">
        <v>1</v>
      </c>
      <c r="I2266" s="360">
        <v>0.99487447264528339</v>
      </c>
      <c r="K2266" s="363"/>
      <c r="N2266" s="10"/>
      <c r="O2266" s="4"/>
      <c r="P2266" s="4"/>
      <c r="Q2266" s="3"/>
      <c r="R2266" s="3"/>
      <c r="S2266" s="3"/>
      <c r="T2266" s="3"/>
    </row>
    <row r="2267" spans="1:20">
      <c r="A2267" s="3">
        <v>2</v>
      </c>
      <c r="B2267" s="3">
        <v>1</v>
      </c>
      <c r="C2267" s="2">
        <v>25</v>
      </c>
      <c r="D2267" s="2">
        <v>5</v>
      </c>
      <c r="E2267" s="2">
        <v>16</v>
      </c>
      <c r="F2267" s="17">
        <v>132</v>
      </c>
      <c r="H2267" s="360">
        <v>1</v>
      </c>
      <c r="I2267" s="360">
        <v>0.98152823562492897</v>
      </c>
      <c r="K2267" s="363"/>
      <c r="N2267" s="10"/>
      <c r="O2267" s="4"/>
      <c r="P2267" s="4"/>
      <c r="Q2267" s="3"/>
      <c r="R2267" s="3"/>
      <c r="S2267" s="3"/>
      <c r="T2267" s="3"/>
    </row>
    <row r="2268" spans="1:20">
      <c r="A2268" s="3">
        <v>2</v>
      </c>
      <c r="B2268" s="3">
        <v>1</v>
      </c>
      <c r="C2268" s="2">
        <v>25</v>
      </c>
      <c r="D2268" s="2">
        <v>5</v>
      </c>
      <c r="E2268" s="2">
        <v>1</v>
      </c>
      <c r="F2268" s="17">
        <v>132</v>
      </c>
      <c r="H2268" s="360">
        <v>1</v>
      </c>
      <c r="I2268" s="360">
        <v>0.97756026956419084</v>
      </c>
      <c r="K2268" s="363"/>
      <c r="N2268" s="10"/>
      <c r="O2268" s="4"/>
      <c r="P2268" s="4"/>
      <c r="Q2268" s="3"/>
      <c r="R2268" s="3"/>
      <c r="S2268" s="3"/>
      <c r="T2268" s="3"/>
    </row>
    <row r="2269" spans="1:20">
      <c r="A2269" s="3">
        <v>3</v>
      </c>
      <c r="B2269" s="3">
        <v>1</v>
      </c>
      <c r="C2269" s="2">
        <v>25</v>
      </c>
      <c r="D2269" s="2">
        <v>5</v>
      </c>
      <c r="E2269" s="2">
        <v>16</v>
      </c>
      <c r="F2269" s="17">
        <v>132</v>
      </c>
      <c r="H2269" s="360">
        <v>0.91879676704712654</v>
      </c>
      <c r="I2269" s="360">
        <v>0.93500299546935262</v>
      </c>
      <c r="K2269" s="363"/>
      <c r="N2269" s="10"/>
      <c r="O2269" s="4"/>
      <c r="P2269" s="4"/>
      <c r="Q2269" s="3"/>
      <c r="R2269" s="3"/>
      <c r="S2269" s="3"/>
      <c r="T2269" s="3"/>
    </row>
    <row r="2270" spans="1:20">
      <c r="A2270" s="3">
        <v>3</v>
      </c>
      <c r="B2270" s="3">
        <v>1</v>
      </c>
      <c r="C2270" s="2">
        <v>25</v>
      </c>
      <c r="D2270" s="2">
        <v>5</v>
      </c>
      <c r="E2270" s="2">
        <v>1</v>
      </c>
      <c r="F2270" s="17">
        <v>132</v>
      </c>
      <c r="H2270" s="360">
        <v>0.531028873693284</v>
      </c>
      <c r="I2270" s="360">
        <v>0.85633375191896999</v>
      </c>
      <c r="K2270" s="363"/>
      <c r="N2270" s="10"/>
      <c r="O2270" s="4"/>
      <c r="P2270" s="4"/>
      <c r="Q2270" s="3"/>
      <c r="R2270" s="3"/>
      <c r="S2270" s="3"/>
      <c r="T2270" s="3"/>
    </row>
    <row r="2271" spans="1:20">
      <c r="A2271" s="3">
        <v>2</v>
      </c>
      <c r="B2271" s="3">
        <v>2</v>
      </c>
      <c r="C2271" s="2">
        <v>25</v>
      </c>
      <c r="D2271" s="2">
        <v>5</v>
      </c>
      <c r="E2271" s="2">
        <v>16</v>
      </c>
      <c r="F2271" s="17">
        <v>132</v>
      </c>
      <c r="H2271" s="360">
        <v>1</v>
      </c>
      <c r="I2271" s="360">
        <v>0.80535409277952896</v>
      </c>
      <c r="K2271" s="363"/>
      <c r="N2271" s="10"/>
      <c r="O2271" s="4"/>
      <c r="P2271" s="4"/>
      <c r="Q2271" s="3"/>
      <c r="R2271" s="3"/>
      <c r="S2271" s="3"/>
      <c r="T2271" s="3"/>
    </row>
    <row r="2272" spans="1:20">
      <c r="A2272" s="3">
        <v>1</v>
      </c>
      <c r="B2272" s="3">
        <v>2</v>
      </c>
      <c r="C2272" s="2">
        <v>25</v>
      </c>
      <c r="D2272" s="2">
        <v>5</v>
      </c>
      <c r="E2272" s="2">
        <v>1</v>
      </c>
      <c r="F2272" s="17">
        <v>132</v>
      </c>
      <c r="H2272" s="360">
        <v>7.4798715607476529E-2</v>
      </c>
      <c r="I2272" s="360">
        <v>0.79584041857423149</v>
      </c>
      <c r="K2272" s="363"/>
      <c r="N2272" s="10"/>
      <c r="O2272" s="4"/>
      <c r="P2272" s="4"/>
      <c r="Q2272" s="3"/>
      <c r="R2272" s="3"/>
      <c r="S2272" s="3"/>
      <c r="T2272" s="3"/>
    </row>
    <row r="2273" spans="1:20">
      <c r="A2273" s="3">
        <v>2</v>
      </c>
      <c r="B2273" s="3">
        <v>2</v>
      </c>
      <c r="C2273" s="2">
        <v>25</v>
      </c>
      <c r="D2273" s="2">
        <v>5</v>
      </c>
      <c r="E2273" s="2">
        <v>1</v>
      </c>
      <c r="F2273" s="17">
        <v>132</v>
      </c>
      <c r="H2273" s="360">
        <v>0.44849688836779167</v>
      </c>
      <c r="I2273" s="360">
        <v>0.78171664032291321</v>
      </c>
      <c r="K2273" s="363"/>
      <c r="N2273" s="10"/>
      <c r="O2273" s="4"/>
      <c r="P2273" s="4"/>
      <c r="Q2273" s="3"/>
      <c r="R2273" s="3"/>
      <c r="S2273" s="3"/>
      <c r="T2273" s="3"/>
    </row>
    <row r="2274" spans="1:20">
      <c r="A2274" s="3">
        <v>1</v>
      </c>
      <c r="B2274" s="3">
        <v>2</v>
      </c>
      <c r="C2274" s="2">
        <v>25</v>
      </c>
      <c r="D2274" s="2">
        <v>5</v>
      </c>
      <c r="E2274" s="2">
        <v>16</v>
      </c>
      <c r="F2274" s="17">
        <v>132</v>
      </c>
      <c r="H2274" s="360">
        <v>0.98379312132666008</v>
      </c>
      <c r="I2274" s="360">
        <v>0.68684712626499234</v>
      </c>
      <c r="K2274" s="363"/>
      <c r="N2274" s="10"/>
      <c r="O2274" s="4"/>
      <c r="P2274" s="4"/>
      <c r="Q2274" s="3"/>
      <c r="R2274" s="3"/>
      <c r="S2274" s="3"/>
      <c r="T2274" s="3"/>
    </row>
    <row r="2275" spans="1:20">
      <c r="A2275" s="3">
        <v>1</v>
      </c>
      <c r="B2275" s="3">
        <v>2</v>
      </c>
      <c r="C2275" s="2">
        <v>25</v>
      </c>
      <c r="D2275" s="2">
        <v>5</v>
      </c>
      <c r="E2275" s="2">
        <v>16</v>
      </c>
      <c r="F2275" s="17">
        <v>132</v>
      </c>
      <c r="H2275" s="360">
        <v>0.99147909419080382</v>
      </c>
      <c r="I2275" s="360">
        <v>0.62829528764459697</v>
      </c>
      <c r="K2275" s="363"/>
      <c r="N2275" s="10"/>
      <c r="O2275" s="4"/>
      <c r="P2275" s="4"/>
      <c r="Q2275" s="3"/>
      <c r="R2275" s="3"/>
      <c r="S2275" s="3"/>
      <c r="T2275" s="3"/>
    </row>
    <row r="2276" spans="1:20">
      <c r="A2276" s="3">
        <v>1</v>
      </c>
      <c r="B2276" s="3">
        <v>2</v>
      </c>
      <c r="C2276" s="2">
        <v>25</v>
      </c>
      <c r="D2276" s="2">
        <v>30</v>
      </c>
      <c r="E2276" s="2">
        <v>16</v>
      </c>
      <c r="F2276" s="17">
        <v>132</v>
      </c>
      <c r="H2276" s="360">
        <v>0.99693239662450983</v>
      </c>
      <c r="I2276" s="360">
        <v>0.58499616288986633</v>
      </c>
      <c r="K2276" s="363"/>
      <c r="N2276" s="10"/>
      <c r="O2276" s="4"/>
      <c r="P2276" s="4"/>
      <c r="Q2276" s="3"/>
      <c r="R2276" s="3"/>
      <c r="S2276" s="3"/>
      <c r="T2276" s="3"/>
    </row>
    <row r="2277" spans="1:20">
      <c r="A2277" s="3">
        <v>5</v>
      </c>
      <c r="B2277" s="3">
        <v>2</v>
      </c>
      <c r="C2277" s="2">
        <v>50</v>
      </c>
      <c r="D2277" s="2">
        <v>5</v>
      </c>
      <c r="E2277" s="2">
        <v>16</v>
      </c>
      <c r="F2277" s="17">
        <v>132</v>
      </c>
      <c r="H2277" s="360">
        <v>0.28209601971786669</v>
      </c>
      <c r="I2277" s="360">
        <v>0.24193940287764204</v>
      </c>
      <c r="K2277" s="363"/>
      <c r="N2277" s="10"/>
      <c r="O2277" s="4"/>
      <c r="P2277" s="4"/>
      <c r="Q2277" s="3"/>
      <c r="R2277" s="3"/>
      <c r="S2277" s="3"/>
      <c r="T2277" s="3"/>
    </row>
    <row r="2278" spans="1:20">
      <c r="A2278" s="3">
        <v>3</v>
      </c>
      <c r="B2278" s="3">
        <v>2</v>
      </c>
      <c r="C2278" s="2">
        <v>25</v>
      </c>
      <c r="D2278" s="2">
        <v>5</v>
      </c>
      <c r="E2278" s="2">
        <v>1</v>
      </c>
      <c r="F2278" s="17">
        <v>132</v>
      </c>
      <c r="H2278" s="360">
        <v>0.84952256037338159</v>
      </c>
      <c r="I2278" s="360">
        <v>0.22873180727335674</v>
      </c>
      <c r="K2278" s="363"/>
      <c r="N2278" s="10"/>
      <c r="O2278" s="4"/>
      <c r="P2278" s="4"/>
      <c r="Q2278" s="3"/>
      <c r="R2278" s="3"/>
      <c r="S2278" s="3"/>
      <c r="T2278" s="3"/>
    </row>
    <row r="2279" spans="1:20">
      <c r="A2279" s="3">
        <v>3</v>
      </c>
      <c r="B2279" s="3">
        <v>2</v>
      </c>
      <c r="C2279" s="2">
        <v>25</v>
      </c>
      <c r="D2279" s="2">
        <v>5</v>
      </c>
      <c r="E2279" s="2">
        <v>16</v>
      </c>
      <c r="F2279" s="17">
        <v>132</v>
      </c>
      <c r="H2279" s="360">
        <v>0.95074808521192544</v>
      </c>
      <c r="I2279" s="360">
        <v>0.22223368764221862</v>
      </c>
      <c r="K2279" s="363"/>
      <c r="N2279" s="10"/>
      <c r="O2279" s="4"/>
      <c r="P2279" s="4"/>
      <c r="Q2279" s="3"/>
      <c r="R2279" s="3"/>
      <c r="S2279" s="3"/>
      <c r="T2279" s="3"/>
    </row>
    <row r="2280" spans="1:20">
      <c r="A2280" s="3">
        <v>5</v>
      </c>
      <c r="B2280" s="3">
        <v>2</v>
      </c>
      <c r="C2280" s="2">
        <v>25</v>
      </c>
      <c r="D2280" s="2">
        <v>5</v>
      </c>
      <c r="E2280" s="2">
        <v>16</v>
      </c>
      <c r="F2280" s="17">
        <v>132</v>
      </c>
      <c r="H2280" s="360">
        <v>5.5202519760512048E-2</v>
      </c>
      <c r="I2280" s="360">
        <v>-1.9939906961803602E-2</v>
      </c>
      <c r="K2280" s="363"/>
      <c r="N2280" s="10"/>
      <c r="O2280" s="4"/>
      <c r="P2280" s="4"/>
      <c r="Q2280" s="3"/>
      <c r="R2280" s="3"/>
      <c r="S2280" s="3"/>
      <c r="T2280" s="3"/>
    </row>
    <row r="2281" spans="1:20">
      <c r="A2281" s="3">
        <v>4</v>
      </c>
      <c r="B2281" s="3">
        <v>2</v>
      </c>
      <c r="C2281" s="2">
        <v>50</v>
      </c>
      <c r="D2281" s="2">
        <v>5</v>
      </c>
      <c r="E2281" s="2">
        <v>16</v>
      </c>
      <c r="F2281" s="17">
        <v>132</v>
      </c>
      <c r="H2281" s="360">
        <v>0.36253697459715983</v>
      </c>
      <c r="I2281" s="360">
        <v>-0.16137204809386654</v>
      </c>
      <c r="K2281" s="363"/>
      <c r="N2281" s="10"/>
      <c r="O2281" s="4"/>
      <c r="P2281" s="4"/>
      <c r="Q2281" s="3"/>
      <c r="R2281" s="3"/>
      <c r="S2281" s="3"/>
      <c r="T2281" s="3"/>
    </row>
    <row r="2282" spans="1:20">
      <c r="A2282" s="3">
        <v>2</v>
      </c>
      <c r="B2282" s="3">
        <v>2</v>
      </c>
      <c r="C2282" s="2">
        <v>25</v>
      </c>
      <c r="D2282" s="2">
        <v>5</v>
      </c>
      <c r="E2282" s="2">
        <v>1</v>
      </c>
      <c r="F2282" s="17">
        <v>133</v>
      </c>
      <c r="H2282" s="360">
        <v>1</v>
      </c>
      <c r="I2282" s="360">
        <v>0.98667612919485248</v>
      </c>
      <c r="K2282" s="363"/>
      <c r="N2282" s="10"/>
      <c r="O2282" s="4"/>
      <c r="P2282" s="4"/>
      <c r="Q2282" s="3"/>
      <c r="R2282" s="3"/>
      <c r="S2282" s="3"/>
      <c r="T2282" s="3"/>
    </row>
    <row r="2283" spans="1:20">
      <c r="A2283" s="3">
        <v>2</v>
      </c>
      <c r="B2283" s="3">
        <v>1</v>
      </c>
      <c r="C2283" s="2">
        <v>25</v>
      </c>
      <c r="D2283" s="2">
        <v>5</v>
      </c>
      <c r="E2283" s="2">
        <v>16</v>
      </c>
      <c r="F2283" s="17">
        <v>133</v>
      </c>
      <c r="H2283" s="360">
        <v>1</v>
      </c>
      <c r="I2283" s="360">
        <v>0.97836921797617982</v>
      </c>
      <c r="K2283" s="363"/>
      <c r="N2283" s="10"/>
      <c r="O2283" s="4"/>
      <c r="P2283" s="4"/>
      <c r="Q2283" s="3"/>
      <c r="R2283" s="3"/>
      <c r="S2283" s="3"/>
      <c r="T2283" s="3"/>
    </row>
    <row r="2284" spans="1:20">
      <c r="A2284" s="3">
        <v>2</v>
      </c>
      <c r="B2284" s="3">
        <v>1</v>
      </c>
      <c r="C2284" s="2">
        <v>25</v>
      </c>
      <c r="D2284" s="2">
        <v>5</v>
      </c>
      <c r="E2284" s="2">
        <v>1</v>
      </c>
      <c r="F2284" s="17">
        <v>133</v>
      </c>
      <c r="H2284" s="360">
        <v>1</v>
      </c>
      <c r="I2284" s="360">
        <v>0.97365167349436199</v>
      </c>
      <c r="K2284" s="363"/>
      <c r="N2284" s="10"/>
      <c r="O2284" s="4"/>
      <c r="P2284" s="4"/>
      <c r="Q2284" s="3"/>
      <c r="R2284" s="3"/>
      <c r="S2284" s="3"/>
      <c r="T2284" s="3"/>
    </row>
    <row r="2285" spans="1:20">
      <c r="A2285" s="3">
        <v>2</v>
      </c>
      <c r="B2285" s="3">
        <v>2</v>
      </c>
      <c r="C2285" s="2">
        <v>25</v>
      </c>
      <c r="D2285" s="2">
        <v>5</v>
      </c>
      <c r="E2285" s="2">
        <v>16</v>
      </c>
      <c r="F2285" s="17">
        <v>133</v>
      </c>
      <c r="H2285" s="360">
        <v>1</v>
      </c>
      <c r="I2285" s="360">
        <v>0.96289324986869085</v>
      </c>
      <c r="K2285" s="363"/>
      <c r="N2285" s="10"/>
      <c r="O2285" s="4"/>
      <c r="P2285" s="4"/>
      <c r="Q2285" s="3"/>
      <c r="R2285" s="3"/>
      <c r="S2285" s="3"/>
      <c r="T2285" s="3"/>
    </row>
    <row r="2286" spans="1:20">
      <c r="A2286" s="3">
        <v>1</v>
      </c>
      <c r="B2286" s="3">
        <v>1</v>
      </c>
      <c r="C2286" s="2">
        <v>25</v>
      </c>
      <c r="D2286" s="2">
        <v>5</v>
      </c>
      <c r="E2286" s="2">
        <v>1</v>
      </c>
      <c r="F2286" s="17">
        <v>133</v>
      </c>
      <c r="H2286" s="360">
        <v>1</v>
      </c>
      <c r="I2286" s="360">
        <v>0.94287419208649759</v>
      </c>
      <c r="K2286" s="363"/>
      <c r="N2286" s="10"/>
      <c r="O2286" s="4"/>
      <c r="P2286" s="4"/>
      <c r="Q2286" s="3"/>
      <c r="R2286" s="3"/>
      <c r="S2286" s="3"/>
      <c r="T2286" s="3"/>
    </row>
    <row r="2287" spans="1:20">
      <c r="A2287" s="3">
        <v>1</v>
      </c>
      <c r="B2287" s="3">
        <v>1</v>
      </c>
      <c r="C2287" s="2">
        <v>25</v>
      </c>
      <c r="D2287" s="2">
        <v>5</v>
      </c>
      <c r="E2287" s="2">
        <v>16</v>
      </c>
      <c r="F2287" s="17">
        <v>133</v>
      </c>
      <c r="H2287" s="360">
        <v>1</v>
      </c>
      <c r="I2287" s="360">
        <v>0.9361701590140179</v>
      </c>
      <c r="K2287" s="363"/>
      <c r="N2287" s="10"/>
      <c r="O2287" s="4"/>
      <c r="P2287" s="4"/>
      <c r="Q2287" s="3"/>
      <c r="R2287" s="3"/>
      <c r="S2287" s="3"/>
      <c r="T2287" s="3"/>
    </row>
    <row r="2288" spans="1:20">
      <c r="A2288" s="3">
        <v>1</v>
      </c>
      <c r="B2288" s="3">
        <v>2</v>
      </c>
      <c r="C2288" s="2">
        <v>25</v>
      </c>
      <c r="D2288" s="2">
        <v>5</v>
      </c>
      <c r="E2288" s="2">
        <v>1</v>
      </c>
      <c r="F2288" s="17">
        <v>133</v>
      </c>
      <c r="H2288" s="360">
        <v>1</v>
      </c>
      <c r="I2288" s="360">
        <v>0.90278663064900089</v>
      </c>
      <c r="K2288" s="363"/>
      <c r="N2288" s="10"/>
      <c r="O2288" s="4"/>
      <c r="P2288" s="4"/>
      <c r="Q2288" s="3"/>
      <c r="R2288" s="3"/>
      <c r="S2288" s="3"/>
      <c r="T2288" s="3"/>
    </row>
    <row r="2289" spans="1:20">
      <c r="A2289" s="3">
        <v>1</v>
      </c>
      <c r="B2289" s="3">
        <v>2</v>
      </c>
      <c r="C2289" s="2">
        <v>25</v>
      </c>
      <c r="D2289" s="2">
        <v>5</v>
      </c>
      <c r="E2289" s="2">
        <v>16</v>
      </c>
      <c r="F2289" s="17">
        <v>133</v>
      </c>
      <c r="H2289" s="360">
        <v>1</v>
      </c>
      <c r="I2289" s="360">
        <v>0.89770578153901626</v>
      </c>
      <c r="K2289" s="363"/>
      <c r="N2289" s="10"/>
      <c r="O2289" s="4"/>
      <c r="P2289" s="4"/>
      <c r="Q2289" s="3"/>
      <c r="R2289" s="3"/>
      <c r="S2289" s="3"/>
      <c r="T2289" s="3"/>
    </row>
    <row r="2290" spans="1:20">
      <c r="A2290" s="3">
        <v>1</v>
      </c>
      <c r="B2290" s="3">
        <v>2</v>
      </c>
      <c r="C2290" s="2">
        <v>25</v>
      </c>
      <c r="D2290" s="2">
        <v>5</v>
      </c>
      <c r="E2290" s="2">
        <v>16</v>
      </c>
      <c r="F2290" s="17">
        <v>133</v>
      </c>
      <c r="H2290" s="360">
        <v>1</v>
      </c>
      <c r="I2290" s="360">
        <v>0.87909382407171155</v>
      </c>
      <c r="K2290" s="363"/>
      <c r="N2290" s="10"/>
      <c r="O2290" s="4"/>
      <c r="P2290" s="4"/>
      <c r="Q2290" s="3"/>
      <c r="R2290" s="3"/>
      <c r="S2290" s="3"/>
      <c r="T2290" s="3"/>
    </row>
    <row r="2291" spans="1:20">
      <c r="A2291" s="3">
        <v>1</v>
      </c>
      <c r="B2291" s="3">
        <v>1</v>
      </c>
      <c r="C2291" s="2">
        <v>25</v>
      </c>
      <c r="D2291" s="2">
        <v>30</v>
      </c>
      <c r="E2291" s="2">
        <v>16</v>
      </c>
      <c r="F2291" s="17">
        <v>133</v>
      </c>
      <c r="H2291" s="360">
        <v>1</v>
      </c>
      <c r="I2291" s="360">
        <v>0.86090079952398468</v>
      </c>
      <c r="K2291" s="363"/>
      <c r="N2291" s="10"/>
      <c r="O2291" s="4"/>
      <c r="P2291" s="4"/>
      <c r="Q2291" s="3"/>
      <c r="R2291" s="3"/>
      <c r="S2291" s="3"/>
      <c r="T2291" s="3"/>
    </row>
    <row r="2292" spans="1:20">
      <c r="A2292" s="3">
        <v>3</v>
      </c>
      <c r="B2292" s="3">
        <v>1</v>
      </c>
      <c r="C2292" s="2">
        <v>25</v>
      </c>
      <c r="D2292" s="2">
        <v>5</v>
      </c>
      <c r="E2292" s="2">
        <v>16</v>
      </c>
      <c r="F2292" s="17">
        <v>133</v>
      </c>
      <c r="H2292" s="360">
        <v>0.98084067273215347</v>
      </c>
      <c r="I2292" s="360">
        <v>0.77947845635368262</v>
      </c>
      <c r="K2292" s="363"/>
      <c r="N2292" s="10"/>
      <c r="O2292" s="4"/>
      <c r="P2292" s="4"/>
      <c r="Q2292" s="3"/>
      <c r="R2292" s="3"/>
      <c r="S2292" s="3"/>
      <c r="T2292" s="3"/>
    </row>
    <row r="2293" spans="1:20">
      <c r="A2293" s="3">
        <v>3</v>
      </c>
      <c r="B2293" s="3">
        <v>1</v>
      </c>
      <c r="C2293" s="2">
        <v>25</v>
      </c>
      <c r="D2293" s="2">
        <v>5</v>
      </c>
      <c r="E2293" s="2">
        <v>1</v>
      </c>
      <c r="F2293" s="17">
        <v>133</v>
      </c>
      <c r="H2293" s="360">
        <v>0.96975945499132599</v>
      </c>
      <c r="I2293" s="360">
        <v>0.72089513340257261</v>
      </c>
      <c r="K2293" s="363"/>
      <c r="N2293" s="10"/>
      <c r="O2293" s="4"/>
      <c r="P2293" s="4"/>
      <c r="Q2293" s="3"/>
      <c r="R2293" s="3"/>
      <c r="S2293" s="3"/>
      <c r="T2293" s="3"/>
    </row>
    <row r="2294" spans="1:20">
      <c r="A2294" s="3">
        <v>3</v>
      </c>
      <c r="B2294" s="3">
        <v>2</v>
      </c>
      <c r="C2294" s="2">
        <v>25</v>
      </c>
      <c r="D2294" s="2">
        <v>5</v>
      </c>
      <c r="E2294" s="2">
        <v>1</v>
      </c>
      <c r="F2294" s="17">
        <v>133</v>
      </c>
      <c r="H2294" s="360">
        <v>1</v>
      </c>
      <c r="I2294" s="360">
        <v>0.71770351335315274</v>
      </c>
      <c r="K2294" s="363"/>
      <c r="N2294" s="10"/>
      <c r="O2294" s="4"/>
      <c r="P2294" s="4"/>
      <c r="Q2294" s="3"/>
      <c r="R2294" s="3"/>
      <c r="S2294" s="3"/>
      <c r="T2294" s="3"/>
    </row>
    <row r="2295" spans="1:20">
      <c r="A2295" s="3">
        <v>1</v>
      </c>
      <c r="B2295" s="3">
        <v>2</v>
      </c>
      <c r="C2295" s="2">
        <v>25</v>
      </c>
      <c r="D2295" s="2">
        <v>30</v>
      </c>
      <c r="E2295" s="2">
        <v>16</v>
      </c>
      <c r="F2295" s="17">
        <v>133</v>
      </c>
      <c r="H2295" s="360">
        <v>1</v>
      </c>
      <c r="I2295" s="360">
        <v>0.68076691688420699</v>
      </c>
      <c r="K2295" s="363"/>
      <c r="N2295" s="10"/>
      <c r="O2295" s="4"/>
      <c r="P2295" s="4"/>
      <c r="Q2295" s="3"/>
      <c r="R2295" s="3"/>
      <c r="S2295" s="3"/>
      <c r="T2295" s="3"/>
    </row>
    <row r="2296" spans="1:20">
      <c r="A2296" s="3">
        <v>3</v>
      </c>
      <c r="B2296" s="3">
        <v>2</v>
      </c>
      <c r="C2296" s="2">
        <v>25</v>
      </c>
      <c r="D2296" s="2">
        <v>5</v>
      </c>
      <c r="E2296" s="2">
        <v>16</v>
      </c>
      <c r="F2296" s="17">
        <v>133</v>
      </c>
      <c r="H2296" s="360">
        <v>1</v>
      </c>
      <c r="I2296" s="360">
        <v>0.66788842314792463</v>
      </c>
      <c r="K2296" s="363"/>
      <c r="N2296" s="10"/>
      <c r="O2296" s="4"/>
      <c r="P2296" s="4"/>
      <c r="Q2296" s="3"/>
      <c r="R2296" s="3"/>
      <c r="S2296" s="3"/>
      <c r="T2296" s="3"/>
    </row>
    <row r="2297" spans="1:20">
      <c r="A2297" s="3">
        <v>5</v>
      </c>
      <c r="B2297" s="3">
        <v>2</v>
      </c>
      <c r="C2297" s="2">
        <v>25</v>
      </c>
      <c r="D2297" s="2">
        <v>5</v>
      </c>
      <c r="E2297" s="2">
        <v>16</v>
      </c>
      <c r="F2297" s="17">
        <v>133</v>
      </c>
      <c r="H2297" s="360">
        <v>1</v>
      </c>
      <c r="I2297" s="360">
        <v>4.5973573802895233E-2</v>
      </c>
      <c r="K2297" s="363"/>
      <c r="N2297" s="10"/>
      <c r="O2297" s="4"/>
      <c r="P2297" s="4"/>
      <c r="Q2297" s="3"/>
      <c r="R2297" s="3"/>
      <c r="S2297" s="3"/>
      <c r="T2297" s="3"/>
    </row>
    <row r="2298" spans="1:20">
      <c r="A2298" s="3">
        <v>5</v>
      </c>
      <c r="B2298" s="3">
        <v>2</v>
      </c>
      <c r="C2298" s="2">
        <v>50</v>
      </c>
      <c r="D2298" s="2">
        <v>5</v>
      </c>
      <c r="E2298" s="2">
        <v>16</v>
      </c>
      <c r="F2298" s="17">
        <v>133</v>
      </c>
      <c r="H2298" s="360">
        <v>1</v>
      </c>
      <c r="I2298" s="360">
        <v>-1.1151333250079758E-2</v>
      </c>
      <c r="K2298" s="363"/>
      <c r="N2298" s="10"/>
      <c r="O2298" s="4"/>
      <c r="P2298" s="4"/>
      <c r="Q2298" s="3"/>
      <c r="R2298" s="3"/>
      <c r="S2298" s="3"/>
      <c r="T2298" s="3"/>
    </row>
    <row r="2299" spans="1:20">
      <c r="A2299" s="3">
        <v>4</v>
      </c>
      <c r="B2299" s="3">
        <v>2</v>
      </c>
      <c r="C2299" s="2">
        <v>50</v>
      </c>
      <c r="D2299" s="2">
        <v>5</v>
      </c>
      <c r="E2299" s="2">
        <v>16</v>
      </c>
      <c r="F2299" s="17">
        <v>133</v>
      </c>
      <c r="H2299" s="360">
        <v>1</v>
      </c>
      <c r="I2299" s="360">
        <v>-0.52151266593763679</v>
      </c>
      <c r="K2299" s="363"/>
      <c r="N2299" s="10"/>
      <c r="O2299" s="4"/>
      <c r="P2299" s="4"/>
      <c r="Q2299" s="3"/>
      <c r="R2299" s="3"/>
      <c r="S2299" s="3"/>
      <c r="T2299" s="3"/>
    </row>
    <row r="2300" spans="1:20">
      <c r="A2300" s="3">
        <v>2</v>
      </c>
      <c r="B2300" s="3">
        <v>2</v>
      </c>
      <c r="C2300" s="2">
        <v>25</v>
      </c>
      <c r="D2300" s="2">
        <v>5</v>
      </c>
      <c r="E2300" s="2">
        <v>1</v>
      </c>
      <c r="F2300" s="17">
        <v>134</v>
      </c>
      <c r="H2300" s="360">
        <v>0.99590317467400713</v>
      </c>
      <c r="I2300" s="360">
        <v>0.98755617006567575</v>
      </c>
      <c r="K2300" s="363"/>
      <c r="N2300" s="10"/>
      <c r="O2300" s="4"/>
      <c r="P2300" s="4"/>
      <c r="Q2300" s="3"/>
      <c r="R2300" s="3"/>
      <c r="S2300" s="3"/>
      <c r="T2300" s="3"/>
    </row>
    <row r="2301" spans="1:20">
      <c r="A2301" s="3">
        <v>2</v>
      </c>
      <c r="B2301" s="3">
        <v>2</v>
      </c>
      <c r="C2301" s="2">
        <v>25</v>
      </c>
      <c r="D2301" s="2">
        <v>5</v>
      </c>
      <c r="E2301" s="2">
        <v>16</v>
      </c>
      <c r="F2301" s="17">
        <v>134</v>
      </c>
      <c r="H2301" s="360">
        <v>1</v>
      </c>
      <c r="I2301" s="360">
        <v>0.98514565720172553</v>
      </c>
      <c r="K2301" s="363"/>
      <c r="N2301" s="10"/>
      <c r="O2301" s="4"/>
      <c r="P2301" s="4"/>
      <c r="Q2301" s="3"/>
      <c r="R2301" s="3"/>
      <c r="S2301" s="3"/>
      <c r="T2301" s="3"/>
    </row>
    <row r="2302" spans="1:20">
      <c r="A2302" s="3">
        <v>2</v>
      </c>
      <c r="B2302" s="3">
        <v>1</v>
      </c>
      <c r="C2302" s="2">
        <v>25</v>
      </c>
      <c r="D2302" s="2">
        <v>5</v>
      </c>
      <c r="E2302" s="2">
        <v>16</v>
      </c>
      <c r="F2302" s="17">
        <v>134</v>
      </c>
      <c r="H2302" s="360">
        <v>1</v>
      </c>
      <c r="I2302" s="360">
        <v>0.95849836521287701</v>
      </c>
      <c r="K2302" s="363"/>
      <c r="N2302" s="10"/>
      <c r="O2302" s="4"/>
      <c r="P2302" s="4"/>
      <c r="Q2302" s="3"/>
      <c r="R2302" s="3"/>
      <c r="S2302" s="3"/>
      <c r="T2302" s="3"/>
    </row>
    <row r="2303" spans="1:20">
      <c r="A2303" s="3">
        <v>2</v>
      </c>
      <c r="B2303" s="3">
        <v>1</v>
      </c>
      <c r="C2303" s="2">
        <v>25</v>
      </c>
      <c r="D2303" s="2">
        <v>5</v>
      </c>
      <c r="E2303" s="2">
        <v>1</v>
      </c>
      <c r="F2303" s="17">
        <v>134</v>
      </c>
      <c r="H2303" s="360">
        <v>1</v>
      </c>
      <c r="I2303" s="360">
        <v>0.94812478411838497</v>
      </c>
      <c r="K2303" s="363"/>
      <c r="N2303" s="10"/>
      <c r="O2303" s="4"/>
      <c r="P2303" s="4"/>
      <c r="Q2303" s="3"/>
      <c r="R2303" s="3"/>
      <c r="S2303" s="3"/>
      <c r="T2303" s="3"/>
    </row>
    <row r="2304" spans="1:20">
      <c r="A2304" s="3">
        <v>1</v>
      </c>
      <c r="B2304" s="3">
        <v>1</v>
      </c>
      <c r="C2304" s="2">
        <v>25</v>
      </c>
      <c r="D2304" s="2">
        <v>5</v>
      </c>
      <c r="E2304" s="2">
        <v>16</v>
      </c>
      <c r="F2304" s="17">
        <v>134</v>
      </c>
      <c r="H2304" s="360">
        <v>1</v>
      </c>
      <c r="I2304" s="360">
        <v>0.86420683334063697</v>
      </c>
      <c r="K2304" s="363"/>
      <c r="N2304" s="10"/>
      <c r="O2304" s="4"/>
      <c r="P2304" s="4"/>
      <c r="Q2304" s="3"/>
      <c r="R2304" s="3"/>
      <c r="S2304" s="3"/>
      <c r="T2304" s="3"/>
    </row>
    <row r="2305" spans="1:20">
      <c r="A2305" s="3">
        <v>1</v>
      </c>
      <c r="B2305" s="3">
        <v>1</v>
      </c>
      <c r="C2305" s="2">
        <v>25</v>
      </c>
      <c r="D2305" s="2">
        <v>5</v>
      </c>
      <c r="E2305" s="2">
        <v>1</v>
      </c>
      <c r="F2305" s="17">
        <v>134</v>
      </c>
      <c r="H2305" s="360">
        <v>1</v>
      </c>
      <c r="I2305" s="360">
        <v>0.86098553654524734</v>
      </c>
      <c r="K2305" s="363"/>
      <c r="N2305" s="10"/>
      <c r="O2305" s="4"/>
      <c r="P2305" s="4"/>
      <c r="Q2305" s="3"/>
      <c r="R2305" s="3"/>
      <c r="S2305" s="3"/>
      <c r="T2305" s="3"/>
    </row>
    <row r="2306" spans="1:20">
      <c r="A2306" s="3">
        <v>1</v>
      </c>
      <c r="B2306" s="3">
        <v>1</v>
      </c>
      <c r="C2306" s="2">
        <v>25</v>
      </c>
      <c r="D2306" s="2">
        <v>30</v>
      </c>
      <c r="E2306" s="2">
        <v>16</v>
      </c>
      <c r="F2306" s="17">
        <v>134</v>
      </c>
      <c r="H2306" s="360">
        <v>1</v>
      </c>
      <c r="I2306" s="360">
        <v>0.83912636040743405</v>
      </c>
      <c r="K2306" s="363"/>
      <c r="N2306" s="10"/>
      <c r="O2306" s="4"/>
      <c r="P2306" s="4"/>
      <c r="Q2306" s="3"/>
      <c r="R2306" s="3"/>
      <c r="S2306" s="3"/>
      <c r="T2306" s="3"/>
    </row>
    <row r="2307" spans="1:20">
      <c r="A2307" s="3">
        <v>1</v>
      </c>
      <c r="B2307" s="3">
        <v>2</v>
      </c>
      <c r="C2307" s="2">
        <v>25</v>
      </c>
      <c r="D2307" s="2">
        <v>5</v>
      </c>
      <c r="E2307" s="2">
        <v>16</v>
      </c>
      <c r="F2307" s="17">
        <v>134</v>
      </c>
      <c r="H2307" s="360">
        <v>1</v>
      </c>
      <c r="I2307" s="360">
        <v>0.76308301877123841</v>
      </c>
      <c r="K2307" s="363"/>
      <c r="N2307" s="10"/>
      <c r="O2307" s="4"/>
      <c r="P2307" s="4"/>
      <c r="Q2307" s="3"/>
      <c r="R2307" s="3"/>
      <c r="S2307" s="3"/>
      <c r="T2307" s="3"/>
    </row>
    <row r="2308" spans="1:20">
      <c r="A2308" s="3">
        <v>1</v>
      </c>
      <c r="B2308" s="3">
        <v>2</v>
      </c>
      <c r="C2308" s="2">
        <v>25</v>
      </c>
      <c r="D2308" s="2">
        <v>30</v>
      </c>
      <c r="E2308" s="2">
        <v>16</v>
      </c>
      <c r="F2308" s="17">
        <v>134</v>
      </c>
      <c r="H2308" s="360">
        <v>1</v>
      </c>
      <c r="I2308" s="360">
        <v>0.76161816276556837</v>
      </c>
      <c r="K2308" s="363"/>
      <c r="N2308" s="10"/>
      <c r="O2308" s="4"/>
      <c r="P2308" s="4"/>
      <c r="Q2308" s="3"/>
      <c r="R2308" s="3"/>
      <c r="S2308" s="3"/>
      <c r="T2308" s="3"/>
    </row>
    <row r="2309" spans="1:20">
      <c r="A2309" s="3">
        <v>1</v>
      </c>
      <c r="B2309" s="3">
        <v>2</v>
      </c>
      <c r="C2309" s="2">
        <v>25</v>
      </c>
      <c r="D2309" s="2">
        <v>5</v>
      </c>
      <c r="E2309" s="2">
        <v>16</v>
      </c>
      <c r="F2309" s="17">
        <v>134</v>
      </c>
      <c r="H2309" s="360">
        <v>1</v>
      </c>
      <c r="I2309" s="360">
        <v>0.75541488072745833</v>
      </c>
      <c r="K2309" s="363"/>
      <c r="N2309" s="10"/>
      <c r="O2309" s="4"/>
      <c r="P2309" s="4"/>
      <c r="Q2309" s="3"/>
      <c r="R2309" s="3"/>
      <c r="S2309" s="3"/>
      <c r="T2309" s="3"/>
    </row>
    <row r="2310" spans="1:20">
      <c r="A2310" s="3">
        <v>1</v>
      </c>
      <c r="B2310" s="3">
        <v>2</v>
      </c>
      <c r="C2310" s="2">
        <v>25</v>
      </c>
      <c r="D2310" s="2">
        <v>5</v>
      </c>
      <c r="E2310" s="2">
        <v>1</v>
      </c>
      <c r="F2310" s="17">
        <v>134</v>
      </c>
      <c r="H2310" s="360">
        <v>0.45932748259636791</v>
      </c>
      <c r="I2310" s="360">
        <v>0.75483430871430901</v>
      </c>
      <c r="K2310" s="363"/>
      <c r="N2310" s="10"/>
      <c r="O2310" s="4"/>
      <c r="P2310" s="4"/>
      <c r="Q2310" s="3"/>
      <c r="R2310" s="3"/>
      <c r="S2310" s="3"/>
      <c r="T2310" s="3"/>
    </row>
    <row r="2311" spans="1:20">
      <c r="A2311" s="3">
        <v>3</v>
      </c>
      <c r="B2311" s="3">
        <v>2</v>
      </c>
      <c r="C2311" s="2">
        <v>25</v>
      </c>
      <c r="D2311" s="2">
        <v>5</v>
      </c>
      <c r="E2311" s="2">
        <v>1</v>
      </c>
      <c r="F2311" s="17">
        <v>134</v>
      </c>
      <c r="H2311" s="360">
        <v>0.99261282742885781</v>
      </c>
      <c r="I2311" s="360">
        <v>0.66694620985340114</v>
      </c>
      <c r="K2311" s="363"/>
      <c r="N2311" s="10"/>
      <c r="O2311" s="4"/>
      <c r="P2311" s="4"/>
      <c r="Q2311" s="3"/>
      <c r="R2311" s="3"/>
      <c r="S2311" s="3"/>
      <c r="T2311" s="3"/>
    </row>
    <row r="2312" spans="1:20">
      <c r="A2312" s="3">
        <v>3</v>
      </c>
      <c r="B2312" s="3">
        <v>1</v>
      </c>
      <c r="C2312" s="2">
        <v>25</v>
      </c>
      <c r="D2312" s="2">
        <v>5</v>
      </c>
      <c r="E2312" s="2">
        <v>16</v>
      </c>
      <c r="F2312" s="17">
        <v>134</v>
      </c>
      <c r="H2312" s="360">
        <v>1</v>
      </c>
      <c r="I2312" s="360">
        <v>0.66057430193143774</v>
      </c>
      <c r="K2312" s="363"/>
      <c r="N2312" s="10"/>
      <c r="O2312" s="4"/>
      <c r="P2312" s="4"/>
      <c r="Q2312" s="3"/>
      <c r="R2312" s="3"/>
      <c r="S2312" s="3"/>
      <c r="T2312" s="3"/>
    </row>
    <row r="2313" spans="1:20">
      <c r="A2313" s="3">
        <v>3</v>
      </c>
      <c r="B2313" s="3">
        <v>1</v>
      </c>
      <c r="C2313" s="2">
        <v>25</v>
      </c>
      <c r="D2313" s="2">
        <v>5</v>
      </c>
      <c r="E2313" s="2">
        <v>1</v>
      </c>
      <c r="F2313" s="17">
        <v>134</v>
      </c>
      <c r="H2313" s="360">
        <v>0.24848732125773609</v>
      </c>
      <c r="I2313" s="360">
        <v>0.64378956430103373</v>
      </c>
      <c r="K2313" s="363"/>
      <c r="N2313" s="10"/>
      <c r="O2313" s="4"/>
      <c r="P2313" s="4"/>
      <c r="Q2313" s="3"/>
      <c r="R2313" s="3"/>
      <c r="S2313" s="3"/>
      <c r="T2313" s="3"/>
    </row>
    <row r="2314" spans="1:20">
      <c r="A2314" s="3">
        <v>3</v>
      </c>
      <c r="B2314" s="3">
        <v>2</v>
      </c>
      <c r="C2314" s="2">
        <v>25</v>
      </c>
      <c r="D2314" s="2">
        <v>5</v>
      </c>
      <c r="E2314" s="2">
        <v>16</v>
      </c>
      <c r="F2314" s="17">
        <v>134</v>
      </c>
      <c r="H2314" s="360">
        <v>1</v>
      </c>
      <c r="I2314" s="360">
        <v>0.6360005414644232</v>
      </c>
      <c r="K2314" s="363"/>
      <c r="N2314" s="10"/>
      <c r="O2314" s="4"/>
      <c r="P2314" s="4"/>
      <c r="Q2314" s="3"/>
      <c r="R2314" s="3"/>
      <c r="S2314" s="3"/>
      <c r="T2314" s="3"/>
    </row>
    <row r="2315" spans="1:20">
      <c r="A2315" s="3">
        <v>5</v>
      </c>
      <c r="B2315" s="3">
        <v>2</v>
      </c>
      <c r="C2315" s="2">
        <v>25</v>
      </c>
      <c r="D2315" s="2">
        <v>5</v>
      </c>
      <c r="E2315" s="2">
        <v>16</v>
      </c>
      <c r="F2315" s="17">
        <v>134</v>
      </c>
      <c r="H2315" s="360">
        <v>0.94010753687047488</v>
      </c>
      <c r="I2315" s="360">
        <v>0.29581950709412258</v>
      </c>
      <c r="K2315" s="363"/>
      <c r="N2315" s="10"/>
      <c r="O2315" s="4"/>
      <c r="P2315" s="4"/>
      <c r="Q2315" s="3"/>
      <c r="R2315" s="3"/>
      <c r="S2315" s="3"/>
      <c r="T2315" s="3"/>
    </row>
    <row r="2316" spans="1:20">
      <c r="A2316" s="3">
        <v>5</v>
      </c>
      <c r="B2316" s="3">
        <v>2</v>
      </c>
      <c r="C2316" s="2">
        <v>50</v>
      </c>
      <c r="D2316" s="2">
        <v>5</v>
      </c>
      <c r="E2316" s="2">
        <v>16</v>
      </c>
      <c r="F2316" s="17">
        <v>134</v>
      </c>
      <c r="H2316" s="360">
        <v>1</v>
      </c>
      <c r="I2316" s="360">
        <v>0.2943585154646981</v>
      </c>
      <c r="K2316" s="363"/>
      <c r="N2316" s="10"/>
      <c r="O2316" s="4"/>
      <c r="P2316" s="4"/>
      <c r="Q2316" s="3"/>
      <c r="R2316" s="3"/>
      <c r="S2316" s="3"/>
      <c r="T2316" s="3"/>
    </row>
    <row r="2317" spans="1:20">
      <c r="A2317" s="3">
        <v>4</v>
      </c>
      <c r="B2317" s="3">
        <v>2</v>
      </c>
      <c r="C2317" s="2">
        <v>50</v>
      </c>
      <c r="D2317" s="2">
        <v>5</v>
      </c>
      <c r="E2317" s="2">
        <v>16</v>
      </c>
      <c r="F2317" s="17">
        <v>134</v>
      </c>
      <c r="H2317" s="360">
        <v>0.99120522952022749</v>
      </c>
      <c r="I2317" s="360">
        <v>0.2244593586875466</v>
      </c>
      <c r="K2317" s="363"/>
      <c r="N2317" s="10"/>
      <c r="O2317" s="4"/>
      <c r="P2317" s="4"/>
      <c r="Q2317" s="3"/>
      <c r="R2317" s="3"/>
      <c r="S2317" s="3"/>
      <c r="T2317" s="3"/>
    </row>
    <row r="2318" spans="1:20">
      <c r="A2318" s="3">
        <v>4</v>
      </c>
      <c r="B2318" s="3">
        <v>2</v>
      </c>
      <c r="C2318" s="2">
        <v>50</v>
      </c>
      <c r="D2318" s="2">
        <v>5</v>
      </c>
      <c r="E2318" s="2">
        <v>16</v>
      </c>
      <c r="F2318" s="17">
        <v>135</v>
      </c>
      <c r="H2318" s="360">
        <v>0.65152188969635738</v>
      </c>
      <c r="I2318" s="360">
        <v>0.35794708109107543</v>
      </c>
      <c r="K2318" s="363"/>
      <c r="N2318" s="10"/>
      <c r="O2318" s="4"/>
      <c r="P2318" s="4"/>
      <c r="Q2318" s="3"/>
      <c r="R2318" s="3"/>
      <c r="S2318" s="3"/>
      <c r="T2318" s="3"/>
    </row>
    <row r="2319" spans="1:20">
      <c r="A2319" s="3">
        <v>5</v>
      </c>
      <c r="B2319" s="3">
        <v>2</v>
      </c>
      <c r="C2319" s="2">
        <v>25</v>
      </c>
      <c r="D2319" s="2">
        <v>5</v>
      </c>
      <c r="E2319" s="2">
        <v>16</v>
      </c>
      <c r="F2319" s="17">
        <v>135</v>
      </c>
      <c r="H2319" s="360">
        <v>6.4844110805260424E-2</v>
      </c>
      <c r="I2319" s="360">
        <v>-7.2427659017592586E-2</v>
      </c>
      <c r="K2319" s="363"/>
      <c r="N2319" s="10"/>
      <c r="O2319" s="4"/>
      <c r="P2319" s="4"/>
      <c r="Q2319" s="3"/>
      <c r="R2319" s="3"/>
      <c r="S2319" s="3"/>
      <c r="T2319" s="3"/>
    </row>
    <row r="2320" spans="1:20">
      <c r="A2320" s="3">
        <v>5</v>
      </c>
      <c r="B2320" s="3">
        <v>2</v>
      </c>
      <c r="C2320" s="2">
        <v>50</v>
      </c>
      <c r="D2320" s="2">
        <v>5</v>
      </c>
      <c r="E2320" s="2">
        <v>16</v>
      </c>
      <c r="F2320" s="17">
        <v>135</v>
      </c>
      <c r="H2320" s="360">
        <v>0.28258608442693733</v>
      </c>
      <c r="I2320" s="360">
        <v>-0.10556696141797257</v>
      </c>
      <c r="K2320" s="363"/>
      <c r="N2320" s="10"/>
      <c r="O2320" s="4"/>
      <c r="P2320" s="4"/>
      <c r="Q2320" s="3"/>
      <c r="R2320" s="3"/>
      <c r="S2320" s="3"/>
      <c r="T2320" s="3"/>
    </row>
    <row r="2321" spans="1:20">
      <c r="A2321" s="3">
        <v>1</v>
      </c>
      <c r="B2321" s="3">
        <v>2</v>
      </c>
      <c r="C2321" s="2">
        <v>25</v>
      </c>
      <c r="D2321" s="2">
        <v>5</v>
      </c>
      <c r="E2321" s="2">
        <v>16</v>
      </c>
      <c r="F2321" s="17">
        <v>135</v>
      </c>
      <c r="H2321" s="360">
        <v>1</v>
      </c>
      <c r="I2321" s="360">
        <v>-0.82538339842281017</v>
      </c>
      <c r="K2321" s="363"/>
      <c r="N2321" s="10"/>
      <c r="O2321" s="4"/>
      <c r="P2321" s="4"/>
      <c r="Q2321" s="3"/>
      <c r="R2321" s="3"/>
      <c r="S2321" s="3"/>
      <c r="T2321" s="3"/>
    </row>
    <row r="2322" spans="1:20">
      <c r="A2322" s="3">
        <v>1</v>
      </c>
      <c r="B2322" s="3">
        <v>2</v>
      </c>
      <c r="C2322" s="2">
        <v>25</v>
      </c>
      <c r="D2322" s="2">
        <v>30</v>
      </c>
      <c r="E2322" s="2">
        <v>16</v>
      </c>
      <c r="F2322" s="17">
        <v>135</v>
      </c>
      <c r="H2322" s="360">
        <v>1</v>
      </c>
      <c r="I2322" s="360">
        <v>-0.82843502872787889</v>
      </c>
      <c r="K2322" s="363"/>
      <c r="N2322" s="10"/>
      <c r="O2322" s="4"/>
      <c r="P2322" s="4"/>
      <c r="Q2322" s="3"/>
      <c r="R2322" s="3"/>
      <c r="S2322" s="3"/>
      <c r="T2322" s="3"/>
    </row>
    <row r="2323" spans="1:20">
      <c r="A2323" s="3">
        <v>1</v>
      </c>
      <c r="B2323" s="3">
        <v>2</v>
      </c>
      <c r="C2323" s="2">
        <v>25</v>
      </c>
      <c r="D2323" s="2">
        <v>5</v>
      </c>
      <c r="E2323" s="2">
        <v>16</v>
      </c>
      <c r="F2323" s="17">
        <v>135</v>
      </c>
      <c r="H2323" s="360">
        <v>0.98677305455529596</v>
      </c>
      <c r="I2323" s="360">
        <v>-0.85191463820161939</v>
      </c>
      <c r="K2323" s="363"/>
      <c r="N2323" s="10"/>
      <c r="O2323" s="4"/>
      <c r="P2323" s="4"/>
      <c r="Q2323" s="3"/>
      <c r="R2323" s="3"/>
      <c r="S2323" s="3"/>
      <c r="T2323" s="3"/>
    </row>
    <row r="2324" spans="1:20">
      <c r="A2324" s="3">
        <v>3</v>
      </c>
      <c r="B2324" s="3">
        <v>2</v>
      </c>
      <c r="C2324" s="2">
        <v>25</v>
      </c>
      <c r="D2324" s="2">
        <v>5</v>
      </c>
      <c r="E2324" s="2">
        <v>1</v>
      </c>
      <c r="F2324" s="17">
        <v>135</v>
      </c>
      <c r="H2324" s="360">
        <v>0.96327401102062649</v>
      </c>
      <c r="I2324" s="360">
        <v>-0.88032862804377654</v>
      </c>
      <c r="K2324" s="363"/>
      <c r="N2324" s="10"/>
      <c r="O2324" s="4"/>
      <c r="P2324" s="4"/>
      <c r="Q2324" s="3"/>
      <c r="R2324" s="3"/>
      <c r="S2324" s="3"/>
      <c r="T2324" s="3"/>
    </row>
    <row r="2325" spans="1:20">
      <c r="A2325" s="3">
        <v>3</v>
      </c>
      <c r="B2325" s="3">
        <v>2</v>
      </c>
      <c r="C2325" s="2">
        <v>25</v>
      </c>
      <c r="D2325" s="2">
        <v>5</v>
      </c>
      <c r="E2325" s="2">
        <v>16</v>
      </c>
      <c r="F2325" s="17">
        <v>135</v>
      </c>
      <c r="H2325" s="360">
        <v>0.98363871141651282</v>
      </c>
      <c r="I2325" s="360">
        <v>-0.89923488986902445</v>
      </c>
      <c r="K2325" s="363"/>
      <c r="N2325" s="10"/>
      <c r="O2325" s="4"/>
      <c r="P2325" s="4"/>
      <c r="Q2325" s="3"/>
      <c r="R2325" s="3"/>
      <c r="S2325" s="3"/>
      <c r="T2325" s="3"/>
    </row>
    <row r="2326" spans="1:20">
      <c r="A2326" s="3">
        <v>3</v>
      </c>
      <c r="B2326" s="3">
        <v>1</v>
      </c>
      <c r="C2326" s="2">
        <v>25</v>
      </c>
      <c r="D2326" s="2">
        <v>5</v>
      </c>
      <c r="E2326" s="2">
        <v>16</v>
      </c>
      <c r="F2326" s="17">
        <v>135</v>
      </c>
      <c r="H2326" s="360">
        <v>0.97058882461231333</v>
      </c>
      <c r="I2326" s="360">
        <v>-0.92334424682810334</v>
      </c>
      <c r="K2326" s="363"/>
      <c r="N2326" s="10"/>
      <c r="O2326" s="4"/>
      <c r="P2326" s="4"/>
      <c r="Q2326" s="3"/>
      <c r="R2326" s="3"/>
      <c r="S2326" s="3"/>
      <c r="T2326" s="3"/>
    </row>
    <row r="2327" spans="1:20">
      <c r="A2327" s="3">
        <v>1</v>
      </c>
      <c r="B2327" s="3">
        <v>1</v>
      </c>
      <c r="C2327" s="2">
        <v>25</v>
      </c>
      <c r="D2327" s="2">
        <v>5</v>
      </c>
      <c r="E2327" s="2">
        <v>16</v>
      </c>
      <c r="F2327" s="17">
        <v>135</v>
      </c>
      <c r="H2327" s="360">
        <v>1</v>
      </c>
      <c r="I2327" s="360">
        <v>-0.93152390540568308</v>
      </c>
      <c r="K2327" s="363"/>
      <c r="N2327" s="10"/>
      <c r="O2327" s="4"/>
      <c r="P2327" s="4"/>
      <c r="Q2327" s="3"/>
      <c r="R2327" s="3"/>
      <c r="S2327" s="3"/>
      <c r="T2327" s="3"/>
    </row>
    <row r="2328" spans="1:20">
      <c r="A2328" s="3">
        <v>3</v>
      </c>
      <c r="B2328" s="3">
        <v>1</v>
      </c>
      <c r="C2328" s="2">
        <v>25</v>
      </c>
      <c r="D2328" s="2">
        <v>5</v>
      </c>
      <c r="E2328" s="2">
        <v>1</v>
      </c>
      <c r="F2328" s="17">
        <v>135</v>
      </c>
      <c r="H2328" s="360">
        <v>0.95757682783423326</v>
      </c>
      <c r="I2328" s="360">
        <v>-0.93163912397629889</v>
      </c>
      <c r="K2328" s="363"/>
      <c r="N2328" s="10"/>
      <c r="O2328" s="4"/>
      <c r="P2328" s="4"/>
      <c r="Q2328" s="3"/>
      <c r="R2328" s="3"/>
      <c r="S2328" s="3"/>
      <c r="T2328" s="3"/>
    </row>
    <row r="2329" spans="1:20">
      <c r="A2329" s="3">
        <v>1</v>
      </c>
      <c r="B2329" s="3">
        <v>1</v>
      </c>
      <c r="C2329" s="2">
        <v>25</v>
      </c>
      <c r="D2329" s="2">
        <v>30</v>
      </c>
      <c r="E2329" s="2">
        <v>16</v>
      </c>
      <c r="F2329" s="17">
        <v>135</v>
      </c>
      <c r="H2329" s="360">
        <v>1</v>
      </c>
      <c r="I2329" s="360">
        <v>-0.94880719002029767</v>
      </c>
      <c r="K2329" s="363"/>
      <c r="N2329" s="10"/>
      <c r="O2329" s="4"/>
      <c r="P2329" s="4"/>
      <c r="Q2329" s="3"/>
      <c r="R2329" s="3"/>
      <c r="S2329" s="3"/>
      <c r="T2329" s="3"/>
    </row>
    <row r="2330" spans="1:20">
      <c r="A2330" s="3">
        <v>2</v>
      </c>
      <c r="B2330" s="3">
        <v>1</v>
      </c>
      <c r="C2330" s="2">
        <v>25</v>
      </c>
      <c r="D2330" s="2">
        <v>5</v>
      </c>
      <c r="E2330" s="2">
        <v>1</v>
      </c>
      <c r="F2330" s="17">
        <v>135</v>
      </c>
      <c r="H2330" s="360">
        <v>1</v>
      </c>
      <c r="I2330" s="360">
        <v>-0.94946666427935245</v>
      </c>
      <c r="K2330" s="363"/>
      <c r="N2330" s="10"/>
      <c r="O2330" s="4"/>
      <c r="P2330" s="4"/>
      <c r="Q2330" s="3"/>
      <c r="R2330" s="3"/>
      <c r="S2330" s="3"/>
      <c r="T2330" s="3"/>
    </row>
    <row r="2331" spans="1:20">
      <c r="A2331" s="3">
        <v>2</v>
      </c>
      <c r="B2331" s="3">
        <v>1</v>
      </c>
      <c r="C2331" s="2">
        <v>25</v>
      </c>
      <c r="D2331" s="2">
        <v>5</v>
      </c>
      <c r="E2331" s="2">
        <v>16</v>
      </c>
      <c r="F2331" s="17">
        <v>135</v>
      </c>
      <c r="H2331" s="360">
        <v>1</v>
      </c>
      <c r="I2331" s="360">
        <v>-0.94947518435614953</v>
      </c>
      <c r="K2331" s="363"/>
      <c r="N2331" s="10"/>
      <c r="O2331" s="4"/>
      <c r="P2331" s="4"/>
      <c r="Q2331" s="3"/>
      <c r="R2331" s="3"/>
      <c r="S2331" s="3"/>
      <c r="T2331" s="3"/>
    </row>
    <row r="2332" spans="1:20">
      <c r="A2332" s="3">
        <v>1</v>
      </c>
      <c r="B2332" s="3">
        <v>1</v>
      </c>
      <c r="C2332" s="2">
        <v>25</v>
      </c>
      <c r="D2332" s="2">
        <v>5</v>
      </c>
      <c r="E2332" s="2">
        <v>1</v>
      </c>
      <c r="F2332" s="17">
        <v>135</v>
      </c>
      <c r="H2332" s="360">
        <v>0.99161818034664084</v>
      </c>
      <c r="I2332" s="360">
        <v>-0.95069034836144217</v>
      </c>
      <c r="K2332" s="363"/>
      <c r="N2332" s="10"/>
      <c r="O2332" s="4"/>
      <c r="P2332" s="4"/>
      <c r="Q2332" s="3"/>
      <c r="R2332" s="3"/>
      <c r="S2332" s="3"/>
      <c r="T2332" s="3"/>
    </row>
    <row r="2333" spans="1:20">
      <c r="A2333" s="3">
        <v>2</v>
      </c>
      <c r="B2333" s="3">
        <v>2</v>
      </c>
      <c r="C2333" s="2">
        <v>25</v>
      </c>
      <c r="D2333" s="2">
        <v>5</v>
      </c>
      <c r="E2333" s="2">
        <v>1</v>
      </c>
      <c r="F2333" s="17">
        <v>135</v>
      </c>
      <c r="H2333" s="360">
        <v>1</v>
      </c>
      <c r="I2333" s="360">
        <v>-0.97404300714327474</v>
      </c>
      <c r="K2333" s="363"/>
      <c r="N2333" s="10"/>
      <c r="O2333" s="4"/>
      <c r="P2333" s="4"/>
      <c r="Q2333" s="3"/>
      <c r="R2333" s="3"/>
      <c r="S2333" s="3"/>
      <c r="T2333" s="3"/>
    </row>
    <row r="2334" spans="1:20">
      <c r="A2334" s="3">
        <v>2</v>
      </c>
      <c r="B2334" s="3">
        <v>2</v>
      </c>
      <c r="C2334" s="2">
        <v>25</v>
      </c>
      <c r="D2334" s="2">
        <v>5</v>
      </c>
      <c r="E2334" s="2">
        <v>16</v>
      </c>
      <c r="F2334" s="17">
        <v>135</v>
      </c>
      <c r="H2334" s="360">
        <v>1</v>
      </c>
      <c r="I2334" s="360">
        <v>-0.99119492345749827</v>
      </c>
      <c r="K2334" s="363"/>
      <c r="N2334" s="10"/>
      <c r="O2334" s="4"/>
      <c r="P2334" s="4"/>
      <c r="Q2334" s="3"/>
      <c r="R2334" s="3"/>
      <c r="S2334" s="3"/>
      <c r="T2334" s="3"/>
    </row>
    <row r="2335" spans="1:20">
      <c r="A2335" s="3">
        <v>1</v>
      </c>
      <c r="B2335" s="3">
        <v>2</v>
      </c>
      <c r="C2335" s="2">
        <v>25</v>
      </c>
      <c r="D2335" s="2">
        <v>5</v>
      </c>
      <c r="E2335" s="2">
        <v>1</v>
      </c>
      <c r="F2335" s="17">
        <v>135</v>
      </c>
      <c r="H2335" s="360">
        <v>3.5104087189371525E-2</v>
      </c>
      <c r="I2335" s="360">
        <v>-1</v>
      </c>
      <c r="K2335" s="363"/>
      <c r="N2335" s="10"/>
      <c r="O2335" s="4"/>
      <c r="P2335" s="4"/>
      <c r="Q2335" s="3"/>
      <c r="R2335" s="3"/>
      <c r="S2335" s="3"/>
      <c r="T2335" s="3"/>
    </row>
    <row r="2336" spans="1:20">
      <c r="A2336" s="3">
        <v>1</v>
      </c>
      <c r="B2336" s="3">
        <v>1</v>
      </c>
      <c r="C2336" s="2">
        <v>25</v>
      </c>
      <c r="D2336" s="2">
        <v>5</v>
      </c>
      <c r="E2336" s="2">
        <v>16</v>
      </c>
      <c r="F2336" s="17">
        <v>136</v>
      </c>
      <c r="H2336" s="360">
        <v>1</v>
      </c>
      <c r="I2336" s="360">
        <v>0.66932406701886227</v>
      </c>
      <c r="K2336" s="363"/>
      <c r="N2336" s="10"/>
      <c r="O2336" s="4"/>
      <c r="P2336" s="4"/>
      <c r="Q2336" s="3"/>
      <c r="R2336" s="3"/>
      <c r="S2336" s="3"/>
      <c r="T2336" s="3"/>
    </row>
    <row r="2337" spans="1:20">
      <c r="A2337" s="3">
        <v>2</v>
      </c>
      <c r="B2337" s="3">
        <v>2</v>
      </c>
      <c r="C2337" s="2">
        <v>25</v>
      </c>
      <c r="D2337" s="2">
        <v>5</v>
      </c>
      <c r="E2337" s="2">
        <v>1</v>
      </c>
      <c r="F2337" s="17">
        <v>136</v>
      </c>
      <c r="H2337" s="360">
        <v>0.99569359564348825</v>
      </c>
      <c r="I2337" s="360">
        <v>0.65092496767484043</v>
      </c>
      <c r="K2337" s="363"/>
      <c r="N2337" s="10"/>
      <c r="O2337" s="4"/>
      <c r="P2337" s="4"/>
      <c r="Q2337" s="3"/>
      <c r="R2337" s="3"/>
      <c r="S2337" s="3"/>
      <c r="T2337" s="3"/>
    </row>
    <row r="2338" spans="1:20">
      <c r="A2338" s="3">
        <v>3</v>
      </c>
      <c r="B2338" s="3">
        <v>2</v>
      </c>
      <c r="C2338" s="2">
        <v>25</v>
      </c>
      <c r="D2338" s="2">
        <v>5</v>
      </c>
      <c r="E2338" s="2">
        <v>1</v>
      </c>
      <c r="F2338" s="17">
        <v>136</v>
      </c>
      <c r="H2338" s="360">
        <v>1</v>
      </c>
      <c r="I2338" s="360">
        <v>0.62672318797024196</v>
      </c>
      <c r="K2338" s="363"/>
      <c r="N2338" s="10"/>
      <c r="O2338" s="4"/>
      <c r="P2338" s="4"/>
      <c r="Q2338" s="3"/>
      <c r="R2338" s="3"/>
      <c r="S2338" s="3"/>
      <c r="T2338" s="3"/>
    </row>
    <row r="2339" spans="1:20">
      <c r="A2339" s="3">
        <v>1</v>
      </c>
      <c r="B2339" s="3">
        <v>1</v>
      </c>
      <c r="C2339" s="2">
        <v>25</v>
      </c>
      <c r="D2339" s="2">
        <v>5</v>
      </c>
      <c r="E2339" s="2">
        <v>1</v>
      </c>
      <c r="F2339" s="17">
        <v>136</v>
      </c>
      <c r="H2339" s="360">
        <v>1</v>
      </c>
      <c r="I2339" s="360">
        <v>0.62244198324955613</v>
      </c>
      <c r="K2339" s="363"/>
      <c r="N2339" s="10"/>
      <c r="O2339" s="4"/>
      <c r="P2339" s="4"/>
      <c r="Q2339" s="3"/>
      <c r="R2339" s="3"/>
      <c r="S2339" s="3"/>
      <c r="T2339" s="3"/>
    </row>
    <row r="2340" spans="1:20">
      <c r="A2340" s="3">
        <v>3</v>
      </c>
      <c r="B2340" s="3">
        <v>2</v>
      </c>
      <c r="C2340" s="2">
        <v>25</v>
      </c>
      <c r="D2340" s="2">
        <v>5</v>
      </c>
      <c r="E2340" s="2">
        <v>16</v>
      </c>
      <c r="F2340" s="17">
        <v>136</v>
      </c>
      <c r="H2340" s="360">
        <v>1</v>
      </c>
      <c r="I2340" s="360">
        <v>0.6002316798375068</v>
      </c>
      <c r="K2340" s="363"/>
      <c r="N2340" s="10"/>
      <c r="O2340" s="4"/>
      <c r="P2340" s="4"/>
      <c r="Q2340" s="3"/>
      <c r="R2340" s="3"/>
      <c r="S2340" s="3"/>
      <c r="T2340" s="3"/>
    </row>
    <row r="2341" spans="1:20">
      <c r="A2341" s="3">
        <v>1</v>
      </c>
      <c r="B2341" s="3">
        <v>2</v>
      </c>
      <c r="C2341" s="2">
        <v>25</v>
      </c>
      <c r="D2341" s="2">
        <v>5</v>
      </c>
      <c r="E2341" s="2">
        <v>1</v>
      </c>
      <c r="F2341" s="17">
        <v>136</v>
      </c>
      <c r="H2341" s="360">
        <v>0.29775244359443964</v>
      </c>
      <c r="I2341" s="360">
        <v>0.59190194515737193</v>
      </c>
      <c r="K2341" s="363"/>
      <c r="N2341" s="10"/>
      <c r="O2341" s="4"/>
      <c r="P2341" s="4"/>
      <c r="Q2341" s="3"/>
      <c r="R2341" s="3"/>
      <c r="S2341" s="3"/>
      <c r="T2341" s="3"/>
    </row>
    <row r="2342" spans="1:20">
      <c r="A2342" s="3">
        <v>2</v>
      </c>
      <c r="B2342" s="3">
        <v>2</v>
      </c>
      <c r="C2342" s="2">
        <v>25</v>
      </c>
      <c r="D2342" s="2">
        <v>5</v>
      </c>
      <c r="E2342" s="2">
        <v>16</v>
      </c>
      <c r="F2342" s="17">
        <v>136</v>
      </c>
      <c r="H2342" s="360">
        <v>0.99741942088301183</v>
      </c>
      <c r="I2342" s="360">
        <v>0.58850301511672698</v>
      </c>
      <c r="K2342" s="363"/>
      <c r="N2342" s="10"/>
      <c r="O2342" s="4"/>
      <c r="P2342" s="4"/>
      <c r="Q2342" s="3"/>
      <c r="R2342" s="3"/>
      <c r="S2342" s="3"/>
      <c r="T2342" s="3"/>
    </row>
    <row r="2343" spans="1:20">
      <c r="A2343" s="3">
        <v>1</v>
      </c>
      <c r="B2343" s="3">
        <v>2</v>
      </c>
      <c r="C2343" s="2">
        <v>25</v>
      </c>
      <c r="D2343" s="2">
        <v>5</v>
      </c>
      <c r="E2343" s="2">
        <v>16</v>
      </c>
      <c r="F2343" s="17">
        <v>136</v>
      </c>
      <c r="H2343" s="360">
        <v>1</v>
      </c>
      <c r="I2343" s="360">
        <v>0.5761366214459811</v>
      </c>
      <c r="K2343" s="363"/>
      <c r="N2343" s="10"/>
      <c r="O2343" s="4"/>
      <c r="P2343" s="4"/>
      <c r="Q2343" s="3"/>
      <c r="R2343" s="3"/>
      <c r="S2343" s="3"/>
      <c r="T2343" s="3"/>
    </row>
    <row r="2344" spans="1:20">
      <c r="A2344" s="3">
        <v>3</v>
      </c>
      <c r="B2344" s="3">
        <v>1</v>
      </c>
      <c r="C2344" s="2">
        <v>25</v>
      </c>
      <c r="D2344" s="2">
        <v>5</v>
      </c>
      <c r="E2344" s="2">
        <v>16</v>
      </c>
      <c r="F2344" s="17">
        <v>136</v>
      </c>
      <c r="H2344" s="360">
        <v>1</v>
      </c>
      <c r="I2344" s="360">
        <v>0.54502605444897867</v>
      </c>
      <c r="K2344" s="363"/>
      <c r="N2344" s="10"/>
      <c r="O2344" s="4"/>
      <c r="P2344" s="4"/>
      <c r="Q2344" s="3"/>
      <c r="R2344" s="3"/>
      <c r="S2344" s="3"/>
      <c r="T2344" s="3"/>
    </row>
    <row r="2345" spans="1:20">
      <c r="A2345" s="3">
        <v>1</v>
      </c>
      <c r="B2345" s="3">
        <v>2</v>
      </c>
      <c r="C2345" s="2">
        <v>25</v>
      </c>
      <c r="D2345" s="2">
        <v>5</v>
      </c>
      <c r="E2345" s="2">
        <v>16</v>
      </c>
      <c r="F2345" s="17">
        <v>136</v>
      </c>
      <c r="H2345" s="360">
        <v>1</v>
      </c>
      <c r="I2345" s="360">
        <v>0.52591514026465302</v>
      </c>
      <c r="K2345" s="363"/>
      <c r="N2345" s="10"/>
      <c r="O2345" s="4"/>
      <c r="P2345" s="4"/>
      <c r="Q2345" s="3"/>
      <c r="R2345" s="3"/>
      <c r="S2345" s="3"/>
      <c r="T2345" s="3"/>
    </row>
    <row r="2346" spans="1:20">
      <c r="A2346" s="3">
        <v>3</v>
      </c>
      <c r="B2346" s="3">
        <v>1</v>
      </c>
      <c r="C2346" s="2">
        <v>25</v>
      </c>
      <c r="D2346" s="2">
        <v>5</v>
      </c>
      <c r="E2346" s="2">
        <v>1</v>
      </c>
      <c r="F2346" s="17">
        <v>136</v>
      </c>
      <c r="H2346" s="360">
        <v>0.16499874933560954</v>
      </c>
      <c r="I2346" s="360">
        <v>0.49330384113668252</v>
      </c>
      <c r="K2346" s="363"/>
      <c r="N2346" s="10"/>
      <c r="O2346" s="4"/>
      <c r="P2346" s="4"/>
      <c r="Q2346" s="3"/>
      <c r="R2346" s="3"/>
      <c r="S2346" s="3"/>
      <c r="T2346" s="3"/>
    </row>
    <row r="2347" spans="1:20">
      <c r="A2347" s="3">
        <v>4</v>
      </c>
      <c r="B2347" s="3">
        <v>2</v>
      </c>
      <c r="C2347" s="2">
        <v>50</v>
      </c>
      <c r="D2347" s="2">
        <v>5</v>
      </c>
      <c r="E2347" s="2">
        <v>16</v>
      </c>
      <c r="F2347" s="17">
        <v>136</v>
      </c>
      <c r="H2347" s="360">
        <v>1</v>
      </c>
      <c r="I2347" s="360">
        <v>0.48585526896244169</v>
      </c>
      <c r="K2347" s="363"/>
      <c r="N2347" s="10"/>
      <c r="O2347" s="4"/>
      <c r="P2347" s="4"/>
      <c r="Q2347" s="3"/>
      <c r="R2347" s="3"/>
      <c r="S2347" s="3"/>
      <c r="T2347" s="3"/>
    </row>
    <row r="2348" spans="1:20">
      <c r="A2348" s="3">
        <v>2</v>
      </c>
      <c r="B2348" s="3">
        <v>1</v>
      </c>
      <c r="C2348" s="2">
        <v>25</v>
      </c>
      <c r="D2348" s="2">
        <v>5</v>
      </c>
      <c r="E2348" s="2">
        <v>1</v>
      </c>
      <c r="F2348" s="17">
        <v>136</v>
      </c>
      <c r="H2348" s="360">
        <v>0.9891825135100395</v>
      </c>
      <c r="I2348" s="360">
        <v>0.41660078982936677</v>
      </c>
      <c r="K2348" s="363"/>
      <c r="N2348" s="10"/>
      <c r="O2348" s="4"/>
      <c r="P2348" s="4"/>
      <c r="Q2348" s="3"/>
      <c r="R2348" s="3"/>
      <c r="S2348" s="3"/>
      <c r="T2348" s="3"/>
    </row>
    <row r="2349" spans="1:20">
      <c r="A2349" s="3">
        <v>1</v>
      </c>
      <c r="B2349" s="3">
        <v>2</v>
      </c>
      <c r="C2349" s="2">
        <v>25</v>
      </c>
      <c r="D2349" s="2">
        <v>30</v>
      </c>
      <c r="E2349" s="2">
        <v>16</v>
      </c>
      <c r="F2349" s="17">
        <v>136</v>
      </c>
      <c r="H2349" s="360">
        <v>1</v>
      </c>
      <c r="I2349" s="360">
        <v>0.35081168606252749</v>
      </c>
      <c r="K2349" s="363"/>
      <c r="N2349" s="10"/>
      <c r="O2349" s="4"/>
      <c r="P2349" s="4"/>
      <c r="Q2349" s="3"/>
      <c r="R2349" s="3"/>
      <c r="S2349" s="3"/>
      <c r="T2349" s="3"/>
    </row>
    <row r="2350" spans="1:20">
      <c r="A2350" s="3">
        <v>2</v>
      </c>
      <c r="B2350" s="3">
        <v>1</v>
      </c>
      <c r="C2350" s="2">
        <v>25</v>
      </c>
      <c r="D2350" s="2">
        <v>5</v>
      </c>
      <c r="E2350" s="2">
        <v>16</v>
      </c>
      <c r="F2350" s="17">
        <v>136</v>
      </c>
      <c r="H2350" s="360">
        <v>1</v>
      </c>
      <c r="I2350" s="360">
        <v>0.34325820181812411</v>
      </c>
      <c r="K2350" s="363"/>
      <c r="N2350" s="10"/>
      <c r="O2350" s="4"/>
      <c r="P2350" s="4"/>
      <c r="Q2350" s="3"/>
      <c r="R2350" s="3"/>
      <c r="S2350" s="3"/>
      <c r="T2350" s="3"/>
    </row>
    <row r="2351" spans="1:20">
      <c r="A2351" s="3">
        <v>1</v>
      </c>
      <c r="B2351" s="3">
        <v>1</v>
      </c>
      <c r="C2351" s="2">
        <v>25</v>
      </c>
      <c r="D2351" s="2">
        <v>30</v>
      </c>
      <c r="E2351" s="2">
        <v>16</v>
      </c>
      <c r="F2351" s="17">
        <v>136</v>
      </c>
      <c r="H2351" s="360">
        <v>1</v>
      </c>
      <c r="I2351" s="360">
        <v>0.31928450676891379</v>
      </c>
      <c r="K2351" s="363"/>
      <c r="N2351" s="10"/>
      <c r="O2351" s="4"/>
      <c r="P2351" s="4"/>
      <c r="Q2351" s="3"/>
      <c r="R2351" s="3"/>
      <c r="S2351" s="3"/>
      <c r="T2351" s="3"/>
    </row>
    <row r="2352" spans="1:20">
      <c r="A2352" s="3">
        <v>5</v>
      </c>
      <c r="B2352" s="3">
        <v>2</v>
      </c>
      <c r="C2352" s="2">
        <v>25</v>
      </c>
      <c r="D2352" s="2">
        <v>5</v>
      </c>
      <c r="E2352" s="2">
        <v>16</v>
      </c>
      <c r="F2352" s="17">
        <v>136</v>
      </c>
      <c r="H2352" s="360">
        <v>1</v>
      </c>
      <c r="I2352" s="360">
        <v>6.0673050203418837E-2</v>
      </c>
      <c r="K2352" s="363"/>
      <c r="N2352" s="10"/>
      <c r="O2352" s="4"/>
      <c r="P2352" s="4"/>
      <c r="Q2352" s="3"/>
      <c r="R2352" s="3"/>
      <c r="S2352" s="3"/>
      <c r="T2352" s="3"/>
    </row>
    <row r="2353" spans="1:20">
      <c r="A2353" s="3">
        <v>5</v>
      </c>
      <c r="B2353" s="3">
        <v>2</v>
      </c>
      <c r="C2353" s="2">
        <v>50</v>
      </c>
      <c r="D2353" s="2">
        <v>5</v>
      </c>
      <c r="E2353" s="2">
        <v>16</v>
      </c>
      <c r="F2353" s="17">
        <v>136</v>
      </c>
      <c r="H2353" s="360">
        <v>1</v>
      </c>
      <c r="I2353" s="360">
        <v>5.7988547337189895E-2</v>
      </c>
      <c r="K2353" s="363"/>
      <c r="N2353" s="10"/>
      <c r="O2353" s="4"/>
      <c r="P2353" s="4"/>
      <c r="Q2353" s="3"/>
      <c r="R2353" s="3"/>
      <c r="S2353" s="3"/>
      <c r="T2353" s="3"/>
    </row>
    <row r="2354" spans="1:20">
      <c r="A2354" s="3">
        <v>2</v>
      </c>
      <c r="B2354" s="3">
        <v>2</v>
      </c>
      <c r="C2354" s="2">
        <v>25</v>
      </c>
      <c r="D2354" s="2">
        <v>5</v>
      </c>
      <c r="E2354" s="2">
        <v>16</v>
      </c>
      <c r="F2354" s="17">
        <v>137</v>
      </c>
      <c r="H2354" s="360">
        <v>0.99125666324000583</v>
      </c>
      <c r="I2354" s="360">
        <v>0.72688354641477559</v>
      </c>
      <c r="K2354" s="363"/>
      <c r="N2354" s="10"/>
      <c r="O2354" s="4"/>
      <c r="P2354" s="4"/>
      <c r="Q2354" s="3"/>
      <c r="R2354" s="3"/>
      <c r="S2354" s="3"/>
      <c r="T2354" s="3"/>
    </row>
    <row r="2355" spans="1:20">
      <c r="A2355" s="3">
        <v>2</v>
      </c>
      <c r="B2355" s="3">
        <v>2</v>
      </c>
      <c r="C2355" s="2">
        <v>25</v>
      </c>
      <c r="D2355" s="2">
        <v>5</v>
      </c>
      <c r="E2355" s="2">
        <v>1</v>
      </c>
      <c r="F2355" s="17">
        <v>137</v>
      </c>
      <c r="H2355" s="360">
        <v>0.99811592926818715</v>
      </c>
      <c r="I2355" s="360">
        <v>0.7106063069178824</v>
      </c>
      <c r="K2355" s="363"/>
      <c r="N2355" s="10"/>
      <c r="O2355" s="4"/>
      <c r="P2355" s="4"/>
      <c r="Q2355" s="3"/>
      <c r="R2355" s="3"/>
      <c r="S2355" s="3"/>
      <c r="T2355" s="3"/>
    </row>
    <row r="2356" spans="1:20">
      <c r="A2356" s="3">
        <v>1</v>
      </c>
      <c r="B2356" s="3">
        <v>1</v>
      </c>
      <c r="C2356" s="2">
        <v>25</v>
      </c>
      <c r="D2356" s="2">
        <v>5</v>
      </c>
      <c r="E2356" s="2">
        <v>16</v>
      </c>
      <c r="F2356" s="17">
        <v>137</v>
      </c>
      <c r="H2356" s="360">
        <v>1</v>
      </c>
      <c r="I2356" s="360">
        <v>0.62093800479159511</v>
      </c>
      <c r="K2356" s="363"/>
      <c r="N2356" s="10"/>
      <c r="O2356" s="4"/>
      <c r="P2356" s="4"/>
      <c r="Q2356" s="3"/>
      <c r="R2356" s="3"/>
      <c r="S2356" s="3"/>
      <c r="T2356" s="3"/>
    </row>
    <row r="2357" spans="1:20">
      <c r="A2357" s="3">
        <v>1</v>
      </c>
      <c r="B2357" s="3">
        <v>1</v>
      </c>
      <c r="C2357" s="2">
        <v>25</v>
      </c>
      <c r="D2357" s="2">
        <v>5</v>
      </c>
      <c r="E2357" s="2">
        <v>1</v>
      </c>
      <c r="F2357" s="17">
        <v>137</v>
      </c>
      <c r="H2357" s="360">
        <v>1</v>
      </c>
      <c r="I2357" s="360">
        <v>0.61530027406398879</v>
      </c>
      <c r="K2357" s="363"/>
      <c r="N2357" s="10"/>
      <c r="O2357" s="4"/>
      <c r="P2357" s="4"/>
      <c r="Q2357" s="3"/>
      <c r="R2357" s="3"/>
      <c r="S2357" s="3"/>
      <c r="T2357" s="3"/>
    </row>
    <row r="2358" spans="1:20">
      <c r="A2358" s="3">
        <v>3</v>
      </c>
      <c r="B2358" s="3">
        <v>1</v>
      </c>
      <c r="C2358" s="2">
        <v>25</v>
      </c>
      <c r="D2358" s="2">
        <v>5</v>
      </c>
      <c r="E2358" s="2">
        <v>1</v>
      </c>
      <c r="F2358" s="17">
        <v>137</v>
      </c>
      <c r="H2358" s="360">
        <v>0.24426417924487576</v>
      </c>
      <c r="I2358" s="360">
        <v>0.60070088269474176</v>
      </c>
      <c r="K2358" s="363"/>
      <c r="N2358" s="10"/>
      <c r="O2358" s="4"/>
      <c r="P2358" s="4"/>
      <c r="Q2358" s="3"/>
      <c r="R2358" s="3"/>
      <c r="S2358" s="3"/>
      <c r="T2358" s="3"/>
    </row>
    <row r="2359" spans="1:20">
      <c r="A2359" s="3">
        <v>3</v>
      </c>
      <c r="B2359" s="3">
        <v>2</v>
      </c>
      <c r="C2359" s="2">
        <v>25</v>
      </c>
      <c r="D2359" s="2">
        <v>5</v>
      </c>
      <c r="E2359" s="2">
        <v>1</v>
      </c>
      <c r="F2359" s="17">
        <v>137</v>
      </c>
      <c r="H2359" s="360">
        <v>1</v>
      </c>
      <c r="I2359" s="360">
        <v>0.56627233329998361</v>
      </c>
      <c r="K2359" s="363"/>
      <c r="N2359" s="10"/>
      <c r="O2359" s="4"/>
      <c r="P2359" s="4"/>
      <c r="Q2359" s="3"/>
      <c r="R2359" s="3"/>
      <c r="S2359" s="3"/>
      <c r="T2359" s="3"/>
    </row>
    <row r="2360" spans="1:20">
      <c r="A2360" s="3">
        <v>3</v>
      </c>
      <c r="B2360" s="3">
        <v>2</v>
      </c>
      <c r="C2360" s="2">
        <v>25</v>
      </c>
      <c r="D2360" s="2">
        <v>5</v>
      </c>
      <c r="E2360" s="2">
        <v>16</v>
      </c>
      <c r="F2360" s="17">
        <v>137</v>
      </c>
      <c r="H2360" s="360">
        <v>1</v>
      </c>
      <c r="I2360" s="360">
        <v>0.55393859238636745</v>
      </c>
      <c r="K2360" s="363"/>
      <c r="N2360" s="10"/>
      <c r="O2360" s="4"/>
      <c r="P2360" s="4"/>
      <c r="Q2360" s="3"/>
      <c r="R2360" s="3"/>
      <c r="S2360" s="3"/>
      <c r="T2360" s="3"/>
    </row>
    <row r="2361" spans="1:20">
      <c r="A2361" s="3">
        <v>3</v>
      </c>
      <c r="B2361" s="3">
        <v>1</v>
      </c>
      <c r="C2361" s="2">
        <v>25</v>
      </c>
      <c r="D2361" s="2">
        <v>5</v>
      </c>
      <c r="E2361" s="2">
        <v>16</v>
      </c>
      <c r="F2361" s="17">
        <v>137</v>
      </c>
      <c r="H2361" s="360">
        <v>1</v>
      </c>
      <c r="I2361" s="360">
        <v>0.54330194328016979</v>
      </c>
      <c r="K2361" s="363"/>
      <c r="N2361" s="10"/>
      <c r="O2361" s="4"/>
      <c r="P2361" s="4"/>
      <c r="Q2361" s="3"/>
      <c r="R2361" s="3"/>
      <c r="S2361" s="3"/>
      <c r="T2361" s="3"/>
    </row>
    <row r="2362" spans="1:20">
      <c r="A2362" s="3">
        <v>2</v>
      </c>
      <c r="B2362" s="3">
        <v>1</v>
      </c>
      <c r="C2362" s="2">
        <v>25</v>
      </c>
      <c r="D2362" s="2">
        <v>5</v>
      </c>
      <c r="E2362" s="2">
        <v>1</v>
      </c>
      <c r="F2362" s="17">
        <v>137</v>
      </c>
      <c r="H2362" s="360">
        <v>1</v>
      </c>
      <c r="I2362" s="360">
        <v>0.46696434941278275</v>
      </c>
      <c r="K2362" s="363"/>
      <c r="N2362" s="10"/>
      <c r="O2362" s="4"/>
      <c r="P2362" s="4"/>
      <c r="Q2362" s="3"/>
      <c r="R2362" s="3"/>
      <c r="S2362" s="3"/>
      <c r="T2362" s="3"/>
    </row>
    <row r="2363" spans="1:20">
      <c r="A2363" s="3">
        <v>4</v>
      </c>
      <c r="B2363" s="3">
        <v>2</v>
      </c>
      <c r="C2363" s="2">
        <v>50</v>
      </c>
      <c r="D2363" s="2">
        <v>5</v>
      </c>
      <c r="E2363" s="2">
        <v>16</v>
      </c>
      <c r="F2363" s="17">
        <v>137</v>
      </c>
      <c r="H2363" s="360">
        <v>1</v>
      </c>
      <c r="I2363" s="360">
        <v>0.44628298344987005</v>
      </c>
      <c r="K2363" s="363"/>
      <c r="N2363" s="10"/>
      <c r="O2363" s="4"/>
      <c r="P2363" s="4"/>
      <c r="Q2363" s="3"/>
      <c r="R2363" s="3"/>
      <c r="S2363" s="3"/>
      <c r="T2363" s="3"/>
    </row>
    <row r="2364" spans="1:20">
      <c r="A2364" s="3">
        <v>2</v>
      </c>
      <c r="B2364" s="3">
        <v>1</v>
      </c>
      <c r="C2364" s="2">
        <v>25</v>
      </c>
      <c r="D2364" s="2">
        <v>5</v>
      </c>
      <c r="E2364" s="2">
        <v>16</v>
      </c>
      <c r="F2364" s="17">
        <v>137</v>
      </c>
      <c r="H2364" s="360">
        <v>1</v>
      </c>
      <c r="I2364" s="360">
        <v>0.43400892111164863</v>
      </c>
      <c r="K2364" s="363"/>
      <c r="N2364" s="10"/>
      <c r="O2364" s="4"/>
      <c r="P2364" s="4"/>
      <c r="Q2364" s="3"/>
      <c r="R2364" s="3"/>
      <c r="S2364" s="3"/>
      <c r="T2364" s="3"/>
    </row>
    <row r="2365" spans="1:20">
      <c r="A2365" s="3">
        <v>1</v>
      </c>
      <c r="B2365" s="3">
        <v>2</v>
      </c>
      <c r="C2365" s="2">
        <v>25</v>
      </c>
      <c r="D2365" s="2">
        <v>5</v>
      </c>
      <c r="E2365" s="2">
        <v>1</v>
      </c>
      <c r="F2365" s="17">
        <v>137</v>
      </c>
      <c r="H2365" s="360">
        <v>0.20121083991714384</v>
      </c>
      <c r="I2365" s="360">
        <v>0.38954457525513819</v>
      </c>
      <c r="K2365" s="363"/>
      <c r="N2365" s="10"/>
      <c r="O2365" s="4"/>
      <c r="P2365" s="4"/>
      <c r="Q2365" s="3"/>
      <c r="R2365" s="3"/>
      <c r="S2365" s="3"/>
      <c r="T2365" s="3"/>
    </row>
    <row r="2366" spans="1:20">
      <c r="A2366" s="3">
        <v>1</v>
      </c>
      <c r="B2366" s="3">
        <v>2</v>
      </c>
      <c r="C2366" s="2">
        <v>25</v>
      </c>
      <c r="D2366" s="2">
        <v>5</v>
      </c>
      <c r="E2366" s="2">
        <v>16</v>
      </c>
      <c r="F2366" s="17">
        <v>137</v>
      </c>
      <c r="H2366" s="360">
        <v>1</v>
      </c>
      <c r="I2366" s="360">
        <v>0.38187538235493823</v>
      </c>
      <c r="K2366" s="363"/>
      <c r="N2366" s="10"/>
      <c r="O2366" s="4"/>
      <c r="P2366" s="4"/>
      <c r="Q2366" s="3"/>
      <c r="R2366" s="3"/>
      <c r="S2366" s="3"/>
      <c r="T2366" s="3"/>
    </row>
    <row r="2367" spans="1:20">
      <c r="A2367" s="3">
        <v>1</v>
      </c>
      <c r="B2367" s="3">
        <v>2</v>
      </c>
      <c r="C2367" s="2">
        <v>25</v>
      </c>
      <c r="D2367" s="2">
        <v>5</v>
      </c>
      <c r="E2367" s="2">
        <v>16</v>
      </c>
      <c r="F2367" s="17">
        <v>137</v>
      </c>
      <c r="H2367" s="360">
        <v>1</v>
      </c>
      <c r="I2367" s="360">
        <v>0.33134843640972084</v>
      </c>
      <c r="K2367" s="363"/>
      <c r="N2367" s="10"/>
      <c r="O2367" s="4"/>
      <c r="P2367" s="4"/>
      <c r="Q2367" s="3"/>
      <c r="R2367" s="3"/>
      <c r="S2367" s="3"/>
      <c r="T2367" s="3"/>
    </row>
    <row r="2368" spans="1:20">
      <c r="A2368" s="3">
        <v>1</v>
      </c>
      <c r="B2368" s="3">
        <v>1</v>
      </c>
      <c r="C2368" s="2">
        <v>25</v>
      </c>
      <c r="D2368" s="2">
        <v>30</v>
      </c>
      <c r="E2368" s="2">
        <v>16</v>
      </c>
      <c r="F2368" s="17">
        <v>137</v>
      </c>
      <c r="H2368" s="360">
        <v>1</v>
      </c>
      <c r="I2368" s="360">
        <v>0.2317844770276955</v>
      </c>
      <c r="K2368" s="363"/>
      <c r="N2368" s="10"/>
      <c r="O2368" s="4"/>
      <c r="P2368" s="4"/>
      <c r="Q2368" s="3"/>
      <c r="R2368" s="3"/>
      <c r="S2368" s="3"/>
      <c r="T2368" s="3"/>
    </row>
    <row r="2369" spans="1:20">
      <c r="A2369" s="3">
        <v>1</v>
      </c>
      <c r="B2369" s="3">
        <v>2</v>
      </c>
      <c r="C2369" s="2">
        <v>25</v>
      </c>
      <c r="D2369" s="2">
        <v>30</v>
      </c>
      <c r="E2369" s="2">
        <v>16</v>
      </c>
      <c r="F2369" s="17">
        <v>137</v>
      </c>
      <c r="H2369" s="360">
        <v>1</v>
      </c>
      <c r="I2369" s="360">
        <v>0.13043262874155334</v>
      </c>
      <c r="K2369" s="363"/>
      <c r="N2369" s="10"/>
      <c r="O2369" s="4"/>
      <c r="P2369" s="4"/>
      <c r="Q2369" s="3"/>
      <c r="R2369" s="3"/>
      <c r="S2369" s="3"/>
      <c r="T2369" s="3"/>
    </row>
    <row r="2370" spans="1:20">
      <c r="A2370" s="3">
        <v>5</v>
      </c>
      <c r="B2370" s="3">
        <v>2</v>
      </c>
      <c r="C2370" s="2">
        <v>50</v>
      </c>
      <c r="D2370" s="2">
        <v>5</v>
      </c>
      <c r="E2370" s="2">
        <v>16</v>
      </c>
      <c r="F2370" s="17">
        <v>137</v>
      </c>
      <c r="H2370" s="360">
        <v>1</v>
      </c>
      <c r="I2370" s="360">
        <v>5.3903739937574392E-2</v>
      </c>
      <c r="K2370" s="363"/>
      <c r="N2370" s="10"/>
      <c r="O2370" s="4"/>
      <c r="P2370" s="4"/>
      <c r="Q2370" s="3"/>
      <c r="R2370" s="3"/>
      <c r="S2370" s="3"/>
      <c r="T2370" s="3"/>
    </row>
    <row r="2371" spans="1:20">
      <c r="A2371" s="3">
        <v>5</v>
      </c>
      <c r="B2371" s="3">
        <v>2</v>
      </c>
      <c r="C2371" s="2">
        <v>25</v>
      </c>
      <c r="D2371" s="2">
        <v>5</v>
      </c>
      <c r="E2371" s="2">
        <v>16</v>
      </c>
      <c r="F2371" s="17">
        <v>137</v>
      </c>
      <c r="H2371" s="360">
        <v>0.95178738580441513</v>
      </c>
      <c r="I2371" s="360">
        <v>4.5861399906242016E-2</v>
      </c>
      <c r="K2371" s="363"/>
      <c r="N2371" s="10"/>
      <c r="O2371" s="4"/>
      <c r="P2371" s="4"/>
      <c r="Q2371" s="3"/>
      <c r="R2371" s="3"/>
      <c r="S2371" s="3"/>
      <c r="T2371" s="3"/>
    </row>
    <row r="2372" spans="1:20">
      <c r="A2372" s="3">
        <v>2</v>
      </c>
      <c r="B2372" s="3">
        <v>2</v>
      </c>
      <c r="C2372" s="2">
        <v>25</v>
      </c>
      <c r="D2372" s="2">
        <v>5</v>
      </c>
      <c r="E2372" s="2">
        <v>16</v>
      </c>
      <c r="F2372" s="17">
        <v>138</v>
      </c>
      <c r="H2372" s="360">
        <v>1</v>
      </c>
      <c r="I2372" s="360">
        <v>0.96702788610276103</v>
      </c>
      <c r="K2372" s="363"/>
      <c r="N2372" s="10"/>
      <c r="O2372" s="4"/>
      <c r="P2372" s="4"/>
      <c r="Q2372" s="3"/>
      <c r="R2372" s="3"/>
      <c r="S2372" s="3"/>
      <c r="T2372" s="3"/>
    </row>
    <row r="2373" spans="1:20">
      <c r="A2373" s="3">
        <v>2</v>
      </c>
      <c r="B2373" s="3">
        <v>2</v>
      </c>
      <c r="C2373" s="2">
        <v>25</v>
      </c>
      <c r="D2373" s="2">
        <v>5</v>
      </c>
      <c r="E2373" s="2">
        <v>1</v>
      </c>
      <c r="F2373" s="17">
        <v>138</v>
      </c>
      <c r="H2373" s="360">
        <v>1</v>
      </c>
      <c r="I2373" s="360">
        <v>0.95156027319382896</v>
      </c>
      <c r="K2373" s="363"/>
      <c r="N2373" s="10"/>
      <c r="O2373" s="4"/>
      <c r="P2373" s="4"/>
      <c r="Q2373" s="3"/>
      <c r="R2373" s="3"/>
      <c r="S2373" s="3"/>
      <c r="T2373" s="3"/>
    </row>
    <row r="2374" spans="1:20">
      <c r="A2374" s="3">
        <v>1</v>
      </c>
      <c r="B2374" s="3">
        <v>2</v>
      </c>
      <c r="C2374" s="2">
        <v>25</v>
      </c>
      <c r="D2374" s="2">
        <v>5</v>
      </c>
      <c r="E2374" s="2">
        <v>16</v>
      </c>
      <c r="F2374" s="17">
        <v>138</v>
      </c>
      <c r="H2374" s="360">
        <v>1</v>
      </c>
      <c r="I2374" s="360">
        <v>0.94918654718227924</v>
      </c>
      <c r="K2374" s="363"/>
      <c r="N2374" s="10"/>
      <c r="O2374" s="4"/>
      <c r="P2374" s="4"/>
      <c r="Q2374" s="3"/>
      <c r="R2374" s="3"/>
      <c r="S2374" s="3"/>
      <c r="T2374" s="3"/>
    </row>
    <row r="2375" spans="1:20">
      <c r="A2375" s="3">
        <v>1</v>
      </c>
      <c r="B2375" s="3">
        <v>2</v>
      </c>
      <c r="C2375" s="2">
        <v>25</v>
      </c>
      <c r="D2375" s="2">
        <v>5</v>
      </c>
      <c r="E2375" s="2">
        <v>16</v>
      </c>
      <c r="F2375" s="17">
        <v>138</v>
      </c>
      <c r="H2375" s="360">
        <v>1</v>
      </c>
      <c r="I2375" s="360">
        <v>0.94573620976394346</v>
      </c>
      <c r="K2375" s="363"/>
      <c r="N2375" s="10"/>
      <c r="O2375" s="4"/>
      <c r="P2375" s="4"/>
      <c r="Q2375" s="3"/>
      <c r="R2375" s="3"/>
      <c r="S2375" s="3"/>
      <c r="T2375" s="3"/>
    </row>
    <row r="2376" spans="1:20">
      <c r="A2376" s="3">
        <v>2</v>
      </c>
      <c r="B2376" s="3">
        <v>1</v>
      </c>
      <c r="C2376" s="2">
        <v>25</v>
      </c>
      <c r="D2376" s="2">
        <v>5</v>
      </c>
      <c r="E2376" s="2">
        <v>1</v>
      </c>
      <c r="F2376" s="17">
        <v>138</v>
      </c>
      <c r="H2376" s="360">
        <v>1</v>
      </c>
      <c r="I2376" s="360">
        <v>0.91999851426799406</v>
      </c>
      <c r="K2376" s="363"/>
      <c r="N2376" s="10"/>
      <c r="O2376" s="4"/>
      <c r="P2376" s="4"/>
      <c r="Q2376" s="3"/>
      <c r="R2376" s="3"/>
      <c r="S2376" s="3"/>
      <c r="T2376" s="3"/>
    </row>
    <row r="2377" spans="1:20">
      <c r="A2377" s="3">
        <v>2</v>
      </c>
      <c r="B2377" s="3">
        <v>1</v>
      </c>
      <c r="C2377" s="2">
        <v>25</v>
      </c>
      <c r="D2377" s="2">
        <v>5</v>
      </c>
      <c r="E2377" s="2">
        <v>16</v>
      </c>
      <c r="F2377" s="17">
        <v>138</v>
      </c>
      <c r="H2377" s="360">
        <v>0.99715367306776481</v>
      </c>
      <c r="I2377" s="360">
        <v>0.90806468735624046</v>
      </c>
      <c r="K2377" s="363"/>
      <c r="N2377" s="10"/>
      <c r="O2377" s="4"/>
      <c r="P2377" s="4"/>
      <c r="Q2377" s="3"/>
      <c r="R2377" s="3"/>
      <c r="S2377" s="3"/>
      <c r="T2377" s="3"/>
    </row>
    <row r="2378" spans="1:20">
      <c r="A2378" s="3">
        <v>1</v>
      </c>
      <c r="B2378" s="3">
        <v>1</v>
      </c>
      <c r="C2378" s="2">
        <v>25</v>
      </c>
      <c r="D2378" s="2">
        <v>5</v>
      </c>
      <c r="E2378" s="2">
        <v>1</v>
      </c>
      <c r="F2378" s="17">
        <v>138</v>
      </c>
      <c r="H2378" s="360">
        <v>1</v>
      </c>
      <c r="I2378" s="360">
        <v>0.90169120175058692</v>
      </c>
      <c r="K2378" s="363"/>
      <c r="N2378" s="10"/>
      <c r="O2378" s="4"/>
      <c r="P2378" s="4"/>
      <c r="Q2378" s="3"/>
      <c r="R2378" s="3"/>
      <c r="S2378" s="3"/>
      <c r="T2378" s="3"/>
    </row>
    <row r="2379" spans="1:20">
      <c r="A2379" s="3">
        <v>3</v>
      </c>
      <c r="B2379" s="3">
        <v>2</v>
      </c>
      <c r="C2379" s="2">
        <v>25</v>
      </c>
      <c r="D2379" s="2">
        <v>5</v>
      </c>
      <c r="E2379" s="2">
        <v>1</v>
      </c>
      <c r="F2379" s="17">
        <v>138</v>
      </c>
      <c r="H2379" s="360">
        <v>0.99039132433119392</v>
      </c>
      <c r="I2379" s="360">
        <v>0.89722620935021546</v>
      </c>
      <c r="K2379" s="363"/>
      <c r="N2379" s="10"/>
      <c r="O2379" s="4"/>
      <c r="P2379" s="4"/>
      <c r="Q2379" s="3"/>
      <c r="R2379" s="3"/>
      <c r="S2379" s="3"/>
      <c r="T2379" s="3"/>
    </row>
    <row r="2380" spans="1:20">
      <c r="A2380" s="3">
        <v>1</v>
      </c>
      <c r="B2380" s="3">
        <v>2</v>
      </c>
      <c r="C2380" s="2">
        <v>25</v>
      </c>
      <c r="D2380" s="2">
        <v>5</v>
      </c>
      <c r="E2380" s="2">
        <v>1</v>
      </c>
      <c r="F2380" s="17">
        <v>138</v>
      </c>
      <c r="H2380" s="360">
        <v>0.70635547912532592</v>
      </c>
      <c r="I2380" s="360">
        <v>0.89593427356105682</v>
      </c>
      <c r="K2380" s="363"/>
      <c r="N2380" s="10"/>
      <c r="O2380" s="4"/>
      <c r="P2380" s="4"/>
      <c r="Q2380" s="3"/>
      <c r="R2380" s="3"/>
      <c r="S2380" s="3"/>
      <c r="T2380" s="3"/>
    </row>
    <row r="2381" spans="1:20">
      <c r="A2381" s="3">
        <v>1</v>
      </c>
      <c r="B2381" s="3">
        <v>1</v>
      </c>
      <c r="C2381" s="2">
        <v>25</v>
      </c>
      <c r="D2381" s="2">
        <v>5</v>
      </c>
      <c r="E2381" s="2">
        <v>16</v>
      </c>
      <c r="F2381" s="17">
        <v>138</v>
      </c>
      <c r="H2381" s="360">
        <v>1</v>
      </c>
      <c r="I2381" s="360">
        <v>0.89295276747762198</v>
      </c>
      <c r="K2381" s="363"/>
      <c r="N2381" s="10"/>
      <c r="O2381" s="4"/>
      <c r="P2381" s="4"/>
      <c r="Q2381" s="3"/>
      <c r="R2381" s="3"/>
      <c r="S2381" s="3"/>
      <c r="T2381" s="3"/>
    </row>
    <row r="2382" spans="1:20">
      <c r="A2382" s="3">
        <v>3</v>
      </c>
      <c r="B2382" s="3">
        <v>2</v>
      </c>
      <c r="C2382" s="2">
        <v>25</v>
      </c>
      <c r="D2382" s="2">
        <v>5</v>
      </c>
      <c r="E2382" s="2">
        <v>16</v>
      </c>
      <c r="F2382" s="17">
        <v>138</v>
      </c>
      <c r="H2382" s="360">
        <v>0.96709869265043802</v>
      </c>
      <c r="I2382" s="360">
        <v>0.88224173847608034</v>
      </c>
      <c r="K2382" s="363"/>
      <c r="N2382" s="10"/>
      <c r="O2382" s="4"/>
      <c r="P2382" s="4"/>
      <c r="Q2382" s="3"/>
      <c r="R2382" s="3"/>
      <c r="S2382" s="3"/>
      <c r="T2382" s="3"/>
    </row>
    <row r="2383" spans="1:20">
      <c r="A2383" s="3">
        <v>1</v>
      </c>
      <c r="B2383" s="3">
        <v>1</v>
      </c>
      <c r="C2383" s="2">
        <v>25</v>
      </c>
      <c r="D2383" s="2">
        <v>30</v>
      </c>
      <c r="E2383" s="2">
        <v>16</v>
      </c>
      <c r="F2383" s="17">
        <v>138</v>
      </c>
      <c r="H2383" s="360">
        <v>1</v>
      </c>
      <c r="I2383" s="360">
        <v>0.82767234528906308</v>
      </c>
      <c r="K2383" s="363"/>
      <c r="N2383" s="10"/>
      <c r="O2383" s="4"/>
      <c r="P2383" s="4"/>
      <c r="Q2383" s="3"/>
      <c r="R2383" s="3"/>
      <c r="S2383" s="3"/>
      <c r="T2383" s="3"/>
    </row>
    <row r="2384" spans="1:20">
      <c r="A2384" s="3">
        <v>1</v>
      </c>
      <c r="B2384" s="3">
        <v>2</v>
      </c>
      <c r="C2384" s="2">
        <v>25</v>
      </c>
      <c r="D2384" s="2">
        <v>30</v>
      </c>
      <c r="E2384" s="2">
        <v>16</v>
      </c>
      <c r="F2384" s="17">
        <v>138</v>
      </c>
      <c r="H2384" s="360">
        <v>1</v>
      </c>
      <c r="I2384" s="360">
        <v>0.80330521420835366</v>
      </c>
      <c r="K2384" s="363"/>
      <c r="N2384" s="10"/>
      <c r="O2384" s="4"/>
      <c r="P2384" s="4"/>
      <c r="Q2384" s="3"/>
      <c r="R2384" s="3"/>
      <c r="S2384" s="3"/>
      <c r="T2384" s="3"/>
    </row>
    <row r="2385" spans="1:20">
      <c r="A2385" s="3">
        <v>3</v>
      </c>
      <c r="B2385" s="3">
        <v>1</v>
      </c>
      <c r="C2385" s="2">
        <v>25</v>
      </c>
      <c r="D2385" s="2">
        <v>5</v>
      </c>
      <c r="E2385" s="2">
        <v>1</v>
      </c>
      <c r="F2385" s="17">
        <v>138</v>
      </c>
      <c r="H2385" s="360">
        <v>0.97229452406582328</v>
      </c>
      <c r="I2385" s="360">
        <v>0.58284572103214083</v>
      </c>
      <c r="K2385" s="363"/>
      <c r="N2385" s="10"/>
      <c r="O2385" s="4"/>
      <c r="P2385" s="4"/>
      <c r="Q2385" s="3"/>
      <c r="R2385" s="3"/>
      <c r="S2385" s="3"/>
      <c r="T2385" s="3"/>
    </row>
    <row r="2386" spans="1:20">
      <c r="A2386" s="3">
        <v>3</v>
      </c>
      <c r="B2386" s="3">
        <v>1</v>
      </c>
      <c r="C2386" s="2">
        <v>25</v>
      </c>
      <c r="D2386" s="2">
        <v>5</v>
      </c>
      <c r="E2386" s="2">
        <v>16</v>
      </c>
      <c r="F2386" s="17">
        <v>138</v>
      </c>
      <c r="H2386" s="360">
        <v>0.98572353963029569</v>
      </c>
      <c r="I2386" s="360">
        <v>0.56659449509116411</v>
      </c>
      <c r="K2386" s="363"/>
      <c r="N2386" s="10"/>
      <c r="O2386" s="4"/>
      <c r="P2386" s="4"/>
      <c r="Q2386" s="3"/>
      <c r="R2386" s="3"/>
      <c r="S2386" s="3"/>
      <c r="T2386" s="3"/>
    </row>
    <row r="2387" spans="1:20">
      <c r="A2387" s="3">
        <v>4</v>
      </c>
      <c r="B2387" s="3">
        <v>2</v>
      </c>
      <c r="C2387" s="2">
        <v>50</v>
      </c>
      <c r="D2387" s="2">
        <v>5</v>
      </c>
      <c r="E2387" s="2">
        <v>16</v>
      </c>
      <c r="F2387" s="17">
        <v>138</v>
      </c>
      <c r="H2387" s="360">
        <v>0.99908035506099058</v>
      </c>
      <c r="I2387" s="360">
        <v>-0.3099616028986204</v>
      </c>
      <c r="K2387" s="363"/>
      <c r="N2387" s="10"/>
      <c r="O2387" s="4"/>
      <c r="P2387" s="4"/>
      <c r="Q2387" s="3"/>
      <c r="R2387" s="3"/>
      <c r="S2387" s="3"/>
      <c r="T2387" s="3"/>
    </row>
    <row r="2388" spans="1:20">
      <c r="A2388" s="3">
        <v>5</v>
      </c>
      <c r="B2388" s="3">
        <v>2</v>
      </c>
      <c r="C2388" s="2">
        <v>25</v>
      </c>
      <c r="D2388" s="2">
        <v>5</v>
      </c>
      <c r="E2388" s="2">
        <v>16</v>
      </c>
      <c r="F2388" s="17">
        <v>138</v>
      </c>
      <c r="H2388" s="360">
        <v>0.46485796311373107</v>
      </c>
      <c r="I2388" s="360">
        <v>-0.3743102678880782</v>
      </c>
      <c r="K2388" s="363"/>
      <c r="N2388" s="10"/>
      <c r="O2388" s="4"/>
      <c r="P2388" s="4"/>
      <c r="Q2388" s="3"/>
      <c r="R2388" s="3"/>
      <c r="S2388" s="3"/>
      <c r="T2388" s="3"/>
    </row>
    <row r="2389" spans="1:20">
      <c r="A2389" s="3">
        <v>5</v>
      </c>
      <c r="B2389" s="3">
        <v>2</v>
      </c>
      <c r="C2389" s="2">
        <v>50</v>
      </c>
      <c r="D2389" s="2">
        <v>5</v>
      </c>
      <c r="E2389" s="2">
        <v>16</v>
      </c>
      <c r="F2389" s="17">
        <v>138</v>
      </c>
      <c r="H2389" s="360">
        <v>1</v>
      </c>
      <c r="I2389" s="360">
        <v>-0.38206699791053372</v>
      </c>
      <c r="K2389" s="363"/>
      <c r="N2389" s="10"/>
      <c r="O2389" s="4"/>
      <c r="P2389" s="4"/>
      <c r="Q2389" s="3"/>
      <c r="R2389" s="3"/>
      <c r="S2389" s="3"/>
      <c r="T2389" s="3"/>
    </row>
    <row r="2390" spans="1:20">
      <c r="A2390" s="3">
        <v>1</v>
      </c>
      <c r="B2390" s="3">
        <v>2</v>
      </c>
      <c r="C2390" s="2">
        <v>25</v>
      </c>
      <c r="D2390" s="2">
        <v>5</v>
      </c>
      <c r="E2390" s="2">
        <v>16</v>
      </c>
      <c r="F2390" s="17">
        <v>139</v>
      </c>
      <c r="H2390" s="360">
        <v>1</v>
      </c>
      <c r="I2390" s="360">
        <v>0.95827291723694941</v>
      </c>
      <c r="K2390" s="363"/>
      <c r="N2390" s="10"/>
      <c r="O2390" s="4"/>
      <c r="P2390" s="4"/>
      <c r="Q2390" s="3"/>
      <c r="R2390" s="3"/>
      <c r="S2390" s="3"/>
      <c r="T2390" s="3"/>
    </row>
    <row r="2391" spans="1:20">
      <c r="A2391" s="3">
        <v>2</v>
      </c>
      <c r="B2391" s="3">
        <v>2</v>
      </c>
      <c r="C2391" s="2">
        <v>25</v>
      </c>
      <c r="D2391" s="2">
        <v>5</v>
      </c>
      <c r="E2391" s="2">
        <v>1</v>
      </c>
      <c r="F2391" s="17">
        <v>139</v>
      </c>
      <c r="H2391" s="360">
        <v>1</v>
      </c>
      <c r="I2391" s="360">
        <v>0.95733294558414506</v>
      </c>
      <c r="K2391" s="363"/>
      <c r="N2391" s="10"/>
      <c r="O2391" s="4"/>
      <c r="P2391" s="4"/>
      <c r="Q2391" s="3"/>
      <c r="R2391" s="3"/>
      <c r="S2391" s="3"/>
      <c r="T2391" s="3"/>
    </row>
    <row r="2392" spans="1:20">
      <c r="A2392" s="3">
        <v>2</v>
      </c>
      <c r="B2392" s="3">
        <v>2</v>
      </c>
      <c r="C2392" s="2">
        <v>25</v>
      </c>
      <c r="D2392" s="2">
        <v>5</v>
      </c>
      <c r="E2392" s="2">
        <v>16</v>
      </c>
      <c r="F2392" s="17">
        <v>139</v>
      </c>
      <c r="H2392" s="360">
        <v>1</v>
      </c>
      <c r="I2392" s="360">
        <v>0.95349161627565748</v>
      </c>
      <c r="K2392" s="363"/>
      <c r="N2392" s="10"/>
      <c r="O2392" s="4"/>
      <c r="P2392" s="4"/>
      <c r="Q2392" s="3"/>
      <c r="R2392" s="3"/>
      <c r="S2392" s="3"/>
      <c r="T2392" s="3"/>
    </row>
    <row r="2393" spans="1:20">
      <c r="A2393" s="3">
        <v>1</v>
      </c>
      <c r="B2393" s="3">
        <v>2</v>
      </c>
      <c r="C2393" s="2">
        <v>25</v>
      </c>
      <c r="D2393" s="2">
        <v>5</v>
      </c>
      <c r="E2393" s="2">
        <v>16</v>
      </c>
      <c r="F2393" s="17">
        <v>139</v>
      </c>
      <c r="H2393" s="360">
        <v>1</v>
      </c>
      <c r="I2393" s="360">
        <v>0.95053283018255075</v>
      </c>
      <c r="K2393" s="363"/>
      <c r="N2393" s="10"/>
      <c r="O2393" s="4"/>
      <c r="P2393" s="4"/>
      <c r="Q2393" s="3"/>
      <c r="R2393" s="3"/>
      <c r="S2393" s="3"/>
      <c r="T2393" s="3"/>
    </row>
    <row r="2394" spans="1:20">
      <c r="A2394" s="3">
        <v>1</v>
      </c>
      <c r="B2394" s="3">
        <v>2</v>
      </c>
      <c r="C2394" s="2">
        <v>25</v>
      </c>
      <c r="D2394" s="2">
        <v>5</v>
      </c>
      <c r="E2394" s="2">
        <v>1</v>
      </c>
      <c r="F2394" s="17">
        <v>139</v>
      </c>
      <c r="H2394" s="360">
        <v>0.5685543250997358</v>
      </c>
      <c r="I2394" s="360">
        <v>0.94810367525595984</v>
      </c>
      <c r="K2394" s="363"/>
      <c r="N2394" s="10"/>
      <c r="O2394" s="4"/>
      <c r="P2394" s="4"/>
      <c r="Q2394" s="3"/>
      <c r="R2394" s="3"/>
      <c r="S2394" s="3"/>
      <c r="T2394" s="3"/>
    </row>
    <row r="2395" spans="1:20">
      <c r="A2395" s="3">
        <v>2</v>
      </c>
      <c r="B2395" s="3">
        <v>1</v>
      </c>
      <c r="C2395" s="2">
        <v>25</v>
      </c>
      <c r="D2395" s="2">
        <v>5</v>
      </c>
      <c r="E2395" s="2">
        <v>16</v>
      </c>
      <c r="F2395" s="17">
        <v>139</v>
      </c>
      <c r="H2395" s="360">
        <v>1</v>
      </c>
      <c r="I2395" s="360">
        <v>0.94227402106152569</v>
      </c>
      <c r="K2395" s="363"/>
      <c r="N2395" s="10"/>
      <c r="O2395" s="4"/>
      <c r="P2395" s="4"/>
      <c r="Q2395" s="3"/>
      <c r="R2395" s="3"/>
      <c r="S2395" s="3"/>
      <c r="T2395" s="3"/>
    </row>
    <row r="2396" spans="1:20">
      <c r="A2396" s="3">
        <v>1</v>
      </c>
      <c r="B2396" s="3">
        <v>2</v>
      </c>
      <c r="C2396" s="2">
        <v>25</v>
      </c>
      <c r="D2396" s="2">
        <v>30</v>
      </c>
      <c r="E2396" s="2">
        <v>16</v>
      </c>
      <c r="F2396" s="17">
        <v>139</v>
      </c>
      <c r="H2396" s="360">
        <v>1</v>
      </c>
      <c r="I2396" s="360">
        <v>0.93310349765389633</v>
      </c>
      <c r="K2396" s="363"/>
      <c r="N2396" s="10"/>
      <c r="O2396" s="4"/>
      <c r="P2396" s="4"/>
      <c r="Q2396" s="3"/>
      <c r="R2396" s="3"/>
      <c r="S2396" s="3"/>
      <c r="T2396" s="3"/>
    </row>
    <row r="2397" spans="1:20">
      <c r="A2397" s="3">
        <v>1</v>
      </c>
      <c r="B2397" s="3">
        <v>1</v>
      </c>
      <c r="C2397" s="2">
        <v>25</v>
      </c>
      <c r="D2397" s="2">
        <v>5</v>
      </c>
      <c r="E2397" s="2">
        <v>16</v>
      </c>
      <c r="F2397" s="17">
        <v>139</v>
      </c>
      <c r="H2397" s="360">
        <v>1</v>
      </c>
      <c r="I2397" s="360">
        <v>0.92483136870382132</v>
      </c>
      <c r="K2397" s="363"/>
      <c r="N2397" s="10"/>
      <c r="O2397" s="4"/>
      <c r="P2397" s="4"/>
      <c r="Q2397" s="3"/>
      <c r="R2397" s="3"/>
      <c r="S2397" s="3"/>
      <c r="T2397" s="3"/>
    </row>
    <row r="2398" spans="1:20">
      <c r="A2398" s="3">
        <v>1</v>
      </c>
      <c r="B2398" s="3">
        <v>1</v>
      </c>
      <c r="C2398" s="2">
        <v>25</v>
      </c>
      <c r="D2398" s="2">
        <v>30</v>
      </c>
      <c r="E2398" s="2">
        <v>16</v>
      </c>
      <c r="F2398" s="17">
        <v>139</v>
      </c>
      <c r="H2398" s="360">
        <v>1</v>
      </c>
      <c r="I2398" s="360">
        <v>0.92327802338692155</v>
      </c>
      <c r="K2398" s="363"/>
      <c r="N2398" s="10"/>
      <c r="O2398" s="4"/>
      <c r="P2398" s="4"/>
      <c r="Q2398" s="3"/>
      <c r="R2398" s="3"/>
      <c r="S2398" s="3"/>
      <c r="T2398" s="3"/>
    </row>
    <row r="2399" spans="1:20">
      <c r="A2399" s="3">
        <v>1</v>
      </c>
      <c r="B2399" s="3">
        <v>1</v>
      </c>
      <c r="C2399" s="2">
        <v>25</v>
      </c>
      <c r="D2399" s="2">
        <v>5</v>
      </c>
      <c r="E2399" s="2">
        <v>1</v>
      </c>
      <c r="F2399" s="17">
        <v>139</v>
      </c>
      <c r="H2399" s="360">
        <v>1</v>
      </c>
      <c r="I2399" s="360">
        <v>0.92052819784317041</v>
      </c>
      <c r="K2399" s="363"/>
      <c r="N2399" s="10"/>
      <c r="O2399" s="4"/>
      <c r="P2399" s="4"/>
      <c r="Q2399" s="3"/>
      <c r="R2399" s="3"/>
      <c r="S2399" s="3"/>
      <c r="T2399" s="3"/>
    </row>
    <row r="2400" spans="1:20">
      <c r="A2400" s="3">
        <v>2</v>
      </c>
      <c r="B2400" s="3">
        <v>1</v>
      </c>
      <c r="C2400" s="2">
        <v>25</v>
      </c>
      <c r="D2400" s="2">
        <v>5</v>
      </c>
      <c r="E2400" s="2">
        <v>1</v>
      </c>
      <c r="F2400" s="17">
        <v>139</v>
      </c>
      <c r="H2400" s="360">
        <v>1</v>
      </c>
      <c r="I2400" s="360">
        <v>0.9135705741793555</v>
      </c>
      <c r="K2400" s="363"/>
      <c r="N2400" s="10"/>
      <c r="O2400" s="4"/>
      <c r="P2400" s="4"/>
      <c r="Q2400" s="3"/>
      <c r="R2400" s="3"/>
      <c r="S2400" s="3"/>
      <c r="T2400" s="3"/>
    </row>
    <row r="2401" spans="1:20">
      <c r="A2401" s="3">
        <v>3</v>
      </c>
      <c r="B2401" s="3">
        <v>2</v>
      </c>
      <c r="C2401" s="2">
        <v>25</v>
      </c>
      <c r="D2401" s="2">
        <v>5</v>
      </c>
      <c r="E2401" s="2">
        <v>1</v>
      </c>
      <c r="F2401" s="17">
        <v>139</v>
      </c>
      <c r="H2401" s="360">
        <v>1</v>
      </c>
      <c r="I2401" s="360">
        <v>0.84367906764185518</v>
      </c>
      <c r="K2401" s="363"/>
      <c r="N2401" s="10"/>
      <c r="O2401" s="4"/>
      <c r="P2401" s="4"/>
      <c r="Q2401" s="3"/>
      <c r="R2401" s="3"/>
      <c r="S2401" s="3"/>
      <c r="T2401" s="3"/>
    </row>
    <row r="2402" spans="1:20">
      <c r="A2402" s="3">
        <v>3</v>
      </c>
      <c r="B2402" s="3">
        <v>2</v>
      </c>
      <c r="C2402" s="2">
        <v>25</v>
      </c>
      <c r="D2402" s="2">
        <v>5</v>
      </c>
      <c r="E2402" s="2">
        <v>16</v>
      </c>
      <c r="F2402" s="17">
        <v>139</v>
      </c>
      <c r="H2402" s="360">
        <v>1</v>
      </c>
      <c r="I2402" s="360">
        <v>0.84154263517083361</v>
      </c>
      <c r="K2402" s="363"/>
      <c r="N2402" s="10"/>
      <c r="O2402" s="4"/>
      <c r="P2402" s="4"/>
      <c r="Q2402" s="3"/>
      <c r="R2402" s="3"/>
      <c r="S2402" s="3"/>
      <c r="T2402" s="3"/>
    </row>
    <row r="2403" spans="1:20">
      <c r="A2403" s="3">
        <v>3</v>
      </c>
      <c r="B2403" s="3">
        <v>1</v>
      </c>
      <c r="C2403" s="2">
        <v>25</v>
      </c>
      <c r="D2403" s="2">
        <v>5</v>
      </c>
      <c r="E2403" s="2">
        <v>16</v>
      </c>
      <c r="F2403" s="17">
        <v>139</v>
      </c>
      <c r="H2403" s="360">
        <v>1</v>
      </c>
      <c r="I2403" s="360">
        <v>0.80322726440901249</v>
      </c>
      <c r="K2403" s="363"/>
      <c r="N2403" s="10"/>
      <c r="O2403" s="4"/>
      <c r="P2403" s="4"/>
      <c r="Q2403" s="3"/>
      <c r="R2403" s="3"/>
      <c r="S2403" s="3"/>
      <c r="T2403" s="3"/>
    </row>
    <row r="2404" spans="1:20">
      <c r="A2404" s="3">
        <v>3</v>
      </c>
      <c r="B2404" s="3">
        <v>1</v>
      </c>
      <c r="C2404" s="2">
        <v>25</v>
      </c>
      <c r="D2404" s="2">
        <v>5</v>
      </c>
      <c r="E2404" s="2">
        <v>1</v>
      </c>
      <c r="F2404" s="17">
        <v>139</v>
      </c>
      <c r="H2404" s="360">
        <v>0.97965018265389048</v>
      </c>
      <c r="I2404" s="360">
        <v>0.80217210657453797</v>
      </c>
      <c r="K2404" s="363"/>
      <c r="N2404" s="10"/>
      <c r="O2404" s="4"/>
      <c r="P2404" s="4"/>
      <c r="Q2404" s="3"/>
      <c r="R2404" s="3"/>
      <c r="S2404" s="3"/>
      <c r="T2404" s="3"/>
    </row>
    <row r="2405" spans="1:20">
      <c r="A2405" s="3">
        <v>4</v>
      </c>
      <c r="B2405" s="3">
        <v>2</v>
      </c>
      <c r="C2405" s="2">
        <v>50</v>
      </c>
      <c r="D2405" s="2">
        <v>5</v>
      </c>
      <c r="E2405" s="2">
        <v>16</v>
      </c>
      <c r="F2405" s="17">
        <v>139</v>
      </c>
      <c r="H2405" s="360">
        <v>0.53811241228554185</v>
      </c>
      <c r="I2405" s="360">
        <v>0.52099611415200764</v>
      </c>
      <c r="K2405" s="363"/>
      <c r="N2405" s="10"/>
      <c r="O2405" s="4"/>
      <c r="P2405" s="4"/>
      <c r="Q2405" s="3"/>
      <c r="R2405" s="3"/>
      <c r="S2405" s="3"/>
      <c r="T2405" s="3"/>
    </row>
    <row r="2406" spans="1:20">
      <c r="A2406" s="3">
        <v>5</v>
      </c>
      <c r="B2406" s="3">
        <v>2</v>
      </c>
      <c r="C2406" s="2">
        <v>50</v>
      </c>
      <c r="D2406" s="2">
        <v>5</v>
      </c>
      <c r="E2406" s="2">
        <v>16</v>
      </c>
      <c r="F2406" s="17">
        <v>139</v>
      </c>
      <c r="H2406" s="360">
        <v>1</v>
      </c>
      <c r="I2406" s="360">
        <v>0.1934667712278258</v>
      </c>
      <c r="K2406" s="363"/>
      <c r="N2406" s="10"/>
      <c r="O2406" s="4"/>
      <c r="P2406" s="4"/>
      <c r="Q2406" s="3"/>
      <c r="R2406" s="3"/>
      <c r="S2406" s="3"/>
      <c r="T2406" s="3"/>
    </row>
    <row r="2407" spans="1:20">
      <c r="A2407" s="3">
        <v>5</v>
      </c>
      <c r="B2407" s="3">
        <v>2</v>
      </c>
      <c r="C2407" s="2">
        <v>25</v>
      </c>
      <c r="D2407" s="2">
        <v>5</v>
      </c>
      <c r="E2407" s="2">
        <v>16</v>
      </c>
      <c r="F2407" s="17">
        <v>139</v>
      </c>
      <c r="H2407" s="360">
        <v>0.47795986551211045</v>
      </c>
      <c r="I2407" s="360">
        <v>0.12448846287136127</v>
      </c>
      <c r="K2407" s="363"/>
      <c r="N2407" s="10"/>
      <c r="O2407" s="4"/>
      <c r="P2407" s="4"/>
      <c r="Q2407" s="3"/>
      <c r="R2407" s="3"/>
      <c r="S2407" s="3"/>
      <c r="T2407" s="3"/>
    </row>
    <row r="2408" spans="1:20">
      <c r="A2408" s="3">
        <v>3</v>
      </c>
      <c r="B2408" s="3">
        <v>2</v>
      </c>
      <c r="C2408" s="2">
        <v>25</v>
      </c>
      <c r="D2408" s="2">
        <v>5</v>
      </c>
      <c r="E2408" s="2">
        <v>1</v>
      </c>
      <c r="F2408" s="17">
        <v>140</v>
      </c>
      <c r="H2408" s="360">
        <v>1.7020960965521859E-2</v>
      </c>
      <c r="I2408" s="360">
        <v>0.24051871788597995</v>
      </c>
      <c r="K2408" s="363"/>
      <c r="N2408" s="10"/>
      <c r="O2408" s="4"/>
      <c r="P2408" s="4"/>
      <c r="Q2408" s="3"/>
      <c r="R2408" s="3"/>
      <c r="S2408" s="3"/>
      <c r="T2408" s="3"/>
    </row>
    <row r="2409" spans="1:20">
      <c r="A2409" s="3">
        <v>3</v>
      </c>
      <c r="B2409" s="3">
        <v>1</v>
      </c>
      <c r="C2409" s="2">
        <v>25</v>
      </c>
      <c r="D2409" s="2">
        <v>5</v>
      </c>
      <c r="E2409" s="2">
        <v>16</v>
      </c>
      <c r="F2409" s="17">
        <v>140</v>
      </c>
      <c r="H2409" s="360">
        <v>0.13776126820465107</v>
      </c>
      <c r="I2409" s="360">
        <v>0.22065359418529332</v>
      </c>
      <c r="K2409" s="363"/>
      <c r="N2409" s="10"/>
      <c r="O2409" s="4"/>
      <c r="P2409" s="4"/>
      <c r="Q2409" s="3"/>
      <c r="R2409" s="3"/>
      <c r="S2409" s="3"/>
      <c r="T2409" s="3"/>
    </row>
    <row r="2410" spans="1:20">
      <c r="A2410" s="3">
        <v>3</v>
      </c>
      <c r="B2410" s="3">
        <v>1</v>
      </c>
      <c r="C2410" s="2">
        <v>25</v>
      </c>
      <c r="D2410" s="2">
        <v>5</v>
      </c>
      <c r="E2410" s="2">
        <v>1</v>
      </c>
      <c r="F2410" s="17">
        <v>140</v>
      </c>
      <c r="H2410" s="360">
        <v>3.6695616728686486E-2</v>
      </c>
      <c r="I2410" s="360">
        <v>0.1478643634037109</v>
      </c>
      <c r="K2410" s="363"/>
      <c r="N2410" s="10"/>
      <c r="O2410" s="4"/>
      <c r="P2410" s="4"/>
      <c r="Q2410" s="3"/>
      <c r="R2410" s="3"/>
      <c r="S2410" s="3"/>
      <c r="T2410" s="3"/>
    </row>
    <row r="2411" spans="1:20">
      <c r="A2411" s="3">
        <v>4</v>
      </c>
      <c r="B2411" s="3">
        <v>2</v>
      </c>
      <c r="C2411" s="2">
        <v>50</v>
      </c>
      <c r="D2411" s="2">
        <v>5</v>
      </c>
      <c r="E2411" s="2">
        <v>16</v>
      </c>
      <c r="F2411" s="17">
        <v>140</v>
      </c>
      <c r="H2411" s="360">
        <v>0.26294725800669283</v>
      </c>
      <c r="I2411" s="360">
        <v>9.790316199519157E-2</v>
      </c>
      <c r="K2411" s="363"/>
      <c r="N2411" s="10"/>
      <c r="O2411" s="4"/>
      <c r="P2411" s="4"/>
      <c r="Q2411" s="3"/>
      <c r="R2411" s="3"/>
      <c r="S2411" s="3"/>
      <c r="T2411" s="3"/>
    </row>
    <row r="2412" spans="1:20">
      <c r="A2412" s="3">
        <v>1</v>
      </c>
      <c r="B2412" s="3">
        <v>2</v>
      </c>
      <c r="C2412" s="2">
        <v>25</v>
      </c>
      <c r="D2412" s="2">
        <v>30</v>
      </c>
      <c r="E2412" s="2">
        <v>16</v>
      </c>
      <c r="F2412" s="17">
        <v>140</v>
      </c>
      <c r="H2412" s="360">
        <v>0.24072444164603224</v>
      </c>
      <c r="I2412" s="360">
        <v>3.863187313783898E-2</v>
      </c>
      <c r="K2412" s="363"/>
      <c r="N2412" s="10"/>
      <c r="O2412" s="4"/>
      <c r="P2412" s="4"/>
      <c r="Q2412" s="3"/>
      <c r="R2412" s="3"/>
      <c r="S2412" s="3"/>
      <c r="T2412" s="3"/>
    </row>
    <row r="2413" spans="1:20">
      <c r="A2413" s="3">
        <v>1</v>
      </c>
      <c r="B2413" s="3">
        <v>1</v>
      </c>
      <c r="C2413" s="2">
        <v>25</v>
      </c>
      <c r="D2413" s="2">
        <v>5</v>
      </c>
      <c r="E2413" s="2">
        <v>1</v>
      </c>
      <c r="F2413" s="17">
        <v>140</v>
      </c>
      <c r="H2413" s="360">
        <v>0</v>
      </c>
      <c r="I2413" s="360">
        <v>0</v>
      </c>
      <c r="K2413" s="363"/>
      <c r="N2413" s="10"/>
      <c r="O2413" s="4"/>
      <c r="P2413" s="4"/>
      <c r="Q2413" s="3"/>
      <c r="R2413" s="3"/>
      <c r="S2413" s="3"/>
      <c r="T2413" s="3"/>
    </row>
    <row r="2414" spans="1:20">
      <c r="A2414" s="3">
        <v>1</v>
      </c>
      <c r="B2414" s="3">
        <v>2</v>
      </c>
      <c r="C2414" s="2">
        <v>25</v>
      </c>
      <c r="D2414" s="2">
        <v>5</v>
      </c>
      <c r="E2414" s="2">
        <v>1</v>
      </c>
      <c r="F2414" s="17">
        <v>140</v>
      </c>
      <c r="H2414" s="360">
        <v>0</v>
      </c>
      <c r="I2414" s="360">
        <v>0</v>
      </c>
      <c r="K2414" s="363"/>
      <c r="N2414" s="10"/>
      <c r="O2414" s="4"/>
      <c r="P2414" s="4"/>
      <c r="Q2414" s="3"/>
      <c r="R2414" s="3"/>
      <c r="S2414" s="3"/>
      <c r="T2414" s="3"/>
    </row>
    <row r="2415" spans="1:20">
      <c r="A2415" s="3">
        <v>2</v>
      </c>
      <c r="B2415" s="3">
        <v>2</v>
      </c>
      <c r="C2415" s="2">
        <v>25</v>
      </c>
      <c r="D2415" s="2">
        <v>5</v>
      </c>
      <c r="E2415" s="2">
        <v>1</v>
      </c>
      <c r="F2415" s="17">
        <v>140</v>
      </c>
      <c r="H2415" s="360">
        <v>0</v>
      </c>
      <c r="I2415" s="360">
        <v>0</v>
      </c>
      <c r="K2415" s="363"/>
      <c r="N2415" s="10"/>
      <c r="O2415" s="4"/>
      <c r="P2415" s="4"/>
      <c r="Q2415" s="3"/>
      <c r="R2415" s="3"/>
      <c r="S2415" s="3"/>
      <c r="T2415" s="3"/>
    </row>
    <row r="2416" spans="1:20">
      <c r="A2416" s="3">
        <v>2</v>
      </c>
      <c r="B2416" s="3">
        <v>1</v>
      </c>
      <c r="C2416" s="2">
        <v>25</v>
      </c>
      <c r="D2416" s="2">
        <v>5</v>
      </c>
      <c r="E2416" s="2">
        <v>1</v>
      </c>
      <c r="F2416" s="17">
        <v>140</v>
      </c>
      <c r="H2416" s="360">
        <v>0</v>
      </c>
      <c r="I2416" s="360">
        <v>0</v>
      </c>
      <c r="K2416" s="363"/>
      <c r="N2416" s="10"/>
      <c r="O2416" s="4"/>
      <c r="P2416" s="4"/>
      <c r="Q2416" s="3"/>
      <c r="R2416" s="3"/>
      <c r="S2416" s="3"/>
      <c r="T2416" s="3"/>
    </row>
    <row r="2417" spans="1:20">
      <c r="A2417" s="3">
        <v>2</v>
      </c>
      <c r="B2417" s="3">
        <v>2</v>
      </c>
      <c r="C2417" s="2">
        <v>25</v>
      </c>
      <c r="D2417" s="2">
        <v>5</v>
      </c>
      <c r="E2417" s="2">
        <v>16</v>
      </c>
      <c r="F2417" s="17">
        <v>140</v>
      </c>
      <c r="H2417" s="360">
        <v>0.1285367300857988</v>
      </c>
      <c r="I2417" s="360">
        <v>-6.5514588388471753E-3</v>
      </c>
      <c r="K2417" s="363"/>
      <c r="N2417" s="10"/>
      <c r="O2417" s="4"/>
      <c r="P2417" s="4"/>
      <c r="Q2417" s="3"/>
      <c r="R2417" s="3"/>
      <c r="S2417" s="3"/>
      <c r="T2417" s="3"/>
    </row>
    <row r="2418" spans="1:20">
      <c r="A2418" s="3">
        <v>3</v>
      </c>
      <c r="B2418" s="3">
        <v>2</v>
      </c>
      <c r="C2418" s="2">
        <v>25</v>
      </c>
      <c r="D2418" s="2">
        <v>5</v>
      </c>
      <c r="E2418" s="2">
        <v>16</v>
      </c>
      <c r="F2418" s="17">
        <v>140</v>
      </c>
      <c r="H2418" s="360">
        <v>0.13851157275576986</v>
      </c>
      <c r="I2418" s="360">
        <v>-1.3382316391201703E-2</v>
      </c>
      <c r="K2418" s="363"/>
      <c r="N2418" s="10"/>
      <c r="O2418" s="4"/>
      <c r="P2418" s="4"/>
      <c r="Q2418" s="3"/>
      <c r="R2418" s="3"/>
      <c r="S2418" s="3"/>
      <c r="T2418" s="3"/>
    </row>
    <row r="2419" spans="1:20">
      <c r="A2419" s="3">
        <v>2</v>
      </c>
      <c r="B2419" s="3">
        <v>1</v>
      </c>
      <c r="C2419" s="2">
        <v>25</v>
      </c>
      <c r="D2419" s="2">
        <v>5</v>
      </c>
      <c r="E2419" s="2">
        <v>16</v>
      </c>
      <c r="F2419" s="17">
        <v>140</v>
      </c>
      <c r="H2419" s="360">
        <v>0.22272680091343167</v>
      </c>
      <c r="I2419" s="360">
        <v>-2.5337612405071382E-2</v>
      </c>
      <c r="K2419" s="363"/>
      <c r="N2419" s="10"/>
      <c r="O2419" s="4"/>
      <c r="P2419" s="4"/>
      <c r="Q2419" s="3"/>
      <c r="R2419" s="3"/>
      <c r="S2419" s="3"/>
      <c r="T2419" s="3"/>
    </row>
    <row r="2420" spans="1:20">
      <c r="A2420" s="3">
        <v>5</v>
      </c>
      <c r="B2420" s="3">
        <v>2</v>
      </c>
      <c r="C2420" s="2">
        <v>25</v>
      </c>
      <c r="D2420" s="2">
        <v>5</v>
      </c>
      <c r="E2420" s="2">
        <v>16</v>
      </c>
      <c r="F2420" s="17">
        <v>140</v>
      </c>
      <c r="H2420" s="360">
        <v>6.1996864629698667E-3</v>
      </c>
      <c r="I2420" s="360">
        <v>-3.0713342140026419E-2</v>
      </c>
      <c r="K2420" s="363"/>
      <c r="N2420" s="10"/>
      <c r="O2420" s="4"/>
      <c r="P2420" s="4"/>
      <c r="Q2420" s="3"/>
      <c r="R2420" s="3"/>
      <c r="S2420" s="3"/>
      <c r="T2420" s="3"/>
    </row>
    <row r="2421" spans="1:20">
      <c r="A2421" s="3">
        <v>1</v>
      </c>
      <c r="B2421" s="3">
        <v>1</v>
      </c>
      <c r="C2421" s="2">
        <v>25</v>
      </c>
      <c r="D2421" s="2">
        <v>30</v>
      </c>
      <c r="E2421" s="2">
        <v>16</v>
      </c>
      <c r="F2421" s="17">
        <v>140</v>
      </c>
      <c r="H2421" s="360">
        <v>0.45092034554604554</v>
      </c>
      <c r="I2421" s="360">
        <v>-3.5217054284233849E-2</v>
      </c>
      <c r="K2421" s="363"/>
      <c r="N2421" s="10"/>
      <c r="O2421" s="4"/>
      <c r="P2421" s="4"/>
      <c r="Q2421" s="3"/>
      <c r="R2421" s="3"/>
      <c r="S2421" s="3"/>
      <c r="T2421" s="3"/>
    </row>
    <row r="2422" spans="1:20">
      <c r="A2422" s="3">
        <v>1</v>
      </c>
      <c r="B2422" s="3">
        <v>1</v>
      </c>
      <c r="C2422" s="2">
        <v>25</v>
      </c>
      <c r="D2422" s="2">
        <v>5</v>
      </c>
      <c r="E2422" s="2">
        <v>16</v>
      </c>
      <c r="F2422" s="17">
        <v>140</v>
      </c>
      <c r="H2422" s="360">
        <v>0.14514157202475353</v>
      </c>
      <c r="I2422" s="360">
        <v>-5.9598050413536073E-2</v>
      </c>
      <c r="K2422" s="363"/>
      <c r="N2422" s="10"/>
      <c r="O2422" s="4"/>
      <c r="P2422" s="4"/>
      <c r="Q2422" s="3"/>
      <c r="R2422" s="3"/>
      <c r="S2422" s="3"/>
      <c r="T2422" s="3"/>
    </row>
    <row r="2423" spans="1:20">
      <c r="A2423" s="3">
        <v>1</v>
      </c>
      <c r="B2423" s="3">
        <v>2</v>
      </c>
      <c r="C2423" s="2">
        <v>25</v>
      </c>
      <c r="D2423" s="2">
        <v>5</v>
      </c>
      <c r="E2423" s="2">
        <v>16</v>
      </c>
      <c r="F2423" s="17">
        <v>140</v>
      </c>
      <c r="H2423" s="360">
        <v>9.0231474489769314E-2</v>
      </c>
      <c r="I2423" s="360">
        <v>-6.0656678820048743E-2</v>
      </c>
      <c r="K2423" s="363"/>
      <c r="N2423" s="10"/>
      <c r="O2423" s="4"/>
      <c r="P2423" s="4"/>
      <c r="Q2423" s="3"/>
      <c r="R2423" s="3"/>
      <c r="S2423" s="3"/>
      <c r="T2423" s="3"/>
    </row>
    <row r="2424" spans="1:20">
      <c r="A2424" s="3">
        <v>5</v>
      </c>
      <c r="B2424" s="3">
        <v>2</v>
      </c>
      <c r="C2424" s="2">
        <v>50</v>
      </c>
      <c r="D2424" s="2">
        <v>5</v>
      </c>
      <c r="E2424" s="2">
        <v>16</v>
      </c>
      <c r="F2424" s="17">
        <v>140</v>
      </c>
      <c r="H2424" s="360">
        <v>0.35765393777570964</v>
      </c>
      <c r="I2424" s="360">
        <v>-6.8020543511283962E-2</v>
      </c>
      <c r="K2424" s="363"/>
      <c r="N2424" s="10"/>
      <c r="O2424" s="4"/>
      <c r="P2424" s="4"/>
      <c r="Q2424" s="3"/>
      <c r="R2424" s="3"/>
      <c r="S2424" s="3"/>
      <c r="T2424" s="3"/>
    </row>
    <row r="2425" spans="1:20">
      <c r="A2425" s="3">
        <v>1</v>
      </c>
      <c r="B2425" s="3">
        <v>2</v>
      </c>
      <c r="C2425" s="2">
        <v>25</v>
      </c>
      <c r="D2425" s="2">
        <v>5</v>
      </c>
      <c r="E2425" s="2">
        <v>16</v>
      </c>
      <c r="F2425" s="17">
        <v>140</v>
      </c>
      <c r="H2425" s="360">
        <v>9.0791089697814575E-2</v>
      </c>
      <c r="I2425" s="360">
        <v>-8.6090450021077319E-2</v>
      </c>
      <c r="K2425" s="363"/>
      <c r="N2425" s="10"/>
      <c r="O2425" s="4"/>
      <c r="P2425" s="4"/>
      <c r="Q2425" s="3"/>
      <c r="R2425" s="3"/>
      <c r="S2425" s="3"/>
      <c r="T2425" s="3"/>
    </row>
    <row r="2426" spans="1:20">
      <c r="A2426" s="3">
        <v>4</v>
      </c>
      <c r="B2426" s="3">
        <v>2</v>
      </c>
      <c r="C2426" s="2">
        <v>50</v>
      </c>
      <c r="D2426" s="2">
        <v>5</v>
      </c>
      <c r="E2426" s="2">
        <v>16</v>
      </c>
      <c r="F2426" s="17">
        <v>141</v>
      </c>
      <c r="H2426" s="360">
        <v>1</v>
      </c>
      <c r="I2426" s="360">
        <v>-0.17390137230253511</v>
      </c>
      <c r="K2426" s="363"/>
      <c r="N2426" s="10"/>
      <c r="O2426" s="4"/>
      <c r="P2426" s="4"/>
      <c r="Q2426" s="3"/>
      <c r="R2426" s="3"/>
      <c r="S2426" s="3"/>
      <c r="T2426" s="3"/>
    </row>
    <row r="2427" spans="1:20">
      <c r="A2427" s="3">
        <v>5</v>
      </c>
      <c r="B2427" s="3">
        <v>2</v>
      </c>
      <c r="C2427" s="2">
        <v>25</v>
      </c>
      <c r="D2427" s="2">
        <v>5</v>
      </c>
      <c r="E2427" s="2">
        <v>16</v>
      </c>
      <c r="F2427" s="17">
        <v>141</v>
      </c>
      <c r="H2427" s="360">
        <v>1</v>
      </c>
      <c r="I2427" s="360">
        <v>-0.20759413272602154</v>
      </c>
      <c r="K2427" s="363"/>
      <c r="N2427" s="10"/>
      <c r="O2427" s="4"/>
      <c r="P2427" s="4"/>
      <c r="Q2427" s="3"/>
      <c r="R2427" s="3"/>
      <c r="S2427" s="3"/>
      <c r="T2427" s="3"/>
    </row>
    <row r="2428" spans="1:20">
      <c r="A2428" s="3">
        <v>5</v>
      </c>
      <c r="B2428" s="3">
        <v>2</v>
      </c>
      <c r="C2428" s="2">
        <v>50</v>
      </c>
      <c r="D2428" s="2">
        <v>5</v>
      </c>
      <c r="E2428" s="2">
        <v>16</v>
      </c>
      <c r="F2428" s="17">
        <v>141</v>
      </c>
      <c r="H2428" s="360">
        <v>1</v>
      </c>
      <c r="I2428" s="360">
        <v>-0.2401107271729056</v>
      </c>
      <c r="K2428" s="363"/>
      <c r="N2428" s="10"/>
      <c r="O2428" s="4"/>
      <c r="P2428" s="4"/>
      <c r="Q2428" s="3"/>
      <c r="R2428" s="3"/>
      <c r="S2428" s="3"/>
      <c r="T2428" s="3"/>
    </row>
    <row r="2429" spans="1:20">
      <c r="A2429" s="3">
        <v>1</v>
      </c>
      <c r="B2429" s="3">
        <v>2</v>
      </c>
      <c r="C2429" s="2">
        <v>25</v>
      </c>
      <c r="D2429" s="2">
        <v>30</v>
      </c>
      <c r="E2429" s="2">
        <v>16</v>
      </c>
      <c r="F2429" s="17">
        <v>141</v>
      </c>
      <c r="H2429" s="360">
        <v>1</v>
      </c>
      <c r="I2429" s="360">
        <v>-0.86868405501732515</v>
      </c>
      <c r="K2429" s="363"/>
      <c r="N2429" s="10"/>
      <c r="O2429" s="4"/>
      <c r="P2429" s="4"/>
      <c r="Q2429" s="3"/>
      <c r="R2429" s="3"/>
      <c r="S2429" s="3"/>
      <c r="T2429" s="3"/>
    </row>
    <row r="2430" spans="1:20">
      <c r="A2430" s="3">
        <v>1</v>
      </c>
      <c r="B2430" s="3">
        <v>1</v>
      </c>
      <c r="C2430" s="2">
        <v>25</v>
      </c>
      <c r="D2430" s="2">
        <v>30</v>
      </c>
      <c r="E2430" s="2">
        <v>16</v>
      </c>
      <c r="F2430" s="17">
        <v>141</v>
      </c>
      <c r="H2430" s="360">
        <v>1</v>
      </c>
      <c r="I2430" s="360">
        <v>-0.90376195364275413</v>
      </c>
      <c r="K2430" s="363"/>
      <c r="N2430" s="10"/>
      <c r="O2430" s="4"/>
      <c r="P2430" s="4"/>
      <c r="Q2430" s="3"/>
      <c r="R2430" s="3"/>
      <c r="S2430" s="3"/>
      <c r="T2430" s="3"/>
    </row>
    <row r="2431" spans="1:20">
      <c r="A2431" s="3">
        <v>3</v>
      </c>
      <c r="B2431" s="3">
        <v>2</v>
      </c>
      <c r="C2431" s="2">
        <v>25</v>
      </c>
      <c r="D2431" s="2">
        <v>5</v>
      </c>
      <c r="E2431" s="2">
        <v>16</v>
      </c>
      <c r="F2431" s="17">
        <v>141</v>
      </c>
      <c r="H2431" s="360">
        <v>0.98620012980694038</v>
      </c>
      <c r="I2431" s="360">
        <v>-0.94842228538510731</v>
      </c>
      <c r="K2431" s="363"/>
      <c r="N2431" s="10"/>
      <c r="O2431" s="4"/>
      <c r="P2431" s="4"/>
      <c r="Q2431" s="3"/>
      <c r="R2431" s="3"/>
      <c r="S2431" s="3"/>
      <c r="T2431" s="3"/>
    </row>
    <row r="2432" spans="1:20">
      <c r="A2432" s="3">
        <v>3</v>
      </c>
      <c r="B2432" s="3">
        <v>2</v>
      </c>
      <c r="C2432" s="2">
        <v>25</v>
      </c>
      <c r="D2432" s="2">
        <v>5</v>
      </c>
      <c r="E2432" s="2">
        <v>1</v>
      </c>
      <c r="F2432" s="17">
        <v>141</v>
      </c>
      <c r="H2432" s="360">
        <v>0.98991234563401898</v>
      </c>
      <c r="I2432" s="360">
        <v>-0.9521717720645011</v>
      </c>
      <c r="K2432" s="363"/>
      <c r="N2432" s="10"/>
      <c r="O2432" s="4"/>
      <c r="P2432" s="4"/>
      <c r="Q2432" s="3"/>
      <c r="R2432" s="3"/>
      <c r="S2432" s="3"/>
      <c r="T2432" s="3"/>
    </row>
    <row r="2433" spans="1:20">
      <c r="A2433" s="3">
        <v>1</v>
      </c>
      <c r="B2433" s="3">
        <v>2</v>
      </c>
      <c r="C2433" s="2">
        <v>25</v>
      </c>
      <c r="D2433" s="2">
        <v>5</v>
      </c>
      <c r="E2433" s="2">
        <v>1</v>
      </c>
      <c r="F2433" s="17">
        <v>141</v>
      </c>
      <c r="H2433" s="360">
        <v>0.28848572692744623</v>
      </c>
      <c r="I2433" s="360">
        <v>-0.95718205150898306</v>
      </c>
      <c r="K2433" s="363"/>
      <c r="N2433" s="10"/>
      <c r="O2433" s="4"/>
      <c r="P2433" s="4"/>
      <c r="Q2433" s="3"/>
      <c r="R2433" s="3"/>
      <c r="S2433" s="3"/>
      <c r="T2433" s="3"/>
    </row>
    <row r="2434" spans="1:20">
      <c r="A2434" s="3">
        <v>3</v>
      </c>
      <c r="B2434" s="3">
        <v>1</v>
      </c>
      <c r="C2434" s="2">
        <v>25</v>
      </c>
      <c r="D2434" s="2">
        <v>5</v>
      </c>
      <c r="E2434" s="2">
        <v>1</v>
      </c>
      <c r="F2434" s="17">
        <v>141</v>
      </c>
      <c r="H2434" s="360">
        <v>0.95981232239484937</v>
      </c>
      <c r="I2434" s="360">
        <v>-0.9578873007731985</v>
      </c>
      <c r="K2434" s="363"/>
      <c r="N2434" s="10"/>
      <c r="O2434" s="4"/>
      <c r="P2434" s="4"/>
      <c r="Q2434" s="3"/>
      <c r="R2434" s="3"/>
      <c r="S2434" s="3"/>
      <c r="T2434" s="3"/>
    </row>
    <row r="2435" spans="1:20">
      <c r="A2435" s="3">
        <v>3</v>
      </c>
      <c r="B2435" s="3">
        <v>1</v>
      </c>
      <c r="C2435" s="2">
        <v>25</v>
      </c>
      <c r="D2435" s="2">
        <v>5</v>
      </c>
      <c r="E2435" s="2">
        <v>16</v>
      </c>
      <c r="F2435" s="17">
        <v>141</v>
      </c>
      <c r="H2435" s="360">
        <v>0.97475181501649766</v>
      </c>
      <c r="I2435" s="360">
        <v>-0.96510586137793686</v>
      </c>
      <c r="K2435" s="363"/>
      <c r="N2435" s="10"/>
      <c r="O2435" s="4"/>
      <c r="P2435" s="4"/>
      <c r="Q2435" s="3"/>
      <c r="R2435" s="3"/>
      <c r="S2435" s="3"/>
      <c r="T2435" s="3"/>
    </row>
    <row r="2436" spans="1:20">
      <c r="A2436" s="3">
        <v>2</v>
      </c>
      <c r="B2436" s="3">
        <v>2</v>
      </c>
      <c r="C2436" s="2">
        <v>25</v>
      </c>
      <c r="D2436" s="2">
        <v>5</v>
      </c>
      <c r="E2436" s="2">
        <v>1</v>
      </c>
      <c r="F2436" s="17">
        <v>141</v>
      </c>
      <c r="H2436" s="360">
        <v>1</v>
      </c>
      <c r="I2436" s="360">
        <v>-0.97475513578252382</v>
      </c>
      <c r="K2436" s="363"/>
      <c r="N2436" s="10"/>
      <c r="O2436" s="4"/>
      <c r="P2436" s="4"/>
      <c r="Q2436" s="3"/>
      <c r="R2436" s="3"/>
      <c r="S2436" s="3"/>
      <c r="T2436" s="3"/>
    </row>
    <row r="2437" spans="1:20">
      <c r="A2437" s="3">
        <v>2</v>
      </c>
      <c r="B2437" s="3">
        <v>2</v>
      </c>
      <c r="C2437" s="2">
        <v>25</v>
      </c>
      <c r="D2437" s="2">
        <v>5</v>
      </c>
      <c r="E2437" s="2">
        <v>16</v>
      </c>
      <c r="F2437" s="17">
        <v>141</v>
      </c>
      <c r="H2437" s="360">
        <v>1</v>
      </c>
      <c r="I2437" s="360">
        <v>-0.97610571125834655</v>
      </c>
      <c r="K2437" s="363"/>
      <c r="N2437" s="10"/>
      <c r="O2437" s="4"/>
      <c r="P2437" s="4"/>
      <c r="Q2437" s="3"/>
      <c r="R2437" s="3"/>
      <c r="S2437" s="3"/>
      <c r="T2437" s="3"/>
    </row>
    <row r="2438" spans="1:20">
      <c r="A2438" s="3">
        <v>1</v>
      </c>
      <c r="B2438" s="3">
        <v>2</v>
      </c>
      <c r="C2438" s="2">
        <v>25</v>
      </c>
      <c r="D2438" s="2">
        <v>5</v>
      </c>
      <c r="E2438" s="2">
        <v>16</v>
      </c>
      <c r="F2438" s="17">
        <v>141</v>
      </c>
      <c r="H2438" s="360">
        <v>1</v>
      </c>
      <c r="I2438" s="360">
        <v>-0.97681471262989006</v>
      </c>
      <c r="K2438" s="363"/>
      <c r="N2438" s="10"/>
      <c r="O2438" s="4"/>
      <c r="P2438" s="4"/>
      <c r="Q2438" s="3"/>
      <c r="R2438" s="3"/>
      <c r="S2438" s="3"/>
      <c r="T2438" s="3"/>
    </row>
    <row r="2439" spans="1:20">
      <c r="A2439" s="3">
        <v>2</v>
      </c>
      <c r="B2439" s="3">
        <v>1</v>
      </c>
      <c r="C2439" s="2">
        <v>25</v>
      </c>
      <c r="D2439" s="2">
        <v>5</v>
      </c>
      <c r="E2439" s="2">
        <v>1</v>
      </c>
      <c r="F2439" s="17">
        <v>141</v>
      </c>
      <c r="H2439" s="360">
        <v>1</v>
      </c>
      <c r="I2439" s="360">
        <v>-0.97867989095606622</v>
      </c>
      <c r="K2439" s="363"/>
      <c r="N2439" s="10"/>
      <c r="O2439" s="4"/>
      <c r="P2439" s="4"/>
      <c r="Q2439" s="3"/>
      <c r="R2439" s="3"/>
      <c r="S2439" s="3"/>
      <c r="T2439" s="3"/>
    </row>
    <row r="2440" spans="1:20">
      <c r="A2440" s="3">
        <v>1</v>
      </c>
      <c r="B2440" s="3">
        <v>2</v>
      </c>
      <c r="C2440" s="2">
        <v>25</v>
      </c>
      <c r="D2440" s="2">
        <v>5</v>
      </c>
      <c r="E2440" s="2">
        <v>16</v>
      </c>
      <c r="F2440" s="17">
        <v>141</v>
      </c>
      <c r="H2440" s="360">
        <v>1</v>
      </c>
      <c r="I2440" s="360">
        <v>-0.98046379713046383</v>
      </c>
      <c r="K2440" s="363"/>
      <c r="N2440" s="10"/>
      <c r="O2440" s="4"/>
      <c r="P2440" s="4"/>
      <c r="Q2440" s="3"/>
      <c r="R2440" s="3"/>
      <c r="S2440" s="3"/>
      <c r="T2440" s="3"/>
    </row>
    <row r="2441" spans="1:20">
      <c r="A2441" s="3">
        <v>2</v>
      </c>
      <c r="B2441" s="3">
        <v>1</v>
      </c>
      <c r="C2441" s="2">
        <v>25</v>
      </c>
      <c r="D2441" s="2">
        <v>5</v>
      </c>
      <c r="E2441" s="2">
        <v>16</v>
      </c>
      <c r="F2441" s="17">
        <v>141</v>
      </c>
      <c r="H2441" s="360">
        <v>1</v>
      </c>
      <c r="I2441" s="360">
        <v>-0.98087783908770065</v>
      </c>
      <c r="K2441" s="363"/>
      <c r="N2441" s="10"/>
      <c r="O2441" s="4"/>
      <c r="P2441" s="4"/>
      <c r="Q2441" s="3"/>
      <c r="R2441" s="3"/>
      <c r="S2441" s="3"/>
      <c r="T2441" s="3"/>
    </row>
    <row r="2442" spans="1:20">
      <c r="A2442" s="3">
        <v>1</v>
      </c>
      <c r="B2442" s="3">
        <v>1</v>
      </c>
      <c r="C2442" s="2">
        <v>25</v>
      </c>
      <c r="D2442" s="2">
        <v>5</v>
      </c>
      <c r="E2442" s="2">
        <v>16</v>
      </c>
      <c r="F2442" s="17">
        <v>141</v>
      </c>
      <c r="H2442" s="360">
        <v>1</v>
      </c>
      <c r="I2442" s="360">
        <v>-0.98778115488217699</v>
      </c>
      <c r="K2442" s="363"/>
      <c r="N2442" s="10"/>
      <c r="O2442" s="4"/>
      <c r="P2442" s="4"/>
      <c r="Q2442" s="3"/>
      <c r="R2442" s="3"/>
      <c r="S2442" s="3"/>
      <c r="T2442" s="3"/>
    </row>
    <row r="2443" spans="1:20">
      <c r="A2443" s="3">
        <v>1</v>
      </c>
      <c r="B2443" s="3">
        <v>1</v>
      </c>
      <c r="C2443" s="2">
        <v>25</v>
      </c>
      <c r="D2443" s="2">
        <v>5</v>
      </c>
      <c r="E2443" s="2">
        <v>1</v>
      </c>
      <c r="F2443" s="17">
        <v>141</v>
      </c>
      <c r="H2443" s="360">
        <v>1</v>
      </c>
      <c r="I2443" s="360">
        <v>-1</v>
      </c>
      <c r="K2443" s="363"/>
      <c r="N2443" s="10"/>
      <c r="O2443" s="4"/>
      <c r="P2443" s="4"/>
      <c r="Q2443" s="3"/>
      <c r="R2443" s="3"/>
      <c r="S2443" s="3"/>
      <c r="T2443" s="3"/>
    </row>
    <row r="2444" spans="1:20">
      <c r="A2444" s="3">
        <v>2</v>
      </c>
      <c r="B2444" s="3">
        <v>2</v>
      </c>
      <c r="C2444" s="2">
        <v>25</v>
      </c>
      <c r="D2444" s="2">
        <v>5</v>
      </c>
      <c r="E2444" s="2">
        <v>1</v>
      </c>
      <c r="F2444" s="17">
        <v>142</v>
      </c>
      <c r="H2444" s="360">
        <v>0.20150885950913622</v>
      </c>
      <c r="I2444" s="360">
        <v>0.42722425816440562</v>
      </c>
      <c r="K2444" s="363"/>
      <c r="N2444" s="10"/>
      <c r="O2444" s="4"/>
      <c r="P2444" s="4"/>
      <c r="Q2444" s="3"/>
      <c r="R2444" s="3"/>
      <c r="S2444" s="3"/>
      <c r="T2444" s="3"/>
    </row>
    <row r="2445" spans="1:20">
      <c r="A2445" s="3">
        <v>2</v>
      </c>
      <c r="B2445" s="3">
        <v>1</v>
      </c>
      <c r="C2445" s="2">
        <v>25</v>
      </c>
      <c r="D2445" s="2">
        <v>5</v>
      </c>
      <c r="E2445" s="2">
        <v>16</v>
      </c>
      <c r="F2445" s="17">
        <v>142</v>
      </c>
      <c r="H2445" s="360">
        <v>0.54770433713225863</v>
      </c>
      <c r="I2445" s="360">
        <v>0.3297672633954542</v>
      </c>
      <c r="K2445" s="363"/>
      <c r="N2445" s="10"/>
      <c r="O2445" s="4"/>
      <c r="P2445" s="4"/>
      <c r="Q2445" s="3"/>
      <c r="R2445" s="3"/>
      <c r="S2445" s="3"/>
      <c r="T2445" s="3"/>
    </row>
    <row r="2446" spans="1:20">
      <c r="A2446" s="3">
        <v>2</v>
      </c>
      <c r="B2446" s="3">
        <v>2</v>
      </c>
      <c r="C2446" s="2">
        <v>25</v>
      </c>
      <c r="D2446" s="2">
        <v>5</v>
      </c>
      <c r="E2446" s="2">
        <v>16</v>
      </c>
      <c r="F2446" s="17">
        <v>142</v>
      </c>
      <c r="H2446" s="360">
        <v>0.61202683496235188</v>
      </c>
      <c r="I2446" s="360">
        <v>0.31654147212982064</v>
      </c>
      <c r="K2446" s="363"/>
      <c r="N2446" s="10"/>
      <c r="O2446" s="4"/>
      <c r="P2446" s="4"/>
      <c r="Q2446" s="3"/>
      <c r="R2446" s="3"/>
      <c r="S2446" s="3"/>
      <c r="T2446" s="3"/>
    </row>
    <row r="2447" spans="1:20">
      <c r="A2447" s="3">
        <v>1</v>
      </c>
      <c r="B2447" s="3">
        <v>2</v>
      </c>
      <c r="C2447" s="2">
        <v>25</v>
      </c>
      <c r="D2447" s="2">
        <v>5</v>
      </c>
      <c r="E2447" s="2">
        <v>16</v>
      </c>
      <c r="F2447" s="17">
        <v>142</v>
      </c>
      <c r="H2447" s="360">
        <v>7.5402201098364374E-2</v>
      </c>
      <c r="I2447" s="360">
        <v>0.2880825616310464</v>
      </c>
      <c r="K2447" s="363"/>
      <c r="N2447" s="10"/>
      <c r="O2447" s="4"/>
      <c r="P2447" s="4"/>
      <c r="Q2447" s="3"/>
      <c r="R2447" s="3"/>
      <c r="S2447" s="3"/>
      <c r="T2447" s="3"/>
    </row>
    <row r="2448" spans="1:20">
      <c r="A2448" s="3">
        <v>2</v>
      </c>
      <c r="B2448" s="3">
        <v>1</v>
      </c>
      <c r="C2448" s="2">
        <v>25</v>
      </c>
      <c r="D2448" s="2">
        <v>5</v>
      </c>
      <c r="E2448" s="2">
        <v>1</v>
      </c>
      <c r="F2448" s="17">
        <v>142</v>
      </c>
      <c r="H2448" s="360">
        <v>6.4156424088121278E-2</v>
      </c>
      <c r="I2448" s="360">
        <v>0.26670119109269808</v>
      </c>
      <c r="K2448" s="363"/>
      <c r="N2448" s="10"/>
      <c r="O2448" s="4"/>
      <c r="P2448" s="4"/>
      <c r="Q2448" s="3"/>
      <c r="R2448" s="3"/>
      <c r="S2448" s="3"/>
      <c r="T2448" s="3"/>
    </row>
    <row r="2449" spans="1:20">
      <c r="A2449" s="3">
        <v>4</v>
      </c>
      <c r="B2449" s="3">
        <v>2</v>
      </c>
      <c r="C2449" s="2">
        <v>50</v>
      </c>
      <c r="D2449" s="2">
        <v>5</v>
      </c>
      <c r="E2449" s="2">
        <v>16</v>
      </c>
      <c r="F2449" s="17">
        <v>142</v>
      </c>
      <c r="H2449" s="360">
        <v>0.15340943305365506</v>
      </c>
      <c r="I2449" s="360">
        <v>0.10893982284722856</v>
      </c>
      <c r="K2449" s="363"/>
      <c r="N2449" s="10"/>
      <c r="O2449" s="4"/>
      <c r="P2449" s="4"/>
      <c r="Q2449" s="3"/>
      <c r="R2449" s="3"/>
      <c r="S2449" s="3"/>
      <c r="T2449" s="3"/>
    </row>
    <row r="2450" spans="1:20">
      <c r="A2450" s="3">
        <v>1</v>
      </c>
      <c r="B2450" s="3">
        <v>1</v>
      </c>
      <c r="C2450" s="2">
        <v>25</v>
      </c>
      <c r="D2450" s="2">
        <v>5</v>
      </c>
      <c r="E2450" s="2">
        <v>1</v>
      </c>
      <c r="F2450" s="17">
        <v>142</v>
      </c>
      <c r="H2450" s="360">
        <v>0</v>
      </c>
      <c r="I2450" s="360">
        <v>0</v>
      </c>
      <c r="K2450" s="363"/>
      <c r="N2450" s="10"/>
      <c r="O2450" s="4"/>
      <c r="P2450" s="4"/>
      <c r="Q2450" s="3"/>
      <c r="R2450" s="3"/>
      <c r="S2450" s="3"/>
      <c r="T2450" s="3"/>
    </row>
    <row r="2451" spans="1:20">
      <c r="A2451" s="3">
        <v>1</v>
      </c>
      <c r="B2451" s="3">
        <v>1</v>
      </c>
      <c r="C2451" s="2">
        <v>25</v>
      </c>
      <c r="D2451" s="2">
        <v>5</v>
      </c>
      <c r="E2451" s="2">
        <v>16</v>
      </c>
      <c r="F2451" s="17">
        <v>142</v>
      </c>
      <c r="H2451" s="360">
        <v>0</v>
      </c>
      <c r="I2451" s="360">
        <v>0</v>
      </c>
      <c r="K2451" s="363"/>
      <c r="N2451" s="10"/>
      <c r="O2451" s="4"/>
      <c r="P2451" s="4"/>
      <c r="Q2451" s="3"/>
      <c r="R2451" s="3"/>
      <c r="S2451" s="3"/>
      <c r="T2451" s="3"/>
    </row>
    <row r="2452" spans="1:20">
      <c r="A2452" s="3">
        <v>1</v>
      </c>
      <c r="B2452" s="3">
        <v>1</v>
      </c>
      <c r="C2452" s="2">
        <v>25</v>
      </c>
      <c r="D2452" s="2">
        <v>30</v>
      </c>
      <c r="E2452" s="2">
        <v>16</v>
      </c>
      <c r="F2452" s="17">
        <v>142</v>
      </c>
      <c r="H2452" s="360">
        <v>0</v>
      </c>
      <c r="I2452" s="360">
        <v>0</v>
      </c>
      <c r="K2452" s="363"/>
      <c r="N2452" s="10"/>
      <c r="O2452" s="4"/>
      <c r="P2452" s="4"/>
      <c r="Q2452" s="3"/>
      <c r="R2452" s="3"/>
      <c r="S2452" s="3"/>
      <c r="T2452" s="3"/>
    </row>
    <row r="2453" spans="1:20">
      <c r="A2453" s="3">
        <v>1</v>
      </c>
      <c r="B2453" s="3">
        <v>2</v>
      </c>
      <c r="C2453" s="2">
        <v>25</v>
      </c>
      <c r="D2453" s="2">
        <v>5</v>
      </c>
      <c r="E2453" s="2">
        <v>1</v>
      </c>
      <c r="F2453" s="17">
        <v>142</v>
      </c>
      <c r="H2453" s="360">
        <v>0</v>
      </c>
      <c r="I2453" s="360">
        <v>0</v>
      </c>
      <c r="K2453" s="363"/>
      <c r="N2453" s="10"/>
      <c r="O2453" s="4"/>
      <c r="P2453" s="4"/>
      <c r="Q2453" s="3"/>
      <c r="R2453" s="3"/>
      <c r="S2453" s="3"/>
      <c r="T2453" s="3"/>
    </row>
    <row r="2454" spans="1:20">
      <c r="A2454" s="3">
        <v>5</v>
      </c>
      <c r="B2454" s="3">
        <v>2</v>
      </c>
      <c r="C2454" s="2">
        <v>50</v>
      </c>
      <c r="D2454" s="2">
        <v>5</v>
      </c>
      <c r="E2454" s="2">
        <v>16</v>
      </c>
      <c r="F2454" s="17">
        <v>142</v>
      </c>
      <c r="H2454" s="360">
        <v>0.12200953293989758</v>
      </c>
      <c r="I2454" s="360">
        <v>-4.3054641313744292E-2</v>
      </c>
      <c r="K2454" s="363"/>
      <c r="N2454" s="10"/>
      <c r="O2454" s="4"/>
      <c r="P2454" s="4"/>
      <c r="Q2454" s="3"/>
      <c r="R2454" s="3"/>
      <c r="S2454" s="3"/>
      <c r="T2454" s="3"/>
    </row>
    <row r="2455" spans="1:20">
      <c r="A2455" s="3">
        <v>1</v>
      </c>
      <c r="B2455" s="3">
        <v>2</v>
      </c>
      <c r="C2455" s="2">
        <v>25</v>
      </c>
      <c r="D2455" s="2">
        <v>30</v>
      </c>
      <c r="E2455" s="2">
        <v>16</v>
      </c>
      <c r="F2455" s="17">
        <v>142</v>
      </c>
      <c r="H2455" s="360">
        <v>5.1581648314672934E-2</v>
      </c>
      <c r="I2455" s="360">
        <v>-5.0603929679648565E-2</v>
      </c>
      <c r="K2455" s="363"/>
      <c r="N2455" s="10"/>
      <c r="O2455" s="4"/>
      <c r="P2455" s="4"/>
      <c r="Q2455" s="3"/>
      <c r="R2455" s="3"/>
      <c r="S2455" s="3"/>
      <c r="T2455" s="3"/>
    </row>
    <row r="2456" spans="1:20">
      <c r="A2456" s="3">
        <v>5</v>
      </c>
      <c r="B2456" s="3">
        <v>2</v>
      </c>
      <c r="C2456" s="2">
        <v>25</v>
      </c>
      <c r="D2456" s="2">
        <v>5</v>
      </c>
      <c r="E2456" s="2">
        <v>16</v>
      </c>
      <c r="F2456" s="17">
        <v>142</v>
      </c>
      <c r="H2456" s="360">
        <v>1.8952988603703091E-2</v>
      </c>
      <c r="I2456" s="360">
        <v>-6.0066371681415931E-2</v>
      </c>
      <c r="K2456" s="363"/>
      <c r="N2456" s="10"/>
      <c r="O2456" s="4"/>
      <c r="P2456" s="4"/>
      <c r="Q2456" s="3"/>
      <c r="R2456" s="3"/>
      <c r="S2456" s="3"/>
      <c r="T2456" s="3"/>
    </row>
    <row r="2457" spans="1:20">
      <c r="A2457" s="3">
        <v>1</v>
      </c>
      <c r="B2457" s="3">
        <v>2</v>
      </c>
      <c r="C2457" s="2">
        <v>25</v>
      </c>
      <c r="D2457" s="2">
        <v>5</v>
      </c>
      <c r="E2457" s="2">
        <v>16</v>
      </c>
      <c r="F2457" s="17">
        <v>142</v>
      </c>
      <c r="H2457" s="360">
        <v>0.99988943427179044</v>
      </c>
      <c r="I2457" s="360">
        <v>-0.11092113699508442</v>
      </c>
      <c r="K2457" s="363"/>
      <c r="N2457" s="10"/>
      <c r="O2457" s="4"/>
      <c r="P2457" s="4"/>
      <c r="Q2457" s="3"/>
      <c r="R2457" s="3"/>
      <c r="S2457" s="3"/>
      <c r="T2457" s="3"/>
    </row>
    <row r="2458" spans="1:20">
      <c r="A2458" s="3">
        <v>3</v>
      </c>
      <c r="B2458" s="3">
        <v>1</v>
      </c>
      <c r="C2458" s="2">
        <v>25</v>
      </c>
      <c r="D2458" s="2">
        <v>5</v>
      </c>
      <c r="E2458" s="2">
        <v>16</v>
      </c>
      <c r="F2458" s="17">
        <v>142</v>
      </c>
      <c r="H2458" s="360">
        <v>3.5716699827446852E-2</v>
      </c>
      <c r="I2458" s="360">
        <v>-0.18047701008114087</v>
      </c>
      <c r="K2458" s="363"/>
      <c r="N2458" s="10"/>
      <c r="O2458" s="4"/>
      <c r="P2458" s="4"/>
      <c r="Q2458" s="3"/>
      <c r="R2458" s="3"/>
      <c r="S2458" s="3"/>
      <c r="T2458" s="3"/>
    </row>
    <row r="2459" spans="1:20">
      <c r="A2459" s="3">
        <v>3</v>
      </c>
      <c r="B2459" s="3">
        <v>2</v>
      </c>
      <c r="C2459" s="2">
        <v>25</v>
      </c>
      <c r="D2459" s="2">
        <v>5</v>
      </c>
      <c r="E2459" s="2">
        <v>16</v>
      </c>
      <c r="F2459" s="17">
        <v>142</v>
      </c>
      <c r="H2459" s="360">
        <v>4.380109813201527E-2</v>
      </c>
      <c r="I2459" s="360">
        <v>-0.18499175070747245</v>
      </c>
      <c r="K2459" s="363"/>
      <c r="N2459" s="10"/>
      <c r="O2459" s="4"/>
      <c r="P2459" s="4"/>
      <c r="Q2459" s="3"/>
      <c r="R2459" s="3"/>
      <c r="S2459" s="3"/>
      <c r="T2459" s="3"/>
    </row>
    <row r="2460" spans="1:20">
      <c r="A2460" s="3">
        <v>3</v>
      </c>
      <c r="B2460" s="3">
        <v>1</v>
      </c>
      <c r="C2460" s="2">
        <v>25</v>
      </c>
      <c r="D2460" s="2">
        <v>5</v>
      </c>
      <c r="E2460" s="2">
        <v>1</v>
      </c>
      <c r="F2460" s="17">
        <v>142</v>
      </c>
      <c r="H2460" s="360">
        <v>1.0118872492891229E-2</v>
      </c>
      <c r="I2460" s="360">
        <v>-0.49656565656565654</v>
      </c>
      <c r="K2460" s="363"/>
      <c r="N2460" s="10"/>
      <c r="O2460" s="4"/>
      <c r="P2460" s="4"/>
      <c r="Q2460" s="3"/>
      <c r="R2460" s="3"/>
      <c r="S2460" s="3"/>
      <c r="T2460" s="3"/>
    </row>
    <row r="2461" spans="1:20">
      <c r="A2461" s="3">
        <v>3</v>
      </c>
      <c r="B2461" s="3">
        <v>2</v>
      </c>
      <c r="C2461" s="2">
        <v>25</v>
      </c>
      <c r="D2461" s="2">
        <v>5</v>
      </c>
      <c r="E2461" s="2">
        <v>1</v>
      </c>
      <c r="F2461" s="17">
        <v>142</v>
      </c>
      <c r="H2461" s="360">
        <v>1.4131107420191524E-2</v>
      </c>
      <c r="I2461" s="360">
        <v>-1</v>
      </c>
      <c r="K2461" s="363"/>
      <c r="N2461" s="10"/>
      <c r="O2461" s="4"/>
      <c r="P2461" s="4"/>
      <c r="Q2461" s="3"/>
      <c r="R2461" s="3"/>
      <c r="S2461" s="3"/>
      <c r="T2461" s="3"/>
    </row>
    <row r="2462" spans="1:20">
      <c r="A2462" s="3">
        <v>4</v>
      </c>
      <c r="B2462" s="3">
        <v>2</v>
      </c>
      <c r="C2462" s="2">
        <v>50</v>
      </c>
      <c r="D2462" s="2">
        <v>5</v>
      </c>
      <c r="E2462" s="2">
        <v>16</v>
      </c>
      <c r="F2462" s="17">
        <v>143</v>
      </c>
      <c r="H2462" s="360">
        <v>0.99881802515659934</v>
      </c>
      <c r="I2462" s="360">
        <v>0.37930300399490408</v>
      </c>
      <c r="K2462" s="363"/>
      <c r="N2462" s="10"/>
      <c r="O2462" s="4"/>
      <c r="P2462" s="4"/>
      <c r="Q2462" s="3"/>
      <c r="R2462" s="3"/>
      <c r="S2462" s="3"/>
      <c r="T2462" s="3"/>
    </row>
    <row r="2463" spans="1:20">
      <c r="A2463" s="3">
        <v>5</v>
      </c>
      <c r="B2463" s="3">
        <v>2</v>
      </c>
      <c r="C2463" s="2">
        <v>50</v>
      </c>
      <c r="D2463" s="2">
        <v>5</v>
      </c>
      <c r="E2463" s="2">
        <v>16</v>
      </c>
      <c r="F2463" s="17">
        <v>143</v>
      </c>
      <c r="H2463" s="360">
        <v>1</v>
      </c>
      <c r="I2463" s="360">
        <v>0.23158586585168278</v>
      </c>
      <c r="K2463" s="363"/>
      <c r="N2463" s="10"/>
      <c r="O2463" s="4"/>
      <c r="P2463" s="4"/>
      <c r="Q2463" s="3"/>
      <c r="R2463" s="3"/>
      <c r="S2463" s="3"/>
      <c r="T2463" s="3"/>
    </row>
    <row r="2464" spans="1:20">
      <c r="A2464" s="3">
        <v>5</v>
      </c>
      <c r="B2464" s="3">
        <v>2</v>
      </c>
      <c r="C2464" s="2">
        <v>25</v>
      </c>
      <c r="D2464" s="2">
        <v>5</v>
      </c>
      <c r="E2464" s="2">
        <v>16</v>
      </c>
      <c r="F2464" s="17">
        <v>143</v>
      </c>
      <c r="H2464" s="360">
        <v>0.61533979457288068</v>
      </c>
      <c r="I2464" s="360">
        <v>0.22064954952735202</v>
      </c>
      <c r="K2464" s="363"/>
      <c r="N2464" s="10"/>
      <c r="O2464" s="4"/>
      <c r="P2464" s="4"/>
      <c r="Q2464" s="3"/>
      <c r="R2464" s="3"/>
      <c r="S2464" s="3"/>
      <c r="T2464" s="3"/>
    </row>
    <row r="2465" spans="1:20">
      <c r="A2465" s="3">
        <v>2</v>
      </c>
      <c r="B2465" s="3">
        <v>1</v>
      </c>
      <c r="C2465" s="2">
        <v>25</v>
      </c>
      <c r="D2465" s="2">
        <v>5</v>
      </c>
      <c r="E2465" s="2">
        <v>16</v>
      </c>
      <c r="F2465" s="17">
        <v>143</v>
      </c>
      <c r="H2465" s="360">
        <v>1</v>
      </c>
      <c r="I2465" s="360">
        <v>-0.23421260620787782</v>
      </c>
      <c r="K2465" s="363"/>
      <c r="N2465" s="10"/>
      <c r="O2465" s="4"/>
      <c r="P2465" s="4"/>
      <c r="Q2465" s="3"/>
      <c r="R2465" s="3"/>
      <c r="S2465" s="3"/>
      <c r="T2465" s="3"/>
    </row>
    <row r="2466" spans="1:20">
      <c r="A2466" s="3">
        <v>2</v>
      </c>
      <c r="B2466" s="3">
        <v>1</v>
      </c>
      <c r="C2466" s="2">
        <v>25</v>
      </c>
      <c r="D2466" s="2">
        <v>5</v>
      </c>
      <c r="E2466" s="2">
        <v>1</v>
      </c>
      <c r="F2466" s="17">
        <v>143</v>
      </c>
      <c r="H2466" s="360">
        <v>1</v>
      </c>
      <c r="I2466" s="360">
        <v>-0.27045420541347825</v>
      </c>
      <c r="K2466" s="363"/>
      <c r="N2466" s="10"/>
      <c r="O2466" s="4"/>
      <c r="P2466" s="4"/>
      <c r="Q2466" s="3"/>
      <c r="R2466" s="3"/>
      <c r="S2466" s="3"/>
      <c r="T2466" s="3"/>
    </row>
    <row r="2467" spans="1:20">
      <c r="A2467" s="3">
        <v>2</v>
      </c>
      <c r="B2467" s="3">
        <v>2</v>
      </c>
      <c r="C2467" s="2">
        <v>25</v>
      </c>
      <c r="D2467" s="2">
        <v>5</v>
      </c>
      <c r="E2467" s="2">
        <v>16</v>
      </c>
      <c r="F2467" s="17">
        <v>143</v>
      </c>
      <c r="H2467" s="360">
        <v>1</v>
      </c>
      <c r="I2467" s="360">
        <v>-0.51</v>
      </c>
      <c r="K2467" s="363"/>
      <c r="N2467" s="10"/>
      <c r="O2467" s="4"/>
      <c r="P2467" s="4"/>
      <c r="Q2467" s="3"/>
      <c r="R2467" s="3"/>
      <c r="S2467" s="3"/>
      <c r="T2467" s="3"/>
    </row>
    <row r="2468" spans="1:20">
      <c r="A2468" s="3">
        <v>2</v>
      </c>
      <c r="B2468" s="3">
        <v>2</v>
      </c>
      <c r="C2468" s="2">
        <v>25</v>
      </c>
      <c r="D2468" s="2">
        <v>5</v>
      </c>
      <c r="E2468" s="2">
        <v>1</v>
      </c>
      <c r="F2468" s="17">
        <v>143</v>
      </c>
      <c r="H2468" s="360">
        <v>1</v>
      </c>
      <c r="I2468" s="360">
        <v>-0.55216798961822289</v>
      </c>
      <c r="K2468" s="363"/>
      <c r="N2468" s="10"/>
      <c r="O2468" s="4"/>
      <c r="P2468" s="4"/>
      <c r="Q2468" s="3"/>
      <c r="R2468" s="3"/>
      <c r="S2468" s="3"/>
      <c r="T2468" s="3"/>
    </row>
    <row r="2469" spans="1:20">
      <c r="A2469" s="3">
        <v>3</v>
      </c>
      <c r="B2469" s="3">
        <v>1</v>
      </c>
      <c r="C2469" s="2">
        <v>25</v>
      </c>
      <c r="D2469" s="2">
        <v>5</v>
      </c>
      <c r="E2469" s="2">
        <v>1</v>
      </c>
      <c r="F2469" s="17">
        <v>143</v>
      </c>
      <c r="H2469" s="360">
        <v>0.98816966489093172</v>
      </c>
      <c r="I2469" s="360">
        <v>-0.58534285410317233</v>
      </c>
      <c r="K2469" s="363"/>
      <c r="N2469" s="10"/>
      <c r="O2469" s="4"/>
      <c r="P2469" s="4"/>
      <c r="Q2469" s="3"/>
      <c r="R2469" s="3"/>
      <c r="S2469" s="3"/>
      <c r="T2469" s="3"/>
    </row>
    <row r="2470" spans="1:20">
      <c r="A2470" s="3">
        <v>1</v>
      </c>
      <c r="B2470" s="3">
        <v>1</v>
      </c>
      <c r="C2470" s="2">
        <v>25</v>
      </c>
      <c r="D2470" s="2">
        <v>30</v>
      </c>
      <c r="E2470" s="2">
        <v>16</v>
      </c>
      <c r="F2470" s="17">
        <v>143</v>
      </c>
      <c r="H2470" s="360">
        <v>1</v>
      </c>
      <c r="I2470" s="360">
        <v>-0.64895738429309202</v>
      </c>
      <c r="K2470" s="363"/>
      <c r="N2470" s="10"/>
      <c r="O2470" s="4"/>
      <c r="P2470" s="4"/>
      <c r="Q2470" s="3"/>
      <c r="R2470" s="3"/>
      <c r="S2470" s="3"/>
      <c r="T2470" s="3"/>
    </row>
    <row r="2471" spans="1:20">
      <c r="A2471" s="3">
        <v>3</v>
      </c>
      <c r="B2471" s="3">
        <v>1</v>
      </c>
      <c r="C2471" s="2">
        <v>25</v>
      </c>
      <c r="D2471" s="2">
        <v>5</v>
      </c>
      <c r="E2471" s="2">
        <v>16</v>
      </c>
      <c r="F2471" s="17">
        <v>143</v>
      </c>
      <c r="H2471" s="360">
        <v>0.98605479401085216</v>
      </c>
      <c r="I2471" s="360">
        <v>-0.70469994058090735</v>
      </c>
      <c r="K2471" s="363"/>
      <c r="N2471" s="10"/>
      <c r="O2471" s="4"/>
      <c r="P2471" s="4"/>
      <c r="Q2471" s="3"/>
      <c r="R2471" s="3"/>
      <c r="S2471" s="3"/>
      <c r="T2471" s="3"/>
    </row>
    <row r="2472" spans="1:20">
      <c r="A2472" s="3">
        <v>1</v>
      </c>
      <c r="B2472" s="3">
        <v>2</v>
      </c>
      <c r="C2472" s="2">
        <v>25</v>
      </c>
      <c r="D2472" s="2">
        <v>30</v>
      </c>
      <c r="E2472" s="2">
        <v>16</v>
      </c>
      <c r="F2472" s="17">
        <v>143</v>
      </c>
      <c r="H2472" s="360">
        <v>1</v>
      </c>
      <c r="I2472" s="360">
        <v>-0.71733784119309607</v>
      </c>
      <c r="K2472" s="363"/>
      <c r="N2472" s="10"/>
      <c r="O2472" s="4"/>
      <c r="P2472" s="4"/>
      <c r="Q2472" s="3"/>
      <c r="R2472" s="3"/>
      <c r="S2472" s="3"/>
      <c r="T2472" s="3"/>
    </row>
    <row r="2473" spans="1:20">
      <c r="A2473" s="3">
        <v>1</v>
      </c>
      <c r="B2473" s="3">
        <v>1</v>
      </c>
      <c r="C2473" s="2">
        <v>25</v>
      </c>
      <c r="D2473" s="2">
        <v>5</v>
      </c>
      <c r="E2473" s="2">
        <v>1</v>
      </c>
      <c r="F2473" s="17">
        <v>143</v>
      </c>
      <c r="H2473" s="360">
        <v>1</v>
      </c>
      <c r="I2473" s="360">
        <v>-0.87160463401633392</v>
      </c>
      <c r="K2473" s="363"/>
      <c r="N2473" s="10"/>
      <c r="O2473" s="4"/>
      <c r="P2473" s="4"/>
      <c r="Q2473" s="3"/>
      <c r="R2473" s="3"/>
      <c r="S2473" s="3"/>
      <c r="T2473" s="3"/>
    </row>
    <row r="2474" spans="1:20">
      <c r="A2474" s="3">
        <v>1</v>
      </c>
      <c r="B2474" s="3">
        <v>1</v>
      </c>
      <c r="C2474" s="2">
        <v>25</v>
      </c>
      <c r="D2474" s="2">
        <v>5</v>
      </c>
      <c r="E2474" s="2">
        <v>16</v>
      </c>
      <c r="F2474" s="17">
        <v>143</v>
      </c>
      <c r="H2474" s="360">
        <v>1</v>
      </c>
      <c r="I2474" s="360">
        <v>-0.88493205395785601</v>
      </c>
      <c r="K2474" s="363"/>
      <c r="N2474" s="10"/>
      <c r="O2474" s="4"/>
      <c r="P2474" s="4"/>
      <c r="Q2474" s="3"/>
      <c r="R2474" s="3"/>
      <c r="S2474" s="3"/>
      <c r="T2474" s="3"/>
    </row>
    <row r="2475" spans="1:20">
      <c r="A2475" s="3">
        <v>1</v>
      </c>
      <c r="B2475" s="3">
        <v>2</v>
      </c>
      <c r="C2475" s="2">
        <v>25</v>
      </c>
      <c r="D2475" s="2">
        <v>5</v>
      </c>
      <c r="E2475" s="2">
        <v>1</v>
      </c>
      <c r="F2475" s="17">
        <v>143</v>
      </c>
      <c r="H2475" s="360">
        <v>1</v>
      </c>
      <c r="I2475" s="360">
        <v>-0.88876972513334518</v>
      </c>
      <c r="K2475" s="363"/>
      <c r="N2475" s="10"/>
      <c r="O2475" s="4"/>
      <c r="P2475" s="4"/>
      <c r="Q2475" s="3"/>
      <c r="R2475" s="3"/>
      <c r="S2475" s="3"/>
      <c r="T2475" s="3"/>
    </row>
    <row r="2476" spans="1:20">
      <c r="A2476" s="3">
        <v>1</v>
      </c>
      <c r="B2476" s="3">
        <v>2</v>
      </c>
      <c r="C2476" s="2">
        <v>25</v>
      </c>
      <c r="D2476" s="2">
        <v>5</v>
      </c>
      <c r="E2476" s="2">
        <v>16</v>
      </c>
      <c r="F2476" s="17">
        <v>143</v>
      </c>
      <c r="H2476" s="360">
        <v>1</v>
      </c>
      <c r="I2476" s="360">
        <v>-0.89020615349778798</v>
      </c>
      <c r="K2476" s="363"/>
      <c r="N2476" s="10"/>
      <c r="O2476" s="4"/>
      <c r="P2476" s="4"/>
      <c r="Q2476" s="3"/>
      <c r="R2476" s="3"/>
      <c r="S2476" s="3"/>
      <c r="T2476" s="3"/>
    </row>
    <row r="2477" spans="1:20">
      <c r="A2477" s="3">
        <v>1</v>
      </c>
      <c r="B2477" s="3">
        <v>2</v>
      </c>
      <c r="C2477" s="2">
        <v>25</v>
      </c>
      <c r="D2477" s="2">
        <v>5</v>
      </c>
      <c r="E2477" s="2">
        <v>16</v>
      </c>
      <c r="F2477" s="17">
        <v>143</v>
      </c>
      <c r="H2477" s="360">
        <v>1</v>
      </c>
      <c r="I2477" s="360">
        <v>-0.8988576581307679</v>
      </c>
      <c r="K2477" s="363"/>
      <c r="N2477" s="10"/>
      <c r="O2477" s="4"/>
      <c r="P2477" s="4"/>
      <c r="Q2477" s="3"/>
      <c r="R2477" s="3"/>
      <c r="S2477" s="3"/>
      <c r="T2477" s="3"/>
    </row>
    <row r="2478" spans="1:20">
      <c r="A2478" s="3">
        <v>3</v>
      </c>
      <c r="B2478" s="3">
        <v>2</v>
      </c>
      <c r="C2478" s="2">
        <v>25</v>
      </c>
      <c r="D2478" s="2">
        <v>5</v>
      </c>
      <c r="E2478" s="2">
        <v>1</v>
      </c>
      <c r="F2478" s="17">
        <v>143</v>
      </c>
      <c r="H2478" s="360">
        <v>1</v>
      </c>
      <c r="I2478" s="360">
        <v>-0.91878355946777934</v>
      </c>
      <c r="K2478" s="363"/>
      <c r="N2478" s="10"/>
      <c r="O2478" s="4"/>
      <c r="P2478" s="4"/>
      <c r="Q2478" s="3"/>
      <c r="R2478" s="3"/>
      <c r="S2478" s="3"/>
      <c r="T2478" s="3"/>
    </row>
    <row r="2479" spans="1:20">
      <c r="A2479" s="3">
        <v>3</v>
      </c>
      <c r="B2479" s="3">
        <v>2</v>
      </c>
      <c r="C2479" s="2">
        <v>25</v>
      </c>
      <c r="D2479" s="2">
        <v>5</v>
      </c>
      <c r="E2479" s="2">
        <v>16</v>
      </c>
      <c r="F2479" s="17">
        <v>143</v>
      </c>
      <c r="H2479" s="360">
        <v>0.98623579570762754</v>
      </c>
      <c r="I2479" s="360">
        <v>-0.9500672823134243</v>
      </c>
      <c r="K2479" s="363"/>
      <c r="N2479" s="10"/>
      <c r="O2479" s="4"/>
      <c r="P2479" s="4"/>
      <c r="Q2479" s="3"/>
      <c r="R2479" s="3"/>
      <c r="S2479" s="3"/>
      <c r="T2479" s="3"/>
    </row>
    <row r="2480" spans="1:20">
      <c r="A2480" s="3">
        <v>2</v>
      </c>
      <c r="B2480" s="3">
        <v>1</v>
      </c>
      <c r="C2480" s="2">
        <v>25</v>
      </c>
      <c r="D2480" s="2">
        <v>5</v>
      </c>
      <c r="E2480" s="2">
        <v>1</v>
      </c>
      <c r="F2480" s="17">
        <v>144</v>
      </c>
      <c r="H2480" s="360">
        <v>1</v>
      </c>
      <c r="I2480" s="360">
        <v>0.98482656881156183</v>
      </c>
      <c r="K2480" s="363"/>
      <c r="N2480" s="10"/>
      <c r="O2480" s="4"/>
      <c r="P2480" s="4"/>
      <c r="Q2480" s="3"/>
      <c r="R2480" s="3"/>
      <c r="S2480" s="3"/>
      <c r="T2480" s="3"/>
    </row>
    <row r="2481" spans="1:20">
      <c r="A2481" s="3">
        <v>2</v>
      </c>
      <c r="B2481" s="3">
        <v>1</v>
      </c>
      <c r="C2481" s="2">
        <v>25</v>
      </c>
      <c r="D2481" s="2">
        <v>5</v>
      </c>
      <c r="E2481" s="2">
        <v>16</v>
      </c>
      <c r="F2481" s="17">
        <v>144</v>
      </c>
      <c r="H2481" s="360">
        <v>1</v>
      </c>
      <c r="I2481" s="360">
        <v>0.98078892885963598</v>
      </c>
      <c r="K2481" s="363"/>
      <c r="N2481" s="10"/>
      <c r="O2481" s="4"/>
      <c r="P2481" s="4"/>
      <c r="Q2481" s="3"/>
      <c r="R2481" s="3"/>
      <c r="S2481" s="3"/>
      <c r="T2481" s="3"/>
    </row>
    <row r="2482" spans="1:20">
      <c r="A2482" s="3">
        <v>1</v>
      </c>
      <c r="B2482" s="3">
        <v>1</v>
      </c>
      <c r="C2482" s="2">
        <v>25</v>
      </c>
      <c r="D2482" s="2">
        <v>30</v>
      </c>
      <c r="E2482" s="2">
        <v>16</v>
      </c>
      <c r="F2482" s="17">
        <v>144</v>
      </c>
      <c r="H2482" s="360">
        <v>1</v>
      </c>
      <c r="I2482" s="360">
        <v>0.97421566339013232</v>
      </c>
      <c r="K2482" s="363"/>
      <c r="N2482" s="10"/>
      <c r="O2482" s="4"/>
      <c r="P2482" s="4"/>
      <c r="Q2482" s="3"/>
      <c r="R2482" s="3"/>
      <c r="S2482" s="3"/>
      <c r="T2482" s="3"/>
    </row>
    <row r="2483" spans="1:20">
      <c r="A2483" s="3">
        <v>1</v>
      </c>
      <c r="B2483" s="3">
        <v>1</v>
      </c>
      <c r="C2483" s="2">
        <v>25</v>
      </c>
      <c r="D2483" s="2">
        <v>5</v>
      </c>
      <c r="E2483" s="2">
        <v>16</v>
      </c>
      <c r="F2483" s="17">
        <v>144</v>
      </c>
      <c r="H2483" s="360">
        <v>1</v>
      </c>
      <c r="I2483" s="360">
        <v>0.9653167957227935</v>
      </c>
      <c r="K2483" s="363"/>
      <c r="N2483" s="10"/>
      <c r="O2483" s="4"/>
      <c r="P2483" s="4"/>
      <c r="Q2483" s="3"/>
      <c r="R2483" s="3"/>
      <c r="S2483" s="3"/>
      <c r="T2483" s="3"/>
    </row>
    <row r="2484" spans="1:20">
      <c r="A2484" s="3">
        <v>1</v>
      </c>
      <c r="B2484" s="3">
        <v>1</v>
      </c>
      <c r="C2484" s="2">
        <v>25</v>
      </c>
      <c r="D2484" s="2">
        <v>5</v>
      </c>
      <c r="E2484" s="2">
        <v>1</v>
      </c>
      <c r="F2484" s="17">
        <v>144</v>
      </c>
      <c r="H2484" s="360">
        <v>1</v>
      </c>
      <c r="I2484" s="360">
        <v>0.96462880409832197</v>
      </c>
      <c r="K2484" s="363"/>
      <c r="N2484" s="10"/>
      <c r="O2484" s="4"/>
      <c r="P2484" s="4"/>
      <c r="Q2484" s="3"/>
      <c r="R2484" s="3"/>
      <c r="S2484" s="3"/>
      <c r="T2484" s="3"/>
    </row>
    <row r="2485" spans="1:20">
      <c r="A2485" s="3">
        <v>3</v>
      </c>
      <c r="B2485" s="3">
        <v>1</v>
      </c>
      <c r="C2485" s="2">
        <v>25</v>
      </c>
      <c r="D2485" s="2">
        <v>5</v>
      </c>
      <c r="E2485" s="2">
        <v>1</v>
      </c>
      <c r="F2485" s="17">
        <v>144</v>
      </c>
      <c r="H2485" s="360">
        <v>0.94782200827509611</v>
      </c>
      <c r="I2485" s="360">
        <v>0.90490999217323242</v>
      </c>
      <c r="K2485" s="363"/>
      <c r="N2485" s="10"/>
      <c r="O2485" s="4"/>
      <c r="P2485" s="4"/>
      <c r="Q2485" s="3"/>
      <c r="R2485" s="3"/>
      <c r="S2485" s="3"/>
      <c r="T2485" s="3"/>
    </row>
    <row r="2486" spans="1:20">
      <c r="A2486" s="3">
        <v>1</v>
      </c>
      <c r="B2486" s="3">
        <v>2</v>
      </c>
      <c r="C2486" s="2">
        <v>25</v>
      </c>
      <c r="D2486" s="2">
        <v>5</v>
      </c>
      <c r="E2486" s="2">
        <v>1</v>
      </c>
      <c r="F2486" s="17">
        <v>144</v>
      </c>
      <c r="H2486" s="360">
        <v>0.16879481591492473</v>
      </c>
      <c r="I2486" s="360">
        <v>0.82351179653911144</v>
      </c>
      <c r="K2486" s="363"/>
      <c r="N2486" s="10"/>
      <c r="O2486" s="4"/>
      <c r="P2486" s="4"/>
      <c r="Q2486" s="3"/>
      <c r="R2486" s="3"/>
      <c r="S2486" s="3"/>
      <c r="T2486" s="3"/>
    </row>
    <row r="2487" spans="1:20">
      <c r="A2487" s="3">
        <v>3</v>
      </c>
      <c r="B2487" s="3">
        <v>1</v>
      </c>
      <c r="C2487" s="2">
        <v>25</v>
      </c>
      <c r="D2487" s="2">
        <v>5</v>
      </c>
      <c r="E2487" s="2">
        <v>16</v>
      </c>
      <c r="F2487" s="17">
        <v>144</v>
      </c>
      <c r="H2487" s="360">
        <v>0.95502613289951566</v>
      </c>
      <c r="I2487" s="360">
        <v>0.81732657505339457</v>
      </c>
      <c r="K2487" s="363"/>
      <c r="N2487" s="10"/>
      <c r="O2487" s="4"/>
      <c r="P2487" s="4"/>
      <c r="Q2487" s="3"/>
      <c r="R2487" s="3"/>
      <c r="S2487" s="3"/>
      <c r="T2487" s="3"/>
    </row>
    <row r="2488" spans="1:20">
      <c r="A2488" s="3">
        <v>2</v>
      </c>
      <c r="B2488" s="3">
        <v>2</v>
      </c>
      <c r="C2488" s="2">
        <v>25</v>
      </c>
      <c r="D2488" s="2">
        <v>5</v>
      </c>
      <c r="E2488" s="2">
        <v>16</v>
      </c>
      <c r="F2488" s="17">
        <v>144</v>
      </c>
      <c r="H2488" s="360">
        <v>1</v>
      </c>
      <c r="I2488" s="360">
        <v>0.80700589975725223</v>
      </c>
      <c r="K2488" s="363"/>
      <c r="N2488" s="10"/>
      <c r="O2488" s="4"/>
      <c r="P2488" s="4"/>
      <c r="Q2488" s="3"/>
      <c r="R2488" s="3"/>
      <c r="S2488" s="3"/>
      <c r="T2488" s="3"/>
    </row>
    <row r="2489" spans="1:20">
      <c r="A2489" s="3">
        <v>2</v>
      </c>
      <c r="B2489" s="3">
        <v>2</v>
      </c>
      <c r="C2489" s="2">
        <v>25</v>
      </c>
      <c r="D2489" s="2">
        <v>5</v>
      </c>
      <c r="E2489" s="2">
        <v>1</v>
      </c>
      <c r="F2489" s="17">
        <v>144</v>
      </c>
      <c r="H2489" s="360">
        <v>0.47601623885832867</v>
      </c>
      <c r="I2489" s="360">
        <v>0.77081704474872648</v>
      </c>
      <c r="K2489" s="363"/>
      <c r="N2489" s="10"/>
      <c r="O2489" s="4"/>
      <c r="P2489" s="4"/>
      <c r="Q2489" s="3"/>
      <c r="R2489" s="3"/>
      <c r="S2489" s="3"/>
      <c r="T2489" s="3"/>
    </row>
    <row r="2490" spans="1:20">
      <c r="A2490" s="3">
        <v>1</v>
      </c>
      <c r="B2490" s="3">
        <v>2</v>
      </c>
      <c r="C2490" s="2">
        <v>25</v>
      </c>
      <c r="D2490" s="2">
        <v>5</v>
      </c>
      <c r="E2490" s="2">
        <v>16</v>
      </c>
      <c r="F2490" s="17">
        <v>144</v>
      </c>
      <c r="H2490" s="360">
        <v>1</v>
      </c>
      <c r="I2490" s="360">
        <v>0.69192052510795266</v>
      </c>
      <c r="K2490" s="363"/>
      <c r="N2490" s="10"/>
      <c r="O2490" s="4"/>
      <c r="P2490" s="4"/>
      <c r="Q2490" s="3"/>
      <c r="R2490" s="3"/>
      <c r="S2490" s="3"/>
      <c r="T2490" s="3"/>
    </row>
    <row r="2491" spans="1:20">
      <c r="A2491" s="3">
        <v>1</v>
      </c>
      <c r="B2491" s="3">
        <v>2</v>
      </c>
      <c r="C2491" s="2">
        <v>25</v>
      </c>
      <c r="D2491" s="2">
        <v>30</v>
      </c>
      <c r="E2491" s="2">
        <v>16</v>
      </c>
      <c r="F2491" s="17">
        <v>144</v>
      </c>
      <c r="H2491" s="360">
        <v>1</v>
      </c>
      <c r="I2491" s="360">
        <v>0.66223210307031644</v>
      </c>
      <c r="K2491" s="363"/>
      <c r="N2491" s="10"/>
      <c r="O2491" s="4"/>
      <c r="P2491" s="4"/>
      <c r="Q2491" s="3"/>
      <c r="R2491" s="3"/>
      <c r="S2491" s="3"/>
      <c r="T2491" s="3"/>
    </row>
    <row r="2492" spans="1:20">
      <c r="A2492" s="3">
        <v>1</v>
      </c>
      <c r="B2492" s="3">
        <v>2</v>
      </c>
      <c r="C2492" s="2">
        <v>25</v>
      </c>
      <c r="D2492" s="2">
        <v>5</v>
      </c>
      <c r="E2492" s="2">
        <v>16</v>
      </c>
      <c r="F2492" s="17">
        <v>144</v>
      </c>
      <c r="H2492" s="360">
        <v>1</v>
      </c>
      <c r="I2492" s="360">
        <v>0.5842418581053902</v>
      </c>
      <c r="K2492" s="363"/>
      <c r="N2492" s="10"/>
      <c r="O2492" s="4"/>
      <c r="P2492" s="4"/>
      <c r="Q2492" s="3"/>
      <c r="R2492" s="3"/>
      <c r="S2492" s="3"/>
      <c r="T2492" s="3"/>
    </row>
    <row r="2493" spans="1:20">
      <c r="A2493" s="3">
        <v>3</v>
      </c>
      <c r="B2493" s="3">
        <v>2</v>
      </c>
      <c r="C2493" s="2">
        <v>25</v>
      </c>
      <c r="D2493" s="2">
        <v>5</v>
      </c>
      <c r="E2493" s="2">
        <v>1</v>
      </c>
      <c r="F2493" s="17">
        <v>144</v>
      </c>
      <c r="H2493" s="360">
        <v>0.64524551391206253</v>
      </c>
      <c r="I2493" s="360">
        <v>0.32595998748104105</v>
      </c>
      <c r="K2493" s="363"/>
      <c r="N2493" s="10"/>
      <c r="O2493" s="4"/>
      <c r="P2493" s="4"/>
      <c r="Q2493" s="3"/>
      <c r="R2493" s="3"/>
      <c r="S2493" s="3"/>
      <c r="T2493" s="3"/>
    </row>
    <row r="2494" spans="1:20">
      <c r="A2494" s="3">
        <v>5</v>
      </c>
      <c r="B2494" s="3">
        <v>2</v>
      </c>
      <c r="C2494" s="2">
        <v>50</v>
      </c>
      <c r="D2494" s="2">
        <v>5</v>
      </c>
      <c r="E2494" s="2">
        <v>16</v>
      </c>
      <c r="F2494" s="17">
        <v>144</v>
      </c>
      <c r="H2494" s="360">
        <v>0.31072231402239625</v>
      </c>
      <c r="I2494" s="360">
        <v>0.28838653737930908</v>
      </c>
      <c r="K2494" s="363"/>
      <c r="N2494" s="10"/>
      <c r="O2494" s="4"/>
      <c r="P2494" s="4"/>
      <c r="Q2494" s="3"/>
      <c r="R2494" s="3"/>
      <c r="S2494" s="3"/>
      <c r="T2494" s="3"/>
    </row>
    <row r="2495" spans="1:20">
      <c r="A2495" s="3">
        <v>3</v>
      </c>
      <c r="B2495" s="3">
        <v>2</v>
      </c>
      <c r="C2495" s="2">
        <v>25</v>
      </c>
      <c r="D2495" s="2">
        <v>5</v>
      </c>
      <c r="E2495" s="2">
        <v>16</v>
      </c>
      <c r="F2495" s="17">
        <v>144</v>
      </c>
      <c r="H2495" s="360">
        <v>0.98125305534266216</v>
      </c>
      <c r="I2495" s="360">
        <v>0.28386815108557922</v>
      </c>
      <c r="K2495" s="363"/>
      <c r="N2495" s="10"/>
      <c r="O2495" s="4"/>
      <c r="P2495" s="4"/>
      <c r="Q2495" s="3"/>
      <c r="R2495" s="3"/>
      <c r="S2495" s="3"/>
      <c r="T2495" s="3"/>
    </row>
    <row r="2496" spans="1:20">
      <c r="A2496" s="3">
        <v>5</v>
      </c>
      <c r="B2496" s="3">
        <v>2</v>
      </c>
      <c r="C2496" s="2">
        <v>25</v>
      </c>
      <c r="D2496" s="2">
        <v>5</v>
      </c>
      <c r="E2496" s="2">
        <v>16</v>
      </c>
      <c r="F2496" s="17">
        <v>144</v>
      </c>
      <c r="H2496" s="360">
        <v>2.988953121860316E-2</v>
      </c>
      <c r="I2496" s="360">
        <v>0.17808961503240134</v>
      </c>
      <c r="K2496" s="363"/>
      <c r="N2496" s="10"/>
      <c r="O2496" s="4"/>
      <c r="P2496" s="4"/>
      <c r="Q2496" s="3"/>
      <c r="R2496" s="3"/>
      <c r="S2496" s="3"/>
      <c r="T2496" s="3"/>
    </row>
    <row r="2497" spans="1:20">
      <c r="A2497" s="3">
        <v>4</v>
      </c>
      <c r="B2497" s="3">
        <v>2</v>
      </c>
      <c r="C2497" s="2">
        <v>50</v>
      </c>
      <c r="D2497" s="2">
        <v>5</v>
      </c>
      <c r="E2497" s="2">
        <v>16</v>
      </c>
      <c r="F2497" s="17">
        <v>144</v>
      </c>
      <c r="H2497" s="360">
        <v>0.16353243735703371</v>
      </c>
      <c r="I2497" s="360">
        <v>-6.069599010775481E-2</v>
      </c>
      <c r="K2497" s="363"/>
      <c r="N2497" s="10"/>
      <c r="O2497" s="4"/>
      <c r="P2497" s="4"/>
      <c r="Q2497" s="3"/>
      <c r="R2497" s="3"/>
      <c r="S2497" s="3"/>
      <c r="T2497" s="3"/>
    </row>
    <row r="2498" spans="1:20">
      <c r="A2498" s="3">
        <v>4</v>
      </c>
      <c r="B2498" s="3">
        <v>2</v>
      </c>
      <c r="C2498" s="2">
        <v>50</v>
      </c>
      <c r="D2498" s="2">
        <v>5</v>
      </c>
      <c r="E2498" s="2">
        <v>16</v>
      </c>
      <c r="F2498" s="17">
        <v>145</v>
      </c>
      <c r="H2498" s="360">
        <v>1</v>
      </c>
      <c r="I2498" s="360">
        <v>0.42449864637729506</v>
      </c>
      <c r="K2498" s="363"/>
      <c r="N2498" s="10"/>
      <c r="O2498" s="4"/>
      <c r="P2498" s="4"/>
      <c r="Q2498" s="3"/>
      <c r="R2498" s="3"/>
      <c r="S2498" s="3"/>
      <c r="T2498" s="3"/>
    </row>
    <row r="2499" spans="1:20">
      <c r="A2499" s="3">
        <v>5</v>
      </c>
      <c r="B2499" s="3">
        <v>2</v>
      </c>
      <c r="C2499" s="2">
        <v>50</v>
      </c>
      <c r="D2499" s="2">
        <v>5</v>
      </c>
      <c r="E2499" s="2">
        <v>16</v>
      </c>
      <c r="F2499" s="17">
        <v>145</v>
      </c>
      <c r="H2499" s="360">
        <v>1</v>
      </c>
      <c r="I2499" s="360">
        <v>0.2693033746316677</v>
      </c>
      <c r="K2499" s="363"/>
      <c r="N2499" s="10"/>
      <c r="O2499" s="4"/>
      <c r="P2499" s="4"/>
      <c r="Q2499" s="3"/>
      <c r="R2499" s="3"/>
      <c r="S2499" s="3"/>
      <c r="T2499" s="3"/>
    </row>
    <row r="2500" spans="1:20">
      <c r="A2500" s="3">
        <v>5</v>
      </c>
      <c r="B2500" s="3">
        <v>2</v>
      </c>
      <c r="C2500" s="2">
        <v>25</v>
      </c>
      <c r="D2500" s="2">
        <v>5</v>
      </c>
      <c r="E2500" s="2">
        <v>16</v>
      </c>
      <c r="F2500" s="17">
        <v>145</v>
      </c>
      <c r="H2500" s="360">
        <v>1</v>
      </c>
      <c r="I2500" s="360">
        <v>0.24041145120598739</v>
      </c>
      <c r="K2500" s="363"/>
      <c r="N2500" s="10"/>
      <c r="O2500" s="4"/>
      <c r="P2500" s="4"/>
      <c r="Q2500" s="3"/>
      <c r="R2500" s="3"/>
      <c r="S2500" s="3"/>
      <c r="T2500" s="3"/>
    </row>
    <row r="2501" spans="1:20">
      <c r="A2501" s="3">
        <v>2</v>
      </c>
      <c r="B2501" s="3">
        <v>1</v>
      </c>
      <c r="C2501" s="2">
        <v>25</v>
      </c>
      <c r="D2501" s="2">
        <v>5</v>
      </c>
      <c r="E2501" s="2">
        <v>16</v>
      </c>
      <c r="F2501" s="17">
        <v>145</v>
      </c>
      <c r="H2501" s="360">
        <v>1</v>
      </c>
      <c r="I2501" s="360">
        <v>3.6754721463549953E-2</v>
      </c>
      <c r="K2501" s="363"/>
      <c r="N2501" s="10"/>
      <c r="O2501" s="4"/>
      <c r="P2501" s="4"/>
      <c r="Q2501" s="3"/>
      <c r="R2501" s="3"/>
      <c r="S2501" s="3"/>
      <c r="T2501" s="3"/>
    </row>
    <row r="2502" spans="1:20">
      <c r="A2502" s="3">
        <v>2</v>
      </c>
      <c r="B2502" s="3">
        <v>1</v>
      </c>
      <c r="C2502" s="2">
        <v>25</v>
      </c>
      <c r="D2502" s="2">
        <v>5</v>
      </c>
      <c r="E2502" s="2">
        <v>1</v>
      </c>
      <c r="F2502" s="17">
        <v>145</v>
      </c>
      <c r="H2502" s="360">
        <v>1</v>
      </c>
      <c r="I2502" s="360">
        <v>7.3240401664812502E-4</v>
      </c>
      <c r="K2502" s="363"/>
      <c r="N2502" s="10"/>
      <c r="O2502" s="4"/>
      <c r="P2502" s="4"/>
      <c r="Q2502" s="3"/>
      <c r="R2502" s="3"/>
      <c r="S2502" s="3"/>
      <c r="T2502" s="3"/>
    </row>
    <row r="2503" spans="1:20">
      <c r="A2503" s="3">
        <v>2</v>
      </c>
      <c r="B2503" s="3">
        <v>2</v>
      </c>
      <c r="C2503" s="2">
        <v>25</v>
      </c>
      <c r="D2503" s="2">
        <v>5</v>
      </c>
      <c r="E2503" s="2">
        <v>16</v>
      </c>
      <c r="F2503" s="17">
        <v>145</v>
      </c>
      <c r="H2503" s="360">
        <v>1</v>
      </c>
      <c r="I2503" s="360">
        <v>-8.028757096301728E-2</v>
      </c>
      <c r="K2503" s="363"/>
      <c r="N2503" s="10"/>
      <c r="O2503" s="4"/>
      <c r="P2503" s="4"/>
      <c r="Q2503" s="3"/>
      <c r="R2503" s="3"/>
      <c r="S2503" s="3"/>
      <c r="T2503" s="3"/>
    </row>
    <row r="2504" spans="1:20">
      <c r="A2504" s="3">
        <v>2</v>
      </c>
      <c r="B2504" s="3">
        <v>2</v>
      </c>
      <c r="C2504" s="2">
        <v>25</v>
      </c>
      <c r="D2504" s="2">
        <v>5</v>
      </c>
      <c r="E2504" s="2">
        <v>1</v>
      </c>
      <c r="F2504" s="17">
        <v>145</v>
      </c>
      <c r="H2504" s="360">
        <v>1</v>
      </c>
      <c r="I2504" s="360">
        <v>-8.2524915235093518E-2</v>
      </c>
      <c r="K2504" s="363"/>
      <c r="N2504" s="10"/>
      <c r="O2504" s="4"/>
      <c r="P2504" s="4"/>
      <c r="Q2504" s="3"/>
      <c r="R2504" s="3"/>
      <c r="S2504" s="3"/>
      <c r="T2504" s="3"/>
    </row>
    <row r="2505" spans="1:20">
      <c r="A2505" s="3">
        <v>1</v>
      </c>
      <c r="B2505" s="3">
        <v>2</v>
      </c>
      <c r="C2505" s="2">
        <v>25</v>
      </c>
      <c r="D2505" s="2">
        <v>5</v>
      </c>
      <c r="E2505" s="2">
        <v>1</v>
      </c>
      <c r="F2505" s="17">
        <v>145</v>
      </c>
      <c r="H2505" s="360">
        <v>1</v>
      </c>
      <c r="I2505" s="360">
        <v>-0.10652130798330335</v>
      </c>
      <c r="K2505" s="363"/>
      <c r="N2505" s="10"/>
      <c r="O2505" s="4"/>
      <c r="P2505" s="4"/>
      <c r="Q2505" s="3"/>
      <c r="R2505" s="3"/>
      <c r="S2505" s="3"/>
      <c r="T2505" s="3"/>
    </row>
    <row r="2506" spans="1:20">
      <c r="A2506" s="3">
        <v>1</v>
      </c>
      <c r="B2506" s="3">
        <v>2</v>
      </c>
      <c r="C2506" s="2">
        <v>25</v>
      </c>
      <c r="D2506" s="2">
        <v>5</v>
      </c>
      <c r="E2506" s="2">
        <v>16</v>
      </c>
      <c r="F2506" s="17">
        <v>145</v>
      </c>
      <c r="H2506" s="360">
        <v>1</v>
      </c>
      <c r="I2506" s="360">
        <v>-0.11152226708787087</v>
      </c>
      <c r="K2506" s="363"/>
      <c r="N2506" s="10"/>
      <c r="O2506" s="4"/>
      <c r="P2506" s="4"/>
      <c r="Q2506" s="3"/>
      <c r="R2506" s="3"/>
      <c r="S2506" s="3"/>
      <c r="T2506" s="3"/>
    </row>
    <row r="2507" spans="1:20">
      <c r="A2507" s="3">
        <v>1</v>
      </c>
      <c r="B2507" s="3">
        <v>2</v>
      </c>
      <c r="C2507" s="2">
        <v>25</v>
      </c>
      <c r="D2507" s="2">
        <v>5</v>
      </c>
      <c r="E2507" s="2">
        <v>16</v>
      </c>
      <c r="F2507" s="17">
        <v>145</v>
      </c>
      <c r="H2507" s="360">
        <v>1</v>
      </c>
      <c r="I2507" s="360">
        <v>-0.11323646077729764</v>
      </c>
      <c r="K2507" s="363"/>
      <c r="N2507" s="10"/>
      <c r="O2507" s="4"/>
      <c r="P2507" s="4"/>
      <c r="Q2507" s="3"/>
      <c r="R2507" s="3"/>
      <c r="S2507" s="3"/>
      <c r="T2507" s="3"/>
    </row>
    <row r="2508" spans="1:20">
      <c r="A2508" s="3">
        <v>1</v>
      </c>
      <c r="B2508" s="3">
        <v>2</v>
      </c>
      <c r="C2508" s="2">
        <v>25</v>
      </c>
      <c r="D2508" s="2">
        <v>30</v>
      </c>
      <c r="E2508" s="2">
        <v>16</v>
      </c>
      <c r="F2508" s="17">
        <v>145</v>
      </c>
      <c r="H2508" s="360">
        <v>1</v>
      </c>
      <c r="I2508" s="360">
        <v>-0.11338255606335548</v>
      </c>
      <c r="K2508" s="363"/>
      <c r="N2508" s="10"/>
      <c r="O2508" s="4"/>
      <c r="P2508" s="4"/>
      <c r="Q2508" s="3"/>
      <c r="R2508" s="3"/>
      <c r="S2508" s="3"/>
      <c r="T2508" s="3"/>
    </row>
    <row r="2509" spans="1:20">
      <c r="A2509" s="3">
        <v>1</v>
      </c>
      <c r="B2509" s="3">
        <v>1</v>
      </c>
      <c r="C2509" s="2">
        <v>25</v>
      </c>
      <c r="D2509" s="2">
        <v>5</v>
      </c>
      <c r="E2509" s="2">
        <v>16</v>
      </c>
      <c r="F2509" s="17">
        <v>145</v>
      </c>
      <c r="H2509" s="360">
        <v>1</v>
      </c>
      <c r="I2509" s="360">
        <v>-0.13807506687071622</v>
      </c>
      <c r="K2509" s="363"/>
      <c r="N2509" s="10"/>
      <c r="O2509" s="4"/>
      <c r="P2509" s="4"/>
      <c r="Q2509" s="3"/>
      <c r="R2509" s="3"/>
      <c r="S2509" s="3"/>
      <c r="T2509" s="3"/>
    </row>
    <row r="2510" spans="1:20">
      <c r="A2510" s="3">
        <v>1</v>
      </c>
      <c r="B2510" s="3">
        <v>1</v>
      </c>
      <c r="C2510" s="2">
        <v>25</v>
      </c>
      <c r="D2510" s="2">
        <v>5</v>
      </c>
      <c r="E2510" s="2">
        <v>1</v>
      </c>
      <c r="F2510" s="17">
        <v>145</v>
      </c>
      <c r="H2510" s="360">
        <v>1</v>
      </c>
      <c r="I2510" s="360">
        <v>-0.14010506964347474</v>
      </c>
      <c r="K2510" s="363"/>
      <c r="N2510" s="10"/>
      <c r="O2510" s="4"/>
      <c r="P2510" s="4"/>
      <c r="Q2510" s="3"/>
      <c r="R2510" s="3"/>
      <c r="S2510" s="3"/>
      <c r="T2510" s="3"/>
    </row>
    <row r="2511" spans="1:20">
      <c r="A2511" s="3">
        <v>1</v>
      </c>
      <c r="B2511" s="3">
        <v>1</v>
      </c>
      <c r="C2511" s="2">
        <v>25</v>
      </c>
      <c r="D2511" s="2">
        <v>30</v>
      </c>
      <c r="E2511" s="2">
        <v>16</v>
      </c>
      <c r="F2511" s="17">
        <v>145</v>
      </c>
      <c r="H2511" s="360">
        <v>1</v>
      </c>
      <c r="I2511" s="360">
        <v>-0.1565186379538743</v>
      </c>
      <c r="K2511" s="363"/>
      <c r="N2511" s="10"/>
      <c r="O2511" s="4"/>
      <c r="P2511" s="4"/>
      <c r="Q2511" s="3"/>
      <c r="R2511" s="3"/>
      <c r="S2511" s="3"/>
      <c r="T2511" s="3"/>
    </row>
    <row r="2512" spans="1:20">
      <c r="A2512" s="3">
        <v>3</v>
      </c>
      <c r="B2512" s="3">
        <v>1</v>
      </c>
      <c r="C2512" s="2">
        <v>25</v>
      </c>
      <c r="D2512" s="2">
        <v>5</v>
      </c>
      <c r="E2512" s="2">
        <v>1</v>
      </c>
      <c r="F2512" s="17">
        <v>145</v>
      </c>
      <c r="H2512" s="360">
        <v>1</v>
      </c>
      <c r="I2512" s="360">
        <v>-0.16317991484805061</v>
      </c>
      <c r="K2512" s="363"/>
      <c r="N2512" s="10"/>
      <c r="O2512" s="4"/>
      <c r="P2512" s="4"/>
      <c r="Q2512" s="3"/>
      <c r="R2512" s="3"/>
      <c r="S2512" s="3"/>
      <c r="T2512" s="3"/>
    </row>
    <row r="2513" spans="1:20">
      <c r="A2513" s="3">
        <v>3</v>
      </c>
      <c r="B2513" s="3">
        <v>1</v>
      </c>
      <c r="C2513" s="2">
        <v>25</v>
      </c>
      <c r="D2513" s="2">
        <v>5</v>
      </c>
      <c r="E2513" s="2">
        <v>16</v>
      </c>
      <c r="F2513" s="17">
        <v>145</v>
      </c>
      <c r="H2513" s="360">
        <v>1</v>
      </c>
      <c r="I2513" s="360">
        <v>-0.18509655619202151</v>
      </c>
      <c r="K2513" s="363"/>
      <c r="N2513" s="10"/>
      <c r="O2513" s="4"/>
      <c r="P2513" s="4"/>
      <c r="Q2513" s="3"/>
      <c r="R2513" s="3"/>
      <c r="S2513" s="3"/>
      <c r="T2513" s="3"/>
    </row>
    <row r="2514" spans="1:20">
      <c r="A2514" s="3">
        <v>3</v>
      </c>
      <c r="B2514" s="3">
        <v>2</v>
      </c>
      <c r="C2514" s="2">
        <v>25</v>
      </c>
      <c r="D2514" s="2">
        <v>5</v>
      </c>
      <c r="E2514" s="2">
        <v>1</v>
      </c>
      <c r="F2514" s="17">
        <v>145</v>
      </c>
      <c r="H2514" s="360">
        <v>1</v>
      </c>
      <c r="I2514" s="360">
        <v>-0.46927040237795142</v>
      </c>
      <c r="K2514" s="363"/>
      <c r="N2514" s="10"/>
      <c r="O2514" s="4"/>
      <c r="P2514" s="4"/>
      <c r="Q2514" s="3"/>
      <c r="R2514" s="3"/>
      <c r="S2514" s="3"/>
      <c r="T2514" s="3"/>
    </row>
    <row r="2515" spans="1:20">
      <c r="A2515" s="3">
        <v>3</v>
      </c>
      <c r="B2515" s="3">
        <v>2</v>
      </c>
      <c r="C2515" s="2">
        <v>25</v>
      </c>
      <c r="D2515" s="2">
        <v>5</v>
      </c>
      <c r="E2515" s="2">
        <v>16</v>
      </c>
      <c r="F2515" s="17">
        <v>145</v>
      </c>
      <c r="H2515" s="360">
        <v>1</v>
      </c>
      <c r="I2515" s="360">
        <v>-0.47009961673172185</v>
      </c>
      <c r="K2515" s="363"/>
      <c r="N2515" s="10"/>
      <c r="O2515" s="4"/>
      <c r="P2515" s="4"/>
      <c r="Q2515" s="3"/>
      <c r="R2515" s="3"/>
      <c r="S2515" s="3"/>
      <c r="T2515" s="3"/>
    </row>
    <row r="2516" spans="1:20">
      <c r="A2516" s="3">
        <v>2</v>
      </c>
      <c r="B2516" s="3">
        <v>2</v>
      </c>
      <c r="C2516" s="2">
        <v>25</v>
      </c>
      <c r="D2516" s="2">
        <v>5</v>
      </c>
      <c r="E2516" s="2">
        <v>16</v>
      </c>
      <c r="F2516" s="17">
        <v>146</v>
      </c>
      <c r="H2516" s="360">
        <v>9.630957838191001E-2</v>
      </c>
      <c r="I2516" s="360">
        <v>0.41574681089088877</v>
      </c>
      <c r="K2516" s="363"/>
      <c r="N2516" s="10"/>
      <c r="O2516" s="4"/>
      <c r="P2516" s="4"/>
      <c r="Q2516" s="3"/>
      <c r="R2516" s="3"/>
      <c r="S2516" s="3"/>
      <c r="T2516" s="3"/>
    </row>
    <row r="2517" spans="1:20">
      <c r="A2517" s="3">
        <v>2</v>
      </c>
      <c r="B2517" s="3">
        <v>1</v>
      </c>
      <c r="C2517" s="2">
        <v>25</v>
      </c>
      <c r="D2517" s="2">
        <v>5</v>
      </c>
      <c r="E2517" s="2">
        <v>16</v>
      </c>
      <c r="F2517" s="17">
        <v>146</v>
      </c>
      <c r="H2517" s="360">
        <v>0.14357642511919277</v>
      </c>
      <c r="I2517" s="360">
        <v>0.37937602994162506</v>
      </c>
      <c r="K2517" s="363"/>
      <c r="N2517" s="10"/>
      <c r="O2517" s="4"/>
      <c r="P2517" s="4"/>
      <c r="Q2517" s="3"/>
      <c r="R2517" s="3"/>
      <c r="S2517" s="3"/>
      <c r="T2517" s="3"/>
    </row>
    <row r="2518" spans="1:20">
      <c r="A2518" s="3">
        <v>3</v>
      </c>
      <c r="B2518" s="3">
        <v>1</v>
      </c>
      <c r="C2518" s="2">
        <v>25</v>
      </c>
      <c r="D2518" s="2">
        <v>5</v>
      </c>
      <c r="E2518" s="2">
        <v>16</v>
      </c>
      <c r="F2518" s="17">
        <v>146</v>
      </c>
      <c r="H2518" s="360">
        <v>0.19965463766033442</v>
      </c>
      <c r="I2518" s="360">
        <v>0.24703206473220626</v>
      </c>
      <c r="K2518" s="363"/>
      <c r="N2518" s="10"/>
      <c r="O2518" s="4"/>
      <c r="P2518" s="4"/>
      <c r="Q2518" s="3"/>
      <c r="R2518" s="3"/>
      <c r="S2518" s="3"/>
      <c r="T2518" s="3"/>
    </row>
    <row r="2519" spans="1:20">
      <c r="A2519" s="3">
        <v>3</v>
      </c>
      <c r="B2519" s="3">
        <v>1</v>
      </c>
      <c r="C2519" s="2">
        <v>25</v>
      </c>
      <c r="D2519" s="2">
        <v>5</v>
      </c>
      <c r="E2519" s="2">
        <v>1</v>
      </c>
      <c r="F2519" s="17">
        <v>146</v>
      </c>
      <c r="H2519" s="360">
        <v>3.7448816597326462E-2</v>
      </c>
      <c r="I2519" s="360">
        <v>0.17518517277206158</v>
      </c>
      <c r="K2519" s="363"/>
      <c r="N2519" s="10"/>
      <c r="O2519" s="4"/>
      <c r="P2519" s="4"/>
      <c r="Q2519" s="3"/>
      <c r="R2519" s="3"/>
      <c r="S2519" s="3"/>
      <c r="T2519" s="3"/>
    </row>
    <row r="2520" spans="1:20">
      <c r="A2520" s="3">
        <v>1</v>
      </c>
      <c r="B2520" s="3">
        <v>1</v>
      </c>
      <c r="C2520" s="2">
        <v>25</v>
      </c>
      <c r="D2520" s="2">
        <v>30</v>
      </c>
      <c r="E2520" s="2">
        <v>16</v>
      </c>
      <c r="F2520" s="17">
        <v>146</v>
      </c>
      <c r="H2520" s="360">
        <v>0.62005357070208311</v>
      </c>
      <c r="I2520" s="360">
        <v>0.14640664409326104</v>
      </c>
      <c r="K2520" s="363"/>
      <c r="N2520" s="10"/>
      <c r="O2520" s="4"/>
      <c r="P2520" s="4"/>
      <c r="Q2520" s="3"/>
      <c r="R2520" s="3"/>
      <c r="S2520" s="3"/>
      <c r="T2520" s="3"/>
    </row>
    <row r="2521" spans="1:20">
      <c r="A2521" s="3">
        <v>1</v>
      </c>
      <c r="B2521" s="3">
        <v>1</v>
      </c>
      <c r="C2521" s="2">
        <v>25</v>
      </c>
      <c r="D2521" s="2">
        <v>5</v>
      </c>
      <c r="E2521" s="2">
        <v>16</v>
      </c>
      <c r="F2521" s="17">
        <v>146</v>
      </c>
      <c r="H2521" s="360">
        <v>0.22188769282543697</v>
      </c>
      <c r="I2521" s="360">
        <v>0.11883787808475683</v>
      </c>
      <c r="K2521" s="363"/>
      <c r="N2521" s="10"/>
      <c r="O2521" s="4"/>
      <c r="P2521" s="4"/>
      <c r="Q2521" s="3"/>
      <c r="R2521" s="3"/>
      <c r="S2521" s="3"/>
      <c r="T2521" s="3"/>
    </row>
    <row r="2522" spans="1:20">
      <c r="A2522" s="3">
        <v>4</v>
      </c>
      <c r="B2522" s="3">
        <v>2</v>
      </c>
      <c r="C2522" s="2">
        <v>50</v>
      </c>
      <c r="D2522" s="2">
        <v>5</v>
      </c>
      <c r="E2522" s="2">
        <v>16</v>
      </c>
      <c r="F2522" s="17">
        <v>146</v>
      </c>
      <c r="H2522" s="360">
        <v>0.52983767813748173</v>
      </c>
      <c r="I2522" s="360">
        <v>7.361037620748917E-2</v>
      </c>
      <c r="K2522" s="363"/>
      <c r="N2522" s="10"/>
      <c r="O2522" s="4"/>
      <c r="P2522" s="4"/>
      <c r="Q2522" s="3"/>
      <c r="R2522" s="3"/>
      <c r="S2522" s="3"/>
      <c r="T2522" s="3"/>
    </row>
    <row r="2523" spans="1:20">
      <c r="A2523" s="3">
        <v>5</v>
      </c>
      <c r="B2523" s="3">
        <v>2</v>
      </c>
      <c r="C2523" s="2">
        <v>50</v>
      </c>
      <c r="D2523" s="2">
        <v>5</v>
      </c>
      <c r="E2523" s="2">
        <v>16</v>
      </c>
      <c r="F2523" s="17">
        <v>146</v>
      </c>
      <c r="H2523" s="360">
        <v>1</v>
      </c>
      <c r="I2523" s="360">
        <v>1.3509648414742427E-2</v>
      </c>
      <c r="K2523" s="363"/>
      <c r="N2523" s="10"/>
      <c r="O2523" s="4"/>
      <c r="P2523" s="4"/>
      <c r="Q2523" s="3"/>
      <c r="R2523" s="3"/>
      <c r="S2523" s="3"/>
      <c r="T2523" s="3"/>
    </row>
    <row r="2524" spans="1:20">
      <c r="A2524" s="3">
        <v>1</v>
      </c>
      <c r="B2524" s="3">
        <v>2</v>
      </c>
      <c r="C2524" s="2">
        <v>25</v>
      </c>
      <c r="D2524" s="2">
        <v>5</v>
      </c>
      <c r="E2524" s="2">
        <v>1</v>
      </c>
      <c r="F2524" s="17">
        <v>146</v>
      </c>
      <c r="H2524" s="360">
        <v>0</v>
      </c>
      <c r="I2524" s="360">
        <v>0</v>
      </c>
      <c r="K2524" s="363"/>
      <c r="N2524" s="10"/>
      <c r="O2524" s="4"/>
      <c r="P2524" s="4"/>
      <c r="Q2524" s="3"/>
      <c r="R2524" s="3"/>
      <c r="S2524" s="3"/>
      <c r="T2524" s="3"/>
    </row>
    <row r="2525" spans="1:20">
      <c r="A2525" s="3">
        <v>2</v>
      </c>
      <c r="B2525" s="3">
        <v>2</v>
      </c>
      <c r="C2525" s="2">
        <v>25</v>
      </c>
      <c r="D2525" s="2">
        <v>5</v>
      </c>
      <c r="E2525" s="2">
        <v>1</v>
      </c>
      <c r="F2525" s="17">
        <v>146</v>
      </c>
      <c r="H2525" s="360">
        <v>0</v>
      </c>
      <c r="I2525" s="360">
        <v>0</v>
      </c>
      <c r="K2525" s="363"/>
      <c r="N2525" s="10"/>
      <c r="O2525" s="4"/>
      <c r="P2525" s="4"/>
      <c r="Q2525" s="3"/>
      <c r="R2525" s="3"/>
      <c r="S2525" s="3"/>
      <c r="T2525" s="3"/>
    </row>
    <row r="2526" spans="1:20">
      <c r="A2526" s="3">
        <v>2</v>
      </c>
      <c r="B2526" s="3">
        <v>1</v>
      </c>
      <c r="C2526" s="2">
        <v>25</v>
      </c>
      <c r="D2526" s="2">
        <v>5</v>
      </c>
      <c r="E2526" s="2">
        <v>1</v>
      </c>
      <c r="F2526" s="17">
        <v>146</v>
      </c>
      <c r="H2526" s="360">
        <v>0</v>
      </c>
      <c r="I2526" s="360">
        <v>0</v>
      </c>
      <c r="K2526" s="363"/>
      <c r="N2526" s="10"/>
      <c r="O2526" s="4"/>
      <c r="P2526" s="4"/>
      <c r="Q2526" s="3"/>
      <c r="R2526" s="3"/>
      <c r="S2526" s="3"/>
      <c r="T2526" s="3"/>
    </row>
    <row r="2527" spans="1:20">
      <c r="A2527" s="3">
        <v>1</v>
      </c>
      <c r="B2527" s="3">
        <v>2</v>
      </c>
      <c r="C2527" s="2">
        <v>25</v>
      </c>
      <c r="D2527" s="2">
        <v>5</v>
      </c>
      <c r="E2527" s="2">
        <v>16</v>
      </c>
      <c r="F2527" s="17">
        <v>146</v>
      </c>
      <c r="H2527" s="360">
        <v>0.16610224889075953</v>
      </c>
      <c r="I2527" s="360">
        <v>-9.0768102300366974E-3</v>
      </c>
      <c r="K2527" s="363"/>
      <c r="N2527" s="10"/>
      <c r="O2527" s="4"/>
      <c r="P2527" s="4"/>
      <c r="Q2527" s="3"/>
      <c r="R2527" s="3"/>
      <c r="S2527" s="3"/>
      <c r="T2527" s="3"/>
    </row>
    <row r="2528" spans="1:20">
      <c r="A2528" s="3">
        <v>1</v>
      </c>
      <c r="B2528" s="3">
        <v>2</v>
      </c>
      <c r="C2528" s="2">
        <v>25</v>
      </c>
      <c r="D2528" s="2">
        <v>30</v>
      </c>
      <c r="E2528" s="2">
        <v>16</v>
      </c>
      <c r="F2528" s="17">
        <v>146</v>
      </c>
      <c r="H2528" s="360">
        <v>0.58967204337340917</v>
      </c>
      <c r="I2528" s="360">
        <v>-1.0170036691078887E-2</v>
      </c>
      <c r="K2528" s="363"/>
      <c r="N2528" s="10"/>
      <c r="O2528" s="4"/>
      <c r="P2528" s="4"/>
      <c r="Q2528" s="3"/>
      <c r="R2528" s="3"/>
      <c r="S2528" s="3"/>
      <c r="T2528" s="3"/>
    </row>
    <row r="2529" spans="1:20">
      <c r="A2529" s="3">
        <v>3</v>
      </c>
      <c r="B2529" s="3">
        <v>2</v>
      </c>
      <c r="C2529" s="2">
        <v>25</v>
      </c>
      <c r="D2529" s="2">
        <v>5</v>
      </c>
      <c r="E2529" s="2">
        <v>16</v>
      </c>
      <c r="F2529" s="17">
        <v>146</v>
      </c>
      <c r="H2529" s="360">
        <v>0.27498577536402369</v>
      </c>
      <c r="I2529" s="360">
        <v>-3.011963013444318E-2</v>
      </c>
      <c r="K2529" s="363"/>
      <c r="N2529" s="10"/>
      <c r="O2529" s="4"/>
      <c r="P2529" s="4"/>
      <c r="Q2529" s="3"/>
      <c r="R2529" s="3"/>
      <c r="S2529" s="3"/>
      <c r="T2529" s="3"/>
    </row>
    <row r="2530" spans="1:20">
      <c r="A2530" s="3">
        <v>5</v>
      </c>
      <c r="B2530" s="3">
        <v>2</v>
      </c>
      <c r="C2530" s="2">
        <v>25</v>
      </c>
      <c r="D2530" s="2">
        <v>5</v>
      </c>
      <c r="E2530" s="2">
        <v>16</v>
      </c>
      <c r="F2530" s="17">
        <v>146</v>
      </c>
      <c r="H2530" s="360">
        <v>0.11315570998374702</v>
      </c>
      <c r="I2530" s="360">
        <v>-3.7848322505819591E-2</v>
      </c>
      <c r="K2530" s="363"/>
      <c r="N2530" s="10"/>
      <c r="O2530" s="4"/>
      <c r="P2530" s="4"/>
      <c r="Q2530" s="3"/>
      <c r="R2530" s="3"/>
      <c r="S2530" s="3"/>
      <c r="T2530" s="3"/>
    </row>
    <row r="2531" spans="1:20">
      <c r="A2531" s="3">
        <v>1</v>
      </c>
      <c r="B2531" s="3">
        <v>2</v>
      </c>
      <c r="C2531" s="2">
        <v>25</v>
      </c>
      <c r="D2531" s="2">
        <v>5</v>
      </c>
      <c r="E2531" s="2">
        <v>16</v>
      </c>
      <c r="F2531" s="17">
        <v>146</v>
      </c>
      <c r="H2531" s="360">
        <v>0.13370507359047801</v>
      </c>
      <c r="I2531" s="360">
        <v>-5.1605315636872123E-2</v>
      </c>
      <c r="K2531" s="363"/>
      <c r="N2531" s="10"/>
      <c r="O2531" s="4"/>
      <c r="P2531" s="4"/>
      <c r="Q2531" s="3"/>
      <c r="R2531" s="3"/>
      <c r="S2531" s="3"/>
      <c r="T2531" s="3"/>
    </row>
    <row r="2532" spans="1:20">
      <c r="A2532" s="3">
        <v>1</v>
      </c>
      <c r="B2532" s="3">
        <v>1</v>
      </c>
      <c r="C2532" s="2">
        <v>25</v>
      </c>
      <c r="D2532" s="2">
        <v>5</v>
      </c>
      <c r="E2532" s="2">
        <v>1</v>
      </c>
      <c r="F2532" s="17">
        <v>146</v>
      </c>
      <c r="H2532" s="360">
        <v>4.396322564974231E-2</v>
      </c>
      <c r="I2532" s="360">
        <v>-7.9515124555160147E-2</v>
      </c>
      <c r="K2532" s="363"/>
      <c r="N2532" s="10"/>
      <c r="O2532" s="4"/>
      <c r="P2532" s="4"/>
      <c r="Q2532" s="3"/>
      <c r="R2532" s="3"/>
      <c r="S2532" s="3"/>
      <c r="T2532" s="3"/>
    </row>
    <row r="2533" spans="1:20">
      <c r="A2533" s="3">
        <v>3</v>
      </c>
      <c r="B2533" s="3">
        <v>2</v>
      </c>
      <c r="C2533" s="2">
        <v>25</v>
      </c>
      <c r="D2533" s="2">
        <v>5</v>
      </c>
      <c r="E2533" s="2">
        <v>1</v>
      </c>
      <c r="F2533" s="17">
        <v>146</v>
      </c>
      <c r="H2533" s="360">
        <v>5.4315549939389363E-2</v>
      </c>
      <c r="I2533" s="360">
        <v>-0.11965980712278831</v>
      </c>
      <c r="K2533" s="363"/>
      <c r="N2533" s="10"/>
      <c r="O2533" s="4"/>
      <c r="P2533" s="4"/>
      <c r="Q2533" s="3"/>
      <c r="R2533" s="3"/>
      <c r="S2533" s="3"/>
      <c r="T2533" s="3"/>
    </row>
    <row r="2534" spans="1:20">
      <c r="A2534" s="3">
        <v>3</v>
      </c>
      <c r="B2534" s="3">
        <v>2</v>
      </c>
      <c r="C2534" s="2">
        <v>25</v>
      </c>
      <c r="D2534" s="2">
        <v>5</v>
      </c>
      <c r="E2534" s="2">
        <v>1</v>
      </c>
      <c r="F2534" s="17">
        <v>147</v>
      </c>
      <c r="H2534" s="360">
        <v>0.98319969125212303</v>
      </c>
      <c r="I2534" s="360">
        <v>0.53238242526539459</v>
      </c>
      <c r="K2534" s="363"/>
      <c r="N2534" s="10"/>
      <c r="O2534" s="4"/>
      <c r="P2534" s="4"/>
      <c r="Q2534" s="3"/>
      <c r="R2534" s="3"/>
      <c r="S2534" s="3"/>
      <c r="T2534" s="3"/>
    </row>
    <row r="2535" spans="1:20">
      <c r="A2535" s="3">
        <v>3</v>
      </c>
      <c r="B2535" s="3">
        <v>2</v>
      </c>
      <c r="C2535" s="2">
        <v>25</v>
      </c>
      <c r="D2535" s="2">
        <v>5</v>
      </c>
      <c r="E2535" s="2">
        <v>16</v>
      </c>
      <c r="F2535" s="17">
        <v>147</v>
      </c>
      <c r="H2535" s="360">
        <v>0.98005055945499708</v>
      </c>
      <c r="I2535" s="360">
        <v>0.50221099779673095</v>
      </c>
      <c r="K2535" s="363"/>
      <c r="N2535" s="10"/>
      <c r="O2535" s="4"/>
      <c r="P2535" s="4"/>
      <c r="Q2535" s="3"/>
      <c r="R2535" s="3"/>
      <c r="S2535" s="3"/>
      <c r="T2535" s="3"/>
    </row>
    <row r="2536" spans="1:20">
      <c r="A2536" s="3">
        <v>3</v>
      </c>
      <c r="B2536" s="3">
        <v>1</v>
      </c>
      <c r="C2536" s="2">
        <v>25</v>
      </c>
      <c r="D2536" s="2">
        <v>5</v>
      </c>
      <c r="E2536" s="2">
        <v>1</v>
      </c>
      <c r="F2536" s="17">
        <v>147</v>
      </c>
      <c r="H2536" s="360">
        <v>0.97280587943659935</v>
      </c>
      <c r="I2536" s="360">
        <v>0.49835295776543059</v>
      </c>
      <c r="K2536" s="363"/>
      <c r="N2536" s="10"/>
      <c r="O2536" s="4"/>
      <c r="P2536" s="4"/>
      <c r="Q2536" s="3"/>
      <c r="R2536" s="3"/>
      <c r="S2536" s="3"/>
      <c r="T2536" s="3"/>
    </row>
    <row r="2537" spans="1:20">
      <c r="A2537" s="3">
        <v>3</v>
      </c>
      <c r="B2537" s="3">
        <v>1</v>
      </c>
      <c r="C2537" s="2">
        <v>25</v>
      </c>
      <c r="D2537" s="2">
        <v>5</v>
      </c>
      <c r="E2537" s="2">
        <v>16</v>
      </c>
      <c r="F2537" s="17">
        <v>147</v>
      </c>
      <c r="H2537" s="360">
        <v>0.98743380410262849</v>
      </c>
      <c r="I2537" s="360">
        <v>0.47280011682762213</v>
      </c>
      <c r="K2537" s="363"/>
      <c r="N2537" s="10"/>
      <c r="O2537" s="4"/>
      <c r="P2537" s="4"/>
      <c r="Q2537" s="3"/>
      <c r="R2537" s="3"/>
      <c r="S2537" s="3"/>
      <c r="T2537" s="3"/>
    </row>
    <row r="2538" spans="1:20">
      <c r="A2538" s="3">
        <v>1</v>
      </c>
      <c r="B2538" s="3">
        <v>2</v>
      </c>
      <c r="C2538" s="2">
        <v>25</v>
      </c>
      <c r="D2538" s="2">
        <v>30</v>
      </c>
      <c r="E2538" s="2">
        <v>16</v>
      </c>
      <c r="F2538" s="17">
        <v>147</v>
      </c>
      <c r="H2538" s="360">
        <v>1</v>
      </c>
      <c r="I2538" s="360">
        <v>0.32296406461714261</v>
      </c>
      <c r="K2538" s="363"/>
      <c r="N2538" s="10"/>
      <c r="O2538" s="4"/>
      <c r="P2538" s="4"/>
      <c r="Q2538" s="3"/>
      <c r="R2538" s="3"/>
      <c r="S2538" s="3"/>
      <c r="T2538" s="3"/>
    </row>
    <row r="2539" spans="1:20">
      <c r="A2539" s="3">
        <v>2</v>
      </c>
      <c r="B2539" s="3">
        <v>1</v>
      </c>
      <c r="C2539" s="2">
        <v>25</v>
      </c>
      <c r="D2539" s="2">
        <v>5</v>
      </c>
      <c r="E2539" s="2">
        <v>16</v>
      </c>
      <c r="F2539" s="17">
        <v>147</v>
      </c>
      <c r="H2539" s="360">
        <v>1</v>
      </c>
      <c r="I2539" s="360">
        <v>0.32275951084272292</v>
      </c>
      <c r="K2539" s="363"/>
      <c r="N2539" s="10"/>
      <c r="O2539" s="4"/>
      <c r="P2539" s="4"/>
      <c r="Q2539" s="3"/>
      <c r="R2539" s="3"/>
      <c r="S2539" s="3"/>
      <c r="T2539" s="3"/>
    </row>
    <row r="2540" spans="1:20">
      <c r="A2540" s="3">
        <v>1</v>
      </c>
      <c r="B2540" s="3">
        <v>1</v>
      </c>
      <c r="C2540" s="2">
        <v>25</v>
      </c>
      <c r="D2540" s="2">
        <v>30</v>
      </c>
      <c r="E2540" s="2">
        <v>16</v>
      </c>
      <c r="F2540" s="17">
        <v>147</v>
      </c>
      <c r="H2540" s="360">
        <v>1</v>
      </c>
      <c r="I2540" s="360">
        <v>0.31747867501197702</v>
      </c>
      <c r="K2540" s="363"/>
      <c r="N2540" s="10"/>
      <c r="O2540" s="4"/>
      <c r="P2540" s="4"/>
      <c r="Q2540" s="3"/>
      <c r="R2540" s="3"/>
      <c r="S2540" s="3"/>
      <c r="T2540" s="3"/>
    </row>
    <row r="2541" spans="1:20">
      <c r="A2541" s="3">
        <v>1</v>
      </c>
      <c r="B2541" s="3">
        <v>2</v>
      </c>
      <c r="C2541" s="2">
        <v>25</v>
      </c>
      <c r="D2541" s="2">
        <v>5</v>
      </c>
      <c r="E2541" s="2">
        <v>16</v>
      </c>
      <c r="F2541" s="17">
        <v>147</v>
      </c>
      <c r="H2541" s="360">
        <v>1</v>
      </c>
      <c r="I2541" s="360">
        <v>0.31710735355344716</v>
      </c>
      <c r="K2541" s="363"/>
      <c r="N2541" s="10"/>
      <c r="O2541" s="4"/>
      <c r="P2541" s="4"/>
      <c r="Q2541" s="3"/>
      <c r="R2541" s="3"/>
      <c r="S2541" s="3"/>
      <c r="T2541" s="3"/>
    </row>
    <row r="2542" spans="1:20">
      <c r="A2542" s="3">
        <v>2</v>
      </c>
      <c r="B2542" s="3">
        <v>1</v>
      </c>
      <c r="C2542" s="2">
        <v>25</v>
      </c>
      <c r="D2542" s="2">
        <v>5</v>
      </c>
      <c r="E2542" s="2">
        <v>1</v>
      </c>
      <c r="F2542" s="17">
        <v>147</v>
      </c>
      <c r="H2542" s="360">
        <v>1</v>
      </c>
      <c r="I2542" s="360">
        <v>0.31695051003253216</v>
      </c>
      <c r="K2542" s="363"/>
      <c r="N2542" s="10"/>
      <c r="O2542" s="4"/>
      <c r="P2542" s="4"/>
      <c r="Q2542" s="3"/>
      <c r="R2542" s="3"/>
      <c r="S2542" s="3"/>
      <c r="T2542" s="3"/>
    </row>
    <row r="2543" spans="1:20">
      <c r="A2543" s="3">
        <v>2</v>
      </c>
      <c r="B2543" s="3">
        <v>2</v>
      </c>
      <c r="C2543" s="2">
        <v>25</v>
      </c>
      <c r="D2543" s="2">
        <v>5</v>
      </c>
      <c r="E2543" s="2">
        <v>1</v>
      </c>
      <c r="F2543" s="17">
        <v>147</v>
      </c>
      <c r="H2543" s="360">
        <v>0.91457360271336274</v>
      </c>
      <c r="I2543" s="360">
        <v>0.30965454494872319</v>
      </c>
      <c r="K2543" s="363"/>
      <c r="N2543" s="10"/>
      <c r="O2543" s="4"/>
      <c r="P2543" s="4"/>
      <c r="Q2543" s="3"/>
      <c r="R2543" s="3"/>
      <c r="S2543" s="3"/>
      <c r="T2543" s="3"/>
    </row>
    <row r="2544" spans="1:20">
      <c r="A2544" s="3">
        <v>2</v>
      </c>
      <c r="B2544" s="3">
        <v>2</v>
      </c>
      <c r="C2544" s="2">
        <v>25</v>
      </c>
      <c r="D2544" s="2">
        <v>5</v>
      </c>
      <c r="E2544" s="2">
        <v>16</v>
      </c>
      <c r="F2544" s="17">
        <v>147</v>
      </c>
      <c r="H2544" s="360">
        <v>1</v>
      </c>
      <c r="I2544" s="360">
        <v>0.30885348465008006</v>
      </c>
      <c r="K2544" s="363"/>
      <c r="N2544" s="10"/>
      <c r="O2544" s="4"/>
      <c r="P2544" s="4"/>
      <c r="Q2544" s="3"/>
      <c r="R2544" s="3"/>
      <c r="S2544" s="3"/>
      <c r="T2544" s="3"/>
    </row>
    <row r="2545" spans="1:20">
      <c r="A2545" s="3">
        <v>1</v>
      </c>
      <c r="B2545" s="3">
        <v>1</v>
      </c>
      <c r="C2545" s="2">
        <v>25</v>
      </c>
      <c r="D2545" s="2">
        <v>5</v>
      </c>
      <c r="E2545" s="2">
        <v>16</v>
      </c>
      <c r="F2545" s="17">
        <v>147</v>
      </c>
      <c r="H2545" s="360">
        <v>1</v>
      </c>
      <c r="I2545" s="360">
        <v>0.30225220882158149</v>
      </c>
      <c r="K2545" s="363"/>
      <c r="N2545" s="10"/>
      <c r="O2545" s="4"/>
      <c r="P2545" s="4"/>
      <c r="Q2545" s="3"/>
      <c r="R2545" s="3"/>
      <c r="S2545" s="3"/>
      <c r="T2545" s="3"/>
    </row>
    <row r="2546" spans="1:20">
      <c r="A2546" s="3">
        <v>1</v>
      </c>
      <c r="B2546" s="3">
        <v>1</v>
      </c>
      <c r="C2546" s="2">
        <v>25</v>
      </c>
      <c r="D2546" s="2">
        <v>5</v>
      </c>
      <c r="E2546" s="2">
        <v>1</v>
      </c>
      <c r="F2546" s="17">
        <v>147</v>
      </c>
      <c r="H2546" s="360">
        <v>1</v>
      </c>
      <c r="I2546" s="360">
        <v>0.30097861535696024</v>
      </c>
      <c r="K2546" s="363"/>
      <c r="N2546" s="10"/>
      <c r="O2546" s="4"/>
      <c r="P2546" s="4"/>
      <c r="Q2546" s="3"/>
      <c r="R2546" s="3"/>
      <c r="S2546" s="3"/>
      <c r="T2546" s="3"/>
    </row>
    <row r="2547" spans="1:20">
      <c r="A2547" s="3">
        <v>1</v>
      </c>
      <c r="B2547" s="3">
        <v>2</v>
      </c>
      <c r="C2547" s="2">
        <v>25</v>
      </c>
      <c r="D2547" s="2">
        <v>5</v>
      </c>
      <c r="E2547" s="2">
        <v>16</v>
      </c>
      <c r="F2547" s="17">
        <v>147</v>
      </c>
      <c r="H2547" s="360">
        <v>1</v>
      </c>
      <c r="I2547" s="360">
        <v>0.26352424984195882</v>
      </c>
      <c r="K2547" s="363"/>
      <c r="N2547" s="10"/>
      <c r="O2547" s="4"/>
      <c r="P2547" s="4"/>
      <c r="Q2547" s="3"/>
      <c r="R2547" s="3"/>
      <c r="S2547" s="3"/>
      <c r="T2547" s="3"/>
    </row>
    <row r="2548" spans="1:20">
      <c r="A2548" s="3">
        <v>1</v>
      </c>
      <c r="B2548" s="3">
        <v>2</v>
      </c>
      <c r="C2548" s="2">
        <v>25</v>
      </c>
      <c r="D2548" s="2">
        <v>5</v>
      </c>
      <c r="E2548" s="2">
        <v>1</v>
      </c>
      <c r="F2548" s="17">
        <v>147</v>
      </c>
      <c r="H2548" s="360">
        <v>2.8976149827005693E-2</v>
      </c>
      <c r="I2548" s="360">
        <v>0.15443202074218118</v>
      </c>
      <c r="K2548" s="363"/>
      <c r="N2548" s="10"/>
      <c r="O2548" s="4"/>
      <c r="P2548" s="4"/>
      <c r="Q2548" s="3"/>
      <c r="R2548" s="3"/>
      <c r="S2548" s="3"/>
      <c r="T2548" s="3"/>
    </row>
    <row r="2549" spans="1:20">
      <c r="A2549" s="3">
        <v>5</v>
      </c>
      <c r="B2549" s="3">
        <v>2</v>
      </c>
      <c r="C2549" s="2">
        <v>50</v>
      </c>
      <c r="D2549" s="2">
        <v>5</v>
      </c>
      <c r="E2549" s="2">
        <v>16</v>
      </c>
      <c r="F2549" s="17">
        <v>147</v>
      </c>
      <c r="H2549" s="360">
        <v>0.45131292803569267</v>
      </c>
      <c r="I2549" s="360">
        <v>7.9210371734025203E-2</v>
      </c>
      <c r="K2549" s="363"/>
      <c r="N2549" s="10"/>
      <c r="O2549" s="4"/>
      <c r="P2549" s="4"/>
      <c r="Q2549" s="3"/>
      <c r="R2549" s="3"/>
      <c r="S2549" s="3"/>
      <c r="T2549" s="3"/>
    </row>
    <row r="2550" spans="1:20">
      <c r="A2550" s="3">
        <v>4</v>
      </c>
      <c r="B2550" s="3">
        <v>2</v>
      </c>
      <c r="C2550" s="2">
        <v>50</v>
      </c>
      <c r="D2550" s="2">
        <v>5</v>
      </c>
      <c r="E2550" s="2">
        <v>16</v>
      </c>
      <c r="F2550" s="17">
        <v>147</v>
      </c>
      <c r="H2550" s="360">
        <v>0.60769037490236566</v>
      </c>
      <c r="I2550" s="360">
        <v>5.9961794770841535E-2</v>
      </c>
      <c r="K2550" s="363"/>
      <c r="N2550" s="10"/>
      <c r="O2550" s="4"/>
      <c r="P2550" s="4"/>
      <c r="Q2550" s="3"/>
      <c r="R2550" s="3"/>
      <c r="S2550" s="3"/>
      <c r="T2550" s="3"/>
    </row>
    <row r="2551" spans="1:20">
      <c r="A2551" s="3">
        <v>5</v>
      </c>
      <c r="B2551" s="3">
        <v>2</v>
      </c>
      <c r="C2551" s="2">
        <v>25</v>
      </c>
      <c r="D2551" s="2">
        <v>5</v>
      </c>
      <c r="E2551" s="2">
        <v>16</v>
      </c>
      <c r="F2551" s="17">
        <v>147</v>
      </c>
      <c r="H2551" s="360">
        <v>4.7259694948008191E-2</v>
      </c>
      <c r="I2551" s="360">
        <v>8.4187295400935166E-3</v>
      </c>
      <c r="K2551" s="363"/>
      <c r="N2551" s="10"/>
      <c r="O2551" s="4"/>
      <c r="P2551" s="4"/>
      <c r="Q2551" s="3"/>
      <c r="R2551" s="3"/>
      <c r="S2551" s="3"/>
      <c r="T2551" s="3"/>
    </row>
    <row r="2552" spans="1:20">
      <c r="A2552" s="3">
        <v>2</v>
      </c>
      <c r="B2552" s="3">
        <v>2</v>
      </c>
      <c r="C2552" s="2">
        <v>25</v>
      </c>
      <c r="D2552" s="2">
        <v>5</v>
      </c>
      <c r="E2552" s="2">
        <v>16</v>
      </c>
      <c r="F2552" s="17">
        <v>148</v>
      </c>
      <c r="H2552" s="360">
        <v>0.20364174026133175</v>
      </c>
      <c r="I2552" s="360">
        <v>1</v>
      </c>
      <c r="K2552" s="363"/>
      <c r="N2552" s="10"/>
      <c r="O2552" s="4"/>
      <c r="P2552" s="4"/>
      <c r="Q2552" s="3"/>
      <c r="R2552" s="3"/>
      <c r="S2552" s="3"/>
      <c r="T2552" s="3"/>
    </row>
    <row r="2553" spans="1:20">
      <c r="A2553" s="3">
        <v>1</v>
      </c>
      <c r="B2553" s="3">
        <v>1</v>
      </c>
      <c r="C2553" s="2">
        <v>25</v>
      </c>
      <c r="D2553" s="2">
        <v>30</v>
      </c>
      <c r="E2553" s="2">
        <v>16</v>
      </c>
      <c r="F2553" s="17">
        <v>148</v>
      </c>
      <c r="H2553" s="360">
        <v>6.8666623254822756E-3</v>
      </c>
      <c r="I2553" s="360">
        <v>0.45644371941272432</v>
      </c>
      <c r="K2553" s="363"/>
      <c r="N2553" s="10"/>
      <c r="O2553" s="4"/>
      <c r="P2553" s="4"/>
      <c r="Q2553" s="3"/>
      <c r="R2553" s="3"/>
      <c r="S2553" s="3"/>
      <c r="T2553" s="3"/>
    </row>
    <row r="2554" spans="1:20">
      <c r="A2554" s="3">
        <v>1</v>
      </c>
      <c r="B2554" s="3">
        <v>2</v>
      </c>
      <c r="C2554" s="2">
        <v>25</v>
      </c>
      <c r="D2554" s="2">
        <v>30</v>
      </c>
      <c r="E2554" s="2">
        <v>16</v>
      </c>
      <c r="F2554" s="17">
        <v>148</v>
      </c>
      <c r="H2554" s="360">
        <v>0.2976229567323001</v>
      </c>
      <c r="I2554" s="360">
        <v>0.4471866226979207</v>
      </c>
      <c r="K2554" s="363"/>
      <c r="N2554" s="10"/>
      <c r="O2554" s="4"/>
      <c r="P2554" s="4"/>
      <c r="Q2554" s="3"/>
      <c r="R2554" s="3"/>
      <c r="S2554" s="3"/>
      <c r="T2554" s="3"/>
    </row>
    <row r="2555" spans="1:20">
      <c r="A2555" s="3">
        <v>3</v>
      </c>
      <c r="B2555" s="3">
        <v>2</v>
      </c>
      <c r="C2555" s="2">
        <v>25</v>
      </c>
      <c r="D2555" s="2">
        <v>5</v>
      </c>
      <c r="E2555" s="2">
        <v>16</v>
      </c>
      <c r="F2555" s="17">
        <v>148</v>
      </c>
      <c r="H2555" s="360">
        <v>0.60605503189870502</v>
      </c>
      <c r="I2555" s="360">
        <v>0.42092159183696887</v>
      </c>
      <c r="K2555" s="363"/>
      <c r="N2555" s="10"/>
      <c r="O2555" s="4"/>
      <c r="P2555" s="4"/>
      <c r="Q2555" s="3"/>
      <c r="R2555" s="3"/>
      <c r="S2555" s="3"/>
      <c r="T2555" s="3"/>
    </row>
    <row r="2556" spans="1:20">
      <c r="A2556" s="3">
        <v>1</v>
      </c>
      <c r="B2556" s="3">
        <v>2</v>
      </c>
      <c r="C2556" s="2">
        <v>25</v>
      </c>
      <c r="D2556" s="2">
        <v>5</v>
      </c>
      <c r="E2556" s="2">
        <v>16</v>
      </c>
      <c r="F2556" s="17">
        <v>148</v>
      </c>
      <c r="H2556" s="360">
        <v>4.3147322829502621E-2</v>
      </c>
      <c r="I2556" s="360">
        <v>0.27544627820815087</v>
      </c>
      <c r="K2556" s="363"/>
      <c r="N2556" s="10"/>
      <c r="O2556" s="4"/>
      <c r="P2556" s="4"/>
      <c r="Q2556" s="3"/>
      <c r="R2556" s="3"/>
      <c r="S2556" s="3"/>
      <c r="T2556" s="3"/>
    </row>
    <row r="2557" spans="1:20">
      <c r="A2557" s="3">
        <v>5</v>
      </c>
      <c r="B2557" s="3">
        <v>2</v>
      </c>
      <c r="C2557" s="2">
        <v>50</v>
      </c>
      <c r="D2557" s="2">
        <v>5</v>
      </c>
      <c r="E2557" s="2">
        <v>16</v>
      </c>
      <c r="F2557" s="17">
        <v>148</v>
      </c>
      <c r="H2557" s="360">
        <v>3.0137198739864646E-2</v>
      </c>
      <c r="I2557" s="360">
        <v>0.17907328312291063</v>
      </c>
      <c r="K2557" s="363"/>
      <c r="N2557" s="10"/>
      <c r="O2557" s="4"/>
      <c r="P2557" s="4"/>
      <c r="Q2557" s="3"/>
      <c r="R2557" s="3"/>
      <c r="S2557" s="3"/>
      <c r="T2557" s="3"/>
    </row>
    <row r="2558" spans="1:20">
      <c r="A2558" s="3">
        <v>1</v>
      </c>
      <c r="B2558" s="3">
        <v>2</v>
      </c>
      <c r="C2558" s="2">
        <v>25</v>
      </c>
      <c r="D2558" s="2">
        <v>5</v>
      </c>
      <c r="E2558" s="2">
        <v>16</v>
      </c>
      <c r="F2558" s="17">
        <v>148</v>
      </c>
      <c r="H2558" s="360">
        <v>5.91029458686122E-2</v>
      </c>
      <c r="I2558" s="360">
        <v>0.16256377782483844</v>
      </c>
      <c r="K2558" s="363"/>
      <c r="N2558" s="10"/>
      <c r="O2558" s="4"/>
      <c r="P2558" s="4"/>
      <c r="Q2558" s="3"/>
      <c r="R2558" s="3"/>
      <c r="S2558" s="3"/>
      <c r="T2558" s="3"/>
    </row>
    <row r="2559" spans="1:20">
      <c r="A2559" s="3">
        <v>4</v>
      </c>
      <c r="B2559" s="3">
        <v>2</v>
      </c>
      <c r="C2559" s="2">
        <v>50</v>
      </c>
      <c r="D2559" s="2">
        <v>5</v>
      </c>
      <c r="E2559" s="2">
        <v>16</v>
      </c>
      <c r="F2559" s="17">
        <v>148</v>
      </c>
      <c r="H2559" s="360">
        <v>0.10765737540260778</v>
      </c>
      <c r="I2559" s="360">
        <v>0.13205096988880774</v>
      </c>
      <c r="K2559" s="363"/>
      <c r="N2559" s="10"/>
      <c r="O2559" s="4"/>
      <c r="P2559" s="4"/>
      <c r="Q2559" s="3"/>
      <c r="R2559" s="3"/>
      <c r="S2559" s="3"/>
      <c r="T2559" s="3"/>
    </row>
    <row r="2560" spans="1:20">
      <c r="A2560" s="3">
        <v>3</v>
      </c>
      <c r="B2560" s="3">
        <v>1</v>
      </c>
      <c r="C2560" s="2">
        <v>25</v>
      </c>
      <c r="D2560" s="2">
        <v>5</v>
      </c>
      <c r="E2560" s="2">
        <v>16</v>
      </c>
      <c r="F2560" s="17">
        <v>148</v>
      </c>
      <c r="H2560" s="360">
        <v>5.4084620070243616E-2</v>
      </c>
      <c r="I2560" s="360">
        <v>0.12435377038737026</v>
      </c>
      <c r="K2560" s="363"/>
      <c r="N2560" s="10"/>
      <c r="O2560" s="4"/>
      <c r="P2560" s="4"/>
      <c r="Q2560" s="3"/>
      <c r="R2560" s="3"/>
      <c r="S2560" s="3"/>
      <c r="T2560" s="3"/>
    </row>
    <row r="2561" spans="1:20">
      <c r="A2561" s="3">
        <v>3</v>
      </c>
      <c r="B2561" s="3">
        <v>2</v>
      </c>
      <c r="C2561" s="2">
        <v>25</v>
      </c>
      <c r="D2561" s="2">
        <v>5</v>
      </c>
      <c r="E2561" s="2">
        <v>1</v>
      </c>
      <c r="F2561" s="17">
        <v>148</v>
      </c>
      <c r="H2561" s="360">
        <v>3.0753358142349363E-2</v>
      </c>
      <c r="I2561" s="360">
        <v>0.10547095318668923</v>
      </c>
      <c r="K2561" s="363"/>
      <c r="N2561" s="10"/>
      <c r="O2561" s="4"/>
      <c r="P2561" s="4"/>
      <c r="Q2561" s="3"/>
      <c r="R2561" s="3"/>
      <c r="S2561" s="3"/>
      <c r="T2561" s="3"/>
    </row>
    <row r="2562" spans="1:20">
      <c r="A2562" s="3">
        <v>1</v>
      </c>
      <c r="B2562" s="3">
        <v>1</v>
      </c>
      <c r="C2562" s="2">
        <v>25</v>
      </c>
      <c r="D2562" s="2">
        <v>5</v>
      </c>
      <c r="E2562" s="2">
        <v>1</v>
      </c>
      <c r="F2562" s="17">
        <v>148</v>
      </c>
      <c r="H2562" s="360">
        <v>0</v>
      </c>
      <c r="I2562" s="360">
        <v>0</v>
      </c>
      <c r="K2562" s="363"/>
      <c r="N2562" s="10"/>
      <c r="O2562" s="4"/>
      <c r="P2562" s="4"/>
      <c r="Q2562" s="3"/>
      <c r="R2562" s="3"/>
      <c r="S2562" s="3"/>
      <c r="T2562" s="3"/>
    </row>
    <row r="2563" spans="1:20">
      <c r="A2563" s="3">
        <v>1</v>
      </c>
      <c r="B2563" s="3">
        <v>1</v>
      </c>
      <c r="C2563" s="2">
        <v>25</v>
      </c>
      <c r="D2563" s="2">
        <v>5</v>
      </c>
      <c r="E2563" s="2">
        <v>16</v>
      </c>
      <c r="F2563" s="17">
        <v>148</v>
      </c>
      <c r="H2563" s="360">
        <v>0</v>
      </c>
      <c r="I2563" s="360">
        <v>0</v>
      </c>
      <c r="K2563" s="363"/>
      <c r="N2563" s="10"/>
      <c r="O2563" s="4"/>
      <c r="P2563" s="4"/>
      <c r="Q2563" s="3"/>
      <c r="R2563" s="3"/>
      <c r="S2563" s="3"/>
      <c r="T2563" s="3"/>
    </row>
    <row r="2564" spans="1:20">
      <c r="A2564" s="3">
        <v>1</v>
      </c>
      <c r="B2564" s="3">
        <v>2</v>
      </c>
      <c r="C2564" s="2">
        <v>25</v>
      </c>
      <c r="D2564" s="2">
        <v>5</v>
      </c>
      <c r="E2564" s="2">
        <v>1</v>
      </c>
      <c r="F2564" s="17">
        <v>148</v>
      </c>
      <c r="H2564" s="360">
        <v>0</v>
      </c>
      <c r="I2564" s="360">
        <v>0</v>
      </c>
      <c r="K2564" s="363"/>
      <c r="N2564" s="10"/>
      <c r="O2564" s="4"/>
      <c r="P2564" s="4"/>
      <c r="Q2564" s="3"/>
      <c r="R2564" s="3"/>
      <c r="S2564" s="3"/>
      <c r="T2564" s="3"/>
    </row>
    <row r="2565" spans="1:20">
      <c r="A2565" s="3">
        <v>2</v>
      </c>
      <c r="B2565" s="3">
        <v>2</v>
      </c>
      <c r="C2565" s="2">
        <v>25</v>
      </c>
      <c r="D2565" s="2">
        <v>5</v>
      </c>
      <c r="E2565" s="2">
        <v>1</v>
      </c>
      <c r="F2565" s="17">
        <v>148</v>
      </c>
      <c r="H2565" s="360">
        <v>0</v>
      </c>
      <c r="I2565" s="360">
        <v>0</v>
      </c>
      <c r="K2565" s="363"/>
      <c r="N2565" s="10"/>
      <c r="O2565" s="4"/>
      <c r="P2565" s="4"/>
      <c r="Q2565" s="3"/>
      <c r="R2565" s="3"/>
      <c r="S2565" s="3"/>
      <c r="T2565" s="3"/>
    </row>
    <row r="2566" spans="1:20">
      <c r="A2566" s="3">
        <v>5</v>
      </c>
      <c r="B2566" s="3">
        <v>2</v>
      </c>
      <c r="C2566" s="2">
        <v>25</v>
      </c>
      <c r="D2566" s="2">
        <v>5</v>
      </c>
      <c r="E2566" s="2">
        <v>16</v>
      </c>
      <c r="F2566" s="17">
        <v>148</v>
      </c>
      <c r="H2566" s="360">
        <v>0</v>
      </c>
      <c r="I2566" s="360">
        <v>0</v>
      </c>
      <c r="K2566" s="363"/>
      <c r="N2566" s="10"/>
      <c r="O2566" s="4"/>
      <c r="P2566" s="4"/>
      <c r="Q2566" s="3"/>
      <c r="R2566" s="3"/>
      <c r="S2566" s="3"/>
      <c r="T2566" s="3"/>
    </row>
    <row r="2567" spans="1:20">
      <c r="A2567" s="3">
        <v>2</v>
      </c>
      <c r="B2567" s="3">
        <v>1</v>
      </c>
      <c r="C2567" s="2">
        <v>25</v>
      </c>
      <c r="D2567" s="2">
        <v>5</v>
      </c>
      <c r="E2567" s="2">
        <v>1</v>
      </c>
      <c r="F2567" s="17">
        <v>148</v>
      </c>
      <c r="H2567" s="360">
        <v>0</v>
      </c>
      <c r="I2567" s="360">
        <v>0</v>
      </c>
      <c r="K2567" s="363"/>
      <c r="N2567" s="10"/>
      <c r="O2567" s="4"/>
      <c r="P2567" s="4"/>
      <c r="Q2567" s="3"/>
      <c r="R2567" s="3"/>
      <c r="S2567" s="3"/>
      <c r="T2567" s="3"/>
    </row>
    <row r="2568" spans="1:20">
      <c r="A2568" s="3">
        <v>2</v>
      </c>
      <c r="B2568" s="3">
        <v>1</v>
      </c>
      <c r="C2568" s="2">
        <v>25</v>
      </c>
      <c r="D2568" s="2">
        <v>5</v>
      </c>
      <c r="E2568" s="2">
        <v>16</v>
      </c>
      <c r="F2568" s="17">
        <v>148</v>
      </c>
      <c r="H2568" s="360">
        <v>0</v>
      </c>
      <c r="I2568" s="360">
        <v>0</v>
      </c>
      <c r="K2568" s="363"/>
      <c r="N2568" s="10"/>
      <c r="O2568" s="4"/>
      <c r="P2568" s="4"/>
      <c r="Q2568" s="3"/>
      <c r="R2568" s="3"/>
      <c r="S2568" s="3"/>
      <c r="T2568" s="3"/>
    </row>
    <row r="2569" spans="1:20">
      <c r="A2569" s="3">
        <v>3</v>
      </c>
      <c r="B2569" s="3">
        <v>1</v>
      </c>
      <c r="C2569" s="2">
        <v>25</v>
      </c>
      <c r="D2569" s="2">
        <v>5</v>
      </c>
      <c r="E2569" s="2">
        <v>1</v>
      </c>
      <c r="F2569" s="17">
        <v>148</v>
      </c>
      <c r="H2569" s="360">
        <v>2.4798982957333182E-2</v>
      </c>
      <c r="I2569" s="360">
        <v>-6.0579486155368963E-2</v>
      </c>
      <c r="K2569" s="363"/>
      <c r="N2569" s="10"/>
      <c r="O2569" s="4"/>
      <c r="P2569" s="4"/>
      <c r="Q2569" s="3"/>
      <c r="R2569" s="3"/>
      <c r="S2569" s="3"/>
      <c r="T2569" s="3"/>
    </row>
    <row r="2570" spans="1:20">
      <c r="A2570" s="3">
        <v>3</v>
      </c>
      <c r="B2570" s="3">
        <v>2</v>
      </c>
      <c r="C2570" s="2">
        <v>25</v>
      </c>
      <c r="D2570" s="2">
        <v>5</v>
      </c>
      <c r="E2570" s="2">
        <v>1</v>
      </c>
      <c r="F2570" s="17">
        <v>149</v>
      </c>
      <c r="H2570" s="360">
        <v>0.99269496194687146</v>
      </c>
      <c r="I2570" s="360">
        <v>0.58391088432795768</v>
      </c>
      <c r="K2570" s="363"/>
      <c r="N2570" s="10"/>
      <c r="O2570" s="4"/>
      <c r="P2570" s="4"/>
      <c r="Q2570" s="3"/>
      <c r="R2570" s="3"/>
      <c r="S2570" s="3"/>
      <c r="T2570" s="3"/>
    </row>
    <row r="2571" spans="1:20">
      <c r="A2571" s="3">
        <v>3</v>
      </c>
      <c r="B2571" s="3">
        <v>2</v>
      </c>
      <c r="C2571" s="2">
        <v>25</v>
      </c>
      <c r="D2571" s="2">
        <v>5</v>
      </c>
      <c r="E2571" s="2">
        <v>16</v>
      </c>
      <c r="F2571" s="17">
        <v>149</v>
      </c>
      <c r="H2571" s="360">
        <v>1</v>
      </c>
      <c r="I2571" s="360">
        <v>0.57618496673101693</v>
      </c>
      <c r="K2571" s="363"/>
      <c r="N2571" s="10"/>
      <c r="O2571" s="4"/>
      <c r="P2571" s="4"/>
      <c r="Q2571" s="3"/>
      <c r="R2571" s="3"/>
      <c r="S2571" s="3"/>
      <c r="T2571" s="3"/>
    </row>
    <row r="2572" spans="1:20">
      <c r="A2572" s="3">
        <v>2</v>
      </c>
      <c r="B2572" s="3">
        <v>1</v>
      </c>
      <c r="C2572" s="2">
        <v>25</v>
      </c>
      <c r="D2572" s="2">
        <v>5</v>
      </c>
      <c r="E2572" s="2">
        <v>1</v>
      </c>
      <c r="F2572" s="17">
        <v>149</v>
      </c>
      <c r="H2572" s="360">
        <v>1</v>
      </c>
      <c r="I2572" s="360">
        <v>0.57368515277161447</v>
      </c>
      <c r="K2572" s="363"/>
      <c r="N2572" s="10"/>
      <c r="O2572" s="4"/>
      <c r="P2572" s="4"/>
      <c r="Q2572" s="3"/>
      <c r="R2572" s="3"/>
      <c r="S2572" s="3"/>
      <c r="T2572" s="3"/>
    </row>
    <row r="2573" spans="1:20">
      <c r="A2573" s="3">
        <v>2</v>
      </c>
      <c r="B2573" s="3">
        <v>2</v>
      </c>
      <c r="C2573" s="2">
        <v>25</v>
      </c>
      <c r="D2573" s="2">
        <v>5</v>
      </c>
      <c r="E2573" s="2">
        <v>16</v>
      </c>
      <c r="F2573" s="17">
        <v>149</v>
      </c>
      <c r="H2573" s="360">
        <v>1</v>
      </c>
      <c r="I2573" s="360">
        <v>0.54363326658671918</v>
      </c>
      <c r="K2573" s="363"/>
      <c r="N2573" s="10"/>
      <c r="O2573" s="4"/>
      <c r="P2573" s="4"/>
      <c r="Q2573" s="3"/>
      <c r="R2573" s="3"/>
      <c r="S2573" s="3"/>
      <c r="T2573" s="3"/>
    </row>
    <row r="2574" spans="1:20">
      <c r="A2574" s="3">
        <v>2</v>
      </c>
      <c r="B2574" s="3">
        <v>2</v>
      </c>
      <c r="C2574" s="2">
        <v>25</v>
      </c>
      <c r="D2574" s="2">
        <v>5</v>
      </c>
      <c r="E2574" s="2">
        <v>1</v>
      </c>
      <c r="F2574" s="17">
        <v>149</v>
      </c>
      <c r="H2574" s="360">
        <v>0.99655688169850087</v>
      </c>
      <c r="I2574" s="360">
        <v>0.541536052094031</v>
      </c>
      <c r="K2574" s="363"/>
      <c r="N2574" s="10"/>
      <c r="O2574" s="4"/>
      <c r="P2574" s="4"/>
      <c r="Q2574" s="3"/>
      <c r="R2574" s="3"/>
      <c r="S2574" s="3"/>
      <c r="T2574" s="3"/>
    </row>
    <row r="2575" spans="1:20">
      <c r="A2575" s="3">
        <v>2</v>
      </c>
      <c r="B2575" s="3">
        <v>1</v>
      </c>
      <c r="C2575" s="2">
        <v>25</v>
      </c>
      <c r="D2575" s="2">
        <v>5</v>
      </c>
      <c r="E2575" s="2">
        <v>16</v>
      </c>
      <c r="F2575" s="17">
        <v>149</v>
      </c>
      <c r="H2575" s="360">
        <v>1</v>
      </c>
      <c r="I2575" s="360">
        <v>0.53883576717291715</v>
      </c>
      <c r="K2575" s="363"/>
      <c r="N2575" s="10"/>
      <c r="O2575" s="4"/>
      <c r="P2575" s="4"/>
      <c r="Q2575" s="3"/>
      <c r="R2575" s="3"/>
      <c r="S2575" s="3"/>
      <c r="T2575" s="3"/>
    </row>
    <row r="2576" spans="1:20">
      <c r="A2576" s="3">
        <v>3</v>
      </c>
      <c r="B2576" s="3">
        <v>1</v>
      </c>
      <c r="C2576" s="2">
        <v>25</v>
      </c>
      <c r="D2576" s="2">
        <v>5</v>
      </c>
      <c r="E2576" s="2">
        <v>1</v>
      </c>
      <c r="F2576" s="17">
        <v>149</v>
      </c>
      <c r="H2576" s="360">
        <v>0.97064228481919157</v>
      </c>
      <c r="I2576" s="360">
        <v>0.49728300052063384</v>
      </c>
      <c r="K2576" s="363"/>
      <c r="N2576" s="10"/>
      <c r="O2576" s="4"/>
      <c r="P2576" s="4"/>
      <c r="Q2576" s="3"/>
      <c r="R2576" s="3"/>
      <c r="S2576" s="3"/>
      <c r="T2576" s="3"/>
    </row>
    <row r="2577" spans="1:20">
      <c r="A2577" s="3">
        <v>3</v>
      </c>
      <c r="B2577" s="3">
        <v>1</v>
      </c>
      <c r="C2577" s="2">
        <v>25</v>
      </c>
      <c r="D2577" s="2">
        <v>5</v>
      </c>
      <c r="E2577" s="2">
        <v>16</v>
      </c>
      <c r="F2577" s="17">
        <v>149</v>
      </c>
      <c r="H2577" s="360">
        <v>0.96601963736519902</v>
      </c>
      <c r="I2577" s="360">
        <v>0.48849430962037627</v>
      </c>
      <c r="K2577" s="363"/>
      <c r="N2577" s="10"/>
      <c r="O2577" s="4"/>
      <c r="P2577" s="4"/>
      <c r="Q2577" s="3"/>
      <c r="R2577" s="3"/>
      <c r="S2577" s="3"/>
      <c r="T2577" s="3"/>
    </row>
    <row r="2578" spans="1:20">
      <c r="A2578" s="3">
        <v>1</v>
      </c>
      <c r="B2578" s="3">
        <v>2</v>
      </c>
      <c r="C2578" s="2">
        <v>25</v>
      </c>
      <c r="D2578" s="2">
        <v>5</v>
      </c>
      <c r="E2578" s="2">
        <v>16</v>
      </c>
      <c r="F2578" s="17">
        <v>149</v>
      </c>
      <c r="H2578" s="360">
        <v>1</v>
      </c>
      <c r="I2578" s="360">
        <v>0.47723000164943113</v>
      </c>
      <c r="K2578" s="363"/>
      <c r="N2578" s="10"/>
      <c r="O2578" s="4"/>
      <c r="P2578" s="4"/>
      <c r="Q2578" s="3"/>
      <c r="R2578" s="3"/>
      <c r="S2578" s="3"/>
      <c r="T2578" s="3"/>
    </row>
    <row r="2579" spans="1:20">
      <c r="A2579" s="3">
        <v>1</v>
      </c>
      <c r="B2579" s="3">
        <v>2</v>
      </c>
      <c r="C2579" s="2">
        <v>25</v>
      </c>
      <c r="D2579" s="2">
        <v>5</v>
      </c>
      <c r="E2579" s="2">
        <v>16</v>
      </c>
      <c r="F2579" s="17">
        <v>149</v>
      </c>
      <c r="H2579" s="360">
        <v>1</v>
      </c>
      <c r="I2579" s="360">
        <v>0.47156649321060495</v>
      </c>
      <c r="K2579" s="363"/>
      <c r="N2579" s="10"/>
      <c r="O2579" s="4"/>
      <c r="P2579" s="4"/>
      <c r="Q2579" s="3"/>
      <c r="R2579" s="3"/>
      <c r="S2579" s="3"/>
      <c r="T2579" s="3"/>
    </row>
    <row r="2580" spans="1:20">
      <c r="A2580" s="3">
        <v>1</v>
      </c>
      <c r="B2580" s="3">
        <v>2</v>
      </c>
      <c r="C2580" s="2">
        <v>25</v>
      </c>
      <c r="D2580" s="2">
        <v>5</v>
      </c>
      <c r="E2580" s="2">
        <v>1</v>
      </c>
      <c r="F2580" s="17">
        <v>149</v>
      </c>
      <c r="H2580" s="360">
        <v>0.13899232533640959</v>
      </c>
      <c r="I2580" s="360">
        <v>0.41971971195101976</v>
      </c>
      <c r="K2580" s="363"/>
      <c r="N2580" s="10"/>
      <c r="O2580" s="4"/>
      <c r="P2580" s="4"/>
      <c r="Q2580" s="3"/>
      <c r="R2580" s="3"/>
      <c r="S2580" s="3"/>
      <c r="T2580" s="3"/>
    </row>
    <row r="2581" spans="1:20">
      <c r="A2581" s="3">
        <v>1</v>
      </c>
      <c r="B2581" s="3">
        <v>2</v>
      </c>
      <c r="C2581" s="2">
        <v>25</v>
      </c>
      <c r="D2581" s="2">
        <v>30</v>
      </c>
      <c r="E2581" s="2">
        <v>16</v>
      </c>
      <c r="F2581" s="17">
        <v>149</v>
      </c>
      <c r="H2581" s="360">
        <v>1</v>
      </c>
      <c r="I2581" s="360">
        <v>0.4056611796931337</v>
      </c>
      <c r="K2581" s="363"/>
      <c r="N2581" s="10"/>
      <c r="O2581" s="4"/>
      <c r="P2581" s="4"/>
      <c r="Q2581" s="3"/>
      <c r="R2581" s="3"/>
      <c r="S2581" s="3"/>
      <c r="T2581" s="3"/>
    </row>
    <row r="2582" spans="1:20">
      <c r="A2582" s="3">
        <v>1</v>
      </c>
      <c r="B2582" s="3">
        <v>1</v>
      </c>
      <c r="C2582" s="2">
        <v>25</v>
      </c>
      <c r="D2582" s="2">
        <v>5</v>
      </c>
      <c r="E2582" s="2">
        <v>16</v>
      </c>
      <c r="F2582" s="17">
        <v>149</v>
      </c>
      <c r="H2582" s="360">
        <v>1</v>
      </c>
      <c r="I2582" s="360">
        <v>0.39499329437726105</v>
      </c>
      <c r="K2582" s="363"/>
      <c r="N2582" s="10"/>
      <c r="O2582" s="4"/>
      <c r="P2582" s="4"/>
      <c r="Q2582" s="3"/>
      <c r="R2582" s="3"/>
      <c r="S2582" s="3"/>
      <c r="T2582" s="3"/>
    </row>
    <row r="2583" spans="1:20">
      <c r="A2583" s="3">
        <v>1</v>
      </c>
      <c r="B2583" s="3">
        <v>1</v>
      </c>
      <c r="C2583" s="2">
        <v>25</v>
      </c>
      <c r="D2583" s="2">
        <v>5</v>
      </c>
      <c r="E2583" s="2">
        <v>1</v>
      </c>
      <c r="F2583" s="17">
        <v>149</v>
      </c>
      <c r="H2583" s="360">
        <v>1</v>
      </c>
      <c r="I2583" s="360">
        <v>0.38571689391375624</v>
      </c>
      <c r="K2583" s="363"/>
      <c r="N2583" s="10"/>
      <c r="O2583" s="4"/>
      <c r="P2583" s="4"/>
      <c r="Q2583" s="3"/>
      <c r="R2583" s="3"/>
      <c r="S2583" s="3"/>
      <c r="T2583" s="3"/>
    </row>
    <row r="2584" spans="1:20">
      <c r="A2584" s="3">
        <v>1</v>
      </c>
      <c r="B2584" s="3">
        <v>1</v>
      </c>
      <c r="C2584" s="2">
        <v>25</v>
      </c>
      <c r="D2584" s="2">
        <v>30</v>
      </c>
      <c r="E2584" s="2">
        <v>16</v>
      </c>
      <c r="F2584" s="17">
        <v>149</v>
      </c>
      <c r="H2584" s="360">
        <v>1</v>
      </c>
      <c r="I2584" s="360">
        <v>0.38499206177175449</v>
      </c>
      <c r="K2584" s="363"/>
      <c r="N2584" s="10"/>
      <c r="O2584" s="4"/>
      <c r="P2584" s="4"/>
      <c r="Q2584" s="3"/>
      <c r="R2584" s="3"/>
      <c r="S2584" s="3"/>
      <c r="T2584" s="3"/>
    </row>
    <row r="2585" spans="1:20">
      <c r="A2585" s="3">
        <v>4</v>
      </c>
      <c r="B2585" s="3">
        <v>2</v>
      </c>
      <c r="C2585" s="2">
        <v>50</v>
      </c>
      <c r="D2585" s="2">
        <v>5</v>
      </c>
      <c r="E2585" s="2">
        <v>16</v>
      </c>
      <c r="F2585" s="17">
        <v>149</v>
      </c>
      <c r="H2585" s="360">
        <v>0.69379880429063223</v>
      </c>
      <c r="I2585" s="360">
        <v>0.15342455230120577</v>
      </c>
      <c r="K2585" s="363"/>
      <c r="N2585" s="10"/>
      <c r="O2585" s="4"/>
      <c r="P2585" s="4"/>
      <c r="Q2585" s="3"/>
      <c r="R2585" s="3"/>
      <c r="S2585" s="3"/>
      <c r="T2585" s="3"/>
    </row>
    <row r="2586" spans="1:20">
      <c r="A2586" s="3">
        <v>5</v>
      </c>
      <c r="B2586" s="3">
        <v>2</v>
      </c>
      <c r="C2586" s="2">
        <v>25</v>
      </c>
      <c r="D2586" s="2">
        <v>5</v>
      </c>
      <c r="E2586" s="2">
        <v>16</v>
      </c>
      <c r="F2586" s="17">
        <v>149</v>
      </c>
      <c r="H2586" s="360">
        <v>0.15816495360294724</v>
      </c>
      <c r="I2586" s="360">
        <v>0.12129592395856219</v>
      </c>
      <c r="K2586" s="363"/>
      <c r="N2586" s="10"/>
      <c r="O2586" s="4"/>
      <c r="P2586" s="4"/>
      <c r="Q2586" s="3"/>
      <c r="R2586" s="3"/>
      <c r="S2586" s="3"/>
      <c r="T2586" s="3"/>
    </row>
    <row r="2587" spans="1:20">
      <c r="A2587" s="3">
        <v>5</v>
      </c>
      <c r="B2587" s="3">
        <v>2</v>
      </c>
      <c r="C2587" s="2">
        <v>50</v>
      </c>
      <c r="D2587" s="2">
        <v>5</v>
      </c>
      <c r="E2587" s="2">
        <v>16</v>
      </c>
      <c r="F2587" s="17">
        <v>149</v>
      </c>
      <c r="H2587" s="360">
        <v>0.89669262755297741</v>
      </c>
      <c r="I2587" s="360">
        <v>0.11872878750442406</v>
      </c>
      <c r="K2587" s="363"/>
      <c r="N2587" s="10"/>
      <c r="O2587" s="4"/>
      <c r="P2587" s="4"/>
      <c r="Q2587" s="3"/>
      <c r="R2587" s="3"/>
      <c r="S2587" s="3"/>
      <c r="T2587" s="3"/>
    </row>
    <row r="2588" spans="1:20">
      <c r="A2588" s="3">
        <v>1</v>
      </c>
      <c r="B2588" s="3">
        <v>1</v>
      </c>
      <c r="C2588" s="2">
        <v>25</v>
      </c>
      <c r="D2588" s="2">
        <v>30</v>
      </c>
      <c r="E2588" s="2">
        <v>16</v>
      </c>
      <c r="F2588" s="17">
        <v>150</v>
      </c>
      <c r="H2588" s="360">
        <v>2.782804971391728E-2</v>
      </c>
      <c r="I2588" s="360">
        <v>0.58131235298888795</v>
      </c>
      <c r="K2588" s="363"/>
      <c r="N2588" s="10"/>
      <c r="O2588" s="4"/>
      <c r="P2588" s="4"/>
      <c r="Q2588" s="3"/>
      <c r="R2588" s="3"/>
      <c r="S2588" s="3"/>
      <c r="T2588" s="3"/>
    </row>
    <row r="2589" spans="1:20">
      <c r="A2589" s="3">
        <v>3</v>
      </c>
      <c r="B2589" s="3">
        <v>1</v>
      </c>
      <c r="C2589" s="2">
        <v>25</v>
      </c>
      <c r="D2589" s="2">
        <v>5</v>
      </c>
      <c r="E2589" s="2">
        <v>1</v>
      </c>
      <c r="F2589" s="17">
        <v>150</v>
      </c>
      <c r="H2589" s="360">
        <v>6.8261569824830115E-3</v>
      </c>
      <c r="I2589" s="360">
        <v>0.24740898219505714</v>
      </c>
      <c r="K2589" s="363"/>
      <c r="N2589" s="10"/>
      <c r="O2589" s="4"/>
      <c r="P2589" s="4"/>
      <c r="Q2589" s="3"/>
      <c r="R2589" s="3"/>
      <c r="S2589" s="3"/>
      <c r="T2589" s="3"/>
    </row>
    <row r="2590" spans="1:20">
      <c r="A2590" s="3">
        <v>1</v>
      </c>
      <c r="B2590" s="3">
        <v>2</v>
      </c>
      <c r="C2590" s="2">
        <v>25</v>
      </c>
      <c r="D2590" s="2">
        <v>30</v>
      </c>
      <c r="E2590" s="2">
        <v>16</v>
      </c>
      <c r="F2590" s="17">
        <v>150</v>
      </c>
      <c r="H2590" s="360">
        <v>5.7645022896912201E-2</v>
      </c>
      <c r="I2590" s="360">
        <v>0.2472393162463076</v>
      </c>
      <c r="K2590" s="363"/>
      <c r="N2590" s="10"/>
      <c r="O2590" s="4"/>
      <c r="P2590" s="4"/>
      <c r="Q2590" s="3"/>
      <c r="R2590" s="3"/>
      <c r="S2590" s="3"/>
      <c r="T2590" s="3"/>
    </row>
    <row r="2591" spans="1:20">
      <c r="A2591" s="3">
        <v>4</v>
      </c>
      <c r="B2591" s="3">
        <v>2</v>
      </c>
      <c r="C2591" s="2">
        <v>50</v>
      </c>
      <c r="D2591" s="2">
        <v>5</v>
      </c>
      <c r="E2591" s="2">
        <v>16</v>
      </c>
      <c r="F2591" s="17">
        <v>150</v>
      </c>
      <c r="H2591" s="360">
        <v>0.2146554248777679</v>
      </c>
      <c r="I2591" s="360">
        <v>0.1803240889002754</v>
      </c>
      <c r="K2591" s="363"/>
      <c r="N2591" s="10"/>
      <c r="O2591" s="4"/>
      <c r="P2591" s="4"/>
      <c r="Q2591" s="3"/>
      <c r="R2591" s="3"/>
      <c r="S2591" s="3"/>
      <c r="T2591" s="3"/>
    </row>
    <row r="2592" spans="1:20">
      <c r="A2592" s="3">
        <v>1</v>
      </c>
      <c r="B2592" s="3">
        <v>2</v>
      </c>
      <c r="C2592" s="2">
        <v>25</v>
      </c>
      <c r="D2592" s="2">
        <v>5</v>
      </c>
      <c r="E2592" s="2">
        <v>16</v>
      </c>
      <c r="F2592" s="17">
        <v>150</v>
      </c>
      <c r="H2592" s="360">
        <v>1.3271934287747977E-2</v>
      </c>
      <c r="I2592" s="360">
        <v>5.8522545570834666E-2</v>
      </c>
      <c r="K2592" s="363"/>
      <c r="N2592" s="10"/>
      <c r="O2592" s="4"/>
      <c r="P2592" s="4"/>
      <c r="Q2592" s="3"/>
      <c r="R2592" s="3"/>
      <c r="S2592" s="3"/>
      <c r="T2592" s="3"/>
    </row>
    <row r="2593" spans="1:20">
      <c r="A2593" s="3">
        <v>3</v>
      </c>
      <c r="B2593" s="3">
        <v>2</v>
      </c>
      <c r="C2593" s="2">
        <v>25</v>
      </c>
      <c r="D2593" s="2">
        <v>5</v>
      </c>
      <c r="E2593" s="2">
        <v>16</v>
      </c>
      <c r="F2593" s="17">
        <v>150</v>
      </c>
      <c r="H2593" s="360">
        <v>4.5379277524960404E-2</v>
      </c>
      <c r="I2593" s="360">
        <v>1.539430230914531E-2</v>
      </c>
      <c r="K2593" s="363"/>
      <c r="N2593" s="10"/>
      <c r="O2593" s="4"/>
      <c r="P2593" s="4"/>
      <c r="Q2593" s="3"/>
      <c r="R2593" s="3"/>
      <c r="S2593" s="3"/>
      <c r="T2593" s="3"/>
    </row>
    <row r="2594" spans="1:20">
      <c r="A2594" s="3">
        <v>1</v>
      </c>
      <c r="B2594" s="3">
        <v>1</v>
      </c>
      <c r="C2594" s="2">
        <v>25</v>
      </c>
      <c r="D2594" s="2">
        <v>5</v>
      </c>
      <c r="E2594" s="2">
        <v>1</v>
      </c>
      <c r="F2594" s="17">
        <v>150</v>
      </c>
      <c r="H2594" s="360">
        <v>0</v>
      </c>
      <c r="I2594" s="360">
        <v>0</v>
      </c>
      <c r="K2594" s="363"/>
      <c r="N2594" s="10"/>
      <c r="O2594" s="4"/>
      <c r="P2594" s="4"/>
      <c r="Q2594" s="3"/>
      <c r="R2594" s="3"/>
      <c r="S2594" s="3"/>
      <c r="T2594" s="3"/>
    </row>
    <row r="2595" spans="1:20">
      <c r="A2595" s="3">
        <v>1</v>
      </c>
      <c r="B2595" s="3">
        <v>1</v>
      </c>
      <c r="C2595" s="2">
        <v>25</v>
      </c>
      <c r="D2595" s="2">
        <v>5</v>
      </c>
      <c r="E2595" s="2">
        <v>16</v>
      </c>
      <c r="F2595" s="17">
        <v>150</v>
      </c>
      <c r="H2595" s="360">
        <v>0</v>
      </c>
      <c r="I2595" s="360">
        <v>0</v>
      </c>
      <c r="K2595" s="363"/>
      <c r="N2595" s="10"/>
      <c r="O2595" s="4"/>
      <c r="P2595" s="4"/>
      <c r="Q2595" s="3"/>
      <c r="R2595" s="3"/>
      <c r="S2595" s="3"/>
      <c r="T2595" s="3"/>
    </row>
    <row r="2596" spans="1:20">
      <c r="A2596" s="3">
        <v>1</v>
      </c>
      <c r="B2596" s="3">
        <v>2</v>
      </c>
      <c r="C2596" s="2">
        <v>25</v>
      </c>
      <c r="D2596" s="2">
        <v>5</v>
      </c>
      <c r="E2596" s="2">
        <v>1</v>
      </c>
      <c r="F2596" s="17">
        <v>150</v>
      </c>
      <c r="H2596" s="360">
        <v>0</v>
      </c>
      <c r="I2596" s="360">
        <v>0</v>
      </c>
      <c r="K2596" s="363"/>
      <c r="N2596" s="10"/>
      <c r="O2596" s="4"/>
      <c r="P2596" s="4"/>
      <c r="Q2596" s="3"/>
      <c r="R2596" s="3"/>
      <c r="S2596" s="3"/>
      <c r="T2596" s="3"/>
    </row>
    <row r="2597" spans="1:20">
      <c r="A2597" s="3">
        <v>1</v>
      </c>
      <c r="B2597" s="3">
        <v>2</v>
      </c>
      <c r="C2597" s="2">
        <v>25</v>
      </c>
      <c r="D2597" s="2">
        <v>5</v>
      </c>
      <c r="E2597" s="2">
        <v>16</v>
      </c>
      <c r="F2597" s="17">
        <v>150</v>
      </c>
      <c r="H2597" s="360">
        <v>0</v>
      </c>
      <c r="I2597" s="360">
        <v>0</v>
      </c>
      <c r="K2597" s="363"/>
      <c r="N2597" s="10"/>
      <c r="O2597" s="4"/>
      <c r="P2597" s="4"/>
      <c r="Q2597" s="3"/>
      <c r="R2597" s="3"/>
      <c r="S2597" s="3"/>
      <c r="T2597" s="3"/>
    </row>
    <row r="2598" spans="1:20">
      <c r="A2598" s="3">
        <v>2</v>
      </c>
      <c r="B2598" s="3">
        <v>2</v>
      </c>
      <c r="C2598" s="2">
        <v>25</v>
      </c>
      <c r="D2598" s="2">
        <v>5</v>
      </c>
      <c r="E2598" s="2">
        <v>1</v>
      </c>
      <c r="F2598" s="17">
        <v>150</v>
      </c>
      <c r="H2598" s="360">
        <v>0</v>
      </c>
      <c r="I2598" s="360">
        <v>0</v>
      </c>
      <c r="K2598" s="363"/>
      <c r="N2598" s="10"/>
      <c r="O2598" s="4"/>
      <c r="P2598" s="4"/>
      <c r="Q2598" s="3"/>
      <c r="R2598" s="3"/>
      <c r="S2598" s="3"/>
      <c r="T2598" s="3"/>
    </row>
    <row r="2599" spans="1:20">
      <c r="A2599" s="3">
        <v>2</v>
      </c>
      <c r="B2599" s="3">
        <v>2</v>
      </c>
      <c r="C2599" s="2">
        <v>25</v>
      </c>
      <c r="D2599" s="2">
        <v>5</v>
      </c>
      <c r="E2599" s="2">
        <v>16</v>
      </c>
      <c r="F2599" s="17">
        <v>150</v>
      </c>
      <c r="H2599" s="360">
        <v>0</v>
      </c>
      <c r="I2599" s="360">
        <v>0</v>
      </c>
      <c r="K2599" s="363"/>
      <c r="N2599" s="10"/>
      <c r="O2599" s="4"/>
      <c r="P2599" s="4"/>
      <c r="Q2599" s="3"/>
      <c r="R2599" s="3"/>
      <c r="S2599" s="3"/>
      <c r="T2599" s="3"/>
    </row>
    <row r="2600" spans="1:20">
      <c r="A2600" s="3">
        <v>2</v>
      </c>
      <c r="B2600" s="3">
        <v>1</v>
      </c>
      <c r="C2600" s="2">
        <v>25</v>
      </c>
      <c r="D2600" s="2">
        <v>5</v>
      </c>
      <c r="E2600" s="2">
        <v>1</v>
      </c>
      <c r="F2600" s="17">
        <v>150</v>
      </c>
      <c r="H2600" s="360">
        <v>0</v>
      </c>
      <c r="I2600" s="360">
        <v>0</v>
      </c>
      <c r="K2600" s="363"/>
      <c r="N2600" s="10"/>
      <c r="O2600" s="4"/>
      <c r="P2600" s="4"/>
      <c r="Q2600" s="3"/>
      <c r="R2600" s="3"/>
      <c r="S2600" s="3"/>
      <c r="T2600" s="3"/>
    </row>
    <row r="2601" spans="1:20">
      <c r="A2601" s="3">
        <v>2</v>
      </c>
      <c r="B2601" s="3">
        <v>1</v>
      </c>
      <c r="C2601" s="2">
        <v>25</v>
      </c>
      <c r="D2601" s="2">
        <v>5</v>
      </c>
      <c r="E2601" s="2">
        <v>16</v>
      </c>
      <c r="F2601" s="17">
        <v>150</v>
      </c>
      <c r="H2601" s="360">
        <v>0</v>
      </c>
      <c r="I2601" s="360">
        <v>0</v>
      </c>
      <c r="K2601" s="363"/>
      <c r="N2601" s="10"/>
      <c r="O2601" s="4"/>
      <c r="P2601" s="4"/>
      <c r="Q2601" s="3"/>
      <c r="R2601" s="3"/>
      <c r="S2601" s="3"/>
      <c r="T2601" s="3"/>
    </row>
    <row r="2602" spans="1:20">
      <c r="A2602" s="3">
        <v>3</v>
      </c>
      <c r="B2602" s="3">
        <v>2</v>
      </c>
      <c r="C2602" s="2">
        <v>25</v>
      </c>
      <c r="D2602" s="2">
        <v>5</v>
      </c>
      <c r="E2602" s="2">
        <v>1</v>
      </c>
      <c r="F2602" s="17">
        <v>150</v>
      </c>
      <c r="H2602" s="360">
        <v>2.403330539798354E-2</v>
      </c>
      <c r="I2602" s="360">
        <v>-1.1709763305961771E-2</v>
      </c>
      <c r="K2602" s="363"/>
      <c r="N2602" s="10"/>
      <c r="O2602" s="4"/>
      <c r="P2602" s="4"/>
      <c r="Q2602" s="3"/>
      <c r="R2602" s="3"/>
      <c r="S2602" s="3"/>
      <c r="T2602" s="3"/>
    </row>
    <row r="2603" spans="1:20">
      <c r="A2603" s="3">
        <v>3</v>
      </c>
      <c r="B2603" s="3">
        <v>1</v>
      </c>
      <c r="C2603" s="2">
        <v>25</v>
      </c>
      <c r="D2603" s="2">
        <v>5</v>
      </c>
      <c r="E2603" s="2">
        <v>16</v>
      </c>
      <c r="F2603" s="17">
        <v>150</v>
      </c>
      <c r="H2603" s="360">
        <v>3.027350192360545E-2</v>
      </c>
      <c r="I2603" s="360">
        <v>-0.10255967878540735</v>
      </c>
      <c r="K2603" s="363"/>
      <c r="N2603" s="10"/>
      <c r="O2603" s="4"/>
      <c r="P2603" s="4"/>
      <c r="Q2603" s="3"/>
      <c r="R2603" s="3"/>
      <c r="S2603" s="3"/>
      <c r="T2603" s="3"/>
    </row>
    <row r="2604" spans="1:20">
      <c r="A2604" s="3">
        <v>5</v>
      </c>
      <c r="B2604" s="3">
        <v>2</v>
      </c>
      <c r="C2604" s="2">
        <v>25</v>
      </c>
      <c r="D2604" s="2">
        <v>5</v>
      </c>
      <c r="E2604" s="2">
        <v>16</v>
      </c>
      <c r="F2604" s="17">
        <v>150</v>
      </c>
      <c r="H2604" s="360">
        <v>1.1165643269401948E-2</v>
      </c>
      <c r="I2604" s="360">
        <v>-0.12964805935040261</v>
      </c>
      <c r="K2604" s="363"/>
      <c r="N2604" s="10"/>
      <c r="O2604" s="4"/>
      <c r="P2604" s="4"/>
      <c r="Q2604" s="3"/>
      <c r="R2604" s="3"/>
      <c r="S2604" s="3"/>
      <c r="T2604" s="3"/>
    </row>
    <row r="2605" spans="1:20">
      <c r="A2605" s="3">
        <v>5</v>
      </c>
      <c r="B2605" s="3">
        <v>2</v>
      </c>
      <c r="C2605" s="2">
        <v>50</v>
      </c>
      <c r="D2605" s="2">
        <v>5</v>
      </c>
      <c r="E2605" s="2">
        <v>16</v>
      </c>
      <c r="F2605" s="17">
        <v>150</v>
      </c>
      <c r="H2605" s="360">
        <v>0.3050308871733276</v>
      </c>
      <c r="I2605" s="360">
        <v>-0.1458320094384104</v>
      </c>
      <c r="K2605" s="363"/>
      <c r="N2605" s="10"/>
      <c r="O2605" s="4"/>
      <c r="P2605" s="4"/>
      <c r="Q2605" s="3"/>
      <c r="R2605" s="3"/>
      <c r="S2605" s="3"/>
      <c r="T2605" s="3"/>
    </row>
    <row r="2606" spans="1:20">
      <c r="A2606" s="3">
        <v>1</v>
      </c>
      <c r="B2606" s="3">
        <v>2</v>
      </c>
      <c r="C2606" s="2">
        <v>25</v>
      </c>
      <c r="D2606" s="2">
        <v>30</v>
      </c>
      <c r="E2606" s="2">
        <v>16</v>
      </c>
      <c r="F2606" s="17">
        <v>151</v>
      </c>
      <c r="H2606" s="360">
        <v>1.8164066511556665E-2</v>
      </c>
      <c r="I2606" s="360">
        <v>1</v>
      </c>
      <c r="K2606" s="363"/>
      <c r="N2606" s="10"/>
      <c r="O2606" s="4"/>
      <c r="P2606" s="4"/>
      <c r="Q2606" s="3"/>
      <c r="R2606" s="3"/>
      <c r="S2606" s="3"/>
      <c r="T2606" s="3"/>
    </row>
    <row r="2607" spans="1:20">
      <c r="A2607" s="3">
        <v>2</v>
      </c>
      <c r="B2607" s="3">
        <v>2</v>
      </c>
      <c r="C2607" s="2">
        <v>25</v>
      </c>
      <c r="D2607" s="2">
        <v>5</v>
      </c>
      <c r="E2607" s="2">
        <v>16</v>
      </c>
      <c r="F2607" s="17">
        <v>151</v>
      </c>
      <c r="H2607" s="360">
        <v>5.7822488462901944E-2</v>
      </c>
      <c r="I2607" s="360">
        <v>1</v>
      </c>
      <c r="K2607" s="363"/>
      <c r="N2607" s="10"/>
      <c r="O2607" s="4"/>
      <c r="P2607" s="4"/>
      <c r="Q2607" s="3"/>
      <c r="R2607" s="3"/>
      <c r="S2607" s="3"/>
      <c r="T2607" s="3"/>
    </row>
    <row r="2608" spans="1:20">
      <c r="A2608" s="3">
        <v>2</v>
      </c>
      <c r="B2608" s="3">
        <v>1</v>
      </c>
      <c r="C2608" s="2">
        <v>25</v>
      </c>
      <c r="D2608" s="2">
        <v>5</v>
      </c>
      <c r="E2608" s="2">
        <v>16</v>
      </c>
      <c r="F2608" s="17">
        <v>151</v>
      </c>
      <c r="H2608" s="360">
        <v>3.5737382505426241E-2</v>
      </c>
      <c r="I2608" s="360">
        <v>1</v>
      </c>
      <c r="K2608" s="363"/>
      <c r="N2608" s="10"/>
      <c r="O2608" s="4"/>
      <c r="P2608" s="4"/>
      <c r="Q2608" s="3"/>
      <c r="R2608" s="3"/>
      <c r="S2608" s="3"/>
      <c r="T2608" s="3"/>
    </row>
    <row r="2609" spans="1:20">
      <c r="A2609" s="3">
        <v>1</v>
      </c>
      <c r="B2609" s="3">
        <v>1</v>
      </c>
      <c r="C2609" s="2">
        <v>25</v>
      </c>
      <c r="D2609" s="2">
        <v>30</v>
      </c>
      <c r="E2609" s="2">
        <v>16</v>
      </c>
      <c r="F2609" s="17">
        <v>151</v>
      </c>
      <c r="H2609" s="360">
        <v>2.1732707756396907E-2</v>
      </c>
      <c r="I2609" s="360">
        <v>0.69545154911008567</v>
      </c>
      <c r="K2609" s="363"/>
      <c r="N2609" s="10"/>
      <c r="O2609" s="4"/>
      <c r="P2609" s="4"/>
      <c r="Q2609" s="3"/>
      <c r="R2609" s="3"/>
      <c r="S2609" s="3"/>
      <c r="T2609" s="3"/>
    </row>
    <row r="2610" spans="1:20">
      <c r="A2610" s="3">
        <v>1</v>
      </c>
      <c r="B2610" s="3">
        <v>1</v>
      </c>
      <c r="C2610" s="2">
        <v>25</v>
      </c>
      <c r="D2610" s="2">
        <v>5</v>
      </c>
      <c r="E2610" s="2">
        <v>1</v>
      </c>
      <c r="F2610" s="17">
        <v>151</v>
      </c>
      <c r="H2610" s="360">
        <v>0</v>
      </c>
      <c r="I2610" s="360">
        <v>0</v>
      </c>
      <c r="K2610" s="363"/>
      <c r="N2610" s="10"/>
      <c r="O2610" s="4"/>
      <c r="P2610" s="4"/>
      <c r="Q2610" s="3"/>
      <c r="R2610" s="3"/>
      <c r="S2610" s="3"/>
      <c r="T2610" s="3"/>
    </row>
    <row r="2611" spans="1:20">
      <c r="A2611" s="3">
        <v>1</v>
      </c>
      <c r="B2611" s="3">
        <v>1</v>
      </c>
      <c r="C2611" s="2">
        <v>25</v>
      </c>
      <c r="D2611" s="2">
        <v>5</v>
      </c>
      <c r="E2611" s="2">
        <v>16</v>
      </c>
      <c r="F2611" s="17">
        <v>151</v>
      </c>
      <c r="H2611" s="360">
        <v>0</v>
      </c>
      <c r="I2611" s="360">
        <v>0</v>
      </c>
      <c r="K2611" s="363"/>
      <c r="N2611" s="10"/>
      <c r="O2611" s="4"/>
      <c r="P2611" s="4"/>
      <c r="Q2611" s="3"/>
      <c r="R2611" s="3"/>
      <c r="S2611" s="3"/>
      <c r="T2611" s="3"/>
    </row>
    <row r="2612" spans="1:20">
      <c r="A2612" s="3">
        <v>1</v>
      </c>
      <c r="B2612" s="3">
        <v>2</v>
      </c>
      <c r="C2612" s="2">
        <v>25</v>
      </c>
      <c r="D2612" s="2">
        <v>5</v>
      </c>
      <c r="E2612" s="2">
        <v>1</v>
      </c>
      <c r="F2612" s="17">
        <v>151</v>
      </c>
      <c r="H2612" s="360">
        <v>0</v>
      </c>
      <c r="I2612" s="360">
        <v>0</v>
      </c>
      <c r="K2612" s="363"/>
      <c r="N2612" s="10"/>
      <c r="O2612" s="4"/>
      <c r="P2612" s="4"/>
      <c r="Q2612" s="3"/>
      <c r="R2612" s="3"/>
      <c r="S2612" s="3"/>
      <c r="T2612" s="3"/>
    </row>
    <row r="2613" spans="1:20">
      <c r="A2613" s="3">
        <v>1</v>
      </c>
      <c r="B2613" s="3">
        <v>2</v>
      </c>
      <c r="C2613" s="2">
        <v>25</v>
      </c>
      <c r="D2613" s="2">
        <v>5</v>
      </c>
      <c r="E2613" s="2">
        <v>16</v>
      </c>
      <c r="F2613" s="17">
        <v>151</v>
      </c>
      <c r="H2613" s="360">
        <v>0</v>
      </c>
      <c r="I2613" s="360">
        <v>0</v>
      </c>
      <c r="K2613" s="363"/>
      <c r="N2613" s="10"/>
      <c r="O2613" s="4"/>
      <c r="P2613" s="4"/>
      <c r="Q2613" s="3"/>
      <c r="R2613" s="3"/>
      <c r="S2613" s="3"/>
      <c r="T2613" s="3"/>
    </row>
    <row r="2614" spans="1:20">
      <c r="A2614" s="3">
        <v>1</v>
      </c>
      <c r="B2614" s="3">
        <v>2</v>
      </c>
      <c r="C2614" s="2">
        <v>25</v>
      </c>
      <c r="D2614" s="2">
        <v>5</v>
      </c>
      <c r="E2614" s="2">
        <v>16</v>
      </c>
      <c r="F2614" s="17">
        <v>151</v>
      </c>
      <c r="H2614" s="360">
        <v>0</v>
      </c>
      <c r="I2614" s="360">
        <v>0</v>
      </c>
      <c r="K2614" s="363"/>
      <c r="N2614" s="10"/>
      <c r="O2614" s="4"/>
      <c r="P2614" s="4"/>
      <c r="Q2614" s="3"/>
      <c r="R2614" s="3"/>
      <c r="S2614" s="3"/>
      <c r="T2614" s="3"/>
    </row>
    <row r="2615" spans="1:20">
      <c r="A2615" s="3">
        <v>2</v>
      </c>
      <c r="B2615" s="3">
        <v>2</v>
      </c>
      <c r="C2615" s="2">
        <v>25</v>
      </c>
      <c r="D2615" s="2">
        <v>5</v>
      </c>
      <c r="E2615" s="2">
        <v>1</v>
      </c>
      <c r="F2615" s="17">
        <v>151</v>
      </c>
      <c r="H2615" s="360">
        <v>0</v>
      </c>
      <c r="I2615" s="360">
        <v>0</v>
      </c>
      <c r="K2615" s="363"/>
      <c r="N2615" s="10"/>
      <c r="O2615" s="4"/>
      <c r="P2615" s="4"/>
      <c r="Q2615" s="3"/>
      <c r="R2615" s="3"/>
      <c r="S2615" s="3"/>
      <c r="T2615" s="3"/>
    </row>
    <row r="2616" spans="1:20">
      <c r="A2616" s="3">
        <v>3</v>
      </c>
      <c r="B2616" s="3">
        <v>2</v>
      </c>
      <c r="C2616" s="2">
        <v>25</v>
      </c>
      <c r="D2616" s="2">
        <v>5</v>
      </c>
      <c r="E2616" s="2">
        <v>1</v>
      </c>
      <c r="F2616" s="17">
        <v>151</v>
      </c>
      <c r="H2616" s="360">
        <v>0</v>
      </c>
      <c r="I2616" s="360">
        <v>0</v>
      </c>
      <c r="K2616" s="363"/>
      <c r="N2616" s="10"/>
      <c r="O2616" s="4"/>
      <c r="P2616" s="4"/>
      <c r="Q2616" s="3"/>
      <c r="R2616" s="3"/>
      <c r="S2616" s="3"/>
      <c r="T2616" s="3"/>
    </row>
    <row r="2617" spans="1:20">
      <c r="A2617" s="3">
        <v>2</v>
      </c>
      <c r="B2617" s="3">
        <v>1</v>
      </c>
      <c r="C2617" s="2">
        <v>25</v>
      </c>
      <c r="D2617" s="2">
        <v>5</v>
      </c>
      <c r="E2617" s="2">
        <v>1</v>
      </c>
      <c r="F2617" s="17">
        <v>151</v>
      </c>
      <c r="H2617" s="360">
        <v>0</v>
      </c>
      <c r="I2617" s="360">
        <v>0</v>
      </c>
      <c r="K2617" s="363"/>
      <c r="N2617" s="10"/>
      <c r="O2617" s="4"/>
      <c r="P2617" s="4"/>
      <c r="Q2617" s="3"/>
      <c r="R2617" s="3"/>
      <c r="S2617" s="3"/>
      <c r="T2617" s="3"/>
    </row>
    <row r="2618" spans="1:20">
      <c r="A2618" s="3">
        <v>3</v>
      </c>
      <c r="B2618" s="3">
        <v>1</v>
      </c>
      <c r="C2618" s="2">
        <v>25</v>
      </c>
      <c r="D2618" s="2">
        <v>5</v>
      </c>
      <c r="E2618" s="2">
        <v>1</v>
      </c>
      <c r="F2618" s="17">
        <v>151</v>
      </c>
      <c r="H2618" s="360">
        <v>0</v>
      </c>
      <c r="I2618" s="360">
        <v>0</v>
      </c>
      <c r="K2618" s="363"/>
      <c r="N2618" s="10"/>
      <c r="O2618" s="4"/>
      <c r="P2618" s="4"/>
      <c r="Q2618" s="3"/>
      <c r="R2618" s="3"/>
      <c r="S2618" s="3"/>
      <c r="T2618" s="3"/>
    </row>
    <row r="2619" spans="1:20">
      <c r="A2619" s="3">
        <v>5</v>
      </c>
      <c r="B2619" s="3">
        <v>2</v>
      </c>
      <c r="C2619" s="2">
        <v>50</v>
      </c>
      <c r="D2619" s="2">
        <v>5</v>
      </c>
      <c r="E2619" s="2">
        <v>16</v>
      </c>
      <c r="F2619" s="17">
        <v>151</v>
      </c>
      <c r="H2619" s="360">
        <v>0.31034086306632402</v>
      </c>
      <c r="I2619" s="360">
        <v>-2.0746325338406008E-2</v>
      </c>
      <c r="K2619" s="363"/>
      <c r="N2619" s="10"/>
      <c r="O2619" s="4"/>
      <c r="P2619" s="4"/>
      <c r="Q2619" s="3"/>
      <c r="R2619" s="3"/>
      <c r="S2619" s="3"/>
      <c r="T2619" s="3"/>
    </row>
    <row r="2620" spans="1:20">
      <c r="A2620" s="3">
        <v>5</v>
      </c>
      <c r="B2620" s="3">
        <v>2</v>
      </c>
      <c r="C2620" s="2">
        <v>25</v>
      </c>
      <c r="D2620" s="2">
        <v>5</v>
      </c>
      <c r="E2620" s="2">
        <v>16</v>
      </c>
      <c r="F2620" s="17">
        <v>151</v>
      </c>
      <c r="H2620" s="360">
        <v>3.9404572828389162E-2</v>
      </c>
      <c r="I2620" s="360">
        <v>-5.7285486203228791E-2</v>
      </c>
      <c r="K2620" s="363"/>
      <c r="N2620" s="10"/>
      <c r="O2620" s="4"/>
      <c r="P2620" s="4"/>
      <c r="Q2620" s="3"/>
      <c r="R2620" s="3"/>
      <c r="S2620" s="3"/>
      <c r="T2620" s="3"/>
    </row>
    <row r="2621" spans="1:20">
      <c r="A2621" s="3">
        <v>3</v>
      </c>
      <c r="B2621" s="3">
        <v>2</v>
      </c>
      <c r="C2621" s="2">
        <v>25</v>
      </c>
      <c r="D2621" s="2">
        <v>5</v>
      </c>
      <c r="E2621" s="2">
        <v>16</v>
      </c>
      <c r="F2621" s="17">
        <v>151</v>
      </c>
      <c r="H2621" s="360">
        <v>4.3178398847404376E-2</v>
      </c>
      <c r="I2621" s="360">
        <v>-0.10894600743263294</v>
      </c>
      <c r="K2621" s="363"/>
      <c r="N2621" s="10"/>
      <c r="O2621" s="4"/>
      <c r="P2621" s="4"/>
      <c r="Q2621" s="3"/>
      <c r="R2621" s="3"/>
      <c r="S2621" s="3"/>
      <c r="T2621" s="3"/>
    </row>
    <row r="2622" spans="1:20">
      <c r="A2622" s="3">
        <v>3</v>
      </c>
      <c r="B2622" s="3">
        <v>1</v>
      </c>
      <c r="C2622" s="2">
        <v>25</v>
      </c>
      <c r="D2622" s="2">
        <v>5</v>
      </c>
      <c r="E2622" s="2">
        <v>16</v>
      </c>
      <c r="F2622" s="17">
        <v>151</v>
      </c>
      <c r="H2622" s="360">
        <v>2.0714944285383341E-2</v>
      </c>
      <c r="I2622" s="360">
        <v>-0.12926091316608243</v>
      </c>
      <c r="K2622" s="363"/>
      <c r="N2622" s="10"/>
      <c r="O2622" s="4"/>
      <c r="P2622" s="4"/>
      <c r="Q2622" s="3"/>
      <c r="R2622" s="3"/>
      <c r="S2622" s="3"/>
      <c r="T2622" s="3"/>
    </row>
    <row r="2623" spans="1:20">
      <c r="A2623" s="3">
        <v>4</v>
      </c>
      <c r="B2623" s="3">
        <v>2</v>
      </c>
      <c r="C2623" s="2">
        <v>50</v>
      </c>
      <c r="D2623" s="2">
        <v>5</v>
      </c>
      <c r="E2623" s="2">
        <v>16</v>
      </c>
      <c r="F2623" s="17">
        <v>151</v>
      </c>
      <c r="H2623" s="360">
        <v>0.55714544698084811</v>
      </c>
      <c r="I2623" s="360">
        <v>-0.26522515862748719</v>
      </c>
      <c r="K2623" s="363"/>
      <c r="N2623" s="10"/>
      <c r="O2623" s="4"/>
      <c r="P2623" s="4"/>
      <c r="Q2623" s="3"/>
      <c r="R2623" s="3"/>
      <c r="S2623" s="3"/>
      <c r="T2623" s="3"/>
    </row>
    <row r="2624" spans="1:20">
      <c r="A2624" s="3">
        <v>1</v>
      </c>
      <c r="B2624" s="3">
        <v>2</v>
      </c>
      <c r="C2624" s="2">
        <v>25</v>
      </c>
      <c r="D2624" s="2">
        <v>5</v>
      </c>
      <c r="E2624" s="2">
        <v>16</v>
      </c>
      <c r="F2624" s="17">
        <v>152</v>
      </c>
      <c r="H2624" s="360">
        <v>4.8652470284467064E-2</v>
      </c>
      <c r="I2624" s="360">
        <v>1</v>
      </c>
      <c r="K2624" s="363"/>
      <c r="N2624" s="10"/>
      <c r="O2624" s="4"/>
      <c r="P2624" s="4"/>
      <c r="Q2624" s="3"/>
      <c r="R2624" s="3"/>
      <c r="S2624" s="3"/>
      <c r="T2624" s="3"/>
    </row>
    <row r="2625" spans="1:20">
      <c r="A2625" s="3">
        <v>1</v>
      </c>
      <c r="B2625" s="3">
        <v>2</v>
      </c>
      <c r="C2625" s="2">
        <v>25</v>
      </c>
      <c r="D2625" s="2">
        <v>5</v>
      </c>
      <c r="E2625" s="2">
        <v>16</v>
      </c>
      <c r="F2625" s="17">
        <v>152</v>
      </c>
      <c r="H2625" s="360">
        <v>4.4302868482444691E-2</v>
      </c>
      <c r="I2625" s="360">
        <v>1</v>
      </c>
      <c r="K2625" s="363"/>
      <c r="N2625" s="10"/>
      <c r="O2625" s="4"/>
      <c r="P2625" s="4"/>
      <c r="Q2625" s="3"/>
      <c r="R2625" s="3"/>
      <c r="S2625" s="3"/>
      <c r="T2625" s="3"/>
    </row>
    <row r="2626" spans="1:20">
      <c r="A2626" s="3">
        <v>1</v>
      </c>
      <c r="B2626" s="3">
        <v>1</v>
      </c>
      <c r="C2626" s="2">
        <v>25</v>
      </c>
      <c r="D2626" s="2">
        <v>5</v>
      </c>
      <c r="E2626" s="2">
        <v>16</v>
      </c>
      <c r="F2626" s="17">
        <v>152</v>
      </c>
      <c r="H2626" s="360">
        <v>4.8480129596317534E-2</v>
      </c>
      <c r="I2626" s="360">
        <v>1</v>
      </c>
      <c r="K2626" s="363"/>
      <c r="N2626" s="10"/>
      <c r="O2626" s="4"/>
      <c r="P2626" s="4"/>
      <c r="Q2626" s="3"/>
      <c r="R2626" s="3"/>
      <c r="S2626" s="3"/>
      <c r="T2626" s="3"/>
    </row>
    <row r="2627" spans="1:20">
      <c r="A2627" s="3">
        <v>1</v>
      </c>
      <c r="B2627" s="3">
        <v>2</v>
      </c>
      <c r="C2627" s="2">
        <v>25</v>
      </c>
      <c r="D2627" s="2">
        <v>30</v>
      </c>
      <c r="E2627" s="2">
        <v>16</v>
      </c>
      <c r="F2627" s="17">
        <v>152</v>
      </c>
      <c r="H2627" s="360">
        <v>0.20759823432069657</v>
      </c>
      <c r="I2627" s="360">
        <v>0.94696976487777773</v>
      </c>
      <c r="K2627" s="363"/>
      <c r="N2627" s="10"/>
      <c r="O2627" s="4"/>
      <c r="P2627" s="4"/>
      <c r="Q2627" s="3"/>
      <c r="R2627" s="3"/>
      <c r="S2627" s="3"/>
      <c r="T2627" s="3"/>
    </row>
    <row r="2628" spans="1:20">
      <c r="A2628" s="3">
        <v>1</v>
      </c>
      <c r="B2628" s="3">
        <v>1</v>
      </c>
      <c r="C2628" s="2">
        <v>25</v>
      </c>
      <c r="D2628" s="2">
        <v>30</v>
      </c>
      <c r="E2628" s="2">
        <v>16</v>
      </c>
      <c r="F2628" s="17">
        <v>152</v>
      </c>
      <c r="H2628" s="360">
        <v>0.21723790258600495</v>
      </c>
      <c r="I2628" s="360">
        <v>0.89390385036439268</v>
      </c>
      <c r="K2628" s="363"/>
      <c r="N2628" s="10"/>
      <c r="O2628" s="4"/>
      <c r="P2628" s="4"/>
      <c r="Q2628" s="3"/>
      <c r="R2628" s="3"/>
      <c r="S2628" s="3"/>
      <c r="T2628" s="3"/>
    </row>
    <row r="2629" spans="1:20">
      <c r="A2629" s="3">
        <v>3</v>
      </c>
      <c r="B2629" s="3">
        <v>1</v>
      </c>
      <c r="C2629" s="2">
        <v>25</v>
      </c>
      <c r="D2629" s="2">
        <v>5</v>
      </c>
      <c r="E2629" s="2">
        <v>16</v>
      </c>
      <c r="F2629" s="17">
        <v>152</v>
      </c>
      <c r="H2629" s="360">
        <v>0.21591649542739477</v>
      </c>
      <c r="I2629" s="360">
        <v>0.76509452736318406</v>
      </c>
      <c r="K2629" s="363"/>
      <c r="N2629" s="10"/>
      <c r="O2629" s="4"/>
      <c r="P2629" s="4"/>
      <c r="Q2629" s="3"/>
      <c r="R2629" s="3"/>
      <c r="S2629" s="3"/>
      <c r="T2629" s="3"/>
    </row>
    <row r="2630" spans="1:20">
      <c r="A2630" s="3">
        <v>3</v>
      </c>
      <c r="B2630" s="3">
        <v>2</v>
      </c>
      <c r="C2630" s="2">
        <v>25</v>
      </c>
      <c r="D2630" s="2">
        <v>5</v>
      </c>
      <c r="E2630" s="2">
        <v>16</v>
      </c>
      <c r="F2630" s="17">
        <v>152</v>
      </c>
      <c r="H2630" s="360">
        <v>8.2284472523006191E-2</v>
      </c>
      <c r="I2630" s="360">
        <v>0.71166827386692377</v>
      </c>
      <c r="K2630" s="363"/>
      <c r="N2630" s="10"/>
      <c r="O2630" s="4"/>
      <c r="P2630" s="4"/>
      <c r="Q2630" s="3"/>
      <c r="R2630" s="3"/>
      <c r="S2630" s="3"/>
      <c r="T2630" s="3"/>
    </row>
    <row r="2631" spans="1:20">
      <c r="A2631" s="3">
        <v>4</v>
      </c>
      <c r="B2631" s="3">
        <v>2</v>
      </c>
      <c r="C2631" s="2">
        <v>50</v>
      </c>
      <c r="D2631" s="2">
        <v>5</v>
      </c>
      <c r="E2631" s="2">
        <v>16</v>
      </c>
      <c r="F2631" s="17">
        <v>152</v>
      </c>
      <c r="H2631" s="360">
        <v>0.34825067599832815</v>
      </c>
      <c r="I2631" s="360">
        <v>0.25517491829076383</v>
      </c>
      <c r="K2631" s="363"/>
      <c r="N2631" s="10"/>
      <c r="O2631" s="4"/>
      <c r="P2631" s="4"/>
      <c r="Q2631" s="3"/>
      <c r="R2631" s="3"/>
      <c r="S2631" s="3"/>
      <c r="T2631" s="3"/>
    </row>
    <row r="2632" spans="1:20">
      <c r="A2632" s="3">
        <v>1</v>
      </c>
      <c r="B2632" s="3">
        <v>1</v>
      </c>
      <c r="C2632" s="2">
        <v>25</v>
      </c>
      <c r="D2632" s="2">
        <v>5</v>
      </c>
      <c r="E2632" s="2">
        <v>1</v>
      </c>
      <c r="F2632" s="17">
        <v>152</v>
      </c>
      <c r="H2632" s="360">
        <v>0</v>
      </c>
      <c r="I2632" s="360">
        <v>0</v>
      </c>
      <c r="K2632" s="363"/>
      <c r="N2632" s="10"/>
      <c r="O2632" s="4"/>
      <c r="P2632" s="4"/>
      <c r="Q2632" s="3"/>
      <c r="R2632" s="3"/>
      <c r="S2632" s="3"/>
      <c r="T2632" s="3"/>
    </row>
    <row r="2633" spans="1:20">
      <c r="A2633" s="3">
        <v>1</v>
      </c>
      <c r="B2633" s="3">
        <v>2</v>
      </c>
      <c r="C2633" s="2">
        <v>25</v>
      </c>
      <c r="D2633" s="2">
        <v>5</v>
      </c>
      <c r="E2633" s="2">
        <v>1</v>
      </c>
      <c r="F2633" s="17">
        <v>152</v>
      </c>
      <c r="H2633" s="360">
        <v>0</v>
      </c>
      <c r="I2633" s="360">
        <v>0</v>
      </c>
      <c r="K2633" s="363"/>
      <c r="N2633" s="10"/>
      <c r="O2633" s="4"/>
      <c r="P2633" s="4"/>
      <c r="Q2633" s="3"/>
      <c r="R2633" s="3"/>
      <c r="S2633" s="3"/>
      <c r="T2633" s="3"/>
    </row>
    <row r="2634" spans="1:20">
      <c r="A2634" s="3">
        <v>2</v>
      </c>
      <c r="B2634" s="3">
        <v>2</v>
      </c>
      <c r="C2634" s="2">
        <v>25</v>
      </c>
      <c r="D2634" s="2">
        <v>5</v>
      </c>
      <c r="E2634" s="2">
        <v>1</v>
      </c>
      <c r="F2634" s="17">
        <v>152</v>
      </c>
      <c r="H2634" s="360">
        <v>0</v>
      </c>
      <c r="I2634" s="360">
        <v>0</v>
      </c>
      <c r="K2634" s="363"/>
      <c r="N2634" s="10"/>
      <c r="O2634" s="4"/>
      <c r="P2634" s="4"/>
      <c r="Q2634" s="3"/>
      <c r="R2634" s="3"/>
      <c r="S2634" s="3"/>
      <c r="T2634" s="3"/>
    </row>
    <row r="2635" spans="1:20">
      <c r="A2635" s="3">
        <v>2</v>
      </c>
      <c r="B2635" s="3">
        <v>2</v>
      </c>
      <c r="C2635" s="2">
        <v>25</v>
      </c>
      <c r="D2635" s="2">
        <v>5</v>
      </c>
      <c r="E2635" s="2">
        <v>16</v>
      </c>
      <c r="F2635" s="17">
        <v>152</v>
      </c>
      <c r="H2635" s="360">
        <v>0</v>
      </c>
      <c r="I2635" s="360">
        <v>0</v>
      </c>
      <c r="K2635" s="363"/>
      <c r="N2635" s="10"/>
      <c r="O2635" s="4"/>
      <c r="P2635" s="4"/>
      <c r="Q2635" s="3"/>
      <c r="R2635" s="3"/>
      <c r="S2635" s="3"/>
      <c r="T2635" s="3"/>
    </row>
    <row r="2636" spans="1:20">
      <c r="A2636" s="3">
        <v>3</v>
      </c>
      <c r="B2636" s="3">
        <v>2</v>
      </c>
      <c r="C2636" s="2">
        <v>25</v>
      </c>
      <c r="D2636" s="2">
        <v>5</v>
      </c>
      <c r="E2636" s="2">
        <v>1</v>
      </c>
      <c r="F2636" s="17">
        <v>152</v>
      </c>
      <c r="H2636" s="360">
        <v>0</v>
      </c>
      <c r="I2636" s="360">
        <v>0</v>
      </c>
      <c r="K2636" s="363"/>
      <c r="N2636" s="10"/>
      <c r="O2636" s="4"/>
      <c r="P2636" s="4"/>
      <c r="Q2636" s="3"/>
      <c r="R2636" s="3"/>
      <c r="S2636" s="3"/>
      <c r="T2636" s="3"/>
    </row>
    <row r="2637" spans="1:20">
      <c r="A2637" s="3">
        <v>5</v>
      </c>
      <c r="B2637" s="3">
        <v>2</v>
      </c>
      <c r="C2637" s="2">
        <v>25</v>
      </c>
      <c r="D2637" s="2">
        <v>5</v>
      </c>
      <c r="E2637" s="2">
        <v>16</v>
      </c>
      <c r="F2637" s="17">
        <v>152</v>
      </c>
      <c r="H2637" s="360">
        <v>0</v>
      </c>
      <c r="I2637" s="360">
        <v>0</v>
      </c>
      <c r="K2637" s="363"/>
      <c r="N2637" s="10"/>
      <c r="O2637" s="4"/>
      <c r="P2637" s="4"/>
      <c r="Q2637" s="3"/>
      <c r="R2637" s="3"/>
      <c r="S2637" s="3"/>
      <c r="T2637" s="3"/>
    </row>
    <row r="2638" spans="1:20">
      <c r="A2638" s="3">
        <v>2</v>
      </c>
      <c r="B2638" s="3">
        <v>1</v>
      </c>
      <c r="C2638" s="2">
        <v>25</v>
      </c>
      <c r="D2638" s="2">
        <v>5</v>
      </c>
      <c r="E2638" s="2">
        <v>1</v>
      </c>
      <c r="F2638" s="17">
        <v>152</v>
      </c>
      <c r="H2638" s="360">
        <v>0</v>
      </c>
      <c r="I2638" s="360">
        <v>0</v>
      </c>
      <c r="K2638" s="363"/>
      <c r="N2638" s="10"/>
      <c r="O2638" s="4"/>
      <c r="P2638" s="4"/>
      <c r="Q2638" s="3"/>
      <c r="R2638" s="3"/>
      <c r="S2638" s="3"/>
      <c r="T2638" s="3"/>
    </row>
    <row r="2639" spans="1:20">
      <c r="A2639" s="3">
        <v>2</v>
      </c>
      <c r="B2639" s="3">
        <v>1</v>
      </c>
      <c r="C2639" s="2">
        <v>25</v>
      </c>
      <c r="D2639" s="2">
        <v>5</v>
      </c>
      <c r="E2639" s="2">
        <v>16</v>
      </c>
      <c r="F2639" s="17">
        <v>152</v>
      </c>
      <c r="H2639" s="360">
        <v>0</v>
      </c>
      <c r="I2639" s="360">
        <v>0</v>
      </c>
      <c r="K2639" s="363"/>
      <c r="N2639" s="10"/>
      <c r="O2639" s="4"/>
      <c r="P2639" s="4"/>
      <c r="Q2639" s="3"/>
      <c r="R2639" s="3"/>
      <c r="S2639" s="3"/>
      <c r="T2639" s="3"/>
    </row>
    <row r="2640" spans="1:20">
      <c r="A2640" s="3">
        <v>3</v>
      </c>
      <c r="B2640" s="3">
        <v>1</v>
      </c>
      <c r="C2640" s="2">
        <v>25</v>
      </c>
      <c r="D2640" s="2">
        <v>5</v>
      </c>
      <c r="E2640" s="2">
        <v>1</v>
      </c>
      <c r="F2640" s="17">
        <v>152</v>
      </c>
      <c r="H2640" s="360">
        <v>0</v>
      </c>
      <c r="I2640" s="360">
        <v>0</v>
      </c>
      <c r="K2640" s="363"/>
      <c r="N2640" s="10"/>
      <c r="O2640" s="4"/>
      <c r="P2640" s="4"/>
      <c r="Q2640" s="3"/>
      <c r="R2640" s="3"/>
      <c r="S2640" s="3"/>
      <c r="T2640" s="3"/>
    </row>
    <row r="2641" spans="1:20">
      <c r="A2641" s="3">
        <v>5</v>
      </c>
      <c r="B2641" s="3">
        <v>2</v>
      </c>
      <c r="C2641" s="2">
        <v>50</v>
      </c>
      <c r="D2641" s="2">
        <v>5</v>
      </c>
      <c r="E2641" s="2">
        <v>16</v>
      </c>
      <c r="F2641" s="17">
        <v>152</v>
      </c>
      <c r="H2641" s="360">
        <v>7.8766711947744206E-3</v>
      </c>
      <c r="I2641" s="360">
        <v>-0.13514833353680869</v>
      </c>
      <c r="K2641" s="363"/>
      <c r="N2641" s="10"/>
      <c r="O2641" s="4"/>
      <c r="P2641" s="4"/>
      <c r="Q2641" s="3"/>
      <c r="R2641" s="3"/>
      <c r="S2641" s="3"/>
      <c r="T2641" s="3"/>
    </row>
    <row r="2642" spans="1:20">
      <c r="A2642" s="3">
        <v>2</v>
      </c>
      <c r="B2642" s="3">
        <v>2</v>
      </c>
      <c r="C2642" s="2">
        <v>25</v>
      </c>
      <c r="D2642" s="2">
        <v>5</v>
      </c>
      <c r="E2642" s="2">
        <v>16</v>
      </c>
      <c r="F2642" s="17">
        <v>153</v>
      </c>
      <c r="H2642" s="360">
        <v>1</v>
      </c>
      <c r="I2642" s="360">
        <v>0.98887370262687035</v>
      </c>
      <c r="K2642" s="363"/>
      <c r="N2642" s="10"/>
      <c r="O2642" s="4"/>
      <c r="P2642" s="4"/>
      <c r="Q2642" s="3"/>
      <c r="R2642" s="3"/>
      <c r="S2642" s="3"/>
      <c r="T2642" s="3"/>
    </row>
    <row r="2643" spans="1:20">
      <c r="A2643" s="3">
        <v>2</v>
      </c>
      <c r="B2643" s="3">
        <v>1</v>
      </c>
      <c r="C2643" s="2">
        <v>25</v>
      </c>
      <c r="D2643" s="2">
        <v>5</v>
      </c>
      <c r="E2643" s="2">
        <v>1</v>
      </c>
      <c r="F2643" s="17">
        <v>153</v>
      </c>
      <c r="H2643" s="360">
        <v>0.99743980621682637</v>
      </c>
      <c r="I2643" s="360">
        <v>0.97333079340889606</v>
      </c>
      <c r="K2643" s="363"/>
      <c r="N2643" s="10"/>
      <c r="O2643" s="4"/>
      <c r="P2643" s="4"/>
      <c r="Q2643" s="3"/>
      <c r="R2643" s="3"/>
      <c r="S2643" s="3"/>
      <c r="T2643" s="3"/>
    </row>
    <row r="2644" spans="1:20">
      <c r="A2644" s="3">
        <v>2</v>
      </c>
      <c r="B2644" s="3">
        <v>1</v>
      </c>
      <c r="C2644" s="2">
        <v>25</v>
      </c>
      <c r="D2644" s="2">
        <v>5</v>
      </c>
      <c r="E2644" s="2">
        <v>16</v>
      </c>
      <c r="F2644" s="17">
        <v>153</v>
      </c>
      <c r="H2644" s="360">
        <v>1</v>
      </c>
      <c r="I2644" s="360">
        <v>0.9697338928989333</v>
      </c>
      <c r="K2644" s="363"/>
      <c r="N2644" s="10"/>
      <c r="O2644" s="4"/>
      <c r="P2644" s="4"/>
      <c r="Q2644" s="3"/>
      <c r="R2644" s="3"/>
      <c r="S2644" s="3"/>
      <c r="T2644" s="3"/>
    </row>
    <row r="2645" spans="1:20">
      <c r="A2645" s="3">
        <v>1</v>
      </c>
      <c r="B2645" s="3">
        <v>1</v>
      </c>
      <c r="C2645" s="2">
        <v>25</v>
      </c>
      <c r="D2645" s="2">
        <v>5</v>
      </c>
      <c r="E2645" s="2">
        <v>1</v>
      </c>
      <c r="F2645" s="17">
        <v>153</v>
      </c>
      <c r="H2645" s="360">
        <v>1</v>
      </c>
      <c r="I2645" s="360">
        <v>0.96029529909890343</v>
      </c>
      <c r="K2645" s="363"/>
      <c r="N2645" s="10"/>
      <c r="O2645" s="4"/>
      <c r="P2645" s="4"/>
      <c r="Q2645" s="3"/>
      <c r="R2645" s="3"/>
      <c r="S2645" s="3"/>
      <c r="T2645" s="3"/>
    </row>
    <row r="2646" spans="1:20">
      <c r="A2646" s="3">
        <v>1</v>
      </c>
      <c r="B2646" s="3">
        <v>1</v>
      </c>
      <c r="C2646" s="2">
        <v>25</v>
      </c>
      <c r="D2646" s="2">
        <v>5</v>
      </c>
      <c r="E2646" s="2">
        <v>16</v>
      </c>
      <c r="F2646" s="17">
        <v>153</v>
      </c>
      <c r="H2646" s="360">
        <v>1</v>
      </c>
      <c r="I2646" s="360">
        <v>0.95825116073645789</v>
      </c>
      <c r="K2646" s="363"/>
      <c r="N2646" s="10"/>
      <c r="O2646" s="4"/>
      <c r="P2646" s="4"/>
      <c r="Q2646" s="3"/>
      <c r="R2646" s="3"/>
      <c r="S2646" s="3"/>
      <c r="T2646" s="3"/>
    </row>
    <row r="2647" spans="1:20">
      <c r="A2647" s="3">
        <v>1</v>
      </c>
      <c r="B2647" s="3">
        <v>1</v>
      </c>
      <c r="C2647" s="2">
        <v>25</v>
      </c>
      <c r="D2647" s="2">
        <v>30</v>
      </c>
      <c r="E2647" s="2">
        <v>16</v>
      </c>
      <c r="F2647" s="17">
        <v>153</v>
      </c>
      <c r="H2647" s="360">
        <v>1</v>
      </c>
      <c r="I2647" s="360">
        <v>0.95798203903906776</v>
      </c>
      <c r="K2647" s="363"/>
      <c r="N2647" s="10"/>
      <c r="O2647" s="4"/>
      <c r="P2647" s="4"/>
      <c r="Q2647" s="3"/>
      <c r="R2647" s="3"/>
      <c r="S2647" s="3"/>
      <c r="T2647" s="3"/>
    </row>
    <row r="2648" spans="1:20">
      <c r="A2648" s="3">
        <v>1</v>
      </c>
      <c r="B2648" s="3">
        <v>2</v>
      </c>
      <c r="C2648" s="2">
        <v>25</v>
      </c>
      <c r="D2648" s="2">
        <v>5</v>
      </c>
      <c r="E2648" s="2">
        <v>1</v>
      </c>
      <c r="F2648" s="17">
        <v>153</v>
      </c>
      <c r="H2648" s="360">
        <v>0.72005697619209119</v>
      </c>
      <c r="I2648" s="360">
        <v>0.95545758837456118</v>
      </c>
      <c r="K2648" s="363"/>
      <c r="N2648" s="10"/>
      <c r="O2648" s="4"/>
      <c r="P2648" s="4"/>
      <c r="Q2648" s="3"/>
      <c r="R2648" s="3"/>
      <c r="S2648" s="3"/>
      <c r="T2648" s="3"/>
    </row>
    <row r="2649" spans="1:20">
      <c r="A2649" s="3">
        <v>2</v>
      </c>
      <c r="B2649" s="3">
        <v>2</v>
      </c>
      <c r="C2649" s="2">
        <v>25</v>
      </c>
      <c r="D2649" s="2">
        <v>5</v>
      </c>
      <c r="E2649" s="2">
        <v>1</v>
      </c>
      <c r="F2649" s="17">
        <v>153</v>
      </c>
      <c r="H2649" s="360">
        <v>1</v>
      </c>
      <c r="I2649" s="360">
        <v>0.9510089712312646</v>
      </c>
      <c r="K2649" s="363"/>
      <c r="N2649" s="10"/>
      <c r="O2649" s="4"/>
      <c r="P2649" s="4"/>
      <c r="Q2649" s="3"/>
      <c r="R2649" s="3"/>
      <c r="S2649" s="3"/>
      <c r="T2649" s="3"/>
    </row>
    <row r="2650" spans="1:20">
      <c r="A2650" s="3">
        <v>1</v>
      </c>
      <c r="B2650" s="3">
        <v>2</v>
      </c>
      <c r="C2650" s="2">
        <v>25</v>
      </c>
      <c r="D2650" s="2">
        <v>5</v>
      </c>
      <c r="E2650" s="2">
        <v>16</v>
      </c>
      <c r="F2650" s="17">
        <v>153</v>
      </c>
      <c r="H2650" s="360">
        <v>1</v>
      </c>
      <c r="I2650" s="360">
        <v>0.95020548573270458</v>
      </c>
      <c r="K2650" s="363"/>
      <c r="N2650" s="10"/>
      <c r="O2650" s="4"/>
      <c r="P2650" s="4"/>
      <c r="Q2650" s="3"/>
      <c r="R2650" s="3"/>
      <c r="S2650" s="3"/>
      <c r="T2650" s="3"/>
    </row>
    <row r="2651" spans="1:20">
      <c r="A2651" s="3">
        <v>1</v>
      </c>
      <c r="B2651" s="3">
        <v>2</v>
      </c>
      <c r="C2651" s="2">
        <v>25</v>
      </c>
      <c r="D2651" s="2">
        <v>30</v>
      </c>
      <c r="E2651" s="2">
        <v>16</v>
      </c>
      <c r="F2651" s="17">
        <v>153</v>
      </c>
      <c r="H2651" s="360">
        <v>1</v>
      </c>
      <c r="I2651" s="360">
        <v>0.94545969685645093</v>
      </c>
      <c r="K2651" s="363"/>
      <c r="N2651" s="10"/>
      <c r="O2651" s="4"/>
      <c r="P2651" s="4"/>
      <c r="Q2651" s="3"/>
      <c r="R2651" s="3"/>
      <c r="S2651" s="3"/>
      <c r="T2651" s="3"/>
    </row>
    <row r="2652" spans="1:20">
      <c r="A2652" s="3">
        <v>1</v>
      </c>
      <c r="B2652" s="3">
        <v>2</v>
      </c>
      <c r="C2652" s="2">
        <v>25</v>
      </c>
      <c r="D2652" s="2">
        <v>5</v>
      </c>
      <c r="E2652" s="2">
        <v>16</v>
      </c>
      <c r="F2652" s="17">
        <v>153</v>
      </c>
      <c r="H2652" s="360">
        <v>1</v>
      </c>
      <c r="I2652" s="360">
        <v>0.94150018282620351</v>
      </c>
      <c r="K2652" s="363"/>
      <c r="N2652" s="10"/>
      <c r="O2652" s="4"/>
      <c r="P2652" s="4"/>
      <c r="Q2652" s="3"/>
      <c r="R2652" s="3"/>
      <c r="S2652" s="3"/>
      <c r="T2652" s="3"/>
    </row>
    <row r="2653" spans="1:20">
      <c r="A2653" s="3">
        <v>3</v>
      </c>
      <c r="B2653" s="3">
        <v>2</v>
      </c>
      <c r="C2653" s="2">
        <v>25</v>
      </c>
      <c r="D2653" s="2">
        <v>5</v>
      </c>
      <c r="E2653" s="2">
        <v>1</v>
      </c>
      <c r="F2653" s="17">
        <v>153</v>
      </c>
      <c r="H2653" s="360">
        <v>0.97678127181843155</v>
      </c>
      <c r="I2653" s="360">
        <v>0.93839216369664225</v>
      </c>
      <c r="K2653" s="363"/>
      <c r="N2653" s="10"/>
      <c r="O2653" s="4"/>
      <c r="P2653" s="4"/>
      <c r="Q2653" s="3"/>
      <c r="R2653" s="3"/>
      <c r="S2653" s="3"/>
      <c r="T2653" s="3"/>
    </row>
    <row r="2654" spans="1:20">
      <c r="A2654" s="3">
        <v>3</v>
      </c>
      <c r="B2654" s="3">
        <v>1</v>
      </c>
      <c r="C2654" s="2">
        <v>25</v>
      </c>
      <c r="D2654" s="2">
        <v>5</v>
      </c>
      <c r="E2654" s="2">
        <v>1</v>
      </c>
      <c r="F2654" s="17">
        <v>153</v>
      </c>
      <c r="H2654" s="360">
        <v>0.96601099439247406</v>
      </c>
      <c r="I2654" s="360">
        <v>0.93061147150433354</v>
      </c>
      <c r="K2654" s="363"/>
      <c r="N2654" s="10"/>
      <c r="O2654" s="4"/>
      <c r="P2654" s="4"/>
      <c r="Q2654" s="3"/>
      <c r="R2654" s="3"/>
      <c r="S2654" s="3"/>
      <c r="T2654" s="3"/>
    </row>
    <row r="2655" spans="1:20">
      <c r="A2655" s="3">
        <v>3</v>
      </c>
      <c r="B2655" s="3">
        <v>2</v>
      </c>
      <c r="C2655" s="2">
        <v>25</v>
      </c>
      <c r="D2655" s="2">
        <v>5</v>
      </c>
      <c r="E2655" s="2">
        <v>16</v>
      </c>
      <c r="F2655" s="17">
        <v>153</v>
      </c>
      <c r="H2655" s="360">
        <v>0.98182684617267191</v>
      </c>
      <c r="I2655" s="360">
        <v>0.92566295328241177</v>
      </c>
      <c r="K2655" s="363"/>
      <c r="N2655" s="10"/>
      <c r="O2655" s="4"/>
      <c r="P2655" s="4"/>
      <c r="Q2655" s="3"/>
      <c r="R2655" s="3"/>
      <c r="S2655" s="3"/>
      <c r="T2655" s="3"/>
    </row>
    <row r="2656" spans="1:20">
      <c r="A2656" s="3">
        <v>3</v>
      </c>
      <c r="B2656" s="3">
        <v>1</v>
      </c>
      <c r="C2656" s="2">
        <v>25</v>
      </c>
      <c r="D2656" s="2">
        <v>5</v>
      </c>
      <c r="E2656" s="2">
        <v>16</v>
      </c>
      <c r="F2656" s="17">
        <v>153</v>
      </c>
      <c r="H2656" s="360">
        <v>0.95562860351385037</v>
      </c>
      <c r="I2656" s="360">
        <v>0.90786449485360243</v>
      </c>
      <c r="K2656" s="363"/>
      <c r="N2656" s="10"/>
      <c r="O2656" s="4"/>
      <c r="P2656" s="4"/>
      <c r="Q2656" s="3"/>
      <c r="R2656" s="3"/>
      <c r="S2656" s="3"/>
      <c r="T2656" s="3"/>
    </row>
    <row r="2657" spans="1:20">
      <c r="A2657" s="3">
        <v>4</v>
      </c>
      <c r="B2657" s="3">
        <v>2</v>
      </c>
      <c r="C2657" s="2">
        <v>50</v>
      </c>
      <c r="D2657" s="2">
        <v>5</v>
      </c>
      <c r="E2657" s="2">
        <v>16</v>
      </c>
      <c r="F2657" s="17">
        <v>153</v>
      </c>
      <c r="H2657" s="360">
        <v>0.90530985248080964</v>
      </c>
      <c r="I2657" s="360">
        <v>0.32003487062755021</v>
      </c>
      <c r="K2657" s="363"/>
      <c r="N2657" s="10"/>
      <c r="O2657" s="4"/>
      <c r="P2657" s="4"/>
      <c r="Q2657" s="3"/>
      <c r="R2657" s="3"/>
      <c r="S2657" s="3"/>
      <c r="T2657" s="3"/>
    </row>
    <row r="2658" spans="1:20">
      <c r="A2658" s="3">
        <v>5</v>
      </c>
      <c r="B2658" s="3">
        <v>2</v>
      </c>
      <c r="C2658" s="2">
        <v>50</v>
      </c>
      <c r="D2658" s="2">
        <v>5</v>
      </c>
      <c r="E2658" s="2">
        <v>16</v>
      </c>
      <c r="F2658" s="17">
        <v>153</v>
      </c>
      <c r="H2658" s="360">
        <v>1</v>
      </c>
      <c r="I2658" s="360">
        <v>-0.12136726584544168</v>
      </c>
      <c r="K2658" s="363"/>
      <c r="N2658" s="10"/>
      <c r="O2658" s="4"/>
      <c r="P2658" s="4"/>
      <c r="Q2658" s="3"/>
      <c r="R2658" s="3"/>
      <c r="S2658" s="3"/>
      <c r="T2658" s="3"/>
    </row>
    <row r="2659" spans="1:20">
      <c r="A2659" s="3">
        <v>5</v>
      </c>
      <c r="B2659" s="3">
        <v>2</v>
      </c>
      <c r="C2659" s="2">
        <v>25</v>
      </c>
      <c r="D2659" s="2">
        <v>5</v>
      </c>
      <c r="E2659" s="2">
        <v>16</v>
      </c>
      <c r="F2659" s="17">
        <v>153</v>
      </c>
      <c r="H2659" s="360">
        <v>0.45865240959247855</v>
      </c>
      <c r="I2659" s="360">
        <v>-0.16919704839631661</v>
      </c>
      <c r="K2659" s="363"/>
      <c r="N2659" s="10"/>
      <c r="O2659" s="4"/>
      <c r="P2659" s="4"/>
      <c r="Q2659" s="3"/>
      <c r="R2659" s="3"/>
      <c r="S2659" s="3"/>
      <c r="T2659" s="3"/>
    </row>
    <row r="2660" spans="1:20">
      <c r="A2660" s="3">
        <v>3</v>
      </c>
      <c r="B2660" s="3">
        <v>1</v>
      </c>
      <c r="C2660" s="2">
        <v>25</v>
      </c>
      <c r="D2660" s="2">
        <v>5</v>
      </c>
      <c r="E2660" s="2">
        <v>1</v>
      </c>
      <c r="F2660" s="17">
        <v>154</v>
      </c>
      <c r="H2660" s="360">
        <v>1.5238101591750652E-2</v>
      </c>
      <c r="I2660" s="360">
        <v>0.60590195145168968</v>
      </c>
      <c r="K2660" s="363"/>
      <c r="N2660" s="10"/>
      <c r="O2660" s="4"/>
      <c r="P2660" s="4"/>
      <c r="Q2660" s="3"/>
      <c r="R2660" s="3"/>
      <c r="S2660" s="3"/>
      <c r="T2660" s="3"/>
    </row>
    <row r="2661" spans="1:20">
      <c r="A2661" s="3">
        <v>2</v>
      </c>
      <c r="B2661" s="3">
        <v>1</v>
      </c>
      <c r="C2661" s="2">
        <v>25</v>
      </c>
      <c r="D2661" s="2">
        <v>5</v>
      </c>
      <c r="E2661" s="2">
        <v>16</v>
      </c>
      <c r="F2661" s="17">
        <v>154</v>
      </c>
      <c r="H2661" s="360">
        <v>3.4613943587914586E-2</v>
      </c>
      <c r="I2661" s="360">
        <v>0.16698538029732898</v>
      </c>
      <c r="K2661" s="363"/>
      <c r="N2661" s="10"/>
      <c r="O2661" s="4"/>
      <c r="P2661" s="4"/>
      <c r="Q2661" s="3"/>
      <c r="R2661" s="3"/>
      <c r="S2661" s="3"/>
      <c r="T2661" s="3"/>
    </row>
    <row r="2662" spans="1:20">
      <c r="A2662" s="3">
        <v>4</v>
      </c>
      <c r="B2662" s="3">
        <v>2</v>
      </c>
      <c r="C2662" s="2">
        <v>50</v>
      </c>
      <c r="D2662" s="2">
        <v>5</v>
      </c>
      <c r="E2662" s="2">
        <v>16</v>
      </c>
      <c r="F2662" s="17">
        <v>154</v>
      </c>
      <c r="H2662" s="360">
        <v>0.31787378703674896</v>
      </c>
      <c r="I2662" s="360">
        <v>5.9719418393683082E-2</v>
      </c>
      <c r="K2662" s="363"/>
      <c r="N2662" s="10"/>
      <c r="O2662" s="4"/>
      <c r="P2662" s="4"/>
      <c r="Q2662" s="3"/>
      <c r="R2662" s="3"/>
      <c r="S2662" s="3"/>
      <c r="T2662" s="3"/>
    </row>
    <row r="2663" spans="1:20">
      <c r="A2663" s="3">
        <v>1</v>
      </c>
      <c r="B2663" s="3">
        <v>1</v>
      </c>
      <c r="C2663" s="2">
        <v>25</v>
      </c>
      <c r="D2663" s="2">
        <v>5</v>
      </c>
      <c r="E2663" s="2">
        <v>1</v>
      </c>
      <c r="F2663" s="17">
        <v>154</v>
      </c>
      <c r="H2663" s="360">
        <v>0</v>
      </c>
      <c r="I2663" s="360">
        <v>0</v>
      </c>
      <c r="K2663" s="363"/>
      <c r="N2663" s="10"/>
      <c r="O2663" s="4"/>
      <c r="P2663" s="4"/>
      <c r="Q2663" s="3"/>
      <c r="R2663" s="3"/>
      <c r="S2663" s="3"/>
      <c r="T2663" s="3"/>
    </row>
    <row r="2664" spans="1:20">
      <c r="A2664" s="3">
        <v>1</v>
      </c>
      <c r="B2664" s="3">
        <v>2</v>
      </c>
      <c r="C2664" s="2">
        <v>25</v>
      </c>
      <c r="D2664" s="2">
        <v>5</v>
      </c>
      <c r="E2664" s="2">
        <v>1</v>
      </c>
      <c r="F2664" s="17">
        <v>154</v>
      </c>
      <c r="H2664" s="360">
        <v>0</v>
      </c>
      <c r="I2664" s="360">
        <v>0</v>
      </c>
      <c r="K2664" s="363"/>
      <c r="N2664" s="10"/>
      <c r="O2664" s="4"/>
      <c r="P2664" s="4"/>
      <c r="Q2664" s="3"/>
      <c r="R2664" s="3"/>
      <c r="S2664" s="3"/>
      <c r="T2664" s="3"/>
    </row>
    <row r="2665" spans="1:20">
      <c r="A2665" s="3">
        <v>2</v>
      </c>
      <c r="B2665" s="3">
        <v>2</v>
      </c>
      <c r="C2665" s="2">
        <v>25</v>
      </c>
      <c r="D2665" s="2">
        <v>5</v>
      </c>
      <c r="E2665" s="2">
        <v>1</v>
      </c>
      <c r="F2665" s="17">
        <v>154</v>
      </c>
      <c r="H2665" s="360">
        <v>0</v>
      </c>
      <c r="I2665" s="360">
        <v>0</v>
      </c>
      <c r="K2665" s="363"/>
      <c r="N2665" s="10"/>
      <c r="O2665" s="4"/>
      <c r="P2665" s="4"/>
      <c r="Q2665" s="3"/>
      <c r="R2665" s="3"/>
      <c r="S2665" s="3"/>
      <c r="T2665" s="3"/>
    </row>
    <row r="2666" spans="1:20">
      <c r="A2666" s="3">
        <v>2</v>
      </c>
      <c r="B2666" s="3">
        <v>2</v>
      </c>
      <c r="C2666" s="2">
        <v>25</v>
      </c>
      <c r="D2666" s="2">
        <v>5</v>
      </c>
      <c r="E2666" s="2">
        <v>16</v>
      </c>
      <c r="F2666" s="17">
        <v>154</v>
      </c>
      <c r="H2666" s="360">
        <v>0</v>
      </c>
      <c r="I2666" s="360">
        <v>0</v>
      </c>
      <c r="K2666" s="363"/>
      <c r="N2666" s="10"/>
      <c r="O2666" s="4"/>
      <c r="P2666" s="4"/>
      <c r="Q2666" s="3"/>
      <c r="R2666" s="3"/>
      <c r="S2666" s="3"/>
      <c r="T2666" s="3"/>
    </row>
    <row r="2667" spans="1:20">
      <c r="A2667" s="3">
        <v>2</v>
      </c>
      <c r="B2667" s="3">
        <v>1</v>
      </c>
      <c r="C2667" s="2">
        <v>25</v>
      </c>
      <c r="D2667" s="2">
        <v>5</v>
      </c>
      <c r="E2667" s="2">
        <v>1</v>
      </c>
      <c r="F2667" s="17">
        <v>154</v>
      </c>
      <c r="H2667" s="360">
        <v>0</v>
      </c>
      <c r="I2667" s="360">
        <v>0</v>
      </c>
      <c r="K2667" s="363"/>
      <c r="N2667" s="10"/>
      <c r="O2667" s="4"/>
      <c r="P2667" s="4"/>
      <c r="Q2667" s="3"/>
      <c r="R2667" s="3"/>
      <c r="S2667" s="3"/>
      <c r="T2667" s="3"/>
    </row>
    <row r="2668" spans="1:20">
      <c r="A2668" s="3">
        <v>5</v>
      </c>
      <c r="B2668" s="3">
        <v>2</v>
      </c>
      <c r="C2668" s="2">
        <v>50</v>
      </c>
      <c r="D2668" s="2">
        <v>5</v>
      </c>
      <c r="E2668" s="2">
        <v>16</v>
      </c>
      <c r="F2668" s="17">
        <v>154</v>
      </c>
      <c r="H2668" s="360">
        <v>0.30192087772877263</v>
      </c>
      <c r="I2668" s="360">
        <v>-3.6305429373285789E-4</v>
      </c>
      <c r="K2668" s="363"/>
      <c r="N2668" s="10"/>
      <c r="O2668" s="4"/>
      <c r="P2668" s="4"/>
      <c r="Q2668" s="3"/>
      <c r="R2668" s="3"/>
      <c r="S2668" s="3"/>
      <c r="T2668" s="3"/>
    </row>
    <row r="2669" spans="1:20">
      <c r="A2669" s="3">
        <v>5</v>
      </c>
      <c r="B2669" s="3">
        <v>2</v>
      </c>
      <c r="C2669" s="2">
        <v>25</v>
      </c>
      <c r="D2669" s="2">
        <v>5</v>
      </c>
      <c r="E2669" s="2">
        <v>16</v>
      </c>
      <c r="F2669" s="17">
        <v>154</v>
      </c>
      <c r="H2669" s="360">
        <v>0.42011616132085838</v>
      </c>
      <c r="I2669" s="360">
        <v>-1.5187803298533204E-3</v>
      </c>
      <c r="K2669" s="363"/>
      <c r="N2669" s="10"/>
      <c r="O2669" s="4"/>
      <c r="P2669" s="4"/>
      <c r="Q2669" s="3"/>
      <c r="R2669" s="3"/>
      <c r="S2669" s="3"/>
      <c r="T2669" s="3"/>
    </row>
    <row r="2670" spans="1:20">
      <c r="A2670" s="3">
        <v>3</v>
      </c>
      <c r="B2670" s="3">
        <v>1</v>
      </c>
      <c r="C2670" s="2">
        <v>25</v>
      </c>
      <c r="D2670" s="2">
        <v>5</v>
      </c>
      <c r="E2670" s="2">
        <v>16</v>
      </c>
      <c r="F2670" s="17">
        <v>154</v>
      </c>
      <c r="H2670" s="360">
        <v>3.6842219826618283E-2</v>
      </c>
      <c r="I2670" s="360">
        <v>-7.3560804044647501E-2</v>
      </c>
      <c r="K2670" s="363"/>
      <c r="N2670" s="10"/>
      <c r="O2670" s="4"/>
      <c r="P2670" s="4"/>
      <c r="Q2670" s="3"/>
      <c r="R2670" s="3"/>
      <c r="S2670" s="3"/>
      <c r="T2670" s="3"/>
    </row>
    <row r="2671" spans="1:20">
      <c r="A2671" s="3">
        <v>3</v>
      </c>
      <c r="B2671" s="3">
        <v>2</v>
      </c>
      <c r="C2671" s="2">
        <v>25</v>
      </c>
      <c r="D2671" s="2">
        <v>5</v>
      </c>
      <c r="E2671" s="2">
        <v>16</v>
      </c>
      <c r="F2671" s="17">
        <v>154</v>
      </c>
      <c r="H2671" s="360">
        <v>6.6026675760059828E-2</v>
      </c>
      <c r="I2671" s="360">
        <v>-0.10901294369888027</v>
      </c>
      <c r="K2671" s="363"/>
      <c r="N2671" s="10"/>
      <c r="O2671" s="4"/>
      <c r="P2671" s="4"/>
      <c r="Q2671" s="3"/>
      <c r="R2671" s="3"/>
      <c r="S2671" s="3"/>
      <c r="T2671" s="3"/>
    </row>
    <row r="2672" spans="1:20">
      <c r="A2672" s="3">
        <v>3</v>
      </c>
      <c r="B2672" s="3">
        <v>2</v>
      </c>
      <c r="C2672" s="2">
        <v>25</v>
      </c>
      <c r="D2672" s="2">
        <v>5</v>
      </c>
      <c r="E2672" s="2">
        <v>1</v>
      </c>
      <c r="F2672" s="17">
        <v>154</v>
      </c>
      <c r="H2672" s="360">
        <v>3.043692398998088E-2</v>
      </c>
      <c r="I2672" s="360">
        <v>-0.18680395040974992</v>
      </c>
      <c r="K2672" s="363"/>
      <c r="N2672" s="10"/>
      <c r="O2672" s="4"/>
      <c r="P2672" s="4"/>
      <c r="Q2672" s="3"/>
      <c r="R2672" s="3"/>
      <c r="S2672" s="3"/>
      <c r="T2672" s="3"/>
    </row>
    <row r="2673" spans="1:20">
      <c r="A2673" s="3">
        <v>1</v>
      </c>
      <c r="B2673" s="3">
        <v>2</v>
      </c>
      <c r="C2673" s="2">
        <v>25</v>
      </c>
      <c r="D2673" s="2">
        <v>5</v>
      </c>
      <c r="E2673" s="2">
        <v>16</v>
      </c>
      <c r="F2673" s="17">
        <v>154</v>
      </c>
      <c r="H2673" s="360">
        <v>3.7091312737622895E-2</v>
      </c>
      <c r="I2673" s="360">
        <v>-0.20049759316350263</v>
      </c>
      <c r="K2673" s="363"/>
      <c r="N2673" s="10"/>
      <c r="O2673" s="4"/>
      <c r="P2673" s="4"/>
      <c r="Q2673" s="3"/>
      <c r="R2673" s="3"/>
      <c r="S2673" s="3"/>
      <c r="T2673" s="3"/>
    </row>
    <row r="2674" spans="1:20">
      <c r="A2674" s="3">
        <v>1</v>
      </c>
      <c r="B2674" s="3">
        <v>1</v>
      </c>
      <c r="C2674" s="2">
        <v>25</v>
      </c>
      <c r="D2674" s="2">
        <v>5</v>
      </c>
      <c r="E2674" s="2">
        <v>16</v>
      </c>
      <c r="F2674" s="17">
        <v>154</v>
      </c>
      <c r="H2674" s="360">
        <v>3.2503238018123159E-2</v>
      </c>
      <c r="I2674" s="360">
        <v>-0.32390381895332393</v>
      </c>
      <c r="K2674" s="363"/>
      <c r="N2674" s="10"/>
      <c r="O2674" s="4"/>
      <c r="P2674" s="4"/>
      <c r="Q2674" s="3"/>
      <c r="R2674" s="3"/>
      <c r="S2674" s="3"/>
      <c r="T2674" s="3"/>
    </row>
    <row r="2675" spans="1:20">
      <c r="A2675" s="3">
        <v>1</v>
      </c>
      <c r="B2675" s="3">
        <v>2</v>
      </c>
      <c r="C2675" s="2">
        <v>25</v>
      </c>
      <c r="D2675" s="2">
        <v>5</v>
      </c>
      <c r="E2675" s="2">
        <v>16</v>
      </c>
      <c r="F2675" s="17">
        <v>154</v>
      </c>
      <c r="H2675" s="360">
        <v>3.2729719369313459E-2</v>
      </c>
      <c r="I2675" s="360">
        <v>-0.38701982396972939</v>
      </c>
      <c r="K2675" s="363"/>
      <c r="N2675" s="10"/>
      <c r="O2675" s="4"/>
      <c r="P2675" s="4"/>
      <c r="Q2675" s="3"/>
      <c r="R2675" s="3"/>
      <c r="S2675" s="3"/>
      <c r="T2675" s="3"/>
    </row>
    <row r="2676" spans="1:20">
      <c r="A2676" s="3">
        <v>1</v>
      </c>
      <c r="B2676" s="3">
        <v>1</v>
      </c>
      <c r="C2676" s="2">
        <v>25</v>
      </c>
      <c r="D2676" s="2">
        <v>30</v>
      </c>
      <c r="E2676" s="2">
        <v>16</v>
      </c>
      <c r="F2676" s="17">
        <v>154</v>
      </c>
      <c r="H2676" s="360">
        <v>0.1306475981129166</v>
      </c>
      <c r="I2676" s="360">
        <v>-0.46112191762372928</v>
      </c>
      <c r="K2676" s="363"/>
      <c r="N2676" s="10"/>
      <c r="O2676" s="4"/>
      <c r="P2676" s="4"/>
      <c r="Q2676" s="3"/>
      <c r="R2676" s="3"/>
      <c r="S2676" s="3"/>
      <c r="T2676" s="3"/>
    </row>
    <row r="2677" spans="1:20">
      <c r="A2677" s="3">
        <v>1</v>
      </c>
      <c r="B2677" s="3">
        <v>2</v>
      </c>
      <c r="C2677" s="2">
        <v>25</v>
      </c>
      <c r="D2677" s="2">
        <v>30</v>
      </c>
      <c r="E2677" s="2">
        <v>16</v>
      </c>
      <c r="F2677" s="17">
        <v>154</v>
      </c>
      <c r="H2677" s="360">
        <v>0.11138210014236494</v>
      </c>
      <c r="I2677" s="360">
        <v>-0.46203361924916264</v>
      </c>
      <c r="K2677" s="363"/>
      <c r="N2677" s="10"/>
      <c r="O2677" s="4"/>
      <c r="P2677" s="4"/>
      <c r="Q2677" s="3"/>
      <c r="R2677" s="3"/>
      <c r="S2677" s="3"/>
      <c r="T2677" s="3"/>
    </row>
    <row r="2678" spans="1:20">
      <c r="A2678" s="3">
        <v>3</v>
      </c>
      <c r="B2678" s="3">
        <v>2</v>
      </c>
      <c r="C2678" s="2">
        <v>25</v>
      </c>
      <c r="D2678" s="2">
        <v>5</v>
      </c>
      <c r="E2678" s="2">
        <v>1</v>
      </c>
      <c r="F2678" s="17">
        <v>155</v>
      </c>
      <c r="H2678" s="360">
        <v>0.98546513897363519</v>
      </c>
      <c r="I2678" s="360">
        <v>0.68253236272604501</v>
      </c>
      <c r="K2678" s="363"/>
      <c r="N2678" s="10"/>
      <c r="O2678" s="4"/>
      <c r="P2678" s="4"/>
      <c r="Q2678" s="3"/>
      <c r="R2678" s="3"/>
      <c r="S2678" s="3"/>
      <c r="T2678" s="3"/>
    </row>
    <row r="2679" spans="1:20">
      <c r="A2679" s="3">
        <v>3</v>
      </c>
      <c r="B2679" s="3">
        <v>2</v>
      </c>
      <c r="C2679" s="2">
        <v>25</v>
      </c>
      <c r="D2679" s="2">
        <v>5</v>
      </c>
      <c r="E2679" s="2">
        <v>16</v>
      </c>
      <c r="F2679" s="17">
        <v>155</v>
      </c>
      <c r="H2679" s="360">
        <v>0.97531092929447094</v>
      </c>
      <c r="I2679" s="360">
        <v>0.55035622263647022</v>
      </c>
      <c r="K2679" s="363"/>
      <c r="N2679" s="10"/>
      <c r="O2679" s="4"/>
      <c r="P2679" s="4"/>
      <c r="Q2679" s="3"/>
      <c r="R2679" s="3"/>
      <c r="S2679" s="3"/>
      <c r="T2679" s="3"/>
    </row>
    <row r="2680" spans="1:20">
      <c r="A2680" s="3">
        <v>1</v>
      </c>
      <c r="B2680" s="3">
        <v>2</v>
      </c>
      <c r="C2680" s="2">
        <v>25</v>
      </c>
      <c r="D2680" s="2">
        <v>30</v>
      </c>
      <c r="E2680" s="2">
        <v>16</v>
      </c>
      <c r="F2680" s="17">
        <v>155</v>
      </c>
      <c r="H2680" s="360">
        <v>1</v>
      </c>
      <c r="I2680" s="360">
        <v>0.41731788029204481</v>
      </c>
      <c r="K2680" s="363"/>
      <c r="N2680" s="10"/>
      <c r="O2680" s="4"/>
      <c r="P2680" s="4"/>
      <c r="Q2680" s="3"/>
      <c r="R2680" s="3"/>
      <c r="S2680" s="3"/>
      <c r="T2680" s="3"/>
    </row>
    <row r="2681" spans="1:20">
      <c r="A2681" s="3">
        <v>1</v>
      </c>
      <c r="B2681" s="3">
        <v>2</v>
      </c>
      <c r="C2681" s="2">
        <v>25</v>
      </c>
      <c r="D2681" s="2">
        <v>5</v>
      </c>
      <c r="E2681" s="2">
        <v>1</v>
      </c>
      <c r="F2681" s="17">
        <v>155</v>
      </c>
      <c r="H2681" s="360">
        <v>0.96696691996464856</v>
      </c>
      <c r="I2681" s="360">
        <v>0.40364213738426774</v>
      </c>
      <c r="K2681" s="363"/>
      <c r="N2681" s="10"/>
      <c r="O2681" s="4"/>
      <c r="P2681" s="4"/>
      <c r="Q2681" s="3"/>
      <c r="R2681" s="3"/>
      <c r="S2681" s="3"/>
      <c r="T2681" s="3"/>
    </row>
    <row r="2682" spans="1:20">
      <c r="A2682" s="3">
        <v>1</v>
      </c>
      <c r="B2682" s="3">
        <v>2</v>
      </c>
      <c r="C2682" s="2">
        <v>25</v>
      </c>
      <c r="D2682" s="2">
        <v>5</v>
      </c>
      <c r="E2682" s="2">
        <v>16</v>
      </c>
      <c r="F2682" s="17">
        <v>155</v>
      </c>
      <c r="H2682" s="360">
        <v>1</v>
      </c>
      <c r="I2682" s="360">
        <v>0.40100555828450668</v>
      </c>
      <c r="K2682" s="363"/>
      <c r="N2682" s="10"/>
      <c r="O2682" s="4"/>
      <c r="P2682" s="4"/>
      <c r="Q2682" s="3"/>
      <c r="R2682" s="3"/>
      <c r="S2682" s="3"/>
      <c r="T2682" s="3"/>
    </row>
    <row r="2683" spans="1:20">
      <c r="A2683" s="3">
        <v>1</v>
      </c>
      <c r="B2683" s="3">
        <v>2</v>
      </c>
      <c r="C2683" s="2">
        <v>25</v>
      </c>
      <c r="D2683" s="2">
        <v>5</v>
      </c>
      <c r="E2683" s="2">
        <v>16</v>
      </c>
      <c r="F2683" s="17">
        <v>155</v>
      </c>
      <c r="H2683" s="360">
        <v>1</v>
      </c>
      <c r="I2683" s="360">
        <v>0.37876483078830525</v>
      </c>
      <c r="K2683" s="363"/>
      <c r="N2683" s="10"/>
      <c r="O2683" s="4"/>
      <c r="P2683" s="4"/>
      <c r="Q2683" s="3"/>
      <c r="R2683" s="3"/>
      <c r="S2683" s="3"/>
      <c r="T2683" s="3"/>
    </row>
    <row r="2684" spans="1:20">
      <c r="A2684" s="3">
        <v>1</v>
      </c>
      <c r="B2684" s="3">
        <v>1</v>
      </c>
      <c r="C2684" s="2">
        <v>25</v>
      </c>
      <c r="D2684" s="2">
        <v>30</v>
      </c>
      <c r="E2684" s="2">
        <v>16</v>
      </c>
      <c r="F2684" s="17">
        <v>155</v>
      </c>
      <c r="H2684" s="360">
        <v>1</v>
      </c>
      <c r="I2684" s="360">
        <v>0.17205662398558591</v>
      </c>
      <c r="K2684" s="363"/>
      <c r="N2684" s="10"/>
      <c r="O2684" s="4"/>
      <c r="P2684" s="4"/>
      <c r="Q2684" s="3"/>
      <c r="R2684" s="3"/>
      <c r="S2684" s="3"/>
      <c r="T2684" s="3"/>
    </row>
    <row r="2685" spans="1:20">
      <c r="A2685" s="3">
        <v>2</v>
      </c>
      <c r="B2685" s="3">
        <v>2</v>
      </c>
      <c r="C2685" s="2">
        <v>25</v>
      </c>
      <c r="D2685" s="2">
        <v>5</v>
      </c>
      <c r="E2685" s="2">
        <v>16</v>
      </c>
      <c r="F2685" s="17">
        <v>155</v>
      </c>
      <c r="H2685" s="360">
        <v>1</v>
      </c>
      <c r="I2685" s="360">
        <v>8.2730213868978095E-2</v>
      </c>
      <c r="K2685" s="363"/>
      <c r="N2685" s="10"/>
      <c r="O2685" s="4"/>
      <c r="P2685" s="4"/>
      <c r="Q2685" s="3"/>
      <c r="R2685" s="3"/>
      <c r="S2685" s="3"/>
      <c r="T2685" s="3"/>
    </row>
    <row r="2686" spans="1:20">
      <c r="A2686" s="3">
        <v>2</v>
      </c>
      <c r="B2686" s="3">
        <v>2</v>
      </c>
      <c r="C2686" s="2">
        <v>25</v>
      </c>
      <c r="D2686" s="2">
        <v>5</v>
      </c>
      <c r="E2686" s="2">
        <v>1</v>
      </c>
      <c r="F2686" s="17">
        <v>155</v>
      </c>
      <c r="H2686" s="360">
        <v>1</v>
      </c>
      <c r="I2686" s="360">
        <v>8.0382661583661988E-2</v>
      </c>
      <c r="K2686" s="363"/>
      <c r="N2686" s="10"/>
      <c r="O2686" s="4"/>
      <c r="P2686" s="4"/>
      <c r="Q2686" s="3"/>
      <c r="R2686" s="3"/>
      <c r="S2686" s="3"/>
      <c r="T2686" s="3"/>
    </row>
    <row r="2687" spans="1:20">
      <c r="A2687" s="3">
        <v>3</v>
      </c>
      <c r="B2687" s="3">
        <v>1</v>
      </c>
      <c r="C2687" s="2">
        <v>25</v>
      </c>
      <c r="D2687" s="2">
        <v>5</v>
      </c>
      <c r="E2687" s="2">
        <v>16</v>
      </c>
      <c r="F2687" s="17">
        <v>155</v>
      </c>
      <c r="H2687" s="360">
        <v>0.98159549150519732</v>
      </c>
      <c r="I2687" s="360">
        <v>6.5941898148175304E-2</v>
      </c>
      <c r="K2687" s="363"/>
      <c r="N2687" s="10"/>
      <c r="O2687" s="4"/>
      <c r="P2687" s="4"/>
      <c r="Q2687" s="3"/>
      <c r="R2687" s="3"/>
      <c r="S2687" s="3"/>
      <c r="T2687" s="3"/>
    </row>
    <row r="2688" spans="1:20">
      <c r="A2688" s="3">
        <v>1</v>
      </c>
      <c r="B2688" s="3">
        <v>1</v>
      </c>
      <c r="C2688" s="2">
        <v>25</v>
      </c>
      <c r="D2688" s="2">
        <v>5</v>
      </c>
      <c r="E2688" s="2">
        <v>1</v>
      </c>
      <c r="F2688" s="17">
        <v>155</v>
      </c>
      <c r="H2688" s="360">
        <v>1</v>
      </c>
      <c r="I2688" s="360">
        <v>6.5724988732100212E-2</v>
      </c>
      <c r="K2688" s="363"/>
      <c r="N2688" s="10"/>
      <c r="O2688" s="4"/>
      <c r="P2688" s="4"/>
      <c r="Q2688" s="3"/>
      <c r="R2688" s="3"/>
      <c r="S2688" s="3"/>
      <c r="T2688" s="3"/>
    </row>
    <row r="2689" spans="1:20">
      <c r="A2689" s="3">
        <v>1</v>
      </c>
      <c r="B2689" s="3">
        <v>1</v>
      </c>
      <c r="C2689" s="2">
        <v>25</v>
      </c>
      <c r="D2689" s="2">
        <v>5</v>
      </c>
      <c r="E2689" s="2">
        <v>16</v>
      </c>
      <c r="F2689" s="17">
        <v>155</v>
      </c>
      <c r="H2689" s="360">
        <v>1</v>
      </c>
      <c r="I2689" s="360">
        <v>6.501436401985361E-2</v>
      </c>
      <c r="K2689" s="363"/>
      <c r="N2689" s="10"/>
      <c r="O2689" s="4"/>
      <c r="P2689" s="4"/>
      <c r="Q2689" s="3"/>
      <c r="R2689" s="3"/>
      <c r="S2689" s="3"/>
      <c r="T2689" s="3"/>
    </row>
    <row r="2690" spans="1:20">
      <c r="A2690" s="3">
        <v>4</v>
      </c>
      <c r="B2690" s="3">
        <v>2</v>
      </c>
      <c r="C2690" s="2">
        <v>50</v>
      </c>
      <c r="D2690" s="2">
        <v>5</v>
      </c>
      <c r="E2690" s="2">
        <v>16</v>
      </c>
      <c r="F2690" s="17">
        <v>155</v>
      </c>
      <c r="H2690" s="360">
        <v>0.55153677662271128</v>
      </c>
      <c r="I2690" s="360">
        <v>4.8751702224239676E-2</v>
      </c>
      <c r="K2690" s="363"/>
      <c r="N2690" s="10"/>
      <c r="O2690" s="4"/>
      <c r="P2690" s="4"/>
      <c r="Q2690" s="3"/>
      <c r="R2690" s="3"/>
      <c r="S2690" s="3"/>
      <c r="T2690" s="3"/>
    </row>
    <row r="2691" spans="1:20">
      <c r="A2691" s="3">
        <v>3</v>
      </c>
      <c r="B2691" s="3">
        <v>1</v>
      </c>
      <c r="C2691" s="2">
        <v>25</v>
      </c>
      <c r="D2691" s="2">
        <v>5</v>
      </c>
      <c r="E2691" s="2">
        <v>1</v>
      </c>
      <c r="F2691" s="17">
        <v>155</v>
      </c>
      <c r="H2691" s="360">
        <v>0.47840727315620946</v>
      </c>
      <c r="I2691" s="360">
        <v>4.8763965315990719E-3</v>
      </c>
      <c r="K2691" s="363"/>
      <c r="N2691" s="10"/>
      <c r="O2691" s="4"/>
      <c r="P2691" s="4"/>
      <c r="Q2691" s="3"/>
      <c r="R2691" s="3"/>
      <c r="S2691" s="3"/>
      <c r="T2691" s="3"/>
    </row>
    <row r="2692" spans="1:20">
      <c r="A2692" s="3">
        <v>5</v>
      </c>
      <c r="B2692" s="3">
        <v>2</v>
      </c>
      <c r="C2692" s="2">
        <v>50</v>
      </c>
      <c r="D2692" s="2">
        <v>5</v>
      </c>
      <c r="E2692" s="2">
        <v>16</v>
      </c>
      <c r="F2692" s="17">
        <v>155</v>
      </c>
      <c r="H2692" s="360">
        <v>1</v>
      </c>
      <c r="I2692" s="360">
        <v>-0.17535651289964907</v>
      </c>
      <c r="K2692" s="363"/>
      <c r="N2692" s="10"/>
      <c r="O2692" s="4"/>
      <c r="P2692" s="4"/>
      <c r="Q2692" s="3"/>
      <c r="R2692" s="3"/>
      <c r="S2692" s="3"/>
      <c r="T2692" s="3"/>
    </row>
    <row r="2693" spans="1:20">
      <c r="A2693" s="3">
        <v>5</v>
      </c>
      <c r="B2693" s="3">
        <v>2</v>
      </c>
      <c r="C2693" s="2">
        <v>25</v>
      </c>
      <c r="D2693" s="2">
        <v>5</v>
      </c>
      <c r="E2693" s="2">
        <v>16</v>
      </c>
      <c r="F2693" s="17">
        <v>155</v>
      </c>
      <c r="H2693" s="360">
        <v>0.17259968955471394</v>
      </c>
      <c r="I2693" s="360">
        <v>-0.18445356466290161</v>
      </c>
      <c r="K2693" s="363"/>
      <c r="N2693" s="10"/>
      <c r="O2693" s="4"/>
      <c r="P2693" s="4"/>
      <c r="Q2693" s="3"/>
      <c r="R2693" s="3"/>
      <c r="S2693" s="3"/>
      <c r="T2693" s="3"/>
    </row>
    <row r="2694" spans="1:20">
      <c r="A2694" s="3">
        <v>2</v>
      </c>
      <c r="B2694" s="3">
        <v>1</v>
      </c>
      <c r="C2694" s="2">
        <v>25</v>
      </c>
      <c r="D2694" s="2">
        <v>5</v>
      </c>
      <c r="E2694" s="2">
        <v>16</v>
      </c>
      <c r="F2694" s="17">
        <v>155</v>
      </c>
      <c r="H2694" s="360">
        <v>1</v>
      </c>
      <c r="I2694" s="360">
        <v>-0.22997005592943354</v>
      </c>
      <c r="K2694" s="363"/>
      <c r="N2694" s="10"/>
      <c r="O2694" s="4"/>
      <c r="P2694" s="4"/>
      <c r="Q2694" s="3"/>
      <c r="R2694" s="3"/>
      <c r="S2694" s="3"/>
      <c r="T2694" s="3"/>
    </row>
    <row r="2695" spans="1:20">
      <c r="A2695" s="3">
        <v>2</v>
      </c>
      <c r="B2695" s="3">
        <v>1</v>
      </c>
      <c r="C2695" s="2">
        <v>25</v>
      </c>
      <c r="D2695" s="2">
        <v>5</v>
      </c>
      <c r="E2695" s="2">
        <v>1</v>
      </c>
      <c r="F2695" s="17">
        <v>155</v>
      </c>
      <c r="H2695" s="360">
        <v>0.99678006789809648</v>
      </c>
      <c r="I2695" s="360">
        <v>-0.2608756002113663</v>
      </c>
      <c r="K2695" s="363"/>
      <c r="N2695" s="10"/>
      <c r="O2695" s="4"/>
      <c r="P2695" s="4"/>
      <c r="Q2695" s="3"/>
      <c r="R2695" s="3"/>
      <c r="S2695" s="3"/>
      <c r="T2695" s="3"/>
    </row>
    <row r="2696" spans="1:20">
      <c r="A2696" s="3">
        <v>5</v>
      </c>
      <c r="B2696" s="3">
        <v>2</v>
      </c>
      <c r="C2696" s="2">
        <v>25</v>
      </c>
      <c r="D2696" s="2">
        <v>5</v>
      </c>
      <c r="E2696" s="2">
        <v>16</v>
      </c>
      <c r="F2696" s="17">
        <v>156</v>
      </c>
      <c r="H2696" s="360">
        <v>0.69243052336155575</v>
      </c>
      <c r="I2696" s="360">
        <v>0.40687391947390111</v>
      </c>
      <c r="K2696" s="363"/>
      <c r="N2696" s="10"/>
      <c r="O2696" s="4"/>
      <c r="P2696" s="4"/>
      <c r="Q2696" s="3"/>
      <c r="R2696" s="3"/>
      <c r="S2696" s="3"/>
      <c r="T2696" s="3"/>
    </row>
    <row r="2697" spans="1:20">
      <c r="A2697" s="3">
        <v>5</v>
      </c>
      <c r="B2697" s="3">
        <v>2</v>
      </c>
      <c r="C2697" s="2">
        <v>50</v>
      </c>
      <c r="D2697" s="2">
        <v>5</v>
      </c>
      <c r="E2697" s="2">
        <v>16</v>
      </c>
      <c r="F2697" s="17">
        <v>156</v>
      </c>
      <c r="H2697" s="360">
        <v>1</v>
      </c>
      <c r="I2697" s="360">
        <v>0.39733397052738434</v>
      </c>
      <c r="K2697" s="363"/>
      <c r="N2697" s="10"/>
      <c r="O2697" s="4"/>
      <c r="P2697" s="4"/>
      <c r="Q2697" s="3"/>
      <c r="R2697" s="3"/>
      <c r="S2697" s="3"/>
      <c r="T2697" s="3"/>
    </row>
    <row r="2698" spans="1:20">
      <c r="A2698" s="3">
        <v>4</v>
      </c>
      <c r="B2698" s="3">
        <v>2</v>
      </c>
      <c r="C2698" s="2">
        <v>50</v>
      </c>
      <c r="D2698" s="2">
        <v>5</v>
      </c>
      <c r="E2698" s="2">
        <v>16</v>
      </c>
      <c r="F2698" s="17">
        <v>156</v>
      </c>
      <c r="H2698" s="360">
        <v>0.99520361509623911</v>
      </c>
      <c r="I2698" s="360">
        <v>0.27188950973232523</v>
      </c>
      <c r="K2698" s="363"/>
      <c r="N2698" s="10"/>
      <c r="O2698" s="4"/>
      <c r="P2698" s="4"/>
      <c r="Q2698" s="3"/>
      <c r="R2698" s="3"/>
      <c r="S2698" s="3"/>
      <c r="T2698" s="3"/>
    </row>
    <row r="2699" spans="1:20">
      <c r="A2699" s="3">
        <v>3</v>
      </c>
      <c r="B2699" s="3">
        <v>1</v>
      </c>
      <c r="C2699" s="2">
        <v>25</v>
      </c>
      <c r="D2699" s="2">
        <v>5</v>
      </c>
      <c r="E2699" s="2">
        <v>1</v>
      </c>
      <c r="F2699" s="17">
        <v>156</v>
      </c>
      <c r="H2699" s="360">
        <v>0.98446689701870227</v>
      </c>
      <c r="I2699" s="360">
        <v>-0.21426534504130226</v>
      </c>
      <c r="K2699" s="363"/>
      <c r="N2699" s="10"/>
      <c r="O2699" s="4"/>
      <c r="P2699" s="4"/>
      <c r="Q2699" s="3"/>
      <c r="R2699" s="3"/>
      <c r="S2699" s="3"/>
      <c r="T2699" s="3"/>
    </row>
    <row r="2700" spans="1:20">
      <c r="A2700" s="3">
        <v>3</v>
      </c>
      <c r="B2700" s="3">
        <v>1</v>
      </c>
      <c r="C2700" s="2">
        <v>25</v>
      </c>
      <c r="D2700" s="2">
        <v>5</v>
      </c>
      <c r="E2700" s="2">
        <v>16</v>
      </c>
      <c r="F2700" s="17">
        <v>156</v>
      </c>
      <c r="H2700" s="360">
        <v>1</v>
      </c>
      <c r="I2700" s="360">
        <v>-0.23902556962481694</v>
      </c>
      <c r="K2700" s="363"/>
      <c r="N2700" s="10"/>
      <c r="O2700" s="4"/>
      <c r="P2700" s="4"/>
      <c r="Q2700" s="3"/>
      <c r="R2700" s="3"/>
      <c r="S2700" s="3"/>
      <c r="T2700" s="3"/>
    </row>
    <row r="2701" spans="1:20">
      <c r="A2701" s="3">
        <v>1</v>
      </c>
      <c r="B2701" s="3">
        <v>2</v>
      </c>
      <c r="C2701" s="2">
        <v>25</v>
      </c>
      <c r="D2701" s="2">
        <v>5</v>
      </c>
      <c r="E2701" s="2">
        <v>1</v>
      </c>
      <c r="F2701" s="17">
        <v>156</v>
      </c>
      <c r="H2701" s="360">
        <v>0.46927747975631429</v>
      </c>
      <c r="I2701" s="360">
        <v>-0.3278686914605215</v>
      </c>
      <c r="K2701" s="363"/>
      <c r="N2701" s="10"/>
      <c r="O2701" s="4"/>
      <c r="P2701" s="4"/>
      <c r="Q2701" s="3"/>
      <c r="R2701" s="3"/>
      <c r="S2701" s="3"/>
      <c r="T2701" s="3"/>
    </row>
    <row r="2702" spans="1:20">
      <c r="A2702" s="3">
        <v>1</v>
      </c>
      <c r="B2702" s="3">
        <v>2</v>
      </c>
      <c r="C2702" s="2">
        <v>25</v>
      </c>
      <c r="D2702" s="2">
        <v>30</v>
      </c>
      <c r="E2702" s="2">
        <v>16</v>
      </c>
      <c r="F2702" s="17">
        <v>156</v>
      </c>
      <c r="H2702" s="360">
        <v>1</v>
      </c>
      <c r="I2702" s="360">
        <v>-0.33265538230616992</v>
      </c>
      <c r="K2702" s="363"/>
      <c r="N2702" s="10"/>
      <c r="O2702" s="4"/>
      <c r="P2702" s="4"/>
      <c r="Q2702" s="3"/>
      <c r="R2702" s="3"/>
      <c r="S2702" s="3"/>
      <c r="T2702" s="3"/>
    </row>
    <row r="2703" spans="1:20">
      <c r="A2703" s="3">
        <v>1</v>
      </c>
      <c r="B2703" s="3">
        <v>2</v>
      </c>
      <c r="C2703" s="2">
        <v>25</v>
      </c>
      <c r="D2703" s="2">
        <v>5</v>
      </c>
      <c r="E2703" s="2">
        <v>16</v>
      </c>
      <c r="F2703" s="17">
        <v>156</v>
      </c>
      <c r="H2703" s="360">
        <v>1</v>
      </c>
      <c r="I2703" s="360">
        <v>-0.35330091686789522</v>
      </c>
      <c r="K2703" s="363"/>
      <c r="N2703" s="10"/>
      <c r="O2703" s="4"/>
      <c r="P2703" s="4"/>
      <c r="Q2703" s="3"/>
      <c r="R2703" s="3"/>
      <c r="S2703" s="3"/>
      <c r="T2703" s="3"/>
    </row>
    <row r="2704" spans="1:20">
      <c r="A2704" s="3">
        <v>1</v>
      </c>
      <c r="B2704" s="3">
        <v>2</v>
      </c>
      <c r="C2704" s="2">
        <v>25</v>
      </c>
      <c r="D2704" s="2">
        <v>5</v>
      </c>
      <c r="E2704" s="2">
        <v>16</v>
      </c>
      <c r="F2704" s="17">
        <v>156</v>
      </c>
      <c r="H2704" s="360">
        <v>1</v>
      </c>
      <c r="I2704" s="360">
        <v>-0.35808335153613063</v>
      </c>
      <c r="K2704" s="363"/>
      <c r="N2704" s="10"/>
      <c r="O2704" s="4"/>
      <c r="P2704" s="4"/>
      <c r="Q2704" s="3"/>
      <c r="R2704" s="3"/>
      <c r="S2704" s="3"/>
      <c r="T2704" s="3"/>
    </row>
    <row r="2705" spans="1:20">
      <c r="A2705" s="3">
        <v>2</v>
      </c>
      <c r="B2705" s="3">
        <v>2</v>
      </c>
      <c r="C2705" s="2">
        <v>25</v>
      </c>
      <c r="D2705" s="2">
        <v>5</v>
      </c>
      <c r="E2705" s="2">
        <v>1</v>
      </c>
      <c r="F2705" s="17">
        <v>156</v>
      </c>
      <c r="H2705" s="360">
        <v>0.99682908405720994</v>
      </c>
      <c r="I2705" s="360">
        <v>-0.39108191373169321</v>
      </c>
      <c r="K2705" s="363"/>
      <c r="N2705" s="10"/>
      <c r="O2705" s="4"/>
      <c r="P2705" s="4"/>
      <c r="Q2705" s="3"/>
      <c r="R2705" s="3"/>
      <c r="S2705" s="3"/>
      <c r="T2705" s="3"/>
    </row>
    <row r="2706" spans="1:20">
      <c r="A2706" s="3">
        <v>2</v>
      </c>
      <c r="B2706" s="3">
        <v>2</v>
      </c>
      <c r="C2706" s="2">
        <v>25</v>
      </c>
      <c r="D2706" s="2">
        <v>5</v>
      </c>
      <c r="E2706" s="2">
        <v>16</v>
      </c>
      <c r="F2706" s="17">
        <v>156</v>
      </c>
      <c r="H2706" s="360">
        <v>1</v>
      </c>
      <c r="I2706" s="360">
        <v>-0.39399352746228034</v>
      </c>
      <c r="K2706" s="363"/>
      <c r="N2706" s="10"/>
      <c r="O2706" s="4"/>
      <c r="P2706" s="4"/>
      <c r="Q2706" s="3"/>
      <c r="R2706" s="3"/>
      <c r="S2706" s="3"/>
      <c r="T2706" s="3"/>
    </row>
    <row r="2707" spans="1:20">
      <c r="A2707" s="3">
        <v>3</v>
      </c>
      <c r="B2707" s="3">
        <v>2</v>
      </c>
      <c r="C2707" s="2">
        <v>25</v>
      </c>
      <c r="D2707" s="2">
        <v>5</v>
      </c>
      <c r="E2707" s="2">
        <v>1</v>
      </c>
      <c r="F2707" s="17">
        <v>156</v>
      </c>
      <c r="H2707" s="360">
        <v>1</v>
      </c>
      <c r="I2707" s="360">
        <v>-0.40318061583045256</v>
      </c>
      <c r="K2707" s="363"/>
      <c r="N2707" s="10"/>
      <c r="O2707" s="4"/>
      <c r="P2707" s="4"/>
      <c r="Q2707" s="3"/>
      <c r="R2707" s="3"/>
      <c r="S2707" s="3"/>
      <c r="T2707" s="3"/>
    </row>
    <row r="2708" spans="1:20">
      <c r="A2708" s="3">
        <v>1</v>
      </c>
      <c r="B2708" s="3">
        <v>1</v>
      </c>
      <c r="C2708" s="2">
        <v>25</v>
      </c>
      <c r="D2708" s="2">
        <v>30</v>
      </c>
      <c r="E2708" s="2">
        <v>16</v>
      </c>
      <c r="F2708" s="17">
        <v>156</v>
      </c>
      <c r="H2708" s="360">
        <v>1</v>
      </c>
      <c r="I2708" s="360">
        <v>-0.40511944173801895</v>
      </c>
      <c r="K2708" s="363"/>
      <c r="N2708" s="10"/>
      <c r="O2708" s="4"/>
      <c r="P2708" s="4"/>
      <c r="Q2708" s="3"/>
      <c r="R2708" s="3"/>
      <c r="S2708" s="3"/>
      <c r="T2708" s="3"/>
    </row>
    <row r="2709" spans="1:20">
      <c r="A2709" s="3">
        <v>1</v>
      </c>
      <c r="B2709" s="3">
        <v>1</v>
      </c>
      <c r="C2709" s="2">
        <v>25</v>
      </c>
      <c r="D2709" s="2">
        <v>5</v>
      </c>
      <c r="E2709" s="2">
        <v>1</v>
      </c>
      <c r="F2709" s="17">
        <v>156</v>
      </c>
      <c r="H2709" s="360">
        <v>1</v>
      </c>
      <c r="I2709" s="360">
        <v>-0.41101910336026859</v>
      </c>
      <c r="K2709" s="363"/>
      <c r="N2709" s="10"/>
      <c r="O2709" s="4"/>
      <c r="P2709" s="4"/>
      <c r="Q2709" s="3"/>
      <c r="R2709" s="3"/>
      <c r="S2709" s="3"/>
      <c r="T2709" s="3"/>
    </row>
    <row r="2710" spans="1:20">
      <c r="A2710" s="3">
        <v>1</v>
      </c>
      <c r="B2710" s="3">
        <v>1</v>
      </c>
      <c r="C2710" s="2">
        <v>25</v>
      </c>
      <c r="D2710" s="2">
        <v>5</v>
      </c>
      <c r="E2710" s="2">
        <v>16</v>
      </c>
      <c r="F2710" s="17">
        <v>156</v>
      </c>
      <c r="H2710" s="360">
        <v>1</v>
      </c>
      <c r="I2710" s="360">
        <v>-0.41654782021882303</v>
      </c>
      <c r="K2710" s="363"/>
      <c r="N2710" s="10"/>
      <c r="O2710" s="4"/>
      <c r="P2710" s="4"/>
      <c r="Q2710" s="3"/>
      <c r="R2710" s="3"/>
      <c r="S2710" s="3"/>
      <c r="T2710" s="3"/>
    </row>
    <row r="2711" spans="1:20">
      <c r="A2711" s="3">
        <v>3</v>
      </c>
      <c r="B2711" s="3">
        <v>2</v>
      </c>
      <c r="C2711" s="2">
        <v>25</v>
      </c>
      <c r="D2711" s="2">
        <v>5</v>
      </c>
      <c r="E2711" s="2">
        <v>16</v>
      </c>
      <c r="F2711" s="17">
        <v>156</v>
      </c>
      <c r="H2711" s="360">
        <v>0.99248688847258282</v>
      </c>
      <c r="I2711" s="360">
        <v>-0.42051856709820346</v>
      </c>
      <c r="K2711" s="363"/>
      <c r="N2711" s="10"/>
      <c r="O2711" s="4"/>
      <c r="P2711" s="4"/>
      <c r="Q2711" s="3"/>
      <c r="R2711" s="3"/>
      <c r="S2711" s="3"/>
      <c r="T2711" s="3"/>
    </row>
    <row r="2712" spans="1:20">
      <c r="A2712" s="3">
        <v>2</v>
      </c>
      <c r="B2712" s="3">
        <v>1</v>
      </c>
      <c r="C2712" s="2">
        <v>25</v>
      </c>
      <c r="D2712" s="2">
        <v>5</v>
      </c>
      <c r="E2712" s="2">
        <v>1</v>
      </c>
      <c r="F2712" s="17">
        <v>156</v>
      </c>
      <c r="H2712" s="360">
        <v>1</v>
      </c>
      <c r="I2712" s="360">
        <v>-0.4954676016190086</v>
      </c>
      <c r="K2712" s="363"/>
      <c r="N2712" s="10"/>
      <c r="O2712" s="4"/>
      <c r="P2712" s="4"/>
      <c r="Q2712" s="3"/>
      <c r="R2712" s="3"/>
      <c r="S2712" s="3"/>
      <c r="T2712" s="3"/>
    </row>
    <row r="2713" spans="1:20">
      <c r="A2713" s="3">
        <v>2</v>
      </c>
      <c r="B2713" s="3">
        <v>1</v>
      </c>
      <c r="C2713" s="2">
        <v>25</v>
      </c>
      <c r="D2713" s="2">
        <v>5</v>
      </c>
      <c r="E2713" s="2">
        <v>16</v>
      </c>
      <c r="F2713" s="17">
        <v>156</v>
      </c>
      <c r="H2713" s="360">
        <v>1</v>
      </c>
      <c r="I2713" s="360">
        <v>-0.50336355037048719</v>
      </c>
      <c r="K2713" s="363"/>
      <c r="N2713" s="10"/>
      <c r="O2713" s="4"/>
      <c r="P2713" s="4"/>
      <c r="Q2713" s="3"/>
      <c r="R2713" s="3"/>
      <c r="S2713" s="3"/>
      <c r="T2713" s="3"/>
    </row>
    <row r="2714" spans="1:20">
      <c r="A2714" s="3">
        <v>4</v>
      </c>
      <c r="B2714" s="3">
        <v>2</v>
      </c>
      <c r="C2714" s="2">
        <v>50</v>
      </c>
      <c r="D2714" s="2">
        <v>5</v>
      </c>
      <c r="E2714" s="2">
        <v>16</v>
      </c>
      <c r="F2714" s="17">
        <v>157</v>
      </c>
      <c r="H2714" s="360">
        <v>1</v>
      </c>
      <c r="I2714" s="360">
        <v>-1.2536558521459002E-2</v>
      </c>
      <c r="K2714" s="363"/>
      <c r="N2714" s="10"/>
      <c r="O2714" s="4"/>
      <c r="P2714" s="4"/>
      <c r="Q2714" s="3"/>
      <c r="R2714" s="3"/>
      <c r="S2714" s="3"/>
      <c r="T2714" s="3"/>
    </row>
    <row r="2715" spans="1:20">
      <c r="A2715" s="3">
        <v>5</v>
      </c>
      <c r="B2715" s="3">
        <v>2</v>
      </c>
      <c r="C2715" s="2">
        <v>50</v>
      </c>
      <c r="D2715" s="2">
        <v>5</v>
      </c>
      <c r="E2715" s="2">
        <v>16</v>
      </c>
      <c r="F2715" s="17">
        <v>157</v>
      </c>
      <c r="H2715" s="360">
        <v>1</v>
      </c>
      <c r="I2715" s="360">
        <v>-0.43565018768508545</v>
      </c>
      <c r="K2715" s="363"/>
      <c r="N2715" s="10"/>
      <c r="O2715" s="4"/>
      <c r="P2715" s="4"/>
      <c r="Q2715" s="3"/>
      <c r="R2715" s="3"/>
      <c r="S2715" s="3"/>
      <c r="T2715" s="3"/>
    </row>
    <row r="2716" spans="1:20">
      <c r="A2716" s="3">
        <v>5</v>
      </c>
      <c r="B2716" s="3">
        <v>2</v>
      </c>
      <c r="C2716" s="2">
        <v>25</v>
      </c>
      <c r="D2716" s="2">
        <v>5</v>
      </c>
      <c r="E2716" s="2">
        <v>16</v>
      </c>
      <c r="F2716" s="17">
        <v>157</v>
      </c>
      <c r="H2716" s="360">
        <v>1</v>
      </c>
      <c r="I2716" s="360">
        <v>-0.55324671247010226</v>
      </c>
      <c r="K2716" s="363"/>
      <c r="N2716" s="10"/>
      <c r="O2716" s="4"/>
      <c r="P2716" s="4"/>
      <c r="Q2716" s="3"/>
      <c r="R2716" s="3"/>
      <c r="S2716" s="3"/>
      <c r="T2716" s="3"/>
    </row>
    <row r="2717" spans="1:20">
      <c r="A2717" s="3">
        <v>3</v>
      </c>
      <c r="B2717" s="3">
        <v>1</v>
      </c>
      <c r="C2717" s="2">
        <v>25</v>
      </c>
      <c r="D2717" s="2">
        <v>5</v>
      </c>
      <c r="E2717" s="2">
        <v>1</v>
      </c>
      <c r="F2717" s="17">
        <v>157</v>
      </c>
      <c r="H2717" s="360">
        <v>7.6679240093920464E-2</v>
      </c>
      <c r="I2717" s="360">
        <v>-0.71690844686865141</v>
      </c>
      <c r="K2717" s="363"/>
      <c r="N2717" s="10"/>
      <c r="O2717" s="4"/>
      <c r="P2717" s="4"/>
      <c r="Q2717" s="3"/>
      <c r="R2717" s="3"/>
      <c r="S2717" s="3"/>
      <c r="T2717" s="3"/>
    </row>
    <row r="2718" spans="1:20">
      <c r="A2718" s="3">
        <v>1</v>
      </c>
      <c r="B2718" s="3">
        <v>2</v>
      </c>
      <c r="C2718" s="2">
        <v>25</v>
      </c>
      <c r="D2718" s="2">
        <v>30</v>
      </c>
      <c r="E2718" s="2">
        <v>16</v>
      </c>
      <c r="F2718" s="17">
        <v>157</v>
      </c>
      <c r="H2718" s="360">
        <v>1</v>
      </c>
      <c r="I2718" s="360">
        <v>-0.73420069649181408</v>
      </c>
      <c r="K2718" s="363"/>
      <c r="N2718" s="10"/>
      <c r="O2718" s="4"/>
      <c r="P2718" s="4"/>
      <c r="Q2718" s="3"/>
      <c r="R2718" s="3"/>
      <c r="S2718" s="3"/>
      <c r="T2718" s="3"/>
    </row>
    <row r="2719" spans="1:20">
      <c r="A2719" s="3">
        <v>3</v>
      </c>
      <c r="B2719" s="3">
        <v>1</v>
      </c>
      <c r="C2719" s="2">
        <v>25</v>
      </c>
      <c r="D2719" s="2">
        <v>5</v>
      </c>
      <c r="E2719" s="2">
        <v>16</v>
      </c>
      <c r="F2719" s="17">
        <v>157</v>
      </c>
      <c r="H2719" s="360">
        <v>0.99185179239576593</v>
      </c>
      <c r="I2719" s="360">
        <v>-0.77478725620318978</v>
      </c>
      <c r="K2719" s="363"/>
      <c r="N2719" s="10"/>
      <c r="O2719" s="4"/>
      <c r="P2719" s="4"/>
      <c r="Q2719" s="3"/>
      <c r="R2719" s="3"/>
      <c r="S2719" s="3"/>
      <c r="T2719" s="3"/>
    </row>
    <row r="2720" spans="1:20">
      <c r="A2720" s="3">
        <v>1</v>
      </c>
      <c r="B2720" s="3">
        <v>1</v>
      </c>
      <c r="C2720" s="2">
        <v>25</v>
      </c>
      <c r="D2720" s="2">
        <v>30</v>
      </c>
      <c r="E2720" s="2">
        <v>16</v>
      </c>
      <c r="F2720" s="17">
        <v>157</v>
      </c>
      <c r="H2720" s="360">
        <v>1</v>
      </c>
      <c r="I2720" s="360">
        <v>-0.8299030536791826</v>
      </c>
      <c r="K2720" s="363"/>
      <c r="N2720" s="10"/>
      <c r="O2720" s="4"/>
      <c r="P2720" s="4"/>
      <c r="Q2720" s="3"/>
      <c r="R2720" s="3"/>
      <c r="S2720" s="3"/>
      <c r="T2720" s="3"/>
    </row>
    <row r="2721" spans="1:20">
      <c r="A2721" s="3">
        <v>3</v>
      </c>
      <c r="B2721" s="3">
        <v>2</v>
      </c>
      <c r="C2721" s="2">
        <v>25</v>
      </c>
      <c r="D2721" s="2">
        <v>5</v>
      </c>
      <c r="E2721" s="2">
        <v>1</v>
      </c>
      <c r="F2721" s="17">
        <v>157</v>
      </c>
      <c r="H2721" s="360">
        <v>0.9892000731695697</v>
      </c>
      <c r="I2721" s="360">
        <v>-0.87300162203545084</v>
      </c>
      <c r="K2721" s="363"/>
      <c r="N2721" s="10"/>
      <c r="O2721" s="4"/>
      <c r="P2721" s="4"/>
      <c r="Q2721" s="3"/>
      <c r="R2721" s="3"/>
      <c r="S2721" s="3"/>
      <c r="T2721" s="3"/>
    </row>
    <row r="2722" spans="1:20">
      <c r="A2722" s="3">
        <v>3</v>
      </c>
      <c r="B2722" s="3">
        <v>2</v>
      </c>
      <c r="C2722" s="2">
        <v>25</v>
      </c>
      <c r="D2722" s="2">
        <v>5</v>
      </c>
      <c r="E2722" s="2">
        <v>16</v>
      </c>
      <c r="F2722" s="17">
        <v>157</v>
      </c>
      <c r="H2722" s="360">
        <v>0.98972555528744899</v>
      </c>
      <c r="I2722" s="360">
        <v>-0.87418458075804217</v>
      </c>
      <c r="K2722" s="363"/>
      <c r="N2722" s="10"/>
      <c r="O2722" s="4"/>
      <c r="P2722" s="4"/>
      <c r="Q2722" s="3"/>
      <c r="R2722" s="3"/>
      <c r="S2722" s="3"/>
      <c r="T2722" s="3"/>
    </row>
    <row r="2723" spans="1:20">
      <c r="A2723" s="3">
        <v>1</v>
      </c>
      <c r="B2723" s="3">
        <v>2</v>
      </c>
      <c r="C2723" s="2">
        <v>25</v>
      </c>
      <c r="D2723" s="2">
        <v>5</v>
      </c>
      <c r="E2723" s="2">
        <v>1</v>
      </c>
      <c r="F2723" s="17">
        <v>157</v>
      </c>
      <c r="H2723" s="360">
        <v>7.4222288100122547E-2</v>
      </c>
      <c r="I2723" s="360">
        <v>-0.91094323562270574</v>
      </c>
      <c r="K2723" s="363"/>
      <c r="N2723" s="10"/>
      <c r="O2723" s="4"/>
      <c r="P2723" s="4"/>
      <c r="Q2723" s="3"/>
      <c r="R2723" s="3"/>
      <c r="S2723" s="3"/>
      <c r="T2723" s="3"/>
    </row>
    <row r="2724" spans="1:20">
      <c r="A2724" s="3">
        <v>2</v>
      </c>
      <c r="B2724" s="3">
        <v>2</v>
      </c>
      <c r="C2724" s="2">
        <v>25</v>
      </c>
      <c r="D2724" s="2">
        <v>5</v>
      </c>
      <c r="E2724" s="2">
        <v>16</v>
      </c>
      <c r="F2724" s="17">
        <v>157</v>
      </c>
      <c r="H2724" s="360">
        <v>1</v>
      </c>
      <c r="I2724" s="360">
        <v>-0.94686150299965299</v>
      </c>
      <c r="K2724" s="363"/>
      <c r="N2724" s="10"/>
      <c r="O2724" s="4"/>
      <c r="P2724" s="4"/>
      <c r="Q2724" s="3"/>
      <c r="R2724" s="3"/>
      <c r="S2724" s="3"/>
      <c r="T2724" s="3"/>
    </row>
    <row r="2725" spans="1:20">
      <c r="A2725" s="3">
        <v>1</v>
      </c>
      <c r="B2725" s="3">
        <v>2</v>
      </c>
      <c r="C2725" s="2">
        <v>25</v>
      </c>
      <c r="D2725" s="2">
        <v>5</v>
      </c>
      <c r="E2725" s="2">
        <v>16</v>
      </c>
      <c r="F2725" s="17">
        <v>157</v>
      </c>
      <c r="H2725" s="360">
        <v>1</v>
      </c>
      <c r="I2725" s="360">
        <v>-0.95151276729422407</v>
      </c>
      <c r="K2725" s="363"/>
      <c r="N2725" s="10"/>
      <c r="O2725" s="4"/>
      <c r="P2725" s="4"/>
      <c r="Q2725" s="3"/>
      <c r="R2725" s="3"/>
      <c r="S2725" s="3"/>
      <c r="T2725" s="3"/>
    </row>
    <row r="2726" spans="1:20">
      <c r="A2726" s="3">
        <v>1</v>
      </c>
      <c r="B2726" s="3">
        <v>2</v>
      </c>
      <c r="C2726" s="2">
        <v>25</v>
      </c>
      <c r="D2726" s="2">
        <v>5</v>
      </c>
      <c r="E2726" s="2">
        <v>16</v>
      </c>
      <c r="F2726" s="17">
        <v>157</v>
      </c>
      <c r="H2726" s="360">
        <v>1</v>
      </c>
      <c r="I2726" s="360">
        <v>-0.9566112812837102</v>
      </c>
      <c r="K2726" s="363"/>
      <c r="N2726" s="10"/>
      <c r="O2726" s="4"/>
      <c r="P2726" s="4"/>
      <c r="Q2726" s="3"/>
      <c r="R2726" s="3"/>
      <c r="S2726" s="3"/>
      <c r="T2726" s="3"/>
    </row>
    <row r="2727" spans="1:20">
      <c r="A2727" s="3">
        <v>2</v>
      </c>
      <c r="B2727" s="3">
        <v>1</v>
      </c>
      <c r="C2727" s="2">
        <v>25</v>
      </c>
      <c r="D2727" s="2">
        <v>5</v>
      </c>
      <c r="E2727" s="2">
        <v>16</v>
      </c>
      <c r="F2727" s="17">
        <v>157</v>
      </c>
      <c r="H2727" s="360">
        <v>1</v>
      </c>
      <c r="I2727" s="360">
        <v>-0.95765067536312509</v>
      </c>
      <c r="K2727" s="363"/>
      <c r="N2727" s="10"/>
      <c r="O2727" s="4"/>
      <c r="P2727" s="4"/>
      <c r="Q2727" s="3"/>
      <c r="R2727" s="3"/>
      <c r="S2727" s="3"/>
      <c r="T2727" s="3"/>
    </row>
    <row r="2728" spans="1:20">
      <c r="A2728" s="3">
        <v>2</v>
      </c>
      <c r="B2728" s="3">
        <v>1</v>
      </c>
      <c r="C2728" s="2">
        <v>25</v>
      </c>
      <c r="D2728" s="2">
        <v>5</v>
      </c>
      <c r="E2728" s="2">
        <v>1</v>
      </c>
      <c r="F2728" s="17">
        <v>157</v>
      </c>
      <c r="H2728" s="360">
        <v>0.99593884373930641</v>
      </c>
      <c r="I2728" s="360">
        <v>-0.96318766449168303</v>
      </c>
      <c r="K2728" s="363"/>
      <c r="N2728" s="10"/>
      <c r="O2728" s="4"/>
      <c r="P2728" s="4"/>
      <c r="Q2728" s="3"/>
      <c r="R2728" s="3"/>
      <c r="S2728" s="3"/>
      <c r="T2728" s="3"/>
    </row>
    <row r="2729" spans="1:20">
      <c r="A2729" s="3">
        <v>2</v>
      </c>
      <c r="B2729" s="3">
        <v>2</v>
      </c>
      <c r="C2729" s="2">
        <v>25</v>
      </c>
      <c r="D2729" s="2">
        <v>5</v>
      </c>
      <c r="E2729" s="2">
        <v>1</v>
      </c>
      <c r="F2729" s="17">
        <v>157</v>
      </c>
      <c r="H2729" s="360">
        <v>0.99730904250441688</v>
      </c>
      <c r="I2729" s="360">
        <v>-0.96736945687788278</v>
      </c>
      <c r="K2729" s="363"/>
      <c r="N2729" s="10"/>
      <c r="O2729" s="4"/>
      <c r="P2729" s="4"/>
      <c r="Q2729" s="3"/>
      <c r="R2729" s="3"/>
      <c r="S2729" s="3"/>
      <c r="T2729" s="3"/>
    </row>
    <row r="2730" spans="1:20">
      <c r="A2730" s="3">
        <v>1</v>
      </c>
      <c r="B2730" s="3">
        <v>1</v>
      </c>
      <c r="C2730" s="2">
        <v>25</v>
      </c>
      <c r="D2730" s="2">
        <v>5</v>
      </c>
      <c r="E2730" s="2">
        <v>1</v>
      </c>
      <c r="F2730" s="17">
        <v>157</v>
      </c>
      <c r="H2730" s="360">
        <v>1</v>
      </c>
      <c r="I2730" s="360">
        <v>-0.96917034429570137</v>
      </c>
      <c r="K2730" s="363"/>
      <c r="N2730" s="10"/>
      <c r="O2730" s="4"/>
      <c r="P2730" s="4"/>
      <c r="Q2730" s="3"/>
      <c r="R2730" s="3"/>
      <c r="S2730" s="3"/>
      <c r="T2730" s="3"/>
    </row>
    <row r="2731" spans="1:20">
      <c r="A2731" s="3">
        <v>1</v>
      </c>
      <c r="B2731" s="3">
        <v>1</v>
      </c>
      <c r="C2731" s="2">
        <v>25</v>
      </c>
      <c r="D2731" s="2">
        <v>5</v>
      </c>
      <c r="E2731" s="2">
        <v>16</v>
      </c>
      <c r="F2731" s="17">
        <v>157</v>
      </c>
      <c r="H2731" s="360">
        <v>1</v>
      </c>
      <c r="I2731" s="360">
        <v>-0.97239610602912974</v>
      </c>
      <c r="K2731" s="363"/>
      <c r="N2731" s="10"/>
      <c r="O2731" s="4"/>
      <c r="P2731" s="4"/>
      <c r="Q2731" s="3"/>
      <c r="R2731" s="3"/>
      <c r="S2731" s="3"/>
      <c r="T2731" s="3"/>
    </row>
    <row r="2732" spans="1:20">
      <c r="A2732" s="3">
        <v>4</v>
      </c>
      <c r="B2732" s="3">
        <v>2</v>
      </c>
      <c r="C2732" s="2">
        <v>50</v>
      </c>
      <c r="D2732" s="2">
        <v>5</v>
      </c>
      <c r="E2732" s="2">
        <v>16</v>
      </c>
      <c r="F2732" s="17">
        <v>158</v>
      </c>
      <c r="H2732" s="360">
        <v>8.0072062819182221E-2</v>
      </c>
      <c r="I2732" s="360">
        <v>0.14841358447077466</v>
      </c>
      <c r="K2732" s="363"/>
      <c r="N2732" s="10"/>
      <c r="O2732" s="4"/>
      <c r="P2732" s="4"/>
      <c r="Q2732" s="3"/>
      <c r="R2732" s="3"/>
      <c r="S2732" s="3"/>
      <c r="T2732" s="3"/>
    </row>
    <row r="2733" spans="1:20">
      <c r="A2733" s="3">
        <v>1</v>
      </c>
      <c r="B2733" s="3">
        <v>2</v>
      </c>
      <c r="C2733" s="2">
        <v>25</v>
      </c>
      <c r="D2733" s="2">
        <v>30</v>
      </c>
      <c r="E2733" s="2">
        <v>16</v>
      </c>
      <c r="F2733" s="17">
        <v>158</v>
      </c>
      <c r="H2733" s="360">
        <v>3.1008180147815367E-2</v>
      </c>
      <c r="I2733" s="360">
        <v>9.3960584869675776E-2</v>
      </c>
      <c r="K2733" s="363"/>
      <c r="N2733" s="10"/>
      <c r="O2733" s="4"/>
      <c r="P2733" s="4"/>
      <c r="Q2733" s="3"/>
      <c r="R2733" s="3"/>
      <c r="S2733" s="3"/>
      <c r="T2733" s="3"/>
    </row>
    <row r="2734" spans="1:20">
      <c r="A2734" s="3">
        <v>1</v>
      </c>
      <c r="B2734" s="3">
        <v>2</v>
      </c>
      <c r="C2734" s="2">
        <v>25</v>
      </c>
      <c r="D2734" s="2">
        <v>5</v>
      </c>
      <c r="E2734" s="2">
        <v>16</v>
      </c>
      <c r="F2734" s="17">
        <v>158</v>
      </c>
      <c r="H2734" s="360">
        <v>3.5288214647416716E-2</v>
      </c>
      <c r="I2734" s="360">
        <v>8.9328148628213436E-2</v>
      </c>
      <c r="K2734" s="363"/>
      <c r="N2734" s="10"/>
      <c r="O2734" s="4"/>
      <c r="P2734" s="4"/>
      <c r="Q2734" s="3"/>
      <c r="R2734" s="3"/>
      <c r="S2734" s="3"/>
      <c r="T2734" s="3"/>
    </row>
    <row r="2735" spans="1:20">
      <c r="A2735" s="3">
        <v>5</v>
      </c>
      <c r="B2735" s="3">
        <v>2</v>
      </c>
      <c r="C2735" s="2">
        <v>50</v>
      </c>
      <c r="D2735" s="2">
        <v>5</v>
      </c>
      <c r="E2735" s="2">
        <v>16</v>
      </c>
      <c r="F2735" s="17">
        <v>158</v>
      </c>
      <c r="H2735" s="360">
        <v>3.4599809253201275E-2</v>
      </c>
      <c r="I2735" s="360">
        <v>4.2580051660452882E-3</v>
      </c>
      <c r="K2735" s="363"/>
      <c r="N2735" s="10"/>
      <c r="O2735" s="4"/>
      <c r="P2735" s="4"/>
      <c r="Q2735" s="3"/>
      <c r="R2735" s="3"/>
      <c r="S2735" s="3"/>
      <c r="T2735" s="3"/>
    </row>
    <row r="2736" spans="1:20">
      <c r="A2736" s="3">
        <v>1</v>
      </c>
      <c r="B2736" s="3">
        <v>1</v>
      </c>
      <c r="C2736" s="2">
        <v>25</v>
      </c>
      <c r="D2736" s="2">
        <v>5</v>
      </c>
      <c r="E2736" s="2">
        <v>1</v>
      </c>
      <c r="F2736" s="17">
        <v>158</v>
      </c>
      <c r="H2736" s="360">
        <v>0</v>
      </c>
      <c r="I2736" s="360">
        <v>0</v>
      </c>
      <c r="K2736" s="363"/>
      <c r="N2736" s="10"/>
      <c r="O2736" s="4"/>
      <c r="P2736" s="4"/>
      <c r="Q2736" s="3"/>
      <c r="R2736" s="3"/>
      <c r="S2736" s="3"/>
      <c r="T2736" s="3"/>
    </row>
    <row r="2737" spans="1:20">
      <c r="A2737" s="3">
        <v>1</v>
      </c>
      <c r="B2737" s="3">
        <v>1</v>
      </c>
      <c r="C2737" s="2">
        <v>25</v>
      </c>
      <c r="D2737" s="2">
        <v>5</v>
      </c>
      <c r="E2737" s="2">
        <v>16</v>
      </c>
      <c r="F2737" s="17">
        <v>158</v>
      </c>
      <c r="H2737" s="360">
        <v>0</v>
      </c>
      <c r="I2737" s="360">
        <v>0</v>
      </c>
      <c r="K2737" s="363"/>
      <c r="N2737" s="10"/>
      <c r="O2737" s="4"/>
      <c r="P2737" s="4"/>
      <c r="Q2737" s="3"/>
      <c r="R2737" s="3"/>
      <c r="S2737" s="3"/>
      <c r="T2737" s="3"/>
    </row>
    <row r="2738" spans="1:20">
      <c r="A2738" s="3">
        <v>1</v>
      </c>
      <c r="B2738" s="3">
        <v>1</v>
      </c>
      <c r="C2738" s="2">
        <v>25</v>
      </c>
      <c r="D2738" s="2">
        <v>30</v>
      </c>
      <c r="E2738" s="2">
        <v>16</v>
      </c>
      <c r="F2738" s="17">
        <v>158</v>
      </c>
      <c r="H2738" s="360">
        <v>0</v>
      </c>
      <c r="I2738" s="360">
        <v>0</v>
      </c>
      <c r="K2738" s="363"/>
      <c r="N2738" s="10"/>
      <c r="O2738" s="4"/>
      <c r="P2738" s="4"/>
      <c r="Q2738" s="3"/>
      <c r="R2738" s="3"/>
      <c r="S2738" s="3"/>
      <c r="T2738" s="3"/>
    </row>
    <row r="2739" spans="1:20">
      <c r="A2739" s="3">
        <v>1</v>
      </c>
      <c r="B2739" s="3">
        <v>2</v>
      </c>
      <c r="C2739" s="2">
        <v>25</v>
      </c>
      <c r="D2739" s="2">
        <v>5</v>
      </c>
      <c r="E2739" s="2">
        <v>1</v>
      </c>
      <c r="F2739" s="17">
        <v>158</v>
      </c>
      <c r="H2739" s="360">
        <v>0</v>
      </c>
      <c r="I2739" s="360">
        <v>0</v>
      </c>
      <c r="K2739" s="363"/>
      <c r="N2739" s="10"/>
      <c r="O2739" s="4"/>
      <c r="P2739" s="4"/>
      <c r="Q2739" s="3"/>
      <c r="R2739" s="3"/>
      <c r="S2739" s="3"/>
      <c r="T2739" s="3"/>
    </row>
    <row r="2740" spans="1:20">
      <c r="A2740" s="3">
        <v>1</v>
      </c>
      <c r="B2740" s="3">
        <v>2</v>
      </c>
      <c r="C2740" s="2">
        <v>25</v>
      </c>
      <c r="D2740" s="2">
        <v>5</v>
      </c>
      <c r="E2740" s="2">
        <v>16</v>
      </c>
      <c r="F2740" s="17">
        <v>158</v>
      </c>
      <c r="H2740" s="360">
        <v>0</v>
      </c>
      <c r="I2740" s="360">
        <v>0</v>
      </c>
      <c r="K2740" s="363"/>
      <c r="N2740" s="10"/>
      <c r="O2740" s="4"/>
      <c r="P2740" s="4"/>
      <c r="Q2740" s="3"/>
      <c r="R2740" s="3"/>
      <c r="S2740" s="3"/>
      <c r="T2740" s="3"/>
    </row>
    <row r="2741" spans="1:20">
      <c r="A2741" s="3">
        <v>2</v>
      </c>
      <c r="B2741" s="3">
        <v>2</v>
      </c>
      <c r="C2741" s="2">
        <v>25</v>
      </c>
      <c r="D2741" s="2">
        <v>5</v>
      </c>
      <c r="E2741" s="2">
        <v>1</v>
      </c>
      <c r="F2741" s="17">
        <v>158</v>
      </c>
      <c r="H2741" s="360">
        <v>0</v>
      </c>
      <c r="I2741" s="360">
        <v>0</v>
      </c>
      <c r="K2741" s="363"/>
      <c r="N2741" s="10"/>
      <c r="O2741" s="4"/>
      <c r="P2741" s="4"/>
      <c r="Q2741" s="3"/>
      <c r="R2741" s="3"/>
      <c r="S2741" s="3"/>
      <c r="T2741" s="3"/>
    </row>
    <row r="2742" spans="1:20">
      <c r="A2742" s="3">
        <v>2</v>
      </c>
      <c r="B2742" s="3">
        <v>2</v>
      </c>
      <c r="C2742" s="2">
        <v>25</v>
      </c>
      <c r="D2742" s="2">
        <v>5</v>
      </c>
      <c r="E2742" s="2">
        <v>16</v>
      </c>
      <c r="F2742" s="17">
        <v>158</v>
      </c>
      <c r="H2742" s="360">
        <v>0</v>
      </c>
      <c r="I2742" s="360">
        <v>0</v>
      </c>
      <c r="K2742" s="363"/>
      <c r="N2742" s="10"/>
      <c r="O2742" s="4"/>
      <c r="P2742" s="4"/>
      <c r="Q2742" s="3"/>
      <c r="R2742" s="3"/>
      <c r="S2742" s="3"/>
      <c r="T2742" s="3"/>
    </row>
    <row r="2743" spans="1:20">
      <c r="A2743" s="3">
        <v>5</v>
      </c>
      <c r="B2743" s="3">
        <v>2</v>
      </c>
      <c r="C2743" s="2">
        <v>25</v>
      </c>
      <c r="D2743" s="2">
        <v>5</v>
      </c>
      <c r="E2743" s="2">
        <v>16</v>
      </c>
      <c r="F2743" s="17">
        <v>158</v>
      </c>
      <c r="H2743" s="360">
        <v>0</v>
      </c>
      <c r="I2743" s="360">
        <v>0</v>
      </c>
      <c r="K2743" s="363"/>
      <c r="N2743" s="10"/>
      <c r="O2743" s="4"/>
      <c r="P2743" s="4"/>
      <c r="Q2743" s="3"/>
      <c r="R2743" s="3"/>
      <c r="S2743" s="3"/>
      <c r="T2743" s="3"/>
    </row>
    <row r="2744" spans="1:20">
      <c r="A2744" s="3">
        <v>2</v>
      </c>
      <c r="B2744" s="3">
        <v>1</v>
      </c>
      <c r="C2744" s="2">
        <v>25</v>
      </c>
      <c r="D2744" s="2">
        <v>5</v>
      </c>
      <c r="E2744" s="2">
        <v>1</v>
      </c>
      <c r="F2744" s="17">
        <v>158</v>
      </c>
      <c r="H2744" s="360">
        <v>0</v>
      </c>
      <c r="I2744" s="360">
        <v>0</v>
      </c>
      <c r="K2744" s="363"/>
      <c r="N2744" s="10"/>
      <c r="O2744" s="4"/>
      <c r="P2744" s="4"/>
      <c r="Q2744" s="3"/>
      <c r="R2744" s="3"/>
      <c r="S2744" s="3"/>
      <c r="T2744" s="3"/>
    </row>
    <row r="2745" spans="1:20">
      <c r="A2745" s="3">
        <v>2</v>
      </c>
      <c r="B2745" s="3">
        <v>1</v>
      </c>
      <c r="C2745" s="2">
        <v>25</v>
      </c>
      <c r="D2745" s="2">
        <v>5</v>
      </c>
      <c r="E2745" s="2">
        <v>16</v>
      </c>
      <c r="F2745" s="17">
        <v>158</v>
      </c>
      <c r="H2745" s="360">
        <v>0</v>
      </c>
      <c r="I2745" s="360">
        <v>0</v>
      </c>
      <c r="K2745" s="363"/>
      <c r="N2745" s="10"/>
      <c r="O2745" s="4"/>
      <c r="P2745" s="4"/>
      <c r="Q2745" s="3"/>
      <c r="R2745" s="3"/>
      <c r="S2745" s="3"/>
      <c r="T2745" s="3"/>
    </row>
    <row r="2746" spans="1:20">
      <c r="A2746" s="3">
        <v>3</v>
      </c>
      <c r="B2746" s="3">
        <v>1</v>
      </c>
      <c r="C2746" s="2">
        <v>25</v>
      </c>
      <c r="D2746" s="2">
        <v>5</v>
      </c>
      <c r="E2746" s="2">
        <v>1</v>
      </c>
      <c r="F2746" s="17">
        <v>158</v>
      </c>
      <c r="H2746" s="360">
        <v>0</v>
      </c>
      <c r="I2746" s="360">
        <v>0</v>
      </c>
      <c r="K2746" s="363"/>
      <c r="N2746" s="10"/>
      <c r="O2746" s="4"/>
      <c r="P2746" s="4"/>
      <c r="Q2746" s="3"/>
      <c r="R2746" s="3"/>
      <c r="S2746" s="3"/>
      <c r="T2746" s="3"/>
    </row>
    <row r="2747" spans="1:20">
      <c r="A2747" s="3">
        <v>3</v>
      </c>
      <c r="B2747" s="3">
        <v>1</v>
      </c>
      <c r="C2747" s="2">
        <v>25</v>
      </c>
      <c r="D2747" s="2">
        <v>5</v>
      </c>
      <c r="E2747" s="2">
        <v>16</v>
      </c>
      <c r="F2747" s="17">
        <v>158</v>
      </c>
      <c r="H2747" s="360">
        <v>1.1585974724753756E-2</v>
      </c>
      <c r="I2747" s="360">
        <v>-1</v>
      </c>
      <c r="K2747" s="363"/>
      <c r="N2747" s="10"/>
      <c r="O2747" s="4"/>
      <c r="P2747" s="4"/>
      <c r="Q2747" s="3"/>
      <c r="R2747" s="3"/>
      <c r="S2747" s="3"/>
      <c r="T2747" s="3"/>
    </row>
    <row r="2748" spans="1:20">
      <c r="A2748" s="3">
        <v>3</v>
      </c>
      <c r="B2748" s="3">
        <v>2</v>
      </c>
      <c r="C2748" s="2">
        <v>25</v>
      </c>
      <c r="D2748" s="2">
        <v>5</v>
      </c>
      <c r="E2748" s="2">
        <v>1</v>
      </c>
      <c r="F2748" s="17">
        <v>158</v>
      </c>
      <c r="H2748" s="360">
        <v>1.2572414280927147E-2</v>
      </c>
      <c r="I2748" s="360">
        <v>-1</v>
      </c>
      <c r="K2748" s="363"/>
      <c r="N2748" s="10"/>
      <c r="O2748" s="4"/>
      <c r="P2748" s="4"/>
      <c r="Q2748" s="3"/>
      <c r="R2748" s="3"/>
      <c r="S2748" s="3"/>
      <c r="T2748" s="3"/>
    </row>
    <row r="2749" spans="1:20">
      <c r="A2749" s="3">
        <v>3</v>
      </c>
      <c r="B2749" s="3">
        <v>2</v>
      </c>
      <c r="C2749" s="2">
        <v>25</v>
      </c>
      <c r="D2749" s="2">
        <v>5</v>
      </c>
      <c r="E2749" s="2">
        <v>16</v>
      </c>
      <c r="F2749" s="17">
        <v>158</v>
      </c>
      <c r="H2749" s="360">
        <v>3.865576051736952E-2</v>
      </c>
      <c r="I2749" s="360">
        <v>-1</v>
      </c>
      <c r="K2749" s="363"/>
      <c r="N2749" s="10"/>
      <c r="O2749" s="4"/>
      <c r="P2749" s="4"/>
      <c r="Q2749" s="3"/>
      <c r="R2749" s="3"/>
      <c r="S2749" s="3"/>
      <c r="T2749" s="3"/>
    </row>
    <row r="2750" spans="1:20">
      <c r="A2750" s="3">
        <v>1</v>
      </c>
      <c r="B2750" s="3">
        <v>1</v>
      </c>
      <c r="C2750" s="2">
        <v>25</v>
      </c>
      <c r="D2750" s="2">
        <v>5</v>
      </c>
      <c r="E2750" s="2">
        <v>16</v>
      </c>
      <c r="F2750" s="17">
        <v>159</v>
      </c>
      <c r="H2750" s="360">
        <v>1</v>
      </c>
      <c r="I2750" s="360">
        <v>0.88989401029237991</v>
      </c>
      <c r="K2750" s="363"/>
      <c r="N2750" s="10"/>
      <c r="O2750" s="4"/>
      <c r="P2750" s="4"/>
      <c r="Q2750" s="3"/>
      <c r="R2750" s="3"/>
      <c r="S2750" s="3"/>
      <c r="T2750" s="3"/>
    </row>
    <row r="2751" spans="1:20">
      <c r="A2751" s="3">
        <v>1</v>
      </c>
      <c r="B2751" s="3">
        <v>1</v>
      </c>
      <c r="C2751" s="2">
        <v>25</v>
      </c>
      <c r="D2751" s="2">
        <v>5</v>
      </c>
      <c r="E2751" s="2">
        <v>1</v>
      </c>
      <c r="F2751" s="17">
        <v>159</v>
      </c>
      <c r="H2751" s="360">
        <v>1</v>
      </c>
      <c r="I2751" s="360">
        <v>0.88747764138126717</v>
      </c>
      <c r="K2751" s="363"/>
      <c r="N2751" s="10"/>
      <c r="O2751" s="4"/>
      <c r="P2751" s="4"/>
      <c r="Q2751" s="3"/>
      <c r="R2751" s="3"/>
      <c r="S2751" s="3"/>
      <c r="T2751" s="3"/>
    </row>
    <row r="2752" spans="1:20">
      <c r="A2752" s="3">
        <v>1</v>
      </c>
      <c r="B2752" s="3">
        <v>1</v>
      </c>
      <c r="C2752" s="2">
        <v>25</v>
      </c>
      <c r="D2752" s="2">
        <v>30</v>
      </c>
      <c r="E2752" s="2">
        <v>16</v>
      </c>
      <c r="F2752" s="17">
        <v>159</v>
      </c>
      <c r="H2752" s="360">
        <v>1</v>
      </c>
      <c r="I2752" s="360">
        <v>0.88041520495102898</v>
      </c>
      <c r="K2752" s="363"/>
      <c r="N2752" s="10"/>
      <c r="O2752" s="4"/>
      <c r="P2752" s="4"/>
      <c r="Q2752" s="3"/>
      <c r="R2752" s="3"/>
      <c r="S2752" s="3"/>
      <c r="T2752" s="3"/>
    </row>
    <row r="2753" spans="1:20">
      <c r="A2753" s="3">
        <v>2</v>
      </c>
      <c r="B2753" s="3">
        <v>1</v>
      </c>
      <c r="C2753" s="2">
        <v>25</v>
      </c>
      <c r="D2753" s="2">
        <v>5</v>
      </c>
      <c r="E2753" s="2">
        <v>1</v>
      </c>
      <c r="F2753" s="17">
        <v>159</v>
      </c>
      <c r="H2753" s="360">
        <v>1</v>
      </c>
      <c r="I2753" s="360">
        <v>0.87010829430895897</v>
      </c>
      <c r="K2753" s="363"/>
      <c r="N2753" s="10"/>
      <c r="O2753" s="4"/>
      <c r="P2753" s="4"/>
      <c r="Q2753" s="3"/>
      <c r="R2753" s="3"/>
      <c r="S2753" s="3"/>
      <c r="T2753" s="3"/>
    </row>
    <row r="2754" spans="1:20">
      <c r="A2754" s="3">
        <v>2</v>
      </c>
      <c r="B2754" s="3">
        <v>1</v>
      </c>
      <c r="C2754" s="2">
        <v>25</v>
      </c>
      <c r="D2754" s="2">
        <v>5</v>
      </c>
      <c r="E2754" s="2">
        <v>16</v>
      </c>
      <c r="F2754" s="17">
        <v>159</v>
      </c>
      <c r="H2754" s="360">
        <v>1</v>
      </c>
      <c r="I2754" s="360">
        <v>0.86019605689561485</v>
      </c>
      <c r="K2754" s="363"/>
      <c r="N2754" s="10"/>
      <c r="O2754" s="4"/>
      <c r="P2754" s="4"/>
      <c r="Q2754" s="3"/>
      <c r="R2754" s="3"/>
      <c r="S2754" s="3"/>
      <c r="T2754" s="3"/>
    </row>
    <row r="2755" spans="1:20">
      <c r="A2755" s="3">
        <v>2</v>
      </c>
      <c r="B2755" s="3">
        <v>2</v>
      </c>
      <c r="C2755" s="2">
        <v>25</v>
      </c>
      <c r="D2755" s="2">
        <v>5</v>
      </c>
      <c r="E2755" s="2">
        <v>1</v>
      </c>
      <c r="F2755" s="17">
        <v>159</v>
      </c>
      <c r="H2755" s="360">
        <v>1</v>
      </c>
      <c r="I2755" s="360">
        <v>0.81271256040679563</v>
      </c>
      <c r="K2755" s="363"/>
      <c r="N2755" s="10"/>
      <c r="O2755" s="4"/>
      <c r="P2755" s="4"/>
      <c r="Q2755" s="3"/>
      <c r="R2755" s="3"/>
      <c r="S2755" s="3"/>
      <c r="T2755" s="3"/>
    </row>
    <row r="2756" spans="1:20">
      <c r="A2756" s="3">
        <v>3</v>
      </c>
      <c r="B2756" s="3">
        <v>1</v>
      </c>
      <c r="C2756" s="2">
        <v>25</v>
      </c>
      <c r="D2756" s="2">
        <v>5</v>
      </c>
      <c r="E2756" s="2">
        <v>1</v>
      </c>
      <c r="F2756" s="17">
        <v>159</v>
      </c>
      <c r="H2756" s="360">
        <v>0.89975073394472016</v>
      </c>
      <c r="I2756" s="360">
        <v>0.81013241765721955</v>
      </c>
      <c r="K2756" s="363"/>
      <c r="N2756" s="10"/>
      <c r="O2756" s="4"/>
      <c r="P2756" s="4"/>
      <c r="Q2756" s="3"/>
      <c r="R2756" s="3"/>
      <c r="S2756" s="3"/>
      <c r="T2756" s="3"/>
    </row>
    <row r="2757" spans="1:20">
      <c r="A2757" s="3">
        <v>2</v>
      </c>
      <c r="B2757" s="3">
        <v>2</v>
      </c>
      <c r="C2757" s="2">
        <v>25</v>
      </c>
      <c r="D2757" s="2">
        <v>5</v>
      </c>
      <c r="E2757" s="2">
        <v>16</v>
      </c>
      <c r="F2757" s="17">
        <v>159</v>
      </c>
      <c r="H2757" s="360">
        <v>1</v>
      </c>
      <c r="I2757" s="360">
        <v>0.80966258729428076</v>
      </c>
      <c r="K2757" s="363"/>
      <c r="N2757" s="10"/>
      <c r="O2757" s="4"/>
      <c r="P2757" s="4"/>
      <c r="Q2757" s="3"/>
      <c r="R2757" s="3"/>
      <c r="S2757" s="3"/>
      <c r="T2757" s="3"/>
    </row>
    <row r="2758" spans="1:20">
      <c r="A2758" s="3">
        <v>1</v>
      </c>
      <c r="B2758" s="3">
        <v>2</v>
      </c>
      <c r="C2758" s="2">
        <v>25</v>
      </c>
      <c r="D2758" s="2">
        <v>30</v>
      </c>
      <c r="E2758" s="2">
        <v>16</v>
      </c>
      <c r="F2758" s="17">
        <v>159</v>
      </c>
      <c r="H2758" s="360">
        <v>1</v>
      </c>
      <c r="I2758" s="360">
        <v>0.80220578579054902</v>
      </c>
      <c r="K2758" s="363"/>
      <c r="N2758" s="10"/>
      <c r="O2758" s="4"/>
      <c r="P2758" s="4"/>
      <c r="Q2758" s="3"/>
      <c r="R2758" s="3"/>
      <c r="S2758" s="3"/>
      <c r="T2758" s="3"/>
    </row>
    <row r="2759" spans="1:20">
      <c r="A2759" s="3">
        <v>1</v>
      </c>
      <c r="B2759" s="3">
        <v>2</v>
      </c>
      <c r="C2759" s="2">
        <v>25</v>
      </c>
      <c r="D2759" s="2">
        <v>5</v>
      </c>
      <c r="E2759" s="2">
        <v>16</v>
      </c>
      <c r="F2759" s="17">
        <v>159</v>
      </c>
      <c r="H2759" s="360">
        <v>1</v>
      </c>
      <c r="I2759" s="360">
        <v>0.79467875030690915</v>
      </c>
      <c r="K2759" s="363"/>
      <c r="N2759" s="10"/>
      <c r="O2759" s="4"/>
      <c r="P2759" s="4"/>
      <c r="Q2759" s="3"/>
      <c r="R2759" s="3"/>
      <c r="S2759" s="3"/>
      <c r="T2759" s="3"/>
    </row>
    <row r="2760" spans="1:20">
      <c r="A2760" s="3">
        <v>1</v>
      </c>
      <c r="B2760" s="3">
        <v>2</v>
      </c>
      <c r="C2760" s="2">
        <v>25</v>
      </c>
      <c r="D2760" s="2">
        <v>5</v>
      </c>
      <c r="E2760" s="2">
        <v>16</v>
      </c>
      <c r="F2760" s="17">
        <v>159</v>
      </c>
      <c r="H2760" s="360">
        <v>1</v>
      </c>
      <c r="I2760" s="360">
        <v>0.79057734343668085</v>
      </c>
      <c r="K2760" s="363"/>
      <c r="N2760" s="10"/>
      <c r="O2760" s="4"/>
      <c r="P2760" s="4"/>
      <c r="Q2760" s="3"/>
      <c r="R2760" s="3"/>
      <c r="S2760" s="3"/>
      <c r="T2760" s="3"/>
    </row>
    <row r="2761" spans="1:20">
      <c r="A2761" s="3">
        <v>1</v>
      </c>
      <c r="B2761" s="3">
        <v>2</v>
      </c>
      <c r="C2761" s="2">
        <v>25</v>
      </c>
      <c r="D2761" s="2">
        <v>5</v>
      </c>
      <c r="E2761" s="2">
        <v>1</v>
      </c>
      <c r="F2761" s="17">
        <v>159</v>
      </c>
      <c r="H2761" s="360">
        <v>0.95961977719350045</v>
      </c>
      <c r="I2761" s="360">
        <v>0.78999526836345624</v>
      </c>
      <c r="K2761" s="363"/>
      <c r="N2761" s="10"/>
      <c r="O2761" s="4"/>
      <c r="P2761" s="4"/>
      <c r="Q2761" s="3"/>
      <c r="R2761" s="3"/>
      <c r="S2761" s="3"/>
      <c r="T2761" s="3"/>
    </row>
    <row r="2762" spans="1:20">
      <c r="A2762" s="3">
        <v>3</v>
      </c>
      <c r="B2762" s="3">
        <v>1</v>
      </c>
      <c r="C2762" s="2">
        <v>25</v>
      </c>
      <c r="D2762" s="2">
        <v>5</v>
      </c>
      <c r="E2762" s="2">
        <v>16</v>
      </c>
      <c r="F2762" s="17">
        <v>159</v>
      </c>
      <c r="H2762" s="360">
        <v>0.96445577276142958</v>
      </c>
      <c r="I2762" s="360">
        <v>0.78000029536934712</v>
      </c>
      <c r="K2762" s="363"/>
      <c r="N2762" s="10"/>
      <c r="O2762" s="4"/>
      <c r="P2762" s="4"/>
      <c r="Q2762" s="3"/>
      <c r="R2762" s="3"/>
      <c r="S2762" s="3"/>
      <c r="T2762" s="3"/>
    </row>
    <row r="2763" spans="1:20">
      <c r="A2763" s="3">
        <v>3</v>
      </c>
      <c r="B2763" s="3">
        <v>2</v>
      </c>
      <c r="C2763" s="2">
        <v>25</v>
      </c>
      <c r="D2763" s="2">
        <v>5</v>
      </c>
      <c r="E2763" s="2">
        <v>1</v>
      </c>
      <c r="F2763" s="17">
        <v>159</v>
      </c>
      <c r="H2763" s="360">
        <v>0.99173421375391102</v>
      </c>
      <c r="I2763" s="360">
        <v>0.71996522910498284</v>
      </c>
      <c r="K2763" s="363"/>
      <c r="N2763" s="10"/>
      <c r="O2763" s="4"/>
      <c r="P2763" s="4"/>
      <c r="Q2763" s="3"/>
      <c r="R2763" s="3"/>
      <c r="S2763" s="3"/>
      <c r="T2763" s="3"/>
    </row>
    <row r="2764" spans="1:20">
      <c r="A2764" s="3">
        <v>3</v>
      </c>
      <c r="B2764" s="3">
        <v>2</v>
      </c>
      <c r="C2764" s="2">
        <v>25</v>
      </c>
      <c r="D2764" s="2">
        <v>5</v>
      </c>
      <c r="E2764" s="2">
        <v>16</v>
      </c>
      <c r="F2764" s="17">
        <v>159</v>
      </c>
      <c r="H2764" s="360">
        <v>0.98983320140642383</v>
      </c>
      <c r="I2764" s="360">
        <v>0.71195320005978091</v>
      </c>
      <c r="K2764" s="363"/>
      <c r="N2764" s="10"/>
      <c r="O2764" s="4"/>
      <c r="P2764" s="4"/>
      <c r="Q2764" s="3"/>
      <c r="R2764" s="3"/>
      <c r="S2764" s="3"/>
      <c r="T2764" s="3"/>
    </row>
    <row r="2765" spans="1:20">
      <c r="A2765" s="3">
        <v>4</v>
      </c>
      <c r="B2765" s="3">
        <v>2</v>
      </c>
      <c r="C2765" s="2">
        <v>50</v>
      </c>
      <c r="D2765" s="2">
        <v>5</v>
      </c>
      <c r="E2765" s="2">
        <v>16</v>
      </c>
      <c r="F2765" s="17">
        <v>159</v>
      </c>
      <c r="H2765" s="360">
        <v>0.86934226370447787</v>
      </c>
      <c r="I2765" s="360">
        <v>8.2888665156472863E-2</v>
      </c>
      <c r="K2765" s="363"/>
      <c r="N2765" s="10"/>
      <c r="O2765" s="4"/>
      <c r="P2765" s="4"/>
      <c r="Q2765" s="3"/>
      <c r="R2765" s="3"/>
      <c r="S2765" s="3"/>
      <c r="T2765" s="3"/>
    </row>
    <row r="2766" spans="1:20">
      <c r="A2766" s="3">
        <v>5</v>
      </c>
      <c r="B2766" s="3">
        <v>2</v>
      </c>
      <c r="C2766" s="2">
        <v>50</v>
      </c>
      <c r="D2766" s="2">
        <v>5</v>
      </c>
      <c r="E2766" s="2">
        <v>16</v>
      </c>
      <c r="F2766" s="17">
        <v>159</v>
      </c>
      <c r="H2766" s="360">
        <v>1</v>
      </c>
      <c r="I2766" s="360">
        <v>-7.3229586501970825E-2</v>
      </c>
      <c r="K2766" s="363"/>
      <c r="N2766" s="10"/>
      <c r="O2766" s="4"/>
      <c r="P2766" s="4"/>
      <c r="Q2766" s="3"/>
      <c r="R2766" s="3"/>
      <c r="S2766" s="3"/>
      <c r="T2766" s="3"/>
    </row>
    <row r="2767" spans="1:20">
      <c r="A2767" s="3">
        <v>5</v>
      </c>
      <c r="B2767" s="3">
        <v>2</v>
      </c>
      <c r="C2767" s="2">
        <v>25</v>
      </c>
      <c r="D2767" s="2">
        <v>5</v>
      </c>
      <c r="E2767" s="2">
        <v>16</v>
      </c>
      <c r="F2767" s="17">
        <v>159</v>
      </c>
      <c r="H2767" s="360">
        <v>1</v>
      </c>
      <c r="I2767" s="360">
        <v>-9.174712405330708E-2</v>
      </c>
      <c r="K2767" s="363"/>
      <c r="N2767" s="10"/>
      <c r="O2767" s="4"/>
      <c r="P2767" s="4"/>
      <c r="Q2767" s="3"/>
      <c r="R2767" s="3"/>
      <c r="S2767" s="3"/>
      <c r="T2767" s="3"/>
    </row>
    <row r="2768" spans="1:20">
      <c r="A2768" s="3">
        <v>1</v>
      </c>
      <c r="B2768" s="3">
        <v>1</v>
      </c>
      <c r="C2768" s="2">
        <v>25</v>
      </c>
      <c r="D2768" s="2">
        <v>5</v>
      </c>
      <c r="E2768" s="2">
        <v>16</v>
      </c>
      <c r="F2768" s="17">
        <v>160</v>
      </c>
      <c r="H2768" s="360">
        <v>1</v>
      </c>
      <c r="I2768" s="360">
        <v>0.59883883599266841</v>
      </c>
      <c r="K2768" s="363"/>
      <c r="N2768" s="10"/>
      <c r="O2768" s="4"/>
      <c r="P2768" s="4"/>
      <c r="Q2768" s="3"/>
      <c r="R2768" s="3"/>
      <c r="S2768" s="3"/>
      <c r="T2768" s="3"/>
    </row>
    <row r="2769" spans="1:20">
      <c r="A2769" s="3">
        <v>1</v>
      </c>
      <c r="B2769" s="3">
        <v>1</v>
      </c>
      <c r="C2769" s="2">
        <v>25</v>
      </c>
      <c r="D2769" s="2">
        <v>5</v>
      </c>
      <c r="E2769" s="2">
        <v>1</v>
      </c>
      <c r="F2769" s="17">
        <v>160</v>
      </c>
      <c r="H2769" s="360">
        <v>1</v>
      </c>
      <c r="I2769" s="360">
        <v>0.59640226911697958</v>
      </c>
      <c r="K2769" s="363"/>
      <c r="N2769" s="10"/>
      <c r="O2769" s="4"/>
      <c r="P2769" s="4"/>
      <c r="Q2769" s="3"/>
      <c r="R2769" s="3"/>
      <c r="S2769" s="3"/>
      <c r="T2769" s="3"/>
    </row>
    <row r="2770" spans="1:20">
      <c r="A2770" s="3">
        <v>1</v>
      </c>
      <c r="B2770" s="3">
        <v>2</v>
      </c>
      <c r="C2770" s="2">
        <v>25</v>
      </c>
      <c r="D2770" s="2">
        <v>5</v>
      </c>
      <c r="E2770" s="2">
        <v>16</v>
      </c>
      <c r="F2770" s="17">
        <v>160</v>
      </c>
      <c r="H2770" s="360">
        <v>1</v>
      </c>
      <c r="I2770" s="360">
        <v>0.57163059788517279</v>
      </c>
      <c r="K2770" s="363"/>
      <c r="N2770" s="10"/>
      <c r="O2770" s="4"/>
      <c r="P2770" s="4"/>
      <c r="Q2770" s="3"/>
      <c r="R2770" s="3"/>
      <c r="S2770" s="3"/>
      <c r="T2770" s="3"/>
    </row>
    <row r="2771" spans="1:20">
      <c r="A2771" s="3">
        <v>1</v>
      </c>
      <c r="B2771" s="3">
        <v>2</v>
      </c>
      <c r="C2771" s="2">
        <v>25</v>
      </c>
      <c r="D2771" s="2">
        <v>5</v>
      </c>
      <c r="E2771" s="2">
        <v>16</v>
      </c>
      <c r="F2771" s="17">
        <v>160</v>
      </c>
      <c r="H2771" s="360">
        <v>1</v>
      </c>
      <c r="I2771" s="360">
        <v>0.56831281442160952</v>
      </c>
      <c r="K2771" s="363"/>
      <c r="N2771" s="10"/>
      <c r="O2771" s="4"/>
      <c r="P2771" s="4"/>
      <c r="Q2771" s="3"/>
      <c r="R2771" s="3"/>
      <c r="S2771" s="3"/>
      <c r="T2771" s="3"/>
    </row>
    <row r="2772" spans="1:20">
      <c r="A2772" s="3">
        <v>1</v>
      </c>
      <c r="B2772" s="3">
        <v>2</v>
      </c>
      <c r="C2772" s="2">
        <v>25</v>
      </c>
      <c r="D2772" s="2">
        <v>5</v>
      </c>
      <c r="E2772" s="2">
        <v>1</v>
      </c>
      <c r="F2772" s="17">
        <v>160</v>
      </c>
      <c r="H2772" s="360">
        <v>0.23934375714400102</v>
      </c>
      <c r="I2772" s="360">
        <v>0.55456354748025238</v>
      </c>
      <c r="K2772" s="363"/>
      <c r="N2772" s="10"/>
      <c r="O2772" s="4"/>
      <c r="P2772" s="4"/>
      <c r="Q2772" s="3"/>
      <c r="R2772" s="3"/>
      <c r="S2772" s="3"/>
      <c r="T2772" s="3"/>
    </row>
    <row r="2773" spans="1:20">
      <c r="A2773" s="3">
        <v>1</v>
      </c>
      <c r="B2773" s="3">
        <v>2</v>
      </c>
      <c r="C2773" s="2">
        <v>25</v>
      </c>
      <c r="D2773" s="2">
        <v>30</v>
      </c>
      <c r="E2773" s="2">
        <v>16</v>
      </c>
      <c r="F2773" s="17">
        <v>160</v>
      </c>
      <c r="H2773" s="360">
        <v>1</v>
      </c>
      <c r="I2773" s="360">
        <v>0.52233894584728469</v>
      </c>
      <c r="K2773" s="363"/>
      <c r="N2773" s="10"/>
      <c r="O2773" s="4"/>
      <c r="P2773" s="4"/>
      <c r="Q2773" s="3"/>
      <c r="R2773" s="3"/>
      <c r="S2773" s="3"/>
      <c r="T2773" s="3"/>
    </row>
    <row r="2774" spans="1:20">
      <c r="A2774" s="3">
        <v>3</v>
      </c>
      <c r="B2774" s="3">
        <v>2</v>
      </c>
      <c r="C2774" s="2">
        <v>25</v>
      </c>
      <c r="D2774" s="2">
        <v>5</v>
      </c>
      <c r="E2774" s="2">
        <v>1</v>
      </c>
      <c r="F2774" s="17">
        <v>160</v>
      </c>
      <c r="H2774" s="360">
        <v>1</v>
      </c>
      <c r="I2774" s="360">
        <v>0.51257259533840083</v>
      </c>
      <c r="K2774" s="363"/>
      <c r="N2774" s="10"/>
      <c r="O2774" s="4"/>
      <c r="P2774" s="4"/>
      <c r="Q2774" s="3"/>
      <c r="R2774" s="3"/>
      <c r="S2774" s="3"/>
      <c r="T2774" s="3"/>
    </row>
    <row r="2775" spans="1:20">
      <c r="A2775" s="3">
        <v>3</v>
      </c>
      <c r="B2775" s="3">
        <v>2</v>
      </c>
      <c r="C2775" s="2">
        <v>25</v>
      </c>
      <c r="D2775" s="2">
        <v>5</v>
      </c>
      <c r="E2775" s="2">
        <v>16</v>
      </c>
      <c r="F2775" s="17">
        <v>160</v>
      </c>
      <c r="H2775" s="360">
        <v>1</v>
      </c>
      <c r="I2775" s="360">
        <v>0.50387007077586288</v>
      </c>
      <c r="K2775" s="363"/>
      <c r="N2775" s="10"/>
      <c r="O2775" s="4"/>
      <c r="P2775" s="4"/>
      <c r="Q2775" s="3"/>
      <c r="R2775" s="3"/>
      <c r="S2775" s="3"/>
      <c r="T2775" s="3"/>
    </row>
    <row r="2776" spans="1:20">
      <c r="A2776" s="3">
        <v>1</v>
      </c>
      <c r="B2776" s="3">
        <v>1</v>
      </c>
      <c r="C2776" s="2">
        <v>25</v>
      </c>
      <c r="D2776" s="2">
        <v>30</v>
      </c>
      <c r="E2776" s="2">
        <v>16</v>
      </c>
      <c r="F2776" s="17">
        <v>160</v>
      </c>
      <c r="H2776" s="360">
        <v>1</v>
      </c>
      <c r="I2776" s="360">
        <v>0.38028792520377713</v>
      </c>
      <c r="K2776" s="363"/>
      <c r="N2776" s="10"/>
      <c r="O2776" s="4"/>
      <c r="P2776" s="4"/>
      <c r="Q2776" s="3"/>
      <c r="R2776" s="3"/>
      <c r="S2776" s="3"/>
      <c r="T2776" s="3"/>
    </row>
    <row r="2777" spans="1:20">
      <c r="A2777" s="3">
        <v>2</v>
      </c>
      <c r="B2777" s="3">
        <v>1</v>
      </c>
      <c r="C2777" s="2">
        <v>25</v>
      </c>
      <c r="D2777" s="2">
        <v>5</v>
      </c>
      <c r="E2777" s="2">
        <v>1</v>
      </c>
      <c r="F2777" s="17">
        <v>160</v>
      </c>
      <c r="H2777" s="360">
        <v>0.99621724043332083</v>
      </c>
      <c r="I2777" s="360">
        <v>0.35524907598416466</v>
      </c>
      <c r="K2777" s="363"/>
      <c r="N2777" s="10"/>
      <c r="O2777" s="4"/>
      <c r="P2777" s="4"/>
      <c r="Q2777" s="3"/>
      <c r="R2777" s="3"/>
      <c r="S2777" s="3"/>
      <c r="T2777" s="3"/>
    </row>
    <row r="2778" spans="1:20">
      <c r="A2778" s="3">
        <v>2</v>
      </c>
      <c r="B2778" s="3">
        <v>1</v>
      </c>
      <c r="C2778" s="2">
        <v>25</v>
      </c>
      <c r="D2778" s="2">
        <v>5</v>
      </c>
      <c r="E2778" s="2">
        <v>16</v>
      </c>
      <c r="F2778" s="17">
        <v>160</v>
      </c>
      <c r="H2778" s="360">
        <v>1</v>
      </c>
      <c r="I2778" s="360">
        <v>0.33929749073816651</v>
      </c>
      <c r="K2778" s="363"/>
      <c r="N2778" s="10"/>
      <c r="O2778" s="4"/>
      <c r="P2778" s="4"/>
      <c r="Q2778" s="3"/>
      <c r="R2778" s="3"/>
      <c r="S2778" s="3"/>
      <c r="T2778" s="3"/>
    </row>
    <row r="2779" spans="1:20">
      <c r="A2779" s="3">
        <v>2</v>
      </c>
      <c r="B2779" s="3">
        <v>2</v>
      </c>
      <c r="C2779" s="2">
        <v>25</v>
      </c>
      <c r="D2779" s="2">
        <v>5</v>
      </c>
      <c r="E2779" s="2">
        <v>1</v>
      </c>
      <c r="F2779" s="17">
        <v>160</v>
      </c>
      <c r="H2779" s="360">
        <v>1</v>
      </c>
      <c r="I2779" s="360">
        <v>0.3248489076323049</v>
      </c>
      <c r="K2779" s="363"/>
      <c r="N2779" s="10"/>
      <c r="O2779" s="4"/>
      <c r="P2779" s="4"/>
      <c r="Q2779" s="3"/>
      <c r="R2779" s="3"/>
      <c r="S2779" s="3"/>
      <c r="T2779" s="3"/>
    </row>
    <row r="2780" spans="1:20">
      <c r="A2780" s="3">
        <v>2</v>
      </c>
      <c r="B2780" s="3">
        <v>2</v>
      </c>
      <c r="C2780" s="2">
        <v>25</v>
      </c>
      <c r="D2780" s="2">
        <v>5</v>
      </c>
      <c r="E2780" s="2">
        <v>16</v>
      </c>
      <c r="F2780" s="17">
        <v>160</v>
      </c>
      <c r="H2780" s="360">
        <v>1</v>
      </c>
      <c r="I2780" s="360">
        <v>0.25921004529694341</v>
      </c>
      <c r="K2780" s="363"/>
      <c r="N2780" s="10"/>
      <c r="O2780" s="4"/>
      <c r="P2780" s="4"/>
      <c r="Q2780" s="3"/>
      <c r="R2780" s="3"/>
      <c r="S2780" s="3"/>
      <c r="T2780" s="3"/>
    </row>
    <row r="2781" spans="1:20">
      <c r="A2781" s="3">
        <v>3</v>
      </c>
      <c r="B2781" s="3">
        <v>1</v>
      </c>
      <c r="C2781" s="2">
        <v>25</v>
      </c>
      <c r="D2781" s="2">
        <v>5</v>
      </c>
      <c r="E2781" s="2">
        <v>1</v>
      </c>
      <c r="F2781" s="17">
        <v>160</v>
      </c>
      <c r="H2781" s="360">
        <v>0.94346672093992168</v>
      </c>
      <c r="I2781" s="360">
        <v>0.25458318505271282</v>
      </c>
      <c r="K2781" s="363"/>
      <c r="N2781" s="10"/>
      <c r="O2781" s="4"/>
      <c r="P2781" s="4"/>
      <c r="Q2781" s="3"/>
      <c r="R2781" s="3"/>
      <c r="S2781" s="3"/>
      <c r="T2781" s="3"/>
    </row>
    <row r="2782" spans="1:20">
      <c r="A2782" s="3">
        <v>3</v>
      </c>
      <c r="B2782" s="3">
        <v>1</v>
      </c>
      <c r="C2782" s="2">
        <v>25</v>
      </c>
      <c r="D2782" s="2">
        <v>5</v>
      </c>
      <c r="E2782" s="2">
        <v>16</v>
      </c>
      <c r="F2782" s="17">
        <v>160</v>
      </c>
      <c r="H2782" s="360">
        <v>0.97326249142385268</v>
      </c>
      <c r="I2782" s="360">
        <v>0.20543992647834036</v>
      </c>
      <c r="K2782" s="363"/>
      <c r="N2782" s="10"/>
      <c r="O2782" s="4"/>
      <c r="P2782" s="4"/>
      <c r="Q2782" s="3"/>
      <c r="R2782" s="3"/>
      <c r="S2782" s="3"/>
      <c r="T2782" s="3"/>
    </row>
    <row r="2783" spans="1:20">
      <c r="A2783" s="3">
        <v>4</v>
      </c>
      <c r="B2783" s="3">
        <v>2</v>
      </c>
      <c r="C2783" s="2">
        <v>50</v>
      </c>
      <c r="D2783" s="2">
        <v>5</v>
      </c>
      <c r="E2783" s="2">
        <v>16</v>
      </c>
      <c r="F2783" s="17">
        <v>160</v>
      </c>
      <c r="H2783" s="360">
        <v>0.75255150281783711</v>
      </c>
      <c r="I2783" s="360">
        <v>6.3715202565106974E-2</v>
      </c>
      <c r="K2783" s="363"/>
      <c r="N2783" s="10"/>
      <c r="O2783" s="4"/>
      <c r="P2783" s="4"/>
      <c r="Q2783" s="3"/>
      <c r="R2783" s="3"/>
      <c r="S2783" s="3"/>
      <c r="T2783" s="3"/>
    </row>
    <row r="2784" spans="1:20">
      <c r="A2784" s="3">
        <v>5</v>
      </c>
      <c r="B2784" s="3">
        <v>2</v>
      </c>
      <c r="C2784" s="2">
        <v>25</v>
      </c>
      <c r="D2784" s="2">
        <v>5</v>
      </c>
      <c r="E2784" s="2">
        <v>16</v>
      </c>
      <c r="F2784" s="17">
        <v>160</v>
      </c>
      <c r="H2784" s="360">
        <v>0.99204150034049665</v>
      </c>
      <c r="I2784" s="360">
        <v>8.4694304362444277E-3</v>
      </c>
      <c r="K2784" s="363"/>
      <c r="N2784" s="10"/>
      <c r="O2784" s="4"/>
      <c r="P2784" s="4"/>
      <c r="Q2784" s="3"/>
      <c r="R2784" s="3"/>
      <c r="S2784" s="3"/>
      <c r="T2784" s="3"/>
    </row>
    <row r="2785" spans="1:20">
      <c r="A2785" s="3">
        <v>5</v>
      </c>
      <c r="B2785" s="3">
        <v>2</v>
      </c>
      <c r="C2785" s="2">
        <v>50</v>
      </c>
      <c r="D2785" s="2">
        <v>5</v>
      </c>
      <c r="E2785" s="2">
        <v>16</v>
      </c>
      <c r="F2785" s="17">
        <v>160</v>
      </c>
      <c r="H2785" s="360">
        <v>1</v>
      </c>
      <c r="I2785" s="360">
        <v>5.6658106928081983E-3</v>
      </c>
      <c r="K2785" s="363"/>
      <c r="N2785" s="10"/>
      <c r="O2785" s="4"/>
      <c r="P2785" s="4"/>
      <c r="Q2785" s="3"/>
      <c r="R2785" s="3"/>
      <c r="S2785" s="3"/>
      <c r="T2785" s="3"/>
    </row>
    <row r="2786" spans="1:20">
      <c r="A2786" s="3">
        <v>4</v>
      </c>
      <c r="B2786" s="3">
        <v>2</v>
      </c>
      <c r="C2786" s="2">
        <v>50</v>
      </c>
      <c r="D2786" s="2">
        <v>5</v>
      </c>
      <c r="E2786" s="2">
        <v>16</v>
      </c>
      <c r="F2786" s="17">
        <v>161</v>
      </c>
      <c r="H2786" s="360">
        <v>0.36937877665616081</v>
      </c>
      <c r="I2786" s="360">
        <v>0.10467258189669715</v>
      </c>
      <c r="K2786" s="363"/>
      <c r="N2786" s="10"/>
      <c r="O2786" s="4"/>
      <c r="P2786" s="4"/>
      <c r="Q2786" s="3"/>
      <c r="R2786" s="3"/>
      <c r="S2786" s="3"/>
      <c r="T2786" s="3"/>
    </row>
    <row r="2787" spans="1:20">
      <c r="A2787" s="3">
        <v>5</v>
      </c>
      <c r="B2787" s="3">
        <v>2</v>
      </c>
      <c r="C2787" s="2">
        <v>50</v>
      </c>
      <c r="D2787" s="2">
        <v>5</v>
      </c>
      <c r="E2787" s="2">
        <v>16</v>
      </c>
      <c r="F2787" s="17">
        <v>161</v>
      </c>
      <c r="H2787" s="360">
        <v>0.88095508392402022</v>
      </c>
      <c r="I2787" s="360">
        <v>1.100123149636416E-2</v>
      </c>
      <c r="K2787" s="363"/>
      <c r="N2787" s="10"/>
      <c r="O2787" s="4"/>
      <c r="P2787" s="4"/>
      <c r="Q2787" s="3"/>
      <c r="R2787" s="3"/>
      <c r="S2787" s="3"/>
      <c r="T2787" s="3"/>
    </row>
    <row r="2788" spans="1:20">
      <c r="A2788" s="3">
        <v>5</v>
      </c>
      <c r="B2788" s="3">
        <v>2</v>
      </c>
      <c r="C2788" s="2">
        <v>25</v>
      </c>
      <c r="D2788" s="2">
        <v>5</v>
      </c>
      <c r="E2788" s="2">
        <v>16</v>
      </c>
      <c r="F2788" s="17">
        <v>161</v>
      </c>
      <c r="H2788" s="360">
        <v>0.19116533282916737</v>
      </c>
      <c r="I2788" s="360">
        <v>2.8720600342032961E-3</v>
      </c>
      <c r="K2788" s="363"/>
      <c r="N2788" s="10"/>
      <c r="O2788" s="4"/>
      <c r="P2788" s="4"/>
      <c r="Q2788" s="3"/>
      <c r="R2788" s="3"/>
      <c r="S2788" s="3"/>
      <c r="T2788" s="3"/>
    </row>
    <row r="2789" spans="1:20">
      <c r="A2789" s="3">
        <v>1</v>
      </c>
      <c r="B2789" s="3">
        <v>1</v>
      </c>
      <c r="C2789" s="2">
        <v>25</v>
      </c>
      <c r="D2789" s="2">
        <v>5</v>
      </c>
      <c r="E2789" s="2">
        <v>1</v>
      </c>
      <c r="F2789" s="17">
        <v>161</v>
      </c>
      <c r="H2789" s="360">
        <v>0</v>
      </c>
      <c r="I2789" s="360">
        <v>0</v>
      </c>
      <c r="K2789" s="363"/>
      <c r="N2789" s="10"/>
      <c r="O2789" s="4"/>
      <c r="P2789" s="4"/>
      <c r="Q2789" s="3"/>
      <c r="R2789" s="3"/>
      <c r="S2789" s="3"/>
      <c r="T2789" s="3"/>
    </row>
    <row r="2790" spans="1:20">
      <c r="A2790" s="3">
        <v>1</v>
      </c>
      <c r="B2790" s="3">
        <v>1</v>
      </c>
      <c r="C2790" s="2">
        <v>25</v>
      </c>
      <c r="D2790" s="2">
        <v>5</v>
      </c>
      <c r="E2790" s="2">
        <v>16</v>
      </c>
      <c r="F2790" s="17">
        <v>161</v>
      </c>
      <c r="H2790" s="360">
        <v>0</v>
      </c>
      <c r="I2790" s="360">
        <v>0</v>
      </c>
      <c r="K2790" s="363"/>
      <c r="N2790" s="10"/>
      <c r="O2790" s="4"/>
      <c r="P2790" s="4"/>
      <c r="Q2790" s="3"/>
      <c r="R2790" s="3"/>
      <c r="S2790" s="3"/>
      <c r="T2790" s="3"/>
    </row>
    <row r="2791" spans="1:20">
      <c r="A2791" s="3">
        <v>1</v>
      </c>
      <c r="B2791" s="3">
        <v>2</v>
      </c>
      <c r="C2791" s="2">
        <v>25</v>
      </c>
      <c r="D2791" s="2">
        <v>5</v>
      </c>
      <c r="E2791" s="2">
        <v>1</v>
      </c>
      <c r="F2791" s="17">
        <v>161</v>
      </c>
      <c r="H2791" s="360">
        <v>0</v>
      </c>
      <c r="I2791" s="360">
        <v>0</v>
      </c>
      <c r="K2791" s="363"/>
      <c r="N2791" s="10"/>
      <c r="O2791" s="4"/>
      <c r="P2791" s="4"/>
      <c r="Q2791" s="3"/>
      <c r="R2791" s="3"/>
      <c r="S2791" s="3"/>
      <c r="T2791" s="3"/>
    </row>
    <row r="2792" spans="1:20">
      <c r="A2792" s="3">
        <v>1</v>
      </c>
      <c r="B2792" s="3">
        <v>2</v>
      </c>
      <c r="C2792" s="2">
        <v>25</v>
      </c>
      <c r="D2792" s="2">
        <v>5</v>
      </c>
      <c r="E2792" s="2">
        <v>16</v>
      </c>
      <c r="F2792" s="17">
        <v>161</v>
      </c>
      <c r="H2792" s="360">
        <v>0</v>
      </c>
      <c r="I2792" s="360">
        <v>0</v>
      </c>
      <c r="K2792" s="363"/>
      <c r="N2792" s="10"/>
      <c r="O2792" s="4"/>
      <c r="P2792" s="4"/>
      <c r="Q2792" s="3"/>
      <c r="R2792" s="3"/>
      <c r="S2792" s="3"/>
      <c r="T2792" s="3"/>
    </row>
    <row r="2793" spans="1:20">
      <c r="A2793" s="3">
        <v>1</v>
      </c>
      <c r="B2793" s="3">
        <v>2</v>
      </c>
      <c r="C2793" s="2">
        <v>25</v>
      </c>
      <c r="D2793" s="2">
        <v>5</v>
      </c>
      <c r="E2793" s="2">
        <v>16</v>
      </c>
      <c r="F2793" s="17">
        <v>161</v>
      </c>
      <c r="H2793" s="360">
        <v>0</v>
      </c>
      <c r="I2793" s="360">
        <v>0</v>
      </c>
      <c r="K2793" s="363"/>
      <c r="N2793" s="10"/>
      <c r="O2793" s="4"/>
      <c r="P2793" s="4"/>
      <c r="Q2793" s="3"/>
      <c r="R2793" s="3"/>
      <c r="S2793" s="3"/>
      <c r="T2793" s="3"/>
    </row>
    <row r="2794" spans="1:20">
      <c r="A2794" s="3">
        <v>2</v>
      </c>
      <c r="B2794" s="3">
        <v>2</v>
      </c>
      <c r="C2794" s="2">
        <v>25</v>
      </c>
      <c r="D2794" s="2">
        <v>5</v>
      </c>
      <c r="E2794" s="2">
        <v>1</v>
      </c>
      <c r="F2794" s="17">
        <v>161</v>
      </c>
      <c r="H2794" s="360">
        <v>0</v>
      </c>
      <c r="I2794" s="360">
        <v>0</v>
      </c>
      <c r="K2794" s="363"/>
      <c r="N2794" s="10"/>
      <c r="O2794" s="4"/>
      <c r="P2794" s="4"/>
      <c r="Q2794" s="3"/>
      <c r="R2794" s="3"/>
      <c r="S2794" s="3"/>
      <c r="T2794" s="3"/>
    </row>
    <row r="2795" spans="1:20">
      <c r="A2795" s="3">
        <v>2</v>
      </c>
      <c r="B2795" s="3">
        <v>2</v>
      </c>
      <c r="C2795" s="2">
        <v>25</v>
      </c>
      <c r="D2795" s="2">
        <v>5</v>
      </c>
      <c r="E2795" s="2">
        <v>16</v>
      </c>
      <c r="F2795" s="17">
        <v>161</v>
      </c>
      <c r="H2795" s="360">
        <v>0</v>
      </c>
      <c r="I2795" s="360">
        <v>0</v>
      </c>
      <c r="K2795" s="363"/>
      <c r="N2795" s="10"/>
      <c r="O2795" s="4"/>
      <c r="P2795" s="4"/>
      <c r="Q2795" s="3"/>
      <c r="R2795" s="3"/>
      <c r="S2795" s="3"/>
      <c r="T2795" s="3"/>
    </row>
    <row r="2796" spans="1:20">
      <c r="A2796" s="3">
        <v>2</v>
      </c>
      <c r="B2796" s="3">
        <v>1</v>
      </c>
      <c r="C2796" s="2">
        <v>25</v>
      </c>
      <c r="D2796" s="2">
        <v>5</v>
      </c>
      <c r="E2796" s="2">
        <v>1</v>
      </c>
      <c r="F2796" s="17">
        <v>161</v>
      </c>
      <c r="H2796" s="360">
        <v>0</v>
      </c>
      <c r="I2796" s="360">
        <v>0</v>
      </c>
      <c r="K2796" s="363"/>
      <c r="N2796" s="10"/>
      <c r="O2796" s="4"/>
      <c r="P2796" s="4"/>
      <c r="Q2796" s="3"/>
      <c r="R2796" s="3"/>
      <c r="S2796" s="3"/>
      <c r="T2796" s="3"/>
    </row>
    <row r="2797" spans="1:20">
      <c r="A2797" s="3">
        <v>2</v>
      </c>
      <c r="B2797" s="3">
        <v>1</v>
      </c>
      <c r="C2797" s="2">
        <v>25</v>
      </c>
      <c r="D2797" s="2">
        <v>5</v>
      </c>
      <c r="E2797" s="2">
        <v>16</v>
      </c>
      <c r="F2797" s="17">
        <v>161</v>
      </c>
      <c r="H2797" s="360">
        <v>0</v>
      </c>
      <c r="I2797" s="360">
        <v>0</v>
      </c>
      <c r="K2797" s="363"/>
      <c r="N2797" s="10"/>
      <c r="O2797" s="4"/>
      <c r="P2797" s="4"/>
      <c r="Q2797" s="3"/>
      <c r="R2797" s="3"/>
      <c r="S2797" s="3"/>
      <c r="T2797" s="3"/>
    </row>
    <row r="2798" spans="1:20">
      <c r="A2798" s="3">
        <v>3</v>
      </c>
      <c r="B2798" s="3">
        <v>1</v>
      </c>
      <c r="C2798" s="2">
        <v>25</v>
      </c>
      <c r="D2798" s="2">
        <v>5</v>
      </c>
      <c r="E2798" s="2">
        <v>1</v>
      </c>
      <c r="F2798" s="17">
        <v>161</v>
      </c>
      <c r="H2798" s="360">
        <v>3.4875086360151353E-2</v>
      </c>
      <c r="I2798" s="360">
        <v>-4.4739231312418054E-2</v>
      </c>
      <c r="K2798" s="363"/>
      <c r="N2798" s="10"/>
      <c r="O2798" s="4"/>
      <c r="P2798" s="4"/>
      <c r="Q2798" s="3"/>
      <c r="R2798" s="3"/>
      <c r="S2798" s="3"/>
      <c r="T2798" s="3"/>
    </row>
    <row r="2799" spans="1:20">
      <c r="A2799" s="3">
        <v>1</v>
      </c>
      <c r="B2799" s="3">
        <v>2</v>
      </c>
      <c r="C2799" s="2">
        <v>25</v>
      </c>
      <c r="D2799" s="2">
        <v>30</v>
      </c>
      <c r="E2799" s="2">
        <v>16</v>
      </c>
      <c r="F2799" s="17">
        <v>161</v>
      </c>
      <c r="H2799" s="360">
        <v>1.3548194978174721E-2</v>
      </c>
      <c r="I2799" s="360">
        <v>-7.1970238946916579E-2</v>
      </c>
      <c r="K2799" s="363"/>
      <c r="N2799" s="10"/>
      <c r="O2799" s="4"/>
      <c r="P2799" s="4"/>
      <c r="Q2799" s="3"/>
      <c r="R2799" s="3"/>
      <c r="S2799" s="3"/>
      <c r="T2799" s="3"/>
    </row>
    <row r="2800" spans="1:20">
      <c r="A2800" s="3">
        <v>3</v>
      </c>
      <c r="B2800" s="3">
        <v>2</v>
      </c>
      <c r="C2800" s="2">
        <v>25</v>
      </c>
      <c r="D2800" s="2">
        <v>5</v>
      </c>
      <c r="E2800" s="2">
        <v>16</v>
      </c>
      <c r="F2800" s="17">
        <v>161</v>
      </c>
      <c r="H2800" s="360">
        <v>3.9311796782821817E-2</v>
      </c>
      <c r="I2800" s="360">
        <v>-0.11005768634655656</v>
      </c>
      <c r="K2800" s="363"/>
      <c r="N2800" s="10"/>
      <c r="O2800" s="4"/>
      <c r="P2800" s="4"/>
      <c r="Q2800" s="3"/>
      <c r="R2800" s="3"/>
      <c r="S2800" s="3"/>
      <c r="T2800" s="3"/>
    </row>
    <row r="2801" spans="1:20">
      <c r="A2801" s="3">
        <v>1</v>
      </c>
      <c r="B2801" s="3">
        <v>1</v>
      </c>
      <c r="C2801" s="2">
        <v>25</v>
      </c>
      <c r="D2801" s="2">
        <v>30</v>
      </c>
      <c r="E2801" s="2">
        <v>16</v>
      </c>
      <c r="F2801" s="17">
        <v>161</v>
      </c>
      <c r="H2801" s="360">
        <v>2.1731172163072077E-2</v>
      </c>
      <c r="I2801" s="360">
        <v>-0.14496657687319167</v>
      </c>
      <c r="K2801" s="363"/>
      <c r="N2801" s="10"/>
      <c r="O2801" s="4"/>
      <c r="P2801" s="4"/>
      <c r="Q2801" s="3"/>
      <c r="R2801" s="3"/>
      <c r="S2801" s="3"/>
      <c r="T2801" s="3"/>
    </row>
    <row r="2802" spans="1:20">
      <c r="A2802" s="3">
        <v>3</v>
      </c>
      <c r="B2802" s="3">
        <v>2</v>
      </c>
      <c r="C2802" s="2">
        <v>25</v>
      </c>
      <c r="D2802" s="2">
        <v>5</v>
      </c>
      <c r="E2802" s="2">
        <v>1</v>
      </c>
      <c r="F2802" s="17">
        <v>161</v>
      </c>
      <c r="H2802" s="360">
        <v>3.5439212227515782E-2</v>
      </c>
      <c r="I2802" s="360">
        <v>-0.17257335533395507</v>
      </c>
      <c r="K2802" s="363"/>
      <c r="N2802" s="10"/>
      <c r="O2802" s="4"/>
      <c r="P2802" s="4"/>
      <c r="Q2802" s="3"/>
      <c r="R2802" s="3"/>
      <c r="S2802" s="3"/>
      <c r="T2802" s="3"/>
    </row>
    <row r="2803" spans="1:20">
      <c r="A2803" s="3">
        <v>3</v>
      </c>
      <c r="B2803" s="3">
        <v>1</v>
      </c>
      <c r="C2803" s="2">
        <v>25</v>
      </c>
      <c r="D2803" s="2">
        <v>5</v>
      </c>
      <c r="E2803" s="2">
        <v>16</v>
      </c>
      <c r="F2803" s="17">
        <v>161</v>
      </c>
      <c r="H2803" s="360">
        <v>3.7588972739909909E-2</v>
      </c>
      <c r="I2803" s="360">
        <v>-0.26334885144143549</v>
      </c>
      <c r="K2803" s="363"/>
      <c r="N2803" s="10"/>
      <c r="O2803" s="4"/>
      <c r="P2803" s="4"/>
      <c r="Q2803" s="3"/>
      <c r="R2803" s="3"/>
      <c r="S2803" s="3"/>
      <c r="T2803" s="3"/>
    </row>
    <row r="2804" spans="1:20">
      <c r="A2804" s="3">
        <v>1</v>
      </c>
      <c r="B2804" s="3">
        <v>2</v>
      </c>
      <c r="C2804" s="2">
        <v>25</v>
      </c>
      <c r="D2804" s="2">
        <v>5</v>
      </c>
      <c r="E2804" s="2">
        <v>1</v>
      </c>
      <c r="F2804" s="17">
        <v>162</v>
      </c>
      <c r="H2804" s="360">
        <v>4.2607542022568778E-2</v>
      </c>
      <c r="I2804" s="360">
        <v>9.9374241150649106E-2</v>
      </c>
      <c r="K2804" s="363"/>
      <c r="N2804" s="10"/>
      <c r="O2804" s="4"/>
      <c r="P2804" s="4"/>
      <c r="Q2804" s="3"/>
      <c r="R2804" s="3"/>
      <c r="S2804" s="3"/>
      <c r="T2804" s="3"/>
    </row>
    <row r="2805" spans="1:20">
      <c r="A2805" s="3">
        <v>4</v>
      </c>
      <c r="B2805" s="3">
        <v>2</v>
      </c>
      <c r="C2805" s="2">
        <v>50</v>
      </c>
      <c r="D2805" s="2">
        <v>5</v>
      </c>
      <c r="E2805" s="2">
        <v>16</v>
      </c>
      <c r="F2805" s="17">
        <v>162</v>
      </c>
      <c r="H2805" s="360">
        <v>0.8917011808656421</v>
      </c>
      <c r="I2805" s="360">
        <v>7.0874861572535988E-2</v>
      </c>
      <c r="K2805" s="363"/>
      <c r="N2805" s="10"/>
      <c r="O2805" s="4"/>
      <c r="P2805" s="4"/>
      <c r="Q2805" s="3"/>
      <c r="R2805" s="3"/>
      <c r="S2805" s="3"/>
      <c r="T2805" s="3"/>
    </row>
    <row r="2806" spans="1:20">
      <c r="A2806" s="3">
        <v>1</v>
      </c>
      <c r="B2806" s="3">
        <v>1</v>
      </c>
      <c r="C2806" s="2">
        <v>25</v>
      </c>
      <c r="D2806" s="2">
        <v>30</v>
      </c>
      <c r="E2806" s="2">
        <v>16</v>
      </c>
      <c r="F2806" s="17">
        <v>162</v>
      </c>
      <c r="H2806" s="360">
        <v>6.6424759644868492E-2</v>
      </c>
      <c r="I2806" s="360">
        <v>2.3709046978361546E-2</v>
      </c>
      <c r="K2806" s="363"/>
      <c r="N2806" s="10"/>
      <c r="O2806" s="4"/>
      <c r="P2806" s="4"/>
      <c r="Q2806" s="3"/>
      <c r="R2806" s="3"/>
      <c r="S2806" s="3"/>
      <c r="T2806" s="3"/>
    </row>
    <row r="2807" spans="1:20">
      <c r="A2807" s="3">
        <v>5</v>
      </c>
      <c r="B2807" s="3">
        <v>2</v>
      </c>
      <c r="C2807" s="2">
        <v>25</v>
      </c>
      <c r="D2807" s="2">
        <v>5</v>
      </c>
      <c r="E2807" s="2">
        <v>16</v>
      </c>
      <c r="F2807" s="17">
        <v>162</v>
      </c>
      <c r="H2807" s="360">
        <v>1</v>
      </c>
      <c r="I2807" s="360">
        <v>1.3305505175722624E-2</v>
      </c>
      <c r="K2807" s="363"/>
      <c r="N2807" s="10"/>
      <c r="O2807" s="4"/>
      <c r="P2807" s="4"/>
      <c r="Q2807" s="3"/>
      <c r="R2807" s="3"/>
      <c r="S2807" s="3"/>
      <c r="T2807" s="3"/>
    </row>
    <row r="2808" spans="1:20">
      <c r="A2808" s="3">
        <v>5</v>
      </c>
      <c r="B2808" s="3">
        <v>2</v>
      </c>
      <c r="C2808" s="2">
        <v>50</v>
      </c>
      <c r="D2808" s="2">
        <v>5</v>
      </c>
      <c r="E2808" s="2">
        <v>16</v>
      </c>
      <c r="F2808" s="17">
        <v>162</v>
      </c>
      <c r="H2808" s="360">
        <v>1</v>
      </c>
      <c r="I2808" s="360">
        <v>5.7438418448983305E-3</v>
      </c>
      <c r="K2808" s="363"/>
      <c r="N2808" s="10"/>
      <c r="O2808" s="4"/>
      <c r="P2808" s="4"/>
      <c r="Q2808" s="3"/>
      <c r="R2808" s="3"/>
      <c r="S2808" s="3"/>
      <c r="T2808" s="3"/>
    </row>
    <row r="2809" spans="1:20">
      <c r="A2809" s="3">
        <v>1</v>
      </c>
      <c r="B2809" s="3">
        <v>1</v>
      </c>
      <c r="C2809" s="2">
        <v>25</v>
      </c>
      <c r="D2809" s="2">
        <v>5</v>
      </c>
      <c r="E2809" s="2">
        <v>1</v>
      </c>
      <c r="F2809" s="17">
        <v>162</v>
      </c>
      <c r="H2809" s="360">
        <v>0</v>
      </c>
      <c r="I2809" s="360">
        <v>0</v>
      </c>
      <c r="K2809" s="363"/>
      <c r="N2809" s="10"/>
      <c r="O2809" s="4"/>
      <c r="P2809" s="4"/>
      <c r="Q2809" s="3"/>
      <c r="R2809" s="3"/>
      <c r="S2809" s="3"/>
      <c r="T2809" s="3"/>
    </row>
    <row r="2810" spans="1:20">
      <c r="A2810" s="3">
        <v>2</v>
      </c>
      <c r="B2810" s="3">
        <v>1</v>
      </c>
      <c r="C2810" s="2">
        <v>25</v>
      </c>
      <c r="D2810" s="2">
        <v>5</v>
      </c>
      <c r="E2810" s="2">
        <v>1</v>
      </c>
      <c r="F2810" s="17">
        <v>162</v>
      </c>
      <c r="H2810" s="360">
        <v>0</v>
      </c>
      <c r="I2810" s="360">
        <v>0</v>
      </c>
      <c r="K2810" s="363"/>
      <c r="N2810" s="10"/>
      <c r="O2810" s="4"/>
      <c r="P2810" s="4"/>
      <c r="Q2810" s="3"/>
      <c r="R2810" s="3"/>
      <c r="S2810" s="3"/>
      <c r="T2810" s="3"/>
    </row>
    <row r="2811" spans="1:20">
      <c r="A2811" s="3">
        <v>1</v>
      </c>
      <c r="B2811" s="3">
        <v>2</v>
      </c>
      <c r="C2811" s="2">
        <v>25</v>
      </c>
      <c r="D2811" s="2">
        <v>30</v>
      </c>
      <c r="E2811" s="2">
        <v>16</v>
      </c>
      <c r="F2811" s="17">
        <v>162</v>
      </c>
      <c r="H2811" s="360">
        <v>0.86888926949954737</v>
      </c>
      <c r="I2811" s="360">
        <v>-8.889710380277166E-3</v>
      </c>
      <c r="K2811" s="363"/>
      <c r="N2811" s="10"/>
      <c r="O2811" s="4"/>
      <c r="P2811" s="4"/>
      <c r="Q2811" s="3"/>
      <c r="R2811" s="3"/>
      <c r="S2811" s="3"/>
      <c r="T2811" s="3"/>
    </row>
    <row r="2812" spans="1:20">
      <c r="A2812" s="3">
        <v>2</v>
      </c>
      <c r="B2812" s="3">
        <v>1</v>
      </c>
      <c r="C2812" s="2">
        <v>25</v>
      </c>
      <c r="D2812" s="2">
        <v>5</v>
      </c>
      <c r="E2812" s="2">
        <v>16</v>
      </c>
      <c r="F2812" s="17">
        <v>162</v>
      </c>
      <c r="H2812" s="360">
        <v>0.4644337765715516</v>
      </c>
      <c r="I2812" s="360">
        <v>-2.0789320268918748E-2</v>
      </c>
      <c r="K2812" s="363"/>
      <c r="N2812" s="10"/>
      <c r="O2812" s="4"/>
      <c r="P2812" s="4"/>
      <c r="Q2812" s="3"/>
      <c r="R2812" s="3"/>
      <c r="S2812" s="3"/>
      <c r="T2812" s="3"/>
    </row>
    <row r="2813" spans="1:20">
      <c r="A2813" s="3">
        <v>3</v>
      </c>
      <c r="B2813" s="3">
        <v>2</v>
      </c>
      <c r="C2813" s="2">
        <v>25</v>
      </c>
      <c r="D2813" s="2">
        <v>5</v>
      </c>
      <c r="E2813" s="2">
        <v>1</v>
      </c>
      <c r="F2813" s="17">
        <v>162</v>
      </c>
      <c r="H2813" s="360">
        <v>8.5065351744433415E-2</v>
      </c>
      <c r="I2813" s="360">
        <v>-2.2235729119181483E-2</v>
      </c>
      <c r="K2813" s="363"/>
      <c r="N2813" s="10"/>
      <c r="O2813" s="4"/>
      <c r="P2813" s="4"/>
      <c r="Q2813" s="3"/>
      <c r="R2813" s="3"/>
      <c r="S2813" s="3"/>
      <c r="T2813" s="3"/>
    </row>
    <row r="2814" spans="1:20">
      <c r="A2814" s="3">
        <v>2</v>
      </c>
      <c r="B2814" s="3">
        <v>2</v>
      </c>
      <c r="C2814" s="2">
        <v>25</v>
      </c>
      <c r="D2814" s="2">
        <v>5</v>
      </c>
      <c r="E2814" s="2">
        <v>1</v>
      </c>
      <c r="F2814" s="17">
        <v>162</v>
      </c>
      <c r="H2814" s="360">
        <v>0.97838063766835126</v>
      </c>
      <c r="I2814" s="360">
        <v>-3.1187658611640232E-2</v>
      </c>
      <c r="K2814" s="363"/>
      <c r="N2814" s="10"/>
      <c r="O2814" s="4"/>
      <c r="P2814" s="4"/>
      <c r="Q2814" s="3"/>
      <c r="R2814" s="3"/>
      <c r="S2814" s="3"/>
      <c r="T2814" s="3"/>
    </row>
    <row r="2815" spans="1:20">
      <c r="A2815" s="3">
        <v>1</v>
      </c>
      <c r="B2815" s="3">
        <v>2</v>
      </c>
      <c r="C2815" s="2">
        <v>25</v>
      </c>
      <c r="D2815" s="2">
        <v>5</v>
      </c>
      <c r="E2815" s="2">
        <v>16</v>
      </c>
      <c r="F2815" s="17">
        <v>162</v>
      </c>
      <c r="H2815" s="360">
        <v>0.27895372885260861</v>
      </c>
      <c r="I2815" s="360">
        <v>-3.2101455947620969E-2</v>
      </c>
      <c r="K2815" s="363"/>
      <c r="N2815" s="10"/>
      <c r="O2815" s="4"/>
      <c r="P2815" s="4"/>
      <c r="Q2815" s="3"/>
      <c r="R2815" s="3"/>
      <c r="S2815" s="3"/>
      <c r="T2815" s="3"/>
    </row>
    <row r="2816" spans="1:20">
      <c r="A2816" s="3">
        <v>2</v>
      </c>
      <c r="B2816" s="3">
        <v>2</v>
      </c>
      <c r="C2816" s="2">
        <v>25</v>
      </c>
      <c r="D2816" s="2">
        <v>5</v>
      </c>
      <c r="E2816" s="2">
        <v>16</v>
      </c>
      <c r="F2816" s="17">
        <v>162</v>
      </c>
      <c r="H2816" s="360">
        <v>1</v>
      </c>
      <c r="I2816" s="360">
        <v>-3.9589718577365922E-2</v>
      </c>
      <c r="K2816" s="363"/>
      <c r="N2816" s="10"/>
      <c r="O2816" s="4"/>
      <c r="P2816" s="4"/>
      <c r="Q2816" s="3"/>
      <c r="R2816" s="3"/>
      <c r="S2816" s="3"/>
      <c r="T2816" s="3"/>
    </row>
    <row r="2817" spans="1:20">
      <c r="A2817" s="3">
        <v>1</v>
      </c>
      <c r="B2817" s="3">
        <v>1</v>
      </c>
      <c r="C2817" s="2">
        <v>25</v>
      </c>
      <c r="D2817" s="2">
        <v>5</v>
      </c>
      <c r="E2817" s="2">
        <v>16</v>
      </c>
      <c r="F2817" s="17">
        <v>162</v>
      </c>
      <c r="H2817" s="360">
        <v>5.6381501063617279E-2</v>
      </c>
      <c r="I2817" s="360">
        <v>-4.8117977197943834E-2</v>
      </c>
      <c r="K2817" s="363"/>
      <c r="N2817" s="10"/>
      <c r="O2817" s="4"/>
      <c r="P2817" s="4"/>
      <c r="Q2817" s="3"/>
      <c r="R2817" s="3"/>
      <c r="S2817" s="3"/>
      <c r="T2817" s="3"/>
    </row>
    <row r="2818" spans="1:20">
      <c r="A2818" s="3">
        <v>1</v>
      </c>
      <c r="B2818" s="3">
        <v>2</v>
      </c>
      <c r="C2818" s="2">
        <v>25</v>
      </c>
      <c r="D2818" s="2">
        <v>5</v>
      </c>
      <c r="E2818" s="2">
        <v>16</v>
      </c>
      <c r="F2818" s="17">
        <v>162</v>
      </c>
      <c r="H2818" s="360">
        <v>0.34070657819249472</v>
      </c>
      <c r="I2818" s="360">
        <v>-5.2809418602504536E-2</v>
      </c>
      <c r="K2818" s="363"/>
      <c r="N2818" s="10"/>
      <c r="O2818" s="4"/>
      <c r="P2818" s="4"/>
      <c r="Q2818" s="3"/>
      <c r="R2818" s="3"/>
      <c r="S2818" s="3"/>
      <c r="T2818" s="3"/>
    </row>
    <row r="2819" spans="1:20">
      <c r="A2819" s="3">
        <v>3</v>
      </c>
      <c r="B2819" s="3">
        <v>1</v>
      </c>
      <c r="C2819" s="2">
        <v>25</v>
      </c>
      <c r="D2819" s="2">
        <v>5</v>
      </c>
      <c r="E2819" s="2">
        <v>1</v>
      </c>
      <c r="F2819" s="17">
        <v>162</v>
      </c>
      <c r="H2819" s="360">
        <v>1.3026291072433804E-2</v>
      </c>
      <c r="I2819" s="360">
        <v>-6.0600117670131397E-2</v>
      </c>
      <c r="K2819" s="363"/>
      <c r="N2819" s="10"/>
      <c r="O2819" s="4"/>
      <c r="P2819" s="4"/>
      <c r="Q2819" s="3"/>
      <c r="R2819" s="3"/>
      <c r="S2819" s="3"/>
      <c r="T2819" s="3"/>
    </row>
    <row r="2820" spans="1:20">
      <c r="A2820" s="3">
        <v>3</v>
      </c>
      <c r="B2820" s="3">
        <v>2</v>
      </c>
      <c r="C2820" s="2">
        <v>25</v>
      </c>
      <c r="D2820" s="2">
        <v>5</v>
      </c>
      <c r="E2820" s="2">
        <v>16</v>
      </c>
      <c r="F2820" s="17">
        <v>162</v>
      </c>
      <c r="H2820" s="360">
        <v>0.2928367321157862</v>
      </c>
      <c r="I2820" s="360">
        <v>-0.18230046088390053</v>
      </c>
      <c r="K2820" s="363"/>
      <c r="N2820" s="10"/>
      <c r="O2820" s="4"/>
      <c r="P2820" s="4"/>
      <c r="Q2820" s="3"/>
      <c r="R2820" s="3"/>
      <c r="S2820" s="3"/>
      <c r="T2820" s="3"/>
    </row>
    <row r="2821" spans="1:20">
      <c r="A2821" s="3">
        <v>3</v>
      </c>
      <c r="B2821" s="3">
        <v>1</v>
      </c>
      <c r="C2821" s="2">
        <v>25</v>
      </c>
      <c r="D2821" s="2">
        <v>5</v>
      </c>
      <c r="E2821" s="2">
        <v>16</v>
      </c>
      <c r="F2821" s="17">
        <v>162</v>
      </c>
      <c r="H2821" s="360">
        <v>1.4624387705105213E-2</v>
      </c>
      <c r="I2821" s="360">
        <v>-0.21718377088305491</v>
      </c>
      <c r="K2821" s="363"/>
      <c r="N2821" s="10"/>
      <c r="O2821" s="4"/>
      <c r="P2821" s="4"/>
      <c r="Q2821" s="3"/>
      <c r="R2821" s="3"/>
      <c r="S2821" s="3"/>
      <c r="T2821" s="3"/>
    </row>
    <row r="2822" spans="1:20">
      <c r="A2822" s="3">
        <v>3</v>
      </c>
      <c r="B2822" s="3">
        <v>2</v>
      </c>
      <c r="C2822" s="2">
        <v>25</v>
      </c>
      <c r="D2822" s="2">
        <v>5</v>
      </c>
      <c r="E2822" s="2">
        <v>16</v>
      </c>
      <c r="F2822" s="17">
        <v>163</v>
      </c>
      <c r="H2822" s="360">
        <v>0.97613736869150702</v>
      </c>
      <c r="I2822" s="360">
        <v>0.88217412614943258</v>
      </c>
      <c r="K2822" s="363"/>
      <c r="N2822" s="10"/>
      <c r="O2822" s="4"/>
      <c r="P2822" s="4"/>
      <c r="Q2822" s="3"/>
      <c r="R2822" s="3"/>
      <c r="S2822" s="3"/>
      <c r="T2822" s="3"/>
    </row>
    <row r="2823" spans="1:20">
      <c r="A2823" s="3">
        <v>3</v>
      </c>
      <c r="B2823" s="3">
        <v>2</v>
      </c>
      <c r="C2823" s="2">
        <v>25</v>
      </c>
      <c r="D2823" s="2">
        <v>5</v>
      </c>
      <c r="E2823" s="2">
        <v>1</v>
      </c>
      <c r="F2823" s="17">
        <v>163</v>
      </c>
      <c r="H2823" s="360">
        <v>0.98009896968923049</v>
      </c>
      <c r="I2823" s="360">
        <v>0.85807434377960656</v>
      </c>
      <c r="K2823" s="363"/>
      <c r="N2823" s="10"/>
      <c r="O2823" s="4"/>
      <c r="P2823" s="4"/>
      <c r="Q2823" s="3"/>
      <c r="R2823" s="3"/>
      <c r="S2823" s="3"/>
      <c r="T2823" s="3"/>
    </row>
    <row r="2824" spans="1:20">
      <c r="A2824" s="3">
        <v>1</v>
      </c>
      <c r="B2824" s="3">
        <v>2</v>
      </c>
      <c r="C2824" s="2">
        <v>25</v>
      </c>
      <c r="D2824" s="2">
        <v>5</v>
      </c>
      <c r="E2824" s="2">
        <v>16</v>
      </c>
      <c r="F2824" s="17">
        <v>163</v>
      </c>
      <c r="H2824" s="360">
        <v>1</v>
      </c>
      <c r="I2824" s="360">
        <v>0.78036951351823403</v>
      </c>
      <c r="K2824" s="363"/>
      <c r="N2824" s="10"/>
      <c r="O2824" s="4"/>
      <c r="P2824" s="4"/>
      <c r="Q2824" s="3"/>
      <c r="R2824" s="3"/>
      <c r="S2824" s="3"/>
      <c r="T2824" s="3"/>
    </row>
    <row r="2825" spans="1:20">
      <c r="A2825" s="3">
        <v>1</v>
      </c>
      <c r="B2825" s="3">
        <v>2</v>
      </c>
      <c r="C2825" s="2">
        <v>25</v>
      </c>
      <c r="D2825" s="2">
        <v>5</v>
      </c>
      <c r="E2825" s="2">
        <v>16</v>
      </c>
      <c r="F2825" s="17">
        <v>163</v>
      </c>
      <c r="H2825" s="360">
        <v>1</v>
      </c>
      <c r="I2825" s="360">
        <v>0.76388599480751374</v>
      </c>
      <c r="K2825" s="363"/>
      <c r="N2825" s="10"/>
      <c r="O2825" s="4"/>
      <c r="P2825" s="4"/>
      <c r="Q2825" s="3"/>
      <c r="R2825" s="3"/>
      <c r="S2825" s="3"/>
      <c r="T2825" s="3"/>
    </row>
    <row r="2826" spans="1:20">
      <c r="A2826" s="3">
        <v>1</v>
      </c>
      <c r="B2826" s="3">
        <v>2</v>
      </c>
      <c r="C2826" s="2">
        <v>25</v>
      </c>
      <c r="D2826" s="2">
        <v>5</v>
      </c>
      <c r="E2826" s="2">
        <v>1</v>
      </c>
      <c r="F2826" s="17">
        <v>163</v>
      </c>
      <c r="H2826" s="360">
        <v>0.95443316867242378</v>
      </c>
      <c r="I2826" s="360">
        <v>0.76374170756356696</v>
      </c>
      <c r="K2826" s="363"/>
      <c r="N2826" s="10"/>
      <c r="O2826" s="4"/>
      <c r="P2826" s="4"/>
      <c r="Q2826" s="3"/>
      <c r="R2826" s="3"/>
      <c r="S2826" s="3"/>
      <c r="T2826" s="3"/>
    </row>
    <row r="2827" spans="1:20">
      <c r="A2827" s="3">
        <v>1</v>
      </c>
      <c r="B2827" s="3">
        <v>2</v>
      </c>
      <c r="C2827" s="2">
        <v>25</v>
      </c>
      <c r="D2827" s="2">
        <v>30</v>
      </c>
      <c r="E2827" s="2">
        <v>16</v>
      </c>
      <c r="F2827" s="17">
        <v>163</v>
      </c>
      <c r="H2827" s="360">
        <v>1</v>
      </c>
      <c r="I2827" s="360">
        <v>0.68511737022729569</v>
      </c>
      <c r="K2827" s="363"/>
      <c r="N2827" s="10"/>
      <c r="O2827" s="4"/>
      <c r="P2827" s="4"/>
      <c r="Q2827" s="3"/>
      <c r="R2827" s="3"/>
      <c r="S2827" s="3"/>
      <c r="T2827" s="3"/>
    </row>
    <row r="2828" spans="1:20">
      <c r="A2828" s="3">
        <v>1</v>
      </c>
      <c r="B2828" s="3">
        <v>1</v>
      </c>
      <c r="C2828" s="2">
        <v>25</v>
      </c>
      <c r="D2828" s="2">
        <v>5</v>
      </c>
      <c r="E2828" s="2">
        <v>1</v>
      </c>
      <c r="F2828" s="17">
        <v>163</v>
      </c>
      <c r="H2828" s="360">
        <v>1</v>
      </c>
      <c r="I2828" s="360">
        <v>0.6722975058602676</v>
      </c>
      <c r="K2828" s="363"/>
      <c r="N2828" s="10"/>
      <c r="O2828" s="4"/>
      <c r="P2828" s="4"/>
      <c r="Q2828" s="3"/>
      <c r="R2828" s="3"/>
      <c r="S2828" s="3"/>
      <c r="T2828" s="3"/>
    </row>
    <row r="2829" spans="1:20">
      <c r="A2829" s="3">
        <v>1</v>
      </c>
      <c r="B2829" s="3">
        <v>1</v>
      </c>
      <c r="C2829" s="2">
        <v>25</v>
      </c>
      <c r="D2829" s="2">
        <v>5</v>
      </c>
      <c r="E2829" s="2">
        <v>16</v>
      </c>
      <c r="F2829" s="17">
        <v>163</v>
      </c>
      <c r="H2829" s="360">
        <v>1</v>
      </c>
      <c r="I2829" s="360">
        <v>0.66158466356484025</v>
      </c>
      <c r="K2829" s="363"/>
      <c r="N2829" s="10"/>
      <c r="O2829" s="4"/>
      <c r="P2829" s="4"/>
      <c r="Q2829" s="3"/>
      <c r="R2829" s="3"/>
      <c r="S2829" s="3"/>
      <c r="T2829" s="3"/>
    </row>
    <row r="2830" spans="1:20">
      <c r="A2830" s="3">
        <v>1</v>
      </c>
      <c r="B2830" s="3">
        <v>1</v>
      </c>
      <c r="C2830" s="2">
        <v>25</v>
      </c>
      <c r="D2830" s="2">
        <v>30</v>
      </c>
      <c r="E2830" s="2">
        <v>16</v>
      </c>
      <c r="F2830" s="17">
        <v>163</v>
      </c>
      <c r="H2830" s="360">
        <v>1</v>
      </c>
      <c r="I2830" s="360">
        <v>0.63268267842892512</v>
      </c>
      <c r="K2830" s="363"/>
      <c r="N2830" s="10"/>
      <c r="O2830" s="4"/>
      <c r="P2830" s="4"/>
      <c r="Q2830" s="3"/>
      <c r="R2830" s="3"/>
      <c r="S2830" s="3"/>
      <c r="T2830" s="3"/>
    </row>
    <row r="2831" spans="1:20">
      <c r="A2831" s="3">
        <v>2</v>
      </c>
      <c r="B2831" s="3">
        <v>2</v>
      </c>
      <c r="C2831" s="2">
        <v>25</v>
      </c>
      <c r="D2831" s="2">
        <v>5</v>
      </c>
      <c r="E2831" s="2">
        <v>1</v>
      </c>
      <c r="F2831" s="17">
        <v>163</v>
      </c>
      <c r="H2831" s="360">
        <v>1</v>
      </c>
      <c r="I2831" s="360">
        <v>0.4988228116420409</v>
      </c>
      <c r="K2831" s="363"/>
      <c r="N2831" s="10"/>
      <c r="O2831" s="4"/>
      <c r="P2831" s="4"/>
      <c r="Q2831" s="3"/>
      <c r="R2831" s="3"/>
      <c r="S2831" s="3"/>
      <c r="T2831" s="3"/>
    </row>
    <row r="2832" spans="1:20">
      <c r="A2832" s="3">
        <v>2</v>
      </c>
      <c r="B2832" s="3">
        <v>2</v>
      </c>
      <c r="C2832" s="2">
        <v>25</v>
      </c>
      <c r="D2832" s="2">
        <v>5</v>
      </c>
      <c r="E2832" s="2">
        <v>16</v>
      </c>
      <c r="F2832" s="17">
        <v>163</v>
      </c>
      <c r="H2832" s="360">
        <v>0.99847387350705941</v>
      </c>
      <c r="I2832" s="360">
        <v>0.47670583908247893</v>
      </c>
      <c r="K2832" s="363"/>
      <c r="N2832" s="10"/>
      <c r="O2832" s="4"/>
      <c r="P2832" s="4"/>
      <c r="Q2832" s="3"/>
      <c r="R2832" s="3"/>
      <c r="S2832" s="3"/>
      <c r="T2832" s="3"/>
    </row>
    <row r="2833" spans="1:20">
      <c r="A2833" s="3">
        <v>3</v>
      </c>
      <c r="B2833" s="3">
        <v>1</v>
      </c>
      <c r="C2833" s="2">
        <v>25</v>
      </c>
      <c r="D2833" s="2">
        <v>5</v>
      </c>
      <c r="E2833" s="2">
        <v>16</v>
      </c>
      <c r="F2833" s="17">
        <v>163</v>
      </c>
      <c r="H2833" s="360">
        <v>0.96893109290829527</v>
      </c>
      <c r="I2833" s="360">
        <v>0.32625754634701182</v>
      </c>
      <c r="K2833" s="363"/>
      <c r="N2833" s="10"/>
      <c r="O2833" s="4"/>
      <c r="P2833" s="4"/>
      <c r="Q2833" s="3"/>
      <c r="R2833" s="3"/>
      <c r="S2833" s="3"/>
      <c r="T2833" s="3"/>
    </row>
    <row r="2834" spans="1:20">
      <c r="A2834" s="3">
        <v>2</v>
      </c>
      <c r="B2834" s="3">
        <v>1</v>
      </c>
      <c r="C2834" s="2">
        <v>25</v>
      </c>
      <c r="D2834" s="2">
        <v>5</v>
      </c>
      <c r="E2834" s="2">
        <v>1</v>
      </c>
      <c r="F2834" s="17">
        <v>163</v>
      </c>
      <c r="H2834" s="360">
        <v>0.9882939757093655</v>
      </c>
      <c r="I2834" s="360">
        <v>0.30832478922693302</v>
      </c>
      <c r="K2834" s="363"/>
      <c r="N2834" s="10"/>
      <c r="O2834" s="4"/>
      <c r="P2834" s="4"/>
      <c r="Q2834" s="3"/>
      <c r="R2834" s="3"/>
      <c r="S2834" s="3"/>
      <c r="T2834" s="3"/>
    </row>
    <row r="2835" spans="1:20">
      <c r="A2835" s="3">
        <v>2</v>
      </c>
      <c r="B2835" s="3">
        <v>1</v>
      </c>
      <c r="C2835" s="2">
        <v>25</v>
      </c>
      <c r="D2835" s="2">
        <v>5</v>
      </c>
      <c r="E2835" s="2">
        <v>16</v>
      </c>
      <c r="F2835" s="17">
        <v>163</v>
      </c>
      <c r="H2835" s="360">
        <v>1</v>
      </c>
      <c r="I2835" s="360">
        <v>0.30522497947038185</v>
      </c>
      <c r="K2835" s="363"/>
      <c r="N2835" s="10"/>
      <c r="O2835" s="4"/>
      <c r="P2835" s="4"/>
      <c r="Q2835" s="3"/>
      <c r="R2835" s="3"/>
      <c r="S2835" s="3"/>
      <c r="T2835" s="3"/>
    </row>
    <row r="2836" spans="1:20">
      <c r="A2836" s="3">
        <v>3</v>
      </c>
      <c r="B2836" s="3">
        <v>1</v>
      </c>
      <c r="C2836" s="2">
        <v>25</v>
      </c>
      <c r="D2836" s="2">
        <v>5</v>
      </c>
      <c r="E2836" s="2">
        <v>1</v>
      </c>
      <c r="F2836" s="17">
        <v>163</v>
      </c>
      <c r="H2836" s="360">
        <v>0.95386078782605588</v>
      </c>
      <c r="I2836" s="360">
        <v>0.24480587238848112</v>
      </c>
      <c r="K2836" s="363"/>
      <c r="N2836" s="10"/>
      <c r="O2836" s="4"/>
      <c r="P2836" s="4"/>
      <c r="Q2836" s="3"/>
      <c r="R2836" s="3"/>
      <c r="S2836" s="3"/>
      <c r="T2836" s="3"/>
    </row>
    <row r="2837" spans="1:20">
      <c r="A2837" s="3">
        <v>5</v>
      </c>
      <c r="B2837" s="3">
        <v>2</v>
      </c>
      <c r="C2837" s="2">
        <v>25</v>
      </c>
      <c r="D2837" s="2">
        <v>5</v>
      </c>
      <c r="E2837" s="2">
        <v>16</v>
      </c>
      <c r="F2837" s="17">
        <v>163</v>
      </c>
      <c r="H2837" s="360">
        <v>1</v>
      </c>
      <c r="I2837" s="360">
        <v>-0.32104408868042572</v>
      </c>
      <c r="K2837" s="363"/>
      <c r="N2837" s="10"/>
      <c r="O2837" s="4"/>
      <c r="P2837" s="4"/>
      <c r="Q2837" s="3"/>
      <c r="R2837" s="3"/>
      <c r="S2837" s="3"/>
      <c r="T2837" s="3"/>
    </row>
    <row r="2838" spans="1:20">
      <c r="A2838" s="3">
        <v>5</v>
      </c>
      <c r="B2838" s="3">
        <v>2</v>
      </c>
      <c r="C2838" s="2">
        <v>50</v>
      </c>
      <c r="D2838" s="2">
        <v>5</v>
      </c>
      <c r="E2838" s="2">
        <v>16</v>
      </c>
      <c r="F2838" s="17">
        <v>163</v>
      </c>
      <c r="H2838" s="360">
        <v>1</v>
      </c>
      <c r="I2838" s="360">
        <v>-0.32881318918039298</v>
      </c>
      <c r="K2838" s="363"/>
      <c r="N2838" s="10"/>
      <c r="O2838" s="4"/>
      <c r="P2838" s="4"/>
      <c r="Q2838" s="3"/>
      <c r="R2838" s="3"/>
      <c r="S2838" s="3"/>
      <c r="T2838" s="3"/>
    </row>
    <row r="2839" spans="1:20">
      <c r="A2839" s="3">
        <v>4</v>
      </c>
      <c r="B2839" s="3">
        <v>2</v>
      </c>
      <c r="C2839" s="2">
        <v>50</v>
      </c>
      <c r="D2839" s="2">
        <v>5</v>
      </c>
      <c r="E2839" s="2">
        <v>16</v>
      </c>
      <c r="F2839" s="17">
        <v>163</v>
      </c>
      <c r="H2839" s="360">
        <v>0.95679832793953012</v>
      </c>
      <c r="I2839" s="360">
        <v>-0.38157641031291317</v>
      </c>
      <c r="K2839" s="363"/>
      <c r="N2839" s="10"/>
      <c r="O2839" s="4"/>
      <c r="P2839" s="4"/>
      <c r="Q2839" s="3"/>
      <c r="R2839" s="3"/>
      <c r="S2839" s="3"/>
      <c r="T2839" s="3"/>
    </row>
    <row r="2840" spans="1:20">
      <c r="A2840" s="3">
        <v>1</v>
      </c>
      <c r="B2840" s="3">
        <v>1</v>
      </c>
      <c r="C2840" s="2">
        <v>25</v>
      </c>
      <c r="D2840" s="2">
        <v>30</v>
      </c>
      <c r="E2840" s="2">
        <v>16</v>
      </c>
      <c r="F2840" s="17">
        <v>164</v>
      </c>
      <c r="H2840" s="360">
        <v>1</v>
      </c>
      <c r="I2840" s="360">
        <v>0.30290661663473378</v>
      </c>
      <c r="K2840" s="363"/>
      <c r="N2840" s="10"/>
      <c r="O2840" s="4"/>
      <c r="P2840" s="4"/>
      <c r="Q2840" s="3"/>
      <c r="R2840" s="3"/>
      <c r="S2840" s="3"/>
      <c r="T2840" s="3"/>
    </row>
    <row r="2841" spans="1:20">
      <c r="A2841" s="3">
        <v>3</v>
      </c>
      <c r="B2841" s="3">
        <v>1</v>
      </c>
      <c r="C2841" s="2">
        <v>25</v>
      </c>
      <c r="D2841" s="2">
        <v>5</v>
      </c>
      <c r="E2841" s="2">
        <v>1</v>
      </c>
      <c r="F2841" s="17">
        <v>164</v>
      </c>
      <c r="H2841" s="360">
        <v>0.82506414105170478</v>
      </c>
      <c r="I2841" s="360">
        <v>0.29289863468113042</v>
      </c>
      <c r="K2841" s="363"/>
      <c r="N2841" s="10"/>
      <c r="O2841" s="4"/>
      <c r="P2841" s="4"/>
      <c r="Q2841" s="3"/>
      <c r="R2841" s="3"/>
      <c r="S2841" s="3"/>
      <c r="T2841" s="3"/>
    </row>
    <row r="2842" spans="1:20">
      <c r="A2842" s="3">
        <v>5</v>
      </c>
      <c r="B2842" s="3">
        <v>2</v>
      </c>
      <c r="C2842" s="2">
        <v>50</v>
      </c>
      <c r="D2842" s="2">
        <v>5</v>
      </c>
      <c r="E2842" s="2">
        <v>16</v>
      </c>
      <c r="F2842" s="17">
        <v>164</v>
      </c>
      <c r="H2842" s="360">
        <v>1</v>
      </c>
      <c r="I2842" s="360">
        <v>0.29041055835407131</v>
      </c>
      <c r="K2842" s="363"/>
      <c r="N2842" s="10"/>
      <c r="O2842" s="4"/>
      <c r="P2842" s="4"/>
      <c r="Q2842" s="3"/>
      <c r="R2842" s="3"/>
      <c r="S2842" s="3"/>
      <c r="T2842" s="3"/>
    </row>
    <row r="2843" spans="1:20">
      <c r="A2843" s="3">
        <v>1</v>
      </c>
      <c r="B2843" s="3">
        <v>2</v>
      </c>
      <c r="C2843" s="2">
        <v>25</v>
      </c>
      <c r="D2843" s="2">
        <v>5</v>
      </c>
      <c r="E2843" s="2">
        <v>16</v>
      </c>
      <c r="F2843" s="17">
        <v>164</v>
      </c>
      <c r="H2843" s="360">
        <v>0.15924773543040882</v>
      </c>
      <c r="I2843" s="360">
        <v>0.27896278726558688</v>
      </c>
      <c r="K2843" s="363"/>
      <c r="N2843" s="10"/>
      <c r="O2843" s="4"/>
      <c r="P2843" s="4"/>
      <c r="Q2843" s="3"/>
      <c r="R2843" s="3"/>
      <c r="S2843" s="3"/>
      <c r="T2843" s="3"/>
    </row>
    <row r="2844" spans="1:20">
      <c r="A2844" s="3">
        <v>5</v>
      </c>
      <c r="B2844" s="3">
        <v>2</v>
      </c>
      <c r="C2844" s="2">
        <v>25</v>
      </c>
      <c r="D2844" s="2">
        <v>5</v>
      </c>
      <c r="E2844" s="2">
        <v>16</v>
      </c>
      <c r="F2844" s="17">
        <v>164</v>
      </c>
      <c r="H2844" s="360">
        <v>0.91264129099858404</v>
      </c>
      <c r="I2844" s="360">
        <v>0.26790876327721364</v>
      </c>
      <c r="K2844" s="363"/>
      <c r="N2844" s="10"/>
      <c r="O2844" s="4"/>
      <c r="P2844" s="4"/>
      <c r="Q2844" s="3"/>
      <c r="R2844" s="3"/>
      <c r="S2844" s="3"/>
      <c r="T2844" s="3"/>
    </row>
    <row r="2845" spans="1:20">
      <c r="A2845" s="3">
        <v>1</v>
      </c>
      <c r="B2845" s="3">
        <v>1</v>
      </c>
      <c r="C2845" s="2">
        <v>25</v>
      </c>
      <c r="D2845" s="2">
        <v>5</v>
      </c>
      <c r="E2845" s="2">
        <v>16</v>
      </c>
      <c r="F2845" s="17">
        <v>164</v>
      </c>
      <c r="H2845" s="360">
        <v>1</v>
      </c>
      <c r="I2845" s="360">
        <v>0.26742506352526374</v>
      </c>
      <c r="K2845" s="363"/>
      <c r="N2845" s="10"/>
      <c r="O2845" s="4"/>
      <c r="P2845" s="4"/>
      <c r="Q2845" s="3"/>
      <c r="R2845" s="3"/>
      <c r="S2845" s="3"/>
      <c r="T2845" s="3"/>
    </row>
    <row r="2846" spans="1:20">
      <c r="A2846" s="3">
        <v>1</v>
      </c>
      <c r="B2846" s="3">
        <v>2</v>
      </c>
      <c r="C2846" s="2">
        <v>25</v>
      </c>
      <c r="D2846" s="2">
        <v>30</v>
      </c>
      <c r="E2846" s="2">
        <v>16</v>
      </c>
      <c r="F2846" s="17">
        <v>164</v>
      </c>
      <c r="H2846" s="360">
        <v>0.14184662500857781</v>
      </c>
      <c r="I2846" s="360">
        <v>0.26615748933610173</v>
      </c>
      <c r="K2846" s="363"/>
      <c r="N2846" s="10"/>
      <c r="O2846" s="4"/>
      <c r="P2846" s="4"/>
      <c r="Q2846" s="3"/>
      <c r="R2846" s="3"/>
      <c r="S2846" s="3"/>
      <c r="T2846" s="3"/>
    </row>
    <row r="2847" spans="1:20">
      <c r="A2847" s="3">
        <v>1</v>
      </c>
      <c r="B2847" s="3">
        <v>1</v>
      </c>
      <c r="C2847" s="2">
        <v>25</v>
      </c>
      <c r="D2847" s="2">
        <v>5</v>
      </c>
      <c r="E2847" s="2">
        <v>1</v>
      </c>
      <c r="F2847" s="17">
        <v>164</v>
      </c>
      <c r="H2847" s="360">
        <v>1</v>
      </c>
      <c r="I2847" s="360">
        <v>0.26438543957481697</v>
      </c>
      <c r="K2847" s="363"/>
      <c r="N2847" s="10"/>
      <c r="O2847" s="4"/>
      <c r="P2847" s="4"/>
      <c r="Q2847" s="3"/>
      <c r="R2847" s="3"/>
      <c r="S2847" s="3"/>
      <c r="T2847" s="3"/>
    </row>
    <row r="2848" spans="1:20">
      <c r="A2848" s="3">
        <v>3</v>
      </c>
      <c r="B2848" s="3">
        <v>1</v>
      </c>
      <c r="C2848" s="2">
        <v>25</v>
      </c>
      <c r="D2848" s="2">
        <v>5</v>
      </c>
      <c r="E2848" s="2">
        <v>16</v>
      </c>
      <c r="F2848" s="17">
        <v>164</v>
      </c>
      <c r="H2848" s="360">
        <v>0.9934979931184843</v>
      </c>
      <c r="I2848" s="360">
        <v>0.24505423608345156</v>
      </c>
      <c r="K2848" s="363"/>
      <c r="N2848" s="10"/>
      <c r="O2848" s="4"/>
      <c r="P2848" s="4"/>
      <c r="Q2848" s="3"/>
      <c r="R2848" s="3"/>
      <c r="S2848" s="3"/>
      <c r="T2848" s="3"/>
    </row>
    <row r="2849" spans="1:20">
      <c r="A2849" s="3">
        <v>1</v>
      </c>
      <c r="B2849" s="3">
        <v>2</v>
      </c>
      <c r="C2849" s="2">
        <v>25</v>
      </c>
      <c r="D2849" s="2">
        <v>5</v>
      </c>
      <c r="E2849" s="2">
        <v>16</v>
      </c>
      <c r="F2849" s="17">
        <v>164</v>
      </c>
      <c r="H2849" s="360">
        <v>0.13755296651783266</v>
      </c>
      <c r="I2849" s="360">
        <v>0.24096884240924185</v>
      </c>
      <c r="K2849" s="363"/>
      <c r="N2849" s="10"/>
      <c r="O2849" s="4"/>
      <c r="P2849" s="4"/>
      <c r="Q2849" s="3"/>
      <c r="R2849" s="3"/>
      <c r="S2849" s="3"/>
      <c r="T2849" s="3"/>
    </row>
    <row r="2850" spans="1:20">
      <c r="A2850" s="3">
        <v>1</v>
      </c>
      <c r="B2850" s="3">
        <v>2</v>
      </c>
      <c r="C2850" s="2">
        <v>25</v>
      </c>
      <c r="D2850" s="2">
        <v>5</v>
      </c>
      <c r="E2850" s="2">
        <v>1</v>
      </c>
      <c r="F2850" s="17">
        <v>164</v>
      </c>
      <c r="H2850" s="360">
        <v>0</v>
      </c>
      <c r="I2850" s="360">
        <v>0</v>
      </c>
      <c r="K2850" s="363"/>
      <c r="N2850" s="10"/>
      <c r="O2850" s="4"/>
      <c r="P2850" s="4"/>
      <c r="Q2850" s="3"/>
      <c r="R2850" s="3"/>
      <c r="S2850" s="3"/>
      <c r="T2850" s="3"/>
    </row>
    <row r="2851" spans="1:20">
      <c r="A2851" s="3">
        <v>4</v>
      </c>
      <c r="B2851" s="3">
        <v>2</v>
      </c>
      <c r="C2851" s="2">
        <v>50</v>
      </c>
      <c r="D2851" s="2">
        <v>5</v>
      </c>
      <c r="E2851" s="2">
        <v>16</v>
      </c>
      <c r="F2851" s="17">
        <v>164</v>
      </c>
      <c r="H2851" s="360">
        <v>1</v>
      </c>
      <c r="I2851" s="360">
        <v>-0.15288329169428441</v>
      </c>
      <c r="K2851" s="363"/>
      <c r="N2851" s="10"/>
      <c r="O2851" s="4"/>
      <c r="P2851" s="4"/>
      <c r="Q2851" s="3"/>
      <c r="R2851" s="3"/>
      <c r="S2851" s="3"/>
      <c r="T2851" s="3"/>
    </row>
    <row r="2852" spans="1:20">
      <c r="A2852" s="3">
        <v>2</v>
      </c>
      <c r="B2852" s="3">
        <v>2</v>
      </c>
      <c r="C2852" s="2">
        <v>25</v>
      </c>
      <c r="D2852" s="2">
        <v>5</v>
      </c>
      <c r="E2852" s="2">
        <v>1</v>
      </c>
      <c r="F2852" s="17">
        <v>164</v>
      </c>
      <c r="H2852" s="360">
        <v>1</v>
      </c>
      <c r="I2852" s="360">
        <v>-0.17425736880624407</v>
      </c>
      <c r="K2852" s="363"/>
      <c r="N2852" s="10"/>
      <c r="O2852" s="4"/>
      <c r="P2852" s="4"/>
      <c r="Q2852" s="3"/>
      <c r="R2852" s="3"/>
      <c r="S2852" s="3"/>
      <c r="T2852" s="3"/>
    </row>
    <row r="2853" spans="1:20">
      <c r="A2853" s="3">
        <v>3</v>
      </c>
      <c r="B2853" s="3">
        <v>2</v>
      </c>
      <c r="C2853" s="2">
        <v>25</v>
      </c>
      <c r="D2853" s="2">
        <v>5</v>
      </c>
      <c r="E2853" s="2">
        <v>16</v>
      </c>
      <c r="F2853" s="17">
        <v>164</v>
      </c>
      <c r="H2853" s="360">
        <v>0.27028174154690032</v>
      </c>
      <c r="I2853" s="360">
        <v>-0.19713711344615686</v>
      </c>
      <c r="K2853" s="363"/>
      <c r="N2853" s="10"/>
      <c r="O2853" s="4"/>
      <c r="P2853" s="4"/>
      <c r="Q2853" s="3"/>
      <c r="R2853" s="3"/>
      <c r="S2853" s="3"/>
      <c r="T2853" s="3"/>
    </row>
    <row r="2854" spans="1:20">
      <c r="A2854" s="3">
        <v>2</v>
      </c>
      <c r="B2854" s="3">
        <v>2</v>
      </c>
      <c r="C2854" s="2">
        <v>25</v>
      </c>
      <c r="D2854" s="2">
        <v>5</v>
      </c>
      <c r="E2854" s="2">
        <v>16</v>
      </c>
      <c r="F2854" s="17">
        <v>164</v>
      </c>
      <c r="H2854" s="360">
        <v>1</v>
      </c>
      <c r="I2854" s="360">
        <v>-0.19732481001961205</v>
      </c>
      <c r="K2854" s="363"/>
      <c r="N2854" s="10"/>
      <c r="O2854" s="4"/>
      <c r="P2854" s="4"/>
      <c r="Q2854" s="3"/>
      <c r="R2854" s="3"/>
      <c r="S2854" s="3"/>
      <c r="T2854" s="3"/>
    </row>
    <row r="2855" spans="1:20">
      <c r="A2855" s="3">
        <v>3</v>
      </c>
      <c r="B2855" s="3">
        <v>2</v>
      </c>
      <c r="C2855" s="2">
        <v>25</v>
      </c>
      <c r="D2855" s="2">
        <v>5</v>
      </c>
      <c r="E2855" s="2">
        <v>1</v>
      </c>
      <c r="F2855" s="17">
        <v>164</v>
      </c>
      <c r="H2855" s="360">
        <v>4.7291637514171869E-2</v>
      </c>
      <c r="I2855" s="360">
        <v>-0.20407083138971613</v>
      </c>
      <c r="K2855" s="363"/>
      <c r="N2855" s="10"/>
      <c r="O2855" s="4"/>
      <c r="P2855" s="4"/>
      <c r="Q2855" s="3"/>
      <c r="R2855" s="3"/>
      <c r="S2855" s="3"/>
      <c r="T2855" s="3"/>
    </row>
    <row r="2856" spans="1:20">
      <c r="A2856" s="3">
        <v>2</v>
      </c>
      <c r="B2856" s="3">
        <v>1</v>
      </c>
      <c r="C2856" s="2">
        <v>25</v>
      </c>
      <c r="D2856" s="2">
        <v>5</v>
      </c>
      <c r="E2856" s="2">
        <v>16</v>
      </c>
      <c r="F2856" s="17">
        <v>164</v>
      </c>
      <c r="H2856" s="360">
        <v>1</v>
      </c>
      <c r="I2856" s="360">
        <v>-0.2912994187015816</v>
      </c>
      <c r="K2856" s="363"/>
      <c r="N2856" s="10"/>
      <c r="O2856" s="4"/>
      <c r="P2856" s="4"/>
      <c r="Q2856" s="3"/>
      <c r="R2856" s="3"/>
      <c r="S2856" s="3"/>
      <c r="T2856" s="3"/>
    </row>
    <row r="2857" spans="1:20">
      <c r="A2857" s="3">
        <v>2</v>
      </c>
      <c r="B2857" s="3">
        <v>1</v>
      </c>
      <c r="C2857" s="2">
        <v>25</v>
      </c>
      <c r="D2857" s="2">
        <v>5</v>
      </c>
      <c r="E2857" s="2">
        <v>1</v>
      </c>
      <c r="F2857" s="17">
        <v>164</v>
      </c>
      <c r="H2857" s="360">
        <v>1</v>
      </c>
      <c r="I2857" s="360">
        <v>-0.32817134680633553</v>
      </c>
      <c r="K2857" s="363"/>
      <c r="N2857" s="10"/>
      <c r="O2857" s="4"/>
      <c r="P2857" s="4"/>
      <c r="Q2857" s="3"/>
      <c r="R2857" s="3"/>
      <c r="S2857" s="3"/>
      <c r="T2857" s="3"/>
    </row>
    <row r="2858" spans="1:20">
      <c r="A2858" s="3">
        <v>5</v>
      </c>
      <c r="B2858" s="3">
        <v>2</v>
      </c>
      <c r="C2858" s="2">
        <v>50</v>
      </c>
      <c r="D2858" s="2">
        <v>5</v>
      </c>
      <c r="E2858" s="2">
        <v>16</v>
      </c>
      <c r="F2858" s="17">
        <v>165</v>
      </c>
      <c r="H2858" s="360">
        <v>1</v>
      </c>
      <c r="I2858" s="360">
        <v>0.30222655685098976</v>
      </c>
      <c r="K2858" s="363"/>
      <c r="N2858" s="10"/>
      <c r="O2858" s="4"/>
      <c r="P2858" s="4"/>
      <c r="Q2858" s="3"/>
      <c r="R2858" s="3"/>
      <c r="S2858" s="3"/>
      <c r="T2858" s="3"/>
    </row>
    <row r="2859" spans="1:20">
      <c r="A2859" s="3">
        <v>5</v>
      </c>
      <c r="B2859" s="3">
        <v>2</v>
      </c>
      <c r="C2859" s="2">
        <v>25</v>
      </c>
      <c r="D2859" s="2">
        <v>5</v>
      </c>
      <c r="E2859" s="2">
        <v>16</v>
      </c>
      <c r="F2859" s="17">
        <v>165</v>
      </c>
      <c r="H2859" s="360">
        <v>0.47277705153528071</v>
      </c>
      <c r="I2859" s="360">
        <v>0.10338147492536287</v>
      </c>
      <c r="K2859" s="363"/>
      <c r="N2859" s="10"/>
      <c r="O2859" s="4"/>
      <c r="P2859" s="4"/>
      <c r="Q2859" s="3"/>
      <c r="R2859" s="3"/>
      <c r="S2859" s="3"/>
      <c r="T2859" s="3"/>
    </row>
    <row r="2860" spans="1:20">
      <c r="A2860" s="3">
        <v>4</v>
      </c>
      <c r="B2860" s="3">
        <v>2</v>
      </c>
      <c r="C2860" s="2">
        <v>50</v>
      </c>
      <c r="D2860" s="2">
        <v>5</v>
      </c>
      <c r="E2860" s="2">
        <v>16</v>
      </c>
      <c r="F2860" s="17">
        <v>165</v>
      </c>
      <c r="H2860" s="360">
        <v>0.39956586099952507</v>
      </c>
      <c r="I2860" s="360">
        <v>6.4775642817650386E-2</v>
      </c>
      <c r="K2860" s="363"/>
      <c r="N2860" s="10"/>
      <c r="O2860" s="4"/>
      <c r="P2860" s="4"/>
      <c r="Q2860" s="3"/>
      <c r="R2860" s="3"/>
      <c r="S2860" s="3"/>
      <c r="T2860" s="3"/>
    </row>
    <row r="2861" spans="1:20">
      <c r="A2861" s="3">
        <v>1</v>
      </c>
      <c r="B2861" s="3">
        <v>2</v>
      </c>
      <c r="C2861" s="2">
        <v>25</v>
      </c>
      <c r="D2861" s="2">
        <v>5</v>
      </c>
      <c r="E2861" s="2">
        <v>1</v>
      </c>
      <c r="F2861" s="17">
        <v>165</v>
      </c>
      <c r="H2861" s="360">
        <v>5.880608325168124E-2</v>
      </c>
      <c r="I2861" s="360">
        <v>-6.1906406404920681E-3</v>
      </c>
      <c r="K2861" s="363"/>
      <c r="N2861" s="10"/>
      <c r="O2861" s="4"/>
      <c r="P2861" s="4"/>
      <c r="Q2861" s="3"/>
      <c r="R2861" s="3"/>
      <c r="S2861" s="3"/>
      <c r="T2861" s="3"/>
    </row>
    <row r="2862" spans="1:20">
      <c r="A2862" s="3">
        <v>2</v>
      </c>
      <c r="B2862" s="3">
        <v>2</v>
      </c>
      <c r="C2862" s="2">
        <v>25</v>
      </c>
      <c r="D2862" s="2">
        <v>5</v>
      </c>
      <c r="E2862" s="2">
        <v>16</v>
      </c>
      <c r="F2862" s="17">
        <v>165</v>
      </c>
      <c r="H2862" s="360">
        <v>1</v>
      </c>
      <c r="I2862" s="360">
        <v>-3.7463132299733491E-2</v>
      </c>
      <c r="K2862" s="363"/>
      <c r="N2862" s="10"/>
      <c r="O2862" s="4"/>
      <c r="P2862" s="4"/>
      <c r="Q2862" s="3"/>
      <c r="R2862" s="3"/>
      <c r="S2862" s="3"/>
      <c r="T2862" s="3"/>
    </row>
    <row r="2863" spans="1:20">
      <c r="A2863" s="3">
        <v>2</v>
      </c>
      <c r="B2863" s="3">
        <v>2</v>
      </c>
      <c r="C2863" s="2">
        <v>25</v>
      </c>
      <c r="D2863" s="2">
        <v>5</v>
      </c>
      <c r="E2863" s="2">
        <v>1</v>
      </c>
      <c r="F2863" s="17">
        <v>165</v>
      </c>
      <c r="H2863" s="360">
        <v>0.99714072849744739</v>
      </c>
      <c r="I2863" s="360">
        <v>-8.8546386723850526E-2</v>
      </c>
      <c r="K2863" s="363"/>
      <c r="N2863" s="10"/>
      <c r="O2863" s="4"/>
      <c r="P2863" s="4"/>
      <c r="Q2863" s="3"/>
      <c r="R2863" s="3"/>
      <c r="S2863" s="3"/>
      <c r="T2863" s="3"/>
    </row>
    <row r="2864" spans="1:20">
      <c r="A2864" s="3">
        <v>1</v>
      </c>
      <c r="B2864" s="3">
        <v>1</v>
      </c>
      <c r="C2864" s="2">
        <v>25</v>
      </c>
      <c r="D2864" s="2">
        <v>5</v>
      </c>
      <c r="E2864" s="2">
        <v>16</v>
      </c>
      <c r="F2864" s="17">
        <v>165</v>
      </c>
      <c r="H2864" s="360">
        <v>1</v>
      </c>
      <c r="I2864" s="360">
        <v>-8.9831452394703776E-2</v>
      </c>
      <c r="K2864" s="363"/>
      <c r="N2864" s="10"/>
      <c r="O2864" s="4"/>
      <c r="P2864" s="4"/>
      <c r="Q2864" s="3"/>
      <c r="R2864" s="3"/>
      <c r="S2864" s="3"/>
      <c r="T2864" s="3"/>
    </row>
    <row r="2865" spans="1:20">
      <c r="A2865" s="3">
        <v>1</v>
      </c>
      <c r="B2865" s="3">
        <v>2</v>
      </c>
      <c r="C2865" s="2">
        <v>25</v>
      </c>
      <c r="D2865" s="2">
        <v>5</v>
      </c>
      <c r="E2865" s="2">
        <v>16</v>
      </c>
      <c r="F2865" s="17">
        <v>165</v>
      </c>
      <c r="H2865" s="360">
        <v>1</v>
      </c>
      <c r="I2865" s="360">
        <v>-0.10231725811026653</v>
      </c>
      <c r="K2865" s="363"/>
      <c r="N2865" s="10"/>
      <c r="O2865" s="4"/>
      <c r="P2865" s="4"/>
      <c r="Q2865" s="3"/>
      <c r="R2865" s="3"/>
      <c r="S2865" s="3"/>
      <c r="T2865" s="3"/>
    </row>
    <row r="2866" spans="1:20">
      <c r="A2866" s="3">
        <v>1</v>
      </c>
      <c r="B2866" s="3">
        <v>2</v>
      </c>
      <c r="C2866" s="2">
        <v>25</v>
      </c>
      <c r="D2866" s="2">
        <v>5</v>
      </c>
      <c r="E2866" s="2">
        <v>16</v>
      </c>
      <c r="F2866" s="17">
        <v>165</v>
      </c>
      <c r="H2866" s="360">
        <v>1</v>
      </c>
      <c r="I2866" s="360">
        <v>-0.105065257266103</v>
      </c>
      <c r="K2866" s="363"/>
      <c r="N2866" s="10"/>
      <c r="O2866" s="4"/>
      <c r="P2866" s="4"/>
      <c r="Q2866" s="3"/>
      <c r="R2866" s="3"/>
      <c r="S2866" s="3"/>
      <c r="T2866" s="3"/>
    </row>
    <row r="2867" spans="1:20">
      <c r="A2867" s="3">
        <v>1</v>
      </c>
      <c r="B2867" s="3">
        <v>2</v>
      </c>
      <c r="C2867" s="2">
        <v>25</v>
      </c>
      <c r="D2867" s="2">
        <v>30</v>
      </c>
      <c r="E2867" s="2">
        <v>16</v>
      </c>
      <c r="F2867" s="17">
        <v>165</v>
      </c>
      <c r="H2867" s="360">
        <v>1</v>
      </c>
      <c r="I2867" s="360">
        <v>-0.1052854523423903</v>
      </c>
      <c r="K2867" s="363"/>
      <c r="N2867" s="10"/>
      <c r="O2867" s="4"/>
      <c r="P2867" s="4"/>
      <c r="Q2867" s="3"/>
      <c r="R2867" s="3"/>
      <c r="S2867" s="3"/>
      <c r="T2867" s="3"/>
    </row>
    <row r="2868" spans="1:20">
      <c r="A2868" s="3">
        <v>1</v>
      </c>
      <c r="B2868" s="3">
        <v>1</v>
      </c>
      <c r="C2868" s="2">
        <v>25</v>
      </c>
      <c r="D2868" s="2">
        <v>5</v>
      </c>
      <c r="E2868" s="2">
        <v>1</v>
      </c>
      <c r="F2868" s="17">
        <v>165</v>
      </c>
      <c r="H2868" s="360">
        <v>1</v>
      </c>
      <c r="I2868" s="360">
        <v>-0.14586260587468527</v>
      </c>
      <c r="K2868" s="363"/>
      <c r="N2868" s="10"/>
      <c r="O2868" s="4"/>
      <c r="P2868" s="4"/>
      <c r="Q2868" s="3"/>
      <c r="R2868" s="3"/>
      <c r="S2868" s="3"/>
      <c r="T2868" s="3"/>
    </row>
    <row r="2869" spans="1:20">
      <c r="A2869" s="3">
        <v>2</v>
      </c>
      <c r="B2869" s="3">
        <v>1</v>
      </c>
      <c r="C2869" s="2">
        <v>25</v>
      </c>
      <c r="D2869" s="2">
        <v>5</v>
      </c>
      <c r="E2869" s="2">
        <v>1</v>
      </c>
      <c r="F2869" s="17">
        <v>165</v>
      </c>
      <c r="H2869" s="360">
        <v>1</v>
      </c>
      <c r="I2869" s="360">
        <v>-0.15374829543117791</v>
      </c>
      <c r="K2869" s="363"/>
      <c r="N2869" s="10"/>
      <c r="O2869" s="4"/>
      <c r="P2869" s="4"/>
      <c r="Q2869" s="3"/>
      <c r="R2869" s="3"/>
      <c r="S2869" s="3"/>
      <c r="T2869" s="3"/>
    </row>
    <row r="2870" spans="1:20">
      <c r="A2870" s="3">
        <v>3</v>
      </c>
      <c r="B2870" s="3">
        <v>1</v>
      </c>
      <c r="C2870" s="2">
        <v>25</v>
      </c>
      <c r="D2870" s="2">
        <v>5</v>
      </c>
      <c r="E2870" s="2">
        <v>1</v>
      </c>
      <c r="F2870" s="17">
        <v>165</v>
      </c>
      <c r="H2870" s="360">
        <v>0.74940645802828487</v>
      </c>
      <c r="I2870" s="360">
        <v>-0.15768786570638271</v>
      </c>
      <c r="K2870" s="363"/>
      <c r="N2870" s="10"/>
      <c r="O2870" s="4"/>
      <c r="P2870" s="4"/>
      <c r="Q2870" s="3"/>
      <c r="R2870" s="3"/>
      <c r="S2870" s="3"/>
      <c r="T2870" s="3"/>
    </row>
    <row r="2871" spans="1:20">
      <c r="A2871" s="3">
        <v>2</v>
      </c>
      <c r="B2871" s="3">
        <v>1</v>
      </c>
      <c r="C2871" s="2">
        <v>25</v>
      </c>
      <c r="D2871" s="2">
        <v>5</v>
      </c>
      <c r="E2871" s="2">
        <v>16</v>
      </c>
      <c r="F2871" s="17">
        <v>165</v>
      </c>
      <c r="H2871" s="360">
        <v>1</v>
      </c>
      <c r="I2871" s="360">
        <v>-0.17040536737685799</v>
      </c>
      <c r="K2871" s="363"/>
      <c r="N2871" s="10"/>
      <c r="O2871" s="4"/>
      <c r="P2871" s="4"/>
      <c r="Q2871" s="3"/>
      <c r="R2871" s="3"/>
      <c r="S2871" s="3"/>
      <c r="T2871" s="3"/>
    </row>
    <row r="2872" spans="1:20">
      <c r="A2872" s="3">
        <v>3</v>
      </c>
      <c r="B2872" s="3">
        <v>1</v>
      </c>
      <c r="C2872" s="2">
        <v>25</v>
      </c>
      <c r="D2872" s="2">
        <v>5</v>
      </c>
      <c r="E2872" s="2">
        <v>16</v>
      </c>
      <c r="F2872" s="17">
        <v>165</v>
      </c>
      <c r="H2872" s="360">
        <v>1</v>
      </c>
      <c r="I2872" s="360">
        <v>-0.17417900059943114</v>
      </c>
      <c r="K2872" s="363"/>
      <c r="N2872" s="10"/>
      <c r="O2872" s="4"/>
      <c r="P2872" s="4"/>
      <c r="Q2872" s="3"/>
      <c r="R2872" s="3"/>
      <c r="S2872" s="3"/>
      <c r="T2872" s="3"/>
    </row>
    <row r="2873" spans="1:20">
      <c r="A2873" s="3">
        <v>1</v>
      </c>
      <c r="B2873" s="3">
        <v>1</v>
      </c>
      <c r="C2873" s="2">
        <v>25</v>
      </c>
      <c r="D2873" s="2">
        <v>30</v>
      </c>
      <c r="E2873" s="2">
        <v>16</v>
      </c>
      <c r="F2873" s="17">
        <v>165</v>
      </c>
      <c r="H2873" s="360">
        <v>1</v>
      </c>
      <c r="I2873" s="360">
        <v>-0.18090171975754257</v>
      </c>
      <c r="K2873" s="363"/>
      <c r="N2873" s="10"/>
      <c r="O2873" s="4"/>
      <c r="P2873" s="4"/>
      <c r="Q2873" s="3"/>
      <c r="R2873" s="3"/>
      <c r="S2873" s="3"/>
      <c r="T2873" s="3"/>
    </row>
    <row r="2874" spans="1:20">
      <c r="A2874" s="3">
        <v>3</v>
      </c>
      <c r="B2874" s="3">
        <v>2</v>
      </c>
      <c r="C2874" s="2">
        <v>25</v>
      </c>
      <c r="D2874" s="2">
        <v>5</v>
      </c>
      <c r="E2874" s="2">
        <v>1</v>
      </c>
      <c r="F2874" s="17">
        <v>165</v>
      </c>
      <c r="H2874" s="360">
        <v>0.98016357661197351</v>
      </c>
      <c r="I2874" s="360">
        <v>-0.28737222861679784</v>
      </c>
      <c r="K2874" s="363"/>
      <c r="N2874" s="10"/>
      <c r="O2874" s="4"/>
      <c r="P2874" s="4"/>
      <c r="Q2874" s="3"/>
      <c r="R2874" s="3"/>
      <c r="S2874" s="3"/>
      <c r="T2874" s="3"/>
    </row>
    <row r="2875" spans="1:20">
      <c r="A2875" s="3">
        <v>3</v>
      </c>
      <c r="B2875" s="3">
        <v>2</v>
      </c>
      <c r="C2875" s="2">
        <v>25</v>
      </c>
      <c r="D2875" s="2">
        <v>5</v>
      </c>
      <c r="E2875" s="2">
        <v>16</v>
      </c>
      <c r="F2875" s="17">
        <v>165</v>
      </c>
      <c r="H2875" s="360">
        <v>0.98812255274794802</v>
      </c>
      <c r="I2875" s="360">
        <v>-0.31062216071444348</v>
      </c>
      <c r="K2875" s="363"/>
      <c r="N2875" s="10"/>
      <c r="O2875" s="4"/>
      <c r="P2875" s="4"/>
      <c r="Q2875" s="3"/>
      <c r="R2875" s="3"/>
      <c r="S2875" s="3"/>
      <c r="T2875" s="3"/>
    </row>
    <row r="2876" spans="1:20">
      <c r="A2876" s="3">
        <v>5</v>
      </c>
      <c r="B2876" s="3">
        <v>2</v>
      </c>
      <c r="C2876" s="2">
        <v>25</v>
      </c>
      <c r="D2876" s="2">
        <v>5</v>
      </c>
      <c r="E2876" s="2">
        <v>16</v>
      </c>
      <c r="F2876" s="17">
        <v>166</v>
      </c>
      <c r="H2876" s="360">
        <v>6.4634657929467654E-3</v>
      </c>
      <c r="I2876" s="360">
        <v>3.0479896238651102E-2</v>
      </c>
      <c r="K2876" s="363"/>
      <c r="N2876" s="10"/>
      <c r="O2876" s="4"/>
      <c r="P2876" s="4"/>
      <c r="Q2876" s="3"/>
      <c r="R2876" s="3"/>
      <c r="S2876" s="3"/>
      <c r="T2876" s="3"/>
    </row>
    <row r="2877" spans="1:20">
      <c r="A2877" s="3">
        <v>4</v>
      </c>
      <c r="B2877" s="3">
        <v>2</v>
      </c>
      <c r="C2877" s="2">
        <v>50</v>
      </c>
      <c r="D2877" s="2">
        <v>5</v>
      </c>
      <c r="E2877" s="2">
        <v>16</v>
      </c>
      <c r="F2877" s="17">
        <v>166</v>
      </c>
      <c r="H2877" s="360">
        <v>0.18417420180072108</v>
      </c>
      <c r="I2877" s="360">
        <v>2.3712282840597378E-2</v>
      </c>
      <c r="K2877" s="363"/>
      <c r="N2877" s="10"/>
      <c r="O2877" s="4"/>
      <c r="P2877" s="4"/>
      <c r="Q2877" s="3"/>
      <c r="R2877" s="3"/>
      <c r="S2877" s="3"/>
      <c r="T2877" s="3"/>
    </row>
    <row r="2878" spans="1:20">
      <c r="A2878" s="3">
        <v>1</v>
      </c>
      <c r="B2878" s="3">
        <v>2</v>
      </c>
      <c r="C2878" s="2">
        <v>25</v>
      </c>
      <c r="D2878" s="2">
        <v>5</v>
      </c>
      <c r="E2878" s="2">
        <v>1</v>
      </c>
      <c r="F2878" s="17">
        <v>166</v>
      </c>
      <c r="H2878" s="360">
        <v>0</v>
      </c>
      <c r="I2878" s="360">
        <v>0</v>
      </c>
      <c r="K2878" s="363"/>
      <c r="N2878" s="10"/>
      <c r="O2878" s="4"/>
      <c r="P2878" s="4"/>
      <c r="Q2878" s="3"/>
      <c r="R2878" s="3"/>
      <c r="S2878" s="3"/>
      <c r="T2878" s="3"/>
    </row>
    <row r="2879" spans="1:20">
      <c r="A2879" s="3">
        <v>2</v>
      </c>
      <c r="B2879" s="3">
        <v>1</v>
      </c>
      <c r="C2879" s="2">
        <v>25</v>
      </c>
      <c r="D2879" s="2">
        <v>5</v>
      </c>
      <c r="E2879" s="2">
        <v>1</v>
      </c>
      <c r="F2879" s="17">
        <v>166</v>
      </c>
      <c r="H2879" s="360">
        <v>0</v>
      </c>
      <c r="I2879" s="360">
        <v>0</v>
      </c>
      <c r="K2879" s="363"/>
      <c r="N2879" s="10"/>
      <c r="O2879" s="4"/>
      <c r="P2879" s="4"/>
      <c r="Q2879" s="3"/>
      <c r="R2879" s="3"/>
      <c r="S2879" s="3"/>
      <c r="T2879" s="3"/>
    </row>
    <row r="2880" spans="1:20">
      <c r="A2880" s="3">
        <v>1</v>
      </c>
      <c r="B2880" s="3">
        <v>2</v>
      </c>
      <c r="C2880" s="2">
        <v>25</v>
      </c>
      <c r="D2880" s="2">
        <v>5</v>
      </c>
      <c r="E2880" s="2">
        <v>16</v>
      </c>
      <c r="F2880" s="17">
        <v>166</v>
      </c>
      <c r="H2880" s="360">
        <v>0.11831941039912475</v>
      </c>
      <c r="I2880" s="360">
        <v>-1.6717326259877346E-2</v>
      </c>
      <c r="K2880" s="363"/>
      <c r="N2880" s="10"/>
      <c r="O2880" s="4"/>
      <c r="P2880" s="4"/>
      <c r="Q2880" s="3"/>
      <c r="R2880" s="3"/>
      <c r="S2880" s="3"/>
      <c r="T2880" s="3"/>
    </row>
    <row r="2881" spans="1:20">
      <c r="A2881" s="3">
        <v>1</v>
      </c>
      <c r="B2881" s="3">
        <v>2</v>
      </c>
      <c r="C2881" s="2">
        <v>25</v>
      </c>
      <c r="D2881" s="2">
        <v>30</v>
      </c>
      <c r="E2881" s="2">
        <v>16</v>
      </c>
      <c r="F2881" s="17">
        <v>166</v>
      </c>
      <c r="H2881" s="360">
        <v>0.18856232097670922</v>
      </c>
      <c r="I2881" s="360">
        <v>-2.2421790399046262E-2</v>
      </c>
      <c r="K2881" s="363"/>
      <c r="N2881" s="10"/>
      <c r="O2881" s="4"/>
      <c r="P2881" s="4"/>
      <c r="Q2881" s="3"/>
      <c r="R2881" s="3"/>
      <c r="S2881" s="3"/>
      <c r="T2881" s="3"/>
    </row>
    <row r="2882" spans="1:20">
      <c r="A2882" s="3">
        <v>2</v>
      </c>
      <c r="B2882" s="3">
        <v>1</v>
      </c>
      <c r="C2882" s="2">
        <v>25</v>
      </c>
      <c r="D2882" s="2">
        <v>5</v>
      </c>
      <c r="E2882" s="2">
        <v>16</v>
      </c>
      <c r="F2882" s="17">
        <v>166</v>
      </c>
      <c r="H2882" s="360">
        <v>0.2432518754933537</v>
      </c>
      <c r="I2882" s="360">
        <v>-3.9354027540941992E-2</v>
      </c>
      <c r="K2882" s="363"/>
      <c r="N2882" s="10"/>
      <c r="O2882" s="4"/>
      <c r="P2882" s="4"/>
      <c r="Q2882" s="3"/>
      <c r="R2882" s="3"/>
      <c r="S2882" s="3"/>
      <c r="T2882" s="3"/>
    </row>
    <row r="2883" spans="1:20">
      <c r="A2883" s="3">
        <v>2</v>
      </c>
      <c r="B2883" s="3">
        <v>2</v>
      </c>
      <c r="C2883" s="2">
        <v>25</v>
      </c>
      <c r="D2883" s="2">
        <v>5</v>
      </c>
      <c r="E2883" s="2">
        <v>16</v>
      </c>
      <c r="F2883" s="17">
        <v>166</v>
      </c>
      <c r="H2883" s="360">
        <v>1</v>
      </c>
      <c r="I2883" s="360">
        <v>-4.5609857629228832E-2</v>
      </c>
      <c r="K2883" s="363"/>
      <c r="N2883" s="10"/>
      <c r="O2883" s="4"/>
      <c r="P2883" s="4"/>
      <c r="Q2883" s="3"/>
      <c r="R2883" s="3"/>
      <c r="S2883" s="3"/>
      <c r="T2883" s="3"/>
    </row>
    <row r="2884" spans="1:20">
      <c r="A2884" s="3">
        <v>1</v>
      </c>
      <c r="B2884" s="3">
        <v>1</v>
      </c>
      <c r="C2884" s="2">
        <v>25</v>
      </c>
      <c r="D2884" s="2">
        <v>5</v>
      </c>
      <c r="E2884" s="2">
        <v>1</v>
      </c>
      <c r="F2884" s="17">
        <v>166</v>
      </c>
      <c r="H2884" s="360">
        <v>6.7767428031041743E-2</v>
      </c>
      <c r="I2884" s="360">
        <v>-5.2042593486959658E-2</v>
      </c>
      <c r="K2884" s="363"/>
      <c r="N2884" s="10"/>
      <c r="O2884" s="4"/>
      <c r="P2884" s="4"/>
      <c r="Q2884" s="3"/>
      <c r="R2884" s="3"/>
      <c r="S2884" s="3"/>
      <c r="T2884" s="3"/>
    </row>
    <row r="2885" spans="1:20">
      <c r="A2885" s="3">
        <v>2</v>
      </c>
      <c r="B2885" s="3">
        <v>2</v>
      </c>
      <c r="C2885" s="2">
        <v>25</v>
      </c>
      <c r="D2885" s="2">
        <v>5</v>
      </c>
      <c r="E2885" s="2">
        <v>1</v>
      </c>
      <c r="F2885" s="17">
        <v>166</v>
      </c>
      <c r="H2885" s="360">
        <v>0.10543459841054037</v>
      </c>
      <c r="I2885" s="360">
        <v>-6.7533975650028139E-2</v>
      </c>
      <c r="K2885" s="363"/>
      <c r="N2885" s="10"/>
      <c r="O2885" s="4"/>
      <c r="P2885" s="4"/>
      <c r="Q2885" s="3"/>
      <c r="R2885" s="3"/>
      <c r="S2885" s="3"/>
      <c r="T2885" s="3"/>
    </row>
    <row r="2886" spans="1:20">
      <c r="A2886" s="3">
        <v>1</v>
      </c>
      <c r="B2886" s="3">
        <v>1</v>
      </c>
      <c r="C2886" s="2">
        <v>25</v>
      </c>
      <c r="D2886" s="2">
        <v>5</v>
      </c>
      <c r="E2886" s="2">
        <v>16</v>
      </c>
      <c r="F2886" s="17">
        <v>166</v>
      </c>
      <c r="H2886" s="360">
        <v>0.54398418109283475</v>
      </c>
      <c r="I2886" s="360">
        <v>-9.6030249463552209E-2</v>
      </c>
      <c r="K2886" s="363"/>
      <c r="N2886" s="10"/>
      <c r="O2886" s="4"/>
      <c r="P2886" s="4"/>
      <c r="Q2886" s="3"/>
      <c r="R2886" s="3"/>
      <c r="S2886" s="3"/>
      <c r="T2886" s="3"/>
    </row>
    <row r="2887" spans="1:20">
      <c r="A2887" s="3">
        <v>1</v>
      </c>
      <c r="B2887" s="3">
        <v>2</v>
      </c>
      <c r="C2887" s="2">
        <v>25</v>
      </c>
      <c r="D2887" s="2">
        <v>5</v>
      </c>
      <c r="E2887" s="2">
        <v>16</v>
      </c>
      <c r="F2887" s="17">
        <v>166</v>
      </c>
      <c r="H2887" s="360">
        <v>7.0309799544324703E-2</v>
      </c>
      <c r="I2887" s="360">
        <v>-0.10174425443068193</v>
      </c>
      <c r="K2887" s="363"/>
      <c r="N2887" s="10"/>
      <c r="O2887" s="4"/>
      <c r="P2887" s="4"/>
      <c r="Q2887" s="3"/>
      <c r="R2887" s="3"/>
      <c r="S2887" s="3"/>
      <c r="T2887" s="3"/>
    </row>
    <row r="2888" spans="1:20">
      <c r="A2888" s="3">
        <v>5</v>
      </c>
      <c r="B2888" s="3">
        <v>2</v>
      </c>
      <c r="C2888" s="2">
        <v>50</v>
      </c>
      <c r="D2888" s="2">
        <v>5</v>
      </c>
      <c r="E2888" s="2">
        <v>16</v>
      </c>
      <c r="F2888" s="17">
        <v>166</v>
      </c>
      <c r="H2888" s="360">
        <v>0.18088465374982143</v>
      </c>
      <c r="I2888" s="360">
        <v>-0.10895506685205736</v>
      </c>
      <c r="K2888" s="363"/>
      <c r="N2888" s="10"/>
      <c r="O2888" s="4"/>
      <c r="P2888" s="4"/>
      <c r="Q2888" s="3"/>
      <c r="R2888" s="3"/>
      <c r="S2888" s="3"/>
      <c r="T2888" s="3"/>
    </row>
    <row r="2889" spans="1:20">
      <c r="A2889" s="3">
        <v>1</v>
      </c>
      <c r="B2889" s="3">
        <v>1</v>
      </c>
      <c r="C2889" s="2">
        <v>25</v>
      </c>
      <c r="D2889" s="2">
        <v>30</v>
      </c>
      <c r="E2889" s="2">
        <v>16</v>
      </c>
      <c r="F2889" s="17">
        <v>166</v>
      </c>
      <c r="H2889" s="360">
        <v>0.95799246888309175</v>
      </c>
      <c r="I2889" s="360">
        <v>-0.10957163974742687</v>
      </c>
      <c r="K2889" s="363"/>
      <c r="N2889" s="10"/>
      <c r="O2889" s="4"/>
      <c r="P2889" s="4"/>
      <c r="Q2889" s="3"/>
      <c r="R2889" s="3"/>
      <c r="S2889" s="3"/>
      <c r="T2889" s="3"/>
    </row>
    <row r="2890" spans="1:20">
      <c r="A2890" s="3">
        <v>3</v>
      </c>
      <c r="B2890" s="3">
        <v>1</v>
      </c>
      <c r="C2890" s="2">
        <v>25</v>
      </c>
      <c r="D2890" s="2">
        <v>5</v>
      </c>
      <c r="E2890" s="2">
        <v>1</v>
      </c>
      <c r="F2890" s="17">
        <v>166</v>
      </c>
      <c r="H2890" s="360">
        <v>5.172416059792817E-2</v>
      </c>
      <c r="I2890" s="360">
        <v>-0.21114854937606523</v>
      </c>
      <c r="K2890" s="363"/>
      <c r="N2890" s="10"/>
      <c r="O2890" s="4"/>
      <c r="P2890" s="4"/>
      <c r="Q2890" s="3"/>
      <c r="R2890" s="3"/>
      <c r="S2890" s="3"/>
      <c r="T2890" s="3"/>
    </row>
    <row r="2891" spans="1:20">
      <c r="A2891" s="3">
        <v>3</v>
      </c>
      <c r="B2891" s="3">
        <v>2</v>
      </c>
      <c r="C2891" s="2">
        <v>25</v>
      </c>
      <c r="D2891" s="2">
        <v>5</v>
      </c>
      <c r="E2891" s="2">
        <v>1</v>
      </c>
      <c r="F2891" s="17">
        <v>166</v>
      </c>
      <c r="H2891" s="360">
        <v>3.08462096021902E-2</v>
      </c>
      <c r="I2891" s="360">
        <v>-0.25630765958578156</v>
      </c>
      <c r="K2891" s="363"/>
      <c r="N2891" s="10"/>
      <c r="O2891" s="4"/>
      <c r="P2891" s="4"/>
      <c r="Q2891" s="3"/>
      <c r="R2891" s="3"/>
      <c r="S2891" s="3"/>
      <c r="T2891" s="3"/>
    </row>
    <row r="2892" spans="1:20">
      <c r="A2892" s="3">
        <v>3</v>
      </c>
      <c r="B2892" s="3">
        <v>2</v>
      </c>
      <c r="C2892" s="2">
        <v>25</v>
      </c>
      <c r="D2892" s="2">
        <v>5</v>
      </c>
      <c r="E2892" s="2">
        <v>16</v>
      </c>
      <c r="F2892" s="17">
        <v>166</v>
      </c>
      <c r="H2892" s="360">
        <v>0.25382919082952959</v>
      </c>
      <c r="I2892" s="360">
        <v>-0.31398388636586694</v>
      </c>
      <c r="K2892" s="363"/>
      <c r="N2892" s="10"/>
      <c r="O2892" s="4"/>
      <c r="P2892" s="4"/>
      <c r="Q2892" s="3"/>
      <c r="R2892" s="3"/>
      <c r="S2892" s="3"/>
      <c r="T2892" s="3"/>
    </row>
    <row r="2893" spans="1:20">
      <c r="A2893" s="3">
        <v>3</v>
      </c>
      <c r="B2893" s="3">
        <v>1</v>
      </c>
      <c r="C2893" s="2">
        <v>25</v>
      </c>
      <c r="D2893" s="2">
        <v>5</v>
      </c>
      <c r="E2893" s="2">
        <v>16</v>
      </c>
      <c r="F2893" s="17">
        <v>166</v>
      </c>
      <c r="H2893" s="360">
        <v>6.6567665770662532E-2</v>
      </c>
      <c r="I2893" s="360">
        <v>-0.33038090934270181</v>
      </c>
      <c r="K2893" s="363"/>
      <c r="N2893" s="10"/>
      <c r="O2893" s="4"/>
      <c r="P2893" s="4"/>
      <c r="Q2893" s="3"/>
      <c r="R2893" s="3"/>
      <c r="S2893" s="3"/>
      <c r="T2893" s="3"/>
    </row>
    <row r="2894" spans="1:20">
      <c r="A2894" s="3">
        <v>5</v>
      </c>
      <c r="B2894" s="3">
        <v>2</v>
      </c>
      <c r="C2894" s="2">
        <v>50</v>
      </c>
      <c r="D2894" s="2">
        <v>5</v>
      </c>
      <c r="E2894" s="2">
        <v>16</v>
      </c>
      <c r="F2894" s="17">
        <v>167</v>
      </c>
      <c r="H2894" s="360">
        <v>0.19594965272827236</v>
      </c>
      <c r="I2894" s="360">
        <v>0.18198280790628152</v>
      </c>
      <c r="K2894" s="363"/>
      <c r="N2894" s="10"/>
      <c r="O2894" s="4"/>
      <c r="P2894" s="4"/>
      <c r="Q2894" s="3"/>
      <c r="R2894" s="3"/>
      <c r="S2894" s="3"/>
      <c r="T2894" s="3"/>
    </row>
    <row r="2895" spans="1:20">
      <c r="A2895" s="3">
        <v>5</v>
      </c>
      <c r="B2895" s="3">
        <v>2</v>
      </c>
      <c r="C2895" s="2">
        <v>25</v>
      </c>
      <c r="D2895" s="2">
        <v>5</v>
      </c>
      <c r="E2895" s="2">
        <v>16</v>
      </c>
      <c r="F2895" s="17">
        <v>167</v>
      </c>
      <c r="H2895" s="360">
        <v>4.0650224371900912E-2</v>
      </c>
      <c r="I2895" s="360">
        <v>4.630458575252281E-2</v>
      </c>
      <c r="K2895" s="363"/>
      <c r="N2895" s="10"/>
      <c r="O2895" s="4"/>
      <c r="P2895" s="4"/>
      <c r="Q2895" s="3"/>
      <c r="R2895" s="3"/>
      <c r="S2895" s="3"/>
      <c r="T2895" s="3"/>
    </row>
    <row r="2896" spans="1:20">
      <c r="A2896" s="3">
        <v>4</v>
      </c>
      <c r="B2896" s="3">
        <v>2</v>
      </c>
      <c r="C2896" s="2">
        <v>50</v>
      </c>
      <c r="D2896" s="2">
        <v>5</v>
      </c>
      <c r="E2896" s="2">
        <v>16</v>
      </c>
      <c r="F2896" s="17">
        <v>167</v>
      </c>
      <c r="H2896" s="360">
        <v>0.45018093084804645</v>
      </c>
      <c r="I2896" s="360">
        <v>-3.0952995312432806E-2</v>
      </c>
      <c r="K2896" s="363"/>
      <c r="N2896" s="10"/>
      <c r="O2896" s="4"/>
      <c r="P2896" s="4"/>
      <c r="Q2896" s="3"/>
      <c r="R2896" s="3"/>
      <c r="S2896" s="3"/>
      <c r="T2896" s="3"/>
    </row>
    <row r="2897" spans="1:20">
      <c r="A2897" s="3">
        <v>3</v>
      </c>
      <c r="B2897" s="3">
        <v>2</v>
      </c>
      <c r="C2897" s="2">
        <v>25</v>
      </c>
      <c r="D2897" s="2">
        <v>5</v>
      </c>
      <c r="E2897" s="2">
        <v>16</v>
      </c>
      <c r="F2897" s="17">
        <v>167</v>
      </c>
      <c r="H2897" s="360">
        <v>0.9856925592853758</v>
      </c>
      <c r="I2897" s="360">
        <v>-0.91670443756230935</v>
      </c>
      <c r="K2897" s="363"/>
      <c r="N2897" s="10"/>
      <c r="O2897" s="4"/>
      <c r="P2897" s="4"/>
      <c r="Q2897" s="3"/>
      <c r="R2897" s="3"/>
      <c r="S2897" s="3"/>
      <c r="T2897" s="3"/>
    </row>
    <row r="2898" spans="1:20">
      <c r="A2898" s="3">
        <v>3</v>
      </c>
      <c r="B2898" s="3">
        <v>2</v>
      </c>
      <c r="C2898" s="2">
        <v>25</v>
      </c>
      <c r="D2898" s="2">
        <v>5</v>
      </c>
      <c r="E2898" s="2">
        <v>1</v>
      </c>
      <c r="F2898" s="17">
        <v>167</v>
      </c>
      <c r="H2898" s="360">
        <v>0.98602628351113519</v>
      </c>
      <c r="I2898" s="360">
        <v>-0.9322119590614194</v>
      </c>
      <c r="K2898" s="363"/>
      <c r="N2898" s="10"/>
      <c r="O2898" s="4"/>
      <c r="P2898" s="4"/>
      <c r="Q2898" s="3"/>
      <c r="R2898" s="3"/>
      <c r="S2898" s="3"/>
      <c r="T2898" s="3"/>
    </row>
    <row r="2899" spans="1:20">
      <c r="A2899" s="3">
        <v>1</v>
      </c>
      <c r="B2899" s="3">
        <v>2</v>
      </c>
      <c r="C2899" s="2">
        <v>25</v>
      </c>
      <c r="D2899" s="2">
        <v>5</v>
      </c>
      <c r="E2899" s="2">
        <v>1</v>
      </c>
      <c r="F2899" s="17">
        <v>167</v>
      </c>
      <c r="H2899" s="360">
        <v>0.83793166644165196</v>
      </c>
      <c r="I2899" s="360">
        <v>-0.95845430500189599</v>
      </c>
      <c r="K2899" s="363"/>
      <c r="N2899" s="10"/>
      <c r="O2899" s="4"/>
      <c r="P2899" s="4"/>
      <c r="Q2899" s="3"/>
      <c r="R2899" s="3"/>
      <c r="S2899" s="3"/>
      <c r="T2899" s="3"/>
    </row>
    <row r="2900" spans="1:20">
      <c r="A2900" s="3">
        <v>3</v>
      </c>
      <c r="B2900" s="3">
        <v>1</v>
      </c>
      <c r="C2900" s="2">
        <v>25</v>
      </c>
      <c r="D2900" s="2">
        <v>5</v>
      </c>
      <c r="E2900" s="2">
        <v>1</v>
      </c>
      <c r="F2900" s="17">
        <v>167</v>
      </c>
      <c r="H2900" s="360">
        <v>0.96503234481570799</v>
      </c>
      <c r="I2900" s="360">
        <v>-0.96786401530312116</v>
      </c>
      <c r="K2900" s="363"/>
      <c r="N2900" s="10"/>
      <c r="O2900" s="4"/>
      <c r="P2900" s="4"/>
      <c r="Q2900" s="3"/>
      <c r="R2900" s="3"/>
      <c r="S2900" s="3"/>
      <c r="T2900" s="3"/>
    </row>
    <row r="2901" spans="1:20">
      <c r="A2901" s="3">
        <v>3</v>
      </c>
      <c r="B2901" s="3">
        <v>1</v>
      </c>
      <c r="C2901" s="2">
        <v>25</v>
      </c>
      <c r="D2901" s="2">
        <v>5</v>
      </c>
      <c r="E2901" s="2">
        <v>16</v>
      </c>
      <c r="F2901" s="17">
        <v>167</v>
      </c>
      <c r="H2901" s="360">
        <v>0.95885563640565652</v>
      </c>
      <c r="I2901" s="360">
        <v>-0.97084694569858343</v>
      </c>
      <c r="K2901" s="363"/>
      <c r="N2901" s="10"/>
      <c r="O2901" s="4"/>
      <c r="P2901" s="4"/>
      <c r="Q2901" s="3"/>
      <c r="R2901" s="3"/>
      <c r="S2901" s="3"/>
      <c r="T2901" s="3"/>
    </row>
    <row r="2902" spans="1:20">
      <c r="A2902" s="3">
        <v>1</v>
      </c>
      <c r="B2902" s="3">
        <v>1</v>
      </c>
      <c r="C2902" s="2">
        <v>25</v>
      </c>
      <c r="D2902" s="2">
        <v>5</v>
      </c>
      <c r="E2902" s="2">
        <v>16</v>
      </c>
      <c r="F2902" s="17">
        <v>167</v>
      </c>
      <c r="H2902" s="360">
        <v>1</v>
      </c>
      <c r="I2902" s="360">
        <v>-0.97382439035980761</v>
      </c>
      <c r="K2902" s="363"/>
      <c r="N2902" s="10"/>
      <c r="O2902" s="4"/>
      <c r="P2902" s="4"/>
      <c r="Q2902" s="3"/>
      <c r="R2902" s="3"/>
      <c r="S2902" s="3"/>
      <c r="T2902" s="3"/>
    </row>
    <row r="2903" spans="1:20">
      <c r="A2903" s="3">
        <v>1</v>
      </c>
      <c r="B2903" s="3">
        <v>1</v>
      </c>
      <c r="C2903" s="2">
        <v>25</v>
      </c>
      <c r="D2903" s="2">
        <v>5</v>
      </c>
      <c r="E2903" s="2">
        <v>1</v>
      </c>
      <c r="F2903" s="17">
        <v>167</v>
      </c>
      <c r="H2903" s="360">
        <v>1</v>
      </c>
      <c r="I2903" s="360">
        <v>-0.97397452932460082</v>
      </c>
      <c r="K2903" s="363"/>
      <c r="N2903" s="10"/>
      <c r="O2903" s="4"/>
      <c r="P2903" s="4"/>
      <c r="Q2903" s="3"/>
      <c r="R2903" s="3"/>
      <c r="S2903" s="3"/>
      <c r="T2903" s="3"/>
    </row>
    <row r="2904" spans="1:20">
      <c r="A2904" s="3">
        <v>1</v>
      </c>
      <c r="B2904" s="3">
        <v>2</v>
      </c>
      <c r="C2904" s="2">
        <v>25</v>
      </c>
      <c r="D2904" s="2">
        <v>5</v>
      </c>
      <c r="E2904" s="2">
        <v>16</v>
      </c>
      <c r="F2904" s="17">
        <v>167</v>
      </c>
      <c r="H2904" s="360">
        <v>1</v>
      </c>
      <c r="I2904" s="360">
        <v>-0.97415589829095461</v>
      </c>
      <c r="K2904" s="363"/>
      <c r="N2904" s="10"/>
      <c r="O2904" s="4"/>
      <c r="P2904" s="4"/>
      <c r="Q2904" s="3"/>
      <c r="R2904" s="3"/>
      <c r="S2904" s="3"/>
      <c r="T2904" s="3"/>
    </row>
    <row r="2905" spans="1:20">
      <c r="A2905" s="3">
        <v>2</v>
      </c>
      <c r="B2905" s="3">
        <v>2</v>
      </c>
      <c r="C2905" s="2">
        <v>25</v>
      </c>
      <c r="D2905" s="2">
        <v>5</v>
      </c>
      <c r="E2905" s="2">
        <v>1</v>
      </c>
      <c r="F2905" s="17">
        <v>167</v>
      </c>
      <c r="H2905" s="360">
        <v>1</v>
      </c>
      <c r="I2905" s="360">
        <v>-0.98770730787941752</v>
      </c>
      <c r="K2905" s="363"/>
      <c r="N2905" s="10"/>
      <c r="O2905" s="4"/>
      <c r="P2905" s="4"/>
      <c r="Q2905" s="3"/>
      <c r="R2905" s="3"/>
      <c r="S2905" s="3"/>
      <c r="T2905" s="3"/>
    </row>
    <row r="2906" spans="1:20">
      <c r="A2906" s="3">
        <v>1</v>
      </c>
      <c r="B2906" s="3">
        <v>2</v>
      </c>
      <c r="C2906" s="2">
        <v>25</v>
      </c>
      <c r="D2906" s="2">
        <v>30</v>
      </c>
      <c r="E2906" s="2">
        <v>16</v>
      </c>
      <c r="F2906" s="17">
        <v>167</v>
      </c>
      <c r="H2906" s="360">
        <v>0.97988039748676903</v>
      </c>
      <c r="I2906" s="360">
        <v>-0.98987449795796734</v>
      </c>
      <c r="K2906" s="363"/>
      <c r="N2906" s="10"/>
      <c r="O2906" s="4"/>
      <c r="P2906" s="4"/>
      <c r="Q2906" s="3"/>
      <c r="R2906" s="3"/>
      <c r="S2906" s="3"/>
      <c r="T2906" s="3"/>
    </row>
    <row r="2907" spans="1:20">
      <c r="A2907" s="3">
        <v>1</v>
      </c>
      <c r="B2907" s="3">
        <v>1</v>
      </c>
      <c r="C2907" s="2">
        <v>25</v>
      </c>
      <c r="D2907" s="2">
        <v>30</v>
      </c>
      <c r="E2907" s="2">
        <v>16</v>
      </c>
      <c r="F2907" s="17">
        <v>167</v>
      </c>
      <c r="H2907" s="360">
        <v>1</v>
      </c>
      <c r="I2907" s="360">
        <v>-0.99084196264997992</v>
      </c>
      <c r="K2907" s="363"/>
      <c r="N2907" s="10"/>
      <c r="O2907" s="4"/>
      <c r="P2907" s="4"/>
      <c r="Q2907" s="3"/>
      <c r="R2907" s="3"/>
      <c r="S2907" s="3"/>
      <c r="T2907" s="3"/>
    </row>
    <row r="2908" spans="1:20">
      <c r="A2908" s="3">
        <v>1</v>
      </c>
      <c r="B2908" s="3">
        <v>2</v>
      </c>
      <c r="C2908" s="2">
        <v>25</v>
      </c>
      <c r="D2908" s="2">
        <v>5</v>
      </c>
      <c r="E2908" s="2">
        <v>16</v>
      </c>
      <c r="F2908" s="17">
        <v>167</v>
      </c>
      <c r="H2908" s="360">
        <v>1</v>
      </c>
      <c r="I2908" s="360">
        <v>-0.99166852352171131</v>
      </c>
      <c r="K2908" s="363"/>
      <c r="N2908" s="10"/>
      <c r="O2908" s="4"/>
      <c r="P2908" s="4"/>
      <c r="Q2908" s="3"/>
      <c r="R2908" s="3"/>
      <c r="S2908" s="3"/>
      <c r="T2908" s="3"/>
    </row>
    <row r="2909" spans="1:20">
      <c r="A2909" s="3">
        <v>2</v>
      </c>
      <c r="B2909" s="3">
        <v>1</v>
      </c>
      <c r="C2909" s="2">
        <v>25</v>
      </c>
      <c r="D2909" s="2">
        <v>5</v>
      </c>
      <c r="E2909" s="2">
        <v>1</v>
      </c>
      <c r="F2909" s="17">
        <v>167</v>
      </c>
      <c r="H2909" s="360">
        <v>0.99807838417513539</v>
      </c>
      <c r="I2909" s="360">
        <v>-1</v>
      </c>
      <c r="K2909" s="363"/>
      <c r="N2909" s="10"/>
      <c r="O2909" s="4"/>
      <c r="P2909" s="4"/>
      <c r="Q2909" s="3"/>
      <c r="R2909" s="3"/>
      <c r="S2909" s="3"/>
      <c r="T2909" s="3"/>
    </row>
    <row r="2910" spans="1:20">
      <c r="A2910" s="3">
        <v>2</v>
      </c>
      <c r="B2910" s="3">
        <v>1</v>
      </c>
      <c r="C2910" s="2">
        <v>25</v>
      </c>
      <c r="D2910" s="2">
        <v>5</v>
      </c>
      <c r="E2910" s="2">
        <v>16</v>
      </c>
      <c r="F2910" s="17">
        <v>167</v>
      </c>
      <c r="H2910" s="360">
        <v>1</v>
      </c>
      <c r="I2910" s="360">
        <v>-1</v>
      </c>
      <c r="K2910" s="363"/>
      <c r="N2910" s="10"/>
      <c r="O2910" s="4"/>
      <c r="P2910" s="4"/>
      <c r="Q2910" s="3"/>
      <c r="R2910" s="3"/>
      <c r="S2910" s="3"/>
      <c r="T2910" s="3"/>
    </row>
    <row r="2911" spans="1:20">
      <c r="A2911" s="3">
        <v>2</v>
      </c>
      <c r="B2911" s="3">
        <v>2</v>
      </c>
      <c r="C2911" s="2">
        <v>25</v>
      </c>
      <c r="D2911" s="2">
        <v>5</v>
      </c>
      <c r="E2911" s="2">
        <v>16</v>
      </c>
      <c r="F2911" s="17">
        <v>167</v>
      </c>
      <c r="H2911" s="360">
        <v>1</v>
      </c>
      <c r="I2911" s="360">
        <v>-1</v>
      </c>
      <c r="K2911" s="363"/>
      <c r="N2911" s="10"/>
      <c r="O2911" s="4"/>
      <c r="P2911" s="4"/>
      <c r="Q2911" s="3"/>
      <c r="R2911" s="3"/>
      <c r="S2911" s="3"/>
      <c r="T2911" s="3"/>
    </row>
    <row r="2912" spans="1:20">
      <c r="A2912" s="3">
        <v>1</v>
      </c>
      <c r="B2912" s="3">
        <v>2</v>
      </c>
      <c r="C2912" s="2">
        <v>25</v>
      </c>
      <c r="D2912" s="2">
        <v>5</v>
      </c>
      <c r="E2912" s="2">
        <v>1</v>
      </c>
      <c r="F2912" s="17">
        <v>168</v>
      </c>
      <c r="H2912" s="360">
        <v>5.5279367233579069E-2</v>
      </c>
      <c r="I2912" s="360">
        <v>1</v>
      </c>
      <c r="K2912" s="363"/>
      <c r="N2912" s="10"/>
      <c r="O2912" s="4"/>
      <c r="P2912" s="4"/>
      <c r="Q2912" s="3"/>
      <c r="R2912" s="3"/>
      <c r="S2912" s="3"/>
      <c r="T2912" s="3"/>
    </row>
    <row r="2913" spans="1:20">
      <c r="A2913" s="3">
        <v>1</v>
      </c>
      <c r="B2913" s="3">
        <v>2</v>
      </c>
      <c r="C2913" s="2">
        <v>25</v>
      </c>
      <c r="D2913" s="2">
        <v>5</v>
      </c>
      <c r="E2913" s="2">
        <v>16</v>
      </c>
      <c r="F2913" s="17">
        <v>168</v>
      </c>
      <c r="H2913" s="360">
        <v>4.9065807396287298E-2</v>
      </c>
      <c r="I2913" s="360">
        <v>1</v>
      </c>
      <c r="K2913" s="363"/>
      <c r="N2913" s="10"/>
      <c r="O2913" s="4"/>
      <c r="P2913" s="4"/>
      <c r="Q2913" s="3"/>
      <c r="R2913" s="3"/>
      <c r="S2913" s="3"/>
      <c r="T2913" s="3"/>
    </row>
    <row r="2914" spans="1:20">
      <c r="A2914" s="3">
        <v>1</v>
      </c>
      <c r="B2914" s="3">
        <v>1</v>
      </c>
      <c r="C2914" s="2">
        <v>25</v>
      </c>
      <c r="D2914" s="2">
        <v>5</v>
      </c>
      <c r="E2914" s="2">
        <v>1</v>
      </c>
      <c r="F2914" s="17">
        <v>168</v>
      </c>
      <c r="H2914" s="360">
        <v>0.10537702602792332</v>
      </c>
      <c r="I2914" s="360">
        <v>0.85640278133433134</v>
      </c>
      <c r="K2914" s="363"/>
      <c r="N2914" s="10"/>
      <c r="O2914" s="4"/>
      <c r="P2914" s="4"/>
      <c r="Q2914" s="3"/>
      <c r="R2914" s="3"/>
      <c r="S2914" s="3"/>
      <c r="T2914" s="3"/>
    </row>
    <row r="2915" spans="1:20">
      <c r="A2915" s="3">
        <v>1</v>
      </c>
      <c r="B2915" s="3">
        <v>2</v>
      </c>
      <c r="C2915" s="2">
        <v>25</v>
      </c>
      <c r="D2915" s="2">
        <v>5</v>
      </c>
      <c r="E2915" s="2">
        <v>16</v>
      </c>
      <c r="F2915" s="17">
        <v>168</v>
      </c>
      <c r="H2915" s="360">
        <v>7.6744383350408896E-2</v>
      </c>
      <c r="I2915" s="360">
        <v>0.79187400605345504</v>
      </c>
      <c r="K2915" s="363"/>
      <c r="N2915" s="10"/>
      <c r="O2915" s="4"/>
      <c r="P2915" s="4"/>
      <c r="Q2915" s="3"/>
      <c r="R2915" s="3"/>
      <c r="S2915" s="3"/>
      <c r="T2915" s="3"/>
    </row>
    <row r="2916" spans="1:20">
      <c r="A2916" s="3">
        <v>2</v>
      </c>
      <c r="B2916" s="3">
        <v>2</v>
      </c>
      <c r="C2916" s="2">
        <v>25</v>
      </c>
      <c r="D2916" s="2">
        <v>5</v>
      </c>
      <c r="E2916" s="2">
        <v>16</v>
      </c>
      <c r="F2916" s="17">
        <v>168</v>
      </c>
      <c r="H2916" s="360">
        <v>0.19030884912635837</v>
      </c>
      <c r="I2916" s="360">
        <v>0.76008081488340773</v>
      </c>
      <c r="K2916" s="363"/>
      <c r="N2916" s="10"/>
      <c r="O2916" s="4"/>
      <c r="P2916" s="4"/>
      <c r="Q2916" s="3"/>
      <c r="R2916" s="3"/>
      <c r="S2916" s="3"/>
      <c r="T2916" s="3"/>
    </row>
    <row r="2917" spans="1:20">
      <c r="A2917" s="3">
        <v>1</v>
      </c>
      <c r="B2917" s="3">
        <v>2</v>
      </c>
      <c r="C2917" s="2">
        <v>25</v>
      </c>
      <c r="D2917" s="2">
        <v>30</v>
      </c>
      <c r="E2917" s="2">
        <v>16</v>
      </c>
      <c r="F2917" s="17">
        <v>168</v>
      </c>
      <c r="H2917" s="360">
        <v>6.4246743004408802E-2</v>
      </c>
      <c r="I2917" s="360">
        <v>0.63560061042075433</v>
      </c>
      <c r="K2917" s="363"/>
      <c r="N2917" s="10"/>
      <c r="O2917" s="4"/>
      <c r="P2917" s="4"/>
      <c r="Q2917" s="3"/>
      <c r="R2917" s="3"/>
      <c r="S2917" s="3"/>
      <c r="T2917" s="3"/>
    </row>
    <row r="2918" spans="1:20">
      <c r="A2918" s="3">
        <v>5</v>
      </c>
      <c r="B2918" s="3">
        <v>2</v>
      </c>
      <c r="C2918" s="2">
        <v>50</v>
      </c>
      <c r="D2918" s="2">
        <v>5</v>
      </c>
      <c r="E2918" s="2">
        <v>16</v>
      </c>
      <c r="F2918" s="17">
        <v>168</v>
      </c>
      <c r="H2918" s="360">
        <v>1</v>
      </c>
      <c r="I2918" s="360">
        <v>0.54117671738908601</v>
      </c>
      <c r="K2918" s="363"/>
      <c r="N2918" s="10"/>
      <c r="O2918" s="4"/>
      <c r="P2918" s="4"/>
      <c r="Q2918" s="3"/>
      <c r="R2918" s="3"/>
      <c r="S2918" s="3"/>
      <c r="T2918" s="3"/>
    </row>
    <row r="2919" spans="1:20">
      <c r="A2919" s="3">
        <v>1</v>
      </c>
      <c r="B2919" s="3">
        <v>1</v>
      </c>
      <c r="C2919" s="2">
        <v>25</v>
      </c>
      <c r="D2919" s="2">
        <v>30</v>
      </c>
      <c r="E2919" s="2">
        <v>16</v>
      </c>
      <c r="F2919" s="17">
        <v>168</v>
      </c>
      <c r="H2919" s="360">
        <v>0.41045340739906166</v>
      </c>
      <c r="I2919" s="360">
        <v>0.48605593365650512</v>
      </c>
      <c r="K2919" s="363"/>
      <c r="N2919" s="10"/>
      <c r="O2919" s="4"/>
      <c r="P2919" s="4"/>
      <c r="Q2919" s="3"/>
      <c r="R2919" s="3"/>
      <c r="S2919" s="3"/>
      <c r="T2919" s="3"/>
    </row>
    <row r="2920" spans="1:20">
      <c r="A2920" s="3">
        <v>1</v>
      </c>
      <c r="B2920" s="3">
        <v>1</v>
      </c>
      <c r="C2920" s="2">
        <v>25</v>
      </c>
      <c r="D2920" s="2">
        <v>5</v>
      </c>
      <c r="E2920" s="2">
        <v>16</v>
      </c>
      <c r="F2920" s="17">
        <v>168</v>
      </c>
      <c r="H2920" s="360">
        <v>0.26033654862590105</v>
      </c>
      <c r="I2920" s="360">
        <v>0.47907246416584642</v>
      </c>
      <c r="K2920" s="363"/>
      <c r="N2920" s="10"/>
      <c r="O2920" s="4"/>
      <c r="P2920" s="4"/>
      <c r="Q2920" s="3"/>
      <c r="R2920" s="3"/>
      <c r="S2920" s="3"/>
      <c r="T2920" s="3"/>
    </row>
    <row r="2921" spans="1:20">
      <c r="A2921" s="3">
        <v>4</v>
      </c>
      <c r="B2921" s="3">
        <v>2</v>
      </c>
      <c r="C2921" s="2">
        <v>50</v>
      </c>
      <c r="D2921" s="2">
        <v>5</v>
      </c>
      <c r="E2921" s="2">
        <v>16</v>
      </c>
      <c r="F2921" s="17">
        <v>168</v>
      </c>
      <c r="H2921" s="360">
        <v>1</v>
      </c>
      <c r="I2921" s="360">
        <v>0.46084125079301991</v>
      </c>
      <c r="K2921" s="363"/>
      <c r="N2921" s="10"/>
      <c r="O2921" s="4"/>
      <c r="P2921" s="4"/>
      <c r="Q2921" s="3"/>
      <c r="R2921" s="3"/>
      <c r="S2921" s="3"/>
      <c r="T2921" s="3"/>
    </row>
    <row r="2922" spans="1:20">
      <c r="A2922" s="3">
        <v>5</v>
      </c>
      <c r="B2922" s="3">
        <v>2</v>
      </c>
      <c r="C2922" s="2">
        <v>25</v>
      </c>
      <c r="D2922" s="2">
        <v>5</v>
      </c>
      <c r="E2922" s="2">
        <v>16</v>
      </c>
      <c r="F2922" s="17">
        <v>168</v>
      </c>
      <c r="H2922" s="360">
        <v>0.13833118131820943</v>
      </c>
      <c r="I2922" s="360">
        <v>0.37706474948127167</v>
      </c>
      <c r="K2922" s="363"/>
      <c r="N2922" s="10"/>
      <c r="O2922" s="4"/>
      <c r="P2922" s="4"/>
      <c r="Q2922" s="3"/>
      <c r="R2922" s="3"/>
      <c r="S2922" s="3"/>
      <c r="T2922" s="3"/>
    </row>
    <row r="2923" spans="1:20">
      <c r="A2923" s="3">
        <v>2</v>
      </c>
      <c r="B2923" s="3">
        <v>1</v>
      </c>
      <c r="C2923" s="2">
        <v>25</v>
      </c>
      <c r="D2923" s="2">
        <v>5</v>
      </c>
      <c r="E2923" s="2">
        <v>1</v>
      </c>
      <c r="F2923" s="17">
        <v>168</v>
      </c>
      <c r="H2923" s="360">
        <v>8.9775469718714751E-2</v>
      </c>
      <c r="I2923" s="360">
        <v>0.27785487475008824</v>
      </c>
      <c r="K2923" s="363"/>
      <c r="N2923" s="10"/>
      <c r="O2923" s="4"/>
      <c r="P2923" s="4"/>
      <c r="Q2923" s="3"/>
      <c r="R2923" s="3"/>
      <c r="S2923" s="3"/>
      <c r="T2923" s="3"/>
    </row>
    <row r="2924" spans="1:20">
      <c r="A2924" s="3">
        <v>2</v>
      </c>
      <c r="B2924" s="3">
        <v>1</v>
      </c>
      <c r="C2924" s="2">
        <v>25</v>
      </c>
      <c r="D2924" s="2">
        <v>5</v>
      </c>
      <c r="E2924" s="2">
        <v>16</v>
      </c>
      <c r="F2924" s="17">
        <v>168</v>
      </c>
      <c r="H2924" s="360">
        <v>0.49284105749398122</v>
      </c>
      <c r="I2924" s="360">
        <v>0.14437666641083058</v>
      </c>
      <c r="K2924" s="363"/>
      <c r="N2924" s="10"/>
      <c r="O2924" s="4"/>
      <c r="P2924" s="4"/>
      <c r="Q2924" s="3"/>
      <c r="R2924" s="3"/>
      <c r="S2924" s="3"/>
      <c r="T2924" s="3"/>
    </row>
    <row r="2925" spans="1:20">
      <c r="A2925" s="3">
        <v>2</v>
      </c>
      <c r="B2925" s="3">
        <v>2</v>
      </c>
      <c r="C2925" s="2">
        <v>25</v>
      </c>
      <c r="D2925" s="2">
        <v>5</v>
      </c>
      <c r="E2925" s="2">
        <v>1</v>
      </c>
      <c r="F2925" s="17">
        <v>168</v>
      </c>
      <c r="H2925" s="360">
        <v>0</v>
      </c>
      <c r="I2925" s="360">
        <v>0</v>
      </c>
      <c r="K2925" s="363"/>
      <c r="N2925" s="10"/>
      <c r="O2925" s="4"/>
      <c r="P2925" s="4"/>
      <c r="Q2925" s="3"/>
      <c r="R2925" s="3"/>
      <c r="S2925" s="3"/>
      <c r="T2925" s="3"/>
    </row>
    <row r="2926" spans="1:20">
      <c r="A2926" s="3">
        <v>3</v>
      </c>
      <c r="B2926" s="3">
        <v>2</v>
      </c>
      <c r="C2926" s="2">
        <v>25</v>
      </c>
      <c r="D2926" s="2">
        <v>5</v>
      </c>
      <c r="E2926" s="2">
        <v>16</v>
      </c>
      <c r="F2926" s="17">
        <v>168</v>
      </c>
      <c r="H2926" s="360">
        <v>0.10544965527379613</v>
      </c>
      <c r="I2926" s="360">
        <v>-2.4646214409339419E-3</v>
      </c>
      <c r="K2926" s="363"/>
      <c r="N2926" s="10"/>
      <c r="O2926" s="4"/>
      <c r="P2926" s="4"/>
      <c r="Q2926" s="3"/>
      <c r="R2926" s="3"/>
      <c r="S2926" s="3"/>
      <c r="T2926" s="3"/>
    </row>
    <row r="2927" spans="1:20">
      <c r="A2927" s="3">
        <v>3</v>
      </c>
      <c r="B2927" s="3">
        <v>2</v>
      </c>
      <c r="C2927" s="2">
        <v>25</v>
      </c>
      <c r="D2927" s="2">
        <v>5</v>
      </c>
      <c r="E2927" s="2">
        <v>1</v>
      </c>
      <c r="F2927" s="17">
        <v>168</v>
      </c>
      <c r="H2927" s="360">
        <v>2.6712733862375937E-2</v>
      </c>
      <c r="I2927" s="360">
        <v>-0.34589713388299959</v>
      </c>
      <c r="K2927" s="363"/>
      <c r="N2927" s="10"/>
      <c r="O2927" s="4"/>
      <c r="P2927" s="4"/>
      <c r="Q2927" s="3"/>
      <c r="R2927" s="3"/>
      <c r="S2927" s="3"/>
      <c r="T2927" s="3"/>
    </row>
    <row r="2928" spans="1:20">
      <c r="A2928" s="3">
        <v>3</v>
      </c>
      <c r="B2928" s="3">
        <v>1</v>
      </c>
      <c r="C2928" s="2">
        <v>25</v>
      </c>
      <c r="D2928" s="2">
        <v>5</v>
      </c>
      <c r="E2928" s="2">
        <v>16</v>
      </c>
      <c r="F2928" s="17">
        <v>168</v>
      </c>
      <c r="H2928" s="360">
        <v>3.3942059036160543E-2</v>
      </c>
      <c r="I2928" s="360">
        <v>-0.40276479451000224</v>
      </c>
      <c r="K2928" s="363"/>
      <c r="N2928" s="10"/>
      <c r="O2928" s="4"/>
      <c r="P2928" s="4"/>
      <c r="Q2928" s="3"/>
      <c r="R2928" s="3"/>
      <c r="S2928" s="3"/>
      <c r="T2928" s="3"/>
    </row>
    <row r="2929" spans="1:20">
      <c r="A2929" s="3">
        <v>3</v>
      </c>
      <c r="B2929" s="3">
        <v>1</v>
      </c>
      <c r="C2929" s="2">
        <v>25</v>
      </c>
      <c r="D2929" s="2">
        <v>5</v>
      </c>
      <c r="E2929" s="2">
        <v>1</v>
      </c>
      <c r="F2929" s="17">
        <v>168</v>
      </c>
      <c r="H2929" s="360">
        <v>1.5908635425280648E-2</v>
      </c>
      <c r="I2929" s="360">
        <v>-0.55180702082643673</v>
      </c>
      <c r="K2929" s="363"/>
      <c r="N2929" s="10"/>
      <c r="O2929" s="4"/>
      <c r="P2929" s="4"/>
      <c r="Q2929" s="3"/>
      <c r="R2929" s="3"/>
      <c r="S2929" s="3"/>
      <c r="T2929" s="3"/>
    </row>
    <row r="2930" spans="1:20">
      <c r="A2930" s="3">
        <v>2</v>
      </c>
      <c r="B2930" s="3">
        <v>1</v>
      </c>
      <c r="C2930" s="2">
        <v>25</v>
      </c>
      <c r="D2930" s="2">
        <v>5</v>
      </c>
      <c r="E2930" s="2">
        <v>16</v>
      </c>
      <c r="F2930" s="17">
        <v>169</v>
      </c>
      <c r="H2930" s="360">
        <v>1</v>
      </c>
      <c r="I2930" s="360">
        <v>0.15754297906738476</v>
      </c>
      <c r="K2930" s="363"/>
      <c r="N2930" s="10"/>
      <c r="O2930" s="4"/>
      <c r="P2930" s="4"/>
      <c r="Q2930" s="3"/>
      <c r="R2930" s="3"/>
      <c r="S2930" s="3"/>
      <c r="T2930" s="3"/>
    </row>
    <row r="2931" spans="1:20">
      <c r="A2931" s="3">
        <v>2</v>
      </c>
      <c r="B2931" s="3">
        <v>1</v>
      </c>
      <c r="C2931" s="2">
        <v>25</v>
      </c>
      <c r="D2931" s="2">
        <v>5</v>
      </c>
      <c r="E2931" s="2">
        <v>1</v>
      </c>
      <c r="F2931" s="17">
        <v>169</v>
      </c>
      <c r="H2931" s="360">
        <v>0.90826841201160691</v>
      </c>
      <c r="I2931" s="360">
        <v>0.1400726217021839</v>
      </c>
      <c r="K2931" s="363"/>
      <c r="N2931" s="10"/>
      <c r="O2931" s="4"/>
      <c r="P2931" s="4"/>
      <c r="Q2931" s="3"/>
      <c r="R2931" s="3"/>
      <c r="S2931" s="3"/>
      <c r="T2931" s="3"/>
    </row>
    <row r="2932" spans="1:20">
      <c r="A2932" s="3">
        <v>2</v>
      </c>
      <c r="B2932" s="3">
        <v>2</v>
      </c>
      <c r="C2932" s="2">
        <v>25</v>
      </c>
      <c r="D2932" s="2">
        <v>5</v>
      </c>
      <c r="E2932" s="2">
        <v>16</v>
      </c>
      <c r="F2932" s="17">
        <v>169</v>
      </c>
      <c r="H2932" s="360">
        <v>0.99465207221286533</v>
      </c>
      <c r="I2932" s="360">
        <v>5.5924722806124594E-2</v>
      </c>
      <c r="K2932" s="363"/>
      <c r="N2932" s="10"/>
      <c r="O2932" s="4"/>
      <c r="P2932" s="4"/>
      <c r="Q2932" s="3"/>
      <c r="R2932" s="3"/>
      <c r="S2932" s="3"/>
      <c r="T2932" s="3"/>
    </row>
    <row r="2933" spans="1:20">
      <c r="A2933" s="3">
        <v>2</v>
      </c>
      <c r="B2933" s="3">
        <v>2</v>
      </c>
      <c r="C2933" s="2">
        <v>25</v>
      </c>
      <c r="D2933" s="2">
        <v>5</v>
      </c>
      <c r="E2933" s="2">
        <v>1</v>
      </c>
      <c r="F2933" s="17">
        <v>169</v>
      </c>
      <c r="H2933" s="360">
        <v>1</v>
      </c>
      <c r="I2933" s="360">
        <v>5.1343758898923238E-2</v>
      </c>
      <c r="K2933" s="363"/>
      <c r="N2933" s="10"/>
      <c r="O2933" s="4"/>
      <c r="P2933" s="4"/>
      <c r="Q2933" s="3"/>
      <c r="R2933" s="3"/>
      <c r="S2933" s="3"/>
      <c r="T2933" s="3"/>
    </row>
    <row r="2934" spans="1:20">
      <c r="A2934" s="3">
        <v>4</v>
      </c>
      <c r="B2934" s="3">
        <v>2</v>
      </c>
      <c r="C2934" s="2">
        <v>50</v>
      </c>
      <c r="D2934" s="2">
        <v>5</v>
      </c>
      <c r="E2934" s="2">
        <v>16</v>
      </c>
      <c r="F2934" s="17">
        <v>169</v>
      </c>
      <c r="H2934" s="360">
        <v>1</v>
      </c>
      <c r="I2934" s="360">
        <v>3.7104876176099318E-2</v>
      </c>
      <c r="K2934" s="363"/>
      <c r="N2934" s="10"/>
      <c r="O2934" s="4"/>
      <c r="P2934" s="4"/>
      <c r="Q2934" s="3"/>
      <c r="R2934" s="3"/>
      <c r="S2934" s="3"/>
      <c r="T2934" s="3"/>
    </row>
    <row r="2935" spans="1:20">
      <c r="A2935" s="3">
        <v>1</v>
      </c>
      <c r="B2935" s="3">
        <v>1</v>
      </c>
      <c r="C2935" s="2">
        <v>25</v>
      </c>
      <c r="D2935" s="2">
        <v>30</v>
      </c>
      <c r="E2935" s="2">
        <v>16</v>
      </c>
      <c r="F2935" s="17">
        <v>169</v>
      </c>
      <c r="H2935" s="360">
        <v>1</v>
      </c>
      <c r="I2935" s="360">
        <v>-2.4131896524197255E-2</v>
      </c>
      <c r="K2935" s="363"/>
      <c r="N2935" s="10"/>
      <c r="O2935" s="4"/>
      <c r="P2935" s="4"/>
      <c r="Q2935" s="3"/>
      <c r="R2935" s="3"/>
      <c r="S2935" s="3"/>
      <c r="T2935" s="3"/>
    </row>
    <row r="2936" spans="1:20">
      <c r="A2936" s="3">
        <v>1</v>
      </c>
      <c r="B2936" s="3">
        <v>2</v>
      </c>
      <c r="C2936" s="2">
        <v>25</v>
      </c>
      <c r="D2936" s="2">
        <v>30</v>
      </c>
      <c r="E2936" s="2">
        <v>16</v>
      </c>
      <c r="F2936" s="17">
        <v>169</v>
      </c>
      <c r="H2936" s="360">
        <v>1</v>
      </c>
      <c r="I2936" s="360">
        <v>-2.7161930765597649E-2</v>
      </c>
      <c r="K2936" s="363"/>
      <c r="N2936" s="10"/>
      <c r="O2936" s="4"/>
      <c r="P2936" s="4"/>
      <c r="Q2936" s="3"/>
      <c r="R2936" s="3"/>
      <c r="S2936" s="3"/>
      <c r="T2936" s="3"/>
    </row>
    <row r="2937" spans="1:20">
      <c r="A2937" s="3">
        <v>1</v>
      </c>
      <c r="B2937" s="3">
        <v>2</v>
      </c>
      <c r="C2937" s="2">
        <v>25</v>
      </c>
      <c r="D2937" s="2">
        <v>5</v>
      </c>
      <c r="E2937" s="2">
        <v>16</v>
      </c>
      <c r="F2937" s="17">
        <v>169</v>
      </c>
      <c r="H2937" s="360">
        <v>1</v>
      </c>
      <c r="I2937" s="360">
        <v>-3.1252761165907222E-2</v>
      </c>
      <c r="K2937" s="363"/>
      <c r="N2937" s="10"/>
      <c r="O2937" s="4"/>
      <c r="P2937" s="4"/>
      <c r="Q2937" s="3"/>
      <c r="R2937" s="3"/>
      <c r="S2937" s="3"/>
      <c r="T2937" s="3"/>
    </row>
    <row r="2938" spans="1:20">
      <c r="A2938" s="3">
        <v>1</v>
      </c>
      <c r="B2938" s="3">
        <v>2</v>
      </c>
      <c r="C2938" s="2">
        <v>25</v>
      </c>
      <c r="D2938" s="2">
        <v>5</v>
      </c>
      <c r="E2938" s="2">
        <v>16</v>
      </c>
      <c r="F2938" s="17">
        <v>169</v>
      </c>
      <c r="H2938" s="360">
        <v>1</v>
      </c>
      <c r="I2938" s="360">
        <v>-3.7834765406656257E-2</v>
      </c>
      <c r="K2938" s="363"/>
      <c r="N2938" s="10"/>
      <c r="O2938" s="4"/>
      <c r="P2938" s="4"/>
      <c r="Q2938" s="3"/>
      <c r="R2938" s="3"/>
      <c r="S2938" s="3"/>
      <c r="T2938" s="3"/>
    </row>
    <row r="2939" spans="1:20">
      <c r="A2939" s="3">
        <v>1</v>
      </c>
      <c r="B2939" s="3">
        <v>2</v>
      </c>
      <c r="C2939" s="2">
        <v>25</v>
      </c>
      <c r="D2939" s="2">
        <v>5</v>
      </c>
      <c r="E2939" s="2">
        <v>1</v>
      </c>
      <c r="F2939" s="17">
        <v>169</v>
      </c>
      <c r="H2939" s="360">
        <v>1</v>
      </c>
      <c r="I2939" s="360">
        <v>-4.025417296231721E-2</v>
      </c>
      <c r="K2939" s="363"/>
      <c r="N2939" s="10"/>
      <c r="O2939" s="4"/>
      <c r="P2939" s="4"/>
      <c r="Q2939" s="3"/>
      <c r="R2939" s="3"/>
      <c r="S2939" s="3"/>
      <c r="T2939" s="3"/>
    </row>
    <row r="2940" spans="1:20">
      <c r="A2940" s="3">
        <v>1</v>
      </c>
      <c r="B2940" s="3">
        <v>1</v>
      </c>
      <c r="C2940" s="2">
        <v>25</v>
      </c>
      <c r="D2940" s="2">
        <v>5</v>
      </c>
      <c r="E2940" s="2">
        <v>16</v>
      </c>
      <c r="F2940" s="17">
        <v>169</v>
      </c>
      <c r="H2940" s="360">
        <v>1</v>
      </c>
      <c r="I2940" s="360">
        <v>-7.8025545887811895E-2</v>
      </c>
      <c r="K2940" s="363"/>
      <c r="N2940" s="10"/>
      <c r="O2940" s="4"/>
      <c r="P2940" s="4"/>
      <c r="Q2940" s="3"/>
      <c r="R2940" s="3"/>
      <c r="S2940" s="3"/>
      <c r="T2940" s="3"/>
    </row>
    <row r="2941" spans="1:20">
      <c r="A2941" s="3">
        <v>1</v>
      </c>
      <c r="B2941" s="3">
        <v>1</v>
      </c>
      <c r="C2941" s="2">
        <v>25</v>
      </c>
      <c r="D2941" s="2">
        <v>5</v>
      </c>
      <c r="E2941" s="2">
        <v>1</v>
      </c>
      <c r="F2941" s="17">
        <v>169</v>
      </c>
      <c r="H2941" s="360">
        <v>1</v>
      </c>
      <c r="I2941" s="360">
        <v>-8.6589871434605351E-2</v>
      </c>
      <c r="K2941" s="363"/>
      <c r="N2941" s="10"/>
      <c r="O2941" s="4"/>
      <c r="P2941" s="4"/>
      <c r="Q2941" s="3"/>
      <c r="R2941" s="3"/>
      <c r="S2941" s="3"/>
      <c r="T2941" s="3"/>
    </row>
    <row r="2942" spans="1:20">
      <c r="A2942" s="3">
        <v>5</v>
      </c>
      <c r="B2942" s="3">
        <v>2</v>
      </c>
      <c r="C2942" s="2">
        <v>50</v>
      </c>
      <c r="D2942" s="2">
        <v>5</v>
      </c>
      <c r="E2942" s="2">
        <v>16</v>
      </c>
      <c r="F2942" s="17">
        <v>169</v>
      </c>
      <c r="H2942" s="360">
        <v>1</v>
      </c>
      <c r="I2942" s="360">
        <v>-0.11315469498245428</v>
      </c>
      <c r="K2942" s="363"/>
      <c r="N2942" s="10"/>
      <c r="O2942" s="4"/>
      <c r="P2942" s="4"/>
      <c r="Q2942" s="3"/>
      <c r="R2942" s="3"/>
      <c r="S2942" s="3"/>
      <c r="T2942" s="3"/>
    </row>
    <row r="2943" spans="1:20">
      <c r="A2943" s="3">
        <v>5</v>
      </c>
      <c r="B2943" s="3">
        <v>2</v>
      </c>
      <c r="C2943" s="2">
        <v>25</v>
      </c>
      <c r="D2943" s="2">
        <v>5</v>
      </c>
      <c r="E2943" s="2">
        <v>16</v>
      </c>
      <c r="F2943" s="17">
        <v>169</v>
      </c>
      <c r="H2943" s="360">
        <v>1</v>
      </c>
      <c r="I2943" s="360">
        <v>-0.11664432763011302</v>
      </c>
      <c r="K2943" s="363"/>
      <c r="N2943" s="10"/>
      <c r="O2943" s="4"/>
      <c r="P2943" s="4"/>
      <c r="Q2943" s="3"/>
      <c r="R2943" s="3"/>
      <c r="S2943" s="3"/>
      <c r="T2943" s="3"/>
    </row>
    <row r="2944" spans="1:20">
      <c r="A2944" s="3">
        <v>3</v>
      </c>
      <c r="B2944" s="3">
        <v>2</v>
      </c>
      <c r="C2944" s="2">
        <v>25</v>
      </c>
      <c r="D2944" s="2">
        <v>5</v>
      </c>
      <c r="E2944" s="2">
        <v>1</v>
      </c>
      <c r="F2944" s="17">
        <v>169</v>
      </c>
      <c r="H2944" s="360">
        <v>1</v>
      </c>
      <c r="I2944" s="360">
        <v>-0.28135472687675006</v>
      </c>
      <c r="K2944" s="363"/>
      <c r="N2944" s="10"/>
      <c r="O2944" s="4"/>
      <c r="P2944" s="4"/>
      <c r="Q2944" s="3"/>
      <c r="R2944" s="3"/>
      <c r="S2944" s="3"/>
      <c r="T2944" s="3"/>
    </row>
    <row r="2945" spans="1:20">
      <c r="A2945" s="3">
        <v>3</v>
      </c>
      <c r="B2945" s="3">
        <v>2</v>
      </c>
      <c r="C2945" s="2">
        <v>25</v>
      </c>
      <c r="D2945" s="2">
        <v>5</v>
      </c>
      <c r="E2945" s="2">
        <v>16</v>
      </c>
      <c r="F2945" s="17">
        <v>169</v>
      </c>
      <c r="H2945" s="360">
        <v>0.98253588616261867</v>
      </c>
      <c r="I2945" s="360">
        <v>-0.29186656651113319</v>
      </c>
      <c r="K2945" s="363"/>
      <c r="N2945" s="10"/>
      <c r="O2945" s="4"/>
      <c r="P2945" s="4"/>
      <c r="Q2945" s="3"/>
      <c r="R2945" s="3"/>
      <c r="S2945" s="3"/>
      <c r="T2945" s="3"/>
    </row>
    <row r="2946" spans="1:20">
      <c r="A2946" s="3">
        <v>3</v>
      </c>
      <c r="B2946" s="3">
        <v>1</v>
      </c>
      <c r="C2946" s="2">
        <v>25</v>
      </c>
      <c r="D2946" s="2">
        <v>5</v>
      </c>
      <c r="E2946" s="2">
        <v>1</v>
      </c>
      <c r="F2946" s="17">
        <v>169</v>
      </c>
      <c r="H2946" s="360">
        <v>0.8578919647594081</v>
      </c>
      <c r="I2946" s="360">
        <v>-0.53523332197974982</v>
      </c>
      <c r="K2946" s="363"/>
      <c r="N2946" s="10"/>
      <c r="O2946" s="4"/>
      <c r="P2946" s="4"/>
      <c r="Q2946" s="3"/>
      <c r="R2946" s="3"/>
      <c r="S2946" s="3"/>
      <c r="T2946" s="3"/>
    </row>
    <row r="2947" spans="1:20">
      <c r="A2947" s="3">
        <v>3</v>
      </c>
      <c r="B2947" s="3">
        <v>1</v>
      </c>
      <c r="C2947" s="2">
        <v>25</v>
      </c>
      <c r="D2947" s="2">
        <v>5</v>
      </c>
      <c r="E2947" s="2">
        <v>16</v>
      </c>
      <c r="F2947" s="17">
        <v>169</v>
      </c>
      <c r="H2947" s="360">
        <v>0.98378150311783752</v>
      </c>
      <c r="I2947" s="360">
        <v>-0.55306332917509737</v>
      </c>
      <c r="K2947" s="363"/>
      <c r="N2947" s="10"/>
      <c r="O2947" s="4"/>
      <c r="P2947" s="4"/>
      <c r="Q2947" s="3"/>
      <c r="R2947" s="3"/>
      <c r="S2947" s="3"/>
      <c r="T2947" s="3"/>
    </row>
    <row r="2948" spans="1:20">
      <c r="A2948" s="3">
        <v>1</v>
      </c>
      <c r="B2948" s="3">
        <v>2</v>
      </c>
      <c r="C2948" s="2">
        <v>25</v>
      </c>
      <c r="D2948" s="2">
        <v>5</v>
      </c>
      <c r="E2948" s="2">
        <v>1</v>
      </c>
      <c r="F2948" s="17">
        <v>170</v>
      </c>
      <c r="H2948" s="360">
        <v>2.4712622712284471E-2</v>
      </c>
      <c r="I2948" s="360">
        <v>1</v>
      </c>
      <c r="K2948" s="363"/>
      <c r="N2948" s="10"/>
      <c r="O2948" s="4"/>
      <c r="P2948" s="4"/>
      <c r="Q2948" s="3"/>
      <c r="R2948" s="3"/>
      <c r="S2948" s="3"/>
      <c r="T2948" s="3"/>
    </row>
    <row r="2949" spans="1:20">
      <c r="A2949" s="3">
        <v>1</v>
      </c>
      <c r="B2949" s="3">
        <v>2</v>
      </c>
      <c r="C2949" s="2">
        <v>25</v>
      </c>
      <c r="D2949" s="2">
        <v>5</v>
      </c>
      <c r="E2949" s="2">
        <v>16</v>
      </c>
      <c r="F2949" s="17">
        <v>170</v>
      </c>
      <c r="H2949" s="360">
        <v>1</v>
      </c>
      <c r="I2949" s="360">
        <v>0.97960706379909046</v>
      </c>
      <c r="K2949" s="363"/>
      <c r="N2949" s="10"/>
      <c r="O2949" s="4"/>
      <c r="P2949" s="4"/>
      <c r="Q2949" s="3"/>
      <c r="R2949" s="3"/>
      <c r="S2949" s="3"/>
      <c r="T2949" s="3"/>
    </row>
    <row r="2950" spans="1:20">
      <c r="A2950" s="3">
        <v>1</v>
      </c>
      <c r="B2950" s="3">
        <v>2</v>
      </c>
      <c r="C2950" s="2">
        <v>25</v>
      </c>
      <c r="D2950" s="2">
        <v>30</v>
      </c>
      <c r="E2950" s="2">
        <v>16</v>
      </c>
      <c r="F2950" s="17">
        <v>170</v>
      </c>
      <c r="H2950" s="360">
        <v>1</v>
      </c>
      <c r="I2950" s="360">
        <v>0.97550025314758593</v>
      </c>
      <c r="K2950" s="363"/>
      <c r="N2950" s="10"/>
      <c r="O2950" s="4"/>
      <c r="P2950" s="4"/>
      <c r="Q2950" s="3"/>
      <c r="R2950" s="3"/>
      <c r="S2950" s="3"/>
      <c r="T2950" s="3"/>
    </row>
    <row r="2951" spans="1:20">
      <c r="A2951" s="3">
        <v>1</v>
      </c>
      <c r="B2951" s="3">
        <v>1</v>
      </c>
      <c r="C2951" s="2">
        <v>25</v>
      </c>
      <c r="D2951" s="2">
        <v>5</v>
      </c>
      <c r="E2951" s="2">
        <v>16</v>
      </c>
      <c r="F2951" s="17">
        <v>170</v>
      </c>
      <c r="H2951" s="360">
        <v>1</v>
      </c>
      <c r="I2951" s="360">
        <v>0.97492662119644402</v>
      </c>
      <c r="K2951" s="363"/>
      <c r="N2951" s="10"/>
      <c r="O2951" s="4"/>
      <c r="P2951" s="4"/>
      <c r="Q2951" s="3"/>
      <c r="R2951" s="3"/>
      <c r="S2951" s="3"/>
      <c r="T2951" s="3"/>
    </row>
    <row r="2952" spans="1:20">
      <c r="A2952" s="3">
        <v>2</v>
      </c>
      <c r="B2952" s="3">
        <v>1</v>
      </c>
      <c r="C2952" s="2">
        <v>25</v>
      </c>
      <c r="D2952" s="2">
        <v>5</v>
      </c>
      <c r="E2952" s="2">
        <v>16</v>
      </c>
      <c r="F2952" s="17">
        <v>170</v>
      </c>
      <c r="H2952" s="360">
        <v>1</v>
      </c>
      <c r="I2952" s="360">
        <v>0.97049439486794142</v>
      </c>
      <c r="K2952" s="363"/>
      <c r="N2952" s="10"/>
      <c r="O2952" s="4"/>
      <c r="P2952" s="4"/>
      <c r="Q2952" s="3"/>
      <c r="R2952" s="3"/>
      <c r="S2952" s="3"/>
      <c r="T2952" s="3"/>
    </row>
    <row r="2953" spans="1:20">
      <c r="A2953" s="3">
        <v>2</v>
      </c>
      <c r="B2953" s="3">
        <v>2</v>
      </c>
      <c r="C2953" s="2">
        <v>25</v>
      </c>
      <c r="D2953" s="2">
        <v>5</v>
      </c>
      <c r="E2953" s="2">
        <v>1</v>
      </c>
      <c r="F2953" s="17">
        <v>170</v>
      </c>
      <c r="H2953" s="360">
        <v>1</v>
      </c>
      <c r="I2953" s="360">
        <v>0.97048640487315985</v>
      </c>
      <c r="K2953" s="363"/>
      <c r="N2953" s="10"/>
      <c r="O2953" s="4"/>
      <c r="P2953" s="4"/>
      <c r="Q2953" s="3"/>
      <c r="R2953" s="3"/>
      <c r="S2953" s="3"/>
      <c r="T2953" s="3"/>
    </row>
    <row r="2954" spans="1:20">
      <c r="A2954" s="3">
        <v>2</v>
      </c>
      <c r="B2954" s="3">
        <v>2</v>
      </c>
      <c r="C2954" s="2">
        <v>25</v>
      </c>
      <c r="D2954" s="2">
        <v>5</v>
      </c>
      <c r="E2954" s="2">
        <v>16</v>
      </c>
      <c r="F2954" s="17">
        <v>170</v>
      </c>
      <c r="H2954" s="360">
        <v>1</v>
      </c>
      <c r="I2954" s="360">
        <v>0.9697140215466632</v>
      </c>
      <c r="K2954" s="363"/>
      <c r="N2954" s="10"/>
      <c r="O2954" s="4"/>
      <c r="P2954" s="4"/>
      <c r="Q2954" s="3"/>
      <c r="R2954" s="3"/>
      <c r="S2954" s="3"/>
      <c r="T2954" s="3"/>
    </row>
    <row r="2955" spans="1:20">
      <c r="A2955" s="3">
        <v>1</v>
      </c>
      <c r="B2955" s="3">
        <v>1</v>
      </c>
      <c r="C2955" s="2">
        <v>25</v>
      </c>
      <c r="D2955" s="2">
        <v>5</v>
      </c>
      <c r="E2955" s="2">
        <v>1</v>
      </c>
      <c r="F2955" s="17">
        <v>170</v>
      </c>
      <c r="H2955" s="360">
        <v>1</v>
      </c>
      <c r="I2955" s="360">
        <v>0.96693396118875252</v>
      </c>
      <c r="K2955" s="363"/>
      <c r="N2955" s="10"/>
      <c r="O2955" s="4"/>
      <c r="P2955" s="4"/>
      <c r="Q2955" s="3"/>
      <c r="R2955" s="3"/>
      <c r="S2955" s="3"/>
      <c r="T2955" s="3"/>
    </row>
    <row r="2956" spans="1:20">
      <c r="A2956" s="3">
        <v>1</v>
      </c>
      <c r="B2956" s="3">
        <v>2</v>
      </c>
      <c r="C2956" s="2">
        <v>25</v>
      </c>
      <c r="D2956" s="2">
        <v>5</v>
      </c>
      <c r="E2956" s="2">
        <v>16</v>
      </c>
      <c r="F2956" s="17">
        <v>170</v>
      </c>
      <c r="H2956" s="360">
        <v>1</v>
      </c>
      <c r="I2956" s="360">
        <v>0.96579348560291089</v>
      </c>
      <c r="K2956" s="363"/>
      <c r="N2956" s="10"/>
      <c r="O2956" s="4"/>
      <c r="P2956" s="4"/>
      <c r="Q2956" s="3"/>
      <c r="R2956" s="3"/>
      <c r="S2956" s="3"/>
      <c r="T2956" s="3"/>
    </row>
    <row r="2957" spans="1:20">
      <c r="A2957" s="3">
        <v>2</v>
      </c>
      <c r="B2957" s="3">
        <v>1</v>
      </c>
      <c r="C2957" s="2">
        <v>25</v>
      </c>
      <c r="D2957" s="2">
        <v>5</v>
      </c>
      <c r="E2957" s="2">
        <v>1</v>
      </c>
      <c r="F2957" s="17">
        <v>170</v>
      </c>
      <c r="H2957" s="360">
        <v>1</v>
      </c>
      <c r="I2957" s="360">
        <v>0.9654996013512579</v>
      </c>
      <c r="K2957" s="363"/>
      <c r="N2957" s="10"/>
      <c r="O2957" s="4"/>
      <c r="P2957" s="4"/>
      <c r="Q2957" s="3"/>
      <c r="R2957" s="3"/>
      <c r="S2957" s="3"/>
      <c r="T2957" s="3"/>
    </row>
    <row r="2958" spans="1:20">
      <c r="A2958" s="3">
        <v>1</v>
      </c>
      <c r="B2958" s="3">
        <v>1</v>
      </c>
      <c r="C2958" s="2">
        <v>25</v>
      </c>
      <c r="D2958" s="2">
        <v>30</v>
      </c>
      <c r="E2958" s="2">
        <v>16</v>
      </c>
      <c r="F2958" s="17">
        <v>170</v>
      </c>
      <c r="H2958" s="360">
        <v>1</v>
      </c>
      <c r="I2958" s="360">
        <v>0.96143972041842896</v>
      </c>
      <c r="K2958" s="363"/>
      <c r="N2958" s="10"/>
      <c r="O2958" s="4"/>
      <c r="P2958" s="4"/>
      <c r="Q2958" s="3"/>
      <c r="R2958" s="3"/>
      <c r="S2958" s="3"/>
      <c r="T2958" s="3"/>
    </row>
    <row r="2959" spans="1:20">
      <c r="A2959" s="3">
        <v>3</v>
      </c>
      <c r="B2959" s="3">
        <v>2</v>
      </c>
      <c r="C2959" s="2">
        <v>25</v>
      </c>
      <c r="D2959" s="2">
        <v>5</v>
      </c>
      <c r="E2959" s="2">
        <v>1</v>
      </c>
      <c r="F2959" s="17">
        <v>170</v>
      </c>
      <c r="H2959" s="360">
        <v>0.96974873777741</v>
      </c>
      <c r="I2959" s="360">
        <v>0.90618928670552312</v>
      </c>
      <c r="K2959" s="363"/>
      <c r="N2959" s="10"/>
      <c r="O2959" s="4"/>
      <c r="P2959" s="4"/>
      <c r="Q2959" s="3"/>
      <c r="R2959" s="3"/>
      <c r="S2959" s="3"/>
      <c r="T2959" s="3"/>
    </row>
    <row r="2960" spans="1:20">
      <c r="A2960" s="3">
        <v>3</v>
      </c>
      <c r="B2960" s="3">
        <v>1</v>
      </c>
      <c r="C2960" s="2">
        <v>25</v>
      </c>
      <c r="D2960" s="2">
        <v>5</v>
      </c>
      <c r="E2960" s="2">
        <v>1</v>
      </c>
      <c r="F2960" s="17">
        <v>170</v>
      </c>
      <c r="H2960" s="360">
        <v>0.89839708058432854</v>
      </c>
      <c r="I2960" s="360">
        <v>0.85536862204461583</v>
      </c>
      <c r="K2960" s="363"/>
      <c r="N2960" s="10"/>
      <c r="O2960" s="4"/>
      <c r="P2960" s="4"/>
      <c r="Q2960" s="3"/>
      <c r="R2960" s="3"/>
      <c r="S2960" s="3"/>
      <c r="T2960" s="3"/>
    </row>
    <row r="2961" spans="1:20">
      <c r="A2961" s="3">
        <v>3</v>
      </c>
      <c r="B2961" s="3">
        <v>2</v>
      </c>
      <c r="C2961" s="2">
        <v>25</v>
      </c>
      <c r="D2961" s="2">
        <v>5</v>
      </c>
      <c r="E2961" s="2">
        <v>16</v>
      </c>
      <c r="F2961" s="17">
        <v>170</v>
      </c>
      <c r="H2961" s="360">
        <v>1</v>
      </c>
      <c r="I2961" s="360">
        <v>0.84283229009530747</v>
      </c>
      <c r="K2961" s="363"/>
      <c r="N2961" s="10"/>
      <c r="O2961" s="4"/>
      <c r="P2961" s="4"/>
      <c r="Q2961" s="3"/>
      <c r="R2961" s="3"/>
      <c r="S2961" s="3"/>
      <c r="T2961" s="3"/>
    </row>
    <row r="2962" spans="1:20">
      <c r="A2962" s="3">
        <v>3</v>
      </c>
      <c r="B2962" s="3">
        <v>1</v>
      </c>
      <c r="C2962" s="2">
        <v>25</v>
      </c>
      <c r="D2962" s="2">
        <v>5</v>
      </c>
      <c r="E2962" s="2">
        <v>16</v>
      </c>
      <c r="F2962" s="17">
        <v>170</v>
      </c>
      <c r="H2962" s="360">
        <v>0.96571969146200387</v>
      </c>
      <c r="I2962" s="360">
        <v>0.8222414787960145</v>
      </c>
      <c r="K2962" s="363"/>
      <c r="N2962" s="10"/>
      <c r="O2962" s="4"/>
      <c r="P2962" s="4"/>
      <c r="Q2962" s="3"/>
      <c r="R2962" s="3"/>
      <c r="S2962" s="3"/>
      <c r="T2962" s="3"/>
    </row>
    <row r="2963" spans="1:20">
      <c r="A2963" s="3">
        <v>4</v>
      </c>
      <c r="B2963" s="3">
        <v>2</v>
      </c>
      <c r="C2963" s="2">
        <v>50</v>
      </c>
      <c r="D2963" s="2">
        <v>5</v>
      </c>
      <c r="E2963" s="2">
        <v>16</v>
      </c>
      <c r="F2963" s="17">
        <v>170</v>
      </c>
      <c r="H2963" s="360">
        <v>0.50427254705387514</v>
      </c>
      <c r="I2963" s="360">
        <v>2.4423917981241147E-2</v>
      </c>
      <c r="K2963" s="363"/>
      <c r="N2963" s="10"/>
      <c r="O2963" s="4"/>
      <c r="P2963" s="4"/>
      <c r="Q2963" s="3"/>
      <c r="R2963" s="3"/>
      <c r="S2963" s="3"/>
      <c r="T2963" s="3"/>
    </row>
    <row r="2964" spans="1:20">
      <c r="A2964" s="3">
        <v>5</v>
      </c>
      <c r="B2964" s="3">
        <v>2</v>
      </c>
      <c r="C2964" s="2">
        <v>50</v>
      </c>
      <c r="D2964" s="2">
        <v>5</v>
      </c>
      <c r="E2964" s="2">
        <v>16</v>
      </c>
      <c r="F2964" s="17">
        <v>170</v>
      </c>
      <c r="H2964" s="360">
        <v>0.1970018910998721</v>
      </c>
      <c r="I2964" s="360">
        <v>-0.26883392113654997</v>
      </c>
      <c r="K2964" s="363"/>
      <c r="N2964" s="10"/>
      <c r="O2964" s="4"/>
      <c r="P2964" s="4"/>
      <c r="Q2964" s="3"/>
      <c r="R2964" s="3"/>
      <c r="S2964" s="3"/>
      <c r="T2964" s="3"/>
    </row>
    <row r="2965" spans="1:20">
      <c r="A2965" s="3">
        <v>5</v>
      </c>
      <c r="B2965" s="3">
        <v>2</v>
      </c>
      <c r="C2965" s="2">
        <v>25</v>
      </c>
      <c r="D2965" s="2">
        <v>5</v>
      </c>
      <c r="E2965" s="2">
        <v>16</v>
      </c>
      <c r="F2965" s="17">
        <v>170</v>
      </c>
      <c r="H2965" s="360">
        <v>2.675654984889464E-2</v>
      </c>
      <c r="I2965" s="360">
        <v>-0.39969858661561647</v>
      </c>
      <c r="K2965" s="363"/>
      <c r="N2965" s="10"/>
      <c r="O2965" s="4"/>
      <c r="P2965" s="4"/>
      <c r="Q2965" s="3"/>
      <c r="R2965" s="3"/>
      <c r="S2965" s="3"/>
      <c r="T2965" s="3"/>
    </row>
    <row r="2966" spans="1:20">
      <c r="A2966" s="3">
        <v>2</v>
      </c>
      <c r="B2966" s="3">
        <v>2</v>
      </c>
      <c r="C2966" s="2">
        <v>25</v>
      </c>
      <c r="D2966" s="2">
        <v>5</v>
      </c>
      <c r="E2966" s="2">
        <v>1</v>
      </c>
      <c r="F2966" s="17">
        <v>171</v>
      </c>
      <c r="H2966" s="360">
        <v>0.99550879241098023</v>
      </c>
      <c r="I2966" s="360">
        <v>0.74462207320301288</v>
      </c>
      <c r="K2966" s="363"/>
      <c r="N2966" s="10"/>
      <c r="O2966" s="4"/>
      <c r="P2966" s="4"/>
      <c r="Q2966" s="3"/>
      <c r="R2966" s="3"/>
      <c r="S2966" s="3"/>
      <c r="T2966" s="3"/>
    </row>
    <row r="2967" spans="1:20">
      <c r="A2967" s="3">
        <v>2</v>
      </c>
      <c r="B2967" s="3">
        <v>2</v>
      </c>
      <c r="C2967" s="2">
        <v>25</v>
      </c>
      <c r="D2967" s="2">
        <v>5</v>
      </c>
      <c r="E2967" s="2">
        <v>16</v>
      </c>
      <c r="F2967" s="17">
        <v>171</v>
      </c>
      <c r="H2967" s="360">
        <v>1</v>
      </c>
      <c r="I2967" s="360">
        <v>0.73569150145445716</v>
      </c>
      <c r="K2967" s="363"/>
      <c r="N2967" s="10"/>
      <c r="O2967" s="4"/>
      <c r="P2967" s="4"/>
      <c r="Q2967" s="3"/>
      <c r="R2967" s="3"/>
      <c r="S2967" s="3"/>
      <c r="T2967" s="3"/>
    </row>
    <row r="2968" spans="1:20">
      <c r="A2968" s="3">
        <v>2</v>
      </c>
      <c r="B2968" s="3">
        <v>1</v>
      </c>
      <c r="C2968" s="2">
        <v>25</v>
      </c>
      <c r="D2968" s="2">
        <v>5</v>
      </c>
      <c r="E2968" s="2">
        <v>16</v>
      </c>
      <c r="F2968" s="17">
        <v>171</v>
      </c>
      <c r="H2968" s="360">
        <v>1</v>
      </c>
      <c r="I2968" s="360">
        <v>0.65890956095114828</v>
      </c>
      <c r="K2968" s="363"/>
      <c r="N2968" s="10"/>
      <c r="O2968" s="4"/>
      <c r="P2968" s="4"/>
      <c r="Q2968" s="3"/>
      <c r="R2968" s="3"/>
      <c r="S2968" s="3"/>
      <c r="T2968" s="3"/>
    </row>
    <row r="2969" spans="1:20">
      <c r="A2969" s="3">
        <v>2</v>
      </c>
      <c r="B2969" s="3">
        <v>1</v>
      </c>
      <c r="C2969" s="2">
        <v>25</v>
      </c>
      <c r="D2969" s="2">
        <v>5</v>
      </c>
      <c r="E2969" s="2">
        <v>1</v>
      </c>
      <c r="F2969" s="17">
        <v>171</v>
      </c>
      <c r="H2969" s="360">
        <v>1</v>
      </c>
      <c r="I2969" s="360">
        <v>0.65270449778288564</v>
      </c>
      <c r="K2969" s="363"/>
      <c r="N2969" s="10"/>
      <c r="O2969" s="4"/>
      <c r="P2969" s="4"/>
      <c r="Q2969" s="3"/>
      <c r="R2969" s="3"/>
      <c r="S2969" s="3"/>
      <c r="T2969" s="3"/>
    </row>
    <row r="2970" spans="1:20">
      <c r="A2970" s="3">
        <v>4</v>
      </c>
      <c r="B2970" s="3">
        <v>2</v>
      </c>
      <c r="C2970" s="2">
        <v>50</v>
      </c>
      <c r="D2970" s="2">
        <v>5</v>
      </c>
      <c r="E2970" s="2">
        <v>16</v>
      </c>
      <c r="F2970" s="17">
        <v>171</v>
      </c>
      <c r="H2970" s="360">
        <v>1</v>
      </c>
      <c r="I2970" s="360">
        <v>0.57851233108564049</v>
      </c>
      <c r="K2970" s="363"/>
      <c r="N2970" s="10"/>
      <c r="O2970" s="4"/>
      <c r="P2970" s="4"/>
      <c r="Q2970" s="3"/>
      <c r="R2970" s="3"/>
      <c r="S2970" s="3"/>
      <c r="T2970" s="3"/>
    </row>
    <row r="2971" spans="1:20">
      <c r="A2971" s="3">
        <v>5</v>
      </c>
      <c r="B2971" s="3">
        <v>2</v>
      </c>
      <c r="C2971" s="2">
        <v>50</v>
      </c>
      <c r="D2971" s="2">
        <v>5</v>
      </c>
      <c r="E2971" s="2">
        <v>16</v>
      </c>
      <c r="F2971" s="17">
        <v>171</v>
      </c>
      <c r="H2971" s="360">
        <v>1</v>
      </c>
      <c r="I2971" s="360">
        <v>0.35618779792698274</v>
      </c>
      <c r="K2971" s="363"/>
      <c r="N2971" s="10"/>
      <c r="O2971" s="4"/>
      <c r="P2971" s="4"/>
      <c r="Q2971" s="3"/>
      <c r="R2971" s="3"/>
      <c r="S2971" s="3"/>
      <c r="T2971" s="3"/>
    </row>
    <row r="2972" spans="1:20">
      <c r="A2972" s="3">
        <v>5</v>
      </c>
      <c r="B2972" s="3">
        <v>2</v>
      </c>
      <c r="C2972" s="2">
        <v>25</v>
      </c>
      <c r="D2972" s="2">
        <v>5</v>
      </c>
      <c r="E2972" s="2">
        <v>16</v>
      </c>
      <c r="F2972" s="17">
        <v>171</v>
      </c>
      <c r="H2972" s="360">
        <v>1</v>
      </c>
      <c r="I2972" s="360">
        <v>0.35324528775672126</v>
      </c>
      <c r="K2972" s="363"/>
      <c r="N2972" s="10"/>
      <c r="O2972" s="4"/>
      <c r="P2972" s="4"/>
      <c r="Q2972" s="3"/>
      <c r="R2972" s="3"/>
      <c r="S2972" s="3"/>
      <c r="T2972" s="3"/>
    </row>
    <row r="2973" spans="1:20">
      <c r="A2973" s="3">
        <v>3</v>
      </c>
      <c r="B2973" s="3">
        <v>2</v>
      </c>
      <c r="C2973" s="2">
        <v>25</v>
      </c>
      <c r="D2973" s="2">
        <v>5</v>
      </c>
      <c r="E2973" s="2">
        <v>1</v>
      </c>
      <c r="F2973" s="17">
        <v>171</v>
      </c>
      <c r="H2973" s="360">
        <v>1</v>
      </c>
      <c r="I2973" s="360">
        <v>0.28063317920333097</v>
      </c>
      <c r="K2973" s="363"/>
      <c r="N2973" s="10"/>
      <c r="O2973" s="4"/>
      <c r="P2973" s="4"/>
      <c r="Q2973" s="3"/>
      <c r="R2973" s="3"/>
      <c r="S2973" s="3"/>
      <c r="T2973" s="3"/>
    </row>
    <row r="2974" spans="1:20">
      <c r="A2974" s="3">
        <v>3</v>
      </c>
      <c r="B2974" s="3">
        <v>2</v>
      </c>
      <c r="C2974" s="2">
        <v>25</v>
      </c>
      <c r="D2974" s="2">
        <v>5</v>
      </c>
      <c r="E2974" s="2">
        <v>16</v>
      </c>
      <c r="F2974" s="17">
        <v>171</v>
      </c>
      <c r="H2974" s="360">
        <v>1</v>
      </c>
      <c r="I2974" s="360">
        <v>0.27183977917191099</v>
      </c>
      <c r="K2974" s="363"/>
      <c r="N2974" s="10"/>
      <c r="O2974" s="4"/>
      <c r="P2974" s="4"/>
      <c r="Q2974" s="3"/>
      <c r="R2974" s="3"/>
      <c r="S2974" s="3"/>
      <c r="T2974" s="3"/>
    </row>
    <row r="2975" spans="1:20">
      <c r="A2975" s="3">
        <v>1</v>
      </c>
      <c r="B2975" s="3">
        <v>2</v>
      </c>
      <c r="C2975" s="2">
        <v>25</v>
      </c>
      <c r="D2975" s="2">
        <v>5</v>
      </c>
      <c r="E2975" s="2">
        <v>1</v>
      </c>
      <c r="F2975" s="17">
        <v>171</v>
      </c>
      <c r="H2975" s="360">
        <v>0.36760126907701796</v>
      </c>
      <c r="I2975" s="360">
        <v>0.20054275018711021</v>
      </c>
      <c r="K2975" s="363"/>
      <c r="N2975" s="10"/>
      <c r="O2975" s="4"/>
      <c r="P2975" s="4"/>
      <c r="Q2975" s="3"/>
      <c r="R2975" s="3"/>
      <c r="S2975" s="3"/>
      <c r="T2975" s="3"/>
    </row>
    <row r="2976" spans="1:20">
      <c r="A2976" s="3">
        <v>1</v>
      </c>
      <c r="B2976" s="3">
        <v>2</v>
      </c>
      <c r="C2976" s="2">
        <v>25</v>
      </c>
      <c r="D2976" s="2">
        <v>30</v>
      </c>
      <c r="E2976" s="2">
        <v>16</v>
      </c>
      <c r="F2976" s="17">
        <v>171</v>
      </c>
      <c r="H2976" s="360">
        <v>1</v>
      </c>
      <c r="I2976" s="360">
        <v>0.18313557577539832</v>
      </c>
      <c r="K2976" s="363"/>
      <c r="N2976" s="10"/>
      <c r="O2976" s="4"/>
      <c r="P2976" s="4"/>
      <c r="Q2976" s="3"/>
      <c r="R2976" s="3"/>
      <c r="S2976" s="3"/>
      <c r="T2976" s="3"/>
    </row>
    <row r="2977" spans="1:20">
      <c r="A2977" s="3">
        <v>3</v>
      </c>
      <c r="B2977" s="3">
        <v>1</v>
      </c>
      <c r="C2977" s="2">
        <v>25</v>
      </c>
      <c r="D2977" s="2">
        <v>5</v>
      </c>
      <c r="E2977" s="2">
        <v>1</v>
      </c>
      <c r="F2977" s="17">
        <v>171</v>
      </c>
      <c r="H2977" s="360">
        <v>1</v>
      </c>
      <c r="I2977" s="360">
        <v>0.18153954528137778</v>
      </c>
      <c r="K2977" s="363"/>
      <c r="N2977" s="10"/>
      <c r="O2977" s="4"/>
      <c r="P2977" s="4"/>
      <c r="Q2977" s="3"/>
      <c r="R2977" s="3"/>
      <c r="S2977" s="3"/>
      <c r="T2977" s="3"/>
    </row>
    <row r="2978" spans="1:20">
      <c r="A2978" s="3">
        <v>1</v>
      </c>
      <c r="B2978" s="3">
        <v>2</v>
      </c>
      <c r="C2978" s="2">
        <v>25</v>
      </c>
      <c r="D2978" s="2">
        <v>5</v>
      </c>
      <c r="E2978" s="2">
        <v>16</v>
      </c>
      <c r="F2978" s="17">
        <v>171</v>
      </c>
      <c r="H2978" s="360">
        <v>1</v>
      </c>
      <c r="I2978" s="360">
        <v>0.17885414096910746</v>
      </c>
      <c r="K2978" s="363"/>
      <c r="N2978" s="10"/>
      <c r="O2978" s="4"/>
      <c r="P2978" s="4"/>
      <c r="Q2978" s="3"/>
      <c r="R2978" s="3"/>
      <c r="S2978" s="3"/>
      <c r="T2978" s="3"/>
    </row>
    <row r="2979" spans="1:20">
      <c r="A2979" s="3">
        <v>1</v>
      </c>
      <c r="B2979" s="3">
        <v>2</v>
      </c>
      <c r="C2979" s="2">
        <v>25</v>
      </c>
      <c r="D2979" s="2">
        <v>5</v>
      </c>
      <c r="E2979" s="2">
        <v>16</v>
      </c>
      <c r="F2979" s="17">
        <v>171</v>
      </c>
      <c r="H2979" s="360">
        <v>1</v>
      </c>
      <c r="I2979" s="360">
        <v>0.17247735513723372</v>
      </c>
      <c r="K2979" s="363"/>
      <c r="N2979" s="10"/>
      <c r="O2979" s="4"/>
      <c r="P2979" s="4"/>
      <c r="Q2979" s="3"/>
      <c r="R2979" s="3"/>
      <c r="S2979" s="3"/>
      <c r="T2979" s="3"/>
    </row>
    <row r="2980" spans="1:20">
      <c r="A2980" s="3">
        <v>3</v>
      </c>
      <c r="B2980" s="3">
        <v>1</v>
      </c>
      <c r="C2980" s="2">
        <v>25</v>
      </c>
      <c r="D2980" s="2">
        <v>5</v>
      </c>
      <c r="E2980" s="2">
        <v>16</v>
      </c>
      <c r="F2980" s="17">
        <v>171</v>
      </c>
      <c r="H2980" s="360">
        <v>1</v>
      </c>
      <c r="I2980" s="360">
        <v>0.15323664539104823</v>
      </c>
      <c r="K2980" s="363"/>
      <c r="N2980" s="10"/>
      <c r="O2980" s="4"/>
      <c r="P2980" s="4"/>
      <c r="Q2980" s="3"/>
      <c r="R2980" s="3"/>
      <c r="S2980" s="3"/>
      <c r="T2980" s="3"/>
    </row>
    <row r="2981" spans="1:20">
      <c r="A2981" s="3">
        <v>1</v>
      </c>
      <c r="B2981" s="3">
        <v>1</v>
      </c>
      <c r="C2981" s="2">
        <v>25</v>
      </c>
      <c r="D2981" s="2">
        <v>5</v>
      </c>
      <c r="E2981" s="2">
        <v>1</v>
      </c>
      <c r="F2981" s="17">
        <v>171</v>
      </c>
      <c r="H2981" s="360">
        <v>1</v>
      </c>
      <c r="I2981" s="360">
        <v>9.5787374353778293E-2</v>
      </c>
      <c r="K2981" s="363"/>
      <c r="N2981" s="10"/>
      <c r="O2981" s="4"/>
      <c r="P2981" s="4"/>
      <c r="Q2981" s="3"/>
      <c r="R2981" s="3"/>
      <c r="S2981" s="3"/>
      <c r="T2981" s="3"/>
    </row>
    <row r="2982" spans="1:20">
      <c r="A2982" s="3">
        <v>1</v>
      </c>
      <c r="B2982" s="3">
        <v>1</v>
      </c>
      <c r="C2982" s="2">
        <v>25</v>
      </c>
      <c r="D2982" s="2">
        <v>30</v>
      </c>
      <c r="E2982" s="2">
        <v>16</v>
      </c>
      <c r="F2982" s="17">
        <v>171</v>
      </c>
      <c r="H2982" s="360">
        <v>1</v>
      </c>
      <c r="I2982" s="360">
        <v>9.2774144643307715E-2</v>
      </c>
      <c r="K2982" s="363"/>
      <c r="N2982" s="10"/>
      <c r="O2982" s="4"/>
      <c r="P2982" s="4"/>
      <c r="Q2982" s="3"/>
      <c r="R2982" s="3"/>
      <c r="S2982" s="3"/>
      <c r="T2982" s="3"/>
    </row>
    <row r="2983" spans="1:20">
      <c r="A2983" s="3">
        <v>1</v>
      </c>
      <c r="B2983" s="3">
        <v>1</v>
      </c>
      <c r="C2983" s="2">
        <v>25</v>
      </c>
      <c r="D2983" s="2">
        <v>5</v>
      </c>
      <c r="E2983" s="2">
        <v>16</v>
      </c>
      <c r="F2983" s="17">
        <v>171</v>
      </c>
      <c r="H2983" s="360">
        <v>1</v>
      </c>
      <c r="I2983" s="360">
        <v>9.1577570700158914E-2</v>
      </c>
      <c r="K2983" s="363"/>
      <c r="N2983" s="10"/>
      <c r="O2983" s="4"/>
      <c r="P2983" s="4"/>
      <c r="Q2983" s="3"/>
      <c r="R2983" s="3"/>
      <c r="S2983" s="3"/>
      <c r="T2983" s="3"/>
    </row>
    <row r="2984" spans="1:20">
      <c r="A2984" s="3">
        <v>5</v>
      </c>
      <c r="B2984" s="3">
        <v>2</v>
      </c>
      <c r="C2984" s="2">
        <v>50</v>
      </c>
      <c r="D2984" s="2">
        <v>5</v>
      </c>
      <c r="E2984" s="2">
        <v>16</v>
      </c>
      <c r="F2984" s="17">
        <v>172</v>
      </c>
      <c r="H2984" s="360">
        <v>0.90498319236291713</v>
      </c>
      <c r="I2984" s="360">
        <v>0.24412957236245461</v>
      </c>
      <c r="K2984" s="363"/>
      <c r="N2984" s="10"/>
      <c r="O2984" s="4"/>
      <c r="P2984" s="4"/>
      <c r="Q2984" s="3"/>
      <c r="R2984" s="3"/>
      <c r="S2984" s="3"/>
      <c r="T2984" s="3"/>
    </row>
    <row r="2985" spans="1:20">
      <c r="A2985" s="3">
        <v>5</v>
      </c>
      <c r="B2985" s="3">
        <v>2</v>
      </c>
      <c r="C2985" s="2">
        <v>25</v>
      </c>
      <c r="D2985" s="2">
        <v>5</v>
      </c>
      <c r="E2985" s="2">
        <v>16</v>
      </c>
      <c r="F2985" s="17">
        <v>172</v>
      </c>
      <c r="H2985" s="360">
        <v>0.47017016764552522</v>
      </c>
      <c r="I2985" s="360">
        <v>4.2126670339504631E-2</v>
      </c>
      <c r="K2985" s="363"/>
      <c r="N2985" s="10"/>
      <c r="O2985" s="4"/>
      <c r="P2985" s="4"/>
      <c r="Q2985" s="3"/>
      <c r="R2985" s="3"/>
      <c r="S2985" s="3"/>
      <c r="T2985" s="3"/>
    </row>
    <row r="2986" spans="1:20">
      <c r="A2986" s="3">
        <v>1</v>
      </c>
      <c r="B2986" s="3">
        <v>2</v>
      </c>
      <c r="C2986" s="2">
        <v>25</v>
      </c>
      <c r="D2986" s="2">
        <v>30</v>
      </c>
      <c r="E2986" s="2">
        <v>16</v>
      </c>
      <c r="F2986" s="17">
        <v>172</v>
      </c>
      <c r="H2986" s="360">
        <v>0.9821686367842567</v>
      </c>
      <c r="I2986" s="360">
        <v>2.9286475382618124E-2</v>
      </c>
      <c r="K2986" s="363"/>
      <c r="N2986" s="10"/>
      <c r="O2986" s="4"/>
      <c r="P2986" s="4"/>
      <c r="Q2986" s="3"/>
      <c r="R2986" s="3"/>
      <c r="S2986" s="3"/>
      <c r="T2986" s="3"/>
    </row>
    <row r="2987" spans="1:20">
      <c r="A2987" s="3">
        <v>1</v>
      </c>
      <c r="B2987" s="3">
        <v>2</v>
      </c>
      <c r="C2987" s="2">
        <v>25</v>
      </c>
      <c r="D2987" s="2">
        <v>5</v>
      </c>
      <c r="E2987" s="2">
        <v>1</v>
      </c>
      <c r="F2987" s="17">
        <v>172</v>
      </c>
      <c r="H2987" s="360">
        <v>5.5977522132884205E-2</v>
      </c>
      <c r="I2987" s="360">
        <v>-9.3356506166275052E-3</v>
      </c>
      <c r="K2987" s="363"/>
      <c r="N2987" s="10"/>
      <c r="O2987" s="4"/>
      <c r="P2987" s="4"/>
      <c r="Q2987" s="3"/>
      <c r="R2987" s="3"/>
      <c r="S2987" s="3"/>
      <c r="T2987" s="3"/>
    </row>
    <row r="2988" spans="1:20">
      <c r="A2988" s="3">
        <v>3</v>
      </c>
      <c r="B2988" s="3">
        <v>2</v>
      </c>
      <c r="C2988" s="2">
        <v>25</v>
      </c>
      <c r="D2988" s="2">
        <v>5</v>
      </c>
      <c r="E2988" s="2">
        <v>1</v>
      </c>
      <c r="F2988" s="17">
        <v>172</v>
      </c>
      <c r="H2988" s="360">
        <v>5.7246029472726945E-2</v>
      </c>
      <c r="I2988" s="360">
        <v>-0.13912345303026108</v>
      </c>
      <c r="K2988" s="363"/>
      <c r="N2988" s="10"/>
      <c r="O2988" s="4"/>
      <c r="P2988" s="4"/>
      <c r="Q2988" s="3"/>
      <c r="R2988" s="3"/>
      <c r="S2988" s="3"/>
      <c r="T2988" s="3"/>
    </row>
    <row r="2989" spans="1:20">
      <c r="A2989" s="3">
        <v>3</v>
      </c>
      <c r="B2989" s="3">
        <v>1</v>
      </c>
      <c r="C2989" s="2">
        <v>25</v>
      </c>
      <c r="D2989" s="2">
        <v>5</v>
      </c>
      <c r="E2989" s="2">
        <v>1</v>
      </c>
      <c r="F2989" s="17">
        <v>172</v>
      </c>
      <c r="H2989" s="360">
        <v>9.6264248507738848E-2</v>
      </c>
      <c r="I2989" s="360">
        <v>-0.14430523038925619</v>
      </c>
      <c r="K2989" s="363"/>
      <c r="N2989" s="10"/>
      <c r="O2989" s="4"/>
      <c r="P2989" s="4"/>
      <c r="Q2989" s="3"/>
      <c r="R2989" s="3"/>
      <c r="S2989" s="3"/>
      <c r="T2989" s="3"/>
    </row>
    <row r="2990" spans="1:20">
      <c r="A2990" s="3">
        <v>3</v>
      </c>
      <c r="B2990" s="3">
        <v>1</v>
      </c>
      <c r="C2990" s="2">
        <v>25</v>
      </c>
      <c r="D2990" s="2">
        <v>5</v>
      </c>
      <c r="E2990" s="2">
        <v>16</v>
      </c>
      <c r="F2990" s="17">
        <v>172</v>
      </c>
      <c r="H2990" s="360">
        <v>0.62029395286340538</v>
      </c>
      <c r="I2990" s="360">
        <v>-0.20229402362969695</v>
      </c>
      <c r="K2990" s="363"/>
      <c r="N2990" s="10"/>
      <c r="O2990" s="4"/>
      <c r="P2990" s="4"/>
      <c r="Q2990" s="3"/>
      <c r="R2990" s="3"/>
      <c r="S2990" s="3"/>
      <c r="T2990" s="3"/>
    </row>
    <row r="2991" spans="1:20">
      <c r="A2991" s="3">
        <v>4</v>
      </c>
      <c r="B2991" s="3">
        <v>2</v>
      </c>
      <c r="C2991" s="2">
        <v>50</v>
      </c>
      <c r="D2991" s="2">
        <v>5</v>
      </c>
      <c r="E2991" s="2">
        <v>16</v>
      </c>
      <c r="F2991" s="17">
        <v>172</v>
      </c>
      <c r="H2991" s="360">
        <v>0.46881057512124358</v>
      </c>
      <c r="I2991" s="360">
        <v>-0.21481260634223823</v>
      </c>
      <c r="K2991" s="363"/>
      <c r="N2991" s="10"/>
      <c r="O2991" s="4"/>
      <c r="P2991" s="4"/>
      <c r="Q2991" s="3"/>
      <c r="R2991" s="3"/>
      <c r="S2991" s="3"/>
      <c r="T2991" s="3"/>
    </row>
    <row r="2992" spans="1:20">
      <c r="A2992" s="3">
        <v>1</v>
      </c>
      <c r="B2992" s="3">
        <v>1</v>
      </c>
      <c r="C2992" s="2">
        <v>25</v>
      </c>
      <c r="D2992" s="2">
        <v>30</v>
      </c>
      <c r="E2992" s="2">
        <v>16</v>
      </c>
      <c r="F2992" s="17">
        <v>172</v>
      </c>
      <c r="H2992" s="360">
        <v>1</v>
      </c>
      <c r="I2992" s="360">
        <v>-0.34720050198266106</v>
      </c>
      <c r="K2992" s="363"/>
      <c r="N2992" s="10"/>
      <c r="O2992" s="4"/>
      <c r="P2992" s="4"/>
      <c r="Q2992" s="3"/>
      <c r="R2992" s="3"/>
      <c r="S2992" s="3"/>
      <c r="T2992" s="3"/>
    </row>
    <row r="2993" spans="1:20">
      <c r="A2993" s="3">
        <v>1</v>
      </c>
      <c r="B2993" s="3">
        <v>2</v>
      </c>
      <c r="C2993" s="2">
        <v>25</v>
      </c>
      <c r="D2993" s="2">
        <v>5</v>
      </c>
      <c r="E2993" s="2">
        <v>16</v>
      </c>
      <c r="F2993" s="17">
        <v>172</v>
      </c>
      <c r="H2993" s="360">
        <v>0.46654222832953973</v>
      </c>
      <c r="I2993" s="360">
        <v>-0.47743102517561953</v>
      </c>
      <c r="K2993" s="363"/>
      <c r="N2993" s="10"/>
      <c r="O2993" s="4"/>
      <c r="P2993" s="4"/>
      <c r="Q2993" s="3"/>
      <c r="R2993" s="3"/>
      <c r="S2993" s="3"/>
      <c r="T2993" s="3"/>
    </row>
    <row r="2994" spans="1:20">
      <c r="A2994" s="3">
        <v>1</v>
      </c>
      <c r="B2994" s="3">
        <v>1</v>
      </c>
      <c r="C2994" s="2">
        <v>25</v>
      </c>
      <c r="D2994" s="2">
        <v>5</v>
      </c>
      <c r="E2994" s="2">
        <v>16</v>
      </c>
      <c r="F2994" s="17">
        <v>172</v>
      </c>
      <c r="H2994" s="360">
        <v>0.76540149438202931</v>
      </c>
      <c r="I2994" s="360">
        <v>-0.51110213672816862</v>
      </c>
      <c r="K2994" s="363"/>
      <c r="N2994" s="10"/>
      <c r="O2994" s="4"/>
      <c r="P2994" s="4"/>
      <c r="Q2994" s="3"/>
      <c r="R2994" s="3"/>
      <c r="S2994" s="3"/>
      <c r="T2994" s="3"/>
    </row>
    <row r="2995" spans="1:20">
      <c r="A2995" s="3">
        <v>3</v>
      </c>
      <c r="B2995" s="3">
        <v>2</v>
      </c>
      <c r="C2995" s="2">
        <v>25</v>
      </c>
      <c r="D2995" s="2">
        <v>5</v>
      </c>
      <c r="E2995" s="2">
        <v>16</v>
      </c>
      <c r="F2995" s="17">
        <v>172</v>
      </c>
      <c r="H2995" s="360">
        <v>0.27398822105919129</v>
      </c>
      <c r="I2995" s="360">
        <v>-0.59078242229367628</v>
      </c>
      <c r="K2995" s="363"/>
      <c r="N2995" s="10"/>
      <c r="O2995" s="4"/>
      <c r="P2995" s="4"/>
      <c r="Q2995" s="3"/>
      <c r="R2995" s="3"/>
      <c r="S2995" s="3"/>
      <c r="T2995" s="3"/>
    </row>
    <row r="2996" spans="1:20">
      <c r="A2996" s="3">
        <v>1</v>
      </c>
      <c r="B2996" s="3">
        <v>2</v>
      </c>
      <c r="C2996" s="2">
        <v>25</v>
      </c>
      <c r="D2996" s="2">
        <v>5</v>
      </c>
      <c r="E2996" s="2">
        <v>16</v>
      </c>
      <c r="F2996" s="17">
        <v>172</v>
      </c>
      <c r="H2996" s="360">
        <v>0.53051069715760424</v>
      </c>
      <c r="I2996" s="360">
        <v>-0.61494811035188335</v>
      </c>
      <c r="K2996" s="363"/>
      <c r="N2996" s="10"/>
      <c r="O2996" s="4"/>
      <c r="P2996" s="4"/>
      <c r="Q2996" s="3"/>
      <c r="R2996" s="3"/>
      <c r="S2996" s="3"/>
      <c r="T2996" s="3"/>
    </row>
    <row r="2997" spans="1:20">
      <c r="A2997" s="3">
        <v>2</v>
      </c>
      <c r="B2997" s="3">
        <v>1</v>
      </c>
      <c r="C2997" s="2">
        <v>25</v>
      </c>
      <c r="D2997" s="2">
        <v>5</v>
      </c>
      <c r="E2997" s="2">
        <v>16</v>
      </c>
      <c r="F2997" s="17">
        <v>172</v>
      </c>
      <c r="H2997" s="360">
        <v>1</v>
      </c>
      <c r="I2997" s="360">
        <v>-0.64330427540634449</v>
      </c>
      <c r="K2997" s="363"/>
      <c r="N2997" s="10"/>
      <c r="O2997" s="4"/>
      <c r="P2997" s="4"/>
      <c r="Q2997" s="3"/>
      <c r="R2997" s="3"/>
      <c r="S2997" s="3"/>
      <c r="T2997" s="3"/>
    </row>
    <row r="2998" spans="1:20">
      <c r="A2998" s="3">
        <v>2</v>
      </c>
      <c r="B2998" s="3">
        <v>2</v>
      </c>
      <c r="C2998" s="2">
        <v>25</v>
      </c>
      <c r="D2998" s="2">
        <v>5</v>
      </c>
      <c r="E2998" s="2">
        <v>16</v>
      </c>
      <c r="F2998" s="17">
        <v>172</v>
      </c>
      <c r="H2998" s="360">
        <v>0.39120568752287066</v>
      </c>
      <c r="I2998" s="360">
        <v>-0.6440633678418568</v>
      </c>
      <c r="K2998" s="363"/>
      <c r="N2998" s="10"/>
      <c r="O2998" s="4"/>
      <c r="P2998" s="4"/>
      <c r="Q2998" s="3"/>
      <c r="R2998" s="3"/>
      <c r="S2998" s="3"/>
      <c r="T2998" s="3"/>
    </row>
    <row r="2999" spans="1:20">
      <c r="A2999" s="3">
        <v>2</v>
      </c>
      <c r="B2999" s="3">
        <v>1</v>
      </c>
      <c r="C2999" s="2">
        <v>25</v>
      </c>
      <c r="D2999" s="2">
        <v>5</v>
      </c>
      <c r="E2999" s="2">
        <v>1</v>
      </c>
      <c r="F2999" s="17">
        <v>172</v>
      </c>
      <c r="H2999" s="360">
        <v>0.39717631335310233</v>
      </c>
      <c r="I2999" s="360">
        <v>-0.65189063642361667</v>
      </c>
      <c r="K2999" s="363"/>
      <c r="N2999" s="10"/>
      <c r="O2999" s="4"/>
      <c r="P2999" s="4"/>
      <c r="Q2999" s="3"/>
      <c r="R2999" s="3"/>
      <c r="S2999" s="3"/>
      <c r="T2999" s="3"/>
    </row>
    <row r="3000" spans="1:20">
      <c r="A3000" s="3">
        <v>1</v>
      </c>
      <c r="B3000" s="3">
        <v>1</v>
      </c>
      <c r="C3000" s="2">
        <v>25</v>
      </c>
      <c r="D3000" s="2">
        <v>5</v>
      </c>
      <c r="E3000" s="2">
        <v>1</v>
      </c>
      <c r="F3000" s="17">
        <v>172</v>
      </c>
      <c r="H3000" s="360">
        <v>0.13847885961076123</v>
      </c>
      <c r="I3000" s="360">
        <v>-0.73441666066152622</v>
      </c>
      <c r="K3000" s="363"/>
      <c r="N3000" s="10"/>
      <c r="O3000" s="4"/>
      <c r="P3000" s="4"/>
      <c r="Q3000" s="3"/>
      <c r="R3000" s="3"/>
      <c r="S3000" s="3"/>
      <c r="T3000" s="3"/>
    </row>
    <row r="3001" spans="1:20">
      <c r="A3001" s="3">
        <v>2</v>
      </c>
      <c r="B3001" s="3">
        <v>2</v>
      </c>
      <c r="C3001" s="2">
        <v>25</v>
      </c>
      <c r="D3001" s="2">
        <v>5</v>
      </c>
      <c r="E3001" s="2">
        <v>1</v>
      </c>
      <c r="F3001" s="17">
        <v>172</v>
      </c>
      <c r="H3001" s="360">
        <v>5.9970494276497921E-2</v>
      </c>
      <c r="I3001" s="360">
        <v>-1</v>
      </c>
      <c r="K3001" s="363"/>
      <c r="N3001" s="10"/>
      <c r="O3001" s="4"/>
      <c r="P3001" s="4"/>
      <c r="Q3001" s="3"/>
      <c r="R3001" s="3"/>
      <c r="S3001" s="3"/>
      <c r="T3001" s="3"/>
    </row>
    <row r="3002" spans="1:20">
      <c r="A3002" s="3">
        <v>1</v>
      </c>
      <c r="B3002" s="3">
        <v>2</v>
      </c>
      <c r="C3002" s="2">
        <v>25</v>
      </c>
      <c r="D3002" s="2">
        <v>5</v>
      </c>
      <c r="E3002" s="2">
        <v>1</v>
      </c>
      <c r="F3002" s="17">
        <v>173</v>
      </c>
      <c r="H3002" s="360">
        <v>2.7954696622991659E-2</v>
      </c>
      <c r="I3002" s="360">
        <v>1</v>
      </c>
      <c r="K3002" s="363"/>
      <c r="N3002" s="10"/>
      <c r="O3002" s="4"/>
      <c r="P3002" s="4"/>
      <c r="Q3002" s="3"/>
      <c r="R3002" s="3"/>
      <c r="S3002" s="3"/>
      <c r="T3002" s="3"/>
    </row>
    <row r="3003" spans="1:20">
      <c r="A3003" s="3">
        <v>1</v>
      </c>
      <c r="B3003" s="3">
        <v>1</v>
      </c>
      <c r="C3003" s="2">
        <v>25</v>
      </c>
      <c r="D3003" s="2">
        <v>30</v>
      </c>
      <c r="E3003" s="2">
        <v>16</v>
      </c>
      <c r="F3003" s="17">
        <v>173</v>
      </c>
      <c r="H3003" s="360">
        <v>1</v>
      </c>
      <c r="I3003" s="360">
        <v>0.84792950382058097</v>
      </c>
      <c r="K3003" s="363"/>
      <c r="N3003" s="10"/>
      <c r="O3003" s="4"/>
      <c r="P3003" s="4"/>
      <c r="Q3003" s="3"/>
      <c r="R3003" s="3"/>
      <c r="S3003" s="3"/>
      <c r="T3003" s="3"/>
    </row>
    <row r="3004" spans="1:20">
      <c r="A3004" s="3">
        <v>1</v>
      </c>
      <c r="B3004" s="3">
        <v>1</v>
      </c>
      <c r="C3004" s="2">
        <v>25</v>
      </c>
      <c r="D3004" s="2">
        <v>5</v>
      </c>
      <c r="E3004" s="2">
        <v>16</v>
      </c>
      <c r="F3004" s="17">
        <v>173</v>
      </c>
      <c r="H3004" s="360">
        <v>1</v>
      </c>
      <c r="I3004" s="360">
        <v>0.83620794854228508</v>
      </c>
      <c r="K3004" s="363"/>
      <c r="N3004" s="10"/>
      <c r="O3004" s="4"/>
      <c r="P3004" s="4"/>
      <c r="Q3004" s="3"/>
      <c r="R3004" s="3"/>
      <c r="S3004" s="3"/>
      <c r="T3004" s="3"/>
    </row>
    <row r="3005" spans="1:20">
      <c r="A3005" s="3">
        <v>1</v>
      </c>
      <c r="B3005" s="3">
        <v>1</v>
      </c>
      <c r="C3005" s="2">
        <v>25</v>
      </c>
      <c r="D3005" s="2">
        <v>5</v>
      </c>
      <c r="E3005" s="2">
        <v>1</v>
      </c>
      <c r="F3005" s="17">
        <v>173</v>
      </c>
      <c r="H3005" s="360">
        <v>0.30140669733303005</v>
      </c>
      <c r="I3005" s="360">
        <v>0.81332478005865105</v>
      </c>
      <c r="K3005" s="363"/>
      <c r="N3005" s="10"/>
      <c r="O3005" s="4"/>
      <c r="P3005" s="4"/>
      <c r="Q3005" s="3"/>
      <c r="R3005" s="3"/>
      <c r="S3005" s="3"/>
      <c r="T3005" s="3"/>
    </row>
    <row r="3006" spans="1:20">
      <c r="A3006" s="3">
        <v>1</v>
      </c>
      <c r="B3006" s="3">
        <v>2</v>
      </c>
      <c r="C3006" s="2">
        <v>25</v>
      </c>
      <c r="D3006" s="2">
        <v>30</v>
      </c>
      <c r="E3006" s="2">
        <v>16</v>
      </c>
      <c r="F3006" s="17">
        <v>173</v>
      </c>
      <c r="H3006" s="360">
        <v>1</v>
      </c>
      <c r="I3006" s="360">
        <v>0.80571625629527588</v>
      </c>
      <c r="K3006" s="363"/>
      <c r="N3006" s="10"/>
      <c r="O3006" s="4"/>
      <c r="P3006" s="4"/>
      <c r="Q3006" s="3"/>
      <c r="R3006" s="3"/>
      <c r="S3006" s="3"/>
      <c r="T3006" s="3"/>
    </row>
    <row r="3007" spans="1:20">
      <c r="A3007" s="3">
        <v>1</v>
      </c>
      <c r="B3007" s="3">
        <v>2</v>
      </c>
      <c r="C3007" s="2">
        <v>25</v>
      </c>
      <c r="D3007" s="2">
        <v>5</v>
      </c>
      <c r="E3007" s="2">
        <v>16</v>
      </c>
      <c r="F3007" s="17">
        <v>173</v>
      </c>
      <c r="H3007" s="360">
        <v>0.72744706162384376</v>
      </c>
      <c r="I3007" s="360">
        <v>0.80106996348948156</v>
      </c>
      <c r="K3007" s="363"/>
      <c r="N3007" s="10"/>
      <c r="O3007" s="4"/>
      <c r="P3007" s="4"/>
      <c r="Q3007" s="3"/>
      <c r="R3007" s="3"/>
      <c r="S3007" s="3"/>
      <c r="T3007" s="3"/>
    </row>
    <row r="3008" spans="1:20">
      <c r="A3008" s="3">
        <v>1</v>
      </c>
      <c r="B3008" s="3">
        <v>2</v>
      </c>
      <c r="C3008" s="2">
        <v>25</v>
      </c>
      <c r="D3008" s="2">
        <v>5</v>
      </c>
      <c r="E3008" s="2">
        <v>16</v>
      </c>
      <c r="F3008" s="17">
        <v>173</v>
      </c>
      <c r="H3008" s="360">
        <v>0.83791104084895185</v>
      </c>
      <c r="I3008" s="360">
        <v>0.77229521880929553</v>
      </c>
      <c r="K3008" s="363"/>
      <c r="N3008" s="10"/>
      <c r="O3008" s="4"/>
      <c r="P3008" s="4"/>
      <c r="Q3008" s="3"/>
      <c r="R3008" s="3"/>
      <c r="S3008" s="3"/>
      <c r="T3008" s="3"/>
    </row>
    <row r="3009" spans="1:20">
      <c r="A3009" s="3">
        <v>3</v>
      </c>
      <c r="B3009" s="3">
        <v>2</v>
      </c>
      <c r="C3009" s="2">
        <v>25</v>
      </c>
      <c r="D3009" s="2">
        <v>5</v>
      </c>
      <c r="E3009" s="2">
        <v>1</v>
      </c>
      <c r="F3009" s="17">
        <v>173</v>
      </c>
      <c r="H3009" s="360">
        <v>0.14661355950129873</v>
      </c>
      <c r="I3009" s="360">
        <v>0.73611560626256844</v>
      </c>
      <c r="K3009" s="363"/>
      <c r="N3009" s="10"/>
      <c r="O3009" s="4"/>
      <c r="P3009" s="4"/>
      <c r="Q3009" s="3"/>
      <c r="R3009" s="3"/>
      <c r="S3009" s="3"/>
      <c r="T3009" s="3"/>
    </row>
    <row r="3010" spans="1:20">
      <c r="A3010" s="3">
        <v>3</v>
      </c>
      <c r="B3010" s="3">
        <v>2</v>
      </c>
      <c r="C3010" s="2">
        <v>25</v>
      </c>
      <c r="D3010" s="2">
        <v>5</v>
      </c>
      <c r="E3010" s="2">
        <v>16</v>
      </c>
      <c r="F3010" s="17">
        <v>173</v>
      </c>
      <c r="H3010" s="360">
        <v>0.98035529475909822</v>
      </c>
      <c r="I3010" s="360">
        <v>0.72916494805419674</v>
      </c>
      <c r="K3010" s="363"/>
      <c r="N3010" s="10"/>
      <c r="O3010" s="4"/>
      <c r="P3010" s="4"/>
      <c r="Q3010" s="3"/>
      <c r="R3010" s="3"/>
      <c r="S3010" s="3"/>
      <c r="T3010" s="3"/>
    </row>
    <row r="3011" spans="1:20">
      <c r="A3011" s="3">
        <v>3</v>
      </c>
      <c r="B3011" s="3">
        <v>1</v>
      </c>
      <c r="C3011" s="2">
        <v>25</v>
      </c>
      <c r="D3011" s="2">
        <v>5</v>
      </c>
      <c r="E3011" s="2">
        <v>16</v>
      </c>
      <c r="F3011" s="17">
        <v>173</v>
      </c>
      <c r="H3011" s="360">
        <v>0.98059446931610039</v>
      </c>
      <c r="I3011" s="360">
        <v>0.6290607524883326</v>
      </c>
      <c r="K3011" s="363"/>
      <c r="N3011" s="10"/>
      <c r="O3011" s="4"/>
      <c r="P3011" s="4"/>
      <c r="Q3011" s="3"/>
      <c r="R3011" s="3"/>
      <c r="S3011" s="3"/>
      <c r="T3011" s="3"/>
    </row>
    <row r="3012" spans="1:20">
      <c r="A3012" s="3">
        <v>3</v>
      </c>
      <c r="B3012" s="3">
        <v>1</v>
      </c>
      <c r="C3012" s="2">
        <v>25</v>
      </c>
      <c r="D3012" s="2">
        <v>5</v>
      </c>
      <c r="E3012" s="2">
        <v>1</v>
      </c>
      <c r="F3012" s="17">
        <v>173</v>
      </c>
      <c r="H3012" s="360">
        <v>0.15106029967909851</v>
      </c>
      <c r="I3012" s="360">
        <v>0.5212608857162202</v>
      </c>
      <c r="K3012" s="363"/>
      <c r="N3012" s="10"/>
      <c r="O3012" s="4"/>
      <c r="P3012" s="4"/>
      <c r="Q3012" s="3"/>
      <c r="R3012" s="3"/>
      <c r="S3012" s="3"/>
      <c r="T3012" s="3"/>
    </row>
    <row r="3013" spans="1:20">
      <c r="A3013" s="3">
        <v>5</v>
      </c>
      <c r="B3013" s="3">
        <v>2</v>
      </c>
      <c r="C3013" s="2">
        <v>25</v>
      </c>
      <c r="D3013" s="2">
        <v>5</v>
      </c>
      <c r="E3013" s="2">
        <v>16</v>
      </c>
      <c r="F3013" s="17">
        <v>173</v>
      </c>
      <c r="H3013" s="360">
        <v>8.9151300978850267E-3</v>
      </c>
      <c r="I3013" s="360">
        <v>0.31669820245979186</v>
      </c>
      <c r="K3013" s="363"/>
      <c r="N3013" s="10"/>
      <c r="O3013" s="4"/>
      <c r="P3013" s="4"/>
      <c r="Q3013" s="3"/>
      <c r="R3013" s="3"/>
      <c r="S3013" s="3"/>
      <c r="T3013" s="3"/>
    </row>
    <row r="3014" spans="1:20">
      <c r="A3014" s="3">
        <v>4</v>
      </c>
      <c r="B3014" s="3">
        <v>2</v>
      </c>
      <c r="C3014" s="2">
        <v>50</v>
      </c>
      <c r="D3014" s="2">
        <v>5</v>
      </c>
      <c r="E3014" s="2">
        <v>16</v>
      </c>
      <c r="F3014" s="17">
        <v>173</v>
      </c>
      <c r="H3014" s="360">
        <v>0.42702484369482108</v>
      </c>
      <c r="I3014" s="360">
        <v>0.1305059822204398</v>
      </c>
      <c r="K3014" s="363"/>
      <c r="N3014" s="10"/>
      <c r="O3014" s="4"/>
      <c r="P3014" s="4"/>
      <c r="Q3014" s="3"/>
      <c r="R3014" s="3"/>
      <c r="S3014" s="3"/>
      <c r="T3014" s="3"/>
    </row>
    <row r="3015" spans="1:20">
      <c r="A3015" s="3">
        <v>2</v>
      </c>
      <c r="B3015" s="3">
        <v>1</v>
      </c>
      <c r="C3015" s="2">
        <v>25</v>
      </c>
      <c r="D3015" s="2">
        <v>5</v>
      </c>
      <c r="E3015" s="2">
        <v>16</v>
      </c>
      <c r="F3015" s="17">
        <v>173</v>
      </c>
      <c r="H3015" s="360">
        <v>0.31409093528731624</v>
      </c>
      <c r="I3015" s="360">
        <v>8.5614446742554876E-2</v>
      </c>
      <c r="K3015" s="363"/>
      <c r="N3015" s="10"/>
      <c r="O3015" s="4"/>
      <c r="P3015" s="4"/>
      <c r="Q3015" s="3"/>
      <c r="R3015" s="3"/>
      <c r="S3015" s="3"/>
      <c r="T3015" s="3"/>
    </row>
    <row r="3016" spans="1:20">
      <c r="A3016" s="3">
        <v>5</v>
      </c>
      <c r="B3016" s="3">
        <v>2</v>
      </c>
      <c r="C3016" s="2">
        <v>50</v>
      </c>
      <c r="D3016" s="2">
        <v>5</v>
      </c>
      <c r="E3016" s="2">
        <v>16</v>
      </c>
      <c r="F3016" s="17">
        <v>173</v>
      </c>
      <c r="H3016" s="360">
        <v>0.10576292799251308</v>
      </c>
      <c r="I3016" s="360">
        <v>6.9485808314841153E-3</v>
      </c>
      <c r="K3016" s="363"/>
      <c r="N3016" s="10"/>
      <c r="O3016" s="4"/>
      <c r="P3016" s="4"/>
      <c r="Q3016" s="3"/>
      <c r="R3016" s="3"/>
      <c r="S3016" s="3"/>
      <c r="T3016" s="3"/>
    </row>
    <row r="3017" spans="1:20">
      <c r="A3017" s="3">
        <v>2</v>
      </c>
      <c r="B3017" s="3">
        <v>1</v>
      </c>
      <c r="C3017" s="2">
        <v>25</v>
      </c>
      <c r="D3017" s="2">
        <v>5</v>
      </c>
      <c r="E3017" s="2">
        <v>1</v>
      </c>
      <c r="F3017" s="17">
        <v>173</v>
      </c>
      <c r="H3017" s="360">
        <v>7.9359318788669642E-2</v>
      </c>
      <c r="I3017" s="360">
        <v>-6.2394664180442294E-3</v>
      </c>
      <c r="K3017" s="363"/>
      <c r="N3017" s="10"/>
      <c r="O3017" s="4"/>
      <c r="P3017" s="4"/>
      <c r="Q3017" s="3"/>
      <c r="R3017" s="3"/>
      <c r="S3017" s="3"/>
      <c r="T3017" s="3"/>
    </row>
    <row r="3018" spans="1:20">
      <c r="A3018" s="3">
        <v>2</v>
      </c>
      <c r="B3018" s="3">
        <v>2</v>
      </c>
      <c r="C3018" s="2">
        <v>25</v>
      </c>
      <c r="D3018" s="2">
        <v>5</v>
      </c>
      <c r="E3018" s="2">
        <v>16</v>
      </c>
      <c r="F3018" s="17">
        <v>173</v>
      </c>
      <c r="H3018" s="360">
        <v>1</v>
      </c>
      <c r="I3018" s="360">
        <v>-2.4132883659409583E-2</v>
      </c>
      <c r="K3018" s="363"/>
      <c r="N3018" s="10"/>
      <c r="O3018" s="4"/>
      <c r="P3018" s="4"/>
      <c r="Q3018" s="3"/>
      <c r="R3018" s="3"/>
      <c r="S3018" s="3"/>
      <c r="T3018" s="3"/>
    </row>
    <row r="3019" spans="1:20">
      <c r="A3019" s="3">
        <v>2</v>
      </c>
      <c r="B3019" s="3">
        <v>2</v>
      </c>
      <c r="C3019" s="2">
        <v>25</v>
      </c>
      <c r="D3019" s="2">
        <v>5</v>
      </c>
      <c r="E3019" s="2">
        <v>1</v>
      </c>
      <c r="F3019" s="17">
        <v>173</v>
      </c>
      <c r="H3019" s="360">
        <v>8.5384929468410364E-2</v>
      </c>
      <c r="I3019" s="360">
        <v>-9.3523005612153501E-2</v>
      </c>
      <c r="K3019" s="363"/>
      <c r="N3019" s="10"/>
      <c r="O3019" s="4"/>
      <c r="P3019" s="4"/>
      <c r="Q3019" s="3"/>
      <c r="R3019" s="3"/>
      <c r="S3019" s="3"/>
      <c r="T3019" s="3"/>
    </row>
    <row r="3020" spans="1:20">
      <c r="A3020" s="3">
        <v>1</v>
      </c>
      <c r="B3020" s="3">
        <v>2</v>
      </c>
      <c r="C3020" s="2">
        <v>25</v>
      </c>
      <c r="D3020" s="2">
        <v>5</v>
      </c>
      <c r="E3020" s="2">
        <v>1</v>
      </c>
      <c r="F3020" s="17">
        <v>174</v>
      </c>
      <c r="H3020" s="360">
        <v>2.0518420759631173E-2</v>
      </c>
      <c r="I3020" s="360">
        <v>0.25871234494979328</v>
      </c>
      <c r="K3020" s="363"/>
      <c r="N3020" s="10"/>
      <c r="O3020" s="4"/>
      <c r="P3020" s="4"/>
      <c r="Q3020" s="3"/>
      <c r="R3020" s="3"/>
      <c r="S3020" s="3"/>
      <c r="T3020" s="3"/>
    </row>
    <row r="3021" spans="1:20">
      <c r="A3021" s="3">
        <v>3</v>
      </c>
      <c r="B3021" s="3">
        <v>1</v>
      </c>
      <c r="C3021" s="2">
        <v>25</v>
      </c>
      <c r="D3021" s="2">
        <v>5</v>
      </c>
      <c r="E3021" s="2">
        <v>1</v>
      </c>
      <c r="F3021" s="17">
        <v>174</v>
      </c>
      <c r="H3021" s="360">
        <v>3.4954062197721125E-2</v>
      </c>
      <c r="I3021" s="360">
        <v>0.16490799686055638</v>
      </c>
      <c r="K3021" s="363"/>
      <c r="N3021" s="10"/>
      <c r="O3021" s="4"/>
      <c r="P3021" s="4"/>
      <c r="Q3021" s="3"/>
      <c r="R3021" s="3"/>
      <c r="S3021" s="3"/>
      <c r="T3021" s="3"/>
    </row>
    <row r="3022" spans="1:20">
      <c r="A3022" s="3">
        <v>1</v>
      </c>
      <c r="B3022" s="3">
        <v>2</v>
      </c>
      <c r="C3022" s="2">
        <v>25</v>
      </c>
      <c r="D3022" s="2">
        <v>30</v>
      </c>
      <c r="E3022" s="2">
        <v>16</v>
      </c>
      <c r="F3022" s="17">
        <v>174</v>
      </c>
      <c r="H3022" s="360">
        <v>1</v>
      </c>
      <c r="I3022" s="360">
        <v>0.15709630320485077</v>
      </c>
      <c r="K3022" s="363"/>
      <c r="N3022" s="10"/>
      <c r="O3022" s="4"/>
      <c r="P3022" s="4"/>
      <c r="Q3022" s="3"/>
      <c r="R3022" s="3"/>
      <c r="S3022" s="3"/>
      <c r="T3022" s="3"/>
    </row>
    <row r="3023" spans="1:20">
      <c r="A3023" s="3">
        <v>1</v>
      </c>
      <c r="B3023" s="3">
        <v>2</v>
      </c>
      <c r="C3023" s="2">
        <v>25</v>
      </c>
      <c r="D3023" s="2">
        <v>5</v>
      </c>
      <c r="E3023" s="2">
        <v>16</v>
      </c>
      <c r="F3023" s="17">
        <v>174</v>
      </c>
      <c r="H3023" s="360">
        <v>1</v>
      </c>
      <c r="I3023" s="360">
        <v>0.13735641380137781</v>
      </c>
      <c r="K3023" s="363"/>
      <c r="N3023" s="10"/>
      <c r="O3023" s="4"/>
      <c r="P3023" s="4"/>
      <c r="Q3023" s="3"/>
      <c r="R3023" s="3"/>
      <c r="S3023" s="3"/>
      <c r="T3023" s="3"/>
    </row>
    <row r="3024" spans="1:20">
      <c r="A3024" s="3">
        <v>1</v>
      </c>
      <c r="B3024" s="3">
        <v>2</v>
      </c>
      <c r="C3024" s="2">
        <v>25</v>
      </c>
      <c r="D3024" s="2">
        <v>5</v>
      </c>
      <c r="E3024" s="2">
        <v>16</v>
      </c>
      <c r="F3024" s="17">
        <v>174</v>
      </c>
      <c r="H3024" s="360">
        <v>1</v>
      </c>
      <c r="I3024" s="360">
        <v>0.12788714086091285</v>
      </c>
      <c r="K3024" s="363"/>
      <c r="N3024" s="10"/>
      <c r="O3024" s="4"/>
      <c r="P3024" s="4"/>
      <c r="Q3024" s="3"/>
      <c r="R3024" s="3"/>
      <c r="S3024" s="3"/>
      <c r="T3024" s="3"/>
    </row>
    <row r="3025" spans="1:20">
      <c r="A3025" s="3">
        <v>1</v>
      </c>
      <c r="B3025" s="3">
        <v>1</v>
      </c>
      <c r="C3025" s="2">
        <v>25</v>
      </c>
      <c r="D3025" s="2">
        <v>5</v>
      </c>
      <c r="E3025" s="2">
        <v>16</v>
      </c>
      <c r="F3025" s="17">
        <v>174</v>
      </c>
      <c r="H3025" s="360">
        <v>1</v>
      </c>
      <c r="I3025" s="360">
        <v>0.12780304298868744</v>
      </c>
      <c r="K3025" s="363"/>
      <c r="N3025" s="10"/>
      <c r="O3025" s="4"/>
      <c r="P3025" s="4"/>
      <c r="Q3025" s="3"/>
      <c r="R3025" s="3"/>
      <c r="S3025" s="3"/>
      <c r="T3025" s="3"/>
    </row>
    <row r="3026" spans="1:20">
      <c r="A3026" s="3">
        <v>4</v>
      </c>
      <c r="B3026" s="3">
        <v>2</v>
      </c>
      <c r="C3026" s="2">
        <v>50</v>
      </c>
      <c r="D3026" s="2">
        <v>5</v>
      </c>
      <c r="E3026" s="2">
        <v>16</v>
      </c>
      <c r="F3026" s="17">
        <v>174</v>
      </c>
      <c r="H3026" s="360">
        <v>1</v>
      </c>
      <c r="I3026" s="360">
        <v>8.4296925351632107E-2</v>
      </c>
      <c r="K3026" s="363"/>
      <c r="N3026" s="10"/>
      <c r="O3026" s="4"/>
      <c r="P3026" s="4"/>
      <c r="Q3026" s="3"/>
      <c r="R3026" s="3"/>
      <c r="S3026" s="3"/>
      <c r="T3026" s="3"/>
    </row>
    <row r="3027" spans="1:20">
      <c r="A3027" s="3">
        <v>3</v>
      </c>
      <c r="B3027" s="3">
        <v>1</v>
      </c>
      <c r="C3027" s="2">
        <v>25</v>
      </c>
      <c r="D3027" s="2">
        <v>5</v>
      </c>
      <c r="E3027" s="2">
        <v>16</v>
      </c>
      <c r="F3027" s="17">
        <v>174</v>
      </c>
      <c r="H3027" s="360">
        <v>9.9265558737081871E-2</v>
      </c>
      <c r="I3027" s="360">
        <v>6.8931179464483253E-2</v>
      </c>
      <c r="K3027" s="363"/>
      <c r="N3027" s="10"/>
      <c r="O3027" s="4"/>
      <c r="P3027" s="4"/>
      <c r="Q3027" s="3"/>
      <c r="R3027" s="3"/>
      <c r="S3027" s="3"/>
      <c r="T3027" s="3"/>
    </row>
    <row r="3028" spans="1:20">
      <c r="A3028" s="3">
        <v>2</v>
      </c>
      <c r="B3028" s="3">
        <v>1</v>
      </c>
      <c r="C3028" s="2">
        <v>25</v>
      </c>
      <c r="D3028" s="2">
        <v>5</v>
      </c>
      <c r="E3028" s="2">
        <v>1</v>
      </c>
      <c r="F3028" s="17">
        <v>174</v>
      </c>
      <c r="H3028" s="360">
        <v>0.74365683951531647</v>
      </c>
      <c r="I3028" s="360">
        <v>3.090319403475086E-2</v>
      </c>
      <c r="K3028" s="363"/>
      <c r="N3028" s="10"/>
      <c r="O3028" s="4"/>
      <c r="P3028" s="4"/>
      <c r="Q3028" s="3"/>
      <c r="R3028" s="3"/>
      <c r="S3028" s="3"/>
      <c r="T3028" s="3"/>
    </row>
    <row r="3029" spans="1:20">
      <c r="A3029" s="3">
        <v>1</v>
      </c>
      <c r="B3029" s="3">
        <v>1</v>
      </c>
      <c r="C3029" s="2">
        <v>25</v>
      </c>
      <c r="D3029" s="2">
        <v>5</v>
      </c>
      <c r="E3029" s="2">
        <v>1</v>
      </c>
      <c r="F3029" s="17">
        <v>174</v>
      </c>
      <c r="H3029" s="360">
        <v>0.35723870256276224</v>
      </c>
      <c r="I3029" s="360">
        <v>2.5315984767280399E-2</v>
      </c>
      <c r="K3029" s="363"/>
      <c r="N3029" s="10"/>
      <c r="O3029" s="4"/>
      <c r="P3029" s="4"/>
      <c r="Q3029" s="3"/>
      <c r="R3029" s="3"/>
      <c r="S3029" s="3"/>
      <c r="T3029" s="3"/>
    </row>
    <row r="3030" spans="1:20">
      <c r="A3030" s="3">
        <v>2</v>
      </c>
      <c r="B3030" s="3">
        <v>2</v>
      </c>
      <c r="C3030" s="2">
        <v>25</v>
      </c>
      <c r="D3030" s="2">
        <v>5</v>
      </c>
      <c r="E3030" s="2">
        <v>16</v>
      </c>
      <c r="F3030" s="17">
        <v>174</v>
      </c>
      <c r="H3030" s="360">
        <v>1</v>
      </c>
      <c r="I3030" s="360">
        <v>2.230065767278866E-2</v>
      </c>
      <c r="K3030" s="363"/>
      <c r="N3030" s="10"/>
      <c r="O3030" s="4"/>
      <c r="P3030" s="4"/>
      <c r="Q3030" s="3"/>
      <c r="R3030" s="3"/>
      <c r="S3030" s="3"/>
      <c r="T3030" s="3"/>
    </row>
    <row r="3031" spans="1:20">
      <c r="A3031" s="3">
        <v>1</v>
      </c>
      <c r="B3031" s="3">
        <v>1</v>
      </c>
      <c r="C3031" s="2">
        <v>25</v>
      </c>
      <c r="D3031" s="2">
        <v>30</v>
      </c>
      <c r="E3031" s="2">
        <v>16</v>
      </c>
      <c r="F3031" s="17">
        <v>174</v>
      </c>
      <c r="H3031" s="360">
        <v>1</v>
      </c>
      <c r="I3031" s="360">
        <v>7.1342571839095254E-3</v>
      </c>
      <c r="K3031" s="363"/>
      <c r="N3031" s="10"/>
      <c r="O3031" s="4"/>
      <c r="P3031" s="4"/>
      <c r="Q3031" s="3"/>
      <c r="R3031" s="3"/>
      <c r="S3031" s="3"/>
      <c r="T3031" s="3"/>
    </row>
    <row r="3032" spans="1:20">
      <c r="A3032" s="3">
        <v>2</v>
      </c>
      <c r="B3032" s="3">
        <v>2</v>
      </c>
      <c r="C3032" s="2">
        <v>25</v>
      </c>
      <c r="D3032" s="2">
        <v>5</v>
      </c>
      <c r="E3032" s="2">
        <v>1</v>
      </c>
      <c r="F3032" s="17">
        <v>174</v>
      </c>
      <c r="H3032" s="360">
        <v>0.7492486561125874</v>
      </c>
      <c r="I3032" s="360">
        <v>-8.6066842182604027E-3</v>
      </c>
      <c r="K3032" s="363"/>
      <c r="N3032" s="10"/>
      <c r="O3032" s="4"/>
      <c r="P3032" s="4"/>
      <c r="Q3032" s="3"/>
      <c r="R3032" s="3"/>
      <c r="S3032" s="3"/>
      <c r="T3032" s="3"/>
    </row>
    <row r="3033" spans="1:20">
      <c r="A3033" s="3">
        <v>2</v>
      </c>
      <c r="B3033" s="3">
        <v>1</v>
      </c>
      <c r="C3033" s="2">
        <v>25</v>
      </c>
      <c r="D3033" s="2">
        <v>5</v>
      </c>
      <c r="E3033" s="2">
        <v>16</v>
      </c>
      <c r="F3033" s="17">
        <v>174</v>
      </c>
      <c r="H3033" s="360">
        <v>0.98789401796303711</v>
      </c>
      <c r="I3033" s="360">
        <v>-2.3986650325477817E-2</v>
      </c>
      <c r="K3033" s="363"/>
      <c r="N3033" s="10"/>
      <c r="O3033" s="4"/>
      <c r="P3033" s="4"/>
      <c r="Q3033" s="3"/>
      <c r="R3033" s="3"/>
      <c r="S3033" s="3"/>
      <c r="T3033" s="3"/>
    </row>
    <row r="3034" spans="1:20">
      <c r="A3034" s="3">
        <v>3</v>
      </c>
      <c r="B3034" s="3">
        <v>2</v>
      </c>
      <c r="C3034" s="2">
        <v>25</v>
      </c>
      <c r="D3034" s="2">
        <v>5</v>
      </c>
      <c r="E3034" s="2">
        <v>16</v>
      </c>
      <c r="F3034" s="17">
        <v>174</v>
      </c>
      <c r="H3034" s="360">
        <v>1</v>
      </c>
      <c r="I3034" s="360">
        <v>-8.7188080704887663E-2</v>
      </c>
      <c r="K3034" s="363"/>
      <c r="N3034" s="10"/>
      <c r="O3034" s="4"/>
      <c r="P3034" s="4"/>
      <c r="Q3034" s="3"/>
      <c r="R3034" s="3"/>
      <c r="S3034" s="3"/>
      <c r="T3034" s="3"/>
    </row>
    <row r="3035" spans="1:20">
      <c r="A3035" s="3">
        <v>3</v>
      </c>
      <c r="B3035" s="3">
        <v>2</v>
      </c>
      <c r="C3035" s="2">
        <v>25</v>
      </c>
      <c r="D3035" s="2">
        <v>5</v>
      </c>
      <c r="E3035" s="2">
        <v>1</v>
      </c>
      <c r="F3035" s="17">
        <v>174</v>
      </c>
      <c r="H3035" s="360">
        <v>0.26929712066250877</v>
      </c>
      <c r="I3035" s="360">
        <v>-0.10788013682839162</v>
      </c>
      <c r="K3035" s="363"/>
      <c r="N3035" s="10"/>
      <c r="O3035" s="4"/>
      <c r="P3035" s="4"/>
      <c r="Q3035" s="3"/>
      <c r="R3035" s="3"/>
      <c r="S3035" s="3"/>
      <c r="T3035" s="3"/>
    </row>
    <row r="3036" spans="1:20">
      <c r="A3036" s="3">
        <v>5</v>
      </c>
      <c r="B3036" s="3">
        <v>2</v>
      </c>
      <c r="C3036" s="2">
        <v>25</v>
      </c>
      <c r="D3036" s="2">
        <v>5</v>
      </c>
      <c r="E3036" s="2">
        <v>16</v>
      </c>
      <c r="F3036" s="17">
        <v>174</v>
      </c>
      <c r="H3036" s="360">
        <v>0.82603178709619907</v>
      </c>
      <c r="I3036" s="360">
        <v>-0.12761800956355132</v>
      </c>
      <c r="K3036" s="363"/>
      <c r="N3036" s="10"/>
      <c r="O3036" s="4"/>
      <c r="P3036" s="4"/>
      <c r="Q3036" s="3"/>
      <c r="R3036" s="3"/>
      <c r="S3036" s="3"/>
      <c r="T3036" s="3"/>
    </row>
    <row r="3037" spans="1:20">
      <c r="A3037" s="3">
        <v>5</v>
      </c>
      <c r="B3037" s="3">
        <v>2</v>
      </c>
      <c r="C3037" s="2">
        <v>50</v>
      </c>
      <c r="D3037" s="2">
        <v>5</v>
      </c>
      <c r="E3037" s="2">
        <v>16</v>
      </c>
      <c r="F3037" s="17">
        <v>174</v>
      </c>
      <c r="H3037" s="360">
        <v>1</v>
      </c>
      <c r="I3037" s="360">
        <v>-0.21708630870604434</v>
      </c>
      <c r="K3037" s="363"/>
      <c r="N3037" s="10"/>
      <c r="O3037" s="4"/>
      <c r="P3037" s="4"/>
      <c r="Q3037" s="3"/>
      <c r="R3037" s="3"/>
      <c r="S3037" s="3"/>
      <c r="T3037" s="3"/>
    </row>
    <row r="3038" spans="1:20">
      <c r="A3038" s="3">
        <v>5</v>
      </c>
      <c r="B3038" s="3">
        <v>2</v>
      </c>
      <c r="C3038" s="2">
        <v>25</v>
      </c>
      <c r="D3038" s="2">
        <v>5</v>
      </c>
      <c r="E3038" s="2">
        <v>16</v>
      </c>
      <c r="F3038" s="17">
        <v>175</v>
      </c>
      <c r="H3038" s="360">
        <v>0.16138175047946968</v>
      </c>
      <c r="I3038" s="360">
        <v>1.6095834717000962E-2</v>
      </c>
      <c r="K3038" s="363"/>
      <c r="N3038" s="10"/>
      <c r="O3038" s="4"/>
      <c r="P3038" s="4"/>
      <c r="Q3038" s="3"/>
      <c r="R3038" s="3"/>
      <c r="S3038" s="3"/>
      <c r="T3038" s="3"/>
    </row>
    <row r="3039" spans="1:20">
      <c r="A3039" s="3">
        <v>1</v>
      </c>
      <c r="B3039" s="3">
        <v>1</v>
      </c>
      <c r="C3039" s="2">
        <v>25</v>
      </c>
      <c r="D3039" s="2">
        <v>5</v>
      </c>
      <c r="E3039" s="2">
        <v>1</v>
      </c>
      <c r="F3039" s="17">
        <v>175</v>
      </c>
      <c r="H3039" s="360">
        <v>0</v>
      </c>
      <c r="I3039" s="360">
        <v>0</v>
      </c>
      <c r="K3039" s="363"/>
      <c r="N3039" s="10"/>
      <c r="O3039" s="4"/>
      <c r="P3039" s="4"/>
      <c r="Q3039" s="3"/>
      <c r="R3039" s="3"/>
      <c r="S3039" s="3"/>
      <c r="T3039" s="3"/>
    </row>
    <row r="3040" spans="1:20">
      <c r="A3040" s="3">
        <v>1</v>
      </c>
      <c r="B3040" s="3">
        <v>2</v>
      </c>
      <c r="C3040" s="2">
        <v>25</v>
      </c>
      <c r="D3040" s="2">
        <v>5</v>
      </c>
      <c r="E3040" s="2">
        <v>1</v>
      </c>
      <c r="F3040" s="17">
        <v>175</v>
      </c>
      <c r="H3040" s="360">
        <v>0</v>
      </c>
      <c r="I3040" s="360">
        <v>0</v>
      </c>
      <c r="K3040" s="363"/>
      <c r="N3040" s="10"/>
      <c r="O3040" s="4"/>
      <c r="P3040" s="4"/>
      <c r="Q3040" s="3"/>
      <c r="R3040" s="3"/>
      <c r="S3040" s="3"/>
      <c r="T3040" s="3"/>
    </row>
    <row r="3041" spans="1:20">
      <c r="A3041" s="3">
        <v>2</v>
      </c>
      <c r="B3041" s="3">
        <v>2</v>
      </c>
      <c r="C3041" s="2">
        <v>25</v>
      </c>
      <c r="D3041" s="2">
        <v>5</v>
      </c>
      <c r="E3041" s="2">
        <v>1</v>
      </c>
      <c r="F3041" s="17">
        <v>175</v>
      </c>
      <c r="H3041" s="360">
        <v>0</v>
      </c>
      <c r="I3041" s="360">
        <v>0</v>
      </c>
      <c r="K3041" s="363"/>
      <c r="N3041" s="10"/>
      <c r="O3041" s="4"/>
      <c r="P3041" s="4"/>
      <c r="Q3041" s="3"/>
      <c r="R3041" s="3"/>
      <c r="S3041" s="3"/>
      <c r="T3041" s="3"/>
    </row>
    <row r="3042" spans="1:20">
      <c r="A3042" s="3">
        <v>2</v>
      </c>
      <c r="B3042" s="3">
        <v>2</v>
      </c>
      <c r="C3042" s="2">
        <v>25</v>
      </c>
      <c r="D3042" s="2">
        <v>5</v>
      </c>
      <c r="E3042" s="2">
        <v>16</v>
      </c>
      <c r="F3042" s="17">
        <v>175</v>
      </c>
      <c r="H3042" s="360">
        <v>0</v>
      </c>
      <c r="I3042" s="360">
        <v>0</v>
      </c>
      <c r="K3042" s="363"/>
      <c r="N3042" s="10"/>
      <c r="O3042" s="4"/>
      <c r="P3042" s="4"/>
      <c r="Q3042" s="3"/>
      <c r="R3042" s="3"/>
      <c r="S3042" s="3"/>
      <c r="T3042" s="3"/>
    </row>
    <row r="3043" spans="1:20">
      <c r="A3043" s="3">
        <v>2</v>
      </c>
      <c r="B3043" s="3">
        <v>1</v>
      </c>
      <c r="C3043" s="2">
        <v>25</v>
      </c>
      <c r="D3043" s="2">
        <v>5</v>
      </c>
      <c r="E3043" s="2">
        <v>1</v>
      </c>
      <c r="F3043" s="17">
        <v>175</v>
      </c>
      <c r="H3043" s="360">
        <v>0</v>
      </c>
      <c r="I3043" s="360">
        <v>0</v>
      </c>
      <c r="K3043" s="363"/>
      <c r="N3043" s="10"/>
      <c r="O3043" s="4"/>
      <c r="P3043" s="4"/>
      <c r="Q3043" s="3"/>
      <c r="R3043" s="3"/>
      <c r="S3043" s="3"/>
      <c r="T3043" s="3"/>
    </row>
    <row r="3044" spans="1:20">
      <c r="A3044" s="3">
        <v>2</v>
      </c>
      <c r="B3044" s="3">
        <v>1</v>
      </c>
      <c r="C3044" s="2">
        <v>25</v>
      </c>
      <c r="D3044" s="2">
        <v>5</v>
      </c>
      <c r="E3044" s="2">
        <v>16</v>
      </c>
      <c r="F3044" s="17">
        <v>175</v>
      </c>
      <c r="H3044" s="360">
        <v>0</v>
      </c>
      <c r="I3044" s="360">
        <v>0</v>
      </c>
      <c r="K3044" s="363"/>
      <c r="N3044" s="10"/>
      <c r="O3044" s="4"/>
      <c r="P3044" s="4"/>
      <c r="Q3044" s="3"/>
      <c r="R3044" s="3"/>
      <c r="S3044" s="3"/>
      <c r="T3044" s="3"/>
    </row>
    <row r="3045" spans="1:20">
      <c r="A3045" s="3">
        <v>3</v>
      </c>
      <c r="B3045" s="3">
        <v>1</v>
      </c>
      <c r="C3045" s="2">
        <v>25</v>
      </c>
      <c r="D3045" s="2">
        <v>5</v>
      </c>
      <c r="E3045" s="2">
        <v>1</v>
      </c>
      <c r="F3045" s="17">
        <v>175</v>
      </c>
      <c r="H3045" s="360">
        <v>0</v>
      </c>
      <c r="I3045" s="360">
        <v>0</v>
      </c>
      <c r="K3045" s="363"/>
      <c r="N3045" s="10"/>
      <c r="O3045" s="4"/>
      <c r="P3045" s="4"/>
      <c r="Q3045" s="3"/>
      <c r="R3045" s="3"/>
      <c r="S3045" s="3"/>
      <c r="T3045" s="3"/>
    </row>
    <row r="3046" spans="1:20">
      <c r="A3046" s="3">
        <v>5</v>
      </c>
      <c r="B3046" s="3">
        <v>2</v>
      </c>
      <c r="C3046" s="2">
        <v>50</v>
      </c>
      <c r="D3046" s="2">
        <v>5</v>
      </c>
      <c r="E3046" s="2">
        <v>16</v>
      </c>
      <c r="F3046" s="17">
        <v>175</v>
      </c>
      <c r="H3046" s="360">
        <v>1</v>
      </c>
      <c r="I3046" s="360">
        <v>-5.5627509232450981E-2</v>
      </c>
      <c r="K3046" s="363"/>
      <c r="N3046" s="10"/>
      <c r="O3046" s="4"/>
      <c r="P3046" s="4"/>
      <c r="Q3046" s="3"/>
      <c r="R3046" s="3"/>
      <c r="S3046" s="3"/>
      <c r="T3046" s="3"/>
    </row>
    <row r="3047" spans="1:20">
      <c r="A3047" s="3">
        <v>4</v>
      </c>
      <c r="B3047" s="3">
        <v>2</v>
      </c>
      <c r="C3047" s="2">
        <v>50</v>
      </c>
      <c r="D3047" s="2">
        <v>5</v>
      </c>
      <c r="E3047" s="2">
        <v>16</v>
      </c>
      <c r="F3047" s="17">
        <v>175</v>
      </c>
      <c r="H3047" s="360">
        <v>1</v>
      </c>
      <c r="I3047" s="360">
        <v>-6.2205151755521229E-2</v>
      </c>
      <c r="K3047" s="363"/>
      <c r="N3047" s="10"/>
      <c r="O3047" s="4"/>
      <c r="P3047" s="4"/>
      <c r="Q3047" s="3"/>
      <c r="R3047" s="3"/>
      <c r="S3047" s="3"/>
      <c r="T3047" s="3"/>
    </row>
    <row r="3048" spans="1:20">
      <c r="A3048" s="3">
        <v>3</v>
      </c>
      <c r="B3048" s="3">
        <v>1</v>
      </c>
      <c r="C3048" s="2">
        <v>25</v>
      </c>
      <c r="D3048" s="2">
        <v>5</v>
      </c>
      <c r="E3048" s="2">
        <v>16</v>
      </c>
      <c r="F3048" s="17">
        <v>175</v>
      </c>
      <c r="H3048" s="360">
        <v>3.5118273712551384E-2</v>
      </c>
      <c r="I3048" s="360">
        <v>-0.30222936632280034</v>
      </c>
      <c r="K3048" s="363"/>
      <c r="N3048" s="10"/>
      <c r="O3048" s="4"/>
      <c r="P3048" s="4"/>
      <c r="Q3048" s="3"/>
      <c r="R3048" s="3"/>
      <c r="S3048" s="3"/>
      <c r="T3048" s="3"/>
    </row>
    <row r="3049" spans="1:20">
      <c r="A3049" s="3">
        <v>1</v>
      </c>
      <c r="B3049" s="3">
        <v>1</v>
      </c>
      <c r="C3049" s="2">
        <v>25</v>
      </c>
      <c r="D3049" s="2">
        <v>30</v>
      </c>
      <c r="E3049" s="2">
        <v>16</v>
      </c>
      <c r="F3049" s="17">
        <v>175</v>
      </c>
      <c r="H3049" s="360">
        <v>0.43923779306617461</v>
      </c>
      <c r="I3049" s="360">
        <v>-0.50172748452882809</v>
      </c>
      <c r="K3049" s="363"/>
      <c r="N3049" s="10"/>
      <c r="O3049" s="4"/>
      <c r="P3049" s="4"/>
      <c r="Q3049" s="3"/>
      <c r="R3049" s="3"/>
      <c r="S3049" s="3"/>
      <c r="T3049" s="3"/>
    </row>
    <row r="3050" spans="1:20">
      <c r="A3050" s="3">
        <v>1</v>
      </c>
      <c r="B3050" s="3">
        <v>2</v>
      </c>
      <c r="C3050" s="2">
        <v>25</v>
      </c>
      <c r="D3050" s="2">
        <v>30</v>
      </c>
      <c r="E3050" s="2">
        <v>16</v>
      </c>
      <c r="F3050" s="17">
        <v>175</v>
      </c>
      <c r="H3050" s="360">
        <v>0.93447208819076666</v>
      </c>
      <c r="I3050" s="360">
        <v>-0.61627412946045845</v>
      </c>
      <c r="K3050" s="363"/>
      <c r="N3050" s="10"/>
      <c r="O3050" s="4"/>
      <c r="P3050" s="4"/>
      <c r="Q3050" s="3"/>
      <c r="R3050" s="3"/>
      <c r="S3050" s="3"/>
      <c r="T3050" s="3"/>
    </row>
    <row r="3051" spans="1:20">
      <c r="A3051" s="3">
        <v>3</v>
      </c>
      <c r="B3051" s="3">
        <v>2</v>
      </c>
      <c r="C3051" s="2">
        <v>25</v>
      </c>
      <c r="D3051" s="2">
        <v>5</v>
      </c>
      <c r="E3051" s="2">
        <v>1</v>
      </c>
      <c r="F3051" s="17">
        <v>175</v>
      </c>
      <c r="H3051" s="360">
        <v>3.1089985037745849E-2</v>
      </c>
      <c r="I3051" s="360">
        <v>-0.65067919738583269</v>
      </c>
      <c r="K3051" s="363"/>
      <c r="N3051" s="10"/>
      <c r="O3051" s="4"/>
      <c r="P3051" s="4"/>
      <c r="Q3051" s="3"/>
      <c r="R3051" s="3"/>
      <c r="S3051" s="3"/>
      <c r="T3051" s="3"/>
    </row>
    <row r="3052" spans="1:20">
      <c r="A3052" s="3">
        <v>1</v>
      </c>
      <c r="B3052" s="3">
        <v>1</v>
      </c>
      <c r="C3052" s="2">
        <v>25</v>
      </c>
      <c r="D3052" s="2">
        <v>5</v>
      </c>
      <c r="E3052" s="2">
        <v>16</v>
      </c>
      <c r="F3052" s="17">
        <v>175</v>
      </c>
      <c r="H3052" s="360">
        <v>0.11265889925387929</v>
      </c>
      <c r="I3052" s="360">
        <v>-0.683328382908304</v>
      </c>
      <c r="K3052" s="363"/>
      <c r="N3052" s="10"/>
      <c r="O3052" s="4"/>
      <c r="P3052" s="4"/>
      <c r="Q3052" s="3"/>
      <c r="R3052" s="3"/>
      <c r="S3052" s="3"/>
      <c r="T3052" s="3"/>
    </row>
    <row r="3053" spans="1:20">
      <c r="A3053" s="3">
        <v>3</v>
      </c>
      <c r="B3053" s="3">
        <v>2</v>
      </c>
      <c r="C3053" s="2">
        <v>25</v>
      </c>
      <c r="D3053" s="2">
        <v>5</v>
      </c>
      <c r="E3053" s="2">
        <v>16</v>
      </c>
      <c r="F3053" s="17">
        <v>175</v>
      </c>
      <c r="H3053" s="360">
        <v>0.93462936176247524</v>
      </c>
      <c r="I3053" s="360">
        <v>-0.77975106545985129</v>
      </c>
      <c r="K3053" s="363"/>
      <c r="N3053" s="10"/>
      <c r="O3053" s="4"/>
      <c r="P3053" s="4"/>
      <c r="Q3053" s="3"/>
      <c r="R3053" s="3"/>
      <c r="S3053" s="3"/>
      <c r="T3053" s="3"/>
    </row>
    <row r="3054" spans="1:20">
      <c r="A3054" s="3">
        <v>1</v>
      </c>
      <c r="B3054" s="3">
        <v>2</v>
      </c>
      <c r="C3054" s="2">
        <v>25</v>
      </c>
      <c r="D3054" s="2">
        <v>5</v>
      </c>
      <c r="E3054" s="2">
        <v>16</v>
      </c>
      <c r="F3054" s="17">
        <v>175</v>
      </c>
      <c r="H3054" s="360">
        <v>0.324424295667749</v>
      </c>
      <c r="I3054" s="360">
        <v>-0.82251238119824188</v>
      </c>
      <c r="K3054" s="363"/>
      <c r="N3054" s="10"/>
      <c r="O3054" s="4"/>
      <c r="P3054" s="4"/>
      <c r="Q3054" s="3"/>
      <c r="R3054" s="3"/>
      <c r="S3054" s="3"/>
      <c r="T3054" s="3"/>
    </row>
    <row r="3055" spans="1:20">
      <c r="A3055" s="3">
        <v>1</v>
      </c>
      <c r="B3055" s="3">
        <v>2</v>
      </c>
      <c r="C3055" s="2">
        <v>25</v>
      </c>
      <c r="D3055" s="2">
        <v>5</v>
      </c>
      <c r="E3055" s="2">
        <v>16</v>
      </c>
      <c r="F3055" s="17">
        <v>175</v>
      </c>
      <c r="H3055" s="360">
        <v>0.93473741373763475</v>
      </c>
      <c r="I3055" s="360">
        <v>-0.88115121672536745</v>
      </c>
      <c r="K3055" s="363"/>
      <c r="N3055" s="10"/>
      <c r="O3055" s="4"/>
      <c r="P3055" s="4"/>
      <c r="Q3055" s="3"/>
      <c r="R3055" s="3"/>
      <c r="S3055" s="3"/>
      <c r="T3055" s="3"/>
    </row>
    <row r="3056" spans="1:20">
      <c r="A3056" s="3">
        <v>1</v>
      </c>
      <c r="B3056" s="3">
        <v>2</v>
      </c>
      <c r="C3056" s="2">
        <v>25</v>
      </c>
      <c r="D3056" s="2">
        <v>5</v>
      </c>
      <c r="E3056" s="2">
        <v>16</v>
      </c>
      <c r="F3056" s="17">
        <v>176</v>
      </c>
      <c r="H3056" s="360">
        <v>0.10617915924444243</v>
      </c>
      <c r="I3056" s="360">
        <v>0.6985833030620312</v>
      </c>
      <c r="K3056" s="363"/>
      <c r="N3056" s="10"/>
      <c r="O3056" s="4"/>
      <c r="P3056" s="4"/>
      <c r="Q3056" s="3"/>
      <c r="R3056" s="3"/>
      <c r="S3056" s="3"/>
      <c r="T3056" s="3"/>
    </row>
    <row r="3057" spans="1:20">
      <c r="A3057" s="3">
        <v>1</v>
      </c>
      <c r="B3057" s="3">
        <v>2</v>
      </c>
      <c r="C3057" s="2">
        <v>25</v>
      </c>
      <c r="D3057" s="2">
        <v>5</v>
      </c>
      <c r="E3057" s="2">
        <v>16</v>
      </c>
      <c r="F3057" s="17">
        <v>176</v>
      </c>
      <c r="H3057" s="360">
        <v>5.8567595238002035E-2</v>
      </c>
      <c r="I3057" s="360">
        <v>0.59954552118457705</v>
      </c>
      <c r="K3057" s="363"/>
      <c r="N3057" s="10"/>
      <c r="O3057" s="4"/>
      <c r="P3057" s="4"/>
      <c r="Q3057" s="3"/>
      <c r="R3057" s="3"/>
      <c r="S3057" s="3"/>
      <c r="T3057" s="3"/>
    </row>
    <row r="3058" spans="1:20">
      <c r="A3058" s="3">
        <v>4</v>
      </c>
      <c r="B3058" s="3">
        <v>2</v>
      </c>
      <c r="C3058" s="2">
        <v>50</v>
      </c>
      <c r="D3058" s="2">
        <v>5</v>
      </c>
      <c r="E3058" s="2">
        <v>16</v>
      </c>
      <c r="F3058" s="17">
        <v>176</v>
      </c>
      <c r="H3058" s="360">
        <v>0.99191014628204788</v>
      </c>
      <c r="I3058" s="360">
        <v>0.57901614229551779</v>
      </c>
      <c r="K3058" s="363"/>
      <c r="N3058" s="10"/>
      <c r="O3058" s="4"/>
      <c r="P3058" s="4"/>
      <c r="Q3058" s="3"/>
      <c r="R3058" s="3"/>
      <c r="S3058" s="3"/>
      <c r="T3058" s="3"/>
    </row>
    <row r="3059" spans="1:20">
      <c r="A3059" s="3">
        <v>3</v>
      </c>
      <c r="B3059" s="3">
        <v>1</v>
      </c>
      <c r="C3059" s="2">
        <v>25</v>
      </c>
      <c r="D3059" s="2">
        <v>5</v>
      </c>
      <c r="E3059" s="2">
        <v>16</v>
      </c>
      <c r="F3059" s="17">
        <v>176</v>
      </c>
      <c r="H3059" s="360">
        <v>3.7721248647169081E-2</v>
      </c>
      <c r="I3059" s="360">
        <v>0.40213603401414255</v>
      </c>
      <c r="K3059" s="363"/>
      <c r="N3059" s="10"/>
      <c r="O3059" s="4"/>
      <c r="P3059" s="4"/>
      <c r="Q3059" s="3"/>
      <c r="R3059" s="3"/>
      <c r="S3059" s="3"/>
      <c r="T3059" s="3"/>
    </row>
    <row r="3060" spans="1:20">
      <c r="A3060" s="3">
        <v>5</v>
      </c>
      <c r="B3060" s="3">
        <v>2</v>
      </c>
      <c r="C3060" s="2">
        <v>50</v>
      </c>
      <c r="D3060" s="2">
        <v>5</v>
      </c>
      <c r="E3060" s="2">
        <v>16</v>
      </c>
      <c r="F3060" s="17">
        <v>176</v>
      </c>
      <c r="H3060" s="360">
        <v>0.26286196542490914</v>
      </c>
      <c r="I3060" s="360">
        <v>0.38771909521256537</v>
      </c>
      <c r="K3060" s="363"/>
      <c r="N3060" s="10"/>
      <c r="O3060" s="4"/>
      <c r="P3060" s="4"/>
      <c r="Q3060" s="3"/>
      <c r="R3060" s="3"/>
      <c r="S3060" s="3"/>
      <c r="T3060" s="3"/>
    </row>
    <row r="3061" spans="1:20">
      <c r="A3061" s="3">
        <v>3</v>
      </c>
      <c r="B3061" s="3">
        <v>2</v>
      </c>
      <c r="C3061" s="2">
        <v>25</v>
      </c>
      <c r="D3061" s="2">
        <v>5</v>
      </c>
      <c r="E3061" s="2">
        <v>16</v>
      </c>
      <c r="F3061" s="17">
        <v>176</v>
      </c>
      <c r="H3061" s="360">
        <v>7.9886342883049966E-2</v>
      </c>
      <c r="I3061" s="360">
        <v>0.27879146410382677</v>
      </c>
      <c r="K3061" s="363"/>
      <c r="N3061" s="10"/>
      <c r="O3061" s="4"/>
      <c r="P3061" s="4"/>
      <c r="Q3061" s="3"/>
      <c r="R3061" s="3"/>
      <c r="S3061" s="3"/>
      <c r="T3061" s="3"/>
    </row>
    <row r="3062" spans="1:20">
      <c r="A3062" s="3">
        <v>1</v>
      </c>
      <c r="B3062" s="3">
        <v>2</v>
      </c>
      <c r="C3062" s="2">
        <v>25</v>
      </c>
      <c r="D3062" s="2">
        <v>30</v>
      </c>
      <c r="E3062" s="2">
        <v>16</v>
      </c>
      <c r="F3062" s="17">
        <v>176</v>
      </c>
      <c r="H3062" s="360">
        <v>6.370906987829239E-2</v>
      </c>
      <c r="I3062" s="360">
        <v>0.24439561973801793</v>
      </c>
      <c r="K3062" s="363"/>
      <c r="N3062" s="10"/>
      <c r="O3062" s="4"/>
      <c r="P3062" s="4"/>
      <c r="Q3062" s="3"/>
      <c r="R3062" s="3"/>
      <c r="S3062" s="3"/>
      <c r="T3062" s="3"/>
    </row>
    <row r="3063" spans="1:20">
      <c r="A3063" s="3">
        <v>1</v>
      </c>
      <c r="B3063" s="3">
        <v>1</v>
      </c>
      <c r="C3063" s="2">
        <v>25</v>
      </c>
      <c r="D3063" s="2">
        <v>30</v>
      </c>
      <c r="E3063" s="2">
        <v>16</v>
      </c>
      <c r="F3063" s="17">
        <v>176</v>
      </c>
      <c r="H3063" s="360">
        <v>1.4236079255144363E-2</v>
      </c>
      <c r="I3063" s="360">
        <v>4.8064918851435705E-2</v>
      </c>
      <c r="K3063" s="363"/>
      <c r="N3063" s="10"/>
      <c r="O3063" s="4"/>
      <c r="P3063" s="4"/>
      <c r="Q3063" s="3"/>
      <c r="R3063" s="3"/>
      <c r="S3063" s="3"/>
      <c r="T3063" s="3"/>
    </row>
    <row r="3064" spans="1:20">
      <c r="A3064" s="3">
        <v>1</v>
      </c>
      <c r="B3064" s="3">
        <v>1</v>
      </c>
      <c r="C3064" s="2">
        <v>25</v>
      </c>
      <c r="D3064" s="2">
        <v>5</v>
      </c>
      <c r="E3064" s="2">
        <v>1</v>
      </c>
      <c r="F3064" s="17">
        <v>176</v>
      </c>
      <c r="H3064" s="360">
        <v>0</v>
      </c>
      <c r="I3064" s="360">
        <v>0</v>
      </c>
      <c r="K3064" s="363"/>
      <c r="N3064" s="10"/>
      <c r="O3064" s="4"/>
      <c r="P3064" s="4"/>
      <c r="Q3064" s="3"/>
      <c r="R3064" s="3"/>
      <c r="S3064" s="3"/>
      <c r="T3064" s="3"/>
    </row>
    <row r="3065" spans="1:20">
      <c r="A3065" s="3">
        <v>1</v>
      </c>
      <c r="B3065" s="3">
        <v>1</v>
      </c>
      <c r="C3065" s="2">
        <v>25</v>
      </c>
      <c r="D3065" s="2">
        <v>5</v>
      </c>
      <c r="E3065" s="2">
        <v>16</v>
      </c>
      <c r="F3065" s="17">
        <v>176</v>
      </c>
      <c r="H3065" s="360">
        <v>0</v>
      </c>
      <c r="I3065" s="360">
        <v>0</v>
      </c>
      <c r="K3065" s="363"/>
      <c r="N3065" s="10"/>
      <c r="O3065" s="4"/>
      <c r="P3065" s="4"/>
      <c r="Q3065" s="3"/>
      <c r="R3065" s="3"/>
      <c r="S3065" s="3"/>
      <c r="T3065" s="3"/>
    </row>
    <row r="3066" spans="1:20">
      <c r="A3066" s="3">
        <v>1</v>
      </c>
      <c r="B3066" s="3">
        <v>2</v>
      </c>
      <c r="C3066" s="2">
        <v>25</v>
      </c>
      <c r="D3066" s="2">
        <v>5</v>
      </c>
      <c r="E3066" s="2">
        <v>1</v>
      </c>
      <c r="F3066" s="17">
        <v>176</v>
      </c>
      <c r="H3066" s="360">
        <v>0</v>
      </c>
      <c r="I3066" s="360">
        <v>0</v>
      </c>
      <c r="K3066" s="363"/>
      <c r="N3066" s="10"/>
      <c r="O3066" s="4"/>
      <c r="P3066" s="4"/>
      <c r="Q3066" s="3"/>
      <c r="R3066" s="3"/>
      <c r="S3066" s="3"/>
      <c r="T3066" s="3"/>
    </row>
    <row r="3067" spans="1:20">
      <c r="A3067" s="3">
        <v>2</v>
      </c>
      <c r="B3067" s="3">
        <v>2</v>
      </c>
      <c r="C3067" s="2">
        <v>25</v>
      </c>
      <c r="D3067" s="2">
        <v>5</v>
      </c>
      <c r="E3067" s="2">
        <v>1</v>
      </c>
      <c r="F3067" s="17">
        <v>176</v>
      </c>
      <c r="H3067" s="360">
        <v>0</v>
      </c>
      <c r="I3067" s="360">
        <v>0</v>
      </c>
      <c r="K3067" s="363"/>
      <c r="N3067" s="10"/>
      <c r="O3067" s="4"/>
      <c r="P3067" s="4"/>
      <c r="Q3067" s="3"/>
      <c r="R3067" s="3"/>
      <c r="S3067" s="3"/>
      <c r="T3067" s="3"/>
    </row>
    <row r="3068" spans="1:20">
      <c r="A3068" s="3">
        <v>2</v>
      </c>
      <c r="B3068" s="3">
        <v>2</v>
      </c>
      <c r="C3068" s="2">
        <v>25</v>
      </c>
      <c r="D3068" s="2">
        <v>5</v>
      </c>
      <c r="E3068" s="2">
        <v>16</v>
      </c>
      <c r="F3068" s="17">
        <v>176</v>
      </c>
      <c r="H3068" s="360">
        <v>0</v>
      </c>
      <c r="I3068" s="360">
        <v>0</v>
      </c>
      <c r="K3068" s="363"/>
      <c r="N3068" s="10"/>
      <c r="O3068" s="4"/>
      <c r="P3068" s="4"/>
      <c r="Q3068" s="3"/>
      <c r="R3068" s="3"/>
      <c r="S3068" s="3"/>
      <c r="T3068" s="3"/>
    </row>
    <row r="3069" spans="1:20">
      <c r="A3069" s="3">
        <v>3</v>
      </c>
      <c r="B3069" s="3">
        <v>2</v>
      </c>
      <c r="C3069" s="2">
        <v>25</v>
      </c>
      <c r="D3069" s="2">
        <v>5</v>
      </c>
      <c r="E3069" s="2">
        <v>1</v>
      </c>
      <c r="F3069" s="17">
        <v>176</v>
      </c>
      <c r="H3069" s="360">
        <v>0</v>
      </c>
      <c r="I3069" s="360">
        <v>0</v>
      </c>
      <c r="K3069" s="363"/>
      <c r="N3069" s="10"/>
      <c r="O3069" s="4"/>
      <c r="P3069" s="4"/>
      <c r="Q3069" s="3"/>
      <c r="R3069" s="3"/>
      <c r="S3069" s="3"/>
      <c r="T3069" s="3"/>
    </row>
    <row r="3070" spans="1:20">
      <c r="A3070" s="3">
        <v>2</v>
      </c>
      <c r="B3070" s="3">
        <v>1</v>
      </c>
      <c r="C3070" s="2">
        <v>25</v>
      </c>
      <c r="D3070" s="2">
        <v>5</v>
      </c>
      <c r="E3070" s="2">
        <v>1</v>
      </c>
      <c r="F3070" s="17">
        <v>176</v>
      </c>
      <c r="H3070" s="360">
        <v>0</v>
      </c>
      <c r="I3070" s="360">
        <v>0</v>
      </c>
      <c r="K3070" s="363"/>
      <c r="N3070" s="10"/>
      <c r="O3070" s="4"/>
      <c r="P3070" s="4"/>
      <c r="Q3070" s="3"/>
      <c r="R3070" s="3"/>
      <c r="S3070" s="3"/>
      <c r="T3070" s="3"/>
    </row>
    <row r="3071" spans="1:20">
      <c r="A3071" s="3">
        <v>2</v>
      </c>
      <c r="B3071" s="3">
        <v>1</v>
      </c>
      <c r="C3071" s="2">
        <v>25</v>
      </c>
      <c r="D3071" s="2">
        <v>5</v>
      </c>
      <c r="E3071" s="2">
        <v>16</v>
      </c>
      <c r="F3071" s="17">
        <v>176</v>
      </c>
      <c r="H3071" s="360">
        <v>0</v>
      </c>
      <c r="I3071" s="360">
        <v>0</v>
      </c>
      <c r="K3071" s="363"/>
      <c r="N3071" s="10"/>
      <c r="O3071" s="4"/>
      <c r="P3071" s="4"/>
      <c r="Q3071" s="3"/>
      <c r="R3071" s="3"/>
      <c r="S3071" s="3"/>
      <c r="T3071" s="3"/>
    </row>
    <row r="3072" spans="1:20">
      <c r="A3072" s="3">
        <v>3</v>
      </c>
      <c r="B3072" s="3">
        <v>1</v>
      </c>
      <c r="C3072" s="2">
        <v>25</v>
      </c>
      <c r="D3072" s="2">
        <v>5</v>
      </c>
      <c r="E3072" s="2">
        <v>1</v>
      </c>
      <c r="F3072" s="17">
        <v>176</v>
      </c>
      <c r="H3072" s="360">
        <v>0</v>
      </c>
      <c r="I3072" s="360">
        <v>0</v>
      </c>
      <c r="K3072" s="363"/>
      <c r="N3072" s="10"/>
      <c r="O3072" s="4"/>
      <c r="P3072" s="4"/>
      <c r="Q3072" s="3"/>
      <c r="R3072" s="3"/>
      <c r="S3072" s="3"/>
      <c r="T3072" s="3"/>
    </row>
    <row r="3073" spans="1:20">
      <c r="A3073" s="3">
        <v>5</v>
      </c>
      <c r="B3073" s="3">
        <v>2</v>
      </c>
      <c r="C3073" s="2">
        <v>25</v>
      </c>
      <c r="D3073" s="2">
        <v>5</v>
      </c>
      <c r="E3073" s="2">
        <v>16</v>
      </c>
      <c r="F3073" s="17">
        <v>176</v>
      </c>
      <c r="H3073" s="360">
        <v>1.3245656040497988E-2</v>
      </c>
      <c r="I3073" s="360">
        <v>-7.8095238095238093E-2</v>
      </c>
      <c r="K3073" s="363"/>
      <c r="N3073" s="10"/>
      <c r="O3073" s="4"/>
      <c r="P3073" s="4"/>
      <c r="Q3073" s="3"/>
      <c r="R3073" s="3"/>
      <c r="S3073" s="3"/>
      <c r="T3073" s="3"/>
    </row>
    <row r="3074" spans="1:20">
      <c r="A3074" s="3">
        <v>4</v>
      </c>
      <c r="B3074" s="3">
        <v>2</v>
      </c>
      <c r="C3074" s="2">
        <v>50</v>
      </c>
      <c r="D3074" s="2">
        <v>5</v>
      </c>
      <c r="E3074" s="2">
        <v>16</v>
      </c>
      <c r="F3074" s="17">
        <v>177</v>
      </c>
      <c r="H3074" s="360">
        <v>0.44402460529421761</v>
      </c>
      <c r="I3074" s="360">
        <v>5.9984608214010859E-2</v>
      </c>
      <c r="K3074" s="363"/>
      <c r="N3074" s="10"/>
      <c r="O3074" s="4"/>
      <c r="P3074" s="4"/>
      <c r="Q3074" s="3"/>
      <c r="R3074" s="3"/>
      <c r="S3074" s="3"/>
      <c r="T3074" s="3"/>
    </row>
    <row r="3075" spans="1:20">
      <c r="A3075" s="3">
        <v>5</v>
      </c>
      <c r="B3075" s="3">
        <v>2</v>
      </c>
      <c r="C3075" s="2">
        <v>50</v>
      </c>
      <c r="D3075" s="2">
        <v>5</v>
      </c>
      <c r="E3075" s="2">
        <v>16</v>
      </c>
      <c r="F3075" s="17">
        <v>177</v>
      </c>
      <c r="H3075" s="360">
        <v>0.89940019971233376</v>
      </c>
      <c r="I3075" s="360">
        <v>-0.12803524402462216</v>
      </c>
      <c r="K3075" s="363"/>
      <c r="N3075" s="10"/>
      <c r="O3075" s="4"/>
      <c r="P3075" s="4"/>
      <c r="Q3075" s="3"/>
      <c r="R3075" s="3"/>
      <c r="S3075" s="3"/>
      <c r="T3075" s="3"/>
    </row>
    <row r="3076" spans="1:20">
      <c r="A3076" s="3">
        <v>5</v>
      </c>
      <c r="B3076" s="3">
        <v>2</v>
      </c>
      <c r="C3076" s="2">
        <v>25</v>
      </c>
      <c r="D3076" s="2">
        <v>5</v>
      </c>
      <c r="E3076" s="2">
        <v>16</v>
      </c>
      <c r="F3076" s="17">
        <v>177</v>
      </c>
      <c r="H3076" s="360">
        <v>0.12499923753555087</v>
      </c>
      <c r="I3076" s="360">
        <v>-0.15298668616260486</v>
      </c>
      <c r="K3076" s="363"/>
      <c r="N3076" s="10"/>
      <c r="O3076" s="4"/>
      <c r="P3076" s="4"/>
      <c r="Q3076" s="3"/>
      <c r="R3076" s="3"/>
      <c r="S3076" s="3"/>
      <c r="T3076" s="3"/>
    </row>
    <row r="3077" spans="1:20">
      <c r="A3077" s="3">
        <v>1</v>
      </c>
      <c r="B3077" s="3">
        <v>2</v>
      </c>
      <c r="C3077" s="2">
        <v>25</v>
      </c>
      <c r="D3077" s="2">
        <v>30</v>
      </c>
      <c r="E3077" s="2">
        <v>16</v>
      </c>
      <c r="F3077" s="17">
        <v>177</v>
      </c>
      <c r="H3077" s="360">
        <v>1</v>
      </c>
      <c r="I3077" s="360">
        <v>-0.1732150111607309</v>
      </c>
      <c r="K3077" s="363"/>
      <c r="N3077" s="10"/>
      <c r="O3077" s="4"/>
      <c r="P3077" s="4"/>
      <c r="Q3077" s="3"/>
      <c r="R3077" s="3"/>
      <c r="S3077" s="3"/>
      <c r="T3077" s="3"/>
    </row>
    <row r="3078" spans="1:20">
      <c r="A3078" s="3">
        <v>3</v>
      </c>
      <c r="B3078" s="3">
        <v>2</v>
      </c>
      <c r="C3078" s="2">
        <v>25</v>
      </c>
      <c r="D3078" s="2">
        <v>5</v>
      </c>
      <c r="E3078" s="2">
        <v>16</v>
      </c>
      <c r="F3078" s="17">
        <v>177</v>
      </c>
      <c r="H3078" s="360">
        <v>0.98084986330169943</v>
      </c>
      <c r="I3078" s="360">
        <v>-0.25240624956684504</v>
      </c>
      <c r="K3078" s="363"/>
      <c r="N3078" s="10"/>
      <c r="O3078" s="4"/>
      <c r="P3078" s="4"/>
      <c r="Q3078" s="3"/>
      <c r="R3078" s="3"/>
      <c r="S3078" s="3"/>
      <c r="T3078" s="3"/>
    </row>
    <row r="3079" spans="1:20">
      <c r="A3079" s="3">
        <v>3</v>
      </c>
      <c r="B3079" s="3">
        <v>2</v>
      </c>
      <c r="C3079" s="2">
        <v>25</v>
      </c>
      <c r="D3079" s="2">
        <v>5</v>
      </c>
      <c r="E3079" s="2">
        <v>1</v>
      </c>
      <c r="F3079" s="17">
        <v>177</v>
      </c>
      <c r="H3079" s="360">
        <v>0.48381797563929041</v>
      </c>
      <c r="I3079" s="360">
        <v>-0.34005167981293993</v>
      </c>
      <c r="K3079" s="363"/>
      <c r="N3079" s="10"/>
      <c r="O3079" s="4"/>
      <c r="P3079" s="4"/>
      <c r="Q3079" s="3"/>
      <c r="R3079" s="3"/>
      <c r="S3079" s="3"/>
      <c r="T3079" s="3"/>
    </row>
    <row r="3080" spans="1:20">
      <c r="A3080" s="3">
        <v>1</v>
      </c>
      <c r="B3080" s="3">
        <v>2</v>
      </c>
      <c r="C3080" s="2">
        <v>25</v>
      </c>
      <c r="D3080" s="2">
        <v>5</v>
      </c>
      <c r="E3080" s="2">
        <v>16</v>
      </c>
      <c r="F3080" s="17">
        <v>177</v>
      </c>
      <c r="H3080" s="360">
        <v>0.89836939492579204</v>
      </c>
      <c r="I3080" s="360">
        <v>-0.3504203474946454</v>
      </c>
      <c r="K3080" s="363"/>
      <c r="N3080" s="10"/>
      <c r="O3080" s="4"/>
      <c r="P3080" s="4"/>
      <c r="Q3080" s="3"/>
      <c r="R3080" s="3"/>
      <c r="S3080" s="3"/>
      <c r="T3080" s="3"/>
    </row>
    <row r="3081" spans="1:20">
      <c r="A3081" s="3">
        <v>1</v>
      </c>
      <c r="B3081" s="3">
        <v>2</v>
      </c>
      <c r="C3081" s="2">
        <v>25</v>
      </c>
      <c r="D3081" s="2">
        <v>5</v>
      </c>
      <c r="E3081" s="2">
        <v>16</v>
      </c>
      <c r="F3081" s="17">
        <v>177</v>
      </c>
      <c r="H3081" s="360">
        <v>0.86867616721565144</v>
      </c>
      <c r="I3081" s="360">
        <v>-0.3899944272790542</v>
      </c>
      <c r="K3081" s="363"/>
      <c r="N3081" s="10"/>
      <c r="O3081" s="4"/>
      <c r="P3081" s="4"/>
      <c r="Q3081" s="3"/>
      <c r="R3081" s="3"/>
      <c r="S3081" s="3"/>
      <c r="T3081" s="3"/>
    </row>
    <row r="3082" spans="1:20">
      <c r="A3082" s="3">
        <v>1</v>
      </c>
      <c r="B3082" s="3">
        <v>2</v>
      </c>
      <c r="C3082" s="2">
        <v>25</v>
      </c>
      <c r="D3082" s="2">
        <v>5</v>
      </c>
      <c r="E3082" s="2">
        <v>1</v>
      </c>
      <c r="F3082" s="17">
        <v>177</v>
      </c>
      <c r="H3082" s="360">
        <v>4.0042140217291688E-2</v>
      </c>
      <c r="I3082" s="360">
        <v>-0.46210215271390837</v>
      </c>
      <c r="K3082" s="363"/>
      <c r="N3082" s="10"/>
      <c r="O3082" s="4"/>
      <c r="P3082" s="4"/>
      <c r="Q3082" s="3"/>
      <c r="R3082" s="3"/>
      <c r="S3082" s="3"/>
      <c r="T3082" s="3"/>
    </row>
    <row r="3083" spans="1:20">
      <c r="A3083" s="3">
        <v>3</v>
      </c>
      <c r="B3083" s="3">
        <v>1</v>
      </c>
      <c r="C3083" s="2">
        <v>25</v>
      </c>
      <c r="D3083" s="2">
        <v>5</v>
      </c>
      <c r="E3083" s="2">
        <v>1</v>
      </c>
      <c r="F3083" s="17">
        <v>177</v>
      </c>
      <c r="H3083" s="360">
        <v>0.97280441382518623</v>
      </c>
      <c r="I3083" s="360">
        <v>-0.72685925304411636</v>
      </c>
      <c r="K3083" s="363"/>
      <c r="N3083" s="10"/>
      <c r="O3083" s="4"/>
      <c r="P3083" s="4"/>
      <c r="Q3083" s="3"/>
      <c r="R3083" s="3"/>
      <c r="S3083" s="3"/>
      <c r="T3083" s="3"/>
    </row>
    <row r="3084" spans="1:20">
      <c r="A3084" s="3">
        <v>3</v>
      </c>
      <c r="B3084" s="3">
        <v>1</v>
      </c>
      <c r="C3084" s="2">
        <v>25</v>
      </c>
      <c r="D3084" s="2">
        <v>5</v>
      </c>
      <c r="E3084" s="2">
        <v>16</v>
      </c>
      <c r="F3084" s="17">
        <v>177</v>
      </c>
      <c r="H3084" s="360">
        <v>0.97048121998266956</v>
      </c>
      <c r="I3084" s="360">
        <v>-0.72869701234200546</v>
      </c>
      <c r="K3084" s="363"/>
      <c r="N3084" s="10"/>
      <c r="O3084" s="4"/>
      <c r="P3084" s="4"/>
      <c r="Q3084" s="3"/>
      <c r="R3084" s="3"/>
      <c r="S3084" s="3"/>
      <c r="T3084" s="3"/>
    </row>
    <row r="3085" spans="1:20">
      <c r="A3085" s="3">
        <v>1</v>
      </c>
      <c r="B3085" s="3">
        <v>1</v>
      </c>
      <c r="C3085" s="2">
        <v>25</v>
      </c>
      <c r="D3085" s="2">
        <v>30</v>
      </c>
      <c r="E3085" s="2">
        <v>16</v>
      </c>
      <c r="F3085" s="17">
        <v>177</v>
      </c>
      <c r="H3085" s="360">
        <v>1</v>
      </c>
      <c r="I3085" s="360">
        <v>-0.87923975907291363</v>
      </c>
      <c r="K3085" s="363"/>
      <c r="N3085" s="10"/>
      <c r="O3085" s="4"/>
      <c r="P3085" s="4"/>
      <c r="Q3085" s="3"/>
      <c r="R3085" s="3"/>
      <c r="S3085" s="3"/>
      <c r="T3085" s="3"/>
    </row>
    <row r="3086" spans="1:20">
      <c r="A3086" s="3">
        <v>1</v>
      </c>
      <c r="B3086" s="3">
        <v>1</v>
      </c>
      <c r="C3086" s="2">
        <v>25</v>
      </c>
      <c r="D3086" s="2">
        <v>5</v>
      </c>
      <c r="E3086" s="2">
        <v>1</v>
      </c>
      <c r="F3086" s="17">
        <v>177</v>
      </c>
      <c r="H3086" s="360">
        <v>1</v>
      </c>
      <c r="I3086" s="360">
        <v>-0.88861616432310309</v>
      </c>
      <c r="K3086" s="363"/>
      <c r="N3086" s="10"/>
      <c r="O3086" s="4"/>
      <c r="P3086" s="4"/>
      <c r="Q3086" s="3"/>
      <c r="R3086" s="3"/>
      <c r="S3086" s="3"/>
      <c r="T3086" s="3"/>
    </row>
    <row r="3087" spans="1:20">
      <c r="A3087" s="3">
        <v>1</v>
      </c>
      <c r="B3087" s="3">
        <v>1</v>
      </c>
      <c r="C3087" s="2">
        <v>25</v>
      </c>
      <c r="D3087" s="2">
        <v>5</v>
      </c>
      <c r="E3087" s="2">
        <v>16</v>
      </c>
      <c r="F3087" s="17">
        <v>177</v>
      </c>
      <c r="H3087" s="360">
        <v>1</v>
      </c>
      <c r="I3087" s="360">
        <v>-0.89008244045555196</v>
      </c>
      <c r="K3087" s="363"/>
      <c r="N3087" s="10"/>
      <c r="O3087" s="4"/>
      <c r="P3087" s="4"/>
      <c r="Q3087" s="3"/>
      <c r="R3087" s="3"/>
      <c r="S3087" s="3"/>
      <c r="T3087" s="3"/>
    </row>
    <row r="3088" spans="1:20">
      <c r="A3088" s="3">
        <v>2</v>
      </c>
      <c r="B3088" s="3">
        <v>2</v>
      </c>
      <c r="C3088" s="2">
        <v>25</v>
      </c>
      <c r="D3088" s="2">
        <v>5</v>
      </c>
      <c r="E3088" s="2">
        <v>1</v>
      </c>
      <c r="F3088" s="17">
        <v>177</v>
      </c>
      <c r="H3088" s="360">
        <v>0.97618482573050291</v>
      </c>
      <c r="I3088" s="360">
        <v>-0.89353354831827614</v>
      </c>
      <c r="K3088" s="363"/>
      <c r="N3088" s="10"/>
      <c r="O3088" s="4"/>
      <c r="P3088" s="4"/>
      <c r="Q3088" s="3"/>
      <c r="R3088" s="3"/>
      <c r="S3088" s="3"/>
      <c r="T3088" s="3"/>
    </row>
    <row r="3089" spans="1:20">
      <c r="A3089" s="3">
        <v>2</v>
      </c>
      <c r="B3089" s="3">
        <v>2</v>
      </c>
      <c r="C3089" s="2">
        <v>25</v>
      </c>
      <c r="D3089" s="2">
        <v>5</v>
      </c>
      <c r="E3089" s="2">
        <v>16</v>
      </c>
      <c r="F3089" s="17">
        <v>177</v>
      </c>
      <c r="H3089" s="360">
        <v>1</v>
      </c>
      <c r="I3089" s="360">
        <v>-0.89967522644080011</v>
      </c>
      <c r="K3089" s="363"/>
      <c r="N3089" s="10"/>
      <c r="O3089" s="4"/>
      <c r="P3089" s="4"/>
      <c r="Q3089" s="3"/>
      <c r="R3089" s="3"/>
      <c r="S3089" s="3"/>
      <c r="T3089" s="3"/>
    </row>
    <row r="3090" spans="1:20">
      <c r="A3090" s="3">
        <v>2</v>
      </c>
      <c r="B3090" s="3">
        <v>1</v>
      </c>
      <c r="C3090" s="2">
        <v>25</v>
      </c>
      <c r="D3090" s="2">
        <v>5</v>
      </c>
      <c r="E3090" s="2">
        <v>1</v>
      </c>
      <c r="F3090" s="17">
        <v>177</v>
      </c>
      <c r="H3090" s="360">
        <v>1</v>
      </c>
      <c r="I3090" s="360">
        <v>-0.98812359815047557</v>
      </c>
      <c r="K3090" s="363"/>
      <c r="N3090" s="10"/>
      <c r="O3090" s="4"/>
      <c r="P3090" s="4"/>
      <c r="Q3090" s="3"/>
      <c r="R3090" s="3"/>
      <c r="S3090" s="3"/>
      <c r="T3090" s="3"/>
    </row>
    <row r="3091" spans="1:20">
      <c r="A3091" s="3">
        <v>2</v>
      </c>
      <c r="B3091" s="3">
        <v>1</v>
      </c>
      <c r="C3091" s="2">
        <v>25</v>
      </c>
      <c r="D3091" s="2">
        <v>5</v>
      </c>
      <c r="E3091" s="2">
        <v>16</v>
      </c>
      <c r="F3091" s="17">
        <v>177</v>
      </c>
      <c r="H3091" s="360">
        <v>1</v>
      </c>
      <c r="I3091" s="360">
        <v>-1</v>
      </c>
      <c r="K3091" s="363"/>
      <c r="N3091" s="10"/>
      <c r="O3091" s="4"/>
      <c r="P3091" s="4"/>
      <c r="Q3091" s="3"/>
      <c r="R3091" s="3"/>
      <c r="S3091" s="3"/>
      <c r="T3091" s="3"/>
    </row>
    <row r="3092" spans="1:20">
      <c r="A3092" s="3">
        <v>4</v>
      </c>
      <c r="B3092" s="3">
        <v>2</v>
      </c>
      <c r="C3092" s="2">
        <v>50</v>
      </c>
      <c r="D3092" s="2">
        <v>5</v>
      </c>
      <c r="E3092" s="2">
        <v>16</v>
      </c>
      <c r="F3092" s="17">
        <v>178</v>
      </c>
      <c r="H3092" s="360">
        <v>0.55819406146757122</v>
      </c>
      <c r="I3092" s="360">
        <v>0.1200230490352218</v>
      </c>
      <c r="K3092" s="363"/>
      <c r="N3092" s="10"/>
      <c r="O3092" s="4"/>
      <c r="P3092" s="4"/>
      <c r="Q3092" s="3"/>
      <c r="R3092" s="3"/>
      <c r="S3092" s="3"/>
      <c r="T3092" s="3"/>
    </row>
    <row r="3093" spans="1:20">
      <c r="A3093" s="3">
        <v>5</v>
      </c>
      <c r="B3093" s="3">
        <v>2</v>
      </c>
      <c r="C3093" s="2">
        <v>50</v>
      </c>
      <c r="D3093" s="2">
        <v>5</v>
      </c>
      <c r="E3093" s="2">
        <v>16</v>
      </c>
      <c r="F3093" s="17">
        <v>178</v>
      </c>
      <c r="H3093" s="360">
        <v>0.81178817751627963</v>
      </c>
      <c r="I3093" s="360">
        <v>0.10714497297049065</v>
      </c>
      <c r="K3093" s="363"/>
      <c r="N3093" s="10"/>
      <c r="O3093" s="4"/>
      <c r="P3093" s="4"/>
      <c r="Q3093" s="3"/>
      <c r="R3093" s="3"/>
      <c r="S3093" s="3"/>
      <c r="T3093" s="3"/>
    </row>
    <row r="3094" spans="1:20">
      <c r="A3094" s="3">
        <v>5</v>
      </c>
      <c r="B3094" s="3">
        <v>2</v>
      </c>
      <c r="C3094" s="2">
        <v>25</v>
      </c>
      <c r="D3094" s="2">
        <v>5</v>
      </c>
      <c r="E3094" s="2">
        <v>16</v>
      </c>
      <c r="F3094" s="17">
        <v>178</v>
      </c>
      <c r="H3094" s="360">
        <v>6.5657041940989647E-2</v>
      </c>
      <c r="I3094" s="360">
        <v>2.4493374493857439E-2</v>
      </c>
      <c r="K3094" s="363"/>
      <c r="N3094" s="10"/>
      <c r="O3094" s="4"/>
      <c r="P3094" s="4"/>
      <c r="Q3094" s="3"/>
      <c r="R3094" s="3"/>
      <c r="S3094" s="3"/>
      <c r="T3094" s="3"/>
    </row>
    <row r="3095" spans="1:20">
      <c r="A3095" s="3">
        <v>2</v>
      </c>
      <c r="B3095" s="3">
        <v>1</v>
      </c>
      <c r="C3095" s="2">
        <v>25</v>
      </c>
      <c r="D3095" s="2">
        <v>5</v>
      </c>
      <c r="E3095" s="2">
        <v>16</v>
      </c>
      <c r="F3095" s="17">
        <v>178</v>
      </c>
      <c r="H3095" s="360">
        <v>1</v>
      </c>
      <c r="I3095" s="360">
        <v>-0.10858908486675485</v>
      </c>
      <c r="K3095" s="363"/>
      <c r="N3095" s="10"/>
      <c r="O3095" s="4"/>
      <c r="P3095" s="4"/>
      <c r="Q3095" s="3"/>
      <c r="R3095" s="3"/>
      <c r="S3095" s="3"/>
      <c r="T3095" s="3"/>
    </row>
    <row r="3096" spans="1:20">
      <c r="A3096" s="3">
        <v>2</v>
      </c>
      <c r="B3096" s="3">
        <v>1</v>
      </c>
      <c r="C3096" s="2">
        <v>25</v>
      </c>
      <c r="D3096" s="2">
        <v>5</v>
      </c>
      <c r="E3096" s="2">
        <v>1</v>
      </c>
      <c r="F3096" s="17">
        <v>178</v>
      </c>
      <c r="H3096" s="360">
        <v>1</v>
      </c>
      <c r="I3096" s="360">
        <v>-0.12898610399616742</v>
      </c>
      <c r="K3096" s="363"/>
      <c r="N3096" s="10"/>
      <c r="O3096" s="4"/>
      <c r="P3096" s="4"/>
      <c r="Q3096" s="3"/>
      <c r="R3096" s="3"/>
      <c r="S3096" s="3"/>
      <c r="T3096" s="3"/>
    </row>
    <row r="3097" spans="1:20">
      <c r="A3097" s="3">
        <v>1</v>
      </c>
      <c r="B3097" s="3">
        <v>2</v>
      </c>
      <c r="C3097" s="2">
        <v>25</v>
      </c>
      <c r="D3097" s="2">
        <v>5</v>
      </c>
      <c r="E3097" s="2">
        <v>16</v>
      </c>
      <c r="F3097" s="17">
        <v>178</v>
      </c>
      <c r="H3097" s="360">
        <v>1</v>
      </c>
      <c r="I3097" s="360">
        <v>-0.15857293953312201</v>
      </c>
      <c r="K3097" s="363"/>
      <c r="N3097" s="10"/>
      <c r="O3097" s="4"/>
      <c r="P3097" s="4"/>
      <c r="Q3097" s="3"/>
      <c r="R3097" s="3"/>
      <c r="S3097" s="3"/>
      <c r="T3097" s="3"/>
    </row>
    <row r="3098" spans="1:20">
      <c r="A3098" s="3">
        <v>1</v>
      </c>
      <c r="B3098" s="3">
        <v>2</v>
      </c>
      <c r="C3098" s="2">
        <v>25</v>
      </c>
      <c r="D3098" s="2">
        <v>5</v>
      </c>
      <c r="E3098" s="2">
        <v>16</v>
      </c>
      <c r="F3098" s="17">
        <v>178</v>
      </c>
      <c r="H3098" s="360">
        <v>1</v>
      </c>
      <c r="I3098" s="360">
        <v>-0.17355386910057566</v>
      </c>
      <c r="K3098" s="363"/>
      <c r="N3098" s="10"/>
      <c r="O3098" s="4"/>
      <c r="P3098" s="4"/>
      <c r="Q3098" s="3"/>
      <c r="R3098" s="3"/>
      <c r="S3098" s="3"/>
      <c r="T3098" s="3"/>
    </row>
    <row r="3099" spans="1:20">
      <c r="A3099" s="3">
        <v>1</v>
      </c>
      <c r="B3099" s="3">
        <v>2</v>
      </c>
      <c r="C3099" s="2">
        <v>25</v>
      </c>
      <c r="D3099" s="2">
        <v>30</v>
      </c>
      <c r="E3099" s="2">
        <v>16</v>
      </c>
      <c r="F3099" s="17">
        <v>178</v>
      </c>
      <c r="H3099" s="360">
        <v>1</v>
      </c>
      <c r="I3099" s="360">
        <v>-0.18223721490704275</v>
      </c>
      <c r="K3099" s="363"/>
      <c r="N3099" s="10"/>
      <c r="O3099" s="4"/>
      <c r="P3099" s="4"/>
      <c r="Q3099" s="3"/>
      <c r="R3099" s="3"/>
      <c r="S3099" s="3"/>
      <c r="T3099" s="3"/>
    </row>
    <row r="3100" spans="1:20">
      <c r="A3100" s="3">
        <v>2</v>
      </c>
      <c r="B3100" s="3">
        <v>2</v>
      </c>
      <c r="C3100" s="2">
        <v>25</v>
      </c>
      <c r="D3100" s="2">
        <v>5</v>
      </c>
      <c r="E3100" s="2">
        <v>16</v>
      </c>
      <c r="F3100" s="17">
        <v>178</v>
      </c>
      <c r="H3100" s="360">
        <v>1</v>
      </c>
      <c r="I3100" s="360">
        <v>-0.18718931553161131</v>
      </c>
      <c r="K3100" s="363"/>
      <c r="N3100" s="10"/>
      <c r="O3100" s="4"/>
      <c r="P3100" s="4"/>
      <c r="Q3100" s="3"/>
      <c r="R3100" s="3"/>
      <c r="S3100" s="3"/>
      <c r="T3100" s="3"/>
    </row>
    <row r="3101" spans="1:20">
      <c r="A3101" s="3">
        <v>2</v>
      </c>
      <c r="B3101" s="3">
        <v>2</v>
      </c>
      <c r="C3101" s="2">
        <v>25</v>
      </c>
      <c r="D3101" s="2">
        <v>5</v>
      </c>
      <c r="E3101" s="2">
        <v>1</v>
      </c>
      <c r="F3101" s="17">
        <v>178</v>
      </c>
      <c r="H3101" s="360">
        <v>0.99825859221430535</v>
      </c>
      <c r="I3101" s="360">
        <v>-0.19104403629174282</v>
      </c>
      <c r="K3101" s="363"/>
      <c r="N3101" s="10"/>
      <c r="O3101" s="4"/>
      <c r="P3101" s="4"/>
      <c r="Q3101" s="3"/>
      <c r="R3101" s="3"/>
      <c r="S3101" s="3"/>
      <c r="T3101" s="3"/>
    </row>
    <row r="3102" spans="1:20">
      <c r="A3102" s="3">
        <v>1</v>
      </c>
      <c r="B3102" s="3">
        <v>2</v>
      </c>
      <c r="C3102" s="2">
        <v>25</v>
      </c>
      <c r="D3102" s="2">
        <v>5</v>
      </c>
      <c r="E3102" s="2">
        <v>1</v>
      </c>
      <c r="F3102" s="17">
        <v>178</v>
      </c>
      <c r="H3102" s="360">
        <v>0.59981275021992175</v>
      </c>
      <c r="I3102" s="360">
        <v>-0.19813555699455374</v>
      </c>
      <c r="K3102" s="363"/>
      <c r="N3102" s="10"/>
      <c r="O3102" s="4"/>
      <c r="P3102" s="4"/>
      <c r="Q3102" s="3"/>
      <c r="R3102" s="3"/>
      <c r="S3102" s="3"/>
      <c r="T3102" s="3"/>
    </row>
    <row r="3103" spans="1:20">
      <c r="A3103" s="3">
        <v>3</v>
      </c>
      <c r="B3103" s="3">
        <v>1</v>
      </c>
      <c r="C3103" s="2">
        <v>25</v>
      </c>
      <c r="D3103" s="2">
        <v>5</v>
      </c>
      <c r="E3103" s="2">
        <v>16</v>
      </c>
      <c r="F3103" s="17">
        <v>178</v>
      </c>
      <c r="H3103" s="360">
        <v>0.99023469033465705</v>
      </c>
      <c r="I3103" s="360">
        <v>-0.22156670545686316</v>
      </c>
      <c r="K3103" s="363"/>
      <c r="N3103" s="10"/>
      <c r="O3103" s="4"/>
      <c r="P3103" s="4"/>
      <c r="Q3103" s="3"/>
      <c r="R3103" s="3"/>
      <c r="S3103" s="3"/>
      <c r="T3103" s="3"/>
    </row>
    <row r="3104" spans="1:20">
      <c r="A3104" s="3">
        <v>3</v>
      </c>
      <c r="B3104" s="3">
        <v>1</v>
      </c>
      <c r="C3104" s="2">
        <v>25</v>
      </c>
      <c r="D3104" s="2">
        <v>5</v>
      </c>
      <c r="E3104" s="2">
        <v>1</v>
      </c>
      <c r="F3104" s="17">
        <v>178</v>
      </c>
      <c r="H3104" s="360">
        <v>1</v>
      </c>
      <c r="I3104" s="360">
        <v>-0.23030457646987396</v>
      </c>
      <c r="K3104" s="363"/>
      <c r="N3104" s="10"/>
      <c r="O3104" s="4"/>
      <c r="P3104" s="4"/>
      <c r="Q3104" s="3"/>
      <c r="R3104" s="3"/>
      <c r="S3104" s="3"/>
      <c r="T3104" s="3"/>
    </row>
    <row r="3105" spans="1:20">
      <c r="A3105" s="3">
        <v>3</v>
      </c>
      <c r="B3105" s="3">
        <v>2</v>
      </c>
      <c r="C3105" s="2">
        <v>25</v>
      </c>
      <c r="D3105" s="2">
        <v>5</v>
      </c>
      <c r="E3105" s="2">
        <v>1</v>
      </c>
      <c r="F3105" s="17">
        <v>178</v>
      </c>
      <c r="H3105" s="360">
        <v>0.99119246926676763</v>
      </c>
      <c r="I3105" s="360">
        <v>-0.25439683454108641</v>
      </c>
      <c r="K3105" s="363"/>
      <c r="N3105" s="10"/>
      <c r="O3105" s="4"/>
      <c r="P3105" s="4"/>
      <c r="Q3105" s="3"/>
      <c r="R3105" s="3"/>
      <c r="S3105" s="3"/>
      <c r="T3105" s="3"/>
    </row>
    <row r="3106" spans="1:20">
      <c r="A3106" s="3">
        <v>1</v>
      </c>
      <c r="B3106" s="3">
        <v>1</v>
      </c>
      <c r="C3106" s="2">
        <v>25</v>
      </c>
      <c r="D3106" s="2">
        <v>30</v>
      </c>
      <c r="E3106" s="2">
        <v>16</v>
      </c>
      <c r="F3106" s="17">
        <v>178</v>
      </c>
      <c r="H3106" s="360">
        <v>1</v>
      </c>
      <c r="I3106" s="360">
        <v>-0.26420621065763311</v>
      </c>
      <c r="K3106" s="363"/>
      <c r="N3106" s="10"/>
      <c r="O3106" s="4"/>
      <c r="P3106" s="4"/>
      <c r="Q3106" s="3"/>
      <c r="R3106" s="3"/>
      <c r="S3106" s="3"/>
      <c r="T3106" s="3"/>
    </row>
    <row r="3107" spans="1:20">
      <c r="A3107" s="3">
        <v>3</v>
      </c>
      <c r="B3107" s="3">
        <v>2</v>
      </c>
      <c r="C3107" s="2">
        <v>25</v>
      </c>
      <c r="D3107" s="2">
        <v>5</v>
      </c>
      <c r="E3107" s="2">
        <v>16</v>
      </c>
      <c r="F3107" s="17">
        <v>178</v>
      </c>
      <c r="H3107" s="360">
        <v>1</v>
      </c>
      <c r="I3107" s="360">
        <v>-0.27200853538587139</v>
      </c>
      <c r="K3107" s="363"/>
      <c r="N3107" s="10"/>
      <c r="O3107" s="4"/>
      <c r="P3107" s="4"/>
      <c r="Q3107" s="3"/>
      <c r="R3107" s="3"/>
      <c r="S3107" s="3"/>
      <c r="T3107" s="3"/>
    </row>
    <row r="3108" spans="1:20">
      <c r="A3108" s="3">
        <v>1</v>
      </c>
      <c r="B3108" s="3">
        <v>1</v>
      </c>
      <c r="C3108" s="2">
        <v>25</v>
      </c>
      <c r="D3108" s="2">
        <v>5</v>
      </c>
      <c r="E3108" s="2">
        <v>16</v>
      </c>
      <c r="F3108" s="17">
        <v>178</v>
      </c>
      <c r="H3108" s="360">
        <v>1</v>
      </c>
      <c r="I3108" s="360">
        <v>-0.28793468472233963</v>
      </c>
      <c r="K3108" s="363"/>
      <c r="N3108" s="10"/>
      <c r="O3108" s="4"/>
      <c r="P3108" s="4"/>
      <c r="Q3108" s="3"/>
      <c r="R3108" s="3"/>
      <c r="S3108" s="3"/>
      <c r="T3108" s="3"/>
    </row>
    <row r="3109" spans="1:20">
      <c r="A3109" s="3">
        <v>1</v>
      </c>
      <c r="B3109" s="3">
        <v>1</v>
      </c>
      <c r="C3109" s="2">
        <v>25</v>
      </c>
      <c r="D3109" s="2">
        <v>5</v>
      </c>
      <c r="E3109" s="2">
        <v>1</v>
      </c>
      <c r="F3109" s="17">
        <v>178</v>
      </c>
      <c r="H3109" s="360">
        <v>1</v>
      </c>
      <c r="I3109" s="360">
        <v>-0.29340621514833742</v>
      </c>
      <c r="K3109" s="363"/>
      <c r="N3109" s="10"/>
      <c r="O3109" s="4"/>
      <c r="P3109" s="4"/>
      <c r="Q3109" s="3"/>
      <c r="R3109" s="3"/>
      <c r="S3109" s="3"/>
      <c r="T3109" s="3"/>
    </row>
    <row r="3110" spans="1:20">
      <c r="A3110" s="3">
        <v>2</v>
      </c>
      <c r="B3110" s="3">
        <v>1</v>
      </c>
      <c r="C3110" s="2">
        <v>25</v>
      </c>
      <c r="D3110" s="2">
        <v>5</v>
      </c>
      <c r="E3110" s="2">
        <v>16</v>
      </c>
      <c r="F3110" s="17">
        <v>179</v>
      </c>
      <c r="H3110" s="360">
        <v>3.6036948955688319E-2</v>
      </c>
      <c r="I3110" s="360">
        <v>1</v>
      </c>
      <c r="K3110" s="363"/>
      <c r="N3110" s="10"/>
      <c r="O3110" s="4"/>
      <c r="P3110" s="4"/>
      <c r="Q3110" s="3"/>
      <c r="R3110" s="3"/>
      <c r="S3110" s="3"/>
      <c r="T3110" s="3"/>
    </row>
    <row r="3111" spans="1:20">
      <c r="A3111" s="3">
        <v>1</v>
      </c>
      <c r="B3111" s="3">
        <v>1</v>
      </c>
      <c r="C3111" s="2">
        <v>25</v>
      </c>
      <c r="D3111" s="2">
        <v>5</v>
      </c>
      <c r="E3111" s="2">
        <v>16</v>
      </c>
      <c r="F3111" s="17">
        <v>179</v>
      </c>
      <c r="H3111" s="360">
        <v>0.17292990580412648</v>
      </c>
      <c r="I3111" s="360">
        <v>0.44636566611580658</v>
      </c>
      <c r="K3111" s="363"/>
      <c r="N3111" s="10"/>
      <c r="O3111" s="4"/>
      <c r="P3111" s="4"/>
      <c r="Q3111" s="3"/>
      <c r="R3111" s="3"/>
      <c r="S3111" s="3"/>
      <c r="T3111" s="3"/>
    </row>
    <row r="3112" spans="1:20">
      <c r="A3112" s="3">
        <v>1</v>
      </c>
      <c r="B3112" s="3">
        <v>1</v>
      </c>
      <c r="C3112" s="2">
        <v>25</v>
      </c>
      <c r="D3112" s="2">
        <v>30</v>
      </c>
      <c r="E3112" s="2">
        <v>16</v>
      </c>
      <c r="F3112" s="17">
        <v>179</v>
      </c>
      <c r="H3112" s="360">
        <v>0.48910530008158715</v>
      </c>
      <c r="I3112" s="360">
        <v>0.42898125274875948</v>
      </c>
      <c r="K3112" s="363"/>
      <c r="N3112" s="10"/>
      <c r="O3112" s="4"/>
      <c r="P3112" s="4"/>
      <c r="Q3112" s="3"/>
      <c r="R3112" s="3"/>
      <c r="S3112" s="3"/>
      <c r="T3112" s="3"/>
    </row>
    <row r="3113" spans="1:20">
      <c r="A3113" s="3">
        <v>3</v>
      </c>
      <c r="B3113" s="3">
        <v>1</v>
      </c>
      <c r="C3113" s="2">
        <v>25</v>
      </c>
      <c r="D3113" s="2">
        <v>5</v>
      </c>
      <c r="E3113" s="2">
        <v>16</v>
      </c>
      <c r="F3113" s="17">
        <v>179</v>
      </c>
      <c r="H3113" s="360">
        <v>0.29540286999951804</v>
      </c>
      <c r="I3113" s="360">
        <v>0.34974810882336527</v>
      </c>
      <c r="K3113" s="363"/>
      <c r="N3113" s="10"/>
      <c r="O3113" s="4"/>
      <c r="P3113" s="4"/>
      <c r="Q3113" s="3"/>
      <c r="R3113" s="3"/>
      <c r="S3113" s="3"/>
      <c r="T3113" s="3"/>
    </row>
    <row r="3114" spans="1:20">
      <c r="A3114" s="3">
        <v>3</v>
      </c>
      <c r="B3114" s="3">
        <v>1</v>
      </c>
      <c r="C3114" s="2">
        <v>25</v>
      </c>
      <c r="D3114" s="2">
        <v>5</v>
      </c>
      <c r="E3114" s="2">
        <v>1</v>
      </c>
      <c r="F3114" s="17">
        <v>179</v>
      </c>
      <c r="H3114" s="360">
        <v>3.088086533611456E-2</v>
      </c>
      <c r="I3114" s="360">
        <v>0.28261655222262377</v>
      </c>
      <c r="K3114" s="363"/>
      <c r="N3114" s="10"/>
      <c r="O3114" s="4"/>
      <c r="P3114" s="4"/>
      <c r="Q3114" s="3"/>
      <c r="R3114" s="3"/>
      <c r="S3114" s="3"/>
      <c r="T3114" s="3"/>
    </row>
    <row r="3115" spans="1:20">
      <c r="A3115" s="3">
        <v>3</v>
      </c>
      <c r="B3115" s="3">
        <v>2</v>
      </c>
      <c r="C3115" s="2">
        <v>25</v>
      </c>
      <c r="D3115" s="2">
        <v>5</v>
      </c>
      <c r="E3115" s="2">
        <v>16</v>
      </c>
      <c r="F3115" s="17">
        <v>179</v>
      </c>
      <c r="H3115" s="360">
        <v>0.18658419821816974</v>
      </c>
      <c r="I3115" s="360">
        <v>0.16163056737287365</v>
      </c>
      <c r="K3115" s="363"/>
      <c r="N3115" s="10"/>
      <c r="O3115" s="4"/>
      <c r="P3115" s="4"/>
      <c r="Q3115" s="3"/>
      <c r="R3115" s="3"/>
      <c r="S3115" s="3"/>
      <c r="T3115" s="3"/>
    </row>
    <row r="3116" spans="1:20">
      <c r="A3116" s="3">
        <v>1</v>
      </c>
      <c r="B3116" s="3">
        <v>2</v>
      </c>
      <c r="C3116" s="2">
        <v>25</v>
      </c>
      <c r="D3116" s="2">
        <v>5</v>
      </c>
      <c r="E3116" s="2">
        <v>16</v>
      </c>
      <c r="F3116" s="17">
        <v>179</v>
      </c>
      <c r="H3116" s="360">
        <v>0.16695308389395824</v>
      </c>
      <c r="I3116" s="360">
        <v>0.15850185170737599</v>
      </c>
      <c r="K3116" s="363"/>
      <c r="N3116" s="10"/>
      <c r="O3116" s="4"/>
      <c r="P3116" s="4"/>
      <c r="Q3116" s="3"/>
      <c r="R3116" s="3"/>
      <c r="S3116" s="3"/>
      <c r="T3116" s="3"/>
    </row>
    <row r="3117" spans="1:20">
      <c r="A3117" s="3">
        <v>1</v>
      </c>
      <c r="B3117" s="3">
        <v>2</v>
      </c>
      <c r="C3117" s="2">
        <v>25</v>
      </c>
      <c r="D3117" s="2">
        <v>30</v>
      </c>
      <c r="E3117" s="2">
        <v>16</v>
      </c>
      <c r="F3117" s="17">
        <v>179</v>
      </c>
      <c r="H3117" s="360">
        <v>0.22830888817171258</v>
      </c>
      <c r="I3117" s="360">
        <v>0.15608584547902116</v>
      </c>
      <c r="K3117" s="363"/>
      <c r="N3117" s="10"/>
      <c r="O3117" s="4"/>
      <c r="P3117" s="4"/>
      <c r="Q3117" s="3"/>
      <c r="R3117" s="3"/>
      <c r="S3117" s="3"/>
      <c r="T3117" s="3"/>
    </row>
    <row r="3118" spans="1:20">
      <c r="A3118" s="3">
        <v>1</v>
      </c>
      <c r="B3118" s="3">
        <v>2</v>
      </c>
      <c r="C3118" s="2">
        <v>25</v>
      </c>
      <c r="D3118" s="2">
        <v>5</v>
      </c>
      <c r="E3118" s="2">
        <v>16</v>
      </c>
      <c r="F3118" s="17">
        <v>179</v>
      </c>
      <c r="H3118" s="360">
        <v>0.1761724004667985</v>
      </c>
      <c r="I3118" s="360">
        <v>0.15489565181859924</v>
      </c>
      <c r="K3118" s="363"/>
      <c r="N3118" s="10"/>
      <c r="O3118" s="4"/>
      <c r="P3118" s="4"/>
      <c r="Q3118" s="3"/>
      <c r="R3118" s="3"/>
      <c r="S3118" s="3"/>
      <c r="T3118" s="3"/>
    </row>
    <row r="3119" spans="1:20">
      <c r="A3119" s="3">
        <v>4</v>
      </c>
      <c r="B3119" s="3">
        <v>2</v>
      </c>
      <c r="C3119" s="2">
        <v>50</v>
      </c>
      <c r="D3119" s="2">
        <v>5</v>
      </c>
      <c r="E3119" s="2">
        <v>16</v>
      </c>
      <c r="F3119" s="17">
        <v>179</v>
      </c>
      <c r="H3119" s="360">
        <v>0.3423485777811911</v>
      </c>
      <c r="I3119" s="360">
        <v>6.907015716291498E-2</v>
      </c>
      <c r="K3119" s="363"/>
      <c r="N3119" s="10"/>
      <c r="O3119" s="4"/>
      <c r="P3119" s="4"/>
      <c r="Q3119" s="3"/>
      <c r="R3119" s="3"/>
      <c r="S3119" s="3"/>
      <c r="T3119" s="3"/>
    </row>
    <row r="3120" spans="1:20">
      <c r="A3120" s="3">
        <v>5</v>
      </c>
      <c r="B3120" s="3">
        <v>2</v>
      </c>
      <c r="C3120" s="2">
        <v>50</v>
      </c>
      <c r="D3120" s="2">
        <v>5</v>
      </c>
      <c r="E3120" s="2">
        <v>16</v>
      </c>
      <c r="F3120" s="17">
        <v>179</v>
      </c>
      <c r="H3120" s="360">
        <v>0.89375893189759126</v>
      </c>
      <c r="I3120" s="360">
        <v>6.1198438484706191E-3</v>
      </c>
      <c r="K3120" s="363"/>
      <c r="N3120" s="10"/>
      <c r="O3120" s="4"/>
      <c r="P3120" s="4"/>
      <c r="Q3120" s="3"/>
      <c r="R3120" s="3"/>
      <c r="S3120" s="3"/>
      <c r="T3120" s="3"/>
    </row>
    <row r="3121" spans="1:20">
      <c r="A3121" s="3">
        <v>1</v>
      </c>
      <c r="B3121" s="3">
        <v>1</v>
      </c>
      <c r="C3121" s="2">
        <v>25</v>
      </c>
      <c r="D3121" s="2">
        <v>5</v>
      </c>
      <c r="E3121" s="2">
        <v>1</v>
      </c>
      <c r="F3121" s="17">
        <v>179</v>
      </c>
      <c r="H3121" s="360">
        <v>0</v>
      </c>
      <c r="I3121" s="360">
        <v>0</v>
      </c>
      <c r="K3121" s="363"/>
      <c r="N3121" s="10"/>
      <c r="O3121" s="4"/>
      <c r="P3121" s="4"/>
      <c r="Q3121" s="3"/>
      <c r="R3121" s="3"/>
      <c r="S3121" s="3"/>
      <c r="T3121" s="3"/>
    </row>
    <row r="3122" spans="1:20">
      <c r="A3122" s="3">
        <v>1</v>
      </c>
      <c r="B3122" s="3">
        <v>2</v>
      </c>
      <c r="C3122" s="2">
        <v>25</v>
      </c>
      <c r="D3122" s="2">
        <v>5</v>
      </c>
      <c r="E3122" s="2">
        <v>1</v>
      </c>
      <c r="F3122" s="17">
        <v>179</v>
      </c>
      <c r="H3122" s="360">
        <v>0</v>
      </c>
      <c r="I3122" s="360">
        <v>0</v>
      </c>
      <c r="K3122" s="363"/>
      <c r="N3122" s="10"/>
      <c r="O3122" s="4"/>
      <c r="P3122" s="4"/>
      <c r="Q3122" s="3"/>
      <c r="R3122" s="3"/>
      <c r="S3122" s="3"/>
      <c r="T3122" s="3"/>
    </row>
    <row r="3123" spans="1:20">
      <c r="A3123" s="3">
        <v>2</v>
      </c>
      <c r="B3123" s="3">
        <v>2</v>
      </c>
      <c r="C3123" s="2">
        <v>25</v>
      </c>
      <c r="D3123" s="2">
        <v>5</v>
      </c>
      <c r="E3123" s="2">
        <v>1</v>
      </c>
      <c r="F3123" s="17">
        <v>179</v>
      </c>
      <c r="H3123" s="360">
        <v>0</v>
      </c>
      <c r="I3123" s="360">
        <v>0</v>
      </c>
      <c r="K3123" s="363"/>
      <c r="N3123" s="10"/>
      <c r="O3123" s="4"/>
      <c r="P3123" s="4"/>
      <c r="Q3123" s="3"/>
      <c r="R3123" s="3"/>
      <c r="S3123" s="3"/>
      <c r="T3123" s="3"/>
    </row>
    <row r="3124" spans="1:20">
      <c r="A3124" s="3">
        <v>2</v>
      </c>
      <c r="B3124" s="3">
        <v>2</v>
      </c>
      <c r="C3124" s="2">
        <v>25</v>
      </c>
      <c r="D3124" s="2">
        <v>5</v>
      </c>
      <c r="E3124" s="2">
        <v>16</v>
      </c>
      <c r="F3124" s="17">
        <v>179</v>
      </c>
      <c r="H3124" s="360">
        <v>0</v>
      </c>
      <c r="I3124" s="360">
        <v>0</v>
      </c>
      <c r="K3124" s="363"/>
      <c r="N3124" s="10"/>
      <c r="O3124" s="4"/>
      <c r="P3124" s="4"/>
      <c r="Q3124" s="3"/>
      <c r="R3124" s="3"/>
      <c r="S3124" s="3"/>
      <c r="T3124" s="3"/>
    </row>
    <row r="3125" spans="1:20">
      <c r="A3125" s="3">
        <v>2</v>
      </c>
      <c r="B3125" s="3">
        <v>1</v>
      </c>
      <c r="C3125" s="2">
        <v>25</v>
      </c>
      <c r="D3125" s="2">
        <v>5</v>
      </c>
      <c r="E3125" s="2">
        <v>1</v>
      </c>
      <c r="F3125" s="17">
        <v>179</v>
      </c>
      <c r="H3125" s="360">
        <v>0</v>
      </c>
      <c r="I3125" s="360">
        <v>0</v>
      </c>
      <c r="K3125" s="363"/>
      <c r="N3125" s="10"/>
      <c r="O3125" s="4"/>
      <c r="P3125" s="4"/>
      <c r="Q3125" s="3"/>
      <c r="R3125" s="3"/>
      <c r="S3125" s="3"/>
      <c r="T3125" s="3"/>
    </row>
    <row r="3126" spans="1:20">
      <c r="A3126" s="3">
        <v>5</v>
      </c>
      <c r="B3126" s="3">
        <v>2</v>
      </c>
      <c r="C3126" s="2">
        <v>25</v>
      </c>
      <c r="D3126" s="2">
        <v>5</v>
      </c>
      <c r="E3126" s="2">
        <v>16</v>
      </c>
      <c r="F3126" s="17">
        <v>179</v>
      </c>
      <c r="H3126" s="360">
        <v>0.16596354277789416</v>
      </c>
      <c r="I3126" s="360">
        <v>-1.4166082286326103E-2</v>
      </c>
      <c r="K3126" s="363"/>
      <c r="N3126" s="10"/>
      <c r="O3126" s="4"/>
      <c r="P3126" s="4"/>
      <c r="Q3126" s="3"/>
      <c r="R3126" s="3"/>
      <c r="S3126" s="3"/>
      <c r="T3126" s="3"/>
    </row>
    <row r="3127" spans="1:20">
      <c r="A3127" s="3">
        <v>3</v>
      </c>
      <c r="B3127" s="3">
        <v>2</v>
      </c>
      <c r="C3127" s="2">
        <v>25</v>
      </c>
      <c r="D3127" s="2">
        <v>5</v>
      </c>
      <c r="E3127" s="2">
        <v>1</v>
      </c>
      <c r="F3127" s="17">
        <v>179</v>
      </c>
      <c r="H3127" s="360">
        <v>3.5519666234822833E-2</v>
      </c>
      <c r="I3127" s="360">
        <v>-7.9779396777142977E-2</v>
      </c>
      <c r="K3127" s="363"/>
      <c r="N3127" s="10"/>
      <c r="O3127" s="4"/>
      <c r="P3127" s="4"/>
      <c r="Q3127" s="3"/>
      <c r="R3127" s="3"/>
      <c r="S3127" s="3"/>
      <c r="T3127" s="3"/>
    </row>
    <row r="3128" spans="1:20">
      <c r="A3128" s="3">
        <v>2</v>
      </c>
      <c r="B3128" s="3">
        <v>2</v>
      </c>
      <c r="C3128" s="2">
        <v>25</v>
      </c>
      <c r="D3128" s="2">
        <v>5</v>
      </c>
      <c r="E3128" s="2">
        <v>1</v>
      </c>
      <c r="F3128" s="17">
        <v>180</v>
      </c>
      <c r="H3128" s="360">
        <v>0.99515349886453197</v>
      </c>
      <c r="I3128" s="360">
        <v>0.54118705800061151</v>
      </c>
      <c r="K3128" s="363"/>
      <c r="N3128" s="10"/>
      <c r="O3128" s="4"/>
      <c r="P3128" s="4"/>
      <c r="Q3128" s="3"/>
      <c r="R3128" s="3"/>
      <c r="S3128" s="3"/>
      <c r="T3128" s="3"/>
    </row>
    <row r="3129" spans="1:20">
      <c r="A3129" s="3">
        <v>2</v>
      </c>
      <c r="B3129" s="3">
        <v>2</v>
      </c>
      <c r="C3129" s="2">
        <v>25</v>
      </c>
      <c r="D3129" s="2">
        <v>5</v>
      </c>
      <c r="E3129" s="2">
        <v>16</v>
      </c>
      <c r="F3129" s="17">
        <v>180</v>
      </c>
      <c r="H3129" s="360">
        <v>0.97761357452967734</v>
      </c>
      <c r="I3129" s="360">
        <v>0.54003911605037558</v>
      </c>
      <c r="K3129" s="363"/>
      <c r="N3129" s="10"/>
      <c r="O3129" s="4"/>
      <c r="P3129" s="4"/>
      <c r="Q3129" s="3"/>
      <c r="R3129" s="3"/>
      <c r="S3129" s="3"/>
      <c r="T3129" s="3"/>
    </row>
    <row r="3130" spans="1:20">
      <c r="A3130" s="3">
        <v>2</v>
      </c>
      <c r="B3130" s="3">
        <v>1</v>
      </c>
      <c r="C3130" s="2">
        <v>25</v>
      </c>
      <c r="D3130" s="2">
        <v>5</v>
      </c>
      <c r="E3130" s="2">
        <v>1</v>
      </c>
      <c r="F3130" s="17">
        <v>180</v>
      </c>
      <c r="H3130" s="360">
        <v>1</v>
      </c>
      <c r="I3130" s="360">
        <v>0.51385532100725906</v>
      </c>
      <c r="K3130" s="363"/>
      <c r="N3130" s="10"/>
      <c r="O3130" s="4"/>
      <c r="P3130" s="4"/>
      <c r="Q3130" s="3"/>
      <c r="R3130" s="3"/>
      <c r="S3130" s="3"/>
      <c r="T3130" s="3"/>
    </row>
    <row r="3131" spans="1:20">
      <c r="A3131" s="3">
        <v>2</v>
      </c>
      <c r="B3131" s="3">
        <v>1</v>
      </c>
      <c r="C3131" s="2">
        <v>25</v>
      </c>
      <c r="D3131" s="2">
        <v>5</v>
      </c>
      <c r="E3131" s="2">
        <v>16</v>
      </c>
      <c r="F3131" s="17">
        <v>180</v>
      </c>
      <c r="H3131" s="360">
        <v>1</v>
      </c>
      <c r="I3131" s="360">
        <v>0.48683381054066754</v>
      </c>
      <c r="K3131" s="363"/>
      <c r="N3131" s="10"/>
      <c r="O3131" s="4"/>
      <c r="P3131" s="4"/>
      <c r="Q3131" s="3"/>
      <c r="R3131" s="3"/>
      <c r="S3131" s="3"/>
      <c r="T3131" s="3"/>
    </row>
    <row r="3132" spans="1:20">
      <c r="A3132" s="3">
        <v>1</v>
      </c>
      <c r="B3132" s="3">
        <v>2</v>
      </c>
      <c r="C3132" s="2">
        <v>25</v>
      </c>
      <c r="D3132" s="2">
        <v>5</v>
      </c>
      <c r="E3132" s="2">
        <v>16</v>
      </c>
      <c r="F3132" s="17">
        <v>180</v>
      </c>
      <c r="H3132" s="360">
        <v>1</v>
      </c>
      <c r="I3132" s="360">
        <v>0.40290244083664284</v>
      </c>
      <c r="K3132" s="363"/>
      <c r="N3132" s="10"/>
      <c r="O3132" s="4"/>
      <c r="P3132" s="4"/>
      <c r="Q3132" s="3"/>
      <c r="R3132" s="3"/>
      <c r="S3132" s="3"/>
      <c r="T3132" s="3"/>
    </row>
    <row r="3133" spans="1:20">
      <c r="A3133" s="3">
        <v>1</v>
      </c>
      <c r="B3133" s="3">
        <v>2</v>
      </c>
      <c r="C3133" s="2">
        <v>25</v>
      </c>
      <c r="D3133" s="2">
        <v>5</v>
      </c>
      <c r="E3133" s="2">
        <v>16</v>
      </c>
      <c r="F3133" s="17">
        <v>180</v>
      </c>
      <c r="H3133" s="360">
        <v>1</v>
      </c>
      <c r="I3133" s="360">
        <v>0.38834904141845711</v>
      </c>
      <c r="K3133" s="363"/>
      <c r="N3133" s="10"/>
      <c r="O3133" s="4"/>
      <c r="P3133" s="4"/>
      <c r="Q3133" s="3"/>
      <c r="R3133" s="3"/>
      <c r="S3133" s="3"/>
      <c r="T3133" s="3"/>
    </row>
    <row r="3134" spans="1:20">
      <c r="A3134" s="3">
        <v>1</v>
      </c>
      <c r="B3134" s="3">
        <v>2</v>
      </c>
      <c r="C3134" s="2">
        <v>25</v>
      </c>
      <c r="D3134" s="2">
        <v>5</v>
      </c>
      <c r="E3134" s="2">
        <v>1</v>
      </c>
      <c r="F3134" s="17">
        <v>180</v>
      </c>
      <c r="H3134" s="360">
        <v>0.35550129309306244</v>
      </c>
      <c r="I3134" s="360">
        <v>0.38512710516525733</v>
      </c>
      <c r="K3134" s="363"/>
      <c r="N3134" s="10"/>
      <c r="O3134" s="4"/>
      <c r="P3134" s="4"/>
      <c r="Q3134" s="3"/>
      <c r="R3134" s="3"/>
      <c r="S3134" s="3"/>
      <c r="T3134" s="3"/>
    </row>
    <row r="3135" spans="1:20">
      <c r="A3135" s="3">
        <v>1</v>
      </c>
      <c r="B3135" s="3">
        <v>1</v>
      </c>
      <c r="C3135" s="2">
        <v>25</v>
      </c>
      <c r="D3135" s="2">
        <v>5</v>
      </c>
      <c r="E3135" s="2">
        <v>1</v>
      </c>
      <c r="F3135" s="17">
        <v>180</v>
      </c>
      <c r="H3135" s="360">
        <v>1</v>
      </c>
      <c r="I3135" s="360">
        <v>0.37886250661838555</v>
      </c>
      <c r="K3135" s="363"/>
      <c r="N3135" s="10"/>
      <c r="O3135" s="4"/>
      <c r="P3135" s="4"/>
      <c r="Q3135" s="3"/>
      <c r="R3135" s="3"/>
      <c r="S3135" s="3"/>
      <c r="T3135" s="3"/>
    </row>
    <row r="3136" spans="1:20">
      <c r="A3136" s="3">
        <v>1</v>
      </c>
      <c r="B3136" s="3">
        <v>1</v>
      </c>
      <c r="C3136" s="2">
        <v>25</v>
      </c>
      <c r="D3136" s="2">
        <v>5</v>
      </c>
      <c r="E3136" s="2">
        <v>16</v>
      </c>
      <c r="F3136" s="17">
        <v>180</v>
      </c>
      <c r="H3136" s="360">
        <v>1</v>
      </c>
      <c r="I3136" s="360">
        <v>0.37717889191495235</v>
      </c>
      <c r="K3136" s="363"/>
      <c r="N3136" s="10"/>
      <c r="O3136" s="4"/>
      <c r="P3136" s="4"/>
      <c r="Q3136" s="3"/>
      <c r="R3136" s="3"/>
      <c r="S3136" s="3"/>
      <c r="T3136" s="3"/>
    </row>
    <row r="3137" spans="1:20">
      <c r="A3137" s="3">
        <v>5</v>
      </c>
      <c r="B3137" s="3">
        <v>2</v>
      </c>
      <c r="C3137" s="2">
        <v>50</v>
      </c>
      <c r="D3137" s="2">
        <v>5</v>
      </c>
      <c r="E3137" s="2">
        <v>16</v>
      </c>
      <c r="F3137" s="17">
        <v>180</v>
      </c>
      <c r="H3137" s="360">
        <v>1</v>
      </c>
      <c r="I3137" s="360">
        <v>0.29954840171164449</v>
      </c>
      <c r="K3137" s="363"/>
      <c r="N3137" s="10"/>
      <c r="O3137" s="4"/>
      <c r="P3137" s="4"/>
      <c r="Q3137" s="3"/>
      <c r="R3137" s="3"/>
      <c r="S3137" s="3"/>
      <c r="T3137" s="3"/>
    </row>
    <row r="3138" spans="1:20">
      <c r="A3138" s="3">
        <v>1</v>
      </c>
      <c r="B3138" s="3">
        <v>2</v>
      </c>
      <c r="C3138" s="2">
        <v>25</v>
      </c>
      <c r="D3138" s="2">
        <v>30</v>
      </c>
      <c r="E3138" s="2">
        <v>16</v>
      </c>
      <c r="F3138" s="17">
        <v>180</v>
      </c>
      <c r="H3138" s="360">
        <v>1</v>
      </c>
      <c r="I3138" s="360">
        <v>0.25069122930836579</v>
      </c>
      <c r="K3138" s="363"/>
      <c r="N3138" s="10"/>
      <c r="O3138" s="4"/>
      <c r="P3138" s="4"/>
      <c r="Q3138" s="3"/>
      <c r="R3138" s="3"/>
      <c r="S3138" s="3"/>
      <c r="T3138" s="3"/>
    </row>
    <row r="3139" spans="1:20">
      <c r="A3139" s="3">
        <v>3</v>
      </c>
      <c r="B3139" s="3">
        <v>2</v>
      </c>
      <c r="C3139" s="2">
        <v>25</v>
      </c>
      <c r="D3139" s="2">
        <v>5</v>
      </c>
      <c r="E3139" s="2">
        <v>16</v>
      </c>
      <c r="F3139" s="17">
        <v>180</v>
      </c>
      <c r="H3139" s="360">
        <v>0.98351564422299864</v>
      </c>
      <c r="I3139" s="360">
        <v>0.23216613842507905</v>
      </c>
      <c r="K3139" s="363"/>
      <c r="N3139" s="10"/>
      <c r="O3139" s="4"/>
      <c r="P3139" s="4"/>
      <c r="Q3139" s="3"/>
      <c r="R3139" s="3"/>
      <c r="S3139" s="3"/>
      <c r="T3139" s="3"/>
    </row>
    <row r="3140" spans="1:20">
      <c r="A3140" s="3">
        <v>5</v>
      </c>
      <c r="B3140" s="3">
        <v>2</v>
      </c>
      <c r="C3140" s="2">
        <v>25</v>
      </c>
      <c r="D3140" s="2">
        <v>5</v>
      </c>
      <c r="E3140" s="2">
        <v>16</v>
      </c>
      <c r="F3140" s="17">
        <v>180</v>
      </c>
      <c r="H3140" s="360">
        <v>0.15917935941533445</v>
      </c>
      <c r="I3140" s="360">
        <v>0.22539502262048988</v>
      </c>
      <c r="K3140" s="363"/>
      <c r="N3140" s="10"/>
      <c r="O3140" s="4"/>
      <c r="P3140" s="4"/>
      <c r="Q3140" s="3"/>
      <c r="R3140" s="3"/>
      <c r="S3140" s="3"/>
      <c r="T3140" s="3"/>
    </row>
    <row r="3141" spans="1:20">
      <c r="A3141" s="3">
        <v>3</v>
      </c>
      <c r="B3141" s="3">
        <v>1</v>
      </c>
      <c r="C3141" s="2">
        <v>25</v>
      </c>
      <c r="D3141" s="2">
        <v>5</v>
      </c>
      <c r="E3141" s="2">
        <v>16</v>
      </c>
      <c r="F3141" s="17">
        <v>180</v>
      </c>
      <c r="H3141" s="360">
        <v>0.98831759781416473</v>
      </c>
      <c r="I3141" s="360">
        <v>0.21751543082940417</v>
      </c>
      <c r="K3141" s="363"/>
      <c r="N3141" s="10"/>
      <c r="O3141" s="4"/>
      <c r="P3141" s="4"/>
      <c r="Q3141" s="3"/>
      <c r="R3141" s="3"/>
      <c r="S3141" s="3"/>
      <c r="T3141" s="3"/>
    </row>
    <row r="3142" spans="1:20">
      <c r="A3142" s="3">
        <v>3</v>
      </c>
      <c r="B3142" s="3">
        <v>2</v>
      </c>
      <c r="C3142" s="2">
        <v>25</v>
      </c>
      <c r="D3142" s="2">
        <v>5</v>
      </c>
      <c r="E3142" s="2">
        <v>1</v>
      </c>
      <c r="F3142" s="17">
        <v>180</v>
      </c>
      <c r="H3142" s="360">
        <v>0.98865647021496139</v>
      </c>
      <c r="I3142" s="360">
        <v>0.21298014376294053</v>
      </c>
      <c r="K3142" s="363"/>
      <c r="N3142" s="10"/>
      <c r="O3142" s="4"/>
      <c r="P3142" s="4"/>
      <c r="Q3142" s="3"/>
      <c r="R3142" s="3"/>
      <c r="S3142" s="3"/>
      <c r="T3142" s="3"/>
    </row>
    <row r="3143" spans="1:20">
      <c r="A3143" s="3">
        <v>1</v>
      </c>
      <c r="B3143" s="3">
        <v>1</v>
      </c>
      <c r="C3143" s="2">
        <v>25</v>
      </c>
      <c r="D3143" s="2">
        <v>30</v>
      </c>
      <c r="E3143" s="2">
        <v>16</v>
      </c>
      <c r="F3143" s="17">
        <v>180</v>
      </c>
      <c r="H3143" s="360">
        <v>1</v>
      </c>
      <c r="I3143" s="360">
        <v>0.19522226712997889</v>
      </c>
      <c r="K3143" s="363"/>
      <c r="N3143" s="10"/>
      <c r="O3143" s="4"/>
      <c r="P3143" s="4"/>
      <c r="Q3143" s="3"/>
      <c r="R3143" s="3"/>
      <c r="S3143" s="3"/>
      <c r="T3143" s="3"/>
    </row>
    <row r="3144" spans="1:20">
      <c r="A3144" s="3">
        <v>3</v>
      </c>
      <c r="B3144" s="3">
        <v>1</v>
      </c>
      <c r="C3144" s="2">
        <v>25</v>
      </c>
      <c r="D3144" s="2">
        <v>5</v>
      </c>
      <c r="E3144" s="2">
        <v>1</v>
      </c>
      <c r="F3144" s="17">
        <v>180</v>
      </c>
      <c r="H3144" s="360">
        <v>0.51931062402552508</v>
      </c>
      <c r="I3144" s="360">
        <v>0.17858392694177885</v>
      </c>
      <c r="K3144" s="363"/>
      <c r="N3144" s="10"/>
      <c r="O3144" s="4"/>
      <c r="P3144" s="4"/>
      <c r="Q3144" s="3"/>
      <c r="R3144" s="3"/>
      <c r="S3144" s="3"/>
      <c r="T3144" s="3"/>
    </row>
    <row r="3145" spans="1:20">
      <c r="A3145" s="3">
        <v>4</v>
      </c>
      <c r="B3145" s="3">
        <v>2</v>
      </c>
      <c r="C3145" s="2">
        <v>50</v>
      </c>
      <c r="D3145" s="2">
        <v>5</v>
      </c>
      <c r="E3145" s="2">
        <v>16</v>
      </c>
      <c r="F3145" s="17">
        <v>180</v>
      </c>
      <c r="H3145" s="360">
        <v>0.26775140057311742</v>
      </c>
      <c r="I3145" s="360">
        <v>6.8681064046714244E-2</v>
      </c>
      <c r="K3145" s="363"/>
      <c r="N3145" s="10"/>
      <c r="O3145" s="4"/>
      <c r="P3145" s="4"/>
      <c r="Q3145" s="3"/>
      <c r="R3145" s="3"/>
      <c r="S3145" s="3"/>
      <c r="T3145" s="3"/>
    </row>
    <row r="3146" spans="1:20">
      <c r="A3146" s="3">
        <v>2</v>
      </c>
      <c r="B3146" s="3">
        <v>2</v>
      </c>
      <c r="C3146" s="2">
        <v>25</v>
      </c>
      <c r="D3146" s="2">
        <v>5</v>
      </c>
      <c r="E3146" s="2">
        <v>16</v>
      </c>
      <c r="F3146" s="17">
        <v>181</v>
      </c>
      <c r="H3146" s="360">
        <v>1</v>
      </c>
      <c r="I3146" s="360">
        <v>0.6430874756382754</v>
      </c>
      <c r="K3146" s="363"/>
      <c r="N3146" s="10"/>
      <c r="O3146" s="4"/>
      <c r="P3146" s="4"/>
      <c r="Q3146" s="3"/>
      <c r="R3146" s="3"/>
      <c r="S3146" s="3"/>
      <c r="T3146" s="3"/>
    </row>
    <row r="3147" spans="1:20">
      <c r="A3147" s="3">
        <v>2</v>
      </c>
      <c r="B3147" s="3">
        <v>2</v>
      </c>
      <c r="C3147" s="2">
        <v>25</v>
      </c>
      <c r="D3147" s="2">
        <v>5</v>
      </c>
      <c r="E3147" s="2">
        <v>1</v>
      </c>
      <c r="F3147" s="17">
        <v>181</v>
      </c>
      <c r="H3147" s="360">
        <v>0.99444700088917759</v>
      </c>
      <c r="I3147" s="360">
        <v>0.62914700111509569</v>
      </c>
      <c r="K3147" s="363"/>
      <c r="N3147" s="10"/>
      <c r="O3147" s="4"/>
      <c r="P3147" s="4"/>
      <c r="Q3147" s="3"/>
      <c r="R3147" s="3"/>
      <c r="S3147" s="3"/>
      <c r="T3147" s="3"/>
    </row>
    <row r="3148" spans="1:20">
      <c r="A3148" s="3">
        <v>1</v>
      </c>
      <c r="B3148" s="3">
        <v>2</v>
      </c>
      <c r="C3148" s="2">
        <v>25</v>
      </c>
      <c r="D3148" s="2">
        <v>5</v>
      </c>
      <c r="E3148" s="2">
        <v>16</v>
      </c>
      <c r="F3148" s="17">
        <v>181</v>
      </c>
      <c r="H3148" s="360">
        <v>1</v>
      </c>
      <c r="I3148" s="360">
        <v>0.59086367309159438</v>
      </c>
      <c r="K3148" s="363"/>
      <c r="N3148" s="10"/>
      <c r="O3148" s="4"/>
      <c r="P3148" s="4"/>
      <c r="Q3148" s="3"/>
      <c r="R3148" s="3"/>
      <c r="S3148" s="3"/>
      <c r="T3148" s="3"/>
    </row>
    <row r="3149" spans="1:20">
      <c r="A3149" s="3">
        <v>1</v>
      </c>
      <c r="B3149" s="3">
        <v>2</v>
      </c>
      <c r="C3149" s="2">
        <v>25</v>
      </c>
      <c r="D3149" s="2">
        <v>5</v>
      </c>
      <c r="E3149" s="2">
        <v>16</v>
      </c>
      <c r="F3149" s="17">
        <v>181</v>
      </c>
      <c r="H3149" s="360">
        <v>1</v>
      </c>
      <c r="I3149" s="360">
        <v>0.58277429972489658</v>
      </c>
      <c r="K3149" s="363"/>
      <c r="N3149" s="10"/>
      <c r="O3149" s="4"/>
      <c r="P3149" s="4"/>
      <c r="Q3149" s="3"/>
      <c r="R3149" s="3"/>
      <c r="S3149" s="3"/>
      <c r="T3149" s="3"/>
    </row>
    <row r="3150" spans="1:20">
      <c r="A3150" s="3">
        <v>1</v>
      </c>
      <c r="B3150" s="3">
        <v>2</v>
      </c>
      <c r="C3150" s="2">
        <v>25</v>
      </c>
      <c r="D3150" s="2">
        <v>5</v>
      </c>
      <c r="E3150" s="2">
        <v>1</v>
      </c>
      <c r="F3150" s="17">
        <v>181</v>
      </c>
      <c r="H3150" s="360">
        <v>0.93930657793889971</v>
      </c>
      <c r="I3150" s="360">
        <v>0.57787829833547422</v>
      </c>
      <c r="K3150" s="363"/>
      <c r="N3150" s="10"/>
      <c r="O3150" s="4"/>
      <c r="P3150" s="4"/>
      <c r="Q3150" s="3"/>
      <c r="R3150" s="3"/>
      <c r="S3150" s="3"/>
      <c r="T3150" s="3"/>
    </row>
    <row r="3151" spans="1:20">
      <c r="A3151" s="3">
        <v>1</v>
      </c>
      <c r="B3151" s="3">
        <v>2</v>
      </c>
      <c r="C3151" s="2">
        <v>25</v>
      </c>
      <c r="D3151" s="2">
        <v>30</v>
      </c>
      <c r="E3151" s="2">
        <v>16</v>
      </c>
      <c r="F3151" s="17">
        <v>181</v>
      </c>
      <c r="H3151" s="360">
        <v>1</v>
      </c>
      <c r="I3151" s="360">
        <v>0.36687142230198444</v>
      </c>
      <c r="K3151" s="363"/>
      <c r="N3151" s="10"/>
      <c r="O3151" s="4"/>
      <c r="P3151" s="4"/>
      <c r="Q3151" s="3"/>
      <c r="R3151" s="3"/>
      <c r="S3151" s="3"/>
      <c r="T3151" s="3"/>
    </row>
    <row r="3152" spans="1:20">
      <c r="A3152" s="3">
        <v>2</v>
      </c>
      <c r="B3152" s="3">
        <v>1</v>
      </c>
      <c r="C3152" s="2">
        <v>25</v>
      </c>
      <c r="D3152" s="2">
        <v>5</v>
      </c>
      <c r="E3152" s="2">
        <v>1</v>
      </c>
      <c r="F3152" s="17">
        <v>181</v>
      </c>
      <c r="H3152" s="360">
        <v>1</v>
      </c>
      <c r="I3152" s="360">
        <v>0.34515529190451799</v>
      </c>
      <c r="K3152" s="363"/>
      <c r="N3152" s="10"/>
      <c r="O3152" s="4"/>
      <c r="P3152" s="4"/>
      <c r="Q3152" s="3"/>
      <c r="R3152" s="3"/>
      <c r="S3152" s="3"/>
      <c r="T3152" s="3"/>
    </row>
    <row r="3153" spans="1:20">
      <c r="A3153" s="3">
        <v>2</v>
      </c>
      <c r="B3153" s="3">
        <v>1</v>
      </c>
      <c r="C3153" s="2">
        <v>25</v>
      </c>
      <c r="D3153" s="2">
        <v>5</v>
      </c>
      <c r="E3153" s="2">
        <v>16</v>
      </c>
      <c r="F3153" s="17">
        <v>181</v>
      </c>
      <c r="H3153" s="360">
        <v>1</v>
      </c>
      <c r="I3153" s="360">
        <v>0.34257705183580855</v>
      </c>
      <c r="K3153" s="363"/>
      <c r="N3153" s="10"/>
      <c r="O3153" s="4"/>
      <c r="P3153" s="4"/>
      <c r="Q3153" s="3"/>
      <c r="R3153" s="3"/>
      <c r="S3153" s="3"/>
      <c r="T3153" s="3"/>
    </row>
    <row r="3154" spans="1:20">
      <c r="A3154" s="3">
        <v>1</v>
      </c>
      <c r="B3154" s="3">
        <v>1</v>
      </c>
      <c r="C3154" s="2">
        <v>25</v>
      </c>
      <c r="D3154" s="2">
        <v>5</v>
      </c>
      <c r="E3154" s="2">
        <v>16</v>
      </c>
      <c r="F3154" s="17">
        <v>181</v>
      </c>
      <c r="H3154" s="360">
        <v>1</v>
      </c>
      <c r="I3154" s="360">
        <v>0.23452336880816499</v>
      </c>
      <c r="K3154" s="363"/>
      <c r="N3154" s="10"/>
      <c r="O3154" s="4"/>
      <c r="P3154" s="4"/>
      <c r="Q3154" s="3"/>
      <c r="R3154" s="3"/>
      <c r="S3154" s="3"/>
      <c r="T3154" s="3"/>
    </row>
    <row r="3155" spans="1:20">
      <c r="A3155" s="3">
        <v>1</v>
      </c>
      <c r="B3155" s="3">
        <v>1</v>
      </c>
      <c r="C3155" s="2">
        <v>25</v>
      </c>
      <c r="D3155" s="2">
        <v>30</v>
      </c>
      <c r="E3155" s="2">
        <v>16</v>
      </c>
      <c r="F3155" s="17">
        <v>181</v>
      </c>
      <c r="H3155" s="360">
        <v>1</v>
      </c>
      <c r="I3155" s="360">
        <v>0.2322519317975256</v>
      </c>
      <c r="K3155" s="363"/>
      <c r="N3155" s="10"/>
      <c r="O3155" s="4"/>
      <c r="P3155" s="4"/>
      <c r="Q3155" s="3"/>
      <c r="R3155" s="3"/>
      <c r="S3155" s="3"/>
      <c r="T3155" s="3"/>
    </row>
    <row r="3156" spans="1:20">
      <c r="A3156" s="3">
        <v>1</v>
      </c>
      <c r="B3156" s="3">
        <v>1</v>
      </c>
      <c r="C3156" s="2">
        <v>25</v>
      </c>
      <c r="D3156" s="2">
        <v>5</v>
      </c>
      <c r="E3156" s="2">
        <v>1</v>
      </c>
      <c r="F3156" s="17">
        <v>181</v>
      </c>
      <c r="H3156" s="360">
        <v>1</v>
      </c>
      <c r="I3156" s="360">
        <v>0.22654830293753389</v>
      </c>
      <c r="K3156" s="363"/>
      <c r="N3156" s="10"/>
      <c r="O3156" s="4"/>
      <c r="P3156" s="4"/>
      <c r="Q3156" s="3"/>
      <c r="R3156" s="3"/>
      <c r="S3156" s="3"/>
      <c r="T3156" s="3"/>
    </row>
    <row r="3157" spans="1:20">
      <c r="A3157" s="3">
        <v>3</v>
      </c>
      <c r="B3157" s="3">
        <v>2</v>
      </c>
      <c r="C3157" s="2">
        <v>25</v>
      </c>
      <c r="D3157" s="2">
        <v>5</v>
      </c>
      <c r="E3157" s="2">
        <v>1</v>
      </c>
      <c r="F3157" s="17">
        <v>181</v>
      </c>
      <c r="H3157" s="360">
        <v>1</v>
      </c>
      <c r="I3157" s="360">
        <v>0.15788069840327476</v>
      </c>
      <c r="K3157" s="363"/>
      <c r="N3157" s="10"/>
      <c r="O3157" s="4"/>
      <c r="P3157" s="4"/>
      <c r="Q3157" s="3"/>
      <c r="R3157" s="3"/>
      <c r="S3157" s="3"/>
      <c r="T3157" s="3"/>
    </row>
    <row r="3158" spans="1:20">
      <c r="A3158" s="3">
        <v>3</v>
      </c>
      <c r="B3158" s="3">
        <v>2</v>
      </c>
      <c r="C3158" s="2">
        <v>25</v>
      </c>
      <c r="D3158" s="2">
        <v>5</v>
      </c>
      <c r="E3158" s="2">
        <v>16</v>
      </c>
      <c r="F3158" s="17">
        <v>181</v>
      </c>
      <c r="H3158" s="360">
        <v>1</v>
      </c>
      <c r="I3158" s="360">
        <v>0.13005280360998261</v>
      </c>
      <c r="K3158" s="363"/>
      <c r="N3158" s="10"/>
      <c r="O3158" s="4"/>
      <c r="P3158" s="4"/>
      <c r="Q3158" s="3"/>
      <c r="R3158" s="3"/>
      <c r="S3158" s="3"/>
      <c r="T3158" s="3"/>
    </row>
    <row r="3159" spans="1:20">
      <c r="A3159" s="3">
        <v>4</v>
      </c>
      <c r="B3159" s="3">
        <v>2</v>
      </c>
      <c r="C3159" s="2">
        <v>50</v>
      </c>
      <c r="D3159" s="2">
        <v>5</v>
      </c>
      <c r="E3159" s="2">
        <v>16</v>
      </c>
      <c r="F3159" s="17">
        <v>181</v>
      </c>
      <c r="H3159" s="360">
        <v>0.44272520334139043</v>
      </c>
      <c r="I3159" s="360">
        <v>7.4602747104767039E-2</v>
      </c>
      <c r="K3159" s="363"/>
      <c r="N3159" s="10"/>
      <c r="O3159" s="4"/>
      <c r="P3159" s="4"/>
      <c r="Q3159" s="3"/>
      <c r="R3159" s="3"/>
      <c r="S3159" s="3"/>
      <c r="T3159" s="3"/>
    </row>
    <row r="3160" spans="1:20">
      <c r="A3160" s="3">
        <v>5</v>
      </c>
      <c r="B3160" s="3">
        <v>2</v>
      </c>
      <c r="C3160" s="2">
        <v>25</v>
      </c>
      <c r="D3160" s="2">
        <v>5</v>
      </c>
      <c r="E3160" s="2">
        <v>16</v>
      </c>
      <c r="F3160" s="17">
        <v>181</v>
      </c>
      <c r="H3160" s="360">
        <v>0.11113865462142525</v>
      </c>
      <c r="I3160" s="360">
        <v>-0.10085341181063079</v>
      </c>
      <c r="K3160" s="363"/>
      <c r="N3160" s="10"/>
      <c r="O3160" s="4"/>
      <c r="P3160" s="4"/>
      <c r="Q3160" s="3"/>
      <c r="R3160" s="3"/>
      <c r="S3160" s="3"/>
      <c r="T3160" s="3"/>
    </row>
    <row r="3161" spans="1:20">
      <c r="A3161" s="3">
        <v>5</v>
      </c>
      <c r="B3161" s="3">
        <v>2</v>
      </c>
      <c r="C3161" s="2">
        <v>50</v>
      </c>
      <c r="D3161" s="2">
        <v>5</v>
      </c>
      <c r="E3161" s="2">
        <v>16</v>
      </c>
      <c r="F3161" s="17">
        <v>181</v>
      </c>
      <c r="H3161" s="360">
        <v>0.73883451994361127</v>
      </c>
      <c r="I3161" s="360">
        <v>-0.11453864215633948</v>
      </c>
      <c r="K3161" s="363"/>
      <c r="N3161" s="10"/>
      <c r="O3161" s="4"/>
      <c r="P3161" s="4"/>
      <c r="Q3161" s="3"/>
      <c r="R3161" s="3"/>
      <c r="S3161" s="3"/>
      <c r="T3161" s="3"/>
    </row>
    <row r="3162" spans="1:20">
      <c r="A3162" s="3">
        <v>3</v>
      </c>
      <c r="B3162" s="3">
        <v>1</v>
      </c>
      <c r="C3162" s="2">
        <v>25</v>
      </c>
      <c r="D3162" s="2">
        <v>5</v>
      </c>
      <c r="E3162" s="2">
        <v>16</v>
      </c>
      <c r="F3162" s="17">
        <v>181</v>
      </c>
      <c r="H3162" s="360">
        <v>0.99293510890750836</v>
      </c>
      <c r="I3162" s="360">
        <v>-0.32040379968114246</v>
      </c>
      <c r="K3162" s="363"/>
      <c r="N3162" s="10"/>
      <c r="O3162" s="4"/>
      <c r="P3162" s="4"/>
      <c r="Q3162" s="3"/>
      <c r="R3162" s="3"/>
      <c r="S3162" s="3"/>
      <c r="T3162" s="3"/>
    </row>
    <row r="3163" spans="1:20">
      <c r="A3163" s="3">
        <v>3</v>
      </c>
      <c r="B3163" s="3">
        <v>1</v>
      </c>
      <c r="C3163" s="2">
        <v>25</v>
      </c>
      <c r="D3163" s="2">
        <v>5</v>
      </c>
      <c r="E3163" s="2">
        <v>1</v>
      </c>
      <c r="F3163" s="17">
        <v>181</v>
      </c>
      <c r="H3163" s="360">
        <v>0.4003088044137969</v>
      </c>
      <c r="I3163" s="360">
        <v>-0.33210111106521834</v>
      </c>
      <c r="K3163" s="363"/>
      <c r="N3163" s="10"/>
      <c r="O3163" s="4"/>
      <c r="P3163" s="4"/>
      <c r="Q3163" s="3"/>
      <c r="R3163" s="3"/>
      <c r="S3163" s="3"/>
      <c r="T3163" s="3"/>
    </row>
    <row r="3164" spans="1:20">
      <c r="A3164" s="3">
        <v>2</v>
      </c>
      <c r="B3164" s="3">
        <v>1</v>
      </c>
      <c r="C3164" s="2">
        <v>25</v>
      </c>
      <c r="D3164" s="2">
        <v>5</v>
      </c>
      <c r="E3164" s="2">
        <v>16</v>
      </c>
      <c r="F3164" s="17">
        <v>182</v>
      </c>
      <c r="H3164" s="360">
        <v>1</v>
      </c>
      <c r="I3164" s="360">
        <v>0.68248484014441024</v>
      </c>
      <c r="K3164" s="363"/>
      <c r="N3164" s="10"/>
      <c r="O3164" s="4"/>
      <c r="P3164" s="4"/>
      <c r="Q3164" s="3"/>
      <c r="R3164" s="3"/>
      <c r="S3164" s="3"/>
      <c r="T3164" s="3"/>
    </row>
    <row r="3165" spans="1:20">
      <c r="A3165" s="3">
        <v>2</v>
      </c>
      <c r="B3165" s="3">
        <v>1</v>
      </c>
      <c r="C3165" s="2">
        <v>25</v>
      </c>
      <c r="D3165" s="2">
        <v>5</v>
      </c>
      <c r="E3165" s="2">
        <v>1</v>
      </c>
      <c r="F3165" s="17">
        <v>182</v>
      </c>
      <c r="H3165" s="360">
        <v>1</v>
      </c>
      <c r="I3165" s="360">
        <v>0.67264101629161466</v>
      </c>
      <c r="K3165" s="363"/>
      <c r="N3165" s="10"/>
      <c r="O3165" s="4"/>
      <c r="P3165" s="4"/>
      <c r="Q3165" s="3"/>
      <c r="R3165" s="3"/>
      <c r="S3165" s="3"/>
      <c r="T3165" s="3"/>
    </row>
    <row r="3166" spans="1:20">
      <c r="A3166" s="3">
        <v>4</v>
      </c>
      <c r="B3166" s="3">
        <v>2</v>
      </c>
      <c r="C3166" s="2">
        <v>50</v>
      </c>
      <c r="D3166" s="2">
        <v>5</v>
      </c>
      <c r="E3166" s="2">
        <v>16</v>
      </c>
      <c r="F3166" s="17">
        <v>182</v>
      </c>
      <c r="H3166" s="360">
        <v>0.84184278913090393</v>
      </c>
      <c r="I3166" s="360">
        <v>0.55090969207991891</v>
      </c>
      <c r="K3166" s="363"/>
      <c r="N3166" s="10"/>
      <c r="O3166" s="4"/>
      <c r="P3166" s="4"/>
      <c r="Q3166" s="3"/>
      <c r="R3166" s="3"/>
      <c r="S3166" s="3"/>
      <c r="T3166" s="3"/>
    </row>
    <row r="3167" spans="1:20">
      <c r="A3167" s="3">
        <v>2</v>
      </c>
      <c r="B3167" s="3">
        <v>2</v>
      </c>
      <c r="C3167" s="2">
        <v>25</v>
      </c>
      <c r="D3167" s="2">
        <v>5</v>
      </c>
      <c r="E3167" s="2">
        <v>16</v>
      </c>
      <c r="F3167" s="17">
        <v>182</v>
      </c>
      <c r="H3167" s="360">
        <v>1</v>
      </c>
      <c r="I3167" s="360">
        <v>0.48733128064740322</v>
      </c>
      <c r="K3167" s="363"/>
      <c r="N3167" s="10"/>
      <c r="O3167" s="4"/>
      <c r="P3167" s="4"/>
      <c r="Q3167" s="3"/>
      <c r="R3167" s="3"/>
      <c r="S3167" s="3"/>
      <c r="T3167" s="3"/>
    </row>
    <row r="3168" spans="1:20">
      <c r="A3168" s="3">
        <v>2</v>
      </c>
      <c r="B3168" s="3">
        <v>2</v>
      </c>
      <c r="C3168" s="2">
        <v>25</v>
      </c>
      <c r="D3168" s="2">
        <v>5</v>
      </c>
      <c r="E3168" s="2">
        <v>1</v>
      </c>
      <c r="F3168" s="17">
        <v>182</v>
      </c>
      <c r="H3168" s="360">
        <v>0.99539453008167433</v>
      </c>
      <c r="I3168" s="360">
        <v>0.47824167413823909</v>
      </c>
      <c r="K3168" s="363"/>
      <c r="N3168" s="10"/>
      <c r="O3168" s="4"/>
      <c r="P3168" s="4"/>
      <c r="Q3168" s="3"/>
      <c r="R3168" s="3"/>
      <c r="S3168" s="3"/>
      <c r="T3168" s="3"/>
    </row>
    <row r="3169" spans="1:20">
      <c r="A3169" s="3">
        <v>1</v>
      </c>
      <c r="B3169" s="3">
        <v>1</v>
      </c>
      <c r="C3169" s="2">
        <v>25</v>
      </c>
      <c r="D3169" s="2">
        <v>5</v>
      </c>
      <c r="E3169" s="2">
        <v>1</v>
      </c>
      <c r="F3169" s="17">
        <v>182</v>
      </c>
      <c r="H3169" s="360">
        <v>0.27082254663208749</v>
      </c>
      <c r="I3169" s="360">
        <v>0.45498441333826606</v>
      </c>
      <c r="K3169" s="363"/>
      <c r="N3169" s="10"/>
      <c r="O3169" s="4"/>
      <c r="P3169" s="4"/>
      <c r="Q3169" s="3"/>
      <c r="R3169" s="3"/>
      <c r="S3169" s="3"/>
      <c r="T3169" s="3"/>
    </row>
    <row r="3170" spans="1:20">
      <c r="A3170" s="3">
        <v>1</v>
      </c>
      <c r="B3170" s="3">
        <v>1</v>
      </c>
      <c r="C3170" s="2">
        <v>25</v>
      </c>
      <c r="D3170" s="2">
        <v>5</v>
      </c>
      <c r="E3170" s="2">
        <v>16</v>
      </c>
      <c r="F3170" s="17">
        <v>182</v>
      </c>
      <c r="H3170" s="360">
        <v>1</v>
      </c>
      <c r="I3170" s="360">
        <v>0.43992487347757742</v>
      </c>
      <c r="K3170" s="363"/>
      <c r="N3170" s="10"/>
      <c r="O3170" s="4"/>
      <c r="P3170" s="4"/>
      <c r="Q3170" s="3"/>
      <c r="R3170" s="3"/>
      <c r="S3170" s="3"/>
      <c r="T3170" s="3"/>
    </row>
    <row r="3171" spans="1:20">
      <c r="A3171" s="3">
        <v>1</v>
      </c>
      <c r="B3171" s="3">
        <v>1</v>
      </c>
      <c r="C3171" s="2">
        <v>25</v>
      </c>
      <c r="D3171" s="2">
        <v>30</v>
      </c>
      <c r="E3171" s="2">
        <v>16</v>
      </c>
      <c r="F3171" s="17">
        <v>182</v>
      </c>
      <c r="H3171" s="360">
        <v>1</v>
      </c>
      <c r="I3171" s="360">
        <v>0.41712433850172226</v>
      </c>
      <c r="K3171" s="363"/>
      <c r="N3171" s="10"/>
      <c r="O3171" s="4"/>
      <c r="P3171" s="4"/>
      <c r="Q3171" s="3"/>
      <c r="R3171" s="3"/>
      <c r="S3171" s="3"/>
      <c r="T3171" s="3"/>
    </row>
    <row r="3172" spans="1:20">
      <c r="A3172" s="3">
        <v>3</v>
      </c>
      <c r="B3172" s="3">
        <v>1</v>
      </c>
      <c r="C3172" s="2">
        <v>25</v>
      </c>
      <c r="D3172" s="2">
        <v>5</v>
      </c>
      <c r="E3172" s="2">
        <v>16</v>
      </c>
      <c r="F3172" s="17">
        <v>182</v>
      </c>
      <c r="H3172" s="360">
        <v>1</v>
      </c>
      <c r="I3172" s="360">
        <v>0.36904106592177149</v>
      </c>
      <c r="K3172" s="363"/>
      <c r="N3172" s="10"/>
      <c r="O3172" s="4"/>
      <c r="P3172" s="4"/>
      <c r="Q3172" s="3"/>
      <c r="R3172" s="3"/>
      <c r="S3172" s="3"/>
      <c r="T3172" s="3"/>
    </row>
    <row r="3173" spans="1:20">
      <c r="A3173" s="3">
        <v>1</v>
      </c>
      <c r="B3173" s="3">
        <v>2</v>
      </c>
      <c r="C3173" s="2">
        <v>25</v>
      </c>
      <c r="D3173" s="2">
        <v>30</v>
      </c>
      <c r="E3173" s="2">
        <v>16</v>
      </c>
      <c r="F3173" s="17">
        <v>182</v>
      </c>
      <c r="H3173" s="360">
        <v>1</v>
      </c>
      <c r="I3173" s="360">
        <v>0.26638209257291623</v>
      </c>
      <c r="K3173" s="363"/>
      <c r="N3173" s="10"/>
      <c r="O3173" s="4"/>
      <c r="P3173" s="4"/>
      <c r="Q3173" s="3"/>
      <c r="R3173" s="3"/>
      <c r="S3173" s="3"/>
      <c r="T3173" s="3"/>
    </row>
    <row r="3174" spans="1:20">
      <c r="A3174" s="3">
        <v>3</v>
      </c>
      <c r="B3174" s="3">
        <v>1</v>
      </c>
      <c r="C3174" s="2">
        <v>25</v>
      </c>
      <c r="D3174" s="2">
        <v>5</v>
      </c>
      <c r="E3174" s="2">
        <v>1</v>
      </c>
      <c r="F3174" s="17">
        <v>182</v>
      </c>
      <c r="H3174" s="360">
        <v>0.18528649202930159</v>
      </c>
      <c r="I3174" s="360">
        <v>0.26092368760650425</v>
      </c>
      <c r="K3174" s="363"/>
      <c r="N3174" s="10"/>
      <c r="O3174" s="4"/>
      <c r="P3174" s="4"/>
      <c r="Q3174" s="3"/>
      <c r="R3174" s="3"/>
      <c r="S3174" s="3"/>
      <c r="T3174" s="3"/>
    </row>
    <row r="3175" spans="1:20">
      <c r="A3175" s="3">
        <v>1</v>
      </c>
      <c r="B3175" s="3">
        <v>2</v>
      </c>
      <c r="C3175" s="2">
        <v>25</v>
      </c>
      <c r="D3175" s="2">
        <v>5</v>
      </c>
      <c r="E3175" s="2">
        <v>16</v>
      </c>
      <c r="F3175" s="17">
        <v>182</v>
      </c>
      <c r="H3175" s="360">
        <v>0.9244928799682135</v>
      </c>
      <c r="I3175" s="360">
        <v>0.25677505850853027</v>
      </c>
      <c r="K3175" s="363"/>
      <c r="N3175" s="10"/>
      <c r="O3175" s="4"/>
      <c r="P3175" s="4"/>
      <c r="Q3175" s="3"/>
      <c r="R3175" s="3"/>
      <c r="S3175" s="3"/>
      <c r="T3175" s="3"/>
    </row>
    <row r="3176" spans="1:20">
      <c r="A3176" s="3">
        <v>1</v>
      </c>
      <c r="B3176" s="3">
        <v>2</v>
      </c>
      <c r="C3176" s="2">
        <v>25</v>
      </c>
      <c r="D3176" s="2">
        <v>5</v>
      </c>
      <c r="E3176" s="2">
        <v>1</v>
      </c>
      <c r="F3176" s="17">
        <v>182</v>
      </c>
      <c r="H3176" s="360">
        <v>7.7961992294202087E-2</v>
      </c>
      <c r="I3176" s="360">
        <v>0.23899386081774152</v>
      </c>
      <c r="K3176" s="363"/>
      <c r="N3176" s="10"/>
      <c r="O3176" s="4"/>
      <c r="P3176" s="4"/>
      <c r="Q3176" s="3"/>
      <c r="R3176" s="3"/>
      <c r="S3176" s="3"/>
      <c r="T3176" s="3"/>
    </row>
    <row r="3177" spans="1:20">
      <c r="A3177" s="3">
        <v>1</v>
      </c>
      <c r="B3177" s="3">
        <v>2</v>
      </c>
      <c r="C3177" s="2">
        <v>25</v>
      </c>
      <c r="D3177" s="2">
        <v>5</v>
      </c>
      <c r="E3177" s="2">
        <v>16</v>
      </c>
      <c r="F3177" s="17">
        <v>182</v>
      </c>
      <c r="H3177" s="360">
        <v>0.65429523060180506</v>
      </c>
      <c r="I3177" s="360">
        <v>0.23719272910036637</v>
      </c>
      <c r="K3177" s="363"/>
      <c r="N3177" s="10"/>
      <c r="O3177" s="4"/>
      <c r="P3177" s="4"/>
      <c r="Q3177" s="3"/>
      <c r="R3177" s="3"/>
      <c r="S3177" s="3"/>
      <c r="T3177" s="3"/>
    </row>
    <row r="3178" spans="1:20">
      <c r="A3178" s="3">
        <v>5</v>
      </c>
      <c r="B3178" s="3">
        <v>2</v>
      </c>
      <c r="C3178" s="2">
        <v>50</v>
      </c>
      <c r="D3178" s="2">
        <v>5</v>
      </c>
      <c r="E3178" s="2">
        <v>16</v>
      </c>
      <c r="F3178" s="17">
        <v>182</v>
      </c>
      <c r="H3178" s="360">
        <v>0.13406921214254586</v>
      </c>
      <c r="I3178" s="360">
        <v>0.22562970348141004</v>
      </c>
      <c r="K3178" s="363"/>
      <c r="N3178" s="10"/>
      <c r="O3178" s="4"/>
      <c r="P3178" s="4"/>
      <c r="Q3178" s="3"/>
      <c r="R3178" s="3"/>
      <c r="S3178" s="3"/>
      <c r="T3178" s="3"/>
    </row>
    <row r="3179" spans="1:20">
      <c r="A3179" s="3">
        <v>5</v>
      </c>
      <c r="B3179" s="3">
        <v>2</v>
      </c>
      <c r="C3179" s="2">
        <v>25</v>
      </c>
      <c r="D3179" s="2">
        <v>5</v>
      </c>
      <c r="E3179" s="2">
        <v>16</v>
      </c>
      <c r="F3179" s="17">
        <v>182</v>
      </c>
      <c r="H3179" s="360">
        <v>2.6495513247665969E-2</v>
      </c>
      <c r="I3179" s="360">
        <v>0.16672449086438834</v>
      </c>
      <c r="K3179" s="363"/>
      <c r="N3179" s="10"/>
      <c r="O3179" s="4"/>
      <c r="P3179" s="4"/>
      <c r="Q3179" s="3"/>
      <c r="R3179" s="3"/>
      <c r="S3179" s="3"/>
      <c r="T3179" s="3"/>
    </row>
    <row r="3180" spans="1:20">
      <c r="A3180" s="3">
        <v>3</v>
      </c>
      <c r="B3180" s="3">
        <v>2</v>
      </c>
      <c r="C3180" s="2">
        <v>25</v>
      </c>
      <c r="D3180" s="2">
        <v>5</v>
      </c>
      <c r="E3180" s="2">
        <v>1</v>
      </c>
      <c r="F3180" s="17">
        <v>182</v>
      </c>
      <c r="H3180" s="360">
        <v>0.438674356563308</v>
      </c>
      <c r="I3180" s="360">
        <v>-0.22543579614284495</v>
      </c>
      <c r="K3180" s="363"/>
      <c r="N3180" s="10"/>
      <c r="O3180" s="4"/>
      <c r="P3180" s="4"/>
      <c r="Q3180" s="3"/>
      <c r="R3180" s="3"/>
      <c r="S3180" s="3"/>
      <c r="T3180" s="3"/>
    </row>
    <row r="3181" spans="1:20">
      <c r="A3181" s="3">
        <v>3</v>
      </c>
      <c r="B3181" s="3">
        <v>2</v>
      </c>
      <c r="C3181" s="2">
        <v>25</v>
      </c>
      <c r="D3181" s="2">
        <v>5</v>
      </c>
      <c r="E3181" s="2">
        <v>16</v>
      </c>
      <c r="F3181" s="17">
        <v>182</v>
      </c>
      <c r="H3181" s="360">
        <v>1</v>
      </c>
      <c r="I3181" s="360">
        <v>-0.23131915466974418</v>
      </c>
      <c r="K3181" s="363"/>
      <c r="N3181" s="10"/>
      <c r="O3181" s="4"/>
      <c r="P3181" s="4"/>
      <c r="Q3181" s="3"/>
      <c r="R3181" s="3"/>
      <c r="S3181" s="3"/>
      <c r="T3181" s="3"/>
    </row>
    <row r="3182" spans="1:20">
      <c r="A3182" s="3">
        <v>5</v>
      </c>
      <c r="B3182" s="3">
        <v>2</v>
      </c>
      <c r="C3182" s="2">
        <v>50</v>
      </c>
      <c r="D3182" s="2">
        <v>5</v>
      </c>
      <c r="E3182" s="2">
        <v>16</v>
      </c>
      <c r="F3182" s="17">
        <v>183</v>
      </c>
      <c r="H3182" s="360">
        <v>1</v>
      </c>
      <c r="I3182" s="360">
        <v>0.54817027225601422</v>
      </c>
      <c r="K3182" s="363"/>
      <c r="N3182" s="10"/>
      <c r="O3182" s="4"/>
      <c r="P3182" s="4"/>
      <c r="Q3182" s="3"/>
      <c r="R3182" s="3"/>
      <c r="S3182" s="3"/>
      <c r="T3182" s="3"/>
    </row>
    <row r="3183" spans="1:20">
      <c r="A3183" s="3">
        <v>5</v>
      </c>
      <c r="B3183" s="3">
        <v>2</v>
      </c>
      <c r="C3183" s="2">
        <v>25</v>
      </c>
      <c r="D3183" s="2">
        <v>5</v>
      </c>
      <c r="E3183" s="2">
        <v>16</v>
      </c>
      <c r="F3183" s="17">
        <v>183</v>
      </c>
      <c r="H3183" s="360">
        <v>0.82157945425147927</v>
      </c>
      <c r="I3183" s="360">
        <v>0.50107609977333156</v>
      </c>
      <c r="K3183" s="363"/>
      <c r="N3183" s="10"/>
      <c r="O3183" s="4"/>
      <c r="P3183" s="4"/>
      <c r="Q3183" s="3"/>
      <c r="R3183" s="3"/>
      <c r="S3183" s="3"/>
      <c r="T3183" s="3"/>
    </row>
    <row r="3184" spans="1:20">
      <c r="A3184" s="3">
        <v>1</v>
      </c>
      <c r="B3184" s="3">
        <v>1</v>
      </c>
      <c r="C3184" s="2">
        <v>25</v>
      </c>
      <c r="D3184" s="2">
        <v>30</v>
      </c>
      <c r="E3184" s="2">
        <v>16</v>
      </c>
      <c r="F3184" s="17">
        <v>183</v>
      </c>
      <c r="H3184" s="360">
        <v>1</v>
      </c>
      <c r="I3184" s="360">
        <v>0.14797055953146324</v>
      </c>
      <c r="K3184" s="363"/>
      <c r="N3184" s="10"/>
      <c r="O3184" s="4"/>
      <c r="P3184" s="4"/>
      <c r="Q3184" s="3"/>
      <c r="R3184" s="3"/>
      <c r="S3184" s="3"/>
      <c r="T3184" s="3"/>
    </row>
    <row r="3185" spans="1:20">
      <c r="A3185" s="3">
        <v>3</v>
      </c>
      <c r="B3185" s="3">
        <v>2</v>
      </c>
      <c r="C3185" s="2">
        <v>25</v>
      </c>
      <c r="D3185" s="2">
        <v>5</v>
      </c>
      <c r="E3185" s="2">
        <v>16</v>
      </c>
      <c r="F3185" s="17">
        <v>183</v>
      </c>
      <c r="H3185" s="360">
        <v>1</v>
      </c>
      <c r="I3185" s="360">
        <v>0.14168352660600958</v>
      </c>
      <c r="K3185" s="363"/>
      <c r="N3185" s="10"/>
      <c r="O3185" s="4"/>
      <c r="P3185" s="4"/>
      <c r="Q3185" s="3"/>
      <c r="R3185" s="3"/>
      <c r="S3185" s="3"/>
      <c r="T3185" s="3"/>
    </row>
    <row r="3186" spans="1:20">
      <c r="A3186" s="3">
        <v>3</v>
      </c>
      <c r="B3186" s="3">
        <v>2</v>
      </c>
      <c r="C3186" s="2">
        <v>25</v>
      </c>
      <c r="D3186" s="2">
        <v>5</v>
      </c>
      <c r="E3186" s="2">
        <v>1</v>
      </c>
      <c r="F3186" s="17">
        <v>183</v>
      </c>
      <c r="H3186" s="360">
        <v>0.98707361209175171</v>
      </c>
      <c r="I3186" s="360">
        <v>0.1277614026101048</v>
      </c>
      <c r="K3186" s="363"/>
      <c r="N3186" s="10"/>
      <c r="O3186" s="4"/>
      <c r="P3186" s="4"/>
      <c r="Q3186" s="3"/>
      <c r="R3186" s="3"/>
      <c r="S3186" s="3"/>
      <c r="T3186" s="3"/>
    </row>
    <row r="3187" spans="1:20">
      <c r="A3187" s="3">
        <v>4</v>
      </c>
      <c r="B3187" s="3">
        <v>2</v>
      </c>
      <c r="C3187" s="2">
        <v>50</v>
      </c>
      <c r="D3187" s="2">
        <v>5</v>
      </c>
      <c r="E3187" s="2">
        <v>16</v>
      </c>
      <c r="F3187" s="17">
        <v>183</v>
      </c>
      <c r="H3187" s="360">
        <v>0.7580678158539933</v>
      </c>
      <c r="I3187" s="360">
        <v>0.11968901946194209</v>
      </c>
      <c r="K3187" s="363"/>
      <c r="N3187" s="10"/>
      <c r="O3187" s="4"/>
      <c r="P3187" s="4"/>
      <c r="Q3187" s="3"/>
      <c r="R3187" s="3"/>
      <c r="S3187" s="3"/>
      <c r="T3187" s="3"/>
    </row>
    <row r="3188" spans="1:20">
      <c r="A3188" s="3">
        <v>1</v>
      </c>
      <c r="B3188" s="3">
        <v>2</v>
      </c>
      <c r="C3188" s="2">
        <v>25</v>
      </c>
      <c r="D3188" s="2">
        <v>30</v>
      </c>
      <c r="E3188" s="2">
        <v>16</v>
      </c>
      <c r="F3188" s="17">
        <v>183</v>
      </c>
      <c r="H3188" s="360">
        <v>1</v>
      </c>
      <c r="I3188" s="360">
        <v>9.8975373177811105E-2</v>
      </c>
      <c r="K3188" s="363"/>
      <c r="N3188" s="10"/>
      <c r="O3188" s="4"/>
      <c r="P3188" s="4"/>
      <c r="Q3188" s="3"/>
      <c r="R3188" s="3"/>
      <c r="S3188" s="3"/>
      <c r="T3188" s="3"/>
    </row>
    <row r="3189" spans="1:20">
      <c r="A3189" s="3">
        <v>1</v>
      </c>
      <c r="B3189" s="3">
        <v>1</v>
      </c>
      <c r="C3189" s="2">
        <v>25</v>
      </c>
      <c r="D3189" s="2">
        <v>5</v>
      </c>
      <c r="E3189" s="2">
        <v>16</v>
      </c>
      <c r="F3189" s="17">
        <v>183</v>
      </c>
      <c r="H3189" s="360">
        <v>1</v>
      </c>
      <c r="I3189" s="360">
        <v>9.185241427390517E-2</v>
      </c>
      <c r="K3189" s="363"/>
      <c r="N3189" s="10"/>
      <c r="O3189" s="4"/>
      <c r="P3189" s="4"/>
      <c r="Q3189" s="3"/>
      <c r="R3189" s="3"/>
      <c r="S3189" s="3"/>
      <c r="T3189" s="3"/>
    </row>
    <row r="3190" spans="1:20">
      <c r="A3190" s="3">
        <v>1</v>
      </c>
      <c r="B3190" s="3">
        <v>1</v>
      </c>
      <c r="C3190" s="2">
        <v>25</v>
      </c>
      <c r="D3190" s="2">
        <v>5</v>
      </c>
      <c r="E3190" s="2">
        <v>1</v>
      </c>
      <c r="F3190" s="17">
        <v>183</v>
      </c>
      <c r="H3190" s="360">
        <v>1</v>
      </c>
      <c r="I3190" s="360">
        <v>7.7696233018934857E-2</v>
      </c>
      <c r="K3190" s="363"/>
      <c r="N3190" s="10"/>
      <c r="O3190" s="4"/>
      <c r="P3190" s="4"/>
      <c r="Q3190" s="3"/>
      <c r="R3190" s="3"/>
      <c r="S3190" s="3"/>
      <c r="T3190" s="3"/>
    </row>
    <row r="3191" spans="1:20">
      <c r="A3191" s="3">
        <v>2</v>
      </c>
      <c r="B3191" s="3">
        <v>1</v>
      </c>
      <c r="C3191" s="2">
        <v>25</v>
      </c>
      <c r="D3191" s="2">
        <v>5</v>
      </c>
      <c r="E3191" s="2">
        <v>16</v>
      </c>
      <c r="F3191" s="17">
        <v>183</v>
      </c>
      <c r="H3191" s="360">
        <v>1</v>
      </c>
      <c r="I3191" s="360">
        <v>5.1208785628985773E-2</v>
      </c>
      <c r="K3191" s="363"/>
      <c r="N3191" s="10"/>
      <c r="O3191" s="4"/>
      <c r="P3191" s="4"/>
      <c r="Q3191" s="3"/>
      <c r="R3191" s="3"/>
      <c r="S3191" s="3"/>
      <c r="T3191" s="3"/>
    </row>
    <row r="3192" spans="1:20">
      <c r="A3192" s="3">
        <v>2</v>
      </c>
      <c r="B3192" s="3">
        <v>1</v>
      </c>
      <c r="C3192" s="2">
        <v>25</v>
      </c>
      <c r="D3192" s="2">
        <v>5</v>
      </c>
      <c r="E3192" s="2">
        <v>1</v>
      </c>
      <c r="F3192" s="17">
        <v>183</v>
      </c>
      <c r="H3192" s="360">
        <v>1</v>
      </c>
      <c r="I3192" s="360">
        <v>2.7669117633048565E-2</v>
      </c>
      <c r="K3192" s="363"/>
      <c r="N3192" s="10"/>
      <c r="O3192" s="4"/>
      <c r="P3192" s="4"/>
      <c r="Q3192" s="3"/>
      <c r="R3192" s="3"/>
      <c r="S3192" s="3"/>
      <c r="T3192" s="3"/>
    </row>
    <row r="3193" spans="1:20">
      <c r="A3193" s="3">
        <v>2</v>
      </c>
      <c r="B3193" s="3">
        <v>2</v>
      </c>
      <c r="C3193" s="2">
        <v>25</v>
      </c>
      <c r="D3193" s="2">
        <v>5</v>
      </c>
      <c r="E3193" s="2">
        <v>16</v>
      </c>
      <c r="F3193" s="17">
        <v>183</v>
      </c>
      <c r="H3193" s="360">
        <v>1</v>
      </c>
      <c r="I3193" s="360">
        <v>-4.6745445638389574E-3</v>
      </c>
      <c r="K3193" s="363"/>
      <c r="N3193" s="10"/>
      <c r="O3193" s="4"/>
      <c r="P3193" s="4"/>
      <c r="Q3193" s="3"/>
      <c r="R3193" s="3"/>
      <c r="S3193" s="3"/>
      <c r="T3193" s="3"/>
    </row>
    <row r="3194" spans="1:20">
      <c r="A3194" s="3">
        <v>2</v>
      </c>
      <c r="B3194" s="3">
        <v>2</v>
      </c>
      <c r="C3194" s="2">
        <v>25</v>
      </c>
      <c r="D3194" s="2">
        <v>5</v>
      </c>
      <c r="E3194" s="2">
        <v>1</v>
      </c>
      <c r="F3194" s="17">
        <v>183</v>
      </c>
      <c r="H3194" s="360">
        <v>1</v>
      </c>
      <c r="I3194" s="360">
        <v>-8.882620392407288E-3</v>
      </c>
      <c r="K3194" s="363"/>
      <c r="N3194" s="10"/>
      <c r="O3194" s="4"/>
      <c r="P3194" s="4"/>
      <c r="Q3194" s="3"/>
      <c r="R3194" s="3"/>
      <c r="S3194" s="3"/>
      <c r="T3194" s="3"/>
    </row>
    <row r="3195" spans="1:20">
      <c r="A3195" s="3">
        <v>3</v>
      </c>
      <c r="B3195" s="3">
        <v>1</v>
      </c>
      <c r="C3195" s="2">
        <v>25</v>
      </c>
      <c r="D3195" s="2">
        <v>5</v>
      </c>
      <c r="E3195" s="2">
        <v>1</v>
      </c>
      <c r="F3195" s="17">
        <v>183</v>
      </c>
      <c r="H3195" s="360">
        <v>0.96134357084223321</v>
      </c>
      <c r="I3195" s="360">
        <v>-2.6715374573816914E-2</v>
      </c>
      <c r="K3195" s="363"/>
      <c r="N3195" s="10"/>
      <c r="O3195" s="4"/>
      <c r="P3195" s="4"/>
      <c r="Q3195" s="3"/>
      <c r="R3195" s="3"/>
      <c r="S3195" s="3"/>
      <c r="T3195" s="3"/>
    </row>
    <row r="3196" spans="1:20">
      <c r="A3196" s="3">
        <v>1</v>
      </c>
      <c r="B3196" s="3">
        <v>2</v>
      </c>
      <c r="C3196" s="2">
        <v>25</v>
      </c>
      <c r="D3196" s="2">
        <v>5</v>
      </c>
      <c r="E3196" s="2">
        <v>1</v>
      </c>
      <c r="F3196" s="17">
        <v>183</v>
      </c>
      <c r="H3196" s="360">
        <v>1</v>
      </c>
      <c r="I3196" s="360">
        <v>-2.9986890749798264E-2</v>
      </c>
      <c r="K3196" s="363"/>
      <c r="N3196" s="10"/>
      <c r="O3196" s="4"/>
      <c r="P3196" s="4"/>
      <c r="Q3196" s="3"/>
      <c r="R3196" s="3"/>
      <c r="S3196" s="3"/>
      <c r="T3196" s="3"/>
    </row>
    <row r="3197" spans="1:20">
      <c r="A3197" s="3">
        <v>1</v>
      </c>
      <c r="B3197" s="3">
        <v>2</v>
      </c>
      <c r="C3197" s="2">
        <v>25</v>
      </c>
      <c r="D3197" s="2">
        <v>5</v>
      </c>
      <c r="E3197" s="2">
        <v>16</v>
      </c>
      <c r="F3197" s="17">
        <v>183</v>
      </c>
      <c r="H3197" s="360">
        <v>1</v>
      </c>
      <c r="I3197" s="360">
        <v>-3.6751759977144992E-2</v>
      </c>
      <c r="K3197" s="363"/>
      <c r="N3197" s="10"/>
      <c r="O3197" s="4"/>
      <c r="P3197" s="4"/>
      <c r="Q3197" s="3"/>
      <c r="R3197" s="3"/>
      <c r="S3197" s="3"/>
      <c r="T3197" s="3"/>
    </row>
    <row r="3198" spans="1:20">
      <c r="A3198" s="3">
        <v>3</v>
      </c>
      <c r="B3198" s="3">
        <v>1</v>
      </c>
      <c r="C3198" s="2">
        <v>25</v>
      </c>
      <c r="D3198" s="2">
        <v>5</v>
      </c>
      <c r="E3198" s="2">
        <v>16</v>
      </c>
      <c r="F3198" s="17">
        <v>183</v>
      </c>
      <c r="H3198" s="360">
        <v>1</v>
      </c>
      <c r="I3198" s="360">
        <v>-3.7272726748381106E-2</v>
      </c>
      <c r="K3198" s="363"/>
      <c r="N3198" s="10"/>
      <c r="O3198" s="4"/>
      <c r="P3198" s="4"/>
      <c r="Q3198" s="3"/>
      <c r="R3198" s="3"/>
      <c r="S3198" s="3"/>
      <c r="T3198" s="3"/>
    </row>
    <row r="3199" spans="1:20">
      <c r="A3199" s="3">
        <v>1</v>
      </c>
      <c r="B3199" s="3">
        <v>2</v>
      </c>
      <c r="C3199" s="2">
        <v>25</v>
      </c>
      <c r="D3199" s="2">
        <v>5</v>
      </c>
      <c r="E3199" s="2">
        <v>16</v>
      </c>
      <c r="F3199" s="17">
        <v>183</v>
      </c>
      <c r="H3199" s="360">
        <v>1</v>
      </c>
      <c r="I3199" s="360">
        <v>-3.7637470934885973E-2</v>
      </c>
      <c r="K3199" s="363"/>
      <c r="N3199" s="10"/>
      <c r="O3199" s="4"/>
      <c r="P3199" s="4"/>
      <c r="Q3199" s="3"/>
      <c r="R3199" s="3"/>
      <c r="S3199" s="3"/>
      <c r="T3199" s="3"/>
    </row>
    <row r="3200" spans="1:20">
      <c r="A3200" s="3">
        <v>3</v>
      </c>
      <c r="B3200" s="3">
        <v>1</v>
      </c>
      <c r="C3200" s="2">
        <v>25</v>
      </c>
      <c r="D3200" s="2">
        <v>5</v>
      </c>
      <c r="E3200" s="2">
        <v>16</v>
      </c>
      <c r="F3200" s="17">
        <v>184</v>
      </c>
      <c r="H3200" s="360">
        <v>1</v>
      </c>
      <c r="I3200" s="360">
        <v>0.19330367707471943</v>
      </c>
      <c r="K3200" s="363"/>
      <c r="N3200" s="10"/>
      <c r="O3200" s="4"/>
      <c r="P3200" s="4"/>
      <c r="Q3200" s="3"/>
      <c r="R3200" s="3"/>
      <c r="S3200" s="3"/>
      <c r="T3200" s="3"/>
    </row>
    <row r="3201" spans="1:20">
      <c r="A3201" s="3">
        <v>3</v>
      </c>
      <c r="B3201" s="3">
        <v>1</v>
      </c>
      <c r="C3201" s="2">
        <v>25</v>
      </c>
      <c r="D3201" s="2">
        <v>5</v>
      </c>
      <c r="E3201" s="2">
        <v>1</v>
      </c>
      <c r="F3201" s="17">
        <v>184</v>
      </c>
      <c r="H3201" s="360">
        <v>0.17462085422988971</v>
      </c>
      <c r="I3201" s="360">
        <v>0.12858205487463362</v>
      </c>
      <c r="K3201" s="363"/>
      <c r="N3201" s="10"/>
      <c r="O3201" s="4"/>
      <c r="P3201" s="4"/>
      <c r="Q3201" s="3"/>
      <c r="R3201" s="3"/>
      <c r="S3201" s="3"/>
      <c r="T3201" s="3"/>
    </row>
    <row r="3202" spans="1:20">
      <c r="A3202" s="3">
        <v>3</v>
      </c>
      <c r="B3202" s="3">
        <v>2</v>
      </c>
      <c r="C3202" s="2">
        <v>25</v>
      </c>
      <c r="D3202" s="2">
        <v>5</v>
      </c>
      <c r="E3202" s="2">
        <v>1</v>
      </c>
      <c r="F3202" s="17">
        <v>184</v>
      </c>
      <c r="H3202" s="360">
        <v>0.38824651231919338</v>
      </c>
      <c r="I3202" s="360">
        <v>0.11642519514434124</v>
      </c>
      <c r="K3202" s="363"/>
      <c r="N3202" s="10"/>
      <c r="O3202" s="4"/>
      <c r="P3202" s="4"/>
      <c r="Q3202" s="3"/>
      <c r="R3202" s="3"/>
      <c r="S3202" s="3"/>
      <c r="T3202" s="3"/>
    </row>
    <row r="3203" spans="1:20">
      <c r="A3203" s="3">
        <v>1</v>
      </c>
      <c r="B3203" s="3">
        <v>2</v>
      </c>
      <c r="C3203" s="2">
        <v>25</v>
      </c>
      <c r="D3203" s="2">
        <v>5</v>
      </c>
      <c r="E3203" s="2">
        <v>1</v>
      </c>
      <c r="F3203" s="17">
        <v>184</v>
      </c>
      <c r="H3203" s="360">
        <v>5.7322610560079146E-2</v>
      </c>
      <c r="I3203" s="360">
        <v>9.1682095590756366E-2</v>
      </c>
      <c r="K3203" s="363"/>
      <c r="N3203" s="10"/>
      <c r="O3203" s="4"/>
      <c r="P3203" s="4"/>
      <c r="Q3203" s="3"/>
      <c r="R3203" s="3"/>
      <c r="S3203" s="3"/>
      <c r="T3203" s="3"/>
    </row>
    <row r="3204" spans="1:20">
      <c r="A3204" s="3">
        <v>3</v>
      </c>
      <c r="B3204" s="3">
        <v>2</v>
      </c>
      <c r="C3204" s="2">
        <v>25</v>
      </c>
      <c r="D3204" s="2">
        <v>5</v>
      </c>
      <c r="E3204" s="2">
        <v>16</v>
      </c>
      <c r="F3204" s="17">
        <v>184</v>
      </c>
      <c r="H3204" s="360">
        <v>1</v>
      </c>
      <c r="I3204" s="360">
        <v>7.9372218264764094E-2</v>
      </c>
      <c r="K3204" s="363"/>
      <c r="N3204" s="10"/>
      <c r="O3204" s="4"/>
      <c r="P3204" s="4"/>
      <c r="Q3204" s="3"/>
      <c r="R3204" s="3"/>
      <c r="S3204" s="3"/>
      <c r="T3204" s="3"/>
    </row>
    <row r="3205" spans="1:20">
      <c r="A3205" s="3">
        <v>1</v>
      </c>
      <c r="B3205" s="3">
        <v>1</v>
      </c>
      <c r="C3205" s="2">
        <v>25</v>
      </c>
      <c r="D3205" s="2">
        <v>5</v>
      </c>
      <c r="E3205" s="2">
        <v>16</v>
      </c>
      <c r="F3205" s="17">
        <v>184</v>
      </c>
      <c r="H3205" s="360">
        <v>1</v>
      </c>
      <c r="I3205" s="360">
        <v>5.5819212785775361E-2</v>
      </c>
      <c r="K3205" s="363"/>
      <c r="N3205" s="10"/>
      <c r="O3205" s="4"/>
      <c r="P3205" s="4"/>
      <c r="Q3205" s="3"/>
      <c r="R3205" s="3"/>
      <c r="S3205" s="3"/>
      <c r="T3205" s="3"/>
    </row>
    <row r="3206" spans="1:20">
      <c r="A3206" s="3">
        <v>1</v>
      </c>
      <c r="B3206" s="3">
        <v>1</v>
      </c>
      <c r="C3206" s="2">
        <v>25</v>
      </c>
      <c r="D3206" s="2">
        <v>5</v>
      </c>
      <c r="E3206" s="2">
        <v>1</v>
      </c>
      <c r="F3206" s="17">
        <v>184</v>
      </c>
      <c r="H3206" s="360">
        <v>0.75614677457514423</v>
      </c>
      <c r="I3206" s="360">
        <v>5.4137884425800122E-2</v>
      </c>
      <c r="K3206" s="363"/>
      <c r="N3206" s="10"/>
      <c r="O3206" s="4"/>
      <c r="P3206" s="4"/>
      <c r="Q3206" s="3"/>
      <c r="R3206" s="3"/>
      <c r="S3206" s="3"/>
      <c r="T3206" s="3"/>
    </row>
    <row r="3207" spans="1:20">
      <c r="A3207" s="3">
        <v>1</v>
      </c>
      <c r="B3207" s="3">
        <v>1</v>
      </c>
      <c r="C3207" s="2">
        <v>25</v>
      </c>
      <c r="D3207" s="2">
        <v>30</v>
      </c>
      <c r="E3207" s="2">
        <v>16</v>
      </c>
      <c r="F3207" s="17">
        <v>184</v>
      </c>
      <c r="H3207" s="360">
        <v>1</v>
      </c>
      <c r="I3207" s="360">
        <v>3.8570036213228104E-2</v>
      </c>
      <c r="K3207" s="363"/>
      <c r="N3207" s="10"/>
      <c r="O3207" s="4"/>
      <c r="P3207" s="4"/>
      <c r="Q3207" s="3"/>
      <c r="R3207" s="3"/>
      <c r="S3207" s="3"/>
      <c r="T3207" s="3"/>
    </row>
    <row r="3208" spans="1:20">
      <c r="A3208" s="3">
        <v>2</v>
      </c>
      <c r="B3208" s="3">
        <v>2</v>
      </c>
      <c r="C3208" s="2">
        <v>25</v>
      </c>
      <c r="D3208" s="2">
        <v>5</v>
      </c>
      <c r="E3208" s="2">
        <v>16</v>
      </c>
      <c r="F3208" s="17">
        <v>184</v>
      </c>
      <c r="H3208" s="360">
        <v>1</v>
      </c>
      <c r="I3208" s="360">
        <v>-1.5671262547217228E-2</v>
      </c>
      <c r="K3208" s="363"/>
      <c r="N3208" s="10"/>
      <c r="O3208" s="4"/>
      <c r="P3208" s="4"/>
      <c r="Q3208" s="3"/>
      <c r="R3208" s="3"/>
      <c r="S3208" s="3"/>
      <c r="T3208" s="3"/>
    </row>
    <row r="3209" spans="1:20">
      <c r="A3209" s="3">
        <v>5</v>
      </c>
      <c r="B3209" s="3">
        <v>2</v>
      </c>
      <c r="C3209" s="2">
        <v>25</v>
      </c>
      <c r="D3209" s="2">
        <v>5</v>
      </c>
      <c r="E3209" s="2">
        <v>16</v>
      </c>
      <c r="F3209" s="17">
        <v>184</v>
      </c>
      <c r="H3209" s="360">
        <v>0.14478289534818922</v>
      </c>
      <c r="I3209" s="360">
        <v>-2.0117808370424116E-2</v>
      </c>
      <c r="K3209" s="363"/>
      <c r="N3209" s="10"/>
      <c r="O3209" s="4"/>
      <c r="P3209" s="4"/>
      <c r="Q3209" s="3"/>
      <c r="R3209" s="3"/>
      <c r="S3209" s="3"/>
      <c r="T3209" s="3"/>
    </row>
    <row r="3210" spans="1:20">
      <c r="A3210" s="3">
        <v>4</v>
      </c>
      <c r="B3210" s="3">
        <v>2</v>
      </c>
      <c r="C3210" s="2">
        <v>50</v>
      </c>
      <c r="D3210" s="2">
        <v>5</v>
      </c>
      <c r="E3210" s="2">
        <v>16</v>
      </c>
      <c r="F3210" s="17">
        <v>184</v>
      </c>
      <c r="H3210" s="360">
        <v>0.85314909176862219</v>
      </c>
      <c r="I3210" s="360">
        <v>-2.9342227476146246E-2</v>
      </c>
      <c r="K3210" s="363"/>
      <c r="N3210" s="10"/>
      <c r="O3210" s="4"/>
      <c r="P3210" s="4"/>
      <c r="Q3210" s="3"/>
      <c r="R3210" s="3"/>
      <c r="S3210" s="3"/>
      <c r="T3210" s="3"/>
    </row>
    <row r="3211" spans="1:20">
      <c r="A3211" s="3">
        <v>2</v>
      </c>
      <c r="B3211" s="3">
        <v>2</v>
      </c>
      <c r="C3211" s="2">
        <v>25</v>
      </c>
      <c r="D3211" s="2">
        <v>5</v>
      </c>
      <c r="E3211" s="2">
        <v>1</v>
      </c>
      <c r="F3211" s="17">
        <v>184</v>
      </c>
      <c r="H3211" s="360">
        <v>1</v>
      </c>
      <c r="I3211" s="360">
        <v>-4.2213283455980549E-2</v>
      </c>
      <c r="K3211" s="363"/>
      <c r="N3211" s="10"/>
      <c r="O3211" s="4"/>
      <c r="P3211" s="4"/>
      <c r="Q3211" s="3"/>
      <c r="R3211" s="3"/>
      <c r="S3211" s="3"/>
      <c r="T3211" s="3"/>
    </row>
    <row r="3212" spans="1:20">
      <c r="A3212" s="3">
        <v>1</v>
      </c>
      <c r="B3212" s="3">
        <v>2</v>
      </c>
      <c r="C3212" s="2">
        <v>25</v>
      </c>
      <c r="D3212" s="2">
        <v>5</v>
      </c>
      <c r="E3212" s="2">
        <v>16</v>
      </c>
      <c r="F3212" s="17">
        <v>184</v>
      </c>
      <c r="H3212" s="360">
        <v>0.98397259088730371</v>
      </c>
      <c r="I3212" s="360">
        <v>-5.1255257737780412E-2</v>
      </c>
      <c r="K3212" s="363"/>
      <c r="N3212" s="10"/>
      <c r="O3212" s="4"/>
      <c r="P3212" s="4"/>
      <c r="Q3212" s="3"/>
      <c r="R3212" s="3"/>
      <c r="S3212" s="3"/>
      <c r="T3212" s="3"/>
    </row>
    <row r="3213" spans="1:20">
      <c r="A3213" s="3">
        <v>1</v>
      </c>
      <c r="B3213" s="3">
        <v>2</v>
      </c>
      <c r="C3213" s="2">
        <v>25</v>
      </c>
      <c r="D3213" s="2">
        <v>30</v>
      </c>
      <c r="E3213" s="2">
        <v>16</v>
      </c>
      <c r="F3213" s="17">
        <v>184</v>
      </c>
      <c r="H3213" s="360">
        <v>0.88679397141904626</v>
      </c>
      <c r="I3213" s="360">
        <v>-5.6342605537497689E-2</v>
      </c>
      <c r="K3213" s="363"/>
      <c r="N3213" s="10"/>
      <c r="O3213" s="4"/>
      <c r="P3213" s="4"/>
      <c r="Q3213" s="3"/>
      <c r="R3213" s="3"/>
      <c r="S3213" s="3"/>
      <c r="T3213" s="3"/>
    </row>
    <row r="3214" spans="1:20">
      <c r="A3214" s="3">
        <v>1</v>
      </c>
      <c r="B3214" s="3">
        <v>2</v>
      </c>
      <c r="C3214" s="2">
        <v>25</v>
      </c>
      <c r="D3214" s="2">
        <v>5</v>
      </c>
      <c r="E3214" s="2">
        <v>16</v>
      </c>
      <c r="F3214" s="17">
        <v>184</v>
      </c>
      <c r="H3214" s="360">
        <v>0.70653394016791804</v>
      </c>
      <c r="I3214" s="360">
        <v>-5.7026769926402231E-2</v>
      </c>
      <c r="K3214" s="363"/>
      <c r="N3214" s="10"/>
      <c r="O3214" s="4"/>
      <c r="P3214" s="4"/>
      <c r="Q3214" s="3"/>
      <c r="R3214" s="3"/>
      <c r="S3214" s="3"/>
      <c r="T3214" s="3"/>
    </row>
    <row r="3215" spans="1:20">
      <c r="A3215" s="3">
        <v>5</v>
      </c>
      <c r="B3215" s="3">
        <v>2</v>
      </c>
      <c r="C3215" s="2">
        <v>50</v>
      </c>
      <c r="D3215" s="2">
        <v>5</v>
      </c>
      <c r="E3215" s="2">
        <v>16</v>
      </c>
      <c r="F3215" s="17">
        <v>184</v>
      </c>
      <c r="H3215" s="360">
        <v>1</v>
      </c>
      <c r="I3215" s="360">
        <v>-0.11981491241456917</v>
      </c>
      <c r="K3215" s="363"/>
      <c r="N3215" s="10"/>
      <c r="O3215" s="4"/>
      <c r="P3215" s="4"/>
      <c r="Q3215" s="3"/>
      <c r="R3215" s="3"/>
      <c r="S3215" s="3"/>
      <c r="T3215" s="3"/>
    </row>
    <row r="3216" spans="1:20">
      <c r="A3216" s="3">
        <v>2</v>
      </c>
      <c r="B3216" s="3">
        <v>1</v>
      </c>
      <c r="C3216" s="2">
        <v>25</v>
      </c>
      <c r="D3216" s="2">
        <v>5</v>
      </c>
      <c r="E3216" s="2">
        <v>1</v>
      </c>
      <c r="F3216" s="17">
        <v>184</v>
      </c>
      <c r="H3216" s="360">
        <v>1</v>
      </c>
      <c r="I3216" s="360">
        <v>-0.1520395735001554</v>
      </c>
      <c r="K3216" s="363"/>
      <c r="N3216" s="10"/>
      <c r="O3216" s="4"/>
      <c r="P3216" s="4"/>
      <c r="Q3216" s="3"/>
      <c r="R3216" s="3"/>
      <c r="S3216" s="3"/>
      <c r="T3216" s="3"/>
    </row>
    <row r="3217" spans="1:20">
      <c r="A3217" s="3">
        <v>2</v>
      </c>
      <c r="B3217" s="3">
        <v>1</v>
      </c>
      <c r="C3217" s="2">
        <v>25</v>
      </c>
      <c r="D3217" s="2">
        <v>5</v>
      </c>
      <c r="E3217" s="2">
        <v>16</v>
      </c>
      <c r="F3217" s="17">
        <v>184</v>
      </c>
      <c r="H3217" s="360">
        <v>1</v>
      </c>
      <c r="I3217" s="360">
        <v>-0.1671839441532855</v>
      </c>
      <c r="K3217" s="363"/>
      <c r="N3217" s="10"/>
      <c r="O3217" s="4"/>
      <c r="P3217" s="4"/>
      <c r="Q3217" s="3"/>
      <c r="R3217" s="3"/>
      <c r="S3217" s="3"/>
      <c r="T3217" s="3"/>
    </row>
    <row r="3218" spans="1:20">
      <c r="A3218" s="3">
        <v>5</v>
      </c>
      <c r="B3218" s="3">
        <v>2</v>
      </c>
      <c r="C3218" s="2">
        <v>25</v>
      </c>
      <c r="D3218" s="2">
        <v>5</v>
      </c>
      <c r="E3218" s="2">
        <v>16</v>
      </c>
      <c r="F3218" s="17">
        <v>185</v>
      </c>
      <c r="H3218" s="360">
        <v>8.8430185926796412E-2</v>
      </c>
      <c r="I3218" s="360">
        <v>0.41381052686868897</v>
      </c>
      <c r="K3218" s="363"/>
      <c r="N3218" s="10"/>
      <c r="O3218" s="4"/>
      <c r="P3218" s="4"/>
      <c r="Q3218" s="3"/>
      <c r="R3218" s="3"/>
      <c r="S3218" s="3"/>
      <c r="T3218" s="3"/>
    </row>
    <row r="3219" spans="1:20">
      <c r="A3219" s="3">
        <v>5</v>
      </c>
      <c r="B3219" s="3">
        <v>2</v>
      </c>
      <c r="C3219" s="2">
        <v>50</v>
      </c>
      <c r="D3219" s="2">
        <v>5</v>
      </c>
      <c r="E3219" s="2">
        <v>16</v>
      </c>
      <c r="F3219" s="17">
        <v>185</v>
      </c>
      <c r="H3219" s="360">
        <v>0.19383672918509054</v>
      </c>
      <c r="I3219" s="360">
        <v>0.38102755990871051</v>
      </c>
      <c r="K3219" s="363"/>
      <c r="N3219" s="10"/>
      <c r="O3219" s="4"/>
      <c r="P3219" s="4"/>
      <c r="Q3219" s="3"/>
      <c r="R3219" s="3"/>
      <c r="S3219" s="3"/>
      <c r="T3219" s="3"/>
    </row>
    <row r="3220" spans="1:20">
      <c r="A3220" s="3">
        <v>2</v>
      </c>
      <c r="B3220" s="3">
        <v>1</v>
      </c>
      <c r="C3220" s="2">
        <v>25</v>
      </c>
      <c r="D3220" s="2">
        <v>5</v>
      </c>
      <c r="E3220" s="2">
        <v>16</v>
      </c>
      <c r="F3220" s="17">
        <v>185</v>
      </c>
      <c r="H3220" s="360">
        <v>0.28152623704141799</v>
      </c>
      <c r="I3220" s="360">
        <v>0.36456248200927077</v>
      </c>
      <c r="K3220" s="363"/>
      <c r="N3220" s="10"/>
      <c r="O3220" s="4"/>
      <c r="P3220" s="4"/>
      <c r="Q3220" s="3"/>
      <c r="R3220" s="3"/>
      <c r="S3220" s="3"/>
      <c r="T3220" s="3"/>
    </row>
    <row r="3221" spans="1:20">
      <c r="A3221" s="3">
        <v>2</v>
      </c>
      <c r="B3221" s="3">
        <v>2</v>
      </c>
      <c r="C3221" s="2">
        <v>25</v>
      </c>
      <c r="D3221" s="2">
        <v>5</v>
      </c>
      <c r="E3221" s="2">
        <v>1</v>
      </c>
      <c r="F3221" s="17">
        <v>185</v>
      </c>
      <c r="H3221" s="360">
        <v>0.16765439659338144</v>
      </c>
      <c r="I3221" s="360">
        <v>0.33465637763464484</v>
      </c>
      <c r="K3221" s="363"/>
      <c r="N3221" s="10"/>
      <c r="O3221" s="4"/>
      <c r="P3221" s="4"/>
      <c r="Q3221" s="3"/>
      <c r="R3221" s="3"/>
      <c r="S3221" s="3"/>
      <c r="T3221" s="3"/>
    </row>
    <row r="3222" spans="1:20">
      <c r="A3222" s="3">
        <v>1</v>
      </c>
      <c r="B3222" s="3">
        <v>1</v>
      </c>
      <c r="C3222" s="2">
        <v>25</v>
      </c>
      <c r="D3222" s="2">
        <v>30</v>
      </c>
      <c r="E3222" s="2">
        <v>16</v>
      </c>
      <c r="F3222" s="17">
        <v>185</v>
      </c>
      <c r="H3222" s="360">
        <v>0.95958504631723318</v>
      </c>
      <c r="I3222" s="360">
        <v>0.26048229009232793</v>
      </c>
      <c r="K3222" s="363"/>
      <c r="N3222" s="10"/>
      <c r="O3222" s="4"/>
      <c r="P3222" s="4"/>
      <c r="Q3222" s="3"/>
      <c r="R3222" s="3"/>
      <c r="S3222" s="3"/>
      <c r="T3222" s="3"/>
    </row>
    <row r="3223" spans="1:20">
      <c r="A3223" s="3">
        <v>1</v>
      </c>
      <c r="B3223" s="3">
        <v>1</v>
      </c>
      <c r="C3223" s="2">
        <v>25</v>
      </c>
      <c r="D3223" s="2">
        <v>5</v>
      </c>
      <c r="E3223" s="2">
        <v>16</v>
      </c>
      <c r="F3223" s="17">
        <v>185</v>
      </c>
      <c r="H3223" s="360">
        <v>0.55876228631022506</v>
      </c>
      <c r="I3223" s="360">
        <v>0.20598338982161266</v>
      </c>
      <c r="K3223" s="363"/>
      <c r="N3223" s="10"/>
      <c r="O3223" s="4"/>
      <c r="P3223" s="4"/>
      <c r="Q3223" s="3"/>
      <c r="R3223" s="3"/>
      <c r="S3223" s="3"/>
      <c r="T3223" s="3"/>
    </row>
    <row r="3224" spans="1:20">
      <c r="A3224" s="3">
        <v>2</v>
      </c>
      <c r="B3224" s="3">
        <v>2</v>
      </c>
      <c r="C3224" s="2">
        <v>25</v>
      </c>
      <c r="D3224" s="2">
        <v>5</v>
      </c>
      <c r="E3224" s="2">
        <v>16</v>
      </c>
      <c r="F3224" s="17">
        <v>185</v>
      </c>
      <c r="H3224" s="360">
        <v>0.66891310696025141</v>
      </c>
      <c r="I3224" s="360">
        <v>0.18996015299735439</v>
      </c>
      <c r="K3224" s="363"/>
      <c r="N3224" s="10"/>
      <c r="O3224" s="4"/>
      <c r="P3224" s="4"/>
      <c r="Q3224" s="3"/>
      <c r="R3224" s="3"/>
      <c r="S3224" s="3"/>
      <c r="T3224" s="3"/>
    </row>
    <row r="3225" spans="1:20">
      <c r="A3225" s="3">
        <v>1</v>
      </c>
      <c r="B3225" s="3">
        <v>2</v>
      </c>
      <c r="C3225" s="2">
        <v>25</v>
      </c>
      <c r="D3225" s="2">
        <v>5</v>
      </c>
      <c r="E3225" s="2">
        <v>16</v>
      </c>
      <c r="F3225" s="17">
        <v>185</v>
      </c>
      <c r="H3225" s="360">
        <v>0.1982879811339151</v>
      </c>
      <c r="I3225" s="360">
        <v>0.12771533270058139</v>
      </c>
      <c r="K3225" s="363"/>
      <c r="N3225" s="10"/>
      <c r="O3225" s="4"/>
      <c r="P3225" s="4"/>
      <c r="Q3225" s="3"/>
      <c r="R3225" s="3"/>
      <c r="S3225" s="3"/>
      <c r="T3225" s="3"/>
    </row>
    <row r="3226" spans="1:20">
      <c r="A3226" s="3">
        <v>1</v>
      </c>
      <c r="B3226" s="3">
        <v>2</v>
      </c>
      <c r="C3226" s="2">
        <v>25</v>
      </c>
      <c r="D3226" s="2">
        <v>30</v>
      </c>
      <c r="E3226" s="2">
        <v>16</v>
      </c>
      <c r="F3226" s="17">
        <v>185</v>
      </c>
      <c r="H3226" s="360">
        <v>0.27517237718570331</v>
      </c>
      <c r="I3226" s="360">
        <v>0.1077092906785895</v>
      </c>
      <c r="K3226" s="363"/>
      <c r="N3226" s="10"/>
      <c r="O3226" s="4"/>
      <c r="P3226" s="4"/>
      <c r="Q3226" s="3"/>
      <c r="R3226" s="3"/>
      <c r="S3226" s="3"/>
      <c r="T3226" s="3"/>
    </row>
    <row r="3227" spans="1:20">
      <c r="A3227" s="3">
        <v>1</v>
      </c>
      <c r="B3227" s="3">
        <v>2</v>
      </c>
      <c r="C3227" s="2">
        <v>25</v>
      </c>
      <c r="D3227" s="2">
        <v>5</v>
      </c>
      <c r="E3227" s="2">
        <v>16</v>
      </c>
      <c r="F3227" s="17">
        <v>185</v>
      </c>
      <c r="H3227" s="360">
        <v>0.26783548567399784</v>
      </c>
      <c r="I3227" s="360">
        <v>7.2462629627564945E-2</v>
      </c>
      <c r="K3227" s="363"/>
      <c r="N3227" s="10"/>
      <c r="O3227" s="4"/>
      <c r="P3227" s="4"/>
      <c r="Q3227" s="3"/>
      <c r="R3227" s="3"/>
      <c r="S3227" s="3"/>
      <c r="T3227" s="3"/>
    </row>
    <row r="3228" spans="1:20">
      <c r="A3228" s="3">
        <v>2</v>
      </c>
      <c r="B3228" s="3">
        <v>1</v>
      </c>
      <c r="C3228" s="2">
        <v>25</v>
      </c>
      <c r="D3228" s="2">
        <v>5</v>
      </c>
      <c r="E3228" s="2">
        <v>1</v>
      </c>
      <c r="F3228" s="17">
        <v>185</v>
      </c>
      <c r="H3228" s="360">
        <v>0</v>
      </c>
      <c r="I3228" s="360">
        <v>0</v>
      </c>
      <c r="K3228" s="363"/>
      <c r="N3228" s="10"/>
      <c r="O3228" s="4"/>
      <c r="P3228" s="4"/>
      <c r="Q3228" s="3"/>
      <c r="R3228" s="3"/>
      <c r="S3228" s="3"/>
      <c r="T3228" s="3"/>
    </row>
    <row r="3229" spans="1:20">
      <c r="A3229" s="3">
        <v>1</v>
      </c>
      <c r="B3229" s="3">
        <v>1</v>
      </c>
      <c r="C3229" s="2">
        <v>25</v>
      </c>
      <c r="D3229" s="2">
        <v>5</v>
      </c>
      <c r="E3229" s="2">
        <v>1</v>
      </c>
      <c r="F3229" s="17">
        <v>185</v>
      </c>
      <c r="H3229" s="360">
        <v>0.19561075037137743</v>
      </c>
      <c r="I3229" s="360">
        <v>-4.1747051589575236E-2</v>
      </c>
      <c r="K3229" s="363"/>
      <c r="N3229" s="10"/>
      <c r="O3229" s="4"/>
      <c r="P3229" s="4"/>
      <c r="Q3229" s="3"/>
      <c r="R3229" s="3"/>
      <c r="S3229" s="3"/>
      <c r="T3229" s="3"/>
    </row>
    <row r="3230" spans="1:20">
      <c r="A3230" s="3">
        <v>3</v>
      </c>
      <c r="B3230" s="3">
        <v>2</v>
      </c>
      <c r="C3230" s="2">
        <v>25</v>
      </c>
      <c r="D3230" s="2">
        <v>5</v>
      </c>
      <c r="E3230" s="2">
        <v>16</v>
      </c>
      <c r="F3230" s="17">
        <v>185</v>
      </c>
      <c r="H3230" s="360">
        <v>7.5486148964836408E-2</v>
      </c>
      <c r="I3230" s="360">
        <v>-0.18284443028189373</v>
      </c>
      <c r="K3230" s="363"/>
      <c r="N3230" s="10"/>
      <c r="O3230" s="4"/>
      <c r="P3230" s="4"/>
      <c r="Q3230" s="3"/>
      <c r="R3230" s="3"/>
      <c r="S3230" s="3"/>
      <c r="T3230" s="3"/>
    </row>
    <row r="3231" spans="1:20">
      <c r="A3231" s="3">
        <v>1</v>
      </c>
      <c r="B3231" s="3">
        <v>2</v>
      </c>
      <c r="C3231" s="2">
        <v>25</v>
      </c>
      <c r="D3231" s="2">
        <v>5</v>
      </c>
      <c r="E3231" s="2">
        <v>1</v>
      </c>
      <c r="F3231" s="17">
        <v>185</v>
      </c>
      <c r="H3231" s="360">
        <v>9.4906890012032119E-2</v>
      </c>
      <c r="I3231" s="360">
        <v>-0.21492686582885112</v>
      </c>
      <c r="K3231" s="363"/>
      <c r="N3231" s="10"/>
      <c r="O3231" s="4"/>
      <c r="P3231" s="4"/>
      <c r="Q3231" s="3"/>
      <c r="R3231" s="3"/>
      <c r="S3231" s="3"/>
      <c r="T3231" s="3"/>
    </row>
    <row r="3232" spans="1:20">
      <c r="A3232" s="3">
        <v>3</v>
      </c>
      <c r="B3232" s="3">
        <v>1</v>
      </c>
      <c r="C3232" s="2">
        <v>25</v>
      </c>
      <c r="D3232" s="2">
        <v>5</v>
      </c>
      <c r="E3232" s="2">
        <v>16</v>
      </c>
      <c r="F3232" s="17">
        <v>185</v>
      </c>
      <c r="H3232" s="360">
        <v>8.6591176748198717E-2</v>
      </c>
      <c r="I3232" s="360">
        <v>-0.31858452039001889</v>
      </c>
      <c r="K3232" s="363"/>
      <c r="N3232" s="10"/>
      <c r="O3232" s="4"/>
      <c r="P3232" s="4"/>
      <c r="Q3232" s="3"/>
      <c r="R3232" s="3"/>
      <c r="S3232" s="3"/>
      <c r="T3232" s="3"/>
    </row>
    <row r="3233" spans="1:20">
      <c r="A3233" s="3">
        <v>3</v>
      </c>
      <c r="B3233" s="3">
        <v>2</v>
      </c>
      <c r="C3233" s="2">
        <v>25</v>
      </c>
      <c r="D3233" s="2">
        <v>5</v>
      </c>
      <c r="E3233" s="2">
        <v>1</v>
      </c>
      <c r="F3233" s="17">
        <v>185</v>
      </c>
      <c r="H3233" s="360">
        <v>4.5749979199627755E-2</v>
      </c>
      <c r="I3233" s="360">
        <v>-0.35950534418678448</v>
      </c>
      <c r="K3233" s="363"/>
      <c r="N3233" s="10"/>
      <c r="O3233" s="4"/>
      <c r="P3233" s="4"/>
      <c r="Q3233" s="3"/>
      <c r="R3233" s="3"/>
      <c r="S3233" s="3"/>
      <c r="T3233" s="3"/>
    </row>
    <row r="3234" spans="1:20">
      <c r="A3234" s="3">
        <v>4</v>
      </c>
      <c r="B3234" s="3">
        <v>2</v>
      </c>
      <c r="C3234" s="2">
        <v>50</v>
      </c>
      <c r="D3234" s="2">
        <v>5</v>
      </c>
      <c r="E3234" s="2">
        <v>16</v>
      </c>
      <c r="F3234" s="17">
        <v>185</v>
      </c>
      <c r="H3234" s="360">
        <v>0.15995145717330717</v>
      </c>
      <c r="I3234" s="360">
        <v>-0.36563339028557479</v>
      </c>
      <c r="K3234" s="363"/>
      <c r="N3234" s="10"/>
      <c r="O3234" s="4"/>
      <c r="P3234" s="4"/>
      <c r="Q3234" s="3"/>
      <c r="R3234" s="3"/>
      <c r="S3234" s="3"/>
      <c r="T3234" s="3"/>
    </row>
    <row r="3235" spans="1:20">
      <c r="A3235" s="3">
        <v>3</v>
      </c>
      <c r="B3235" s="3">
        <v>1</v>
      </c>
      <c r="C3235" s="2">
        <v>25</v>
      </c>
      <c r="D3235" s="2">
        <v>5</v>
      </c>
      <c r="E3235" s="2">
        <v>1</v>
      </c>
      <c r="F3235" s="17">
        <v>185</v>
      </c>
      <c r="H3235" s="360">
        <v>2.1913648034143973E-2</v>
      </c>
      <c r="I3235" s="360">
        <v>-0.38173405310124492</v>
      </c>
      <c r="K3235" s="363"/>
      <c r="N3235" s="10"/>
      <c r="O3235" s="4"/>
      <c r="P3235" s="4"/>
      <c r="Q3235" s="3"/>
      <c r="R3235" s="3"/>
      <c r="S3235" s="3"/>
      <c r="T3235" s="3"/>
    </row>
    <row r="3236" spans="1:20">
      <c r="A3236" s="3">
        <v>5</v>
      </c>
      <c r="B3236" s="3">
        <v>2</v>
      </c>
      <c r="C3236" s="2">
        <v>50</v>
      </c>
      <c r="D3236" s="2">
        <v>5</v>
      </c>
      <c r="E3236" s="2">
        <v>16</v>
      </c>
      <c r="F3236" s="17">
        <v>186</v>
      </c>
      <c r="H3236" s="360">
        <v>1.9954387147586017E-3</v>
      </c>
      <c r="I3236" s="360">
        <v>1</v>
      </c>
      <c r="K3236" s="363"/>
      <c r="N3236" s="10"/>
      <c r="O3236" s="4"/>
      <c r="P3236" s="4"/>
      <c r="Q3236" s="3"/>
      <c r="R3236" s="3"/>
      <c r="S3236" s="3"/>
      <c r="T3236" s="3"/>
    </row>
    <row r="3237" spans="1:20">
      <c r="A3237" s="3">
        <v>1</v>
      </c>
      <c r="B3237" s="3">
        <v>2</v>
      </c>
      <c r="C3237" s="2">
        <v>25</v>
      </c>
      <c r="D3237" s="2">
        <v>5</v>
      </c>
      <c r="E3237" s="2">
        <v>16</v>
      </c>
      <c r="F3237" s="17">
        <v>186</v>
      </c>
      <c r="H3237" s="360">
        <v>1.5190936033944169E-2</v>
      </c>
      <c r="I3237" s="360">
        <v>1</v>
      </c>
      <c r="K3237" s="363"/>
      <c r="N3237" s="10"/>
      <c r="O3237" s="4"/>
      <c r="P3237" s="4"/>
      <c r="Q3237" s="3"/>
      <c r="R3237" s="3"/>
      <c r="S3237" s="3"/>
      <c r="T3237" s="3"/>
    </row>
    <row r="3238" spans="1:20">
      <c r="A3238" s="3">
        <v>1</v>
      </c>
      <c r="B3238" s="3">
        <v>1</v>
      </c>
      <c r="C3238" s="2">
        <v>25</v>
      </c>
      <c r="D3238" s="2">
        <v>5</v>
      </c>
      <c r="E3238" s="2">
        <v>16</v>
      </c>
      <c r="F3238" s="17">
        <v>186</v>
      </c>
      <c r="H3238" s="360">
        <v>0.42134091014197195</v>
      </c>
      <c r="I3238" s="360">
        <v>0.62623954484243882</v>
      </c>
      <c r="K3238" s="363"/>
      <c r="N3238" s="10"/>
      <c r="O3238" s="4"/>
      <c r="P3238" s="4"/>
      <c r="Q3238" s="3"/>
      <c r="R3238" s="3"/>
      <c r="S3238" s="3"/>
      <c r="T3238" s="3"/>
    </row>
    <row r="3239" spans="1:20">
      <c r="A3239" s="3">
        <v>1</v>
      </c>
      <c r="B3239" s="3">
        <v>1</v>
      </c>
      <c r="C3239" s="2">
        <v>25</v>
      </c>
      <c r="D3239" s="2">
        <v>30</v>
      </c>
      <c r="E3239" s="2">
        <v>16</v>
      </c>
      <c r="F3239" s="17">
        <v>186</v>
      </c>
      <c r="H3239" s="360">
        <v>0.16149025788576488</v>
      </c>
      <c r="I3239" s="360">
        <v>0.62395540419852868</v>
      </c>
      <c r="K3239" s="363"/>
      <c r="N3239" s="10"/>
      <c r="O3239" s="4"/>
      <c r="P3239" s="4"/>
      <c r="Q3239" s="3"/>
      <c r="R3239" s="3"/>
      <c r="S3239" s="3"/>
      <c r="T3239" s="3"/>
    </row>
    <row r="3240" spans="1:20">
      <c r="A3240" s="3">
        <v>1</v>
      </c>
      <c r="B3240" s="3">
        <v>1</v>
      </c>
      <c r="C3240" s="2">
        <v>25</v>
      </c>
      <c r="D3240" s="2">
        <v>5</v>
      </c>
      <c r="E3240" s="2">
        <v>1</v>
      </c>
      <c r="F3240" s="17">
        <v>186</v>
      </c>
      <c r="H3240" s="360">
        <v>6.0725521721447517E-2</v>
      </c>
      <c r="I3240" s="360">
        <v>0.61923957230212145</v>
      </c>
      <c r="K3240" s="363"/>
      <c r="N3240" s="10"/>
      <c r="O3240" s="4"/>
      <c r="P3240" s="4"/>
      <c r="Q3240" s="3"/>
      <c r="R3240" s="3"/>
      <c r="S3240" s="3"/>
      <c r="T3240" s="3"/>
    </row>
    <row r="3241" spans="1:20">
      <c r="A3241" s="3">
        <v>2</v>
      </c>
      <c r="B3241" s="3">
        <v>1</v>
      </c>
      <c r="C3241" s="2">
        <v>25</v>
      </c>
      <c r="D3241" s="2">
        <v>5</v>
      </c>
      <c r="E3241" s="2">
        <v>16</v>
      </c>
      <c r="F3241" s="17">
        <v>186</v>
      </c>
      <c r="H3241" s="360">
        <v>0.15731723947732079</v>
      </c>
      <c r="I3241" s="360">
        <v>0.28926623476052443</v>
      </c>
      <c r="K3241" s="363"/>
      <c r="N3241" s="10"/>
      <c r="O3241" s="4"/>
      <c r="P3241" s="4"/>
      <c r="Q3241" s="3"/>
      <c r="R3241" s="3"/>
      <c r="S3241" s="3"/>
      <c r="T3241" s="3"/>
    </row>
    <row r="3242" spans="1:20">
      <c r="A3242" s="3">
        <v>3</v>
      </c>
      <c r="B3242" s="3">
        <v>2</v>
      </c>
      <c r="C3242" s="2">
        <v>25</v>
      </c>
      <c r="D3242" s="2">
        <v>5</v>
      </c>
      <c r="E3242" s="2">
        <v>1</v>
      </c>
      <c r="F3242" s="17">
        <v>186</v>
      </c>
      <c r="H3242" s="360">
        <v>6.726443407793159E-3</v>
      </c>
      <c r="I3242" s="360">
        <v>0.24525875924140147</v>
      </c>
      <c r="K3242" s="363"/>
      <c r="N3242" s="10"/>
      <c r="O3242" s="4"/>
      <c r="P3242" s="4"/>
      <c r="Q3242" s="3"/>
      <c r="R3242" s="3"/>
      <c r="S3242" s="3"/>
      <c r="T3242" s="3"/>
    </row>
    <row r="3243" spans="1:20">
      <c r="A3243" s="3">
        <v>2</v>
      </c>
      <c r="B3243" s="3">
        <v>2</v>
      </c>
      <c r="C3243" s="2">
        <v>25</v>
      </c>
      <c r="D3243" s="2">
        <v>5</v>
      </c>
      <c r="E3243" s="2">
        <v>16</v>
      </c>
      <c r="F3243" s="17">
        <v>186</v>
      </c>
      <c r="H3243" s="360">
        <v>8.6754604237935351E-2</v>
      </c>
      <c r="I3243" s="360">
        <v>0.20711528207315769</v>
      </c>
      <c r="K3243" s="363"/>
      <c r="N3243" s="10"/>
      <c r="O3243" s="4"/>
      <c r="P3243" s="4"/>
      <c r="Q3243" s="3"/>
      <c r="R3243" s="3"/>
      <c r="S3243" s="3"/>
      <c r="T3243" s="3"/>
    </row>
    <row r="3244" spans="1:20">
      <c r="A3244" s="3">
        <v>1</v>
      </c>
      <c r="B3244" s="3">
        <v>2</v>
      </c>
      <c r="C3244" s="2">
        <v>25</v>
      </c>
      <c r="D3244" s="2">
        <v>30</v>
      </c>
      <c r="E3244" s="2">
        <v>16</v>
      </c>
      <c r="F3244" s="17">
        <v>186</v>
      </c>
      <c r="H3244" s="360">
        <v>2.0712515619458305E-2</v>
      </c>
      <c r="I3244" s="360">
        <v>8.0793242746970251E-2</v>
      </c>
      <c r="K3244" s="363"/>
      <c r="N3244" s="10"/>
      <c r="O3244" s="4"/>
      <c r="P3244" s="4"/>
      <c r="Q3244" s="3"/>
      <c r="R3244" s="3"/>
      <c r="S3244" s="3"/>
      <c r="T3244" s="3"/>
    </row>
    <row r="3245" spans="1:20">
      <c r="A3245" s="3">
        <v>1</v>
      </c>
      <c r="B3245" s="3">
        <v>2</v>
      </c>
      <c r="C3245" s="2">
        <v>25</v>
      </c>
      <c r="D3245" s="2">
        <v>5</v>
      </c>
      <c r="E3245" s="2">
        <v>1</v>
      </c>
      <c r="F3245" s="17">
        <v>186</v>
      </c>
      <c r="H3245" s="360">
        <v>0</v>
      </c>
      <c r="I3245" s="360">
        <v>0</v>
      </c>
      <c r="K3245" s="363"/>
      <c r="N3245" s="10"/>
      <c r="O3245" s="4"/>
      <c r="P3245" s="4"/>
      <c r="Q3245" s="3"/>
      <c r="R3245" s="3"/>
      <c r="S3245" s="3"/>
      <c r="T3245" s="3"/>
    </row>
    <row r="3246" spans="1:20">
      <c r="A3246" s="3">
        <v>2</v>
      </c>
      <c r="B3246" s="3">
        <v>2</v>
      </c>
      <c r="C3246" s="2">
        <v>25</v>
      </c>
      <c r="D3246" s="2">
        <v>5</v>
      </c>
      <c r="E3246" s="2">
        <v>1</v>
      </c>
      <c r="F3246" s="17">
        <v>186</v>
      </c>
      <c r="H3246" s="360">
        <v>0</v>
      </c>
      <c r="I3246" s="360">
        <v>0</v>
      </c>
      <c r="K3246" s="363"/>
      <c r="N3246" s="10"/>
      <c r="O3246" s="4"/>
      <c r="P3246" s="4"/>
      <c r="Q3246" s="3"/>
      <c r="R3246" s="3"/>
      <c r="S3246" s="3"/>
      <c r="T3246" s="3"/>
    </row>
    <row r="3247" spans="1:20">
      <c r="A3247" s="3">
        <v>3</v>
      </c>
      <c r="B3247" s="3">
        <v>2</v>
      </c>
      <c r="C3247" s="2">
        <v>25</v>
      </c>
      <c r="D3247" s="2">
        <v>5</v>
      </c>
      <c r="E3247" s="2">
        <v>16</v>
      </c>
      <c r="F3247" s="17">
        <v>186</v>
      </c>
      <c r="H3247" s="360">
        <v>0</v>
      </c>
      <c r="I3247" s="360">
        <v>0</v>
      </c>
      <c r="K3247" s="363"/>
      <c r="N3247" s="10"/>
      <c r="O3247" s="4"/>
      <c r="P3247" s="4"/>
      <c r="Q3247" s="3"/>
      <c r="R3247" s="3"/>
      <c r="S3247" s="3"/>
      <c r="T3247" s="3"/>
    </row>
    <row r="3248" spans="1:20">
      <c r="A3248" s="3">
        <v>5</v>
      </c>
      <c r="B3248" s="3">
        <v>2</v>
      </c>
      <c r="C3248" s="2">
        <v>25</v>
      </c>
      <c r="D3248" s="2">
        <v>5</v>
      </c>
      <c r="E3248" s="2">
        <v>16</v>
      </c>
      <c r="F3248" s="17">
        <v>186</v>
      </c>
      <c r="H3248" s="360">
        <v>0</v>
      </c>
      <c r="I3248" s="360">
        <v>0</v>
      </c>
      <c r="K3248" s="363"/>
      <c r="N3248" s="10"/>
      <c r="O3248" s="4"/>
      <c r="P3248" s="4"/>
      <c r="Q3248" s="3"/>
      <c r="R3248" s="3"/>
      <c r="S3248" s="3"/>
      <c r="T3248" s="3"/>
    </row>
    <row r="3249" spans="1:20">
      <c r="A3249" s="3">
        <v>2</v>
      </c>
      <c r="B3249" s="3">
        <v>1</v>
      </c>
      <c r="C3249" s="2">
        <v>25</v>
      </c>
      <c r="D3249" s="2">
        <v>5</v>
      </c>
      <c r="E3249" s="2">
        <v>1</v>
      </c>
      <c r="F3249" s="17">
        <v>186</v>
      </c>
      <c r="H3249" s="360">
        <v>0</v>
      </c>
      <c r="I3249" s="360">
        <v>0</v>
      </c>
      <c r="K3249" s="363"/>
      <c r="N3249" s="10"/>
      <c r="O3249" s="4"/>
      <c r="P3249" s="4"/>
      <c r="Q3249" s="3"/>
      <c r="R3249" s="3"/>
      <c r="S3249" s="3"/>
      <c r="T3249" s="3"/>
    </row>
    <row r="3250" spans="1:20">
      <c r="A3250" s="3">
        <v>3</v>
      </c>
      <c r="B3250" s="3">
        <v>1</v>
      </c>
      <c r="C3250" s="2">
        <v>25</v>
      </c>
      <c r="D3250" s="2">
        <v>5</v>
      </c>
      <c r="E3250" s="2">
        <v>1</v>
      </c>
      <c r="F3250" s="17">
        <v>186</v>
      </c>
      <c r="H3250" s="360">
        <v>0</v>
      </c>
      <c r="I3250" s="360">
        <v>0</v>
      </c>
      <c r="K3250" s="363"/>
      <c r="N3250" s="10"/>
      <c r="O3250" s="4"/>
      <c r="P3250" s="4"/>
      <c r="Q3250" s="3"/>
      <c r="R3250" s="3"/>
      <c r="S3250" s="3"/>
      <c r="T3250" s="3"/>
    </row>
    <row r="3251" spans="1:20">
      <c r="A3251" s="3">
        <v>3</v>
      </c>
      <c r="B3251" s="3">
        <v>1</v>
      </c>
      <c r="C3251" s="2">
        <v>25</v>
      </c>
      <c r="D3251" s="2">
        <v>5</v>
      </c>
      <c r="E3251" s="2">
        <v>16</v>
      </c>
      <c r="F3251" s="17">
        <v>186</v>
      </c>
      <c r="H3251" s="360">
        <v>5.6031232577198775E-2</v>
      </c>
      <c r="I3251" s="360">
        <v>-2.0990029735875461E-3</v>
      </c>
      <c r="K3251" s="363"/>
      <c r="N3251" s="10"/>
      <c r="O3251" s="4"/>
      <c r="P3251" s="4"/>
      <c r="Q3251" s="3"/>
      <c r="R3251" s="3"/>
      <c r="S3251" s="3"/>
      <c r="T3251" s="3"/>
    </row>
    <row r="3252" spans="1:20">
      <c r="A3252" s="3">
        <v>1</v>
      </c>
      <c r="B3252" s="3">
        <v>2</v>
      </c>
      <c r="C3252" s="2">
        <v>25</v>
      </c>
      <c r="D3252" s="2">
        <v>5</v>
      </c>
      <c r="E3252" s="2">
        <v>16</v>
      </c>
      <c r="F3252" s="17">
        <v>186</v>
      </c>
      <c r="H3252" s="360">
        <v>3.854292152586003E-2</v>
      </c>
      <c r="I3252" s="360">
        <v>-4.8786905952318299E-2</v>
      </c>
      <c r="K3252" s="363"/>
      <c r="N3252" s="10"/>
      <c r="O3252" s="4"/>
      <c r="P3252" s="4"/>
      <c r="Q3252" s="3"/>
      <c r="R3252" s="3"/>
      <c r="S3252" s="3"/>
      <c r="T3252" s="3"/>
    </row>
    <row r="3253" spans="1:20">
      <c r="A3253" s="3">
        <v>4</v>
      </c>
      <c r="B3253" s="3">
        <v>2</v>
      </c>
      <c r="C3253" s="2">
        <v>50</v>
      </c>
      <c r="D3253" s="2">
        <v>5</v>
      </c>
      <c r="E3253" s="2">
        <v>16</v>
      </c>
      <c r="F3253" s="17">
        <v>186</v>
      </c>
      <c r="H3253" s="360">
        <v>5.0371002976114632E-2</v>
      </c>
      <c r="I3253" s="360">
        <v>-6.1831017991345938E-2</v>
      </c>
      <c r="K3253" s="363"/>
      <c r="N3253" s="10"/>
      <c r="O3253" s="4"/>
      <c r="P3253" s="4"/>
      <c r="Q3253" s="3"/>
      <c r="R3253" s="3"/>
      <c r="S3253" s="3"/>
      <c r="T3253" s="3"/>
    </row>
    <row r="3254" spans="1:20">
      <c r="A3254" s="3">
        <v>4</v>
      </c>
      <c r="B3254" s="3">
        <v>2</v>
      </c>
      <c r="C3254" s="2">
        <v>50</v>
      </c>
      <c r="D3254" s="2">
        <v>5</v>
      </c>
      <c r="E3254" s="2">
        <v>16</v>
      </c>
      <c r="F3254" s="17">
        <v>187</v>
      </c>
      <c r="H3254" s="360">
        <v>0.55530520509155679</v>
      </c>
      <c r="I3254" s="360">
        <v>1.1625227955217294E-2</v>
      </c>
      <c r="K3254" s="363"/>
      <c r="N3254" s="10"/>
      <c r="O3254" s="4"/>
      <c r="P3254" s="4"/>
      <c r="Q3254" s="3"/>
      <c r="R3254" s="3"/>
      <c r="S3254" s="3"/>
      <c r="T3254" s="3"/>
    </row>
    <row r="3255" spans="1:20">
      <c r="A3255" s="3">
        <v>5</v>
      </c>
      <c r="B3255" s="3">
        <v>2</v>
      </c>
      <c r="C3255" s="2">
        <v>50</v>
      </c>
      <c r="D3255" s="2">
        <v>5</v>
      </c>
      <c r="E3255" s="2">
        <v>16</v>
      </c>
      <c r="F3255" s="17">
        <v>187</v>
      </c>
      <c r="H3255" s="360">
        <v>0.71122759415989867</v>
      </c>
      <c r="I3255" s="360">
        <v>-0.15396064833000184</v>
      </c>
      <c r="K3255" s="363"/>
      <c r="N3255" s="10"/>
      <c r="O3255" s="4"/>
      <c r="P3255" s="4"/>
      <c r="Q3255" s="3"/>
      <c r="R3255" s="3"/>
      <c r="S3255" s="3"/>
      <c r="T3255" s="3"/>
    </row>
    <row r="3256" spans="1:20">
      <c r="A3256" s="3">
        <v>5</v>
      </c>
      <c r="B3256" s="3">
        <v>2</v>
      </c>
      <c r="C3256" s="2">
        <v>25</v>
      </c>
      <c r="D3256" s="2">
        <v>5</v>
      </c>
      <c r="E3256" s="2">
        <v>16</v>
      </c>
      <c r="F3256" s="17">
        <v>187</v>
      </c>
      <c r="H3256" s="360">
        <v>8.6965515074396649E-2</v>
      </c>
      <c r="I3256" s="360">
        <v>-0.19347255928132673</v>
      </c>
      <c r="K3256" s="363"/>
      <c r="N3256" s="10"/>
      <c r="O3256" s="4"/>
      <c r="P3256" s="4"/>
      <c r="Q3256" s="3"/>
      <c r="R3256" s="3"/>
      <c r="S3256" s="3"/>
      <c r="T3256" s="3"/>
    </row>
    <row r="3257" spans="1:20">
      <c r="A3257" s="3">
        <v>1</v>
      </c>
      <c r="B3257" s="3">
        <v>2</v>
      </c>
      <c r="C3257" s="2">
        <v>25</v>
      </c>
      <c r="D3257" s="2">
        <v>30</v>
      </c>
      <c r="E3257" s="2">
        <v>16</v>
      </c>
      <c r="F3257" s="17">
        <v>187</v>
      </c>
      <c r="H3257" s="360">
        <v>1</v>
      </c>
      <c r="I3257" s="360">
        <v>-0.70637035641260026</v>
      </c>
      <c r="K3257" s="363"/>
      <c r="N3257" s="10"/>
      <c r="O3257" s="4"/>
      <c r="P3257" s="4"/>
      <c r="Q3257" s="3"/>
      <c r="R3257" s="3"/>
      <c r="S3257" s="3"/>
      <c r="T3257" s="3"/>
    </row>
    <row r="3258" spans="1:20">
      <c r="A3258" s="3">
        <v>1</v>
      </c>
      <c r="B3258" s="3">
        <v>2</v>
      </c>
      <c r="C3258" s="2">
        <v>25</v>
      </c>
      <c r="D3258" s="2">
        <v>5</v>
      </c>
      <c r="E3258" s="2">
        <v>16</v>
      </c>
      <c r="F3258" s="17">
        <v>187</v>
      </c>
      <c r="H3258" s="360">
        <v>1</v>
      </c>
      <c r="I3258" s="360">
        <v>-0.7947785789299322</v>
      </c>
      <c r="K3258" s="363"/>
      <c r="N3258" s="10"/>
      <c r="O3258" s="4"/>
      <c r="P3258" s="4"/>
      <c r="Q3258" s="3"/>
      <c r="R3258" s="3"/>
      <c r="S3258" s="3"/>
      <c r="T3258" s="3"/>
    </row>
    <row r="3259" spans="1:20">
      <c r="A3259" s="3">
        <v>1</v>
      </c>
      <c r="B3259" s="3">
        <v>2</v>
      </c>
      <c r="C3259" s="2">
        <v>25</v>
      </c>
      <c r="D3259" s="2">
        <v>5</v>
      </c>
      <c r="E3259" s="2">
        <v>16</v>
      </c>
      <c r="F3259" s="17">
        <v>187</v>
      </c>
      <c r="H3259" s="360">
        <v>1</v>
      </c>
      <c r="I3259" s="360">
        <v>-0.80295008108366195</v>
      </c>
      <c r="K3259" s="363"/>
      <c r="N3259" s="10"/>
      <c r="O3259" s="4"/>
      <c r="P3259" s="4"/>
      <c r="Q3259" s="3"/>
      <c r="R3259" s="3"/>
      <c r="S3259" s="3"/>
      <c r="T3259" s="3"/>
    </row>
    <row r="3260" spans="1:20">
      <c r="A3260" s="3">
        <v>2</v>
      </c>
      <c r="B3260" s="3">
        <v>1</v>
      </c>
      <c r="C3260" s="2">
        <v>25</v>
      </c>
      <c r="D3260" s="2">
        <v>5</v>
      </c>
      <c r="E3260" s="2">
        <v>1</v>
      </c>
      <c r="F3260" s="17">
        <v>187</v>
      </c>
      <c r="H3260" s="360">
        <v>1</v>
      </c>
      <c r="I3260" s="360">
        <v>-0.80495621816516916</v>
      </c>
      <c r="K3260" s="363"/>
      <c r="N3260" s="10"/>
      <c r="O3260" s="4"/>
      <c r="P3260" s="4"/>
      <c r="Q3260" s="3"/>
      <c r="R3260" s="3"/>
      <c r="S3260" s="3"/>
      <c r="T3260" s="3"/>
    </row>
    <row r="3261" spans="1:20">
      <c r="A3261" s="3">
        <v>3</v>
      </c>
      <c r="B3261" s="3">
        <v>2</v>
      </c>
      <c r="C3261" s="2">
        <v>25</v>
      </c>
      <c r="D3261" s="2">
        <v>5</v>
      </c>
      <c r="E3261" s="2">
        <v>16</v>
      </c>
      <c r="F3261" s="17">
        <v>187</v>
      </c>
      <c r="H3261" s="360">
        <v>0.98048946382339841</v>
      </c>
      <c r="I3261" s="360">
        <v>-0.80706617960287574</v>
      </c>
      <c r="K3261" s="363"/>
      <c r="N3261" s="10"/>
      <c r="O3261" s="4"/>
      <c r="P3261" s="4"/>
      <c r="Q3261" s="3"/>
      <c r="R3261" s="3"/>
      <c r="S3261" s="3"/>
      <c r="T3261" s="3"/>
    </row>
    <row r="3262" spans="1:20">
      <c r="A3262" s="3">
        <v>1</v>
      </c>
      <c r="B3262" s="3">
        <v>2</v>
      </c>
      <c r="C3262" s="2">
        <v>25</v>
      </c>
      <c r="D3262" s="2">
        <v>5</v>
      </c>
      <c r="E3262" s="2">
        <v>1</v>
      </c>
      <c r="F3262" s="17">
        <v>187</v>
      </c>
      <c r="H3262" s="360">
        <v>1</v>
      </c>
      <c r="I3262" s="360">
        <v>-0.81033823162997043</v>
      </c>
      <c r="K3262" s="363"/>
      <c r="N3262" s="10"/>
      <c r="O3262" s="4"/>
      <c r="P3262" s="4"/>
      <c r="Q3262" s="3"/>
      <c r="R3262" s="3"/>
      <c r="S3262" s="3"/>
      <c r="T3262" s="3"/>
    </row>
    <row r="3263" spans="1:20">
      <c r="A3263" s="3">
        <v>3</v>
      </c>
      <c r="B3263" s="3">
        <v>2</v>
      </c>
      <c r="C3263" s="2">
        <v>25</v>
      </c>
      <c r="D3263" s="2">
        <v>5</v>
      </c>
      <c r="E3263" s="2">
        <v>1</v>
      </c>
      <c r="F3263" s="17">
        <v>187</v>
      </c>
      <c r="H3263" s="360">
        <v>0.98496336229989279</v>
      </c>
      <c r="I3263" s="360">
        <v>-0.81104103107948389</v>
      </c>
      <c r="K3263" s="363"/>
      <c r="N3263" s="10"/>
      <c r="O3263" s="4"/>
      <c r="P3263" s="4"/>
      <c r="Q3263" s="3"/>
      <c r="R3263" s="3"/>
      <c r="S3263" s="3"/>
      <c r="T3263" s="3"/>
    </row>
    <row r="3264" spans="1:20">
      <c r="A3264" s="3">
        <v>1</v>
      </c>
      <c r="B3264" s="3">
        <v>1</v>
      </c>
      <c r="C3264" s="2">
        <v>25</v>
      </c>
      <c r="D3264" s="2">
        <v>5</v>
      </c>
      <c r="E3264" s="2">
        <v>1</v>
      </c>
      <c r="F3264" s="17">
        <v>187</v>
      </c>
      <c r="H3264" s="360">
        <v>1</v>
      </c>
      <c r="I3264" s="360">
        <v>-0.81356359425600899</v>
      </c>
      <c r="K3264" s="363"/>
      <c r="N3264" s="10"/>
      <c r="O3264" s="4"/>
      <c r="P3264" s="4"/>
      <c r="Q3264" s="3"/>
      <c r="R3264" s="3"/>
      <c r="S3264" s="3"/>
      <c r="T3264" s="3"/>
    </row>
    <row r="3265" spans="1:20">
      <c r="A3265" s="3">
        <v>1</v>
      </c>
      <c r="B3265" s="3">
        <v>1</v>
      </c>
      <c r="C3265" s="2">
        <v>25</v>
      </c>
      <c r="D3265" s="2">
        <v>30</v>
      </c>
      <c r="E3265" s="2">
        <v>16</v>
      </c>
      <c r="F3265" s="17">
        <v>187</v>
      </c>
      <c r="H3265" s="360">
        <v>1</v>
      </c>
      <c r="I3265" s="360">
        <v>-0.81368933341425387</v>
      </c>
      <c r="K3265" s="363"/>
      <c r="N3265" s="10"/>
      <c r="O3265" s="4"/>
      <c r="P3265" s="4"/>
      <c r="Q3265" s="3"/>
      <c r="R3265" s="3"/>
      <c r="S3265" s="3"/>
      <c r="T3265" s="3"/>
    </row>
    <row r="3266" spans="1:20">
      <c r="A3266" s="3">
        <v>1</v>
      </c>
      <c r="B3266" s="3">
        <v>1</v>
      </c>
      <c r="C3266" s="2">
        <v>25</v>
      </c>
      <c r="D3266" s="2">
        <v>5</v>
      </c>
      <c r="E3266" s="2">
        <v>16</v>
      </c>
      <c r="F3266" s="17">
        <v>187</v>
      </c>
      <c r="H3266" s="360">
        <v>1</v>
      </c>
      <c r="I3266" s="360">
        <v>-0.81373813673863804</v>
      </c>
      <c r="K3266" s="363"/>
      <c r="N3266" s="10"/>
      <c r="O3266" s="4"/>
      <c r="P3266" s="4"/>
      <c r="Q3266" s="3"/>
      <c r="R3266" s="3"/>
      <c r="S3266" s="3"/>
      <c r="T3266" s="3"/>
    </row>
    <row r="3267" spans="1:20">
      <c r="A3267" s="3">
        <v>2</v>
      </c>
      <c r="B3267" s="3">
        <v>1</v>
      </c>
      <c r="C3267" s="2">
        <v>25</v>
      </c>
      <c r="D3267" s="2">
        <v>5</v>
      </c>
      <c r="E3267" s="2">
        <v>16</v>
      </c>
      <c r="F3267" s="17">
        <v>187</v>
      </c>
      <c r="H3267" s="360">
        <v>1</v>
      </c>
      <c r="I3267" s="360">
        <v>-0.81547069717315357</v>
      </c>
      <c r="K3267" s="363"/>
      <c r="N3267" s="10"/>
      <c r="O3267" s="4"/>
      <c r="P3267" s="4"/>
      <c r="Q3267" s="3"/>
      <c r="R3267" s="3"/>
      <c r="S3267" s="3"/>
      <c r="T3267" s="3"/>
    </row>
    <row r="3268" spans="1:20">
      <c r="A3268" s="3">
        <v>2</v>
      </c>
      <c r="B3268" s="3">
        <v>2</v>
      </c>
      <c r="C3268" s="2">
        <v>25</v>
      </c>
      <c r="D3268" s="2">
        <v>5</v>
      </c>
      <c r="E3268" s="2">
        <v>1</v>
      </c>
      <c r="F3268" s="17">
        <v>187</v>
      </c>
      <c r="H3268" s="360">
        <v>1</v>
      </c>
      <c r="I3268" s="360">
        <v>-0.82902657541238978</v>
      </c>
      <c r="K3268" s="363"/>
      <c r="N3268" s="10"/>
      <c r="O3268" s="4"/>
      <c r="P3268" s="4"/>
      <c r="Q3268" s="3"/>
      <c r="R3268" s="3"/>
      <c r="S3268" s="3"/>
      <c r="T3268" s="3"/>
    </row>
    <row r="3269" spans="1:20">
      <c r="A3269" s="3">
        <v>2</v>
      </c>
      <c r="B3269" s="3">
        <v>2</v>
      </c>
      <c r="C3269" s="2">
        <v>25</v>
      </c>
      <c r="D3269" s="2">
        <v>5</v>
      </c>
      <c r="E3269" s="2">
        <v>16</v>
      </c>
      <c r="F3269" s="17">
        <v>187</v>
      </c>
      <c r="H3269" s="360">
        <v>1</v>
      </c>
      <c r="I3269" s="360">
        <v>-0.83476228531389274</v>
      </c>
      <c r="K3269" s="363"/>
      <c r="N3269" s="10"/>
      <c r="O3269" s="4"/>
      <c r="P3269" s="4"/>
      <c r="Q3269" s="3"/>
      <c r="R3269" s="3"/>
      <c r="S3269" s="3"/>
      <c r="T3269" s="3"/>
    </row>
    <row r="3270" spans="1:20">
      <c r="A3270" s="3">
        <v>3</v>
      </c>
      <c r="B3270" s="3">
        <v>1</v>
      </c>
      <c r="C3270" s="2">
        <v>25</v>
      </c>
      <c r="D3270" s="2">
        <v>5</v>
      </c>
      <c r="E3270" s="2">
        <v>16</v>
      </c>
      <c r="F3270" s="17">
        <v>187</v>
      </c>
      <c r="H3270" s="360">
        <v>0.96828256346084107</v>
      </c>
      <c r="I3270" s="360">
        <v>-0.84447311860875951</v>
      </c>
      <c r="K3270" s="363"/>
      <c r="N3270" s="10"/>
      <c r="O3270" s="4"/>
      <c r="P3270" s="4"/>
      <c r="Q3270" s="3"/>
      <c r="R3270" s="3"/>
      <c r="S3270" s="3"/>
      <c r="T3270" s="3"/>
    </row>
    <row r="3271" spans="1:20">
      <c r="A3271" s="3">
        <v>3</v>
      </c>
      <c r="B3271" s="3">
        <v>1</v>
      </c>
      <c r="C3271" s="2">
        <v>25</v>
      </c>
      <c r="D3271" s="2">
        <v>5</v>
      </c>
      <c r="E3271" s="2">
        <v>1</v>
      </c>
      <c r="F3271" s="17">
        <v>187</v>
      </c>
      <c r="H3271" s="360">
        <v>0.84226763372210001</v>
      </c>
      <c r="I3271" s="360">
        <v>-0.84592366393279128</v>
      </c>
      <c r="K3271" s="363"/>
      <c r="N3271" s="10"/>
      <c r="O3271" s="4"/>
      <c r="P3271" s="4"/>
      <c r="Q3271" s="3"/>
      <c r="R3271" s="3"/>
      <c r="S3271" s="3"/>
      <c r="T3271" s="3"/>
    </row>
    <row r="3272" spans="1:20">
      <c r="A3272" s="3">
        <v>1</v>
      </c>
      <c r="B3272" s="3">
        <v>1</v>
      </c>
      <c r="C3272" s="2">
        <v>25</v>
      </c>
      <c r="D3272" s="2">
        <v>5</v>
      </c>
      <c r="E3272" s="2">
        <v>16</v>
      </c>
      <c r="F3272" s="17">
        <v>188</v>
      </c>
      <c r="H3272" s="360">
        <v>1</v>
      </c>
      <c r="I3272" s="360">
        <v>0.67945961253868548</v>
      </c>
      <c r="K3272" s="363"/>
      <c r="N3272" s="10"/>
      <c r="O3272" s="4"/>
      <c r="P3272" s="4"/>
      <c r="Q3272" s="3"/>
      <c r="R3272" s="3"/>
      <c r="S3272" s="3"/>
      <c r="T3272" s="3"/>
    </row>
    <row r="3273" spans="1:20">
      <c r="A3273" s="3">
        <v>1</v>
      </c>
      <c r="B3273" s="3">
        <v>1</v>
      </c>
      <c r="C3273" s="2">
        <v>25</v>
      </c>
      <c r="D3273" s="2">
        <v>5</v>
      </c>
      <c r="E3273" s="2">
        <v>1</v>
      </c>
      <c r="F3273" s="17">
        <v>188</v>
      </c>
      <c r="H3273" s="360">
        <v>1</v>
      </c>
      <c r="I3273" s="360">
        <v>0.66287360840547505</v>
      </c>
      <c r="K3273" s="363"/>
      <c r="N3273" s="10"/>
      <c r="O3273" s="4"/>
      <c r="P3273" s="4"/>
      <c r="Q3273" s="3"/>
      <c r="R3273" s="3"/>
      <c r="S3273" s="3"/>
      <c r="T3273" s="3"/>
    </row>
    <row r="3274" spans="1:20">
      <c r="A3274" s="3">
        <v>1</v>
      </c>
      <c r="B3274" s="3">
        <v>2</v>
      </c>
      <c r="C3274" s="2">
        <v>25</v>
      </c>
      <c r="D3274" s="2">
        <v>5</v>
      </c>
      <c r="E3274" s="2">
        <v>1</v>
      </c>
      <c r="F3274" s="17">
        <v>188</v>
      </c>
      <c r="H3274" s="360">
        <v>0.6809062995596431</v>
      </c>
      <c r="I3274" s="360">
        <v>0.56005604233404904</v>
      </c>
      <c r="K3274" s="363"/>
      <c r="N3274" s="10"/>
      <c r="O3274" s="4"/>
      <c r="P3274" s="4"/>
      <c r="Q3274" s="3"/>
      <c r="R3274" s="3"/>
      <c r="S3274" s="3"/>
      <c r="T3274" s="3"/>
    </row>
    <row r="3275" spans="1:20">
      <c r="A3275" s="3">
        <v>1</v>
      </c>
      <c r="B3275" s="3">
        <v>2</v>
      </c>
      <c r="C3275" s="2">
        <v>25</v>
      </c>
      <c r="D3275" s="2">
        <v>5</v>
      </c>
      <c r="E3275" s="2">
        <v>16</v>
      </c>
      <c r="F3275" s="17">
        <v>188</v>
      </c>
      <c r="H3275" s="360">
        <v>1</v>
      </c>
      <c r="I3275" s="360">
        <v>0.55345810291268416</v>
      </c>
      <c r="K3275" s="363"/>
      <c r="N3275" s="10"/>
      <c r="O3275" s="4"/>
      <c r="P3275" s="4"/>
      <c r="Q3275" s="3"/>
      <c r="R3275" s="3"/>
      <c r="S3275" s="3"/>
      <c r="T3275" s="3"/>
    </row>
    <row r="3276" spans="1:20">
      <c r="A3276" s="3">
        <v>1</v>
      </c>
      <c r="B3276" s="3">
        <v>2</v>
      </c>
      <c r="C3276" s="2">
        <v>25</v>
      </c>
      <c r="D3276" s="2">
        <v>5</v>
      </c>
      <c r="E3276" s="2">
        <v>16</v>
      </c>
      <c r="F3276" s="17">
        <v>188</v>
      </c>
      <c r="H3276" s="360">
        <v>1</v>
      </c>
      <c r="I3276" s="360">
        <v>0.53496826349289084</v>
      </c>
      <c r="K3276" s="363"/>
      <c r="N3276" s="10"/>
      <c r="O3276" s="4"/>
      <c r="P3276" s="4"/>
      <c r="Q3276" s="3"/>
      <c r="R3276" s="3"/>
      <c r="S3276" s="3"/>
      <c r="T3276" s="3"/>
    </row>
    <row r="3277" spans="1:20">
      <c r="A3277" s="3">
        <v>4</v>
      </c>
      <c r="B3277" s="3">
        <v>2</v>
      </c>
      <c r="C3277" s="2">
        <v>50</v>
      </c>
      <c r="D3277" s="2">
        <v>5</v>
      </c>
      <c r="E3277" s="2">
        <v>16</v>
      </c>
      <c r="F3277" s="17">
        <v>188</v>
      </c>
      <c r="H3277" s="360">
        <v>1</v>
      </c>
      <c r="I3277" s="360">
        <v>0.41392290285191641</v>
      </c>
      <c r="K3277" s="363"/>
      <c r="N3277" s="10"/>
      <c r="O3277" s="4"/>
      <c r="P3277" s="4"/>
      <c r="Q3277" s="3"/>
      <c r="R3277" s="3"/>
      <c r="S3277" s="3"/>
      <c r="T3277" s="3"/>
    </row>
    <row r="3278" spans="1:20">
      <c r="A3278" s="3">
        <v>3</v>
      </c>
      <c r="B3278" s="3">
        <v>2</v>
      </c>
      <c r="C3278" s="2">
        <v>25</v>
      </c>
      <c r="D3278" s="2">
        <v>5</v>
      </c>
      <c r="E3278" s="2">
        <v>1</v>
      </c>
      <c r="F3278" s="17">
        <v>188</v>
      </c>
      <c r="H3278" s="360">
        <v>0.98736967247397212</v>
      </c>
      <c r="I3278" s="360">
        <v>0.33582190083089958</v>
      </c>
      <c r="K3278" s="363"/>
      <c r="N3278" s="10"/>
      <c r="O3278" s="4"/>
      <c r="P3278" s="4"/>
      <c r="Q3278" s="3"/>
      <c r="R3278" s="3"/>
      <c r="S3278" s="3"/>
      <c r="T3278" s="3"/>
    </row>
    <row r="3279" spans="1:20">
      <c r="A3279" s="3">
        <v>3</v>
      </c>
      <c r="B3279" s="3">
        <v>2</v>
      </c>
      <c r="C3279" s="2">
        <v>25</v>
      </c>
      <c r="D3279" s="2">
        <v>5</v>
      </c>
      <c r="E3279" s="2">
        <v>16</v>
      </c>
      <c r="F3279" s="17">
        <v>188</v>
      </c>
      <c r="H3279" s="360">
        <v>0.98883396678794089</v>
      </c>
      <c r="I3279" s="360">
        <v>0.28472106049241641</v>
      </c>
      <c r="K3279" s="363"/>
      <c r="N3279" s="10"/>
      <c r="O3279" s="4"/>
      <c r="P3279" s="4"/>
      <c r="Q3279" s="3"/>
      <c r="R3279" s="3"/>
      <c r="S3279" s="3"/>
      <c r="T3279" s="3"/>
    </row>
    <row r="3280" spans="1:20">
      <c r="A3280" s="3">
        <v>1</v>
      </c>
      <c r="B3280" s="3">
        <v>1</v>
      </c>
      <c r="C3280" s="2">
        <v>25</v>
      </c>
      <c r="D3280" s="2">
        <v>30</v>
      </c>
      <c r="E3280" s="2">
        <v>16</v>
      </c>
      <c r="F3280" s="17">
        <v>188</v>
      </c>
      <c r="H3280" s="360">
        <v>1</v>
      </c>
      <c r="I3280" s="360">
        <v>0.2833799457361697</v>
      </c>
      <c r="K3280" s="363"/>
      <c r="N3280" s="10"/>
      <c r="O3280" s="4"/>
      <c r="P3280" s="4"/>
      <c r="Q3280" s="3"/>
      <c r="R3280" s="3"/>
      <c r="S3280" s="3"/>
      <c r="T3280" s="3"/>
    </row>
    <row r="3281" spans="1:20">
      <c r="A3281" s="3">
        <v>2</v>
      </c>
      <c r="B3281" s="3">
        <v>2</v>
      </c>
      <c r="C3281" s="2">
        <v>25</v>
      </c>
      <c r="D3281" s="2">
        <v>5</v>
      </c>
      <c r="E3281" s="2">
        <v>1</v>
      </c>
      <c r="F3281" s="17">
        <v>188</v>
      </c>
      <c r="H3281" s="360">
        <v>0.997765502985278</v>
      </c>
      <c r="I3281" s="360">
        <v>0.27304774867005194</v>
      </c>
      <c r="K3281" s="363"/>
      <c r="N3281" s="10"/>
      <c r="O3281" s="4"/>
      <c r="P3281" s="4"/>
      <c r="Q3281" s="3"/>
      <c r="R3281" s="3"/>
      <c r="S3281" s="3"/>
      <c r="T3281" s="3"/>
    </row>
    <row r="3282" spans="1:20">
      <c r="A3282" s="3">
        <v>2</v>
      </c>
      <c r="B3282" s="3">
        <v>2</v>
      </c>
      <c r="C3282" s="2">
        <v>25</v>
      </c>
      <c r="D3282" s="2">
        <v>5</v>
      </c>
      <c r="E3282" s="2">
        <v>16</v>
      </c>
      <c r="F3282" s="17">
        <v>188</v>
      </c>
      <c r="H3282" s="360">
        <v>1</v>
      </c>
      <c r="I3282" s="360">
        <v>0.26556601103171762</v>
      </c>
      <c r="K3282" s="363"/>
      <c r="N3282" s="10"/>
      <c r="O3282" s="4"/>
      <c r="P3282" s="4"/>
      <c r="Q3282" s="3"/>
      <c r="R3282" s="3"/>
      <c r="S3282" s="3"/>
      <c r="T3282" s="3"/>
    </row>
    <row r="3283" spans="1:20">
      <c r="A3283" s="3">
        <v>2</v>
      </c>
      <c r="B3283" s="3">
        <v>1</v>
      </c>
      <c r="C3283" s="2">
        <v>25</v>
      </c>
      <c r="D3283" s="2">
        <v>5</v>
      </c>
      <c r="E3283" s="2">
        <v>1</v>
      </c>
      <c r="F3283" s="17">
        <v>188</v>
      </c>
      <c r="H3283" s="360">
        <v>1</v>
      </c>
      <c r="I3283" s="360">
        <v>0.24932896201326524</v>
      </c>
      <c r="K3283" s="363"/>
      <c r="N3283" s="10"/>
      <c r="O3283" s="4"/>
      <c r="P3283" s="4"/>
      <c r="Q3283" s="3"/>
      <c r="R3283" s="3"/>
      <c r="S3283" s="3"/>
      <c r="T3283" s="3"/>
    </row>
    <row r="3284" spans="1:20">
      <c r="A3284" s="3">
        <v>3</v>
      </c>
      <c r="B3284" s="3">
        <v>1</v>
      </c>
      <c r="C3284" s="2">
        <v>25</v>
      </c>
      <c r="D3284" s="2">
        <v>5</v>
      </c>
      <c r="E3284" s="2">
        <v>16</v>
      </c>
      <c r="F3284" s="17">
        <v>188</v>
      </c>
      <c r="H3284" s="360">
        <v>1</v>
      </c>
      <c r="I3284" s="360">
        <v>0.21598213007805861</v>
      </c>
      <c r="K3284" s="363"/>
      <c r="N3284" s="10"/>
      <c r="O3284" s="4"/>
      <c r="P3284" s="4"/>
      <c r="Q3284" s="3"/>
      <c r="R3284" s="3"/>
      <c r="S3284" s="3"/>
      <c r="T3284" s="3"/>
    </row>
    <row r="3285" spans="1:20">
      <c r="A3285" s="3">
        <v>3</v>
      </c>
      <c r="B3285" s="3">
        <v>1</v>
      </c>
      <c r="C3285" s="2">
        <v>25</v>
      </c>
      <c r="D3285" s="2">
        <v>5</v>
      </c>
      <c r="E3285" s="2">
        <v>1</v>
      </c>
      <c r="F3285" s="17">
        <v>188</v>
      </c>
      <c r="H3285" s="360">
        <v>0.20754242397511491</v>
      </c>
      <c r="I3285" s="360">
        <v>0.21196482207402126</v>
      </c>
      <c r="K3285" s="363"/>
      <c r="N3285" s="10"/>
      <c r="O3285" s="4"/>
      <c r="P3285" s="4"/>
      <c r="Q3285" s="3"/>
      <c r="R3285" s="3"/>
      <c r="S3285" s="3"/>
      <c r="T3285" s="3"/>
    </row>
    <row r="3286" spans="1:20">
      <c r="A3286" s="3">
        <v>2</v>
      </c>
      <c r="B3286" s="3">
        <v>1</v>
      </c>
      <c r="C3286" s="2">
        <v>25</v>
      </c>
      <c r="D3286" s="2">
        <v>5</v>
      </c>
      <c r="E3286" s="2">
        <v>16</v>
      </c>
      <c r="F3286" s="17">
        <v>188</v>
      </c>
      <c r="H3286" s="360">
        <v>1</v>
      </c>
      <c r="I3286" s="360">
        <v>0.20105521388750267</v>
      </c>
      <c r="K3286" s="363"/>
      <c r="N3286" s="10"/>
      <c r="O3286" s="4"/>
      <c r="P3286" s="4"/>
      <c r="Q3286" s="3"/>
      <c r="R3286" s="3"/>
      <c r="S3286" s="3"/>
      <c r="T3286" s="3"/>
    </row>
    <row r="3287" spans="1:20">
      <c r="A3287" s="3">
        <v>1</v>
      </c>
      <c r="B3287" s="3">
        <v>2</v>
      </c>
      <c r="C3287" s="2">
        <v>25</v>
      </c>
      <c r="D3287" s="2">
        <v>30</v>
      </c>
      <c r="E3287" s="2">
        <v>16</v>
      </c>
      <c r="F3287" s="17">
        <v>188</v>
      </c>
      <c r="H3287" s="360">
        <v>1</v>
      </c>
      <c r="I3287" s="360">
        <v>0.18102554873187243</v>
      </c>
      <c r="K3287" s="363"/>
      <c r="N3287" s="10"/>
      <c r="O3287" s="4"/>
      <c r="P3287" s="4"/>
      <c r="Q3287" s="3"/>
      <c r="R3287" s="3"/>
      <c r="S3287" s="3"/>
      <c r="T3287" s="3"/>
    </row>
    <row r="3288" spans="1:20">
      <c r="A3288" s="3">
        <v>5</v>
      </c>
      <c r="B3288" s="3">
        <v>2</v>
      </c>
      <c r="C3288" s="2">
        <v>50</v>
      </c>
      <c r="D3288" s="2">
        <v>5</v>
      </c>
      <c r="E3288" s="2">
        <v>16</v>
      </c>
      <c r="F3288" s="17">
        <v>188</v>
      </c>
      <c r="H3288" s="360">
        <v>1</v>
      </c>
      <c r="I3288" s="360">
        <v>-0.15478908567040578</v>
      </c>
      <c r="K3288" s="363"/>
      <c r="N3288" s="10"/>
      <c r="O3288" s="4"/>
      <c r="P3288" s="4"/>
      <c r="Q3288" s="3"/>
      <c r="R3288" s="3"/>
      <c r="S3288" s="3"/>
      <c r="T3288" s="3"/>
    </row>
    <row r="3289" spans="1:20">
      <c r="A3289" s="3">
        <v>5</v>
      </c>
      <c r="B3289" s="3">
        <v>2</v>
      </c>
      <c r="C3289" s="2">
        <v>25</v>
      </c>
      <c r="D3289" s="2">
        <v>5</v>
      </c>
      <c r="E3289" s="2">
        <v>16</v>
      </c>
      <c r="F3289" s="17">
        <v>188</v>
      </c>
      <c r="H3289" s="360">
        <v>1</v>
      </c>
      <c r="I3289" s="360">
        <v>-0.29543743048813254</v>
      </c>
      <c r="K3289" s="363"/>
      <c r="N3289" s="10"/>
      <c r="O3289" s="4"/>
      <c r="P3289" s="4"/>
      <c r="Q3289" s="3"/>
      <c r="R3289" s="3"/>
      <c r="S3289" s="3"/>
      <c r="T3289" s="3"/>
    </row>
    <row r="3290" spans="1:20">
      <c r="A3290" s="3">
        <v>1</v>
      </c>
      <c r="B3290" s="3">
        <v>2</v>
      </c>
      <c r="C3290" s="2">
        <v>25</v>
      </c>
      <c r="D3290" s="2">
        <v>5</v>
      </c>
      <c r="E3290" s="2">
        <v>1</v>
      </c>
      <c r="F3290" s="17">
        <v>189</v>
      </c>
      <c r="H3290" s="360">
        <v>1</v>
      </c>
      <c r="I3290" s="360">
        <v>0.17821848391564468</v>
      </c>
      <c r="K3290" s="363"/>
      <c r="N3290" s="10"/>
      <c r="O3290" s="4"/>
      <c r="P3290" s="4"/>
      <c r="Q3290" s="3"/>
      <c r="R3290" s="3"/>
      <c r="S3290" s="3"/>
      <c r="T3290" s="3"/>
    </row>
    <row r="3291" spans="1:20">
      <c r="A3291" s="3">
        <v>4</v>
      </c>
      <c r="B3291" s="3">
        <v>2</v>
      </c>
      <c r="C3291" s="2">
        <v>50</v>
      </c>
      <c r="D3291" s="2">
        <v>5</v>
      </c>
      <c r="E3291" s="2">
        <v>16</v>
      </c>
      <c r="F3291" s="17">
        <v>189</v>
      </c>
      <c r="H3291" s="360">
        <v>1</v>
      </c>
      <c r="I3291" s="360">
        <v>0.17674310123933276</v>
      </c>
      <c r="K3291" s="363"/>
      <c r="N3291" s="10"/>
      <c r="O3291" s="4"/>
      <c r="P3291" s="4"/>
      <c r="Q3291" s="3"/>
      <c r="R3291" s="3"/>
      <c r="S3291" s="3"/>
      <c r="T3291" s="3"/>
    </row>
    <row r="3292" spans="1:20">
      <c r="A3292" s="3">
        <v>1</v>
      </c>
      <c r="B3292" s="3">
        <v>2</v>
      </c>
      <c r="C3292" s="2">
        <v>25</v>
      </c>
      <c r="D3292" s="2">
        <v>5</v>
      </c>
      <c r="E3292" s="2">
        <v>16</v>
      </c>
      <c r="F3292" s="17">
        <v>189</v>
      </c>
      <c r="H3292" s="360">
        <v>1</v>
      </c>
      <c r="I3292" s="360">
        <v>0.1671004604239934</v>
      </c>
      <c r="K3292" s="363"/>
      <c r="N3292" s="10"/>
      <c r="O3292" s="4"/>
      <c r="P3292" s="4"/>
      <c r="Q3292" s="3"/>
      <c r="R3292" s="3"/>
      <c r="S3292" s="3"/>
      <c r="T3292" s="3"/>
    </row>
    <row r="3293" spans="1:20">
      <c r="A3293" s="3">
        <v>1</v>
      </c>
      <c r="B3293" s="3">
        <v>2</v>
      </c>
      <c r="C3293" s="2">
        <v>25</v>
      </c>
      <c r="D3293" s="2">
        <v>5</v>
      </c>
      <c r="E3293" s="2">
        <v>16</v>
      </c>
      <c r="F3293" s="17">
        <v>189</v>
      </c>
      <c r="H3293" s="360">
        <v>1</v>
      </c>
      <c r="I3293" s="360">
        <v>0.14543382278305891</v>
      </c>
      <c r="K3293" s="363"/>
      <c r="N3293" s="10"/>
      <c r="O3293" s="4"/>
      <c r="P3293" s="4"/>
      <c r="Q3293" s="3"/>
      <c r="R3293" s="3"/>
      <c r="S3293" s="3"/>
      <c r="T3293" s="3"/>
    </row>
    <row r="3294" spans="1:20">
      <c r="A3294" s="3">
        <v>1</v>
      </c>
      <c r="B3294" s="3">
        <v>1</v>
      </c>
      <c r="C3294" s="2">
        <v>25</v>
      </c>
      <c r="D3294" s="2">
        <v>5</v>
      </c>
      <c r="E3294" s="2">
        <v>1</v>
      </c>
      <c r="F3294" s="17">
        <v>189</v>
      </c>
      <c r="H3294" s="360">
        <v>1</v>
      </c>
      <c r="I3294" s="360">
        <v>0.12925618994074176</v>
      </c>
      <c r="K3294" s="363"/>
      <c r="N3294" s="10"/>
      <c r="O3294" s="4"/>
      <c r="P3294" s="4"/>
      <c r="Q3294" s="3"/>
      <c r="R3294" s="3"/>
      <c r="S3294" s="3"/>
      <c r="T3294" s="3"/>
    </row>
    <row r="3295" spans="1:20">
      <c r="A3295" s="3">
        <v>1</v>
      </c>
      <c r="B3295" s="3">
        <v>1</v>
      </c>
      <c r="C3295" s="2">
        <v>25</v>
      </c>
      <c r="D3295" s="2">
        <v>5</v>
      </c>
      <c r="E3295" s="2">
        <v>16</v>
      </c>
      <c r="F3295" s="17">
        <v>189</v>
      </c>
      <c r="H3295" s="360">
        <v>1</v>
      </c>
      <c r="I3295" s="360">
        <v>0.11786220725226011</v>
      </c>
      <c r="K3295" s="363"/>
      <c r="N3295" s="10"/>
      <c r="O3295" s="4"/>
      <c r="P3295" s="4"/>
      <c r="Q3295" s="3"/>
      <c r="R3295" s="3"/>
      <c r="S3295" s="3"/>
      <c r="T3295" s="3"/>
    </row>
    <row r="3296" spans="1:20">
      <c r="A3296" s="3">
        <v>2</v>
      </c>
      <c r="B3296" s="3">
        <v>2</v>
      </c>
      <c r="C3296" s="2">
        <v>25</v>
      </c>
      <c r="D3296" s="2">
        <v>5</v>
      </c>
      <c r="E3296" s="2">
        <v>1</v>
      </c>
      <c r="F3296" s="17">
        <v>189</v>
      </c>
      <c r="H3296" s="360">
        <v>1</v>
      </c>
      <c r="I3296" s="360">
        <v>3.6622651103103893E-2</v>
      </c>
      <c r="K3296" s="363"/>
      <c r="N3296" s="10"/>
      <c r="O3296" s="4"/>
      <c r="P3296" s="4"/>
      <c r="Q3296" s="3"/>
      <c r="R3296" s="3"/>
      <c r="S3296" s="3"/>
      <c r="T3296" s="3"/>
    </row>
    <row r="3297" spans="1:20">
      <c r="A3297" s="3">
        <v>2</v>
      </c>
      <c r="B3297" s="3">
        <v>2</v>
      </c>
      <c r="C3297" s="2">
        <v>25</v>
      </c>
      <c r="D3297" s="2">
        <v>5</v>
      </c>
      <c r="E3297" s="2">
        <v>16</v>
      </c>
      <c r="F3297" s="17">
        <v>189</v>
      </c>
      <c r="H3297" s="360">
        <v>1</v>
      </c>
      <c r="I3297" s="360">
        <v>2.6633238422895441E-2</v>
      </c>
      <c r="K3297" s="363"/>
      <c r="N3297" s="10"/>
      <c r="O3297" s="4"/>
      <c r="P3297" s="4"/>
      <c r="Q3297" s="3"/>
      <c r="R3297" s="3"/>
      <c r="S3297" s="3"/>
      <c r="T3297" s="3"/>
    </row>
    <row r="3298" spans="1:20">
      <c r="A3298" s="3">
        <v>1</v>
      </c>
      <c r="B3298" s="3">
        <v>1</v>
      </c>
      <c r="C3298" s="2">
        <v>25</v>
      </c>
      <c r="D3298" s="2">
        <v>30</v>
      </c>
      <c r="E3298" s="2">
        <v>16</v>
      </c>
      <c r="F3298" s="17">
        <v>189</v>
      </c>
      <c r="H3298" s="360">
        <v>1</v>
      </c>
      <c r="I3298" s="360">
        <v>-3.2122973034262065E-2</v>
      </c>
      <c r="K3298" s="363"/>
      <c r="N3298" s="10"/>
      <c r="O3298" s="4"/>
      <c r="P3298" s="4"/>
      <c r="Q3298" s="3"/>
      <c r="R3298" s="3"/>
      <c r="S3298" s="3"/>
      <c r="T3298" s="3"/>
    </row>
    <row r="3299" spans="1:20">
      <c r="A3299" s="3">
        <v>2</v>
      </c>
      <c r="B3299" s="3">
        <v>1</v>
      </c>
      <c r="C3299" s="2">
        <v>25</v>
      </c>
      <c r="D3299" s="2">
        <v>5</v>
      </c>
      <c r="E3299" s="2">
        <v>1</v>
      </c>
      <c r="F3299" s="17">
        <v>189</v>
      </c>
      <c r="H3299" s="360">
        <v>1</v>
      </c>
      <c r="I3299" s="360">
        <v>-5.096607319082147E-2</v>
      </c>
      <c r="K3299" s="363"/>
      <c r="N3299" s="10"/>
      <c r="O3299" s="4"/>
      <c r="P3299" s="4"/>
      <c r="Q3299" s="3"/>
      <c r="R3299" s="3"/>
      <c r="S3299" s="3"/>
      <c r="T3299" s="3"/>
    </row>
    <row r="3300" spans="1:20">
      <c r="A3300" s="3">
        <v>2</v>
      </c>
      <c r="B3300" s="3">
        <v>1</v>
      </c>
      <c r="C3300" s="2">
        <v>25</v>
      </c>
      <c r="D3300" s="2">
        <v>5</v>
      </c>
      <c r="E3300" s="2">
        <v>16</v>
      </c>
      <c r="F3300" s="17">
        <v>189</v>
      </c>
      <c r="H3300" s="360">
        <v>1</v>
      </c>
      <c r="I3300" s="360">
        <v>-8.3194812775190613E-2</v>
      </c>
      <c r="K3300" s="363"/>
      <c r="N3300" s="10"/>
      <c r="O3300" s="4"/>
      <c r="P3300" s="4"/>
      <c r="Q3300" s="3"/>
      <c r="R3300" s="3"/>
      <c r="S3300" s="3"/>
      <c r="T3300" s="3"/>
    </row>
    <row r="3301" spans="1:20">
      <c r="A3301" s="3">
        <v>1</v>
      </c>
      <c r="B3301" s="3">
        <v>2</v>
      </c>
      <c r="C3301" s="2">
        <v>25</v>
      </c>
      <c r="D3301" s="2">
        <v>30</v>
      </c>
      <c r="E3301" s="2">
        <v>16</v>
      </c>
      <c r="F3301" s="17">
        <v>189</v>
      </c>
      <c r="H3301" s="360">
        <v>1</v>
      </c>
      <c r="I3301" s="360">
        <v>-0.13534388550395551</v>
      </c>
      <c r="K3301" s="363"/>
      <c r="N3301" s="10"/>
      <c r="O3301" s="4"/>
      <c r="P3301" s="4"/>
      <c r="Q3301" s="3"/>
      <c r="R3301" s="3"/>
      <c r="S3301" s="3"/>
      <c r="T3301" s="3"/>
    </row>
    <row r="3302" spans="1:20">
      <c r="A3302" s="3">
        <v>3</v>
      </c>
      <c r="B3302" s="3">
        <v>1</v>
      </c>
      <c r="C3302" s="2">
        <v>25</v>
      </c>
      <c r="D3302" s="2">
        <v>5</v>
      </c>
      <c r="E3302" s="2">
        <v>1</v>
      </c>
      <c r="F3302" s="17">
        <v>189</v>
      </c>
      <c r="H3302" s="360">
        <v>0.98849862931969146</v>
      </c>
      <c r="I3302" s="360">
        <v>-0.16949933975800885</v>
      </c>
      <c r="K3302" s="363"/>
      <c r="N3302" s="10"/>
      <c r="O3302" s="4"/>
      <c r="P3302" s="4"/>
      <c r="Q3302" s="3"/>
      <c r="R3302" s="3"/>
      <c r="S3302" s="3"/>
      <c r="T3302" s="3"/>
    </row>
    <row r="3303" spans="1:20">
      <c r="A3303" s="3">
        <v>3</v>
      </c>
      <c r="B3303" s="3">
        <v>1</v>
      </c>
      <c r="C3303" s="2">
        <v>25</v>
      </c>
      <c r="D3303" s="2">
        <v>5</v>
      </c>
      <c r="E3303" s="2">
        <v>16</v>
      </c>
      <c r="F3303" s="17">
        <v>189</v>
      </c>
      <c r="H3303" s="360">
        <v>1</v>
      </c>
      <c r="I3303" s="360">
        <v>-0.21682189989708303</v>
      </c>
      <c r="K3303" s="363"/>
      <c r="N3303" s="10"/>
      <c r="O3303" s="4"/>
      <c r="P3303" s="4"/>
      <c r="Q3303" s="3"/>
      <c r="R3303" s="3"/>
      <c r="S3303" s="3"/>
      <c r="T3303" s="3"/>
    </row>
    <row r="3304" spans="1:20">
      <c r="A3304" s="3">
        <v>3</v>
      </c>
      <c r="B3304" s="3">
        <v>2</v>
      </c>
      <c r="C3304" s="2">
        <v>25</v>
      </c>
      <c r="D3304" s="2">
        <v>5</v>
      </c>
      <c r="E3304" s="2">
        <v>1</v>
      </c>
      <c r="F3304" s="17">
        <v>189</v>
      </c>
      <c r="H3304" s="360">
        <v>1</v>
      </c>
      <c r="I3304" s="360">
        <v>-0.30620609778194624</v>
      </c>
      <c r="K3304" s="363"/>
      <c r="N3304" s="10"/>
      <c r="O3304" s="4"/>
      <c r="P3304" s="4"/>
      <c r="Q3304" s="3"/>
      <c r="R3304" s="3"/>
      <c r="S3304" s="3"/>
      <c r="T3304" s="3"/>
    </row>
    <row r="3305" spans="1:20">
      <c r="A3305" s="3">
        <v>3</v>
      </c>
      <c r="B3305" s="3">
        <v>2</v>
      </c>
      <c r="C3305" s="2">
        <v>25</v>
      </c>
      <c r="D3305" s="2">
        <v>5</v>
      </c>
      <c r="E3305" s="2">
        <v>16</v>
      </c>
      <c r="F3305" s="17">
        <v>189</v>
      </c>
      <c r="H3305" s="360">
        <v>1</v>
      </c>
      <c r="I3305" s="360">
        <v>-0.32159310397742247</v>
      </c>
      <c r="K3305" s="363"/>
      <c r="N3305" s="10"/>
      <c r="O3305" s="4"/>
      <c r="P3305" s="4"/>
      <c r="Q3305" s="3"/>
      <c r="R3305" s="3"/>
      <c r="S3305" s="3"/>
      <c r="T3305" s="3"/>
    </row>
    <row r="3306" spans="1:20">
      <c r="A3306" s="3">
        <v>5</v>
      </c>
      <c r="B3306" s="3">
        <v>2</v>
      </c>
      <c r="C3306" s="2">
        <v>50</v>
      </c>
      <c r="D3306" s="2">
        <v>5</v>
      </c>
      <c r="E3306" s="2">
        <v>16</v>
      </c>
      <c r="F3306" s="17">
        <v>189</v>
      </c>
      <c r="H3306" s="360">
        <v>1</v>
      </c>
      <c r="I3306" s="360">
        <v>-0.47715215729343147</v>
      </c>
      <c r="K3306" s="363"/>
      <c r="N3306" s="10"/>
      <c r="O3306" s="4"/>
      <c r="P3306" s="4"/>
      <c r="Q3306" s="3"/>
      <c r="R3306" s="3"/>
      <c r="S3306" s="3"/>
      <c r="T3306" s="3"/>
    </row>
    <row r="3307" spans="1:20">
      <c r="A3307" s="3">
        <v>5</v>
      </c>
      <c r="B3307" s="3">
        <v>2</v>
      </c>
      <c r="C3307" s="2">
        <v>25</v>
      </c>
      <c r="D3307" s="2">
        <v>5</v>
      </c>
      <c r="E3307" s="2">
        <v>16</v>
      </c>
      <c r="F3307" s="17">
        <v>189</v>
      </c>
      <c r="H3307" s="360">
        <v>0.97416501954685697</v>
      </c>
      <c r="I3307" s="360">
        <v>-0.49911112610670794</v>
      </c>
      <c r="K3307" s="363"/>
      <c r="N3307" s="10"/>
      <c r="O3307" s="4"/>
      <c r="P3307" s="4"/>
      <c r="Q3307" s="3"/>
      <c r="R3307" s="3"/>
      <c r="S3307" s="3"/>
      <c r="T3307" s="3"/>
    </row>
    <row r="3308" spans="1:20">
      <c r="A3308" s="3">
        <v>1</v>
      </c>
      <c r="B3308" s="3">
        <v>2</v>
      </c>
      <c r="C3308" s="2">
        <v>25</v>
      </c>
      <c r="D3308" s="2">
        <v>30</v>
      </c>
      <c r="E3308" s="2">
        <v>16</v>
      </c>
      <c r="F3308" s="17">
        <v>190</v>
      </c>
      <c r="H3308" s="360">
        <v>1</v>
      </c>
      <c r="I3308" s="360">
        <v>0.48322201624494021</v>
      </c>
      <c r="K3308" s="363"/>
      <c r="N3308" s="10"/>
      <c r="O3308" s="4"/>
      <c r="P3308" s="4"/>
      <c r="Q3308" s="3"/>
      <c r="R3308" s="3"/>
      <c r="S3308" s="3"/>
      <c r="T3308" s="3"/>
    </row>
    <row r="3309" spans="1:20">
      <c r="A3309" s="3">
        <v>1</v>
      </c>
      <c r="B3309" s="3">
        <v>2</v>
      </c>
      <c r="C3309" s="2">
        <v>25</v>
      </c>
      <c r="D3309" s="2">
        <v>5</v>
      </c>
      <c r="E3309" s="2">
        <v>16</v>
      </c>
      <c r="F3309" s="17">
        <v>190</v>
      </c>
      <c r="H3309" s="360">
        <v>0.48121572999318885</v>
      </c>
      <c r="I3309" s="360">
        <v>0.312628724928666</v>
      </c>
      <c r="K3309" s="363"/>
      <c r="N3309" s="10"/>
      <c r="O3309" s="4"/>
      <c r="P3309" s="4"/>
      <c r="Q3309" s="3"/>
      <c r="R3309" s="3"/>
      <c r="S3309" s="3"/>
      <c r="T3309" s="3"/>
    </row>
    <row r="3310" spans="1:20">
      <c r="A3310" s="3">
        <v>1</v>
      </c>
      <c r="B3310" s="3">
        <v>1</v>
      </c>
      <c r="C3310" s="2">
        <v>25</v>
      </c>
      <c r="D3310" s="2">
        <v>5</v>
      </c>
      <c r="E3310" s="2">
        <v>1</v>
      </c>
      <c r="F3310" s="17">
        <v>190</v>
      </c>
      <c r="H3310" s="360">
        <v>0.22936633817644092</v>
      </c>
      <c r="I3310" s="360">
        <v>0.29822526863811799</v>
      </c>
      <c r="K3310" s="363"/>
      <c r="N3310" s="10"/>
      <c r="O3310" s="4"/>
      <c r="P3310" s="4"/>
      <c r="Q3310" s="3"/>
      <c r="R3310" s="3"/>
      <c r="S3310" s="3"/>
      <c r="T3310" s="3"/>
    </row>
    <row r="3311" spans="1:20">
      <c r="A3311" s="3">
        <v>2</v>
      </c>
      <c r="B3311" s="3">
        <v>1</v>
      </c>
      <c r="C3311" s="2">
        <v>25</v>
      </c>
      <c r="D3311" s="2">
        <v>5</v>
      </c>
      <c r="E3311" s="2">
        <v>16</v>
      </c>
      <c r="F3311" s="17">
        <v>190</v>
      </c>
      <c r="H3311" s="360">
        <v>0.33277869676516592</v>
      </c>
      <c r="I3311" s="360">
        <v>0.28074797687431274</v>
      </c>
      <c r="K3311" s="363"/>
      <c r="N3311" s="10"/>
      <c r="O3311" s="4"/>
      <c r="P3311" s="4"/>
      <c r="Q3311" s="3"/>
      <c r="R3311" s="3"/>
      <c r="S3311" s="3"/>
      <c r="T3311" s="3"/>
    </row>
    <row r="3312" spans="1:20">
      <c r="A3312" s="3">
        <v>1</v>
      </c>
      <c r="B3312" s="3">
        <v>2</v>
      </c>
      <c r="C3312" s="2">
        <v>25</v>
      </c>
      <c r="D3312" s="2">
        <v>5</v>
      </c>
      <c r="E3312" s="2">
        <v>16</v>
      </c>
      <c r="F3312" s="17">
        <v>190</v>
      </c>
      <c r="H3312" s="360">
        <v>0.64734391139416503</v>
      </c>
      <c r="I3312" s="360">
        <v>0.2275899697499193</v>
      </c>
      <c r="K3312" s="363"/>
      <c r="N3312" s="10"/>
      <c r="O3312" s="4"/>
      <c r="P3312" s="4"/>
      <c r="Q3312" s="3"/>
      <c r="R3312" s="3"/>
      <c r="S3312" s="3"/>
      <c r="T3312" s="3"/>
    </row>
    <row r="3313" spans="1:20">
      <c r="A3313" s="3">
        <v>3</v>
      </c>
      <c r="B3313" s="3">
        <v>1</v>
      </c>
      <c r="C3313" s="2">
        <v>25</v>
      </c>
      <c r="D3313" s="2">
        <v>5</v>
      </c>
      <c r="E3313" s="2">
        <v>16</v>
      </c>
      <c r="F3313" s="17">
        <v>190</v>
      </c>
      <c r="H3313" s="360">
        <v>0.36681707059933399</v>
      </c>
      <c r="I3313" s="360">
        <v>0.1440609582858719</v>
      </c>
      <c r="K3313" s="363"/>
      <c r="N3313" s="10"/>
      <c r="O3313" s="4"/>
      <c r="P3313" s="4"/>
      <c r="Q3313" s="3"/>
      <c r="R3313" s="3"/>
      <c r="S3313" s="3"/>
      <c r="T3313" s="3"/>
    </row>
    <row r="3314" spans="1:20">
      <c r="A3314" s="3">
        <v>1</v>
      </c>
      <c r="B3314" s="3">
        <v>2</v>
      </c>
      <c r="C3314" s="2">
        <v>25</v>
      </c>
      <c r="D3314" s="2">
        <v>5</v>
      </c>
      <c r="E3314" s="2">
        <v>1</v>
      </c>
      <c r="F3314" s="17">
        <v>190</v>
      </c>
      <c r="H3314" s="360">
        <v>7.0334279326371929E-2</v>
      </c>
      <c r="I3314" s="360">
        <v>0.14307319785184922</v>
      </c>
      <c r="K3314" s="363"/>
      <c r="N3314" s="10"/>
      <c r="O3314" s="4"/>
      <c r="P3314" s="4"/>
      <c r="Q3314" s="3"/>
      <c r="R3314" s="3"/>
      <c r="S3314" s="3"/>
      <c r="T3314" s="3"/>
    </row>
    <row r="3315" spans="1:20">
      <c r="A3315" s="3">
        <v>4</v>
      </c>
      <c r="B3315" s="3">
        <v>2</v>
      </c>
      <c r="C3315" s="2">
        <v>50</v>
      </c>
      <c r="D3315" s="2">
        <v>5</v>
      </c>
      <c r="E3315" s="2">
        <v>16</v>
      </c>
      <c r="F3315" s="17">
        <v>190</v>
      </c>
      <c r="H3315" s="360">
        <v>0.97156985331246948</v>
      </c>
      <c r="I3315" s="360">
        <v>9.0842191928538638E-2</v>
      </c>
      <c r="K3315" s="363"/>
      <c r="N3315" s="10"/>
      <c r="O3315" s="4"/>
      <c r="P3315" s="4"/>
      <c r="Q3315" s="3"/>
      <c r="R3315" s="3"/>
      <c r="S3315" s="3"/>
      <c r="T3315" s="3"/>
    </row>
    <row r="3316" spans="1:20">
      <c r="A3316" s="3">
        <v>1</v>
      </c>
      <c r="B3316" s="3">
        <v>1</v>
      </c>
      <c r="C3316" s="2">
        <v>25</v>
      </c>
      <c r="D3316" s="2">
        <v>5</v>
      </c>
      <c r="E3316" s="2">
        <v>16</v>
      </c>
      <c r="F3316" s="17">
        <v>190</v>
      </c>
      <c r="H3316" s="360">
        <v>0.56029205758449052</v>
      </c>
      <c r="I3316" s="360">
        <v>7.6637014433249093E-2</v>
      </c>
      <c r="K3316" s="363"/>
      <c r="N3316" s="10"/>
      <c r="O3316" s="4"/>
      <c r="P3316" s="4"/>
      <c r="Q3316" s="3"/>
      <c r="R3316" s="3"/>
      <c r="S3316" s="3"/>
      <c r="T3316" s="3"/>
    </row>
    <row r="3317" spans="1:20">
      <c r="A3317" s="3">
        <v>3</v>
      </c>
      <c r="B3317" s="3">
        <v>1</v>
      </c>
      <c r="C3317" s="2">
        <v>25</v>
      </c>
      <c r="D3317" s="2">
        <v>5</v>
      </c>
      <c r="E3317" s="2">
        <v>1</v>
      </c>
      <c r="F3317" s="17">
        <v>190</v>
      </c>
      <c r="H3317" s="360">
        <v>0.10544702555726437</v>
      </c>
      <c r="I3317" s="360">
        <v>5.8221730621968885E-2</v>
      </c>
      <c r="K3317" s="363"/>
      <c r="N3317" s="10"/>
      <c r="O3317" s="4"/>
      <c r="P3317" s="4"/>
      <c r="Q3317" s="3"/>
      <c r="R3317" s="3"/>
      <c r="S3317" s="3"/>
      <c r="T3317" s="3"/>
    </row>
    <row r="3318" spans="1:20">
      <c r="A3318" s="3">
        <v>3</v>
      </c>
      <c r="B3318" s="3">
        <v>2</v>
      </c>
      <c r="C3318" s="2">
        <v>25</v>
      </c>
      <c r="D3318" s="2">
        <v>5</v>
      </c>
      <c r="E3318" s="2">
        <v>1</v>
      </c>
      <c r="F3318" s="17">
        <v>190</v>
      </c>
      <c r="H3318" s="360">
        <v>0.10177704539609234</v>
      </c>
      <c r="I3318" s="360">
        <v>3.7083342162700515E-3</v>
      </c>
      <c r="K3318" s="363"/>
      <c r="N3318" s="10"/>
      <c r="O3318" s="4"/>
      <c r="P3318" s="4"/>
      <c r="Q3318" s="3"/>
      <c r="R3318" s="3"/>
      <c r="S3318" s="3"/>
      <c r="T3318" s="3"/>
    </row>
    <row r="3319" spans="1:20">
      <c r="A3319" s="3">
        <v>2</v>
      </c>
      <c r="B3319" s="3">
        <v>2</v>
      </c>
      <c r="C3319" s="2">
        <v>25</v>
      </c>
      <c r="D3319" s="2">
        <v>5</v>
      </c>
      <c r="E3319" s="2">
        <v>16</v>
      </c>
      <c r="F3319" s="17">
        <v>190</v>
      </c>
      <c r="H3319" s="360">
        <v>0.98431320856773297</v>
      </c>
      <c r="I3319" s="360">
        <v>-1.0080443908907707E-2</v>
      </c>
      <c r="K3319" s="363"/>
      <c r="N3319" s="10"/>
      <c r="O3319" s="4"/>
      <c r="P3319" s="4"/>
      <c r="Q3319" s="3"/>
      <c r="R3319" s="3"/>
      <c r="S3319" s="3"/>
      <c r="T3319" s="3"/>
    </row>
    <row r="3320" spans="1:20">
      <c r="A3320" s="3">
        <v>2</v>
      </c>
      <c r="B3320" s="3">
        <v>1</v>
      </c>
      <c r="C3320" s="2">
        <v>25</v>
      </c>
      <c r="D3320" s="2">
        <v>5</v>
      </c>
      <c r="E3320" s="2">
        <v>1</v>
      </c>
      <c r="F3320" s="17">
        <v>190</v>
      </c>
      <c r="H3320" s="360">
        <v>0.11529163233435846</v>
      </c>
      <c r="I3320" s="360">
        <v>-1.0168948032947902E-2</v>
      </c>
      <c r="K3320" s="363"/>
      <c r="N3320" s="10"/>
      <c r="O3320" s="4"/>
      <c r="P3320" s="4"/>
      <c r="Q3320" s="3"/>
      <c r="R3320" s="3"/>
      <c r="S3320" s="3"/>
      <c r="T3320" s="3"/>
    </row>
    <row r="3321" spans="1:20">
      <c r="A3321" s="3">
        <v>5</v>
      </c>
      <c r="B3321" s="3">
        <v>2</v>
      </c>
      <c r="C3321" s="2">
        <v>25</v>
      </c>
      <c r="D3321" s="2">
        <v>5</v>
      </c>
      <c r="E3321" s="2">
        <v>16</v>
      </c>
      <c r="F3321" s="17">
        <v>190</v>
      </c>
      <c r="H3321" s="360">
        <v>1</v>
      </c>
      <c r="I3321" s="360">
        <v>-1.6336885067499116E-2</v>
      </c>
      <c r="K3321" s="363"/>
      <c r="N3321" s="10"/>
      <c r="O3321" s="4"/>
      <c r="P3321" s="4"/>
      <c r="Q3321" s="3"/>
      <c r="R3321" s="3"/>
      <c r="S3321" s="3"/>
      <c r="T3321" s="3"/>
    </row>
    <row r="3322" spans="1:20">
      <c r="A3322" s="3">
        <v>1</v>
      </c>
      <c r="B3322" s="3">
        <v>1</v>
      </c>
      <c r="C3322" s="2">
        <v>25</v>
      </c>
      <c r="D3322" s="2">
        <v>30</v>
      </c>
      <c r="E3322" s="2">
        <v>16</v>
      </c>
      <c r="F3322" s="17">
        <v>190</v>
      </c>
      <c r="H3322" s="360">
        <v>1</v>
      </c>
      <c r="I3322" s="360">
        <v>-2.3215368610294784E-2</v>
      </c>
      <c r="K3322" s="363"/>
      <c r="N3322" s="10"/>
      <c r="O3322" s="4"/>
      <c r="P3322" s="4"/>
      <c r="Q3322" s="3"/>
      <c r="R3322" s="3"/>
      <c r="S3322" s="3"/>
      <c r="T3322" s="3"/>
    </row>
    <row r="3323" spans="1:20">
      <c r="A3323" s="3">
        <v>2</v>
      </c>
      <c r="B3323" s="3">
        <v>2</v>
      </c>
      <c r="C3323" s="2">
        <v>25</v>
      </c>
      <c r="D3323" s="2">
        <v>5</v>
      </c>
      <c r="E3323" s="2">
        <v>1</v>
      </c>
      <c r="F3323" s="17">
        <v>190</v>
      </c>
      <c r="H3323" s="360">
        <v>1</v>
      </c>
      <c r="I3323" s="360">
        <v>-3.1448437701568265E-2</v>
      </c>
      <c r="K3323" s="363"/>
      <c r="N3323" s="10"/>
      <c r="O3323" s="4"/>
      <c r="P3323" s="4"/>
      <c r="Q3323" s="3"/>
      <c r="R3323" s="3"/>
      <c r="S3323" s="3"/>
      <c r="T3323" s="3"/>
    </row>
    <row r="3324" spans="1:20">
      <c r="A3324" s="3">
        <v>5</v>
      </c>
      <c r="B3324" s="3">
        <v>2</v>
      </c>
      <c r="C3324" s="2">
        <v>50</v>
      </c>
      <c r="D3324" s="2">
        <v>5</v>
      </c>
      <c r="E3324" s="2">
        <v>16</v>
      </c>
      <c r="F3324" s="17">
        <v>190</v>
      </c>
      <c r="H3324" s="360">
        <v>1</v>
      </c>
      <c r="I3324" s="360">
        <v>-3.9794139485988422E-2</v>
      </c>
      <c r="K3324" s="363"/>
      <c r="N3324" s="10"/>
      <c r="O3324" s="4"/>
      <c r="P3324" s="4"/>
      <c r="Q3324" s="3"/>
      <c r="R3324" s="3"/>
      <c r="S3324" s="3"/>
      <c r="T3324" s="3"/>
    </row>
    <row r="3325" spans="1:20">
      <c r="A3325" s="3">
        <v>3</v>
      </c>
      <c r="B3325" s="3">
        <v>2</v>
      </c>
      <c r="C3325" s="2">
        <v>25</v>
      </c>
      <c r="D3325" s="2">
        <v>5</v>
      </c>
      <c r="E3325" s="2">
        <v>16</v>
      </c>
      <c r="F3325" s="17">
        <v>190</v>
      </c>
      <c r="H3325" s="360">
        <v>0.357070519120393</v>
      </c>
      <c r="I3325" s="360">
        <v>-9.9605324617346197E-2</v>
      </c>
      <c r="K3325" s="363"/>
      <c r="N3325" s="10"/>
      <c r="O3325" s="4"/>
      <c r="P3325" s="4"/>
      <c r="Q3325" s="3"/>
      <c r="R3325" s="3"/>
      <c r="S3325" s="3"/>
      <c r="T3325" s="3"/>
    </row>
    <row r="3326" spans="1:20">
      <c r="A3326" s="3">
        <v>2</v>
      </c>
      <c r="B3326" s="3">
        <v>2</v>
      </c>
      <c r="C3326" s="2">
        <v>25</v>
      </c>
      <c r="D3326" s="2">
        <v>5</v>
      </c>
      <c r="E3326" s="2">
        <v>16</v>
      </c>
      <c r="F3326" s="17">
        <v>191</v>
      </c>
      <c r="H3326" s="360">
        <v>0.29246477819038752</v>
      </c>
      <c r="I3326" s="360">
        <v>0.48481557661972774</v>
      </c>
      <c r="K3326" s="363"/>
      <c r="N3326" s="10"/>
      <c r="O3326" s="4"/>
      <c r="P3326" s="4"/>
      <c r="Q3326" s="3"/>
      <c r="R3326" s="3"/>
      <c r="S3326" s="3"/>
      <c r="T3326" s="3"/>
    </row>
    <row r="3327" spans="1:20">
      <c r="A3327" s="3">
        <v>2</v>
      </c>
      <c r="B3327" s="3">
        <v>1</v>
      </c>
      <c r="C3327" s="2">
        <v>25</v>
      </c>
      <c r="D3327" s="2">
        <v>5</v>
      </c>
      <c r="E3327" s="2">
        <v>16</v>
      </c>
      <c r="F3327" s="17">
        <v>191</v>
      </c>
      <c r="H3327" s="360">
        <v>0.10513046908969692</v>
      </c>
      <c r="I3327" s="360">
        <v>0.30267043721987141</v>
      </c>
      <c r="K3327" s="363"/>
      <c r="N3327" s="10"/>
      <c r="O3327" s="4"/>
      <c r="P3327" s="4"/>
      <c r="Q3327" s="3"/>
      <c r="R3327" s="3"/>
      <c r="S3327" s="3"/>
      <c r="T3327" s="3"/>
    </row>
    <row r="3328" spans="1:20">
      <c r="A3328" s="3">
        <v>3</v>
      </c>
      <c r="B3328" s="3">
        <v>1</v>
      </c>
      <c r="C3328" s="2">
        <v>25</v>
      </c>
      <c r="D3328" s="2">
        <v>5</v>
      </c>
      <c r="E3328" s="2">
        <v>1</v>
      </c>
      <c r="F3328" s="17">
        <v>191</v>
      </c>
      <c r="H3328" s="360">
        <v>8.1894155821328196E-3</v>
      </c>
      <c r="I3328" s="360">
        <v>0.22633136094674555</v>
      </c>
      <c r="K3328" s="363"/>
      <c r="N3328" s="10"/>
      <c r="O3328" s="4"/>
      <c r="P3328" s="4"/>
      <c r="Q3328" s="3"/>
      <c r="R3328" s="3"/>
      <c r="S3328" s="3"/>
      <c r="T3328" s="3"/>
    </row>
    <row r="3329" spans="1:20">
      <c r="A3329" s="3">
        <v>1</v>
      </c>
      <c r="B3329" s="3">
        <v>1</v>
      </c>
      <c r="C3329" s="2">
        <v>25</v>
      </c>
      <c r="D3329" s="2">
        <v>30</v>
      </c>
      <c r="E3329" s="2">
        <v>16</v>
      </c>
      <c r="F3329" s="17">
        <v>191</v>
      </c>
      <c r="H3329" s="360">
        <v>3.6302941224048313E-2</v>
      </c>
      <c r="I3329" s="360">
        <v>0.12434235852688311</v>
      </c>
      <c r="K3329" s="363"/>
      <c r="N3329" s="10"/>
      <c r="O3329" s="4"/>
      <c r="P3329" s="4"/>
      <c r="Q3329" s="3"/>
      <c r="R3329" s="3"/>
      <c r="S3329" s="3"/>
      <c r="T3329" s="3"/>
    </row>
    <row r="3330" spans="1:20">
      <c r="A3330" s="3">
        <v>1</v>
      </c>
      <c r="B3330" s="3">
        <v>2</v>
      </c>
      <c r="C3330" s="2">
        <v>25</v>
      </c>
      <c r="D3330" s="2">
        <v>5</v>
      </c>
      <c r="E3330" s="2">
        <v>16</v>
      </c>
      <c r="F3330" s="17">
        <v>191</v>
      </c>
      <c r="H3330" s="360">
        <v>0.12823519376166692</v>
      </c>
      <c r="I3330" s="360">
        <v>6.1710109997145907E-2</v>
      </c>
      <c r="K3330" s="363"/>
      <c r="N3330" s="10"/>
      <c r="O3330" s="4"/>
      <c r="P3330" s="4"/>
      <c r="Q3330" s="3"/>
      <c r="R3330" s="3"/>
      <c r="S3330" s="3"/>
      <c r="T3330" s="3"/>
    </row>
    <row r="3331" spans="1:20">
      <c r="A3331" s="3">
        <v>1</v>
      </c>
      <c r="B3331" s="3">
        <v>1</v>
      </c>
      <c r="C3331" s="2">
        <v>25</v>
      </c>
      <c r="D3331" s="2">
        <v>5</v>
      </c>
      <c r="E3331" s="2">
        <v>1</v>
      </c>
      <c r="F3331" s="17">
        <v>191</v>
      </c>
      <c r="H3331" s="360">
        <v>0</v>
      </c>
      <c r="I3331" s="360">
        <v>0</v>
      </c>
      <c r="K3331" s="363"/>
      <c r="N3331" s="10"/>
      <c r="O3331" s="4"/>
      <c r="P3331" s="4"/>
      <c r="Q3331" s="3"/>
      <c r="R3331" s="3"/>
      <c r="S3331" s="3"/>
      <c r="T3331" s="3"/>
    </row>
    <row r="3332" spans="1:20">
      <c r="A3332" s="3">
        <v>1</v>
      </c>
      <c r="B3332" s="3">
        <v>2</v>
      </c>
      <c r="C3332" s="2">
        <v>25</v>
      </c>
      <c r="D3332" s="2">
        <v>5</v>
      </c>
      <c r="E3332" s="2">
        <v>1</v>
      </c>
      <c r="F3332" s="17">
        <v>191</v>
      </c>
      <c r="H3332" s="360">
        <v>0</v>
      </c>
      <c r="I3332" s="360">
        <v>0</v>
      </c>
      <c r="K3332" s="363"/>
      <c r="N3332" s="10"/>
      <c r="O3332" s="4"/>
      <c r="P3332" s="4"/>
      <c r="Q3332" s="3"/>
      <c r="R3332" s="3"/>
      <c r="S3332" s="3"/>
      <c r="T3332" s="3"/>
    </row>
    <row r="3333" spans="1:20">
      <c r="A3333" s="3">
        <v>2</v>
      </c>
      <c r="B3333" s="3">
        <v>2</v>
      </c>
      <c r="C3333" s="2">
        <v>25</v>
      </c>
      <c r="D3333" s="2">
        <v>5</v>
      </c>
      <c r="E3333" s="2">
        <v>1</v>
      </c>
      <c r="F3333" s="17">
        <v>191</v>
      </c>
      <c r="H3333" s="360">
        <v>0</v>
      </c>
      <c r="I3333" s="360">
        <v>0</v>
      </c>
      <c r="K3333" s="363"/>
      <c r="N3333" s="10"/>
      <c r="O3333" s="4"/>
      <c r="P3333" s="4"/>
      <c r="Q3333" s="3"/>
      <c r="R3333" s="3"/>
      <c r="S3333" s="3"/>
      <c r="T3333" s="3"/>
    </row>
    <row r="3334" spans="1:20">
      <c r="A3334" s="3">
        <v>2</v>
      </c>
      <c r="B3334" s="3">
        <v>1</v>
      </c>
      <c r="C3334" s="2">
        <v>25</v>
      </c>
      <c r="D3334" s="2">
        <v>5</v>
      </c>
      <c r="E3334" s="2">
        <v>1</v>
      </c>
      <c r="F3334" s="17">
        <v>191</v>
      </c>
      <c r="H3334" s="360">
        <v>0</v>
      </c>
      <c r="I3334" s="360">
        <v>0</v>
      </c>
      <c r="K3334" s="363"/>
      <c r="N3334" s="10"/>
      <c r="O3334" s="4"/>
      <c r="P3334" s="4"/>
      <c r="Q3334" s="3"/>
      <c r="R3334" s="3"/>
      <c r="S3334" s="3"/>
      <c r="T3334" s="3"/>
    </row>
    <row r="3335" spans="1:20">
      <c r="A3335" s="3">
        <v>1</v>
      </c>
      <c r="B3335" s="3">
        <v>2</v>
      </c>
      <c r="C3335" s="2">
        <v>25</v>
      </c>
      <c r="D3335" s="2">
        <v>5</v>
      </c>
      <c r="E3335" s="2">
        <v>16</v>
      </c>
      <c r="F3335" s="17">
        <v>191</v>
      </c>
      <c r="H3335" s="360">
        <v>0.11453002663162093</v>
      </c>
      <c r="I3335" s="360">
        <v>-4.3079952779047654E-3</v>
      </c>
      <c r="K3335" s="363"/>
      <c r="N3335" s="10"/>
      <c r="O3335" s="4"/>
      <c r="P3335" s="4"/>
      <c r="Q3335" s="3"/>
      <c r="R3335" s="3"/>
      <c r="S3335" s="3"/>
      <c r="T3335" s="3"/>
    </row>
    <row r="3336" spans="1:20">
      <c r="A3336" s="3">
        <v>1</v>
      </c>
      <c r="B3336" s="3">
        <v>2</v>
      </c>
      <c r="C3336" s="2">
        <v>25</v>
      </c>
      <c r="D3336" s="2">
        <v>30</v>
      </c>
      <c r="E3336" s="2">
        <v>16</v>
      </c>
      <c r="F3336" s="17">
        <v>191</v>
      </c>
      <c r="H3336" s="360">
        <v>0.17125728029071152</v>
      </c>
      <c r="I3336" s="360">
        <v>-3.8661256038442199E-2</v>
      </c>
      <c r="K3336" s="363"/>
      <c r="N3336" s="10"/>
      <c r="O3336" s="4"/>
      <c r="P3336" s="4"/>
      <c r="Q3336" s="3"/>
      <c r="R3336" s="3"/>
      <c r="S3336" s="3"/>
      <c r="T3336" s="3"/>
    </row>
    <row r="3337" spans="1:20">
      <c r="A3337" s="3">
        <v>3</v>
      </c>
      <c r="B3337" s="3">
        <v>2</v>
      </c>
      <c r="C3337" s="2">
        <v>25</v>
      </c>
      <c r="D3337" s="2">
        <v>5</v>
      </c>
      <c r="E3337" s="2">
        <v>1</v>
      </c>
      <c r="F3337" s="17">
        <v>191</v>
      </c>
      <c r="H3337" s="360">
        <v>4.4260115289201929E-2</v>
      </c>
      <c r="I3337" s="360">
        <v>-8.2234115443033176E-2</v>
      </c>
      <c r="K3337" s="363"/>
      <c r="N3337" s="10"/>
      <c r="O3337" s="4"/>
      <c r="P3337" s="4"/>
      <c r="Q3337" s="3"/>
      <c r="R3337" s="3"/>
      <c r="S3337" s="3"/>
      <c r="T3337" s="3"/>
    </row>
    <row r="3338" spans="1:20">
      <c r="A3338" s="3">
        <v>3</v>
      </c>
      <c r="B3338" s="3">
        <v>2</v>
      </c>
      <c r="C3338" s="2">
        <v>25</v>
      </c>
      <c r="D3338" s="2">
        <v>5</v>
      </c>
      <c r="E3338" s="2">
        <v>16</v>
      </c>
      <c r="F3338" s="17">
        <v>191</v>
      </c>
      <c r="H3338" s="360">
        <v>0.5498324466953336</v>
      </c>
      <c r="I3338" s="360">
        <v>-0.10124818747202767</v>
      </c>
      <c r="K3338" s="363"/>
      <c r="N3338" s="10"/>
      <c r="O3338" s="4"/>
      <c r="P3338" s="4"/>
      <c r="Q3338" s="3"/>
      <c r="R3338" s="3"/>
      <c r="S3338" s="3"/>
      <c r="T3338" s="3"/>
    </row>
    <row r="3339" spans="1:20">
      <c r="A3339" s="3">
        <v>1</v>
      </c>
      <c r="B3339" s="3">
        <v>1</v>
      </c>
      <c r="C3339" s="2">
        <v>25</v>
      </c>
      <c r="D3339" s="2">
        <v>5</v>
      </c>
      <c r="E3339" s="2">
        <v>16</v>
      </c>
      <c r="F3339" s="17">
        <v>191</v>
      </c>
      <c r="H3339" s="360">
        <v>6.2303925595796672E-2</v>
      </c>
      <c r="I3339" s="360">
        <v>-0.23642330079599433</v>
      </c>
      <c r="K3339" s="363"/>
      <c r="N3339" s="10"/>
      <c r="O3339" s="4"/>
      <c r="P3339" s="4"/>
      <c r="Q3339" s="3"/>
      <c r="R3339" s="3"/>
      <c r="S3339" s="3"/>
      <c r="T3339" s="3"/>
    </row>
    <row r="3340" spans="1:20">
      <c r="A3340" s="3">
        <v>3</v>
      </c>
      <c r="B3340" s="3">
        <v>1</v>
      </c>
      <c r="C3340" s="2">
        <v>25</v>
      </c>
      <c r="D3340" s="2">
        <v>5</v>
      </c>
      <c r="E3340" s="2">
        <v>16</v>
      </c>
      <c r="F3340" s="17">
        <v>191</v>
      </c>
      <c r="H3340" s="360">
        <v>6.0428496222247108E-2</v>
      </c>
      <c r="I3340" s="360">
        <v>-0.33784332192436384</v>
      </c>
      <c r="K3340" s="363"/>
      <c r="N3340" s="10"/>
      <c r="O3340" s="4"/>
      <c r="P3340" s="4"/>
      <c r="Q3340" s="3"/>
      <c r="R3340" s="3"/>
      <c r="S3340" s="3"/>
      <c r="T3340" s="3"/>
    </row>
    <row r="3341" spans="1:20">
      <c r="A3341" s="3">
        <v>4</v>
      </c>
      <c r="B3341" s="3">
        <v>2</v>
      </c>
      <c r="C3341" s="2">
        <v>50</v>
      </c>
      <c r="D3341" s="2">
        <v>5</v>
      </c>
      <c r="E3341" s="2">
        <v>16</v>
      </c>
      <c r="F3341" s="17">
        <v>191</v>
      </c>
      <c r="H3341" s="360">
        <v>1</v>
      </c>
      <c r="I3341" s="360">
        <v>-0.35711907985048841</v>
      </c>
      <c r="K3341" s="363"/>
      <c r="N3341" s="10"/>
      <c r="O3341" s="4"/>
      <c r="P3341" s="4"/>
      <c r="Q3341" s="3"/>
      <c r="R3341" s="3"/>
      <c r="S3341" s="3"/>
      <c r="T3341" s="3"/>
    </row>
    <row r="3342" spans="1:20">
      <c r="A3342" s="3">
        <v>5</v>
      </c>
      <c r="B3342" s="3">
        <v>2</v>
      </c>
      <c r="C3342" s="2">
        <v>25</v>
      </c>
      <c r="D3342" s="2">
        <v>5</v>
      </c>
      <c r="E3342" s="2">
        <v>16</v>
      </c>
      <c r="F3342" s="17">
        <v>191</v>
      </c>
      <c r="H3342" s="360">
        <v>1</v>
      </c>
      <c r="I3342" s="360">
        <v>-0.38187666190860531</v>
      </c>
      <c r="K3342" s="363"/>
      <c r="N3342" s="10"/>
      <c r="O3342" s="4"/>
      <c r="P3342" s="4"/>
      <c r="Q3342" s="3"/>
      <c r="R3342" s="3"/>
      <c r="S3342" s="3"/>
      <c r="T3342" s="3"/>
    </row>
    <row r="3343" spans="1:20">
      <c r="A3343" s="3">
        <v>5</v>
      </c>
      <c r="B3343" s="3">
        <v>2</v>
      </c>
      <c r="C3343" s="2">
        <v>50</v>
      </c>
      <c r="D3343" s="2">
        <v>5</v>
      </c>
      <c r="E3343" s="2">
        <v>16</v>
      </c>
      <c r="F3343" s="17">
        <v>191</v>
      </c>
      <c r="H3343" s="360">
        <v>1</v>
      </c>
      <c r="I3343" s="360">
        <v>-0.45111211104239735</v>
      </c>
      <c r="K3343" s="363"/>
      <c r="N3343" s="10"/>
      <c r="O3343" s="4"/>
      <c r="P3343" s="4"/>
      <c r="Q3343" s="3"/>
      <c r="R3343" s="3"/>
      <c r="S3343" s="3"/>
      <c r="T3343" s="3"/>
    </row>
    <row r="3344" spans="1:20">
      <c r="A3344" s="3">
        <v>1</v>
      </c>
      <c r="B3344" s="3">
        <v>2</v>
      </c>
      <c r="C3344" s="2">
        <v>25</v>
      </c>
      <c r="D3344" s="2">
        <v>5</v>
      </c>
      <c r="E3344" s="2">
        <v>1</v>
      </c>
      <c r="F3344" s="17">
        <v>192</v>
      </c>
      <c r="H3344" s="360">
        <v>2.2588547699006867E-2</v>
      </c>
      <c r="I3344" s="360">
        <v>1</v>
      </c>
      <c r="K3344" s="363"/>
      <c r="N3344" s="10"/>
      <c r="O3344" s="4"/>
      <c r="P3344" s="4"/>
      <c r="Q3344" s="3"/>
      <c r="R3344" s="3"/>
      <c r="S3344" s="3"/>
      <c r="T3344" s="3"/>
    </row>
    <row r="3345" spans="1:20">
      <c r="A3345" s="3">
        <v>1</v>
      </c>
      <c r="B3345" s="3">
        <v>2</v>
      </c>
      <c r="C3345" s="2">
        <v>25</v>
      </c>
      <c r="D3345" s="2">
        <v>5</v>
      </c>
      <c r="E3345" s="2">
        <v>16</v>
      </c>
      <c r="F3345" s="17">
        <v>192</v>
      </c>
      <c r="H3345" s="360">
        <v>7.2742325400453001E-2</v>
      </c>
      <c r="I3345" s="360">
        <v>0.52440688641612432</v>
      </c>
      <c r="K3345" s="363"/>
      <c r="N3345" s="10"/>
      <c r="O3345" s="4"/>
      <c r="P3345" s="4"/>
      <c r="Q3345" s="3"/>
      <c r="R3345" s="3"/>
      <c r="S3345" s="3"/>
      <c r="T3345" s="3"/>
    </row>
    <row r="3346" spans="1:20">
      <c r="A3346" s="3">
        <v>1</v>
      </c>
      <c r="B3346" s="3">
        <v>2</v>
      </c>
      <c r="C3346" s="2">
        <v>25</v>
      </c>
      <c r="D3346" s="2">
        <v>30</v>
      </c>
      <c r="E3346" s="2">
        <v>16</v>
      </c>
      <c r="F3346" s="17">
        <v>192</v>
      </c>
      <c r="H3346" s="360">
        <v>0.14061754712812891</v>
      </c>
      <c r="I3346" s="360">
        <v>0.19494894207966315</v>
      </c>
      <c r="K3346" s="363"/>
      <c r="N3346" s="10"/>
      <c r="O3346" s="4"/>
      <c r="P3346" s="4"/>
      <c r="Q3346" s="3"/>
      <c r="R3346" s="3"/>
      <c r="S3346" s="3"/>
      <c r="T3346" s="3"/>
    </row>
    <row r="3347" spans="1:20">
      <c r="A3347" s="3">
        <v>1</v>
      </c>
      <c r="B3347" s="3">
        <v>2</v>
      </c>
      <c r="C3347" s="2">
        <v>25</v>
      </c>
      <c r="D3347" s="2">
        <v>5</v>
      </c>
      <c r="E3347" s="2">
        <v>16</v>
      </c>
      <c r="F3347" s="17">
        <v>192</v>
      </c>
      <c r="H3347" s="360">
        <v>0.12857419100250667</v>
      </c>
      <c r="I3347" s="360">
        <v>0.13031713514310567</v>
      </c>
      <c r="K3347" s="363"/>
      <c r="N3347" s="10"/>
      <c r="O3347" s="4"/>
      <c r="P3347" s="4"/>
      <c r="Q3347" s="3"/>
      <c r="R3347" s="3"/>
      <c r="S3347" s="3"/>
      <c r="T3347" s="3"/>
    </row>
    <row r="3348" spans="1:20">
      <c r="A3348" s="3">
        <v>5</v>
      </c>
      <c r="B3348" s="3">
        <v>2</v>
      </c>
      <c r="C3348" s="2">
        <v>50</v>
      </c>
      <c r="D3348" s="2">
        <v>5</v>
      </c>
      <c r="E3348" s="2">
        <v>16</v>
      </c>
      <c r="F3348" s="17">
        <v>192</v>
      </c>
      <c r="H3348" s="360">
        <v>1</v>
      </c>
      <c r="I3348" s="360">
        <v>9.4972839492112243E-2</v>
      </c>
      <c r="K3348" s="363"/>
      <c r="N3348" s="10"/>
      <c r="O3348" s="4"/>
      <c r="P3348" s="4"/>
      <c r="Q3348" s="3"/>
      <c r="R3348" s="3"/>
      <c r="S3348" s="3"/>
      <c r="T3348" s="3"/>
    </row>
    <row r="3349" spans="1:20">
      <c r="A3349" s="3">
        <v>5</v>
      </c>
      <c r="B3349" s="3">
        <v>2</v>
      </c>
      <c r="C3349" s="2">
        <v>25</v>
      </c>
      <c r="D3349" s="2">
        <v>5</v>
      </c>
      <c r="E3349" s="2">
        <v>16</v>
      </c>
      <c r="F3349" s="17">
        <v>192</v>
      </c>
      <c r="H3349" s="360">
        <v>0.33602985312968481</v>
      </c>
      <c r="I3349" s="360">
        <v>8.496710340527884E-2</v>
      </c>
      <c r="K3349" s="363"/>
      <c r="N3349" s="10"/>
      <c r="O3349" s="4"/>
      <c r="P3349" s="4"/>
      <c r="Q3349" s="3"/>
      <c r="R3349" s="3"/>
      <c r="S3349" s="3"/>
      <c r="T3349" s="3"/>
    </row>
    <row r="3350" spans="1:20">
      <c r="A3350" s="3">
        <v>1</v>
      </c>
      <c r="B3350" s="3">
        <v>1</v>
      </c>
      <c r="C3350" s="2">
        <v>25</v>
      </c>
      <c r="D3350" s="2">
        <v>5</v>
      </c>
      <c r="E3350" s="2">
        <v>1</v>
      </c>
      <c r="F3350" s="17">
        <v>192</v>
      </c>
      <c r="H3350" s="360">
        <v>0</v>
      </c>
      <c r="I3350" s="360">
        <v>0</v>
      </c>
      <c r="K3350" s="363"/>
      <c r="N3350" s="10"/>
      <c r="O3350" s="4"/>
      <c r="P3350" s="4"/>
      <c r="Q3350" s="3"/>
      <c r="R3350" s="3"/>
      <c r="S3350" s="3"/>
      <c r="T3350" s="3"/>
    </row>
    <row r="3351" spans="1:20">
      <c r="A3351" s="3">
        <v>2</v>
      </c>
      <c r="B3351" s="3">
        <v>2</v>
      </c>
      <c r="C3351" s="2">
        <v>25</v>
      </c>
      <c r="D3351" s="2">
        <v>5</v>
      </c>
      <c r="E3351" s="2">
        <v>1</v>
      </c>
      <c r="F3351" s="17">
        <v>192</v>
      </c>
      <c r="H3351" s="360">
        <v>0</v>
      </c>
      <c r="I3351" s="360">
        <v>0</v>
      </c>
      <c r="K3351" s="363"/>
      <c r="N3351" s="10"/>
      <c r="O3351" s="4"/>
      <c r="P3351" s="4"/>
      <c r="Q3351" s="3"/>
      <c r="R3351" s="3"/>
      <c r="S3351" s="3"/>
      <c r="T3351" s="3"/>
    </row>
    <row r="3352" spans="1:20">
      <c r="A3352" s="3">
        <v>2</v>
      </c>
      <c r="B3352" s="3">
        <v>1</v>
      </c>
      <c r="C3352" s="2">
        <v>25</v>
      </c>
      <c r="D3352" s="2">
        <v>5</v>
      </c>
      <c r="E3352" s="2">
        <v>1</v>
      </c>
      <c r="F3352" s="17">
        <v>192</v>
      </c>
      <c r="H3352" s="360">
        <v>0</v>
      </c>
      <c r="I3352" s="360">
        <v>0</v>
      </c>
      <c r="K3352" s="363"/>
      <c r="N3352" s="10"/>
      <c r="O3352" s="4"/>
      <c r="P3352" s="4"/>
      <c r="Q3352" s="3"/>
      <c r="R3352" s="3"/>
      <c r="S3352" s="3"/>
      <c r="T3352" s="3"/>
    </row>
    <row r="3353" spans="1:20">
      <c r="A3353" s="3">
        <v>3</v>
      </c>
      <c r="B3353" s="3">
        <v>1</v>
      </c>
      <c r="C3353" s="2">
        <v>25</v>
      </c>
      <c r="D3353" s="2">
        <v>5</v>
      </c>
      <c r="E3353" s="2">
        <v>1</v>
      </c>
      <c r="F3353" s="17">
        <v>192</v>
      </c>
      <c r="H3353" s="360">
        <v>0</v>
      </c>
      <c r="I3353" s="360">
        <v>0</v>
      </c>
      <c r="K3353" s="363"/>
      <c r="N3353" s="10"/>
      <c r="O3353" s="4"/>
      <c r="P3353" s="4"/>
      <c r="Q3353" s="3"/>
      <c r="R3353" s="3"/>
      <c r="S3353" s="3"/>
      <c r="T3353" s="3"/>
    </row>
    <row r="3354" spans="1:20">
      <c r="A3354" s="3">
        <v>2</v>
      </c>
      <c r="B3354" s="3">
        <v>2</v>
      </c>
      <c r="C3354" s="2">
        <v>25</v>
      </c>
      <c r="D3354" s="2">
        <v>5</v>
      </c>
      <c r="E3354" s="2">
        <v>16</v>
      </c>
      <c r="F3354" s="17">
        <v>192</v>
      </c>
      <c r="H3354" s="360">
        <v>7.0748007756147535E-2</v>
      </c>
      <c r="I3354" s="360">
        <v>-2.6974800065113436E-2</v>
      </c>
      <c r="K3354" s="363"/>
      <c r="N3354" s="10"/>
      <c r="O3354" s="4"/>
      <c r="P3354" s="4"/>
      <c r="Q3354" s="3"/>
      <c r="R3354" s="3"/>
      <c r="S3354" s="3"/>
      <c r="T3354" s="3"/>
    </row>
    <row r="3355" spans="1:20">
      <c r="A3355" s="3">
        <v>3</v>
      </c>
      <c r="B3355" s="3">
        <v>1</v>
      </c>
      <c r="C3355" s="2">
        <v>25</v>
      </c>
      <c r="D3355" s="2">
        <v>5</v>
      </c>
      <c r="E3355" s="2">
        <v>16</v>
      </c>
      <c r="F3355" s="17">
        <v>192</v>
      </c>
      <c r="H3355" s="360">
        <v>5.7048143273336405E-2</v>
      </c>
      <c r="I3355" s="360">
        <v>-0.14570349330218157</v>
      </c>
      <c r="K3355" s="363"/>
      <c r="N3355" s="10"/>
      <c r="O3355" s="4"/>
      <c r="P3355" s="4"/>
      <c r="Q3355" s="3"/>
      <c r="R3355" s="3"/>
      <c r="S3355" s="3"/>
      <c r="T3355" s="3"/>
    </row>
    <row r="3356" spans="1:20">
      <c r="A3356" s="3">
        <v>2</v>
      </c>
      <c r="B3356" s="3">
        <v>1</v>
      </c>
      <c r="C3356" s="2">
        <v>25</v>
      </c>
      <c r="D3356" s="2">
        <v>5</v>
      </c>
      <c r="E3356" s="2">
        <v>16</v>
      </c>
      <c r="F3356" s="17">
        <v>192</v>
      </c>
      <c r="H3356" s="360">
        <v>0.22656324788325877</v>
      </c>
      <c r="I3356" s="360">
        <v>-0.19479466478822594</v>
      </c>
      <c r="K3356" s="363"/>
      <c r="N3356" s="10"/>
      <c r="O3356" s="4"/>
      <c r="P3356" s="4"/>
      <c r="Q3356" s="3"/>
      <c r="R3356" s="3"/>
      <c r="S3356" s="3"/>
      <c r="T3356" s="3"/>
    </row>
    <row r="3357" spans="1:20">
      <c r="A3357" s="3">
        <v>3</v>
      </c>
      <c r="B3357" s="3">
        <v>2</v>
      </c>
      <c r="C3357" s="2">
        <v>25</v>
      </c>
      <c r="D3357" s="2">
        <v>5</v>
      </c>
      <c r="E3357" s="2">
        <v>1</v>
      </c>
      <c r="F3357" s="17">
        <v>192</v>
      </c>
      <c r="H3357" s="360">
        <v>5.7902184920017641E-2</v>
      </c>
      <c r="I3357" s="360">
        <v>-0.24204292079849071</v>
      </c>
      <c r="K3357" s="363"/>
      <c r="N3357" s="10"/>
      <c r="O3357" s="4"/>
      <c r="P3357" s="4"/>
      <c r="Q3357" s="3"/>
      <c r="R3357" s="3"/>
      <c r="S3357" s="3"/>
      <c r="T3357" s="3"/>
    </row>
    <row r="3358" spans="1:20">
      <c r="A3358" s="3">
        <v>3</v>
      </c>
      <c r="B3358" s="3">
        <v>2</v>
      </c>
      <c r="C3358" s="2">
        <v>25</v>
      </c>
      <c r="D3358" s="2">
        <v>5</v>
      </c>
      <c r="E3358" s="2">
        <v>16</v>
      </c>
      <c r="F3358" s="17">
        <v>192</v>
      </c>
      <c r="H3358" s="360">
        <v>0.26978172192172456</v>
      </c>
      <c r="I3358" s="360">
        <v>-0.27751749337852416</v>
      </c>
      <c r="K3358" s="363"/>
      <c r="N3358" s="10"/>
      <c r="O3358" s="4"/>
      <c r="P3358" s="4"/>
      <c r="Q3358" s="3"/>
      <c r="R3358" s="3"/>
      <c r="S3358" s="3"/>
      <c r="T3358" s="3"/>
    </row>
    <row r="3359" spans="1:20">
      <c r="A3359" s="3">
        <v>1</v>
      </c>
      <c r="B3359" s="3">
        <v>1</v>
      </c>
      <c r="C3359" s="2">
        <v>25</v>
      </c>
      <c r="D3359" s="2">
        <v>30</v>
      </c>
      <c r="E3359" s="2">
        <v>16</v>
      </c>
      <c r="F3359" s="17">
        <v>192</v>
      </c>
      <c r="H3359" s="360">
        <v>0.70354419776752686</v>
      </c>
      <c r="I3359" s="360">
        <v>-0.36517967971802928</v>
      </c>
      <c r="K3359" s="363"/>
      <c r="N3359" s="10"/>
      <c r="O3359" s="4"/>
      <c r="P3359" s="4"/>
      <c r="Q3359" s="3"/>
      <c r="R3359" s="3"/>
      <c r="S3359" s="3"/>
      <c r="T3359" s="3"/>
    </row>
    <row r="3360" spans="1:20">
      <c r="A3360" s="3">
        <v>1</v>
      </c>
      <c r="B3360" s="3">
        <v>1</v>
      </c>
      <c r="C3360" s="2">
        <v>25</v>
      </c>
      <c r="D3360" s="2">
        <v>5</v>
      </c>
      <c r="E3360" s="2">
        <v>16</v>
      </c>
      <c r="F3360" s="17">
        <v>192</v>
      </c>
      <c r="H3360" s="360">
        <v>0.31250884885855823</v>
      </c>
      <c r="I3360" s="360">
        <v>-0.39113008545434103</v>
      </c>
      <c r="K3360" s="363"/>
      <c r="N3360" s="10"/>
      <c r="O3360" s="4"/>
      <c r="P3360" s="4"/>
      <c r="Q3360" s="3"/>
      <c r="R3360" s="3"/>
      <c r="S3360" s="3"/>
      <c r="T3360" s="3"/>
    </row>
    <row r="3361" spans="1:20">
      <c r="A3361" s="3">
        <v>4</v>
      </c>
      <c r="B3361" s="3">
        <v>2</v>
      </c>
      <c r="C3361" s="2">
        <v>50</v>
      </c>
      <c r="D3361" s="2">
        <v>5</v>
      </c>
      <c r="E3361" s="2">
        <v>16</v>
      </c>
      <c r="F3361" s="17">
        <v>192</v>
      </c>
      <c r="H3361" s="360">
        <v>1</v>
      </c>
      <c r="I3361" s="360">
        <v>-0.58562474926505892</v>
      </c>
      <c r="K3361" s="363"/>
      <c r="N3361" s="10"/>
      <c r="O3361" s="4"/>
      <c r="P3361" s="4"/>
      <c r="Q3361" s="3"/>
      <c r="R3361" s="3"/>
      <c r="S3361" s="3"/>
      <c r="T3361" s="3"/>
    </row>
  </sheetData>
  <autoFilter ref="A1:T3361" xr:uid="{BD9524AF-99AF-4CDB-B41D-F198D1027E71}">
    <sortState xmlns:xlrd2="http://schemas.microsoft.com/office/spreadsheetml/2017/richdata2" ref="A2:T3361">
      <sortCondition ref="J1:J3361"/>
    </sortState>
  </autoFilter>
  <phoneticPr fontId="2" type="noConversion"/>
  <conditionalFormatting sqref="F1 N1:N3361">
    <cfRule type="cellIs" dxfId="2" priority="2" operator="equal">
      <formula>1</formula>
    </cfRule>
  </conditionalFormatting>
  <conditionalFormatting sqref="F19:F3361">
    <cfRule type="cellIs" dxfId="1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CE5E-5686-4C8B-BA05-97823C00138E}">
  <dimension ref="A1:AK193"/>
  <sheetViews>
    <sheetView tabSelected="1" workbookViewId="0">
      <selection activeCell="M7" sqref="M7"/>
    </sheetView>
  </sheetViews>
  <sheetFormatPr defaultRowHeight="14.4"/>
  <cols>
    <col min="37" max="37" width="10" customWidth="1"/>
    <col min="38" max="38" width="8.88671875" customWidth="1"/>
  </cols>
  <sheetData>
    <row r="1" spans="1:37">
      <c r="A1" t="s">
        <v>2</v>
      </c>
      <c r="B1" t="s">
        <v>2738</v>
      </c>
      <c r="C1" t="s">
        <v>2739</v>
      </c>
      <c r="D1" t="s">
        <v>2740</v>
      </c>
      <c r="E1" t="s">
        <v>2741</v>
      </c>
      <c r="F1" t="s">
        <v>2742</v>
      </c>
      <c r="G1" t="s">
        <v>2743</v>
      </c>
      <c r="H1" t="s">
        <v>2744</v>
      </c>
      <c r="I1" t="s">
        <v>2745</v>
      </c>
      <c r="J1" t="s">
        <v>2746</v>
      </c>
      <c r="K1" t="s">
        <v>2747</v>
      </c>
      <c r="L1" t="s">
        <v>2748</v>
      </c>
      <c r="M1" t="s">
        <v>2749</v>
      </c>
      <c r="N1" t="s">
        <v>2754</v>
      </c>
      <c r="O1" t="s">
        <v>2755</v>
      </c>
      <c r="P1" t="s">
        <v>2756</v>
      </c>
      <c r="Q1" t="s">
        <v>2825</v>
      </c>
      <c r="R1" t="s">
        <v>2826</v>
      </c>
      <c r="S1" t="s">
        <v>2827</v>
      </c>
      <c r="T1" t="s">
        <v>2828</v>
      </c>
      <c r="U1" t="s">
        <v>2736</v>
      </c>
      <c r="V1" t="s">
        <v>2737</v>
      </c>
      <c r="W1" t="s">
        <v>2752</v>
      </c>
      <c r="X1" t="s">
        <v>2753</v>
      </c>
      <c r="Y1" t="s">
        <v>2734</v>
      </c>
      <c r="Z1" t="s">
        <v>2735</v>
      </c>
      <c r="AA1" t="s">
        <v>2773</v>
      </c>
      <c r="AB1" t="s">
        <v>2794</v>
      </c>
      <c r="AC1" t="s">
        <v>2795</v>
      </c>
      <c r="AD1" t="s">
        <v>2796</v>
      </c>
      <c r="AE1" t="s">
        <v>2797</v>
      </c>
      <c r="AF1" t="s">
        <v>2781</v>
      </c>
      <c r="AG1" t="s">
        <v>2798</v>
      </c>
      <c r="AH1" t="s">
        <v>2799</v>
      </c>
      <c r="AI1" t="s">
        <v>2804</v>
      </c>
      <c r="AJ1" t="s">
        <v>2833</v>
      </c>
      <c r="AK1" t="s">
        <v>2834</v>
      </c>
    </row>
    <row r="2" spans="1:37">
      <c r="A2">
        <v>1</v>
      </c>
      <c r="B2">
        <v>0.349390594</v>
      </c>
      <c r="C2">
        <v>0.39149109399999998</v>
      </c>
      <c r="D2">
        <v>0.402717135</v>
      </c>
      <c r="E2">
        <v>0.35963464099999998</v>
      </c>
      <c r="F2">
        <v>1.6343795000000001E-2</v>
      </c>
      <c r="G2">
        <v>0.173542522</v>
      </c>
      <c r="H2">
        <v>0.12508041</v>
      </c>
      <c r="I2">
        <v>4.4391818E-2</v>
      </c>
      <c r="J2">
        <v>0.68243739400000003</v>
      </c>
      <c r="K2">
        <v>0.60943966599999999</v>
      </c>
      <c r="L2">
        <v>0.59418887300000001</v>
      </c>
      <c r="M2">
        <v>0.76104245100000001</v>
      </c>
      <c r="N2">
        <v>0.53229826700000005</v>
      </c>
      <c r="O2">
        <v>0.894142518</v>
      </c>
      <c r="P2">
        <v>0.90923173700000004</v>
      </c>
      <c r="Q2">
        <v>-0.97477181184777595</v>
      </c>
      <c r="R2">
        <v>0.22320375182107199</v>
      </c>
      <c r="S2">
        <v>0.77554983478230599</v>
      </c>
      <c r="T2">
        <v>-0.63128634847360399</v>
      </c>
      <c r="U2">
        <v>-5.4459101829999996</v>
      </c>
      <c r="V2">
        <v>-6.7045903200000003</v>
      </c>
      <c r="W2">
        <v>2.330337621</v>
      </c>
      <c r="X2">
        <v>2.3158971149999998</v>
      </c>
      <c r="Y2">
        <v>1.39180243</v>
      </c>
      <c r="Z2">
        <v>1.3899343479999999</v>
      </c>
      <c r="AA2">
        <v>-3722.0274899999999</v>
      </c>
      <c r="AB2">
        <v>1.7772464798108301</v>
      </c>
      <c r="AC2">
        <v>1.2455499999999999</v>
      </c>
      <c r="AD2">
        <v>1.2939099999999999</v>
      </c>
      <c r="AE2">
        <v>-3.4354646637451198</v>
      </c>
      <c r="AF2">
        <v>-0.30115999999999998</v>
      </c>
      <c r="AG2">
        <v>0.89132999999999996</v>
      </c>
      <c r="AH2">
        <v>0.79783000000000004</v>
      </c>
      <c r="AI2">
        <v>3.9883727067785002</v>
      </c>
      <c r="AJ2">
        <v>0.153699999999999</v>
      </c>
      <c r="AK2">
        <v>0.15039</v>
      </c>
    </row>
    <row r="3" spans="1:37">
      <c r="A3">
        <v>2</v>
      </c>
      <c r="B3">
        <v>0.30293231900000001</v>
      </c>
      <c r="C3">
        <v>0.39329283900000001</v>
      </c>
      <c r="D3">
        <v>0.41209873499999999</v>
      </c>
      <c r="E3">
        <v>0.31033854599999999</v>
      </c>
      <c r="F3">
        <v>5.6158667000000002E-2</v>
      </c>
      <c r="G3">
        <v>0.17251783200000001</v>
      </c>
      <c r="H3">
        <v>8.7867108999999999E-2</v>
      </c>
      <c r="I3">
        <v>5.4929039999999998E-2</v>
      </c>
      <c r="J3">
        <v>0.54970597099999996</v>
      </c>
      <c r="K3">
        <v>0.61406784599999997</v>
      </c>
      <c r="L3">
        <v>0.53280998300000004</v>
      </c>
      <c r="M3">
        <v>0.76926842900000003</v>
      </c>
      <c r="N3">
        <v>0.54367196200000001</v>
      </c>
      <c r="O3">
        <v>0.94363236100000003</v>
      </c>
      <c r="P3">
        <v>0.91078084199999998</v>
      </c>
      <c r="Q3">
        <v>-0.37132520907933497</v>
      </c>
      <c r="R3">
        <v>0.92850287511788998</v>
      </c>
      <c r="S3">
        <v>0.361728258858309</v>
      </c>
      <c r="T3">
        <v>-0.93228357635610803</v>
      </c>
      <c r="U3">
        <v>-12.772402339999999</v>
      </c>
      <c r="V3">
        <v>-14.26050506</v>
      </c>
      <c r="W3">
        <v>2.4068162380000002</v>
      </c>
      <c r="X3">
        <v>2.3231010630000002</v>
      </c>
      <c r="Y3">
        <v>1.3912106200000001</v>
      </c>
      <c r="Z3">
        <v>1.394866597</v>
      </c>
      <c r="AA3">
        <v>-3567.5034099999998</v>
      </c>
      <c r="AB3">
        <v>1.86368952618186</v>
      </c>
      <c r="AC3">
        <v>1.25116</v>
      </c>
      <c r="AD3">
        <v>1.34985</v>
      </c>
      <c r="AE3">
        <v>-3.1753102224168699</v>
      </c>
      <c r="AF3">
        <v>-0.26093</v>
      </c>
      <c r="AG3">
        <v>0.88766</v>
      </c>
      <c r="AH3">
        <v>0.76997000000000004</v>
      </c>
      <c r="AI3">
        <v>4.1823898821850003</v>
      </c>
      <c r="AJ3">
        <v>0.15589</v>
      </c>
      <c r="AK3">
        <v>0.15293000000000001</v>
      </c>
    </row>
    <row r="4" spans="1:37">
      <c r="A4">
        <v>3</v>
      </c>
      <c r="B4">
        <v>0.366149958</v>
      </c>
      <c r="C4">
        <v>0.364089194</v>
      </c>
      <c r="D4">
        <v>0.41586162100000001</v>
      </c>
      <c r="E4">
        <v>0.38608016499999998</v>
      </c>
      <c r="F4">
        <v>8.1445722999999998E-2</v>
      </c>
      <c r="G4">
        <v>2.8383894E-2</v>
      </c>
      <c r="H4">
        <v>8.1514034999999999E-2</v>
      </c>
      <c r="I4">
        <v>6.7874281999999994E-2</v>
      </c>
      <c r="J4">
        <v>0.65085419200000005</v>
      </c>
      <c r="K4">
        <v>0.69979449299999996</v>
      </c>
      <c r="L4">
        <v>0.69064629399999999</v>
      </c>
      <c r="M4">
        <v>0.76384896099999999</v>
      </c>
      <c r="N4">
        <v>0.55540090399999997</v>
      </c>
      <c r="O4">
        <v>0.92377935099999997</v>
      </c>
      <c r="P4">
        <v>0.91307538200000005</v>
      </c>
      <c r="Q4">
        <v>-0.60179639438051902</v>
      </c>
      <c r="R4">
        <v>0.79864954749289496</v>
      </c>
      <c r="S4">
        <v>-0.77679680613684599</v>
      </c>
      <c r="T4">
        <v>-0.629751317565588</v>
      </c>
      <c r="U4">
        <v>-14.64569747</v>
      </c>
      <c r="V4">
        <v>-6.9353517709999997</v>
      </c>
      <c r="W4">
        <v>2.3624717469999998</v>
      </c>
      <c r="X4">
        <v>2.3807436320000002</v>
      </c>
      <c r="Y4">
        <v>1.3924353549999999</v>
      </c>
      <c r="Z4">
        <v>1.3888746240000001</v>
      </c>
      <c r="AA4">
        <v>-3729.0463239999999</v>
      </c>
      <c r="AB4">
        <v>1.2746375994768</v>
      </c>
      <c r="AC4">
        <v>1.2910900000000001</v>
      </c>
      <c r="AD4">
        <v>1.3045</v>
      </c>
      <c r="AE4">
        <v>-3.8907058919977202</v>
      </c>
      <c r="AF4">
        <v>-0.27578000000000003</v>
      </c>
      <c r="AG4">
        <v>0.79591000000000001</v>
      </c>
      <c r="AH4">
        <v>0.75810999999999995</v>
      </c>
      <c r="AI4">
        <v>4.1682399619590003</v>
      </c>
      <c r="AJ4">
        <v>0.14701999999999901</v>
      </c>
      <c r="AK4">
        <v>0.14691000000000001</v>
      </c>
    </row>
    <row r="5" spans="1:37">
      <c r="A5">
        <v>4</v>
      </c>
      <c r="B5">
        <v>0.44186311299999997</v>
      </c>
      <c r="C5">
        <v>0.35361174499999998</v>
      </c>
      <c r="D5">
        <v>0.361954424</v>
      </c>
      <c r="E5">
        <v>0.36593932699999998</v>
      </c>
      <c r="F5">
        <v>0.11884119</v>
      </c>
      <c r="G5">
        <v>0.14206178899999999</v>
      </c>
      <c r="H5">
        <v>8.1901139999999997E-2</v>
      </c>
      <c r="I5">
        <v>6.6496643999999994E-2</v>
      </c>
      <c r="J5">
        <v>0.76488503600000002</v>
      </c>
      <c r="K5">
        <v>0.56516170200000004</v>
      </c>
      <c r="L5">
        <v>0.64997751400000003</v>
      </c>
      <c r="M5">
        <v>0.657412204</v>
      </c>
      <c r="N5">
        <v>0.50110650400000001</v>
      </c>
      <c r="O5">
        <v>0.908195117</v>
      </c>
      <c r="P5">
        <v>0.89176062199999995</v>
      </c>
      <c r="Q5">
        <v>0.55829925655448298</v>
      </c>
      <c r="R5">
        <v>-0.82963964474385499</v>
      </c>
      <c r="S5">
        <v>0.91363363099452</v>
      </c>
      <c r="T5">
        <v>0.40653854468643902</v>
      </c>
      <c r="U5">
        <v>-0.287526744</v>
      </c>
      <c r="V5">
        <v>-4.731149169</v>
      </c>
      <c r="W5">
        <v>2.3811622649999999</v>
      </c>
      <c r="X5">
        <v>2.3009995239999999</v>
      </c>
      <c r="Y5">
        <v>1.3935903089999999</v>
      </c>
      <c r="Z5">
        <v>1.386472913</v>
      </c>
      <c r="AA5">
        <v>-3722.0166680000002</v>
      </c>
      <c r="AB5">
        <v>2.2991843292785301</v>
      </c>
      <c r="AC5">
        <v>1.27885</v>
      </c>
      <c r="AD5">
        <v>1.3126500000000001</v>
      </c>
      <c r="AE5">
        <v>-3.4777356891615501</v>
      </c>
      <c r="AF5">
        <v>-0.26647999999999999</v>
      </c>
      <c r="AG5">
        <v>0.86046999999999996</v>
      </c>
      <c r="AH5">
        <v>0.81901999999999997</v>
      </c>
      <c r="AI5">
        <v>4.2558606218200001</v>
      </c>
      <c r="AJ5">
        <v>0.16292000000000001</v>
      </c>
      <c r="AK5">
        <v>0.15748999999999999</v>
      </c>
    </row>
    <row r="6" spans="1:37">
      <c r="A6">
        <v>5</v>
      </c>
      <c r="B6">
        <v>0.40615838300000001</v>
      </c>
      <c r="C6">
        <v>0.38040452499999999</v>
      </c>
      <c r="D6">
        <v>0.39116376200000003</v>
      </c>
      <c r="E6">
        <v>0.40486898199999999</v>
      </c>
      <c r="F6">
        <v>5.1934670000000002E-2</v>
      </c>
      <c r="G6">
        <v>0.19961517200000001</v>
      </c>
      <c r="H6">
        <v>0.15498995199999999</v>
      </c>
      <c r="I6">
        <v>7.1164672999999998E-2</v>
      </c>
      <c r="J6">
        <v>0.76038209499999998</v>
      </c>
      <c r="K6">
        <v>0.56119387700000001</v>
      </c>
      <c r="L6">
        <v>0.65474801199999999</v>
      </c>
      <c r="M6">
        <v>0.71116285199999996</v>
      </c>
      <c r="N6">
        <v>0.52335887999999997</v>
      </c>
      <c r="O6">
        <v>0.90592387299999999</v>
      </c>
      <c r="P6">
        <v>0.88766073400000001</v>
      </c>
      <c r="Q6">
        <v>-0.99046667697246804</v>
      </c>
      <c r="R6">
        <v>-0.13775253829645601</v>
      </c>
      <c r="S6">
        <v>-0.77770516827131697</v>
      </c>
      <c r="T6">
        <v>-0.62862920012045398</v>
      </c>
      <c r="U6">
        <v>-1.441456297</v>
      </c>
      <c r="V6">
        <v>-4.8207752729999997</v>
      </c>
      <c r="W6">
        <v>2.3140915529999999</v>
      </c>
      <c r="X6">
        <v>2.300571138</v>
      </c>
      <c r="Y6">
        <v>1.3904901460000001</v>
      </c>
      <c r="Z6">
        <v>1.3882045789999999</v>
      </c>
      <c r="AA6">
        <v>-3871.815098</v>
      </c>
      <c r="AB6">
        <v>1.9885451616697001</v>
      </c>
      <c r="AC6">
        <v>1.28105</v>
      </c>
      <c r="AD6">
        <v>1.24587</v>
      </c>
      <c r="AE6">
        <v>-3.4841205821553798</v>
      </c>
      <c r="AF6">
        <v>-0.30763000000000001</v>
      </c>
      <c r="AG6">
        <v>0.84360999999999997</v>
      </c>
      <c r="AH6">
        <v>0.88382000000000005</v>
      </c>
      <c r="AI6">
        <v>4.1004836131845002</v>
      </c>
      <c r="AJ6">
        <v>0.14942999999999901</v>
      </c>
      <c r="AK6">
        <v>0.15920999999999999</v>
      </c>
    </row>
    <row r="7" spans="1:37">
      <c r="A7">
        <v>6</v>
      </c>
      <c r="B7">
        <v>0.50534546300000005</v>
      </c>
      <c r="C7">
        <v>0.38652988999999999</v>
      </c>
      <c r="D7">
        <v>0.34816381400000002</v>
      </c>
      <c r="E7">
        <v>0.49422473700000003</v>
      </c>
      <c r="F7">
        <v>0.152980423</v>
      </c>
      <c r="G7">
        <v>0.12424358000000001</v>
      </c>
      <c r="H7">
        <v>0.28046885199999999</v>
      </c>
      <c r="I7">
        <v>1.8080074000000002E-2</v>
      </c>
      <c r="J7">
        <v>0.85771050199999999</v>
      </c>
      <c r="K7">
        <v>0.64881619899999998</v>
      </c>
      <c r="L7">
        <v>0.707980622</v>
      </c>
      <c r="M7">
        <v>0.67824755400000003</v>
      </c>
      <c r="N7">
        <v>0.53930418400000002</v>
      </c>
      <c r="O7">
        <v>0.91271431199999997</v>
      </c>
      <c r="P7">
        <v>0.895184961</v>
      </c>
      <c r="Q7">
        <v>-0.97954220175724704</v>
      </c>
      <c r="R7">
        <v>-0.201238850564605</v>
      </c>
      <c r="S7">
        <v>0.352446543909822</v>
      </c>
      <c r="T7">
        <v>-0.93583194735274</v>
      </c>
      <c r="U7">
        <v>-8.797292015</v>
      </c>
      <c r="V7">
        <v>-6.0697120230000001</v>
      </c>
      <c r="W7">
        <v>2.3021590710000002</v>
      </c>
      <c r="X7">
        <v>2.3322920219999999</v>
      </c>
      <c r="Y7">
        <v>1.3911024489999999</v>
      </c>
      <c r="Z7">
        <v>1.390014128</v>
      </c>
      <c r="AA7">
        <v>-5067.9495100000004</v>
      </c>
      <c r="AB7">
        <v>4.9439888248255501</v>
      </c>
      <c r="AC7">
        <v>1.2879799999999999</v>
      </c>
      <c r="AD7">
        <v>1.2436499999999999</v>
      </c>
      <c r="AE7">
        <v>-3.9178631808142401</v>
      </c>
      <c r="AF7">
        <v>-0.31955</v>
      </c>
      <c r="AG7">
        <v>0.79064999999999996</v>
      </c>
      <c r="AH7">
        <v>0.91376000000000002</v>
      </c>
      <c r="AI7">
        <v>3.3864568694724899</v>
      </c>
      <c r="AJ7">
        <v>0.150139999999999</v>
      </c>
      <c r="AK7">
        <v>0.152199999999999</v>
      </c>
    </row>
    <row r="8" spans="1:37">
      <c r="A8">
        <v>7</v>
      </c>
      <c r="B8">
        <v>0.34974923600000002</v>
      </c>
      <c r="C8">
        <v>0.44491156399999998</v>
      </c>
      <c r="D8">
        <v>0.45447248400000001</v>
      </c>
      <c r="E8">
        <v>0.36398103199999998</v>
      </c>
      <c r="F8">
        <v>1.6611351999999999E-2</v>
      </c>
      <c r="G8">
        <v>0.23462539099999999</v>
      </c>
      <c r="H8">
        <v>0.12512595100000001</v>
      </c>
      <c r="I8">
        <v>7.5348820999999996E-2</v>
      </c>
      <c r="J8">
        <v>0.68288711899999999</v>
      </c>
      <c r="K8">
        <v>0.65519773699999995</v>
      </c>
      <c r="L8">
        <v>0.60283611199999998</v>
      </c>
      <c r="M8">
        <v>0.83359614699999995</v>
      </c>
      <c r="N8">
        <v>0.53453457000000004</v>
      </c>
      <c r="O8">
        <v>0.89563921000000002</v>
      </c>
      <c r="P8">
        <v>0.91047800999999995</v>
      </c>
      <c r="Q8">
        <v>-0.97910422875246195</v>
      </c>
      <c r="R8">
        <v>0.20335906480667501</v>
      </c>
      <c r="S8">
        <v>-3.1315337972076002E-2</v>
      </c>
      <c r="T8">
        <v>0.99950955453546997</v>
      </c>
      <c r="U8">
        <v>-5.3149476269999996</v>
      </c>
      <c r="V8">
        <v>-6.6528473970000004</v>
      </c>
      <c r="W8">
        <v>2.3281297560000001</v>
      </c>
      <c r="X8">
        <v>2.3161431000000001</v>
      </c>
      <c r="Y8">
        <v>1.391944217</v>
      </c>
      <c r="Z8">
        <v>1.390023571</v>
      </c>
      <c r="AA8">
        <v>-4107.4534629999998</v>
      </c>
      <c r="AB8">
        <v>1.86556693259716</v>
      </c>
      <c r="AC8">
        <v>1.24003</v>
      </c>
      <c r="AD8">
        <v>1.2946899999999999</v>
      </c>
      <c r="AE8">
        <v>-4.0995516613424696</v>
      </c>
      <c r="AF8">
        <v>-0.30154999999999998</v>
      </c>
      <c r="AG8">
        <v>0.89281999999999995</v>
      </c>
      <c r="AH8">
        <v>0.79856000000000005</v>
      </c>
      <c r="AI8">
        <v>4.0710953173305002</v>
      </c>
      <c r="AJ8">
        <v>0.15372999999999901</v>
      </c>
      <c r="AK8">
        <v>0.150449999999999</v>
      </c>
    </row>
    <row r="9" spans="1:37">
      <c r="A9">
        <v>8</v>
      </c>
      <c r="B9">
        <v>0.55014430999999997</v>
      </c>
      <c r="C9">
        <v>0.35704445400000001</v>
      </c>
      <c r="D9">
        <v>0.40761287200000001</v>
      </c>
      <c r="E9">
        <v>0.47200890299999998</v>
      </c>
      <c r="F9">
        <v>0.25217604199999999</v>
      </c>
      <c r="G9">
        <v>0.17113450199999999</v>
      </c>
      <c r="H9">
        <v>0.188833164</v>
      </c>
      <c r="I9">
        <v>8.4690572000000006E-2</v>
      </c>
      <c r="J9">
        <v>0.84811257900000003</v>
      </c>
      <c r="K9">
        <v>0.54295440699999997</v>
      </c>
      <c r="L9">
        <v>0.75518464299999999</v>
      </c>
      <c r="M9">
        <v>0.73053517199999995</v>
      </c>
      <c r="N9">
        <v>0.513563408</v>
      </c>
      <c r="O9">
        <v>0.91912621100000003</v>
      </c>
      <c r="P9">
        <v>0.88685123899999996</v>
      </c>
      <c r="Q9">
        <v>0.155473693218311</v>
      </c>
      <c r="R9">
        <v>0.987840032959314</v>
      </c>
      <c r="S9">
        <v>-0.29769338498331499</v>
      </c>
      <c r="T9">
        <v>-0.95466153611485505</v>
      </c>
      <c r="U9">
        <v>-16.006241280000001</v>
      </c>
      <c r="V9">
        <v>-7.0985500860000004</v>
      </c>
      <c r="W9">
        <v>2.3162639490000001</v>
      </c>
      <c r="X9">
        <v>2.3020179669999998</v>
      </c>
      <c r="Y9">
        <v>1.3913363809999999</v>
      </c>
      <c r="Z9">
        <v>1.3872841739999999</v>
      </c>
      <c r="AA9">
        <v>-5217.7357869999996</v>
      </c>
      <c r="AB9">
        <v>4.7535802738567403</v>
      </c>
      <c r="AC9">
        <v>1.2680899999999999</v>
      </c>
      <c r="AD9">
        <v>1.2637400000000001</v>
      </c>
      <c r="AE9">
        <v>-4.0914735263082198</v>
      </c>
      <c r="AF9">
        <v>-0.30295</v>
      </c>
      <c r="AG9">
        <v>0.83138999999999996</v>
      </c>
      <c r="AH9">
        <v>0.89707999999999999</v>
      </c>
      <c r="AI9">
        <v>3.5619703030449998</v>
      </c>
      <c r="AJ9">
        <v>0.15562000000000001</v>
      </c>
      <c r="AK9">
        <v>0.155829999999999</v>
      </c>
    </row>
    <row r="10" spans="1:37">
      <c r="A10">
        <v>9</v>
      </c>
      <c r="B10">
        <v>0.42754877200000002</v>
      </c>
      <c r="C10">
        <v>0.33098034300000001</v>
      </c>
      <c r="D10">
        <v>0.29750146599999999</v>
      </c>
      <c r="E10">
        <v>0.37690350299999997</v>
      </c>
      <c r="F10">
        <v>0.13694403499999999</v>
      </c>
      <c r="G10">
        <v>9.3058868000000003E-2</v>
      </c>
      <c r="H10">
        <v>9.6286640000000007E-2</v>
      </c>
      <c r="I10">
        <v>6.3342878000000005E-2</v>
      </c>
      <c r="J10">
        <v>0.71815351000000005</v>
      </c>
      <c r="K10">
        <v>0.56890181799999995</v>
      </c>
      <c r="L10">
        <v>0.65752036599999997</v>
      </c>
      <c r="M10">
        <v>0.53166005400000005</v>
      </c>
      <c r="N10">
        <v>0.51618989900000001</v>
      </c>
      <c r="O10">
        <v>0.90596463800000004</v>
      </c>
      <c r="P10">
        <v>0.936230432</v>
      </c>
      <c r="Q10">
        <v>0.54948034973728299</v>
      </c>
      <c r="R10">
        <v>0.83550663986146301</v>
      </c>
      <c r="S10">
        <v>-0.91332428875528204</v>
      </c>
      <c r="T10">
        <v>-0.407233033495145</v>
      </c>
      <c r="U10">
        <v>10.8566501</v>
      </c>
      <c r="V10">
        <v>13.577180029999999</v>
      </c>
      <c r="W10">
        <v>2.4118032559999998</v>
      </c>
      <c r="X10">
        <v>2.4413986209999998</v>
      </c>
      <c r="Y10">
        <v>1.3917785970000001</v>
      </c>
      <c r="Z10">
        <v>1.395598763</v>
      </c>
      <c r="AA10">
        <v>-3574.5572870000001</v>
      </c>
      <c r="AB10">
        <v>1.7668089681683099</v>
      </c>
      <c r="AC10">
        <v>1.3547400000000001</v>
      </c>
      <c r="AD10">
        <v>1.3131299999999999</v>
      </c>
      <c r="AE10">
        <v>-3.45386176143997</v>
      </c>
      <c r="AF10">
        <v>-0.20755000000000001</v>
      </c>
      <c r="AG10">
        <v>0.78639000000000003</v>
      </c>
      <c r="AH10">
        <v>0.81776000000000004</v>
      </c>
      <c r="AI10">
        <v>4.7663462053580004</v>
      </c>
      <c r="AJ10">
        <v>0.15493000000000001</v>
      </c>
      <c r="AK10">
        <v>0.15429000000000001</v>
      </c>
    </row>
    <row r="11" spans="1:37">
      <c r="A11">
        <v>10</v>
      </c>
      <c r="B11">
        <v>0.30228050299999998</v>
      </c>
      <c r="C11">
        <v>0.40720014999999998</v>
      </c>
      <c r="D11">
        <v>0.417868305</v>
      </c>
      <c r="E11">
        <v>0.30967534400000002</v>
      </c>
      <c r="F11">
        <v>5.5669094000000002E-2</v>
      </c>
      <c r="G11">
        <v>0.20137422199999999</v>
      </c>
      <c r="H11">
        <v>8.6785493000000005E-2</v>
      </c>
      <c r="I11">
        <v>5.6597006999999998E-2</v>
      </c>
      <c r="J11">
        <v>0.54889191199999998</v>
      </c>
      <c r="K11">
        <v>0.61302607799999997</v>
      </c>
      <c r="L11">
        <v>0.53256519599999996</v>
      </c>
      <c r="M11">
        <v>0.77913960299999996</v>
      </c>
      <c r="N11">
        <v>0.54329924500000004</v>
      </c>
      <c r="O11">
        <v>0.94353335800000004</v>
      </c>
      <c r="P11">
        <v>0.910996319</v>
      </c>
      <c r="Q11">
        <v>-0.486165829193695</v>
      </c>
      <c r="R11">
        <v>0.87386657249514099</v>
      </c>
      <c r="S11">
        <v>0.10271951872554901</v>
      </c>
      <c r="T11">
        <v>-0.99471036009121305</v>
      </c>
      <c r="U11">
        <v>-12.66718556</v>
      </c>
      <c r="V11">
        <v>-14.584465529999999</v>
      </c>
      <c r="W11">
        <v>2.409186279</v>
      </c>
      <c r="X11">
        <v>2.3186445770000002</v>
      </c>
      <c r="Y11">
        <v>1.3908705560000001</v>
      </c>
      <c r="Z11">
        <v>1.3948849189999999</v>
      </c>
      <c r="AA11">
        <v>-4240.4611880000002</v>
      </c>
      <c r="AB11">
        <v>4.3885175515201</v>
      </c>
      <c r="AC11">
        <v>1.25359</v>
      </c>
      <c r="AD11">
        <v>1.3485400000000001</v>
      </c>
      <c r="AE11">
        <v>-3.3817836841650002</v>
      </c>
      <c r="AF11">
        <v>-0.26304</v>
      </c>
      <c r="AG11">
        <v>0.89871999999999996</v>
      </c>
      <c r="AH11">
        <v>0.76673000000000002</v>
      </c>
      <c r="AI11">
        <v>3.8085054515980001</v>
      </c>
      <c r="AJ11">
        <v>0.15529999999999999</v>
      </c>
      <c r="AK11">
        <v>0.152919999999999</v>
      </c>
    </row>
    <row r="12" spans="1:37">
      <c r="A12">
        <v>11</v>
      </c>
      <c r="B12">
        <v>0.30338489000000002</v>
      </c>
      <c r="C12">
        <v>0.44143331299999999</v>
      </c>
      <c r="D12">
        <v>0.465180488</v>
      </c>
      <c r="E12">
        <v>0.31505780999999999</v>
      </c>
      <c r="F12">
        <v>5.6426225000000003E-2</v>
      </c>
      <c r="G12">
        <v>0.22438419000000001</v>
      </c>
      <c r="H12">
        <v>8.8590083999999999E-2</v>
      </c>
      <c r="I12">
        <v>9.2466826000000002E-2</v>
      </c>
      <c r="J12">
        <v>0.55034355599999996</v>
      </c>
      <c r="K12">
        <v>0.65848243500000003</v>
      </c>
      <c r="L12">
        <v>0.541525535</v>
      </c>
      <c r="M12">
        <v>0.83789415</v>
      </c>
      <c r="N12">
        <v>0.54491241099999999</v>
      </c>
      <c r="O12">
        <v>0.94537364899999998</v>
      </c>
      <c r="P12">
        <v>0.91149133400000004</v>
      </c>
      <c r="Q12">
        <v>-0.44046351859972199</v>
      </c>
      <c r="R12">
        <v>0.89777051008748998</v>
      </c>
      <c r="S12">
        <v>-0.57939260925929004</v>
      </c>
      <c r="T12">
        <v>0.81504859016853104</v>
      </c>
      <c r="U12">
        <v>-12.39426123</v>
      </c>
      <c r="V12">
        <v>-14.012616700000001</v>
      </c>
      <c r="W12">
        <v>2.404716434</v>
      </c>
      <c r="X12">
        <v>2.324243182</v>
      </c>
      <c r="Y12">
        <v>1.3913436210000001</v>
      </c>
      <c r="Z12">
        <v>1.3949063349999999</v>
      </c>
      <c r="AA12">
        <v>-3952.9291880000001</v>
      </c>
      <c r="AB12">
        <v>2.26476261449185</v>
      </c>
      <c r="AC12">
        <v>1.2455499999999999</v>
      </c>
      <c r="AD12">
        <v>1.3508800000000001</v>
      </c>
      <c r="AE12">
        <v>-3.83252072341695</v>
      </c>
      <c r="AF12">
        <v>-0.2616</v>
      </c>
      <c r="AG12">
        <v>0.88915</v>
      </c>
      <c r="AH12">
        <v>0.77066000000000001</v>
      </c>
      <c r="AI12">
        <v>4.2675615173915</v>
      </c>
      <c r="AJ12">
        <v>0.15612000000000001</v>
      </c>
      <c r="AK12">
        <v>0.15279999999999899</v>
      </c>
    </row>
    <row r="13" spans="1:37">
      <c r="A13">
        <v>12</v>
      </c>
      <c r="B13">
        <v>0.29992087099999998</v>
      </c>
      <c r="C13">
        <v>0.35731770499999999</v>
      </c>
      <c r="D13">
        <v>0.383993784</v>
      </c>
      <c r="E13">
        <v>0.30750926499999998</v>
      </c>
      <c r="F13">
        <v>5.1473560000000002E-2</v>
      </c>
      <c r="G13">
        <v>0.139989639</v>
      </c>
      <c r="H13">
        <v>8.4081451000000001E-2</v>
      </c>
      <c r="I13">
        <v>3.8380308000000002E-2</v>
      </c>
      <c r="J13">
        <v>0.54836818200000004</v>
      </c>
      <c r="K13">
        <v>0.57464577100000003</v>
      </c>
      <c r="L13">
        <v>0.53093707800000001</v>
      </c>
      <c r="M13">
        <v>0.72960725900000001</v>
      </c>
      <c r="N13">
        <v>0.52919423200000004</v>
      </c>
      <c r="O13">
        <v>0.94912411500000005</v>
      </c>
      <c r="P13">
        <v>0.8951209</v>
      </c>
      <c r="Q13">
        <v>-0.99995217470541198</v>
      </c>
      <c r="R13">
        <v>-9.7799949855330998E-3</v>
      </c>
      <c r="S13">
        <v>0.90704918930338696</v>
      </c>
      <c r="T13">
        <v>0.42102466457924598</v>
      </c>
      <c r="U13">
        <v>-13.69375235</v>
      </c>
      <c r="V13">
        <v>-14.493523570000001</v>
      </c>
      <c r="W13">
        <v>2.4120127610000002</v>
      </c>
      <c r="X13">
        <v>2.2944932800000002</v>
      </c>
      <c r="Y13">
        <v>1.3893350799999999</v>
      </c>
      <c r="Z13">
        <v>1.396700147</v>
      </c>
      <c r="AA13">
        <v>-3563.144053</v>
      </c>
      <c r="AB13">
        <v>1.8685104682607401</v>
      </c>
      <c r="AC13">
        <v>1.2555099999999999</v>
      </c>
      <c r="AD13">
        <v>1.34789</v>
      </c>
      <c r="AE13">
        <v>-2.82336113694228</v>
      </c>
      <c r="AF13">
        <v>-0.25498999999999999</v>
      </c>
      <c r="AG13">
        <v>0.88183</v>
      </c>
      <c r="AH13">
        <v>0.76937</v>
      </c>
      <c r="AI13">
        <v>4.7424001865139997</v>
      </c>
      <c r="AJ13">
        <v>0.15112</v>
      </c>
      <c r="AK13">
        <v>0.15417999999999901</v>
      </c>
    </row>
    <row r="14" spans="1:37">
      <c r="A14">
        <v>13</v>
      </c>
      <c r="B14">
        <v>0.55911888099999996</v>
      </c>
      <c r="C14">
        <v>0.36897069999999998</v>
      </c>
      <c r="D14">
        <v>0.40674473300000002</v>
      </c>
      <c r="E14">
        <v>0.46587499900000001</v>
      </c>
      <c r="F14">
        <v>0.247132293</v>
      </c>
      <c r="G14">
        <v>0.188041876</v>
      </c>
      <c r="H14">
        <v>0.22598953699999999</v>
      </c>
      <c r="I14">
        <v>8.4457170999999998E-2</v>
      </c>
      <c r="J14">
        <v>0.87110546899999997</v>
      </c>
      <c r="K14">
        <v>0.54989952399999997</v>
      </c>
      <c r="L14">
        <v>0.70576046199999998</v>
      </c>
      <c r="M14">
        <v>0.729032295</v>
      </c>
      <c r="N14">
        <v>0.55635599099999999</v>
      </c>
      <c r="O14">
        <v>0.94447679799999995</v>
      </c>
      <c r="P14">
        <v>0.89361838400000004</v>
      </c>
      <c r="Q14">
        <v>0.87993835954644795</v>
      </c>
      <c r="R14">
        <v>0.47508786913444201</v>
      </c>
      <c r="S14">
        <v>-0.29161784769119697</v>
      </c>
      <c r="T14">
        <v>0.95653490835826405</v>
      </c>
      <c r="U14">
        <v>-4.1726926730000002</v>
      </c>
      <c r="V14">
        <v>-16.542155600000001</v>
      </c>
      <c r="W14">
        <v>2.348678327</v>
      </c>
      <c r="X14">
        <v>2.2954577120000001</v>
      </c>
      <c r="Y14">
        <v>1.3941471990000001</v>
      </c>
      <c r="Z14">
        <v>1.386677208</v>
      </c>
      <c r="AA14">
        <v>-4178.4504669999997</v>
      </c>
      <c r="AB14">
        <v>1.96460037666697</v>
      </c>
      <c r="AC14">
        <v>1.2749699999999999</v>
      </c>
      <c r="AD14">
        <v>1.2689299999999999</v>
      </c>
      <c r="AE14">
        <v>-4.3065892314295198</v>
      </c>
      <c r="AF14">
        <v>-0.30881999999999998</v>
      </c>
      <c r="AG14">
        <v>0.83343999999999996</v>
      </c>
      <c r="AH14">
        <v>0.86107999999999996</v>
      </c>
      <c r="AI14">
        <v>3.5034658251874999</v>
      </c>
      <c r="AJ14">
        <v>0.156549999999999</v>
      </c>
      <c r="AK14">
        <v>0.16222</v>
      </c>
    </row>
    <row r="15" spans="1:37">
      <c r="A15">
        <v>14</v>
      </c>
      <c r="B15">
        <v>0.44792301200000001</v>
      </c>
      <c r="C15">
        <v>0.40162413299999999</v>
      </c>
      <c r="D15">
        <v>0.39356893599999998</v>
      </c>
      <c r="E15">
        <v>0.45184244800000001</v>
      </c>
      <c r="F15">
        <v>6.6866671000000003E-2</v>
      </c>
      <c r="G15">
        <v>0.207812687</v>
      </c>
      <c r="H15">
        <v>0.235724085</v>
      </c>
      <c r="I15">
        <v>5.6727938999999998E-2</v>
      </c>
      <c r="J15">
        <v>0.82897935300000003</v>
      </c>
      <c r="K15">
        <v>0.59543557800000002</v>
      </c>
      <c r="L15">
        <v>0.66796081100000004</v>
      </c>
      <c r="M15">
        <v>0.73040993300000001</v>
      </c>
      <c r="N15">
        <v>0.52833814800000001</v>
      </c>
      <c r="O15">
        <v>0.90323332099999998</v>
      </c>
      <c r="P15">
        <v>0.89541790899999996</v>
      </c>
      <c r="Q15">
        <v>-0.98413385773530004</v>
      </c>
      <c r="R15">
        <v>-0.17742759103092001</v>
      </c>
      <c r="S15">
        <v>0.955950984936489</v>
      </c>
      <c r="T15">
        <v>0.29352634362005098</v>
      </c>
      <c r="U15">
        <v>-2.9752243599999999</v>
      </c>
      <c r="V15">
        <v>-2.385749525</v>
      </c>
      <c r="W15">
        <v>2.3092666770000001</v>
      </c>
      <c r="X15">
        <v>2.2983040379999999</v>
      </c>
      <c r="Y15">
        <v>1.3900111820000001</v>
      </c>
      <c r="Z15">
        <v>1.388735439</v>
      </c>
      <c r="AA15">
        <v>-4257.2408459999997</v>
      </c>
      <c r="AB15">
        <v>1.9239104604944499</v>
      </c>
      <c r="AC15">
        <v>1.28135</v>
      </c>
      <c r="AD15">
        <v>1.2359599999999999</v>
      </c>
      <c r="AE15">
        <v>-4.1441237413437797</v>
      </c>
      <c r="AF15">
        <v>-0.30926999999999999</v>
      </c>
      <c r="AG15">
        <v>0.84799999999999998</v>
      </c>
      <c r="AH15">
        <v>0.88883999999999996</v>
      </c>
      <c r="AI15">
        <v>4.1510967893775002</v>
      </c>
      <c r="AJ15">
        <v>0.14781</v>
      </c>
      <c r="AK15">
        <v>0.15820999999999899</v>
      </c>
    </row>
    <row r="16" spans="1:37">
      <c r="A16">
        <v>15</v>
      </c>
      <c r="B16">
        <v>0.44352538699999999</v>
      </c>
      <c r="C16">
        <v>0.38902330000000002</v>
      </c>
      <c r="D16">
        <v>0.37029425700000002</v>
      </c>
      <c r="E16">
        <v>0.31757968399999997</v>
      </c>
      <c r="F16">
        <v>0.107837165</v>
      </c>
      <c r="G16">
        <v>0.190933777</v>
      </c>
      <c r="H16">
        <v>3.5112686999999997E-2</v>
      </c>
      <c r="I16">
        <v>5.3454625999999998E-2</v>
      </c>
      <c r="J16">
        <v>0.77921360799999995</v>
      </c>
      <c r="K16">
        <v>0.58711282399999998</v>
      </c>
      <c r="L16">
        <v>0.60004668000000005</v>
      </c>
      <c r="M16">
        <v>0.687133887</v>
      </c>
      <c r="N16">
        <v>0.52960771500000003</v>
      </c>
      <c r="O16">
        <v>0.90343132699999995</v>
      </c>
      <c r="P16">
        <v>0.92117615500000005</v>
      </c>
      <c r="Q16">
        <v>0.94720878458137103</v>
      </c>
      <c r="R16">
        <v>0.32061740191680299</v>
      </c>
      <c r="S16">
        <v>0.93484996832344902</v>
      </c>
      <c r="T16">
        <v>0.35504300686768198</v>
      </c>
      <c r="U16">
        <v>18.526955749999999</v>
      </c>
      <c r="V16">
        <v>-0.39070157799999999</v>
      </c>
      <c r="W16">
        <v>2.3058214499999998</v>
      </c>
      <c r="X16">
        <v>2.3321680420000002</v>
      </c>
      <c r="Y16">
        <v>1.389527508</v>
      </c>
      <c r="Z16">
        <v>1.38833132</v>
      </c>
      <c r="AA16">
        <v>-3789.009834</v>
      </c>
      <c r="AB16">
        <v>3.0010098983508802</v>
      </c>
      <c r="AC16">
        <v>1.26644</v>
      </c>
      <c r="AD16">
        <v>1.2754700000000001</v>
      </c>
      <c r="AE16">
        <v>-3.1301582841269702</v>
      </c>
      <c r="AF16">
        <v>-0.31092999999999998</v>
      </c>
      <c r="AG16">
        <v>0.80318999999999996</v>
      </c>
      <c r="AH16">
        <v>0.85343999999999998</v>
      </c>
      <c r="AI16">
        <v>4.3617129096645</v>
      </c>
      <c r="AJ16">
        <v>0.16358</v>
      </c>
      <c r="AK16">
        <v>0.142039999999999</v>
      </c>
    </row>
    <row r="17" spans="1:37">
      <c r="A17">
        <v>16</v>
      </c>
      <c r="B17">
        <v>0.39061441499999999</v>
      </c>
      <c r="C17">
        <v>0.36105212800000003</v>
      </c>
      <c r="D17">
        <v>0.36223336699999997</v>
      </c>
      <c r="E17">
        <v>0.30276723</v>
      </c>
      <c r="F17">
        <v>8.3762659000000003E-2</v>
      </c>
      <c r="G17">
        <v>0.15406203900000001</v>
      </c>
      <c r="H17">
        <v>6.2528818999999999E-2</v>
      </c>
      <c r="I17">
        <v>6.4504193000000001E-2</v>
      </c>
      <c r="J17">
        <v>0.69746617099999997</v>
      </c>
      <c r="K17">
        <v>0.56804221700000002</v>
      </c>
      <c r="L17">
        <v>0.54300564100000004</v>
      </c>
      <c r="M17">
        <v>0.65996254200000004</v>
      </c>
      <c r="N17">
        <v>0.53443556699999994</v>
      </c>
      <c r="O17">
        <v>0.95903023700000001</v>
      </c>
      <c r="P17">
        <v>0.89593621899999998</v>
      </c>
      <c r="Q17">
        <v>0.66292778648456896</v>
      </c>
      <c r="R17">
        <v>-0.74868334421614402</v>
      </c>
      <c r="S17">
        <v>0.23131102766853701</v>
      </c>
      <c r="T17">
        <v>0.97287985305428304</v>
      </c>
      <c r="U17">
        <v>-0.98754059599999999</v>
      </c>
      <c r="V17">
        <v>1.8356260799999999</v>
      </c>
      <c r="W17">
        <v>2.447726539</v>
      </c>
      <c r="X17">
        <v>2.2954980119999999</v>
      </c>
      <c r="Y17">
        <v>1.397217916</v>
      </c>
      <c r="Z17">
        <v>1.3802030759999999</v>
      </c>
      <c r="AA17">
        <v>-3567.5003459999998</v>
      </c>
      <c r="AB17">
        <v>2.3678574471449898</v>
      </c>
      <c r="AC17">
        <v>1.2886</v>
      </c>
      <c r="AD17">
        <v>1.3248800000000001</v>
      </c>
      <c r="AE17">
        <v>-3.18310472774247</v>
      </c>
      <c r="AF17">
        <v>-0.25825999999999999</v>
      </c>
      <c r="AG17">
        <v>0.85531000000000001</v>
      </c>
      <c r="AH17">
        <v>0.80722000000000005</v>
      </c>
      <c r="AI17">
        <v>4.2958613578434903</v>
      </c>
      <c r="AJ17">
        <v>0.15007000000000001</v>
      </c>
      <c r="AK17">
        <v>0.166409999999999</v>
      </c>
    </row>
    <row r="18" spans="1:37">
      <c r="A18">
        <v>17</v>
      </c>
      <c r="B18">
        <v>0.53915736400000003</v>
      </c>
      <c r="C18">
        <v>0.38257914300000001</v>
      </c>
      <c r="D18">
        <v>0.37706859199999998</v>
      </c>
      <c r="E18">
        <v>0.376746953</v>
      </c>
      <c r="F18">
        <v>0.338506117</v>
      </c>
      <c r="G18">
        <v>0.195806744</v>
      </c>
      <c r="H18">
        <v>0.108804928</v>
      </c>
      <c r="I18">
        <v>0.16431462499999999</v>
      </c>
      <c r="J18">
        <v>0.73980861099999995</v>
      </c>
      <c r="K18">
        <v>0.56935154200000004</v>
      </c>
      <c r="L18">
        <v>0.64468897800000002</v>
      </c>
      <c r="M18">
        <v>0.58982255800000005</v>
      </c>
      <c r="N18">
        <v>0.59638813800000001</v>
      </c>
      <c r="O18">
        <v>0.90623252899999995</v>
      </c>
      <c r="P18">
        <v>0.87631615699999998</v>
      </c>
      <c r="Q18">
        <v>-0.79878923277210401</v>
      </c>
      <c r="R18">
        <v>-0.60161097198052504</v>
      </c>
      <c r="S18">
        <v>-0.74021513397970695</v>
      </c>
      <c r="T18">
        <v>0.67237010301425704</v>
      </c>
      <c r="U18">
        <v>24.180994569999999</v>
      </c>
      <c r="V18">
        <v>6.0239591700000004</v>
      </c>
      <c r="W18">
        <v>2.38736931</v>
      </c>
      <c r="X18">
        <v>2.3468283830000001</v>
      </c>
      <c r="Y18">
        <v>1.388727029</v>
      </c>
      <c r="Z18">
        <v>1.399945424</v>
      </c>
      <c r="AA18">
        <v>-2866.358221</v>
      </c>
      <c r="AB18">
        <v>2.5213874315543001</v>
      </c>
      <c r="AC18">
        <v>1.29671</v>
      </c>
      <c r="AD18">
        <v>1.34077</v>
      </c>
      <c r="AE18">
        <v>-3.89260373916348</v>
      </c>
      <c r="AF18">
        <v>-0.25785000000000002</v>
      </c>
      <c r="AG18">
        <v>1.0462</v>
      </c>
      <c r="AH18">
        <v>1.04619</v>
      </c>
      <c r="AI18">
        <v>3.7935391898205002</v>
      </c>
      <c r="AJ18">
        <v>0.186579999999999</v>
      </c>
      <c r="AK18">
        <v>0.17504999999999901</v>
      </c>
    </row>
    <row r="19" spans="1:37">
      <c r="A19">
        <v>18</v>
      </c>
      <c r="B19">
        <v>0.38273284600000002</v>
      </c>
      <c r="C19">
        <v>0.40320386200000002</v>
      </c>
      <c r="D19">
        <v>0.38294632299999998</v>
      </c>
      <c r="E19">
        <v>0.31339553599999997</v>
      </c>
      <c r="F19">
        <v>7.8827071999999998E-2</v>
      </c>
      <c r="G19">
        <v>0.19726977200000001</v>
      </c>
      <c r="H19">
        <v>7.1016662999999994E-2</v>
      </c>
      <c r="I19">
        <v>9.3878619999999996E-2</v>
      </c>
      <c r="J19">
        <v>0.68663862099999995</v>
      </c>
      <c r="K19">
        <v>0.60913795199999998</v>
      </c>
      <c r="L19">
        <v>0.55577440899999997</v>
      </c>
      <c r="M19">
        <v>0.67201402700000001</v>
      </c>
      <c r="N19">
        <v>0.58009923600000002</v>
      </c>
      <c r="O19">
        <v>0.95943789599999996</v>
      </c>
      <c r="P19">
        <v>0.92957393799999999</v>
      </c>
      <c r="Q19">
        <v>-0.105856246161436</v>
      </c>
      <c r="R19">
        <v>-0.99438144348565205</v>
      </c>
      <c r="S19">
        <v>0.89179040547875599</v>
      </c>
      <c r="T19">
        <v>-0.452448751458145</v>
      </c>
      <c r="U19">
        <v>6.3091670129999997</v>
      </c>
      <c r="V19">
        <v>11.098062000000001</v>
      </c>
      <c r="W19">
        <v>2.454387841</v>
      </c>
      <c r="X19">
        <v>2.341392871</v>
      </c>
      <c r="Y19">
        <v>1.389530551</v>
      </c>
      <c r="Z19">
        <v>1.38591226</v>
      </c>
      <c r="AA19">
        <v>-3645.9198259999998</v>
      </c>
      <c r="AB19">
        <v>1.99237164454827</v>
      </c>
      <c r="AC19">
        <v>1.30705</v>
      </c>
      <c r="AD19">
        <v>1.32894</v>
      </c>
      <c r="AE19">
        <v>-3.48026472345152</v>
      </c>
      <c r="AF19">
        <v>-0.27079999999999999</v>
      </c>
      <c r="AG19">
        <v>0.82181000000000004</v>
      </c>
      <c r="AH19">
        <v>0.80596000000000001</v>
      </c>
      <c r="AI19">
        <v>4.3981761656314999</v>
      </c>
      <c r="AJ19">
        <v>0.15739999999999901</v>
      </c>
      <c r="AK19">
        <v>0.16592000000000001</v>
      </c>
    </row>
    <row r="20" spans="1:37">
      <c r="A20">
        <v>19</v>
      </c>
      <c r="B20">
        <v>0.53684327399999998</v>
      </c>
      <c r="C20">
        <v>0.51798329799999998</v>
      </c>
      <c r="D20">
        <v>0.38421010700000002</v>
      </c>
      <c r="E20">
        <v>0.40909013300000002</v>
      </c>
      <c r="F20">
        <v>0.30833470899999998</v>
      </c>
      <c r="G20">
        <v>0.226029386</v>
      </c>
      <c r="H20">
        <v>0.17944587100000001</v>
      </c>
      <c r="I20">
        <v>0.104501232</v>
      </c>
      <c r="J20">
        <v>0.76535183799999995</v>
      </c>
      <c r="K20">
        <v>0.80993720899999999</v>
      </c>
      <c r="L20">
        <v>0.63873439499999995</v>
      </c>
      <c r="M20">
        <v>0.66391898100000002</v>
      </c>
      <c r="N20">
        <v>0.55743337699999995</v>
      </c>
      <c r="O20">
        <v>0.91873602300000001</v>
      </c>
      <c r="P20">
        <v>0.92537504699999995</v>
      </c>
      <c r="Q20">
        <v>-0.89446569892003303</v>
      </c>
      <c r="R20">
        <v>-0.44713657136885598</v>
      </c>
      <c r="S20">
        <v>0.43438522598733798</v>
      </c>
      <c r="T20">
        <v>-0.90072719257493705</v>
      </c>
      <c r="U20">
        <v>-20.015445589999999</v>
      </c>
      <c r="V20">
        <v>-26.824610799999999</v>
      </c>
      <c r="W20">
        <v>2.5191477</v>
      </c>
      <c r="X20">
        <v>2.447044134</v>
      </c>
      <c r="Y20">
        <v>1.3997066709999999</v>
      </c>
      <c r="Z20">
        <v>1.4075218860000001</v>
      </c>
      <c r="AA20">
        <v>-4054.0457379999998</v>
      </c>
      <c r="AB20">
        <v>1.3224213965298599</v>
      </c>
      <c r="AC20">
        <v>1.33988</v>
      </c>
      <c r="AD20">
        <v>1.3525199999999999</v>
      </c>
      <c r="AE20">
        <v>-4.5726695015223804</v>
      </c>
      <c r="AF20">
        <v>-0.15303</v>
      </c>
      <c r="AG20">
        <v>0.81423999999999996</v>
      </c>
      <c r="AH20">
        <v>0.81550999999999996</v>
      </c>
      <c r="AI20">
        <v>4.8852599580265004</v>
      </c>
      <c r="AJ20">
        <v>0.16144</v>
      </c>
      <c r="AK20">
        <v>0.15747</v>
      </c>
    </row>
    <row r="21" spans="1:37">
      <c r="A21">
        <v>20</v>
      </c>
      <c r="B21">
        <v>0.45473434899999998</v>
      </c>
      <c r="C21">
        <v>0.51029812799999996</v>
      </c>
      <c r="D21">
        <v>0.426282143</v>
      </c>
      <c r="E21">
        <v>0.44442198999999999</v>
      </c>
      <c r="F21">
        <v>0.21325492600000001</v>
      </c>
      <c r="G21">
        <v>0.20723772200000001</v>
      </c>
      <c r="H21">
        <v>8.0802446E-2</v>
      </c>
      <c r="I21">
        <v>7.4073652000000004E-2</v>
      </c>
      <c r="J21">
        <v>0.69621377299999998</v>
      </c>
      <c r="K21">
        <v>0.81335853300000005</v>
      </c>
      <c r="L21">
        <v>0.80804153400000001</v>
      </c>
      <c r="M21">
        <v>0.77849063299999999</v>
      </c>
      <c r="N21">
        <v>0.55761973499999995</v>
      </c>
      <c r="O21">
        <v>0.90585981199999999</v>
      </c>
      <c r="P21">
        <v>0.90528908900000005</v>
      </c>
      <c r="Q21">
        <v>6.2096215333151301E-2</v>
      </c>
      <c r="R21">
        <v>-0.99807016789467196</v>
      </c>
      <c r="S21">
        <v>-0.93530896337490799</v>
      </c>
      <c r="T21">
        <v>0.35383208309953301</v>
      </c>
      <c r="U21">
        <v>-4.4302121420000002</v>
      </c>
      <c r="V21">
        <v>1.1981198120000001</v>
      </c>
      <c r="W21">
        <v>2.3497312809999999</v>
      </c>
      <c r="X21">
        <v>2.3475102300000001</v>
      </c>
      <c r="Y21">
        <v>1.392131657</v>
      </c>
      <c r="Z21">
        <v>1.3868625960000001</v>
      </c>
      <c r="AA21">
        <v>-4443.3023839999996</v>
      </c>
      <c r="AB21">
        <v>2.3478256621819198</v>
      </c>
      <c r="AC21">
        <v>1.29325</v>
      </c>
      <c r="AD21">
        <v>1.2864100000000001</v>
      </c>
      <c r="AE21">
        <v>-5.15579599446031</v>
      </c>
      <c r="AF21">
        <v>-0.28988000000000003</v>
      </c>
      <c r="AG21">
        <v>0.86399000000000004</v>
      </c>
      <c r="AH21">
        <v>0.86958999999999997</v>
      </c>
      <c r="AI21">
        <v>4.3391274600729997</v>
      </c>
      <c r="AJ21">
        <v>0.16070000000000001</v>
      </c>
      <c r="AK21">
        <v>0.163769999999999</v>
      </c>
    </row>
    <row r="22" spans="1:37">
      <c r="A22">
        <v>21</v>
      </c>
      <c r="B22">
        <v>0.60870815099999998</v>
      </c>
      <c r="C22">
        <v>0.59312433499999995</v>
      </c>
      <c r="D22">
        <v>0.54684538000000005</v>
      </c>
      <c r="E22">
        <v>0.58344102099999995</v>
      </c>
      <c r="F22">
        <v>0.33231243900000002</v>
      </c>
      <c r="G22">
        <v>0.29927190100000001</v>
      </c>
      <c r="H22">
        <v>0.34807557700000002</v>
      </c>
      <c r="I22">
        <v>0.261284391</v>
      </c>
      <c r="J22">
        <v>0.88510386399999996</v>
      </c>
      <c r="K22">
        <v>0.88697676800000003</v>
      </c>
      <c r="L22">
        <v>0.81880646499999998</v>
      </c>
      <c r="M22">
        <v>0.83240636899999998</v>
      </c>
      <c r="N22">
        <v>0.58181140499999995</v>
      </c>
      <c r="O22">
        <v>0.91630753799999998</v>
      </c>
      <c r="P22">
        <v>0.92896244900000002</v>
      </c>
      <c r="Q22">
        <v>9.6835678656677401E-2</v>
      </c>
      <c r="R22">
        <v>-0.99530038246707198</v>
      </c>
      <c r="S22">
        <v>0.34835125657839699</v>
      </c>
      <c r="T22">
        <v>0.93736407123393095</v>
      </c>
      <c r="U22">
        <v>-12.082600810000001</v>
      </c>
      <c r="V22">
        <v>-15.053281520000001</v>
      </c>
      <c r="W22">
        <v>2.3701752979999999</v>
      </c>
      <c r="X22">
        <v>2.3647723580000002</v>
      </c>
      <c r="Y22">
        <v>1.392506335</v>
      </c>
      <c r="Z22">
        <v>1.393963423</v>
      </c>
      <c r="AA22">
        <v>-7135.1545459999998</v>
      </c>
      <c r="AB22">
        <v>6.0334618893301997</v>
      </c>
      <c r="AC22">
        <v>1.30437</v>
      </c>
      <c r="AD22">
        <v>1.29234</v>
      </c>
      <c r="AE22">
        <v>-6.3689829187622502</v>
      </c>
      <c r="AF22">
        <v>-0.31441000000000002</v>
      </c>
      <c r="AG22">
        <v>0.86543999999999999</v>
      </c>
      <c r="AH22">
        <v>0.86531000000000002</v>
      </c>
      <c r="AI22">
        <v>4.1755870359224998</v>
      </c>
      <c r="AJ22">
        <v>0.16044999999999901</v>
      </c>
      <c r="AK22">
        <v>0.16918</v>
      </c>
    </row>
    <row r="23" spans="1:37">
      <c r="A23">
        <v>22</v>
      </c>
      <c r="B23">
        <v>0.52169210399999999</v>
      </c>
      <c r="C23">
        <v>0.57681469600000002</v>
      </c>
      <c r="D23">
        <v>0.474997581</v>
      </c>
      <c r="E23">
        <v>0.50726675499999996</v>
      </c>
      <c r="F23">
        <v>0.30219795900000002</v>
      </c>
      <c r="G23">
        <v>0.322276177</v>
      </c>
      <c r="H23">
        <v>0.14310355599999999</v>
      </c>
      <c r="I23">
        <v>0.118789956</v>
      </c>
      <c r="J23">
        <v>0.74118624899999996</v>
      </c>
      <c r="K23">
        <v>0.83135321600000001</v>
      </c>
      <c r="L23">
        <v>0.87142995400000001</v>
      </c>
      <c r="M23">
        <v>0.83120520499999995</v>
      </c>
      <c r="N23">
        <v>0.56868477500000003</v>
      </c>
      <c r="O23">
        <v>0.910029584</v>
      </c>
      <c r="P23">
        <v>0.909779165</v>
      </c>
      <c r="Q23">
        <v>0.39974520728531798</v>
      </c>
      <c r="R23">
        <v>-0.91662629749119495</v>
      </c>
      <c r="S23">
        <v>-0.50366442313582405</v>
      </c>
      <c r="T23">
        <v>-0.86389938584725101</v>
      </c>
      <c r="U23">
        <v>2.188087516</v>
      </c>
      <c r="V23">
        <v>-4.8480919709999997</v>
      </c>
      <c r="W23">
        <v>2.3508539879999999</v>
      </c>
      <c r="X23">
        <v>2.3534178429999999</v>
      </c>
      <c r="Y23">
        <v>1.3934789110000001</v>
      </c>
      <c r="Z23">
        <v>1.387231884</v>
      </c>
      <c r="AA23">
        <v>-5214.1540800000002</v>
      </c>
      <c r="AB23">
        <v>3.6884142364978398</v>
      </c>
      <c r="AC23">
        <v>1.2870999999999999</v>
      </c>
      <c r="AD23">
        <v>1.27888</v>
      </c>
      <c r="AE23">
        <v>-6.6739743946269101</v>
      </c>
      <c r="AF23">
        <v>-0.28622999999999998</v>
      </c>
      <c r="AG23">
        <v>0.86289000000000005</v>
      </c>
      <c r="AH23">
        <v>0.86970999999999998</v>
      </c>
      <c r="AI23">
        <v>4.3902848639669996</v>
      </c>
      <c r="AJ23">
        <v>0.15922999999999901</v>
      </c>
      <c r="AK23">
        <v>0.16228999999999899</v>
      </c>
    </row>
    <row r="24" spans="1:37">
      <c r="A24">
        <v>23</v>
      </c>
      <c r="B24">
        <v>0.46613686399999998</v>
      </c>
      <c r="C24">
        <v>0.50656370399999995</v>
      </c>
      <c r="D24">
        <v>0.54688807500000003</v>
      </c>
      <c r="E24">
        <v>0.56676135599999999</v>
      </c>
      <c r="F24">
        <v>0.158861001</v>
      </c>
      <c r="G24">
        <v>0.15471100900000001</v>
      </c>
      <c r="H24">
        <v>0.26654446300000001</v>
      </c>
      <c r="I24">
        <v>0.30565343900000003</v>
      </c>
      <c r="J24">
        <v>0.77341272800000005</v>
      </c>
      <c r="K24">
        <v>0.85841639999999997</v>
      </c>
      <c r="L24">
        <v>0.86697824800000001</v>
      </c>
      <c r="M24">
        <v>0.78812271199999995</v>
      </c>
      <c r="N24">
        <v>0.58686055699999995</v>
      </c>
      <c r="O24">
        <v>0.940301202</v>
      </c>
      <c r="P24">
        <v>0.92620201300000005</v>
      </c>
      <c r="Q24">
        <v>0.38942937777367298</v>
      </c>
      <c r="R24">
        <v>-0.92105632820518002</v>
      </c>
      <c r="S24">
        <v>-0.99176850693063001</v>
      </c>
      <c r="T24">
        <v>-0.128043854442873</v>
      </c>
      <c r="U24">
        <v>8.5258969049999997</v>
      </c>
      <c r="V24">
        <v>23.858520630000001</v>
      </c>
      <c r="W24">
        <v>2.3323180649999999</v>
      </c>
      <c r="X24">
        <v>2.3817971770000002</v>
      </c>
      <c r="Y24">
        <v>1.386952644</v>
      </c>
      <c r="Z24">
        <v>1.3993449410000001</v>
      </c>
      <c r="AA24">
        <v>-4757.0389759999998</v>
      </c>
      <c r="AB24">
        <v>1.8405143656054399</v>
      </c>
      <c r="AC24">
        <v>1.29609</v>
      </c>
      <c r="AD24">
        <v>1.28528</v>
      </c>
      <c r="AE24">
        <v>-6.1145047478651904</v>
      </c>
      <c r="AF24">
        <v>-0.26066</v>
      </c>
      <c r="AG24">
        <v>0.86280999999999997</v>
      </c>
      <c r="AH24">
        <v>0.85951999999999995</v>
      </c>
      <c r="AI24">
        <v>4.4691978806119996</v>
      </c>
      <c r="AJ24">
        <v>0.16907999999999901</v>
      </c>
      <c r="AK24">
        <v>0.15636</v>
      </c>
    </row>
    <row r="25" spans="1:37">
      <c r="A25">
        <v>24</v>
      </c>
      <c r="B25">
        <v>0.52387810800000001</v>
      </c>
      <c r="C25">
        <v>0.445768318</v>
      </c>
      <c r="D25">
        <v>0.41164047100000001</v>
      </c>
      <c r="E25">
        <v>0.404396486</v>
      </c>
      <c r="F25">
        <v>0.22947917300000001</v>
      </c>
      <c r="G25">
        <v>0.11835730899999999</v>
      </c>
      <c r="H25">
        <v>0.138805554</v>
      </c>
      <c r="I25">
        <v>0.18826389199999999</v>
      </c>
      <c r="J25">
        <v>0.81827704199999995</v>
      </c>
      <c r="K25">
        <v>0.77317932599999994</v>
      </c>
      <c r="L25">
        <v>0.66998741900000003</v>
      </c>
      <c r="M25">
        <v>0.63501704999999997</v>
      </c>
      <c r="N25">
        <v>0.57442112400000001</v>
      </c>
      <c r="O25">
        <v>0.93112304300000004</v>
      </c>
      <c r="P25">
        <v>0.92629519199999999</v>
      </c>
      <c r="Q25">
        <v>-0.166635231981827</v>
      </c>
      <c r="R25">
        <v>-0.98601861009940495</v>
      </c>
      <c r="S25">
        <v>-0.22351389228576801</v>
      </c>
      <c r="T25">
        <v>-0.97470074379537897</v>
      </c>
      <c r="U25">
        <v>15.643778859999999</v>
      </c>
      <c r="V25">
        <v>2.4127804340000001</v>
      </c>
      <c r="W25">
        <v>2.3482378289999999</v>
      </c>
      <c r="X25">
        <v>2.3601405089999998</v>
      </c>
      <c r="Y25">
        <v>1.3917361880000001</v>
      </c>
      <c r="Z25">
        <v>1.389948848</v>
      </c>
      <c r="AA25">
        <v>-4039.9097790000001</v>
      </c>
      <c r="AB25">
        <v>2.3662244060950699</v>
      </c>
      <c r="AC25">
        <v>1.2873399999999999</v>
      </c>
      <c r="AD25">
        <v>1.2832699999999999</v>
      </c>
      <c r="AE25">
        <v>-4.0888886596984104</v>
      </c>
      <c r="AF25">
        <v>-0.26524999999999999</v>
      </c>
      <c r="AG25">
        <v>0.84853000000000001</v>
      </c>
      <c r="AH25">
        <v>0.87648999999999999</v>
      </c>
      <c r="AI25">
        <v>4.2566769633714996</v>
      </c>
      <c r="AJ25">
        <v>0.16399999999999901</v>
      </c>
      <c r="AK25">
        <v>0.15245999999999901</v>
      </c>
    </row>
    <row r="26" spans="1:37">
      <c r="A26">
        <v>25</v>
      </c>
      <c r="B26">
        <v>0.50654378</v>
      </c>
      <c r="C26">
        <v>0.44704633300000002</v>
      </c>
      <c r="D26">
        <v>0.43191224099999997</v>
      </c>
      <c r="E26">
        <v>0.47557539199999999</v>
      </c>
      <c r="F26">
        <v>0.30089432599999999</v>
      </c>
      <c r="G26">
        <v>0.13295343900000001</v>
      </c>
      <c r="H26">
        <v>0.20766467599999999</v>
      </c>
      <c r="I26">
        <v>0.13262326199999999</v>
      </c>
      <c r="J26">
        <v>0.71219323400000001</v>
      </c>
      <c r="K26">
        <v>0.76113922700000003</v>
      </c>
      <c r="L26">
        <v>0.74348610699999995</v>
      </c>
      <c r="M26">
        <v>0.73120122099999996</v>
      </c>
      <c r="N26">
        <v>0.57203922799999996</v>
      </c>
      <c r="O26">
        <v>0.91965034499999998</v>
      </c>
      <c r="P26">
        <v>0.93165299999999995</v>
      </c>
      <c r="Q26">
        <v>0.99557150997354604</v>
      </c>
      <c r="R26">
        <v>-9.4007279127700294E-2</v>
      </c>
      <c r="S26">
        <v>-0.73297582721904797</v>
      </c>
      <c r="T26">
        <v>-0.68025468518235999</v>
      </c>
      <c r="U26">
        <v>8.9168359469999992</v>
      </c>
      <c r="V26">
        <v>29.023418920000001</v>
      </c>
      <c r="W26">
        <v>2.3216682639999999</v>
      </c>
      <c r="X26">
        <v>2.3524181789999998</v>
      </c>
      <c r="Y26">
        <v>1.3939555699999999</v>
      </c>
      <c r="Z26">
        <v>1.391764834</v>
      </c>
      <c r="AA26">
        <v>-5291.4151089999996</v>
      </c>
      <c r="AB26">
        <v>4.5291415102643899</v>
      </c>
      <c r="AC26">
        <v>1.2870699999999999</v>
      </c>
      <c r="AD26">
        <v>1.3053600000000001</v>
      </c>
      <c r="AE26">
        <v>-4.2600453872560999</v>
      </c>
      <c r="AF26">
        <v>-0.23533000000000001</v>
      </c>
      <c r="AG26">
        <v>0.85228999999999999</v>
      </c>
      <c r="AH26">
        <v>0.87346000000000001</v>
      </c>
      <c r="AI26">
        <v>3.9257865211634999</v>
      </c>
      <c r="AJ26">
        <v>0.15251999999999999</v>
      </c>
      <c r="AK26">
        <v>0.15798000000000001</v>
      </c>
    </row>
    <row r="27" spans="1:37">
      <c r="A27">
        <v>26</v>
      </c>
      <c r="B27">
        <v>0.42287220399999997</v>
      </c>
      <c r="C27">
        <v>0.45105970000000001</v>
      </c>
      <c r="D27">
        <v>0.39775592999999998</v>
      </c>
      <c r="E27">
        <v>0.36229029400000001</v>
      </c>
      <c r="F27">
        <v>0.157682608</v>
      </c>
      <c r="G27">
        <v>0.13688710800000001</v>
      </c>
      <c r="H27">
        <v>7.9140171999999995E-2</v>
      </c>
      <c r="I27">
        <v>0.12646943299999999</v>
      </c>
      <c r="J27">
        <v>0.68806179999999995</v>
      </c>
      <c r="K27">
        <v>0.76523229100000001</v>
      </c>
      <c r="L27">
        <v>0.64544041699999999</v>
      </c>
      <c r="M27">
        <v>0.66904242800000002</v>
      </c>
      <c r="N27">
        <v>0.56648923799999995</v>
      </c>
      <c r="O27">
        <v>0.91495061499999997</v>
      </c>
      <c r="P27">
        <v>0.93238096299999995</v>
      </c>
      <c r="Q27">
        <v>0.67967907880593204</v>
      </c>
      <c r="R27">
        <v>-0.73350961127548897</v>
      </c>
      <c r="S27">
        <v>4.5790888727346001E-3</v>
      </c>
      <c r="T27">
        <v>-0.999989515917589</v>
      </c>
      <c r="U27">
        <v>11.84319855</v>
      </c>
      <c r="V27">
        <v>29.311938789999999</v>
      </c>
      <c r="W27">
        <v>2.3327010019999999</v>
      </c>
      <c r="X27">
        <v>2.353171541</v>
      </c>
      <c r="Y27">
        <v>1.3945343020000001</v>
      </c>
      <c r="Z27">
        <v>1.393684208</v>
      </c>
      <c r="AA27">
        <v>-3945.492561</v>
      </c>
      <c r="AB27">
        <v>1.01769358846363</v>
      </c>
      <c r="AC27">
        <v>1.2925500000000001</v>
      </c>
      <c r="AD27">
        <v>1.30301</v>
      </c>
      <c r="AE27">
        <v>-3.76013484455998</v>
      </c>
      <c r="AF27">
        <v>-0.21945999999999999</v>
      </c>
      <c r="AG27">
        <v>0.86199000000000003</v>
      </c>
      <c r="AH27">
        <v>0.84953999999999996</v>
      </c>
      <c r="AI27">
        <v>4.3753186021895001</v>
      </c>
      <c r="AJ27">
        <v>0.15415000000000001</v>
      </c>
      <c r="AK27">
        <v>0.1578</v>
      </c>
    </row>
    <row r="28" spans="1:37">
      <c r="A28">
        <v>27</v>
      </c>
      <c r="B28">
        <v>0.35121795700000003</v>
      </c>
      <c r="C28">
        <v>0.37972993700000002</v>
      </c>
      <c r="D28">
        <v>0.46168800500000001</v>
      </c>
      <c r="E28">
        <v>0.44755867799999999</v>
      </c>
      <c r="F28">
        <v>5.2236383999999997E-2</v>
      </c>
      <c r="G28">
        <v>0.14872796199999999</v>
      </c>
      <c r="H28">
        <v>0.12228528499999999</v>
      </c>
      <c r="I28">
        <v>0.13992132700000001</v>
      </c>
      <c r="J28">
        <v>0.65019952999999997</v>
      </c>
      <c r="K28">
        <v>0.61073191299999996</v>
      </c>
      <c r="L28">
        <v>0.77283206999999998</v>
      </c>
      <c r="M28">
        <v>0.78345468299999999</v>
      </c>
      <c r="N28">
        <v>0.56890025200000005</v>
      </c>
      <c r="O28">
        <v>0.93400577699999998</v>
      </c>
      <c r="P28">
        <v>0.92409383199999995</v>
      </c>
      <c r="Q28">
        <v>-0.344845776933763</v>
      </c>
      <c r="R28">
        <v>-0.93865935787747201</v>
      </c>
      <c r="S28">
        <v>0.29289300866582402</v>
      </c>
      <c r="T28">
        <v>0.95614522195882001</v>
      </c>
      <c r="U28">
        <v>-29.966257389999999</v>
      </c>
      <c r="V28">
        <v>-17.374528690000002</v>
      </c>
      <c r="W28">
        <v>2.4055598800000002</v>
      </c>
      <c r="X28">
        <v>2.3650447489999999</v>
      </c>
      <c r="Y28">
        <v>1.394105707</v>
      </c>
      <c r="Z28">
        <v>1.3965850930000001</v>
      </c>
      <c r="AA28">
        <v>-3952.5419740000002</v>
      </c>
      <c r="AB28">
        <v>0.72267994298997895</v>
      </c>
      <c r="AC28">
        <v>1.3048900000000001</v>
      </c>
      <c r="AD28">
        <v>1.32254</v>
      </c>
      <c r="AE28">
        <v>-4.0580369927003304</v>
      </c>
      <c r="AF28">
        <v>-0.20071</v>
      </c>
      <c r="AG28">
        <v>0.85880999999999996</v>
      </c>
      <c r="AH28">
        <v>0.77441000000000004</v>
      </c>
      <c r="AI28">
        <v>4.2191252520024998</v>
      </c>
      <c r="AJ28">
        <v>0.14385000000000001</v>
      </c>
      <c r="AK28">
        <v>0.16023000000000001</v>
      </c>
    </row>
    <row r="29" spans="1:37">
      <c r="A29">
        <v>28</v>
      </c>
      <c r="B29">
        <v>0.49464030599999997</v>
      </c>
      <c r="C29">
        <v>0.54585200099999998</v>
      </c>
      <c r="D29">
        <v>0.414594992</v>
      </c>
      <c r="E29">
        <v>0.49178540700000001</v>
      </c>
      <c r="F29">
        <v>0.192652978</v>
      </c>
      <c r="G29">
        <v>0.347443685</v>
      </c>
      <c r="H29">
        <v>0.30475968199999998</v>
      </c>
      <c r="I29">
        <v>0.165925664</v>
      </c>
      <c r="J29">
        <v>0.79662763400000003</v>
      </c>
      <c r="K29">
        <v>0.74426031699999995</v>
      </c>
      <c r="L29">
        <v>0.67881113299999996</v>
      </c>
      <c r="M29">
        <v>0.66326431900000005</v>
      </c>
      <c r="N29">
        <v>0.57633129900000002</v>
      </c>
      <c r="O29">
        <v>0.90121831900000005</v>
      </c>
      <c r="P29">
        <v>0.89441623199999998</v>
      </c>
      <c r="Q29">
        <v>0.81428948525934497</v>
      </c>
      <c r="R29">
        <v>0.58045898580009003</v>
      </c>
      <c r="S29">
        <v>0.61828252849491006</v>
      </c>
      <c r="T29">
        <v>-0.78595592430996997</v>
      </c>
      <c r="U29">
        <v>-17.07781439</v>
      </c>
      <c r="V29">
        <v>-9.3907705949999993</v>
      </c>
      <c r="W29">
        <v>2.359060511</v>
      </c>
      <c r="X29">
        <v>2.3390702640000001</v>
      </c>
      <c r="Y29">
        <v>1.3915398219999999</v>
      </c>
      <c r="Z29">
        <v>1.392524426</v>
      </c>
      <c r="AA29">
        <v>-5676.8370569999997</v>
      </c>
      <c r="AB29">
        <v>5.4781654347052999</v>
      </c>
      <c r="AC29">
        <v>1.3270999999999999</v>
      </c>
      <c r="AD29">
        <v>1.2799</v>
      </c>
      <c r="AE29">
        <v>-4.7952842997309002</v>
      </c>
      <c r="AF29">
        <v>-0.28703000000000001</v>
      </c>
      <c r="AG29">
        <v>0.83784000000000003</v>
      </c>
      <c r="AH29">
        <v>0.85079000000000005</v>
      </c>
      <c r="AI29">
        <v>3.7374837366175</v>
      </c>
      <c r="AJ29">
        <v>0.15723999999999999</v>
      </c>
      <c r="AK29">
        <v>0.16378999999999899</v>
      </c>
    </row>
    <row r="30" spans="1:37">
      <c r="A30">
        <v>29</v>
      </c>
      <c r="B30">
        <v>0.53921144499999996</v>
      </c>
      <c r="C30">
        <v>0.40529024299999999</v>
      </c>
      <c r="D30">
        <v>0.43931277499999999</v>
      </c>
      <c r="E30">
        <v>0.48168652499999998</v>
      </c>
      <c r="F30">
        <v>0.34021962500000003</v>
      </c>
      <c r="G30">
        <v>0.123839397</v>
      </c>
      <c r="H30">
        <v>0.15954982000000001</v>
      </c>
      <c r="I30">
        <v>0.13483772899999999</v>
      </c>
      <c r="J30">
        <v>0.73820326400000003</v>
      </c>
      <c r="K30">
        <v>0.68674108899999997</v>
      </c>
      <c r="L30">
        <v>0.80382323</v>
      </c>
      <c r="M30">
        <v>0.74378782099999996</v>
      </c>
      <c r="N30">
        <v>0.55351984700000001</v>
      </c>
      <c r="O30">
        <v>0.92132757200000004</v>
      </c>
      <c r="P30">
        <v>0.92203223999999995</v>
      </c>
      <c r="Q30">
        <v>-0.121828104076143</v>
      </c>
      <c r="R30">
        <v>-0.99255121432458704</v>
      </c>
      <c r="S30">
        <v>-5.4816177157225601E-2</v>
      </c>
      <c r="T30">
        <v>-0.99849646304925199</v>
      </c>
      <c r="U30">
        <v>11.319054469999999</v>
      </c>
      <c r="V30">
        <v>6.0291432</v>
      </c>
      <c r="W30">
        <v>2.3863604309999999</v>
      </c>
      <c r="X30">
        <v>2.3437157919999998</v>
      </c>
      <c r="Y30">
        <v>1.399581516</v>
      </c>
      <c r="Z30">
        <v>1.3876554679999999</v>
      </c>
      <c r="AA30">
        <v>-5298.4722869999996</v>
      </c>
      <c r="AB30">
        <v>4.2487670999949998</v>
      </c>
      <c r="AC30">
        <v>1.2877099999999999</v>
      </c>
      <c r="AD30">
        <v>1.32809</v>
      </c>
      <c r="AE30">
        <v>-4.5172415891179902</v>
      </c>
      <c r="AF30">
        <v>-0.24424000000000001</v>
      </c>
      <c r="AG30">
        <v>0.80210999999999999</v>
      </c>
      <c r="AH30">
        <v>0.85389000000000004</v>
      </c>
      <c r="AI30">
        <v>3.5973451036099999</v>
      </c>
      <c r="AJ30">
        <v>0.15520999999999999</v>
      </c>
      <c r="AK30">
        <v>0.1472</v>
      </c>
    </row>
    <row r="31" spans="1:37">
      <c r="A31">
        <v>30</v>
      </c>
      <c r="B31">
        <v>0.46670044300000002</v>
      </c>
      <c r="C31">
        <v>0.45447817699999998</v>
      </c>
      <c r="D31">
        <v>0.39831950999999999</v>
      </c>
      <c r="E31">
        <v>0.44087258000000001</v>
      </c>
      <c r="F31">
        <v>0.156100032</v>
      </c>
      <c r="G31">
        <v>0.20465892099999999</v>
      </c>
      <c r="H31">
        <v>0.24589127999999999</v>
      </c>
      <c r="I31">
        <v>0.10606673</v>
      </c>
      <c r="J31">
        <v>0.77730085400000004</v>
      </c>
      <c r="K31">
        <v>0.70429743300000003</v>
      </c>
      <c r="L31">
        <v>0.63585387900000001</v>
      </c>
      <c r="M31">
        <v>0.69057228900000001</v>
      </c>
      <c r="N31">
        <v>0.54166278400000001</v>
      </c>
      <c r="O31">
        <v>0.91829342199999997</v>
      </c>
      <c r="P31">
        <v>0.89885389500000001</v>
      </c>
      <c r="Q31">
        <v>-0.66650172728330204</v>
      </c>
      <c r="R31">
        <v>-0.74550348592637306</v>
      </c>
      <c r="S31">
        <v>-7.0161232016488998E-3</v>
      </c>
      <c r="T31">
        <v>-0.99997538670470199</v>
      </c>
      <c r="U31">
        <v>-12.99095756</v>
      </c>
      <c r="V31">
        <v>-10.390910849999999</v>
      </c>
      <c r="W31">
        <v>2.3758724670000002</v>
      </c>
      <c r="X31">
        <v>2.3227876900000002</v>
      </c>
      <c r="Y31">
        <v>1.38909645</v>
      </c>
      <c r="Z31">
        <v>1.3956233440000001</v>
      </c>
      <c r="AA31">
        <v>-4259.2145449999998</v>
      </c>
      <c r="AB31">
        <v>2.1778386487524699</v>
      </c>
      <c r="AC31">
        <v>1.27495</v>
      </c>
      <c r="AD31">
        <v>1.31155</v>
      </c>
      <c r="AE31">
        <v>-4.5271399971015001</v>
      </c>
      <c r="AF31">
        <v>-0.25507000000000002</v>
      </c>
      <c r="AG31">
        <v>0.85811999999999999</v>
      </c>
      <c r="AH31">
        <v>0.83043</v>
      </c>
      <c r="AI31">
        <v>4.2577654187735003</v>
      </c>
      <c r="AJ31">
        <v>0.155499999999999</v>
      </c>
      <c r="AK31">
        <v>0.15617999999999899</v>
      </c>
    </row>
    <row r="32" spans="1:37">
      <c r="A32">
        <v>31</v>
      </c>
      <c r="B32">
        <v>0.39554715600000001</v>
      </c>
      <c r="C32">
        <v>0.39434599199999998</v>
      </c>
      <c r="D32">
        <v>0.37270796899999997</v>
      </c>
      <c r="E32">
        <v>0.57732419499999998</v>
      </c>
      <c r="F32">
        <v>0.17140205999999999</v>
      </c>
      <c r="G32">
        <v>9.6326489000000001E-2</v>
      </c>
      <c r="H32">
        <v>0.32778672800000003</v>
      </c>
      <c r="I32">
        <v>0.14846040399999999</v>
      </c>
      <c r="J32">
        <v>0.619692252</v>
      </c>
      <c r="K32">
        <v>0.692365495</v>
      </c>
      <c r="L32">
        <v>0.82686166100000003</v>
      </c>
      <c r="M32">
        <v>0.59695553400000001</v>
      </c>
      <c r="N32">
        <v>0.54601891499999999</v>
      </c>
      <c r="O32">
        <v>0.92232924900000002</v>
      </c>
      <c r="P32">
        <v>0.91381499300000002</v>
      </c>
      <c r="Q32">
        <v>-0.13861424551770801</v>
      </c>
      <c r="R32">
        <v>0.99034644995554799</v>
      </c>
      <c r="S32">
        <v>-0.58570101285201903</v>
      </c>
      <c r="T32">
        <v>0.81052718865200202</v>
      </c>
      <c r="U32">
        <v>23.161456489999999</v>
      </c>
      <c r="V32">
        <v>15.129335429999999</v>
      </c>
      <c r="W32">
        <v>2.3630523299999999</v>
      </c>
      <c r="X32">
        <v>2.4185893639999998</v>
      </c>
      <c r="Y32">
        <v>1.3982153719999999</v>
      </c>
      <c r="Z32">
        <v>1.3916123069999999</v>
      </c>
      <c r="AA32">
        <v>-5273.4999639999996</v>
      </c>
      <c r="AB32">
        <v>2.1892802218994198</v>
      </c>
      <c r="AC32">
        <v>1.3231200000000001</v>
      </c>
      <c r="AD32">
        <v>1.24594</v>
      </c>
      <c r="AE32">
        <v>-4.2053543047360904</v>
      </c>
      <c r="AF32">
        <v>-0.21983</v>
      </c>
      <c r="AG32">
        <v>0.83914999999999995</v>
      </c>
      <c r="AH32">
        <v>0.90214000000000005</v>
      </c>
      <c r="AI32">
        <v>4.8077075106339997</v>
      </c>
      <c r="AJ32">
        <v>0.14599000000000001</v>
      </c>
      <c r="AK32">
        <v>0.16008</v>
      </c>
    </row>
    <row r="33" spans="1:37">
      <c r="A33">
        <v>32</v>
      </c>
      <c r="B33">
        <v>0.39124345999999999</v>
      </c>
      <c r="C33">
        <v>0.37238063799999999</v>
      </c>
      <c r="D33">
        <v>0.39149678599999999</v>
      </c>
      <c r="E33">
        <v>0.372172854</v>
      </c>
      <c r="F33">
        <v>4.6509509999999997E-2</v>
      </c>
      <c r="G33">
        <v>0.163301321</v>
      </c>
      <c r="H33">
        <v>0.16286867499999999</v>
      </c>
      <c r="I33">
        <v>4.6236259000000002E-2</v>
      </c>
      <c r="J33">
        <v>0.73597741100000003</v>
      </c>
      <c r="K33">
        <v>0.58145995500000003</v>
      </c>
      <c r="L33">
        <v>0.58147703299999998</v>
      </c>
      <c r="M33">
        <v>0.736757314</v>
      </c>
      <c r="N33">
        <v>0.51765164900000005</v>
      </c>
      <c r="O33">
        <v>0.89961679999999999</v>
      </c>
      <c r="P33">
        <v>0.89990216199999995</v>
      </c>
      <c r="Q33">
        <v>-0.160571763562016</v>
      </c>
      <c r="R33">
        <v>-0.98702416826873196</v>
      </c>
      <c r="S33">
        <v>0.67496672570575</v>
      </c>
      <c r="T33">
        <v>-0.73784816811459097</v>
      </c>
      <c r="U33">
        <v>-4.6167878660000001</v>
      </c>
      <c r="V33">
        <v>-4.9482569989999998</v>
      </c>
      <c r="W33">
        <v>2.3341186450000002</v>
      </c>
      <c r="X33">
        <v>2.333368482</v>
      </c>
      <c r="Y33">
        <v>1.389178185</v>
      </c>
      <c r="Z33">
        <v>1.389261232</v>
      </c>
      <c r="AA33">
        <v>-2755.870848</v>
      </c>
      <c r="AB33">
        <v>1.7159982342648199</v>
      </c>
      <c r="AC33">
        <v>1.26834</v>
      </c>
      <c r="AD33">
        <v>1.26854</v>
      </c>
      <c r="AE33">
        <v>-3.9247315276016899</v>
      </c>
      <c r="AF33">
        <v>-0.28659000000000001</v>
      </c>
      <c r="AG33">
        <v>0.86646000000000001</v>
      </c>
      <c r="AH33">
        <v>0.86658999999999997</v>
      </c>
      <c r="AI33">
        <v>3.8310909011895</v>
      </c>
      <c r="AJ33">
        <v>0.14792</v>
      </c>
      <c r="AK33">
        <v>0.14799999999999999</v>
      </c>
    </row>
    <row r="34" spans="1:37">
      <c r="A34">
        <v>33</v>
      </c>
      <c r="B34">
        <v>0.44915833199999999</v>
      </c>
      <c r="C34">
        <v>0.52991808200000001</v>
      </c>
      <c r="D34">
        <v>0.45005778099999999</v>
      </c>
      <c r="E34">
        <v>0.53032226500000001</v>
      </c>
      <c r="F34">
        <v>9.4408042999999997E-2</v>
      </c>
      <c r="G34">
        <v>0.27495260799999999</v>
      </c>
      <c r="H34">
        <v>0.27679135599999999</v>
      </c>
      <c r="I34">
        <v>9.6036159999999995E-2</v>
      </c>
      <c r="J34">
        <v>0.80390861999999996</v>
      </c>
      <c r="K34">
        <v>0.78488355499999996</v>
      </c>
      <c r="L34">
        <v>0.78385317300000001</v>
      </c>
      <c r="M34">
        <v>0.80407940200000005</v>
      </c>
      <c r="N34">
        <v>0.52777324800000003</v>
      </c>
      <c r="O34">
        <v>0.90411852400000003</v>
      </c>
      <c r="P34">
        <v>0.90411269999999999</v>
      </c>
      <c r="Q34">
        <v>0.54483652762219803</v>
      </c>
      <c r="R34">
        <v>-0.83854228168207701</v>
      </c>
      <c r="S34">
        <v>-0.38956420915677697</v>
      </c>
      <c r="T34">
        <v>-0.92099930887273396</v>
      </c>
      <c r="U34">
        <v>-8.1714421900000005</v>
      </c>
      <c r="V34">
        <v>-8.4675865530000003</v>
      </c>
      <c r="W34">
        <v>2.3264843320000002</v>
      </c>
      <c r="X34">
        <v>2.3274893460000001</v>
      </c>
      <c r="Y34">
        <v>1.3890431809999999</v>
      </c>
      <c r="Z34">
        <v>1.389068797</v>
      </c>
      <c r="AA34">
        <v>-5598.2285510000002</v>
      </c>
      <c r="AB34">
        <v>4.3537603493991197</v>
      </c>
      <c r="AC34">
        <v>1.2717700000000001</v>
      </c>
      <c r="AD34">
        <v>1.2719800000000001</v>
      </c>
      <c r="AE34">
        <v>-4.8366627835542797</v>
      </c>
      <c r="AF34">
        <v>-0.31598999999999999</v>
      </c>
      <c r="AG34">
        <v>0.86721999999999999</v>
      </c>
      <c r="AH34">
        <v>0.86734999999999995</v>
      </c>
      <c r="AI34">
        <v>4.1208921519719999</v>
      </c>
      <c r="AJ34">
        <v>0.15321000000000001</v>
      </c>
      <c r="AK34">
        <v>0.15296999999999999</v>
      </c>
    </row>
    <row r="35" spans="1:37">
      <c r="A35">
        <v>34</v>
      </c>
      <c r="B35">
        <v>0.39090759000000003</v>
      </c>
      <c r="C35">
        <v>0.37515014499999999</v>
      </c>
      <c r="D35">
        <v>0.39190381600000002</v>
      </c>
      <c r="E35">
        <v>0.37440724600000003</v>
      </c>
      <c r="F35">
        <v>4.5587289000000003E-2</v>
      </c>
      <c r="G35">
        <v>0.168942805</v>
      </c>
      <c r="H35">
        <v>0.16675110900000001</v>
      </c>
      <c r="I35">
        <v>4.6572130000000003E-2</v>
      </c>
      <c r="J35">
        <v>0.73622789099999997</v>
      </c>
      <c r="K35">
        <v>0.58135748600000003</v>
      </c>
      <c r="L35">
        <v>0.58206338300000005</v>
      </c>
      <c r="M35">
        <v>0.73723550199999999</v>
      </c>
      <c r="N35">
        <v>0.51664997199999996</v>
      </c>
      <c r="O35">
        <v>0.89866171299999997</v>
      </c>
      <c r="P35">
        <v>0.89871995000000005</v>
      </c>
      <c r="Q35">
        <v>-0.46299615484072898</v>
      </c>
      <c r="R35">
        <v>-0.88636028825906799</v>
      </c>
      <c r="S35">
        <v>0.23974647820373801</v>
      </c>
      <c r="T35">
        <v>-0.97083552993743705</v>
      </c>
      <c r="U35">
        <v>-3.725967222</v>
      </c>
      <c r="V35">
        <v>-3.8187624969999998</v>
      </c>
      <c r="W35">
        <v>2.335190635</v>
      </c>
      <c r="X35">
        <v>2.3338853749999999</v>
      </c>
      <c r="Y35">
        <v>1.38920899</v>
      </c>
      <c r="Z35">
        <v>1.3893619420000001</v>
      </c>
      <c r="AA35">
        <v>-2912.7398480000002</v>
      </c>
      <c r="AB35">
        <v>1.50842003102584</v>
      </c>
      <c r="AC35">
        <v>1.26603</v>
      </c>
      <c r="AD35">
        <v>1.2662500000000001</v>
      </c>
      <c r="AE35">
        <v>-4.3105677617783202</v>
      </c>
      <c r="AF35">
        <v>-0.28406999999999999</v>
      </c>
      <c r="AG35">
        <v>0.86804000000000003</v>
      </c>
      <c r="AH35">
        <v>0.86770999999999998</v>
      </c>
      <c r="AI35">
        <v>3.7725864233320001</v>
      </c>
      <c r="AJ35">
        <v>0.14757999999999999</v>
      </c>
      <c r="AK35">
        <v>0.14785000000000001</v>
      </c>
    </row>
    <row r="36" spans="1:37">
      <c r="A36">
        <v>35</v>
      </c>
      <c r="B36">
        <v>0.42390258600000003</v>
      </c>
      <c r="C36">
        <v>0.42964084600000002</v>
      </c>
      <c r="D36">
        <v>0.42425553500000002</v>
      </c>
      <c r="E36">
        <v>0.42888086800000003</v>
      </c>
      <c r="F36">
        <v>6.1065791000000001E-2</v>
      </c>
      <c r="G36">
        <v>0.21915827500000001</v>
      </c>
      <c r="H36">
        <v>0.21888502400000001</v>
      </c>
      <c r="I36">
        <v>6.0872238000000002E-2</v>
      </c>
      <c r="J36">
        <v>0.78673938200000004</v>
      </c>
      <c r="K36">
        <v>0.64012341800000006</v>
      </c>
      <c r="L36">
        <v>0.63887671300000004</v>
      </c>
      <c r="M36">
        <v>0.78763883099999998</v>
      </c>
      <c r="N36">
        <v>0.51772735700000005</v>
      </c>
      <c r="O36">
        <v>0.89887136599999995</v>
      </c>
      <c r="P36">
        <v>0.89927902500000001</v>
      </c>
      <c r="Q36">
        <v>-0.65756924647563597</v>
      </c>
      <c r="R36">
        <v>-0.753394110734524</v>
      </c>
      <c r="S36">
        <v>-0.99728514558736503</v>
      </c>
      <c r="T36">
        <v>-7.3636528915933502E-2</v>
      </c>
      <c r="U36">
        <v>-4.2137397840000004</v>
      </c>
      <c r="V36">
        <v>-4.1930590130000001</v>
      </c>
      <c r="W36">
        <v>2.3344016490000001</v>
      </c>
      <c r="X36">
        <v>2.3345836329999998</v>
      </c>
      <c r="Y36">
        <v>1.389475521</v>
      </c>
      <c r="Z36">
        <v>1.3894937089999999</v>
      </c>
      <c r="AA36">
        <v>-3069.6064390000001</v>
      </c>
      <c r="AB36">
        <v>1.25934585003485</v>
      </c>
      <c r="AC36">
        <v>1.2663500000000001</v>
      </c>
      <c r="AD36">
        <v>1.2663899999999999</v>
      </c>
      <c r="AE36">
        <v>-4.7850410064898501</v>
      </c>
      <c r="AF36">
        <v>-0.28377000000000002</v>
      </c>
      <c r="AG36">
        <v>0.86968999999999996</v>
      </c>
      <c r="AH36">
        <v>0.86990000000000001</v>
      </c>
      <c r="AI36">
        <v>3.744830810581</v>
      </c>
      <c r="AJ36">
        <v>0.147559999999999</v>
      </c>
      <c r="AK36">
        <v>0.14754999999999999</v>
      </c>
    </row>
    <row r="37" spans="1:37">
      <c r="A37">
        <v>36</v>
      </c>
      <c r="B37">
        <v>0.39362870999999999</v>
      </c>
      <c r="C37">
        <v>0.377808645</v>
      </c>
      <c r="D37">
        <v>0.39600541900000003</v>
      </c>
      <c r="E37">
        <v>0.37487689499999999</v>
      </c>
      <c r="F37">
        <v>5.3374928000000002E-2</v>
      </c>
      <c r="G37">
        <v>0.175113712</v>
      </c>
      <c r="H37">
        <v>0.171681003</v>
      </c>
      <c r="I37">
        <v>5.1467867E-2</v>
      </c>
      <c r="J37">
        <v>0.73388249100000003</v>
      </c>
      <c r="K37">
        <v>0.58050357799999996</v>
      </c>
      <c r="L37">
        <v>0.57807278699999998</v>
      </c>
      <c r="M37">
        <v>0.74054297099999999</v>
      </c>
      <c r="N37">
        <v>0.52252026600000001</v>
      </c>
      <c r="O37">
        <v>0.90074659899999998</v>
      </c>
      <c r="P37">
        <v>0.90233064699999999</v>
      </c>
      <c r="Q37">
        <v>-0.742083303638301</v>
      </c>
      <c r="R37">
        <v>-0.67030766850847201</v>
      </c>
      <c r="S37">
        <v>-0.44083182547260102</v>
      </c>
      <c r="T37">
        <v>-0.89758971788367403</v>
      </c>
      <c r="U37">
        <v>-4.2746375399999996</v>
      </c>
      <c r="V37">
        <v>-3.9260507119999999</v>
      </c>
      <c r="W37">
        <v>2.3286338550000001</v>
      </c>
      <c r="X37">
        <v>2.3323021399999999</v>
      </c>
      <c r="Y37">
        <v>1.3888023</v>
      </c>
      <c r="Z37">
        <v>1.389141524</v>
      </c>
      <c r="AA37">
        <v>-2760.582989</v>
      </c>
      <c r="AB37">
        <v>2.4269802574392698</v>
      </c>
      <c r="AC37">
        <v>1.2699199999999999</v>
      </c>
      <c r="AD37">
        <v>1.2701499999999999</v>
      </c>
      <c r="AE37">
        <v>-4.0555554177870299</v>
      </c>
      <c r="AF37">
        <v>-0.29125000000000001</v>
      </c>
      <c r="AG37">
        <v>0.85999000000000003</v>
      </c>
      <c r="AH37">
        <v>0.85985999999999996</v>
      </c>
      <c r="AI37">
        <v>4.2803508683649998</v>
      </c>
      <c r="AJ37">
        <v>0.150919999999999</v>
      </c>
      <c r="AK37">
        <v>0.15003999999999901</v>
      </c>
    </row>
    <row r="38" spans="1:37">
      <c r="A38">
        <v>37</v>
      </c>
      <c r="B38">
        <v>0.36887677000000002</v>
      </c>
      <c r="C38">
        <v>0.38336758500000001</v>
      </c>
      <c r="D38">
        <v>0.36922687199999998</v>
      </c>
      <c r="E38">
        <v>0.38351274899999999</v>
      </c>
      <c r="F38">
        <v>0.16127471400000001</v>
      </c>
      <c r="G38">
        <v>5.0021916999999999E-2</v>
      </c>
      <c r="H38">
        <v>5.0727814000000003E-2</v>
      </c>
      <c r="I38">
        <v>0.16139995300000001</v>
      </c>
      <c r="J38">
        <v>0.576478826</v>
      </c>
      <c r="K38">
        <v>0.71671325200000002</v>
      </c>
      <c r="L38">
        <v>0.71629768400000005</v>
      </c>
      <c r="M38">
        <v>0.57705379000000001</v>
      </c>
      <c r="N38">
        <v>0.51334210800000002</v>
      </c>
      <c r="O38">
        <v>0.89714172599999997</v>
      </c>
      <c r="P38">
        <v>0.89750279499999996</v>
      </c>
      <c r="Q38">
        <v>-0.84266747461151703</v>
      </c>
      <c r="R38">
        <v>-0.53843432954432602</v>
      </c>
      <c r="S38">
        <v>0.44087707218633998</v>
      </c>
      <c r="T38">
        <v>-0.89756749452082996</v>
      </c>
      <c r="U38">
        <v>5.2716779779999996</v>
      </c>
      <c r="V38">
        <v>5.1057838970000002</v>
      </c>
      <c r="W38">
        <v>2.3329829439999998</v>
      </c>
      <c r="X38">
        <v>2.3329255299999998</v>
      </c>
      <c r="Y38">
        <v>1.389387752</v>
      </c>
      <c r="Z38">
        <v>1.3893407980000001</v>
      </c>
      <c r="AA38">
        <v>-2825.6208339999998</v>
      </c>
      <c r="AB38">
        <v>3.01382779534597</v>
      </c>
      <c r="AC38">
        <v>1.2752600000000001</v>
      </c>
      <c r="AD38">
        <v>1.2754000000000001</v>
      </c>
      <c r="AE38">
        <v>-3.4114998826511198</v>
      </c>
      <c r="AF38">
        <v>-0.28653000000000001</v>
      </c>
      <c r="AG38">
        <v>0.86499999999999999</v>
      </c>
      <c r="AH38">
        <v>0.86519000000000001</v>
      </c>
      <c r="AI38">
        <v>4.2419828154444996</v>
      </c>
      <c r="AJ38">
        <v>0.15495999999999999</v>
      </c>
      <c r="AK38">
        <v>0.15497</v>
      </c>
    </row>
    <row r="39" spans="1:37">
      <c r="A39">
        <v>38</v>
      </c>
      <c r="B39">
        <v>0.42582103199999999</v>
      </c>
      <c r="C39">
        <v>0.413940329</v>
      </c>
      <c r="D39">
        <v>0.42671763499999998</v>
      </c>
      <c r="E39">
        <v>0.413180351</v>
      </c>
      <c r="F39">
        <v>0.21316384199999999</v>
      </c>
      <c r="G39">
        <v>6.2118944000000002E-2</v>
      </c>
      <c r="H39">
        <v>6.1794459000000003E-2</v>
      </c>
      <c r="I39">
        <v>0.213585103</v>
      </c>
      <c r="J39">
        <v>0.63847822300000001</v>
      </c>
      <c r="K39">
        <v>0.76576171400000004</v>
      </c>
      <c r="L39">
        <v>0.76456624299999998</v>
      </c>
      <c r="M39">
        <v>0.63985016800000005</v>
      </c>
      <c r="N39">
        <v>0.51472814899999997</v>
      </c>
      <c r="O39">
        <v>0.89726402299999997</v>
      </c>
      <c r="P39">
        <v>0.89782892299999995</v>
      </c>
      <c r="Q39">
        <v>-0.68861040959801401</v>
      </c>
      <c r="R39">
        <v>-0.72513150793028802</v>
      </c>
      <c r="S39">
        <v>-0.93819462827654598</v>
      </c>
      <c r="T39">
        <v>0.34610813263058698</v>
      </c>
      <c r="U39">
        <v>5.6116862679999997</v>
      </c>
      <c r="V39">
        <v>5.5768347880000002</v>
      </c>
      <c r="W39">
        <v>2.331336077</v>
      </c>
      <c r="X39">
        <v>2.331481202</v>
      </c>
      <c r="Y39">
        <v>1.389574689</v>
      </c>
      <c r="Z39">
        <v>1.389560167</v>
      </c>
      <c r="AA39">
        <v>-3139.3511549999998</v>
      </c>
      <c r="AB39">
        <v>2.8814499457738201</v>
      </c>
      <c r="AC39">
        <v>1.27301</v>
      </c>
      <c r="AD39">
        <v>1.2729200000000001</v>
      </c>
      <c r="AE39">
        <v>-4.2329247685020697</v>
      </c>
      <c r="AF39">
        <v>-0.28738000000000002</v>
      </c>
      <c r="AG39">
        <v>0.86721000000000004</v>
      </c>
      <c r="AH39">
        <v>0.86714999999999998</v>
      </c>
      <c r="AI39">
        <v>4.2272886675174997</v>
      </c>
      <c r="AJ39">
        <v>0.15476000000000001</v>
      </c>
      <c r="AK39">
        <v>0.15484999999999899</v>
      </c>
    </row>
    <row r="40" spans="1:37">
      <c r="A40">
        <v>39</v>
      </c>
      <c r="B40">
        <v>0.54614517600000001</v>
      </c>
      <c r="C40">
        <v>0.50916812300000003</v>
      </c>
      <c r="D40">
        <v>0.56185707900000004</v>
      </c>
      <c r="E40">
        <v>0.54298571699999998</v>
      </c>
      <c r="F40">
        <v>0.34397112699999999</v>
      </c>
      <c r="G40">
        <v>0.16443986499999999</v>
      </c>
      <c r="H40">
        <v>0.23093650900000001</v>
      </c>
      <c r="I40">
        <v>0.37472888399999998</v>
      </c>
      <c r="J40">
        <v>0.74831922500000003</v>
      </c>
      <c r="K40">
        <v>0.85389638099999998</v>
      </c>
      <c r="L40">
        <v>0.855034925</v>
      </c>
      <c r="M40">
        <v>0.74898527299999995</v>
      </c>
      <c r="N40">
        <v>0.53899552699999997</v>
      </c>
      <c r="O40">
        <v>0.90677995700000003</v>
      </c>
      <c r="P40">
        <v>0.90313431799999999</v>
      </c>
      <c r="Q40">
        <v>0.28121585012468198</v>
      </c>
      <c r="R40">
        <v>-0.95964454129570897</v>
      </c>
      <c r="S40">
        <v>-0.78620069440405205</v>
      </c>
      <c r="T40">
        <v>0.61797125185447299</v>
      </c>
      <c r="U40">
        <v>6.1171272280000002</v>
      </c>
      <c r="V40">
        <v>7.5819543869999997</v>
      </c>
      <c r="W40">
        <v>2.3191255540000002</v>
      </c>
      <c r="X40">
        <v>2.3255219239999998</v>
      </c>
      <c r="Y40">
        <v>1.3896422100000001</v>
      </c>
      <c r="Z40">
        <v>1.389485954</v>
      </c>
      <c r="AA40">
        <v>-4537.4274109999997</v>
      </c>
      <c r="AB40">
        <v>2.7180666088232601</v>
      </c>
      <c r="AC40">
        <v>1.26389</v>
      </c>
      <c r="AD40">
        <v>1.26207</v>
      </c>
      <c r="AE40">
        <v>-7.9452955505179501</v>
      </c>
      <c r="AF40">
        <v>-0.29912</v>
      </c>
      <c r="AG40">
        <v>0.86848000000000003</v>
      </c>
      <c r="AH40">
        <v>0.86553000000000002</v>
      </c>
      <c r="AI40">
        <v>4.0449723876824999</v>
      </c>
      <c r="AJ40">
        <v>0.15372</v>
      </c>
      <c r="AK40">
        <v>0.15240999999999899</v>
      </c>
    </row>
    <row r="41" spans="1:37">
      <c r="A41">
        <v>40</v>
      </c>
      <c r="B41">
        <v>0.38635341499999998</v>
      </c>
      <c r="C41">
        <v>0.37933714000000002</v>
      </c>
      <c r="D41">
        <v>0.39173018799999998</v>
      </c>
      <c r="E41">
        <v>0.372172854</v>
      </c>
      <c r="F41">
        <v>4.6042707000000002E-2</v>
      </c>
      <c r="G41">
        <v>0.172352744</v>
      </c>
      <c r="H41">
        <v>0.160016623</v>
      </c>
      <c r="I41">
        <v>5.1097840999999998E-2</v>
      </c>
      <c r="J41">
        <v>0.72666412400000002</v>
      </c>
      <c r="K41">
        <v>0.58632153600000003</v>
      </c>
      <c r="L41">
        <v>0.58432908500000003</v>
      </c>
      <c r="M41">
        <v>0.73236253500000004</v>
      </c>
      <c r="N41">
        <v>0.51964918000000004</v>
      </c>
      <c r="O41">
        <v>0.898224935</v>
      </c>
      <c r="P41">
        <v>0.90203946099999999</v>
      </c>
      <c r="Q41">
        <v>-0.410250556042693</v>
      </c>
      <c r="R41">
        <v>-0.91197285116754401</v>
      </c>
      <c r="S41">
        <v>0.623179349293844</v>
      </c>
      <c r="T41">
        <v>-0.78207895932169202</v>
      </c>
      <c r="U41">
        <v>-4.4337580900000004</v>
      </c>
      <c r="V41">
        <v>-4.4705024120000001</v>
      </c>
      <c r="W41">
        <v>2.3207885610000001</v>
      </c>
      <c r="X41">
        <v>2.3348461010000001</v>
      </c>
      <c r="Y41">
        <v>1.3894850969999999</v>
      </c>
      <c r="Z41">
        <v>1.3882747740000001</v>
      </c>
      <c r="AA41">
        <v>-3596.4359909999998</v>
      </c>
      <c r="AB41">
        <v>1.72522704592757</v>
      </c>
      <c r="AC41">
        <v>1.27349</v>
      </c>
      <c r="AD41">
        <v>1.2688900000000001</v>
      </c>
      <c r="AE41">
        <v>-3.6600987426463201</v>
      </c>
      <c r="AF41">
        <v>-0.29353000000000001</v>
      </c>
      <c r="AG41">
        <v>0.86348999999999998</v>
      </c>
      <c r="AH41">
        <v>0.86124999999999996</v>
      </c>
      <c r="AI41">
        <v>4.27681338830849</v>
      </c>
      <c r="AJ41">
        <v>0.15248</v>
      </c>
      <c r="AK41">
        <v>0.14960999999999999</v>
      </c>
    </row>
    <row r="42" spans="1:37">
      <c r="A42">
        <v>41</v>
      </c>
      <c r="B42">
        <v>0.54513756499999999</v>
      </c>
      <c r="C42">
        <v>0.52941712299999999</v>
      </c>
      <c r="D42">
        <v>0.53833476599999996</v>
      </c>
      <c r="E42">
        <v>0.539032124</v>
      </c>
      <c r="F42">
        <v>0.21678441100000001</v>
      </c>
      <c r="G42">
        <v>0.37431331600000001</v>
      </c>
      <c r="H42">
        <v>0.34732983000000001</v>
      </c>
      <c r="I42">
        <v>0.200366611</v>
      </c>
      <c r="J42">
        <v>0.873490718</v>
      </c>
      <c r="K42">
        <v>0.68452092899999994</v>
      </c>
      <c r="L42">
        <v>0.73073441800000005</v>
      </c>
      <c r="M42">
        <v>0.87630292099999996</v>
      </c>
      <c r="N42">
        <v>0.53744059799999999</v>
      </c>
      <c r="O42">
        <v>0.90718761599999997</v>
      </c>
      <c r="P42">
        <v>0.90397293099999998</v>
      </c>
      <c r="Q42">
        <v>1.95852517958599E-2</v>
      </c>
      <c r="R42">
        <v>-0.99980819056061598</v>
      </c>
      <c r="S42">
        <v>0.74535654921235805</v>
      </c>
      <c r="T42">
        <v>0.66666604424272602</v>
      </c>
      <c r="U42">
        <v>-5.7050585619999996</v>
      </c>
      <c r="V42">
        <v>-3.2683123190000001</v>
      </c>
      <c r="W42">
        <v>2.3192949500000002</v>
      </c>
      <c r="X42">
        <v>2.3175227629999999</v>
      </c>
      <c r="Y42">
        <v>1.3891461329999999</v>
      </c>
      <c r="Z42">
        <v>1.3890624819999999</v>
      </c>
      <c r="AA42">
        <v>-4389.610936</v>
      </c>
      <c r="AB42">
        <v>5.8029212996558801</v>
      </c>
      <c r="AC42">
        <v>1.26156</v>
      </c>
      <c r="AD42">
        <v>1.2621599999999999</v>
      </c>
      <c r="AE42">
        <v>-7.9878534437978601</v>
      </c>
      <c r="AF42">
        <v>-0.29443000000000003</v>
      </c>
      <c r="AG42">
        <v>0.87102000000000002</v>
      </c>
      <c r="AH42">
        <v>0.86914000000000002</v>
      </c>
      <c r="AI42">
        <v>4.1600765464440004</v>
      </c>
      <c r="AJ42">
        <v>0.15084999999999901</v>
      </c>
      <c r="AK42">
        <v>0.151089999999999</v>
      </c>
    </row>
    <row r="43" spans="1:37">
      <c r="A43">
        <v>42</v>
      </c>
      <c r="B43">
        <v>0.44130522599999999</v>
      </c>
      <c r="C43">
        <v>0.35871811399999998</v>
      </c>
      <c r="D43">
        <v>0.40866602499999999</v>
      </c>
      <c r="E43">
        <v>0.45632831000000001</v>
      </c>
      <c r="F43">
        <v>6.9109602000000006E-2</v>
      </c>
      <c r="G43">
        <v>8.5009365000000003E-2</v>
      </c>
      <c r="H43">
        <v>0.23655522200000001</v>
      </c>
      <c r="I43">
        <v>0.130579576</v>
      </c>
      <c r="J43">
        <v>0.81350085100000002</v>
      </c>
      <c r="K43">
        <v>0.63242686299999995</v>
      </c>
      <c r="L43">
        <v>0.67610139899999999</v>
      </c>
      <c r="M43">
        <v>0.68675247500000003</v>
      </c>
      <c r="N43">
        <v>0.51245108100000003</v>
      </c>
      <c r="O43">
        <v>0.91497973399999999</v>
      </c>
      <c r="P43">
        <v>0.88907589499999995</v>
      </c>
      <c r="Q43">
        <v>0.79545048199387303</v>
      </c>
      <c r="R43">
        <v>-0.60601858939781195</v>
      </c>
      <c r="S43">
        <v>0.99590365687909899</v>
      </c>
      <c r="T43">
        <v>9.04207178407503E-2</v>
      </c>
      <c r="U43">
        <v>11.757734429999999</v>
      </c>
      <c r="V43">
        <v>-4.3057810209999996</v>
      </c>
      <c r="W43">
        <v>2.3513471359999998</v>
      </c>
      <c r="X43">
        <v>2.334688544</v>
      </c>
      <c r="Y43">
        <v>1.389217468</v>
      </c>
      <c r="Z43">
        <v>1.3927371070000001</v>
      </c>
      <c r="AA43">
        <v>-2991.5350079999998</v>
      </c>
      <c r="AB43">
        <v>3.8797051859645202</v>
      </c>
      <c r="AC43">
        <v>1.2810600000000001</v>
      </c>
      <c r="AD43">
        <v>1.2759499999999999</v>
      </c>
      <c r="AE43">
        <v>-4.2801615369900903</v>
      </c>
      <c r="AF43">
        <v>-0.25783</v>
      </c>
      <c r="AG43">
        <v>0.84108000000000005</v>
      </c>
      <c r="AH43">
        <v>0.85995999999999995</v>
      </c>
      <c r="AI43">
        <v>4.3633455927674998</v>
      </c>
      <c r="AJ43">
        <v>0.15184999999999901</v>
      </c>
      <c r="AK43">
        <v>0.15673999999999999</v>
      </c>
    </row>
    <row r="44" spans="1:37">
      <c r="A44">
        <v>43</v>
      </c>
      <c r="B44">
        <v>0.5372133</v>
      </c>
      <c r="C44">
        <v>0.39119222599999998</v>
      </c>
      <c r="D44">
        <v>0.51485230199999998</v>
      </c>
      <c r="E44">
        <v>0.56815322499999998</v>
      </c>
      <c r="F44">
        <v>0.21220177300000001</v>
      </c>
      <c r="G44">
        <v>0.11835730899999999</v>
      </c>
      <c r="H44">
        <v>0.384474818</v>
      </c>
      <c r="I44">
        <v>0.243067692</v>
      </c>
      <c r="J44">
        <v>0.862224828</v>
      </c>
      <c r="K44">
        <v>0.66402714299999999</v>
      </c>
      <c r="L44">
        <v>0.75183163200000003</v>
      </c>
      <c r="M44">
        <v>0.78663691300000005</v>
      </c>
      <c r="N44">
        <v>0.51553764400000002</v>
      </c>
      <c r="O44">
        <v>0.92098979700000005</v>
      </c>
      <c r="P44">
        <v>0.89314084000000005</v>
      </c>
      <c r="Q44">
        <v>0.72877901383995902</v>
      </c>
      <c r="R44">
        <v>0.68474896786081796</v>
      </c>
      <c r="S44">
        <v>-0.99040799135786795</v>
      </c>
      <c r="T44">
        <v>0.13817384214992201</v>
      </c>
      <c r="U44">
        <v>-2.595645669</v>
      </c>
      <c r="V44">
        <v>10.717552120000001</v>
      </c>
      <c r="W44">
        <v>2.3459278540000001</v>
      </c>
      <c r="X44">
        <v>2.3217758700000002</v>
      </c>
      <c r="Y44">
        <v>1.387962878</v>
      </c>
      <c r="Z44">
        <v>1.3931242479999999</v>
      </c>
      <c r="AA44">
        <v>-4153.4159110000001</v>
      </c>
      <c r="AB44">
        <v>3.2166290740462999</v>
      </c>
      <c r="AC44">
        <v>1.2759199999999999</v>
      </c>
      <c r="AD44">
        <v>1.2749900000000001</v>
      </c>
      <c r="AE44">
        <v>-7.5031719731572002</v>
      </c>
      <c r="AF44">
        <v>-0.26455000000000001</v>
      </c>
      <c r="AG44">
        <v>0.83984999999999999</v>
      </c>
      <c r="AH44">
        <v>0.86187000000000002</v>
      </c>
      <c r="AI44">
        <v>4.2724595667005003</v>
      </c>
      <c r="AJ44">
        <v>0.15223</v>
      </c>
      <c r="AK44">
        <v>0.156939999999999</v>
      </c>
    </row>
    <row r="45" spans="1:37">
      <c r="A45">
        <v>44</v>
      </c>
      <c r="B45">
        <v>0.33441305199999999</v>
      </c>
      <c r="C45">
        <v>0.33508763899999999</v>
      </c>
      <c r="D45">
        <v>0.33893307099999997</v>
      </c>
      <c r="E45">
        <v>0.34866192699999998</v>
      </c>
      <c r="F45">
        <v>9.7863522999999994E-2</v>
      </c>
      <c r="G45">
        <v>3.0786220999999999E-2</v>
      </c>
      <c r="H45">
        <v>4.0611853000000003E-2</v>
      </c>
      <c r="I45">
        <v>9.02979E-2</v>
      </c>
      <c r="J45">
        <v>0.57096258200000005</v>
      </c>
      <c r="K45">
        <v>0.63938905700000004</v>
      </c>
      <c r="L45">
        <v>0.65671199999999996</v>
      </c>
      <c r="M45">
        <v>0.58756824100000005</v>
      </c>
      <c r="N45">
        <v>0.47952967800000001</v>
      </c>
      <c r="O45">
        <v>0.87477869900000005</v>
      </c>
      <c r="P45">
        <v>0.87303741099999999</v>
      </c>
      <c r="Q45">
        <v>0.83146557876140204</v>
      </c>
      <c r="R45">
        <v>-0.55557626959308304</v>
      </c>
      <c r="S45">
        <v>-0.64261129891121904</v>
      </c>
      <c r="T45">
        <v>0.76619235085690796</v>
      </c>
      <c r="U45">
        <v>4.2972710789999997</v>
      </c>
      <c r="V45">
        <v>8.8506792250000004</v>
      </c>
      <c r="W45">
        <v>2.3404546869999998</v>
      </c>
      <c r="X45">
        <v>2.3443077059999999</v>
      </c>
      <c r="Y45">
        <v>1.392151084</v>
      </c>
      <c r="Z45">
        <v>1.395117411</v>
      </c>
      <c r="AA45">
        <v>-2669.0798399999999</v>
      </c>
      <c r="AB45">
        <v>4.4935463077618296</v>
      </c>
      <c r="AC45">
        <v>1.2888299999999999</v>
      </c>
      <c r="AD45">
        <v>1.2881100000000001</v>
      </c>
      <c r="AE45">
        <v>-2.7218536991121298</v>
      </c>
      <c r="AF45">
        <v>-0.22467000000000001</v>
      </c>
      <c r="AG45">
        <v>0.8266</v>
      </c>
      <c r="AH45">
        <v>0.83162999999999998</v>
      </c>
      <c r="AI45">
        <v>4.8455313358534999</v>
      </c>
      <c r="AJ45">
        <v>0.14817999999999901</v>
      </c>
      <c r="AK45">
        <v>0.14899999999999999</v>
      </c>
    </row>
    <row r="46" spans="1:37">
      <c r="A46">
        <v>45</v>
      </c>
      <c r="B46">
        <v>0.33971297299999997</v>
      </c>
      <c r="C46">
        <v>0.39400727499999999</v>
      </c>
      <c r="D46">
        <v>0.33965604599999999</v>
      </c>
      <c r="E46">
        <v>0.39408981999999998</v>
      </c>
      <c r="F46">
        <v>8.4286389000000003E-2</v>
      </c>
      <c r="G46">
        <v>6.3929228000000005E-2</v>
      </c>
      <c r="H46">
        <v>6.3900764999999998E-2</v>
      </c>
      <c r="I46">
        <v>8.4166842000000006E-2</v>
      </c>
      <c r="J46">
        <v>0.59513955699999999</v>
      </c>
      <c r="K46">
        <v>0.72408532199999998</v>
      </c>
      <c r="L46">
        <v>0.72427887499999999</v>
      </c>
      <c r="M46">
        <v>0.59514524999999996</v>
      </c>
      <c r="N46">
        <v>0.49270872199999999</v>
      </c>
      <c r="O46">
        <v>0.89597116099999996</v>
      </c>
      <c r="P46">
        <v>0.89574403700000005</v>
      </c>
      <c r="Q46">
        <v>0.97565299634564995</v>
      </c>
      <c r="R46">
        <v>-0.21931992778075399</v>
      </c>
      <c r="S46">
        <v>0.151269691292685</v>
      </c>
      <c r="T46">
        <v>-0.98849252930723497</v>
      </c>
      <c r="U46">
        <v>-4.5550293460000004</v>
      </c>
      <c r="V46">
        <v>-4.2064490049999996</v>
      </c>
      <c r="W46">
        <v>2.3759097549999999</v>
      </c>
      <c r="X46">
        <v>2.3762607419999999</v>
      </c>
      <c r="Y46">
        <v>1.394422582</v>
      </c>
      <c r="Z46">
        <v>1.3943854330000001</v>
      </c>
      <c r="AA46">
        <v>-2834.657377</v>
      </c>
      <c r="AB46">
        <v>4.0349216051864003</v>
      </c>
      <c r="AC46">
        <v>1.29027</v>
      </c>
      <c r="AD46">
        <v>1.29037</v>
      </c>
      <c r="AE46">
        <v>-3.8430371645411299</v>
      </c>
      <c r="AF46">
        <v>-0.22652</v>
      </c>
      <c r="AG46">
        <v>0.83770999999999995</v>
      </c>
      <c r="AH46">
        <v>0.83765000000000001</v>
      </c>
      <c r="AI46">
        <v>4.5296071554230002</v>
      </c>
      <c r="AJ46">
        <v>0.15348999999999999</v>
      </c>
      <c r="AK46">
        <v>0.15339</v>
      </c>
    </row>
    <row r="47" spans="1:37">
      <c r="A47">
        <v>46</v>
      </c>
      <c r="B47">
        <v>0.51738840799999997</v>
      </c>
      <c r="C47">
        <v>0.528030946</v>
      </c>
      <c r="D47">
        <v>0.53242287799999999</v>
      </c>
      <c r="E47">
        <v>0.52487718000000005</v>
      </c>
      <c r="F47">
        <v>0.18314044500000001</v>
      </c>
      <c r="G47">
        <v>0.34584972400000003</v>
      </c>
      <c r="H47">
        <v>0.34444931499999998</v>
      </c>
      <c r="I47">
        <v>0.22192493599999999</v>
      </c>
      <c r="J47">
        <v>0.85163637199999997</v>
      </c>
      <c r="K47">
        <v>0.71021216799999998</v>
      </c>
      <c r="L47">
        <v>0.70530504400000005</v>
      </c>
      <c r="M47">
        <v>0.84292082000000002</v>
      </c>
      <c r="N47">
        <v>0.539275065</v>
      </c>
      <c r="O47">
        <v>0.90361768499999995</v>
      </c>
      <c r="P47">
        <v>0.90453783099999996</v>
      </c>
      <c r="Q47">
        <v>0.714002236195177</v>
      </c>
      <c r="R47">
        <v>-0.70014341867097796</v>
      </c>
      <c r="S47">
        <v>-0.40014448207831699</v>
      </c>
      <c r="T47">
        <v>0.91645206828413805</v>
      </c>
      <c r="U47">
        <v>-8.5075466889999998</v>
      </c>
      <c r="V47">
        <v>-10.19325356</v>
      </c>
      <c r="W47">
        <v>2.3265903419999998</v>
      </c>
      <c r="X47">
        <v>2.3271338680000002</v>
      </c>
      <c r="Y47">
        <v>1.3900742150000001</v>
      </c>
      <c r="Z47">
        <v>1.39024858</v>
      </c>
      <c r="AA47">
        <v>-3932.5564989999998</v>
      </c>
      <c r="AB47">
        <v>3.4914303587498301</v>
      </c>
      <c r="AC47">
        <v>1.26278</v>
      </c>
      <c r="AD47">
        <v>1.2617100000000001</v>
      </c>
      <c r="AE47">
        <v>-7.0973113868540301</v>
      </c>
      <c r="AF47">
        <v>-0.29531000000000002</v>
      </c>
      <c r="AG47">
        <v>0.86453000000000002</v>
      </c>
      <c r="AH47">
        <v>0.86360000000000003</v>
      </c>
      <c r="AI47">
        <v>4.2506904586605003</v>
      </c>
      <c r="AJ47">
        <v>0.14899000000000001</v>
      </c>
      <c r="AK47">
        <v>0.14943999999999999</v>
      </c>
    </row>
    <row r="48" spans="1:37">
      <c r="A48">
        <v>47</v>
      </c>
      <c r="B48">
        <v>0.46852780599999999</v>
      </c>
      <c r="C48">
        <v>0.391456937</v>
      </c>
      <c r="D48">
        <v>0.45141264800000003</v>
      </c>
      <c r="E48">
        <v>0.500913681</v>
      </c>
      <c r="F48">
        <v>0.11402515000000001</v>
      </c>
      <c r="G48">
        <v>0.115977753</v>
      </c>
      <c r="H48">
        <v>0.28802878199999998</v>
      </c>
      <c r="I48">
        <v>0.189225961</v>
      </c>
      <c r="J48">
        <v>0.82303046199999996</v>
      </c>
      <c r="K48">
        <v>0.66693612199999996</v>
      </c>
      <c r="L48">
        <v>0.71379857999999996</v>
      </c>
      <c r="M48">
        <v>0.71359933499999995</v>
      </c>
      <c r="N48">
        <v>0.51022060199999997</v>
      </c>
      <c r="O48">
        <v>0.90973257500000004</v>
      </c>
      <c r="P48">
        <v>0.890083395</v>
      </c>
      <c r="Q48">
        <v>0.61240008807763202</v>
      </c>
      <c r="R48">
        <v>-0.79054799482543003</v>
      </c>
      <c r="S48">
        <v>0.34400643540425202</v>
      </c>
      <c r="T48">
        <v>-0.93896729037834903</v>
      </c>
      <c r="U48">
        <v>13.649621290000001</v>
      </c>
      <c r="V48">
        <v>-5.659732601</v>
      </c>
      <c r="W48">
        <v>2.349203524</v>
      </c>
      <c r="X48">
        <v>2.3450219319999999</v>
      </c>
      <c r="Y48">
        <v>1.389580032</v>
      </c>
      <c r="Z48">
        <v>1.392563819</v>
      </c>
      <c r="AA48">
        <v>-4049.1848</v>
      </c>
      <c r="AB48">
        <v>3.1698965235477301</v>
      </c>
      <c r="AC48">
        <v>1.2852300000000001</v>
      </c>
      <c r="AD48">
        <v>1.27294</v>
      </c>
      <c r="AE48">
        <v>-5.1834460379218701</v>
      </c>
      <c r="AF48">
        <v>-0.26099</v>
      </c>
      <c r="AG48">
        <v>0.84082000000000001</v>
      </c>
      <c r="AH48">
        <v>0.86053000000000002</v>
      </c>
      <c r="AI48">
        <v>4.4022578733889999</v>
      </c>
      <c r="AJ48">
        <v>0.15226999999999899</v>
      </c>
      <c r="AK48">
        <v>0.15884000000000001</v>
      </c>
    </row>
    <row r="49" spans="1:37">
      <c r="A49">
        <v>48</v>
      </c>
      <c r="B49">
        <v>0.39479856299999999</v>
      </c>
      <c r="C49">
        <v>0.385414117</v>
      </c>
      <c r="D49">
        <v>0.39804625900000001</v>
      </c>
      <c r="E49">
        <v>0.35386507099999998</v>
      </c>
      <c r="F49">
        <v>6.4862833999999994E-2</v>
      </c>
      <c r="G49">
        <v>8.2681042999999996E-2</v>
      </c>
      <c r="H49">
        <v>8.1798671000000003E-2</v>
      </c>
      <c r="I49">
        <v>6.456112E-2</v>
      </c>
      <c r="J49">
        <v>0.72473429199999995</v>
      </c>
      <c r="K49">
        <v>0.68814719099999999</v>
      </c>
      <c r="L49">
        <v>0.62593147100000002</v>
      </c>
      <c r="M49">
        <v>0.731531398</v>
      </c>
      <c r="N49">
        <v>0.49435683000000002</v>
      </c>
      <c r="O49">
        <v>0.89749114799999996</v>
      </c>
      <c r="P49">
        <v>0.89804439999999996</v>
      </c>
      <c r="Q49">
        <v>0.90896816446333695</v>
      </c>
      <c r="R49">
        <v>0.41686553706459201</v>
      </c>
      <c r="S49">
        <v>0.91184718080279203</v>
      </c>
      <c r="T49">
        <v>-0.41052980264774902</v>
      </c>
      <c r="U49">
        <v>5.5483859630000003</v>
      </c>
      <c r="V49">
        <v>4.6361517069999998</v>
      </c>
      <c r="W49">
        <v>2.373643865</v>
      </c>
      <c r="X49">
        <v>2.3717542489999999</v>
      </c>
      <c r="Y49">
        <v>1.3939146280000001</v>
      </c>
      <c r="Z49">
        <v>1.3942394929999999</v>
      </c>
      <c r="AA49">
        <v>-2906.3659250000001</v>
      </c>
      <c r="AB49">
        <v>4.3368741277560696</v>
      </c>
      <c r="AC49">
        <v>1.29247</v>
      </c>
      <c r="AD49">
        <v>1.29006</v>
      </c>
      <c r="AE49">
        <v>-3.8042876869152402</v>
      </c>
      <c r="AF49">
        <v>-0.23127</v>
      </c>
      <c r="AG49">
        <v>0.83769000000000005</v>
      </c>
      <c r="AH49">
        <v>0.83848999999999996</v>
      </c>
      <c r="AI49">
        <v>4.5004909734194998</v>
      </c>
      <c r="AJ49">
        <v>0.15337000000000001</v>
      </c>
      <c r="AK49">
        <v>0.15425</v>
      </c>
    </row>
    <row r="50" spans="1:37">
      <c r="A50">
        <v>49</v>
      </c>
      <c r="B50">
        <v>0.45539185799999998</v>
      </c>
      <c r="C50">
        <v>0.37588166000000001</v>
      </c>
      <c r="D50">
        <v>0.455352009</v>
      </c>
      <c r="E50">
        <v>0.37602682399999998</v>
      </c>
      <c r="F50">
        <v>0.11942754</v>
      </c>
      <c r="G50">
        <v>9.8279090999999999E-2</v>
      </c>
      <c r="H50">
        <v>9.8341710999999998E-2</v>
      </c>
      <c r="I50">
        <v>0.119586936</v>
      </c>
      <c r="J50">
        <v>0.79135617599999997</v>
      </c>
      <c r="K50">
        <v>0.65348422799999994</v>
      </c>
      <c r="L50">
        <v>0.65371193699999997</v>
      </c>
      <c r="M50">
        <v>0.79111708199999997</v>
      </c>
      <c r="N50">
        <v>0.49683772799999998</v>
      </c>
      <c r="O50">
        <v>0.89799198700000005</v>
      </c>
      <c r="P50">
        <v>0.89788133599999997</v>
      </c>
      <c r="Q50">
        <v>0.98496870554617799</v>
      </c>
      <c r="R50">
        <v>0.17273288365185299</v>
      </c>
      <c r="S50">
        <v>-0.91868996678664505</v>
      </c>
      <c r="T50">
        <v>-0.39497942342045</v>
      </c>
      <c r="U50">
        <v>5.4071977499999999</v>
      </c>
      <c r="V50">
        <v>5.4314505720000001</v>
      </c>
      <c r="W50">
        <v>2.3736983070000002</v>
      </c>
      <c r="X50">
        <v>2.374570399</v>
      </c>
      <c r="Y50">
        <v>1.3945103990000001</v>
      </c>
      <c r="Z50">
        <v>1.394370581</v>
      </c>
      <c r="AA50">
        <v>-3220.0960209999998</v>
      </c>
      <c r="AB50">
        <v>5.5590156556714199</v>
      </c>
      <c r="AC50">
        <v>1.2894600000000001</v>
      </c>
      <c r="AD50">
        <v>1.2890600000000001</v>
      </c>
      <c r="AE50">
        <v>-4.6044552265236902</v>
      </c>
      <c r="AF50">
        <v>-0.22978000000000001</v>
      </c>
      <c r="AG50">
        <v>0.84045999999999998</v>
      </c>
      <c r="AH50">
        <v>0.84026999999999996</v>
      </c>
      <c r="AI50">
        <v>4.5214437399080003</v>
      </c>
      <c r="AJ50">
        <v>0.15315999999999999</v>
      </c>
      <c r="AK50">
        <v>0.15312000000000001</v>
      </c>
    </row>
    <row r="51" spans="1:37">
      <c r="A51">
        <v>50</v>
      </c>
      <c r="B51">
        <v>0.58120947499999998</v>
      </c>
      <c r="C51">
        <v>0.404422104</v>
      </c>
      <c r="D51">
        <v>0.59565474799999996</v>
      </c>
      <c r="E51">
        <v>0.56088931600000003</v>
      </c>
      <c r="F51">
        <v>0.27763957099999997</v>
      </c>
      <c r="G51">
        <v>8.1884061999999994E-2</v>
      </c>
      <c r="H51">
        <v>0.36284248800000002</v>
      </c>
      <c r="I51">
        <v>0.327018211</v>
      </c>
      <c r="J51">
        <v>0.88477937900000003</v>
      </c>
      <c r="K51">
        <v>0.72696014499999995</v>
      </c>
      <c r="L51">
        <v>0.75893614499999995</v>
      </c>
      <c r="M51">
        <v>0.86429128499999996</v>
      </c>
      <c r="N51">
        <v>0.51631219699999997</v>
      </c>
      <c r="O51">
        <v>0.91602799999999995</v>
      </c>
      <c r="P51">
        <v>0.89824822999999998</v>
      </c>
      <c r="Q51">
        <v>0.77927981428666104</v>
      </c>
      <c r="R51">
        <v>0.62667612930870897</v>
      </c>
      <c r="S51">
        <v>0.45635535803115002</v>
      </c>
      <c r="T51">
        <v>-0.88979761024418302</v>
      </c>
      <c r="U51">
        <v>9.1171025540000006</v>
      </c>
      <c r="V51">
        <v>-5.9635856699999996</v>
      </c>
      <c r="W51">
        <v>2.3385568179999998</v>
      </c>
      <c r="X51">
        <v>2.3128744120000002</v>
      </c>
      <c r="Y51">
        <v>1.3878101979999999</v>
      </c>
      <c r="Z51">
        <v>1.3918072640000001</v>
      </c>
      <c r="AA51">
        <v>-4618.1805210000002</v>
      </c>
      <c r="AB51">
        <v>6.7964370150837103</v>
      </c>
      <c r="AC51">
        <v>1.27355</v>
      </c>
      <c r="AD51">
        <v>1.27071</v>
      </c>
      <c r="AE51">
        <v>-8.3554800068575794</v>
      </c>
      <c r="AF51">
        <v>-0.27416000000000001</v>
      </c>
      <c r="AG51">
        <v>0.84777000000000002</v>
      </c>
      <c r="AH51">
        <v>0.86892000000000003</v>
      </c>
      <c r="AI51">
        <v>4.3701484390300003</v>
      </c>
      <c r="AJ51">
        <v>0.15240000000000001</v>
      </c>
      <c r="AK51">
        <v>0.15786999999999901</v>
      </c>
    </row>
    <row r="52" spans="1:37">
      <c r="A52">
        <v>51</v>
      </c>
      <c r="B52">
        <v>0.308798666</v>
      </c>
      <c r="C52">
        <v>0.30201579200000001</v>
      </c>
      <c r="D52">
        <v>0.31194389300000003</v>
      </c>
      <c r="E52">
        <v>0.310489403</v>
      </c>
      <c r="F52">
        <v>3.4981755000000003E-2</v>
      </c>
      <c r="G52">
        <v>3.1640129000000003E-2</v>
      </c>
      <c r="H52">
        <v>6.4640818000000003E-2</v>
      </c>
      <c r="I52">
        <v>6.3536431000000004E-2</v>
      </c>
      <c r="J52">
        <v>0.58261557600000002</v>
      </c>
      <c r="K52">
        <v>0.57239145400000002</v>
      </c>
      <c r="L52">
        <v>0.55633798800000001</v>
      </c>
      <c r="M52">
        <v>0.560351355</v>
      </c>
      <c r="N52">
        <v>0.504082417</v>
      </c>
      <c r="O52">
        <v>0.90630241300000003</v>
      </c>
      <c r="P52">
        <v>0.91757710599999998</v>
      </c>
      <c r="Q52">
        <v>0.90133337522141399</v>
      </c>
      <c r="R52">
        <v>-0.43312601712662302</v>
      </c>
      <c r="S52">
        <v>-0.56778840755070403</v>
      </c>
      <c r="T52">
        <v>-0.82317454057510497</v>
      </c>
      <c r="U52">
        <v>-2.4452556080000001</v>
      </c>
      <c r="V52">
        <v>-5.7626604840000004</v>
      </c>
      <c r="W52">
        <v>2.3331493349999999</v>
      </c>
      <c r="X52">
        <v>2.405670229</v>
      </c>
      <c r="Y52">
        <v>1.3854673049999999</v>
      </c>
      <c r="Z52">
        <v>1.39634386</v>
      </c>
      <c r="AA52">
        <v>-2226.1081979999999</v>
      </c>
      <c r="AB52">
        <v>3.2872067321663798</v>
      </c>
      <c r="AC52">
        <v>1.3146800000000001</v>
      </c>
      <c r="AD52">
        <v>1.2967900000000001</v>
      </c>
      <c r="AE52">
        <v>-2.7853417652675301</v>
      </c>
      <c r="AF52">
        <v>-0.2364</v>
      </c>
      <c r="AG52">
        <v>0.81074000000000002</v>
      </c>
      <c r="AH52">
        <v>0.80342999999999998</v>
      </c>
      <c r="AI52">
        <v>4.2218463905075003</v>
      </c>
      <c r="AJ52">
        <v>0.15007999999999999</v>
      </c>
      <c r="AK52">
        <v>0.14371999999999999</v>
      </c>
    </row>
    <row r="53" spans="1:37">
      <c r="A53">
        <v>52</v>
      </c>
      <c r="B53">
        <v>0.38154876100000001</v>
      </c>
      <c r="C53">
        <v>0.36968513600000003</v>
      </c>
      <c r="D53">
        <v>0.38179639399999998</v>
      </c>
      <c r="E53">
        <v>0.368526668</v>
      </c>
      <c r="F53">
        <v>4.783022E-2</v>
      </c>
      <c r="G53">
        <v>0.15920825699999999</v>
      </c>
      <c r="H53">
        <v>0.15906024599999999</v>
      </c>
      <c r="I53">
        <v>4.7078782E-2</v>
      </c>
      <c r="J53">
        <v>0.71526730199999999</v>
      </c>
      <c r="K53">
        <v>0.58016201499999998</v>
      </c>
      <c r="L53">
        <v>0.57799308900000002</v>
      </c>
      <c r="M53">
        <v>0.71651400700000001</v>
      </c>
      <c r="N53">
        <v>0.51423313500000001</v>
      </c>
      <c r="O53">
        <v>0.89887718999999999</v>
      </c>
      <c r="P53">
        <v>0.89922661199999998</v>
      </c>
      <c r="Q53">
        <v>8.6480633024370104E-2</v>
      </c>
      <c r="R53">
        <v>-0.99625353204478195</v>
      </c>
      <c r="S53">
        <v>0.87101884295398602</v>
      </c>
      <c r="T53">
        <v>-0.49124960582080601</v>
      </c>
      <c r="U53">
        <v>-5.6586453280000004</v>
      </c>
      <c r="V53">
        <v>-5.5814869140000001</v>
      </c>
      <c r="W53">
        <v>2.3284301959999998</v>
      </c>
      <c r="X53">
        <v>2.3277697900000001</v>
      </c>
      <c r="Y53">
        <v>1.3890331819999999</v>
      </c>
      <c r="Z53">
        <v>1.389061863</v>
      </c>
      <c r="AA53">
        <v>-2715.843476</v>
      </c>
      <c r="AB53">
        <v>4.4760249150334204</v>
      </c>
      <c r="AC53">
        <v>1.2729999999999999</v>
      </c>
      <c r="AD53">
        <v>1.2734700000000001</v>
      </c>
      <c r="AE53">
        <v>-3.5122181767091298</v>
      </c>
      <c r="AF53">
        <v>-0.28759000000000001</v>
      </c>
      <c r="AG53">
        <v>0.86307</v>
      </c>
      <c r="AH53">
        <v>0.86243999999999998</v>
      </c>
      <c r="AI53">
        <v>4.3712368944320001</v>
      </c>
      <c r="AJ53">
        <v>0.153</v>
      </c>
      <c r="AK53">
        <v>0.152919999999999</v>
      </c>
    </row>
    <row r="54" spans="1:37">
      <c r="A54">
        <v>53</v>
      </c>
      <c r="B54">
        <v>0.29551470699999999</v>
      </c>
      <c r="C54">
        <v>0.30828347499999997</v>
      </c>
      <c r="D54">
        <v>0.298460689</v>
      </c>
      <c r="E54">
        <v>0.28766729499999999</v>
      </c>
      <c r="F54">
        <v>3.3735049000000003E-2</v>
      </c>
      <c r="G54">
        <v>8.925044E-2</v>
      </c>
      <c r="H54">
        <v>2.8583139E-2</v>
      </c>
      <c r="I54">
        <v>6.9809806000000002E-2</v>
      </c>
      <c r="J54">
        <v>0.55729436499999996</v>
      </c>
      <c r="K54">
        <v>0.52731650900000004</v>
      </c>
      <c r="L54">
        <v>0.54675145000000003</v>
      </c>
      <c r="M54">
        <v>0.52711157200000003</v>
      </c>
      <c r="N54">
        <v>0.53972348999999997</v>
      </c>
      <c r="O54">
        <v>0.87518635899999997</v>
      </c>
      <c r="P54">
        <v>0.89345532100000002</v>
      </c>
      <c r="Q54">
        <v>7.1726532242700702E-2</v>
      </c>
      <c r="R54">
        <v>-0.99742433526179597</v>
      </c>
      <c r="S54">
        <v>0.87294206097750904</v>
      </c>
      <c r="T54">
        <v>0.487823900784225</v>
      </c>
      <c r="U54">
        <v>-16.366472439999999</v>
      </c>
      <c r="V54">
        <v>-16.16677688</v>
      </c>
      <c r="W54">
        <v>2.3323778320000002</v>
      </c>
      <c r="X54">
        <v>2.3391791710000001</v>
      </c>
      <c r="Y54">
        <v>1.391548381</v>
      </c>
      <c r="Z54">
        <v>1.3897161419999999</v>
      </c>
      <c r="AA54">
        <v>-1926.207161</v>
      </c>
      <c r="AB54">
        <v>1.5421594113450099</v>
      </c>
      <c r="AC54">
        <v>1.3760699999999999</v>
      </c>
      <c r="AD54">
        <v>1.36622</v>
      </c>
      <c r="AE54">
        <v>-2.3040806051804799</v>
      </c>
      <c r="AF54">
        <v>-0.29471999999999998</v>
      </c>
      <c r="AG54">
        <v>0.76341000000000003</v>
      </c>
      <c r="AH54">
        <v>0.74319000000000002</v>
      </c>
      <c r="AI54">
        <v>5.8422843702350002</v>
      </c>
      <c r="AJ54">
        <v>0.18628</v>
      </c>
      <c r="AK54">
        <v>0.19163999999999901</v>
      </c>
    </row>
    <row r="55" spans="1:37">
      <c r="A55">
        <v>54</v>
      </c>
      <c r="B55">
        <v>0.39373402499999999</v>
      </c>
      <c r="C55">
        <v>0.39967437700000003</v>
      </c>
      <c r="D55">
        <v>0.36767275999999999</v>
      </c>
      <c r="E55">
        <v>0.40385283199999999</v>
      </c>
      <c r="F55">
        <v>0.193535349</v>
      </c>
      <c r="G55">
        <v>0.127146866</v>
      </c>
      <c r="H55">
        <v>4.8262867000000001E-2</v>
      </c>
      <c r="I55">
        <v>5.7570462000000003E-2</v>
      </c>
      <c r="J55">
        <v>0.59393270099999995</v>
      </c>
      <c r="K55">
        <v>0.67220188700000005</v>
      </c>
      <c r="L55">
        <v>0.75944279699999995</v>
      </c>
      <c r="M55">
        <v>0.67777505800000004</v>
      </c>
      <c r="N55">
        <v>0.52926411699999998</v>
      </c>
      <c r="O55">
        <v>0.91580087600000004</v>
      </c>
      <c r="P55">
        <v>0.90371668800000005</v>
      </c>
      <c r="Q55">
        <v>-0.98087341003861095</v>
      </c>
      <c r="R55">
        <v>0.19464674022244999</v>
      </c>
      <c r="S55">
        <v>-0.54173574412248904</v>
      </c>
      <c r="T55">
        <v>0.84054885850856498</v>
      </c>
      <c r="U55">
        <v>12.91260851</v>
      </c>
      <c r="V55">
        <v>-8.0351306359999999</v>
      </c>
      <c r="W55">
        <v>2.3679124389999999</v>
      </c>
      <c r="X55">
        <v>2.3183085860000001</v>
      </c>
      <c r="Y55">
        <v>1.393244374</v>
      </c>
      <c r="Z55">
        <v>1.3870387930000001</v>
      </c>
      <c r="AA55">
        <v>-2871.5180049999999</v>
      </c>
      <c r="AB55">
        <v>1.54612598128354</v>
      </c>
      <c r="AC55">
        <v>1.2716700000000001</v>
      </c>
      <c r="AD55">
        <v>1.28576</v>
      </c>
      <c r="AE55">
        <v>-4.0052896166933003</v>
      </c>
      <c r="AF55">
        <v>-0.26062999999999997</v>
      </c>
      <c r="AG55">
        <v>0.85124999999999995</v>
      </c>
      <c r="AH55">
        <v>0.8579</v>
      </c>
      <c r="AI55">
        <v>4.4286529168874997</v>
      </c>
      <c r="AJ55">
        <v>0.15006999999999901</v>
      </c>
      <c r="AK55">
        <v>0.15475</v>
      </c>
    </row>
    <row r="56" spans="1:37">
      <c r="A56">
        <v>55</v>
      </c>
      <c r="B56">
        <v>0.24062551600000001</v>
      </c>
      <c r="C56">
        <v>0.267529303</v>
      </c>
      <c r="D56">
        <v>0.24067674999999999</v>
      </c>
      <c r="E56">
        <v>0.26758622999999998</v>
      </c>
      <c r="F56">
        <v>1.271184E-2</v>
      </c>
      <c r="G56">
        <v>5.2703186999999999E-2</v>
      </c>
      <c r="H56">
        <v>5.2686109000000002E-2</v>
      </c>
      <c r="I56">
        <v>1.2945241999999999E-2</v>
      </c>
      <c r="J56">
        <v>0.46853919199999999</v>
      </c>
      <c r="K56">
        <v>0.48235541900000001</v>
      </c>
      <c r="L56">
        <v>0.48248635200000001</v>
      </c>
      <c r="M56">
        <v>0.46840825899999999</v>
      </c>
      <c r="N56">
        <v>0.45936801199999999</v>
      </c>
      <c r="O56">
        <v>0.86355059599999995</v>
      </c>
      <c r="P56">
        <v>0.86364377599999997</v>
      </c>
      <c r="Q56">
        <v>0.94075445319534301</v>
      </c>
      <c r="R56">
        <v>0.33908857072029303</v>
      </c>
      <c r="S56">
        <v>9.1802871676959705E-2</v>
      </c>
      <c r="T56">
        <v>-0.99577720035752104</v>
      </c>
      <c r="U56">
        <v>-8.7854529039999996</v>
      </c>
      <c r="V56">
        <v>-8.5404526119999993</v>
      </c>
      <c r="W56">
        <v>2.3122795460000001</v>
      </c>
      <c r="X56">
        <v>2.3121291209999999</v>
      </c>
      <c r="Y56">
        <v>1.3885955889999999</v>
      </c>
      <c r="Z56">
        <v>1.3886185559999999</v>
      </c>
      <c r="AA56">
        <v>-1995.219748</v>
      </c>
      <c r="AB56">
        <v>0.94715059520648504</v>
      </c>
      <c r="AC56">
        <v>1.3691</v>
      </c>
      <c r="AD56">
        <v>1.3693299999999999</v>
      </c>
      <c r="AE56">
        <v>-2.2442626500934502</v>
      </c>
      <c r="AF56">
        <v>-0.28655000000000003</v>
      </c>
      <c r="AG56">
        <v>0.79698999999999998</v>
      </c>
      <c r="AH56">
        <v>0.79678000000000004</v>
      </c>
      <c r="AI56">
        <v>4.603077895058</v>
      </c>
      <c r="AJ56">
        <v>0.189969999999999</v>
      </c>
      <c r="AK56">
        <v>0.189889999999999</v>
      </c>
    </row>
    <row r="57" spans="1:37">
      <c r="A57">
        <v>56</v>
      </c>
      <c r="B57">
        <v>0.33728218199999999</v>
      </c>
      <c r="C57">
        <v>0.346649551</v>
      </c>
      <c r="D57">
        <v>0.30085732300000001</v>
      </c>
      <c r="E57">
        <v>0.29912673699999998</v>
      </c>
      <c r="F57">
        <v>7.8240721999999999E-2</v>
      </c>
      <c r="G57">
        <v>0.124852701</v>
      </c>
      <c r="H57">
        <v>5.2150993999999999E-2</v>
      </c>
      <c r="I57">
        <v>1.5245099999999999E-2</v>
      </c>
      <c r="J57">
        <v>0.59632364199999999</v>
      </c>
      <c r="K57">
        <v>0.56844640000000002</v>
      </c>
      <c r="L57">
        <v>0.54610247999999995</v>
      </c>
      <c r="M57">
        <v>0.58646954699999998</v>
      </c>
      <c r="N57">
        <v>0.51709257399999997</v>
      </c>
      <c r="O57">
        <v>0.87638021799999999</v>
      </c>
      <c r="P57">
        <v>0.86063292000000002</v>
      </c>
      <c r="Q57">
        <v>0.92443824236300798</v>
      </c>
      <c r="R57">
        <v>-0.381331792612145</v>
      </c>
      <c r="S57">
        <v>-9.4529890015867202E-2</v>
      </c>
      <c r="T57">
        <v>0.99552202381142096</v>
      </c>
      <c r="U57">
        <v>11.69315362</v>
      </c>
      <c r="V57">
        <v>-4.4682136589999999</v>
      </c>
      <c r="W57">
        <v>2.3093751899999999</v>
      </c>
      <c r="X57">
        <v>2.3035993769999998</v>
      </c>
      <c r="Y57">
        <v>1.3892246800000001</v>
      </c>
      <c r="Z57">
        <v>1.3884977039999999</v>
      </c>
      <c r="AA57">
        <v>-2295.1312210000001</v>
      </c>
      <c r="AB57">
        <v>3.1236730222608098</v>
      </c>
      <c r="AC57">
        <v>1.29067</v>
      </c>
      <c r="AD57">
        <v>1.27864</v>
      </c>
      <c r="AE57">
        <v>-2.28170916224785</v>
      </c>
      <c r="AF57">
        <v>-0.30526999999999999</v>
      </c>
      <c r="AG57">
        <v>0.81711</v>
      </c>
      <c r="AH57">
        <v>0.82754000000000005</v>
      </c>
      <c r="AI57">
        <v>4.0196657995859999</v>
      </c>
      <c r="AJ57">
        <v>0.153089999999999</v>
      </c>
      <c r="AK57">
        <v>0.16084999999999899</v>
      </c>
    </row>
    <row r="58" spans="1:37">
      <c r="A58">
        <v>57</v>
      </c>
      <c r="B58">
        <v>0.32273728699999998</v>
      </c>
      <c r="C58">
        <v>0.18062141700000001</v>
      </c>
      <c r="D58">
        <v>0.258640123</v>
      </c>
      <c r="E58">
        <v>0.33292440600000001</v>
      </c>
      <c r="F58">
        <v>8.6415465999999996E-2</v>
      </c>
      <c r="G58">
        <v>3.3188549999999999E-3</v>
      </c>
      <c r="H58">
        <v>1.9753732999999999E-2</v>
      </c>
      <c r="I58">
        <v>6.3103783999999996E-2</v>
      </c>
      <c r="J58">
        <v>0.55905910700000006</v>
      </c>
      <c r="K58">
        <v>0.357923979</v>
      </c>
      <c r="L58">
        <v>0.64609508000000004</v>
      </c>
      <c r="M58">
        <v>0.45417646299999997</v>
      </c>
      <c r="N58">
        <v>0.47350796699999997</v>
      </c>
      <c r="O58">
        <v>0.87787691000000001</v>
      </c>
      <c r="P58">
        <v>0.82021058499999999</v>
      </c>
      <c r="Q58">
        <v>-0.87975236348258801</v>
      </c>
      <c r="R58">
        <v>-0.47543220226105798</v>
      </c>
      <c r="S58">
        <v>0.44729899472483597</v>
      </c>
      <c r="T58">
        <v>-0.89438448629107503</v>
      </c>
      <c r="U58">
        <v>-5.7351169229999996</v>
      </c>
      <c r="V58">
        <v>5.0573766649999996</v>
      </c>
      <c r="W58">
        <v>2.2787488699999998</v>
      </c>
      <c r="X58">
        <v>2.0980452710000002</v>
      </c>
      <c r="Y58">
        <v>1.4039699349999999</v>
      </c>
      <c r="Z58">
        <v>1.383024662</v>
      </c>
      <c r="AA58">
        <v>-1779.083846</v>
      </c>
      <c r="AB58">
        <v>2.1147272495525198</v>
      </c>
      <c r="AC58">
        <v>1.39212</v>
      </c>
      <c r="AD58">
        <v>1.27339</v>
      </c>
      <c r="AE58">
        <v>-1.9322591431648599</v>
      </c>
      <c r="AF58">
        <v>-3.1469999999999998E-2</v>
      </c>
      <c r="AG58">
        <v>-0.55198000000000003</v>
      </c>
      <c r="AH58">
        <v>0.88317999999999997</v>
      </c>
      <c r="AI58">
        <v>4.0131350671739998</v>
      </c>
      <c r="AJ58">
        <v>0.156919999999999</v>
      </c>
      <c r="AK58">
        <v>8.9249999999999996E-2</v>
      </c>
    </row>
    <row r="59" spans="1:37">
      <c r="A59">
        <v>58</v>
      </c>
      <c r="B59">
        <v>0.404405026</v>
      </c>
      <c r="C59">
        <v>0.38635626200000001</v>
      </c>
      <c r="D59">
        <v>0.57747505200000004</v>
      </c>
      <c r="E59">
        <v>0.631202928</v>
      </c>
      <c r="F59">
        <v>0.181489557</v>
      </c>
      <c r="G59">
        <v>8.2515954000000002E-2</v>
      </c>
      <c r="H59">
        <v>0.44492579500000001</v>
      </c>
      <c r="I59">
        <v>0.291273632</v>
      </c>
      <c r="J59">
        <v>0.62732049400000001</v>
      </c>
      <c r="K59">
        <v>0.69019657000000001</v>
      </c>
      <c r="L59">
        <v>0.81748006100000004</v>
      </c>
      <c r="M59">
        <v>0.863676471</v>
      </c>
      <c r="N59">
        <v>0.59777418000000004</v>
      </c>
      <c r="O59">
        <v>0.92885179799999995</v>
      </c>
      <c r="P59">
        <v>0.94152418000000004</v>
      </c>
      <c r="Q59">
        <v>0.28760063695800198</v>
      </c>
      <c r="R59">
        <v>0.95775042345140804</v>
      </c>
      <c r="S59">
        <v>0.49833714121285499</v>
      </c>
      <c r="T59">
        <v>-0.86698332953280999</v>
      </c>
      <c r="U59">
        <v>30.227894719999998</v>
      </c>
      <c r="V59">
        <v>7.9274055480000003</v>
      </c>
      <c r="W59">
        <v>2.350801154</v>
      </c>
      <c r="X59">
        <v>2.427586587</v>
      </c>
      <c r="Y59">
        <v>1.406781533</v>
      </c>
      <c r="Z59">
        <v>1.3878193860000001</v>
      </c>
      <c r="AA59">
        <v>-6896.304897</v>
      </c>
      <c r="AB59">
        <v>2.2704783152454899</v>
      </c>
      <c r="AC59">
        <v>1.2954699999999999</v>
      </c>
      <c r="AD59">
        <v>1.26129</v>
      </c>
      <c r="AE59">
        <v>-5.1334390660804603</v>
      </c>
      <c r="AF59">
        <v>-0.20344999999999999</v>
      </c>
      <c r="AG59">
        <v>0.90005000000000002</v>
      </c>
      <c r="AH59">
        <v>0.91754999999999998</v>
      </c>
      <c r="AI59">
        <v>4.6855283917595001</v>
      </c>
      <c r="AJ59">
        <v>0.15481999999999899</v>
      </c>
      <c r="AK59">
        <v>0.15164999999999901</v>
      </c>
    </row>
    <row r="60" spans="1:37">
      <c r="A60">
        <v>59</v>
      </c>
      <c r="B60">
        <v>0.49037645899999999</v>
      </c>
      <c r="C60">
        <v>0.410820719</v>
      </c>
      <c r="D60">
        <v>0.41385778499999998</v>
      </c>
      <c r="E60">
        <v>0.471576257</v>
      </c>
      <c r="F60">
        <v>0.286548676</v>
      </c>
      <c r="G60">
        <v>0.13255494900000001</v>
      </c>
      <c r="H60">
        <v>0.12011635900000001</v>
      </c>
      <c r="I60">
        <v>0.16896557600000001</v>
      </c>
      <c r="J60">
        <v>0.69420424300000005</v>
      </c>
      <c r="K60">
        <v>0.68908648900000002</v>
      </c>
      <c r="L60">
        <v>0.82303615399999996</v>
      </c>
      <c r="M60">
        <v>0.65874999300000003</v>
      </c>
      <c r="N60">
        <v>0.53774925500000004</v>
      </c>
      <c r="O60">
        <v>0.92369782</v>
      </c>
      <c r="P60">
        <v>0.88977473900000004</v>
      </c>
      <c r="Q60">
        <v>0.84467007262484695</v>
      </c>
      <c r="R60">
        <v>-0.53528727652722496</v>
      </c>
      <c r="S60">
        <v>0.26764634588023001</v>
      </c>
      <c r="T60">
        <v>-0.96351722015590302</v>
      </c>
      <c r="U60">
        <v>14.70875122</v>
      </c>
      <c r="V60">
        <v>5.0298234429999997</v>
      </c>
      <c r="W60">
        <v>2.3435825380000002</v>
      </c>
      <c r="X60">
        <v>2.3344256830000001</v>
      </c>
      <c r="Y60">
        <v>1.3956404330000001</v>
      </c>
      <c r="Z60">
        <v>1.3899704989999999</v>
      </c>
      <c r="AA60">
        <v>-2956.6552280000001</v>
      </c>
      <c r="AB60">
        <v>1.76052258150811</v>
      </c>
      <c r="AC60">
        <v>1.27291</v>
      </c>
      <c r="AD60">
        <v>1.27965</v>
      </c>
      <c r="AE60">
        <v>-4.5306898338479504</v>
      </c>
      <c r="AF60">
        <v>-0.245</v>
      </c>
      <c r="AG60">
        <v>0.87217</v>
      </c>
      <c r="AH60">
        <v>0.86151999999999995</v>
      </c>
      <c r="AI60">
        <v>4.3023920902554904</v>
      </c>
      <c r="AJ60">
        <v>0.15265999999999999</v>
      </c>
      <c r="AK60">
        <v>0.15004999999999999</v>
      </c>
    </row>
    <row r="61" spans="1:37">
      <c r="A61">
        <v>60</v>
      </c>
      <c r="B61">
        <v>0.31096759099999999</v>
      </c>
      <c r="C61">
        <v>0.46259599299999998</v>
      </c>
      <c r="D61">
        <v>0.31121807099999999</v>
      </c>
      <c r="E61">
        <v>0.46284647299999998</v>
      </c>
      <c r="F61">
        <v>4.4647990999999998E-2</v>
      </c>
      <c r="G61">
        <v>0.37996618500000001</v>
      </c>
      <c r="H61">
        <v>0.380154045</v>
      </c>
      <c r="I61">
        <v>4.4562600000000001E-2</v>
      </c>
      <c r="J61">
        <v>0.577287192</v>
      </c>
      <c r="K61">
        <v>0.54522580200000004</v>
      </c>
      <c r="L61">
        <v>0.54553890100000002</v>
      </c>
      <c r="M61">
        <v>0.57787354199999996</v>
      </c>
      <c r="N61">
        <v>0.57592363999999996</v>
      </c>
      <c r="O61">
        <v>0.89187709699999995</v>
      </c>
      <c r="P61">
        <v>0.891842154</v>
      </c>
      <c r="Q61">
        <v>-0.98584074886550599</v>
      </c>
      <c r="R61">
        <v>-0.167684280349405</v>
      </c>
      <c r="S61">
        <v>0.31527755670454699</v>
      </c>
      <c r="T61">
        <v>0.94899950592105697</v>
      </c>
      <c r="U61">
        <v>10.607210159999999</v>
      </c>
      <c r="V61">
        <v>10.51527469</v>
      </c>
      <c r="W61">
        <v>2.2724686439999999</v>
      </c>
      <c r="X61">
        <v>2.2723216169999998</v>
      </c>
      <c r="Y61">
        <v>1.3856611679999999</v>
      </c>
      <c r="Z61">
        <v>1.3856879950000001</v>
      </c>
      <c r="AA61">
        <v>-3324.826556</v>
      </c>
      <c r="AB61">
        <v>2.8358792446082699</v>
      </c>
      <c r="AC61">
        <v>1.4207000000000001</v>
      </c>
      <c r="AD61">
        <v>1.42069</v>
      </c>
      <c r="AE61">
        <v>-4.2582036554085896</v>
      </c>
      <c r="AF61">
        <v>-0.44602999999999998</v>
      </c>
      <c r="AG61">
        <v>1.5204500000000001</v>
      </c>
      <c r="AH61">
        <v>1.5204599999999999</v>
      </c>
      <c r="AI61">
        <v>4.4436191786650001</v>
      </c>
      <c r="AJ61">
        <v>0.30298000000000003</v>
      </c>
      <c r="AK61">
        <v>0.30301</v>
      </c>
    </row>
    <row r="62" spans="1:37">
      <c r="A62">
        <v>61</v>
      </c>
      <c r="B62">
        <v>0.41032545300000001</v>
      </c>
      <c r="C62">
        <v>0.59851818499999998</v>
      </c>
      <c r="D62">
        <v>0.40949431600000002</v>
      </c>
      <c r="E62">
        <v>0.60005521900000003</v>
      </c>
      <c r="F62">
        <v>8.5288307999999993E-2</v>
      </c>
      <c r="G62">
        <v>0.45568503300000002</v>
      </c>
      <c r="H62">
        <v>0.459681322</v>
      </c>
      <c r="I62">
        <v>8.3580492000000006E-2</v>
      </c>
      <c r="J62">
        <v>0.73536259800000003</v>
      </c>
      <c r="K62">
        <v>0.74135133799999997</v>
      </c>
      <c r="L62">
        <v>0.74042911700000003</v>
      </c>
      <c r="M62">
        <v>0.73540813900000002</v>
      </c>
      <c r="N62">
        <v>0.556961657</v>
      </c>
      <c r="O62">
        <v>0.87955413699999996</v>
      </c>
      <c r="P62">
        <v>0.87956578500000004</v>
      </c>
      <c r="Q62">
        <v>-0.89272430159060501</v>
      </c>
      <c r="R62">
        <v>0.45060328599508198</v>
      </c>
      <c r="S62">
        <v>0.94304180017543004</v>
      </c>
      <c r="T62">
        <v>0.33267425978257498</v>
      </c>
      <c r="U62">
        <v>-11.68022856</v>
      </c>
      <c r="V62">
        <v>-11.6937041</v>
      </c>
      <c r="W62">
        <v>2.3094467120000002</v>
      </c>
      <c r="X62">
        <v>2.3082185420000001</v>
      </c>
      <c r="Y62">
        <v>1.387349438</v>
      </c>
      <c r="Z62">
        <v>1.387467016</v>
      </c>
      <c r="AA62">
        <v>-4090.1797219999999</v>
      </c>
      <c r="AB62">
        <v>1.44934467950173E-2</v>
      </c>
      <c r="AC62">
        <v>1.4311499999999999</v>
      </c>
      <c r="AD62">
        <v>1.4314199999999999</v>
      </c>
      <c r="AE62">
        <v>-6.1221903205741599</v>
      </c>
      <c r="AF62">
        <v>-0.40014</v>
      </c>
      <c r="AG62">
        <v>1.5407299999999999</v>
      </c>
      <c r="AH62">
        <v>1.5407599999999999</v>
      </c>
      <c r="AI62">
        <v>4.0814356436494998</v>
      </c>
      <c r="AJ62">
        <v>0.29227999999999899</v>
      </c>
      <c r="AK62">
        <v>0.29258999999999902</v>
      </c>
    </row>
    <row r="63" spans="1:37">
      <c r="A63">
        <v>62</v>
      </c>
      <c r="B63">
        <v>0.30569898000000001</v>
      </c>
      <c r="C63">
        <v>0.34060673000000002</v>
      </c>
      <c r="D63">
        <v>0.345320301</v>
      </c>
      <c r="E63">
        <v>0.48239526799999999</v>
      </c>
      <c r="F63">
        <v>3.6376471E-2</v>
      </c>
      <c r="G63">
        <v>0.11919983100000001</v>
      </c>
      <c r="H63">
        <v>0.20477846799999999</v>
      </c>
      <c r="I63">
        <v>8.6990430999999993E-2</v>
      </c>
      <c r="J63">
        <v>0.57502149000000002</v>
      </c>
      <c r="K63">
        <v>0.56201362799999999</v>
      </c>
      <c r="L63">
        <v>0.76001206899999996</v>
      </c>
      <c r="M63">
        <v>0.60365017099999996</v>
      </c>
      <c r="N63">
        <v>0.53776672599999997</v>
      </c>
      <c r="O63">
        <v>0.893903746</v>
      </c>
      <c r="P63">
        <v>0.88607086300000004</v>
      </c>
      <c r="Q63">
        <v>-0.71550103208054205</v>
      </c>
      <c r="R63">
        <v>-0.69861167546189595</v>
      </c>
      <c r="S63">
        <v>-0.75542374758787401</v>
      </c>
      <c r="T63">
        <v>-0.65523656917199802</v>
      </c>
      <c r="U63">
        <v>13.33759079</v>
      </c>
      <c r="V63">
        <v>-19.830840460000001</v>
      </c>
      <c r="W63">
        <v>2.2702516679999998</v>
      </c>
      <c r="X63">
        <v>2.2965287299999999</v>
      </c>
      <c r="Y63">
        <v>1.389434785</v>
      </c>
      <c r="Z63">
        <v>1.3890400780000001</v>
      </c>
      <c r="AA63">
        <v>-3324.7961059999998</v>
      </c>
      <c r="AB63">
        <v>3.2405257073505802</v>
      </c>
      <c r="AC63">
        <v>1.4355199999999999</v>
      </c>
      <c r="AD63">
        <v>1.40679</v>
      </c>
      <c r="AE63">
        <v>-4.3919533763006902</v>
      </c>
      <c r="AF63">
        <v>-0.40353</v>
      </c>
      <c r="AG63">
        <v>1.55104</v>
      </c>
      <c r="AH63">
        <v>1.51288</v>
      </c>
      <c r="AI63">
        <v>3.935854733632</v>
      </c>
      <c r="AJ63">
        <v>0.30704999999999999</v>
      </c>
      <c r="AK63">
        <v>0.30284999999999901</v>
      </c>
    </row>
    <row r="64" spans="1:37">
      <c r="A64">
        <v>63</v>
      </c>
      <c r="B64">
        <v>0.48264574799999999</v>
      </c>
      <c r="C64">
        <v>0.54481307999999995</v>
      </c>
      <c r="D64">
        <v>0.43396446599999999</v>
      </c>
      <c r="E64">
        <v>0.44399788200000001</v>
      </c>
      <c r="F64">
        <v>0.21873701300000001</v>
      </c>
      <c r="G64">
        <v>0.23893477900000001</v>
      </c>
      <c r="H64">
        <v>0.20357161200000001</v>
      </c>
      <c r="I64">
        <v>0.14922892099999999</v>
      </c>
      <c r="J64">
        <v>0.74655448199999996</v>
      </c>
      <c r="K64">
        <v>0.85069138099999997</v>
      </c>
      <c r="L64">
        <v>0.68442415300000004</v>
      </c>
      <c r="M64">
        <v>0.71870001100000003</v>
      </c>
      <c r="N64">
        <v>0.57256336200000002</v>
      </c>
      <c r="O64">
        <v>0.91539904000000005</v>
      </c>
      <c r="P64">
        <v>0.90256359500000005</v>
      </c>
      <c r="Q64">
        <v>-0.31238802875170801</v>
      </c>
      <c r="R64">
        <v>-0.949954588121254</v>
      </c>
      <c r="S64">
        <v>-0.99820774315232796</v>
      </c>
      <c r="T64">
        <v>5.9843976394750302E-2</v>
      </c>
      <c r="U64">
        <v>17.667176950000002</v>
      </c>
      <c r="V64">
        <v>27.676319039999999</v>
      </c>
      <c r="W64">
        <v>2.4054649979999998</v>
      </c>
      <c r="X64">
        <v>2.3243535959999999</v>
      </c>
      <c r="Y64">
        <v>1.404795413</v>
      </c>
      <c r="Z64">
        <v>1.3888504779999999</v>
      </c>
      <c r="AA64">
        <v>-3223.3058099999998</v>
      </c>
      <c r="AB64">
        <v>1.8179774641067401</v>
      </c>
      <c r="AC64">
        <v>1.28043</v>
      </c>
      <c r="AD64">
        <v>1.29697</v>
      </c>
      <c r="AE64">
        <v>-4.8311644429276601</v>
      </c>
      <c r="AF64">
        <v>-0.20311000000000001</v>
      </c>
      <c r="AG64">
        <v>0.86775000000000002</v>
      </c>
      <c r="AH64">
        <v>0.86755000000000004</v>
      </c>
      <c r="AI64">
        <v>4.4985861764659996</v>
      </c>
      <c r="AJ64">
        <v>0.14593999999999899</v>
      </c>
      <c r="AK64">
        <v>0.1613</v>
      </c>
    </row>
    <row r="65" spans="1:37">
      <c r="A65">
        <v>64</v>
      </c>
      <c r="B65">
        <v>0.42074028099999999</v>
      </c>
      <c r="C65">
        <v>0.36123429499999998</v>
      </c>
      <c r="D65">
        <v>0.447219961</v>
      </c>
      <c r="E65">
        <v>0.28653159700000003</v>
      </c>
      <c r="F65">
        <v>0.31973153100000001</v>
      </c>
      <c r="G65">
        <v>8.6859497999999993E-2</v>
      </c>
      <c r="H65">
        <v>4.9185089999999997E-3</v>
      </c>
      <c r="I65">
        <v>0.31185850199999998</v>
      </c>
      <c r="J65">
        <v>0.52174903100000003</v>
      </c>
      <c r="K65">
        <v>0.63560909200000004</v>
      </c>
      <c r="L65">
        <v>0.56814468600000001</v>
      </c>
      <c r="M65">
        <v>0.58258142000000002</v>
      </c>
      <c r="N65">
        <v>0.52345788299999996</v>
      </c>
      <c r="O65">
        <v>0.87649086799999998</v>
      </c>
      <c r="P65">
        <v>0.917076267</v>
      </c>
      <c r="Q65">
        <v>0.88365728600972304</v>
      </c>
      <c r="R65">
        <v>-0.46813438335794999</v>
      </c>
      <c r="S65">
        <v>-4.9439717019938503E-2</v>
      </c>
      <c r="T65">
        <v>0.99877710945985698</v>
      </c>
      <c r="U65">
        <v>14.865595839999999</v>
      </c>
      <c r="V65">
        <v>8.9405077780000006</v>
      </c>
      <c r="W65">
        <v>2.2970788949999998</v>
      </c>
      <c r="X65">
        <v>2.3076508250000001</v>
      </c>
      <c r="Y65">
        <v>1.3889688849999999</v>
      </c>
      <c r="Z65">
        <v>1.386543262</v>
      </c>
      <c r="AA65">
        <v>-2377.899543</v>
      </c>
      <c r="AB65">
        <v>2.13637313922451</v>
      </c>
      <c r="AC65">
        <v>1.3871599999999999</v>
      </c>
      <c r="AD65">
        <v>1.39161</v>
      </c>
      <c r="AE65">
        <v>-2.97310366911289</v>
      </c>
      <c r="AF65">
        <v>-0.29447000000000001</v>
      </c>
      <c r="AG65">
        <v>0.80340999999999996</v>
      </c>
      <c r="AH65">
        <v>0.78517999999999999</v>
      </c>
      <c r="AI65">
        <v>4.4866131670440001</v>
      </c>
      <c r="AJ65">
        <v>0.19767000000000001</v>
      </c>
      <c r="AK65">
        <v>0.196629999999999</v>
      </c>
    </row>
    <row r="66" spans="1:37">
      <c r="A66">
        <v>65</v>
      </c>
      <c r="B66">
        <v>0.31682824500000001</v>
      </c>
      <c r="C66">
        <v>0.32344603</v>
      </c>
      <c r="D66">
        <v>0.30409078699999997</v>
      </c>
      <c r="E66">
        <v>0.30457751500000002</v>
      </c>
      <c r="F66">
        <v>1.5347569E-2</v>
      </c>
      <c r="G66">
        <v>3.6837581000000001E-2</v>
      </c>
      <c r="H66">
        <v>9.7624428999999999E-2</v>
      </c>
      <c r="I66">
        <v>8.8943033000000005E-2</v>
      </c>
      <c r="J66">
        <v>0.61830892100000001</v>
      </c>
      <c r="K66">
        <v>0.61005447899999998</v>
      </c>
      <c r="L66">
        <v>0.51153060100000003</v>
      </c>
      <c r="M66">
        <v>0.51923854199999997</v>
      </c>
      <c r="N66">
        <v>0.50443183899999999</v>
      </c>
      <c r="O66">
        <v>0.88289694399999996</v>
      </c>
      <c r="P66">
        <v>0.89039787599999998</v>
      </c>
      <c r="Q66">
        <v>0.65489195836130598</v>
      </c>
      <c r="R66">
        <v>-0.75572251711437799</v>
      </c>
      <c r="S66">
        <v>0.52640222380521795</v>
      </c>
      <c r="T66">
        <v>-0.85023567248905796</v>
      </c>
      <c r="U66">
        <v>4.5113830989999997</v>
      </c>
      <c r="V66">
        <v>1.642669291</v>
      </c>
      <c r="W66">
        <v>2.3000486370000002</v>
      </c>
      <c r="X66">
        <v>2.3091909820000001</v>
      </c>
      <c r="Y66">
        <v>1.3869832099999999</v>
      </c>
      <c r="Z66">
        <v>1.387779662</v>
      </c>
      <c r="AA66">
        <v>-2144.96344</v>
      </c>
      <c r="AB66">
        <v>2.4593657332735201</v>
      </c>
      <c r="AC66">
        <v>1.28898</v>
      </c>
      <c r="AD66">
        <v>1.2948299999999999</v>
      </c>
      <c r="AE66">
        <v>-2.33133649989301</v>
      </c>
      <c r="AF66">
        <v>-0.32286999999999999</v>
      </c>
      <c r="AG66">
        <v>0.82081000000000004</v>
      </c>
      <c r="AH66">
        <v>0.80920000000000003</v>
      </c>
      <c r="AI66">
        <v>4.0659251541710004</v>
      </c>
      <c r="AJ66">
        <v>0.16389999999999899</v>
      </c>
      <c r="AK66">
        <v>0.15669</v>
      </c>
    </row>
    <row r="67" spans="1:37">
      <c r="A67">
        <v>66</v>
      </c>
      <c r="B67">
        <v>0.261762579</v>
      </c>
      <c r="C67">
        <v>0.23880384599999999</v>
      </c>
      <c r="D67">
        <v>0.26155764199999998</v>
      </c>
      <c r="E67">
        <v>0.238621679</v>
      </c>
      <c r="F67">
        <v>3.8898345000000001E-2</v>
      </c>
      <c r="G67">
        <v>4.1289287000000001E-2</v>
      </c>
      <c r="H67">
        <v>3.9786409000000002E-2</v>
      </c>
      <c r="I67">
        <v>3.0854530000000002E-3</v>
      </c>
      <c r="J67">
        <v>0.48462681400000002</v>
      </c>
      <c r="K67">
        <v>0.43631840500000002</v>
      </c>
      <c r="L67">
        <v>0.43745694899999998</v>
      </c>
      <c r="M67">
        <v>0.52002983000000003</v>
      </c>
      <c r="N67">
        <v>0.44947353699999998</v>
      </c>
      <c r="O67">
        <v>0.86988096299999995</v>
      </c>
      <c r="P67">
        <v>0.82008828700000003</v>
      </c>
      <c r="Q67">
        <v>0.68437774080241798</v>
      </c>
      <c r="R67">
        <v>-0.72912763484466603</v>
      </c>
      <c r="S67">
        <v>0.75621856151378497</v>
      </c>
      <c r="T67">
        <v>0.65431910198466603</v>
      </c>
      <c r="U67">
        <v>-7.0327482870000004</v>
      </c>
      <c r="V67">
        <v>-3.6510427000000001</v>
      </c>
      <c r="W67">
        <v>2.3197702200000001</v>
      </c>
      <c r="X67">
        <v>2.3203905250000001</v>
      </c>
      <c r="Y67">
        <v>1.388459814</v>
      </c>
      <c r="Z67">
        <v>1.3886536599999999</v>
      </c>
      <c r="AA67">
        <v>-1769.3637450000001</v>
      </c>
      <c r="AB67">
        <v>1.73243565248467</v>
      </c>
      <c r="AC67">
        <v>1.3713299999999999</v>
      </c>
      <c r="AD67">
        <v>1.3453900000000001</v>
      </c>
      <c r="AE67">
        <v>-1.7816618578516099</v>
      </c>
      <c r="AF67">
        <v>-0.28708</v>
      </c>
      <c r="AG67">
        <v>0.76426000000000005</v>
      </c>
      <c r="AH67">
        <v>0.73980999999999997</v>
      </c>
      <c r="AI67">
        <v>5.7255475283705</v>
      </c>
      <c r="AJ67">
        <v>0.17427000000000001</v>
      </c>
      <c r="AK67">
        <v>0.18683999999999901</v>
      </c>
    </row>
    <row r="68" spans="1:37">
      <c r="A68">
        <v>67</v>
      </c>
      <c r="B68">
        <v>0.157158878</v>
      </c>
      <c r="C68">
        <v>0.26397704700000002</v>
      </c>
      <c r="D68">
        <v>0.181136608</v>
      </c>
      <c r="E68">
        <v>0.29273096799999998</v>
      </c>
      <c r="F68">
        <v>1.0315206E-2</v>
      </c>
      <c r="G68">
        <v>3.9359455000000002E-2</v>
      </c>
      <c r="H68">
        <v>5.7302904000000002E-2</v>
      </c>
      <c r="I68">
        <v>8.7781720000000008E-3</v>
      </c>
      <c r="J68">
        <v>0.30400254999999998</v>
      </c>
      <c r="K68">
        <v>0.488594639</v>
      </c>
      <c r="L68">
        <v>0.52815903200000003</v>
      </c>
      <c r="M68">
        <v>0.35349504399999998</v>
      </c>
      <c r="N68">
        <v>0.462670052</v>
      </c>
      <c r="O68">
        <v>0.85264862100000005</v>
      </c>
      <c r="P68">
        <v>0.84039554599999999</v>
      </c>
      <c r="Q68">
        <v>-0.59047315181494897</v>
      </c>
      <c r="R68">
        <v>-0.80705728234476604</v>
      </c>
      <c r="S68">
        <v>0.98164682939689296</v>
      </c>
      <c r="T68">
        <v>-0.19070789793562601</v>
      </c>
      <c r="U68">
        <v>-0.75921739099999996</v>
      </c>
      <c r="V68">
        <v>-11.270529570000001</v>
      </c>
      <c r="W68">
        <v>2.3476667199999999</v>
      </c>
      <c r="X68">
        <v>2.313965015</v>
      </c>
      <c r="Y68">
        <v>1.3889709320000001</v>
      </c>
      <c r="Z68">
        <v>1.3881394300000001</v>
      </c>
      <c r="AA68">
        <v>-1873.9530030000001</v>
      </c>
      <c r="AB68">
        <v>2.3952043524509499</v>
      </c>
      <c r="AC68">
        <v>1.3426800000000001</v>
      </c>
      <c r="AD68">
        <v>1.34446</v>
      </c>
      <c r="AE68">
        <v>-1.7821306882469099</v>
      </c>
      <c r="AF68">
        <v>-0.27704000000000001</v>
      </c>
      <c r="AG68">
        <v>0.76222000000000001</v>
      </c>
      <c r="AH68">
        <v>0.75610999999999995</v>
      </c>
      <c r="AI68">
        <v>2.6408649191025</v>
      </c>
      <c r="AJ68">
        <v>0.17151</v>
      </c>
      <c r="AK68">
        <v>0.17865</v>
      </c>
    </row>
    <row r="69" spans="1:37">
      <c r="A69">
        <v>68</v>
      </c>
      <c r="B69">
        <v>0.274107239</v>
      </c>
      <c r="C69">
        <v>0.286821926</v>
      </c>
      <c r="D69">
        <v>0.27400761699999998</v>
      </c>
      <c r="E69">
        <v>0.28702117100000002</v>
      </c>
      <c r="F69">
        <v>7.6225499999999996E-3</v>
      </c>
      <c r="G69">
        <v>4.4887085E-2</v>
      </c>
      <c r="H69">
        <v>4.1898407999999998E-2</v>
      </c>
      <c r="I69">
        <v>7.4973100000000001E-3</v>
      </c>
      <c r="J69">
        <v>0.54059192899999997</v>
      </c>
      <c r="K69">
        <v>0.52875676699999996</v>
      </c>
      <c r="L69">
        <v>0.53214393500000001</v>
      </c>
      <c r="M69">
        <v>0.54051792399999998</v>
      </c>
      <c r="N69">
        <v>0.45851775099999997</v>
      </c>
      <c r="O69">
        <v>0.844291605</v>
      </c>
      <c r="P69">
        <v>0.84458861299999999</v>
      </c>
      <c r="Q69">
        <v>0.29868743286580601</v>
      </c>
      <c r="R69">
        <v>-0.95435099279459701</v>
      </c>
      <c r="S69">
        <v>0.16404853118121901</v>
      </c>
      <c r="T69">
        <v>-0.98645226920377804</v>
      </c>
      <c r="U69">
        <v>11.64338605</v>
      </c>
      <c r="V69">
        <v>11.20042956</v>
      </c>
      <c r="W69">
        <v>2.2942399180000002</v>
      </c>
      <c r="X69">
        <v>2.296418203</v>
      </c>
      <c r="Y69">
        <v>1.3876842570000001</v>
      </c>
      <c r="Z69">
        <v>1.3879736629999999</v>
      </c>
      <c r="AA69">
        <v>-1921.5044889999999</v>
      </c>
      <c r="AB69">
        <v>1.88063748234475</v>
      </c>
      <c r="AC69">
        <v>1.33856</v>
      </c>
      <c r="AD69">
        <v>1.3384400000000001</v>
      </c>
      <c r="AE69">
        <v>-2.0240234575014302</v>
      </c>
      <c r="AF69">
        <v>-0.29065999999999997</v>
      </c>
      <c r="AG69">
        <v>0.77886</v>
      </c>
      <c r="AH69">
        <v>0.77890999999999999</v>
      </c>
      <c r="AI69">
        <v>3.93775953058549</v>
      </c>
      <c r="AJ69">
        <v>0.18332999999999999</v>
      </c>
      <c r="AK69">
        <v>0.18284999999999901</v>
      </c>
    </row>
    <row r="70" spans="1:37">
      <c r="A70">
        <v>69</v>
      </c>
      <c r="B70">
        <v>0.23224014200000001</v>
      </c>
      <c r="C70">
        <v>0.238755458</v>
      </c>
      <c r="D70">
        <v>0.232171829</v>
      </c>
      <c r="E70">
        <v>0.23884084899999999</v>
      </c>
      <c r="F70">
        <v>7.4176119999999996E-3</v>
      </c>
      <c r="G70">
        <v>3.5949517E-2</v>
      </c>
      <c r="H70">
        <v>3.5186692999999998E-2</v>
      </c>
      <c r="I70">
        <v>7.3891490000000002E-3</v>
      </c>
      <c r="J70">
        <v>0.45706267099999998</v>
      </c>
      <c r="K70">
        <v>0.44156139900000002</v>
      </c>
      <c r="L70">
        <v>0.442495005</v>
      </c>
      <c r="M70">
        <v>0.45695450900000001</v>
      </c>
      <c r="N70">
        <v>0.45603685199999999</v>
      </c>
      <c r="O70">
        <v>0.84231736899999998</v>
      </c>
      <c r="P70">
        <v>0.84211353899999997</v>
      </c>
      <c r="Q70">
        <v>0.29126609219085298</v>
      </c>
      <c r="R70">
        <v>-0.95664207702769799</v>
      </c>
      <c r="S70">
        <v>0.110968481978606</v>
      </c>
      <c r="T70">
        <v>-0.99382392605901904</v>
      </c>
      <c r="U70">
        <v>11.31414116</v>
      </c>
      <c r="V70">
        <v>11.17938148</v>
      </c>
      <c r="W70">
        <v>2.2951489399999998</v>
      </c>
      <c r="X70">
        <v>2.2955132479999998</v>
      </c>
      <c r="Y70">
        <v>1.387806058</v>
      </c>
      <c r="Z70">
        <v>1.3877544669999999</v>
      </c>
      <c r="AA70">
        <v>-1764.665148</v>
      </c>
      <c r="AB70">
        <v>1.9130074751552799</v>
      </c>
      <c r="AC70">
        <v>1.34562</v>
      </c>
      <c r="AD70">
        <v>1.34524</v>
      </c>
      <c r="AE70">
        <v>-1.6620767350065999</v>
      </c>
      <c r="AF70">
        <v>-0.29138999999999998</v>
      </c>
      <c r="AG70">
        <v>0.76420999999999994</v>
      </c>
      <c r="AH70">
        <v>0.76427999999999996</v>
      </c>
      <c r="AI70">
        <v>3.9630661186820002</v>
      </c>
      <c r="AJ70">
        <v>0.18367</v>
      </c>
      <c r="AK70">
        <v>0.18368000000000001</v>
      </c>
    </row>
    <row r="71" spans="1:37">
      <c r="A71">
        <v>70</v>
      </c>
      <c r="B71">
        <v>0.42973762300000001</v>
      </c>
      <c r="C71">
        <v>0.376359848</v>
      </c>
      <c r="D71">
        <v>0.428897947</v>
      </c>
      <c r="E71">
        <v>0.374686189</v>
      </c>
      <c r="F71">
        <v>9.9252545999999997E-2</v>
      </c>
      <c r="G71">
        <v>0.17977035599999999</v>
      </c>
      <c r="H71">
        <v>0.17764697199999999</v>
      </c>
      <c r="I71">
        <v>9.7095005999999998E-2</v>
      </c>
      <c r="J71">
        <v>0.76022269899999995</v>
      </c>
      <c r="K71">
        <v>0.57294933999999997</v>
      </c>
      <c r="L71">
        <v>0.57172540599999999</v>
      </c>
      <c r="M71">
        <v>0.76070088700000005</v>
      </c>
      <c r="N71">
        <v>0.54096976299999999</v>
      </c>
      <c r="O71">
        <v>0.90644800599999997</v>
      </c>
      <c r="P71">
        <v>0.90687896000000001</v>
      </c>
      <c r="Q71">
        <v>0.51552924745671402</v>
      </c>
      <c r="R71">
        <v>0.85687198286366695</v>
      </c>
      <c r="S71">
        <v>-0.79290818977843003</v>
      </c>
      <c r="T71">
        <v>0.60934112168988896</v>
      </c>
      <c r="U71">
        <v>-6.5572045079999999</v>
      </c>
      <c r="V71">
        <v>-6.6974121569999996</v>
      </c>
      <c r="W71">
        <v>2.3759455639999998</v>
      </c>
      <c r="X71">
        <v>2.3753289030000002</v>
      </c>
      <c r="Y71">
        <v>1.3935981049999999</v>
      </c>
      <c r="Z71">
        <v>1.393488217</v>
      </c>
      <c r="AA71">
        <v>-2604.8456740000001</v>
      </c>
      <c r="AB71">
        <v>1.496595610043</v>
      </c>
      <c r="AC71">
        <v>1.2835000000000001</v>
      </c>
      <c r="AD71">
        <v>1.2839400000000001</v>
      </c>
      <c r="AE71">
        <v>-3.6054618679264698</v>
      </c>
      <c r="AF71">
        <v>-0.25548999999999999</v>
      </c>
      <c r="AG71">
        <v>0.84704000000000002</v>
      </c>
      <c r="AH71">
        <v>0.84757000000000005</v>
      </c>
      <c r="AI71">
        <v>3.9859236821240001</v>
      </c>
      <c r="AJ71">
        <v>0.14701</v>
      </c>
      <c r="AK71">
        <v>0.14688999999999999</v>
      </c>
    </row>
    <row r="72" spans="1:37">
      <c r="A72">
        <v>71</v>
      </c>
      <c r="B72">
        <v>0.33135037000000001</v>
      </c>
      <c r="C72">
        <v>0.26830351299999999</v>
      </c>
      <c r="D72">
        <v>0.24862093900000001</v>
      </c>
      <c r="E72">
        <v>0.332110348</v>
      </c>
      <c r="F72">
        <v>2.2850572E-2</v>
      </c>
      <c r="G72">
        <v>7.0766182999999996E-2</v>
      </c>
      <c r="H72">
        <v>8.9916488000000003E-2</v>
      </c>
      <c r="I72">
        <v>1.9224310000000001E-2</v>
      </c>
      <c r="J72">
        <v>0.63985016800000005</v>
      </c>
      <c r="K72">
        <v>0.465840843</v>
      </c>
      <c r="L72">
        <v>0.57430420699999996</v>
      </c>
      <c r="M72">
        <v>0.478017568</v>
      </c>
      <c r="N72">
        <v>0.47745643900000001</v>
      </c>
      <c r="O72">
        <v>0.87435356900000005</v>
      </c>
      <c r="P72">
        <v>0.82499184699999994</v>
      </c>
      <c r="Q72">
        <v>-0.84373661586210802</v>
      </c>
      <c r="R72">
        <v>0.53675741546210298</v>
      </c>
      <c r="S72">
        <v>2.5172031460611099E-2</v>
      </c>
      <c r="T72">
        <v>-0.99968313421410904</v>
      </c>
      <c r="U72">
        <v>-8.0204744839999993</v>
      </c>
      <c r="V72">
        <v>2.5304489710000002</v>
      </c>
      <c r="W72">
        <v>2.277485703</v>
      </c>
      <c r="X72">
        <v>2.093350397</v>
      </c>
      <c r="Y72">
        <v>1.404523688</v>
      </c>
      <c r="Z72">
        <v>1.3840146659999999</v>
      </c>
      <c r="AA72">
        <v>-1857.5109210000001</v>
      </c>
      <c r="AB72">
        <v>2.16157205061501</v>
      </c>
      <c r="AC72">
        <v>1.3900399999999999</v>
      </c>
      <c r="AD72">
        <v>1.27491</v>
      </c>
      <c r="AE72">
        <v>-2.0886325592501498</v>
      </c>
      <c r="AF72">
        <v>-1.883E-2</v>
      </c>
      <c r="AG72">
        <v>-0.54732999999999998</v>
      </c>
      <c r="AH72">
        <v>0.88309000000000004</v>
      </c>
      <c r="AI72">
        <v>3.9970803499945</v>
      </c>
      <c r="AJ72">
        <v>0.15748999999999899</v>
      </c>
      <c r="AK72">
        <v>9.0069999999999803E-2</v>
      </c>
    </row>
    <row r="73" spans="1:37">
      <c r="A73">
        <v>72</v>
      </c>
      <c r="B73">
        <v>0.371022925</v>
      </c>
      <c r="C73">
        <v>0.32197730899999999</v>
      </c>
      <c r="D73">
        <v>0.17861758</v>
      </c>
      <c r="E73">
        <v>0.35072838299999998</v>
      </c>
      <c r="F73">
        <v>2.7535679E-2</v>
      </c>
      <c r="G73">
        <v>7.8696139999999998E-2</v>
      </c>
      <c r="H73">
        <v>0.115288934</v>
      </c>
      <c r="I73">
        <v>7.2012889999999996E-3</v>
      </c>
      <c r="J73">
        <v>0.71451017000000006</v>
      </c>
      <c r="K73">
        <v>0.56525847799999995</v>
      </c>
      <c r="L73">
        <v>0.58616783299999997</v>
      </c>
      <c r="M73">
        <v>0.35003387200000002</v>
      </c>
      <c r="N73">
        <v>0.45935636400000002</v>
      </c>
      <c r="O73">
        <v>0.88184285299999998</v>
      </c>
      <c r="P73">
        <v>0.80163879100000002</v>
      </c>
      <c r="Q73">
        <v>0.187994789947905</v>
      </c>
      <c r="R73">
        <v>-0.982170025480539</v>
      </c>
      <c r="S73">
        <v>-0.103748715102746</v>
      </c>
      <c r="T73">
        <v>0.99460354117333005</v>
      </c>
      <c r="U73">
        <v>1.7236938129999999</v>
      </c>
      <c r="V73">
        <v>-3.5840813709999999</v>
      </c>
      <c r="W73">
        <v>2.2947328420000002</v>
      </c>
      <c r="X73">
        <v>2.0925103909999998</v>
      </c>
      <c r="Y73">
        <v>1.3850288040000001</v>
      </c>
      <c r="Z73">
        <v>1.4045832410000001</v>
      </c>
      <c r="AA73">
        <v>-3196.9351569999999</v>
      </c>
      <c r="AB73">
        <v>2.55131103944619</v>
      </c>
      <c r="AC73">
        <v>1.39103</v>
      </c>
      <c r="AD73">
        <v>1.2504200000000001</v>
      </c>
      <c r="AE73">
        <v>-2.3979925780821199</v>
      </c>
      <c r="AF73">
        <v>-2.9250000000000002E-2</v>
      </c>
      <c r="AG73">
        <v>-0.55495000000000005</v>
      </c>
      <c r="AH73">
        <v>0.89944000000000002</v>
      </c>
      <c r="AI73">
        <v>4.5423965063964999</v>
      </c>
      <c r="AJ73">
        <v>0.14960999999999999</v>
      </c>
      <c r="AK73">
        <v>9.1649999999999995E-2</v>
      </c>
    </row>
    <row r="74" spans="1:37">
      <c r="A74">
        <v>73</v>
      </c>
      <c r="B74">
        <v>0.33189402400000001</v>
      </c>
      <c r="C74">
        <v>0.278544713</v>
      </c>
      <c r="D74">
        <v>0.19076584099999999</v>
      </c>
      <c r="E74">
        <v>0.264947655</v>
      </c>
      <c r="F74">
        <v>4.8780904E-2</v>
      </c>
      <c r="G74">
        <v>8.7798796999999998E-2</v>
      </c>
      <c r="H74">
        <v>8.7440155000000006E-2</v>
      </c>
      <c r="I74">
        <v>5.6813330000000002E-3</v>
      </c>
      <c r="J74">
        <v>0.61500714400000001</v>
      </c>
      <c r="K74">
        <v>0.46929062999999999</v>
      </c>
      <c r="L74">
        <v>0.44245515600000002</v>
      </c>
      <c r="M74">
        <v>0.37585035</v>
      </c>
      <c r="N74">
        <v>0.47318766299999998</v>
      </c>
      <c r="O74">
        <v>0.85825102499999995</v>
      </c>
      <c r="P74">
        <v>0.83701779700000001</v>
      </c>
      <c r="Q74">
        <v>-0.215303678161363</v>
      </c>
      <c r="R74">
        <v>0.97654714487841698</v>
      </c>
      <c r="S74">
        <v>-0.72731713386240004</v>
      </c>
      <c r="T74">
        <v>0.68630152760297902</v>
      </c>
      <c r="U74">
        <v>-6.5146433500000001</v>
      </c>
      <c r="V74">
        <v>13.645949359999999</v>
      </c>
      <c r="W74">
        <v>2.2792088719999999</v>
      </c>
      <c r="X74">
        <v>2.111432175</v>
      </c>
      <c r="Y74">
        <v>1.382740651</v>
      </c>
      <c r="Z74">
        <v>1.405062926</v>
      </c>
      <c r="AA74">
        <v>-1705.368688</v>
      </c>
      <c r="AB74">
        <v>2.5358703831229201</v>
      </c>
      <c r="AC74">
        <v>1.3919900000000001</v>
      </c>
      <c r="AD74">
        <v>1.2854300000000001</v>
      </c>
      <c r="AE74">
        <v>-1.8771276198875699</v>
      </c>
      <c r="AF74">
        <v>-4.666E-2</v>
      </c>
      <c r="AG74">
        <v>-0.56967999999999996</v>
      </c>
      <c r="AH74">
        <v>0.85651999999999995</v>
      </c>
      <c r="AI74">
        <v>4.6237585476960001</v>
      </c>
      <c r="AJ74">
        <v>0.16728999999999999</v>
      </c>
      <c r="AK74">
        <v>8.7209999999999996E-2</v>
      </c>
    </row>
    <row r="75" spans="1:37">
      <c r="A75">
        <v>74</v>
      </c>
      <c r="B75">
        <v>0.491096588</v>
      </c>
      <c r="C75">
        <v>0.39644375900000001</v>
      </c>
      <c r="D75">
        <v>0.34439523399999999</v>
      </c>
      <c r="E75">
        <v>0.368111099</v>
      </c>
      <c r="F75">
        <v>0.152172057</v>
      </c>
      <c r="G75">
        <v>0.13155303099999999</v>
      </c>
      <c r="H75">
        <v>6.3969076999999999E-2</v>
      </c>
      <c r="I75">
        <v>5.8891171999999999E-2</v>
      </c>
      <c r="J75">
        <v>0.83002111999999995</v>
      </c>
      <c r="K75">
        <v>0.66133448699999997</v>
      </c>
      <c r="L75">
        <v>0.67225312100000001</v>
      </c>
      <c r="M75">
        <v>0.62989929600000005</v>
      </c>
      <c r="N75">
        <v>0.53070257200000004</v>
      </c>
      <c r="O75">
        <v>0.92361628799999995</v>
      </c>
      <c r="P75">
        <v>0.91297055500000002</v>
      </c>
      <c r="Q75">
        <v>-0.786758601410526</v>
      </c>
      <c r="R75">
        <v>0.61726080639106795</v>
      </c>
      <c r="S75">
        <v>-0.78426796735899196</v>
      </c>
      <c r="T75">
        <v>0.62042223958735898</v>
      </c>
      <c r="U75">
        <v>30.072434049999998</v>
      </c>
      <c r="V75">
        <v>3.579766684</v>
      </c>
      <c r="W75">
        <v>2.3586602810000001</v>
      </c>
      <c r="X75">
        <v>2.3122353410000001</v>
      </c>
      <c r="Y75">
        <v>1.3985666320000001</v>
      </c>
      <c r="Z75">
        <v>1.3870220799999999</v>
      </c>
      <c r="AA75">
        <v>-3809.3856719999999</v>
      </c>
      <c r="AB75">
        <v>2.1508650562041298</v>
      </c>
      <c r="AC75">
        <v>1.28592</v>
      </c>
      <c r="AD75">
        <v>1.28589</v>
      </c>
      <c r="AE75">
        <v>-3.4324980948738002</v>
      </c>
      <c r="AF75">
        <v>-0.26144000000000001</v>
      </c>
      <c r="AG75">
        <v>1.04129</v>
      </c>
      <c r="AH75">
        <v>0.87614000000000003</v>
      </c>
      <c r="AI75">
        <v>4.3706926667309904</v>
      </c>
      <c r="AJ75">
        <v>0.159799999999999</v>
      </c>
      <c r="AK75">
        <v>0.18306</v>
      </c>
    </row>
    <row r="76" spans="1:37">
      <c r="A76">
        <v>75</v>
      </c>
      <c r="B76">
        <v>0.42013969899999998</v>
      </c>
      <c r="C76">
        <v>0.44107182499999997</v>
      </c>
      <c r="D76">
        <v>0.42114731</v>
      </c>
      <c r="E76">
        <v>0.49742404499999998</v>
      </c>
      <c r="F76">
        <v>0.13245248000000001</v>
      </c>
      <c r="G76">
        <v>0.132139381</v>
      </c>
      <c r="H76">
        <v>0.24858393600000001</v>
      </c>
      <c r="I76">
        <v>0.195271628</v>
      </c>
      <c r="J76">
        <v>0.70782691900000005</v>
      </c>
      <c r="K76">
        <v>0.75000427000000003</v>
      </c>
      <c r="L76">
        <v>0.74626415400000001</v>
      </c>
      <c r="M76">
        <v>0.64702299299999999</v>
      </c>
      <c r="N76">
        <v>0.54571608299999996</v>
      </c>
      <c r="O76">
        <v>0.91770522700000001</v>
      </c>
      <c r="P76">
        <v>0.90890560899999995</v>
      </c>
      <c r="Q76">
        <v>-0.81881491537176598</v>
      </c>
      <c r="R76">
        <v>-0.57405760544106199</v>
      </c>
      <c r="S76">
        <v>0.98556987376693295</v>
      </c>
      <c r="T76">
        <v>-0.169269087322616</v>
      </c>
      <c r="U76">
        <v>-17.65556947</v>
      </c>
      <c r="V76">
        <v>-6.0913671379999998</v>
      </c>
      <c r="W76">
        <v>2.383104484</v>
      </c>
      <c r="X76">
        <v>2.3681259080000001</v>
      </c>
      <c r="Y76">
        <v>1.388033254</v>
      </c>
      <c r="Z76">
        <v>1.3971118410000001</v>
      </c>
      <c r="AA76">
        <v>-2918.5756179999998</v>
      </c>
      <c r="AB76">
        <v>2.2403169909635499</v>
      </c>
      <c r="AC76">
        <v>1.2763800000000001</v>
      </c>
      <c r="AD76">
        <v>1.29701</v>
      </c>
      <c r="AE76">
        <v>-4.4155209392014196</v>
      </c>
      <c r="AF76">
        <v>-0.25985000000000003</v>
      </c>
      <c r="AG76">
        <v>0.84086000000000005</v>
      </c>
      <c r="AH76">
        <v>0.84130000000000005</v>
      </c>
      <c r="AI76">
        <v>4.0180331164830001</v>
      </c>
      <c r="AJ76">
        <v>0.1512</v>
      </c>
      <c r="AK76">
        <v>0.14863000000000001</v>
      </c>
    </row>
    <row r="77" spans="1:37">
      <c r="A77">
        <v>76</v>
      </c>
      <c r="B77">
        <v>0.28202581100000002</v>
      </c>
      <c r="C77">
        <v>0.455622413</v>
      </c>
      <c r="D77">
        <v>0.28241291600000001</v>
      </c>
      <c r="E77">
        <v>0.45729038</v>
      </c>
      <c r="F77">
        <v>4.0623238999999998E-2</v>
      </c>
      <c r="G77">
        <v>0.37078382999999998</v>
      </c>
      <c r="H77">
        <v>0.37444424799999998</v>
      </c>
      <c r="I77">
        <v>4.0480921000000003E-2</v>
      </c>
      <c r="J77">
        <v>0.52342838300000005</v>
      </c>
      <c r="K77">
        <v>0.54046099599999997</v>
      </c>
      <c r="L77">
        <v>0.54013651100000004</v>
      </c>
      <c r="M77">
        <v>0.52434491000000005</v>
      </c>
      <c r="N77">
        <v>0.50610906600000005</v>
      </c>
      <c r="O77">
        <v>0.87041092099999995</v>
      </c>
      <c r="P77">
        <v>0.86962472000000002</v>
      </c>
      <c r="Q77">
        <v>-0.28576437383480102</v>
      </c>
      <c r="R77">
        <v>-0.95829991268224701</v>
      </c>
      <c r="S77">
        <v>0.90409734506546802</v>
      </c>
      <c r="T77">
        <v>-0.42732656206415498</v>
      </c>
      <c r="U77">
        <v>16.641239429999999</v>
      </c>
      <c r="V77">
        <v>16.391198150000001</v>
      </c>
      <c r="W77">
        <v>2.3290582679999998</v>
      </c>
      <c r="X77">
        <v>2.3290781040000001</v>
      </c>
      <c r="Y77">
        <v>1.3901520759999999</v>
      </c>
      <c r="Z77">
        <v>1.390260246</v>
      </c>
      <c r="AA77">
        <v>-4404.3316809999997</v>
      </c>
      <c r="AB77">
        <v>2.0002436101635199</v>
      </c>
      <c r="AC77">
        <v>1.34216</v>
      </c>
      <c r="AD77">
        <v>1.3420300000000001</v>
      </c>
      <c r="AE77">
        <v>-4.4426365456183197</v>
      </c>
      <c r="AF77">
        <v>-0.26169999999999999</v>
      </c>
      <c r="AG77">
        <v>0.84811999999999999</v>
      </c>
      <c r="AH77">
        <v>0.84799000000000002</v>
      </c>
      <c r="AI77">
        <v>3.8675541571565</v>
      </c>
      <c r="AJ77">
        <v>0.17915</v>
      </c>
      <c r="AK77">
        <v>0.17915999999999899</v>
      </c>
    </row>
    <row r="78" spans="1:37">
      <c r="A78">
        <v>77</v>
      </c>
      <c r="B78">
        <v>0.32300199800000001</v>
      </c>
      <c r="C78">
        <v>0.33721671600000003</v>
      </c>
      <c r="D78">
        <v>0.32308169599999997</v>
      </c>
      <c r="E78">
        <v>0.337495659</v>
      </c>
      <c r="F78">
        <v>3.7287305999999999E-2</v>
      </c>
      <c r="G78">
        <v>0.15839989099999999</v>
      </c>
      <c r="H78">
        <v>0.159100095</v>
      </c>
      <c r="I78">
        <v>3.7367004000000002E-2</v>
      </c>
      <c r="J78">
        <v>0.60871668999999995</v>
      </c>
      <c r="K78">
        <v>0.51603354099999998</v>
      </c>
      <c r="L78">
        <v>0.51589122399999998</v>
      </c>
      <c r="M78">
        <v>0.60879638899999999</v>
      </c>
      <c r="N78">
        <v>0.51826896200000006</v>
      </c>
      <c r="O78">
        <v>0.89625069899999998</v>
      </c>
      <c r="P78">
        <v>0.89654188400000001</v>
      </c>
      <c r="Q78">
        <v>0.93895163398370196</v>
      </c>
      <c r="R78">
        <v>-0.34404916660171497</v>
      </c>
      <c r="S78">
        <v>-0.75830945013897</v>
      </c>
      <c r="T78">
        <v>-0.65189475978100297</v>
      </c>
      <c r="U78">
        <v>-1.4830563649999999</v>
      </c>
      <c r="V78">
        <v>-1.317489033</v>
      </c>
      <c r="W78">
        <v>2.3051757940000002</v>
      </c>
      <c r="X78">
        <v>2.3057032899999998</v>
      </c>
      <c r="Y78">
        <v>1.388073903</v>
      </c>
      <c r="Z78">
        <v>1.3880798510000001</v>
      </c>
      <c r="AA78">
        <v>-2184.1806150000002</v>
      </c>
      <c r="AB78">
        <v>2.2464208710746898</v>
      </c>
      <c r="AC78">
        <v>1.2727999999999999</v>
      </c>
      <c r="AD78">
        <v>1.27288</v>
      </c>
      <c r="AE78">
        <v>-2.4263859685547802</v>
      </c>
      <c r="AF78">
        <v>-0.32013000000000003</v>
      </c>
      <c r="AG78">
        <v>0.83043999999999996</v>
      </c>
      <c r="AH78">
        <v>0.83050000000000002</v>
      </c>
      <c r="AI78">
        <v>4.0939528807725001</v>
      </c>
      <c r="AJ78">
        <v>0.15569999999999901</v>
      </c>
      <c r="AK78">
        <v>0.155579999999999</v>
      </c>
    </row>
    <row r="79" spans="1:37">
      <c r="A79">
        <v>78</v>
      </c>
      <c r="B79">
        <v>0.348209355</v>
      </c>
      <c r="C79">
        <v>0.32441094599999998</v>
      </c>
      <c r="D79">
        <v>0.33214450400000001</v>
      </c>
      <c r="E79">
        <v>0.31767361399999999</v>
      </c>
      <c r="F79">
        <v>1.8267933E-2</v>
      </c>
      <c r="G79">
        <v>8.0347028000000001E-2</v>
      </c>
      <c r="H79">
        <v>8.2811974999999996E-2</v>
      </c>
      <c r="I79">
        <v>1.8637959999999999E-2</v>
      </c>
      <c r="J79">
        <v>0.67815077700000004</v>
      </c>
      <c r="K79">
        <v>0.56847486400000002</v>
      </c>
      <c r="L79">
        <v>0.55253525199999998</v>
      </c>
      <c r="M79">
        <v>0.64565104799999995</v>
      </c>
      <c r="N79">
        <v>0.47551132099999999</v>
      </c>
      <c r="O79">
        <v>0.87435356900000005</v>
      </c>
      <c r="P79">
        <v>0.87070793000000002</v>
      </c>
      <c r="Q79">
        <v>-0.98842208590632397</v>
      </c>
      <c r="R79">
        <v>-0.15172929872832999</v>
      </c>
      <c r="S79">
        <v>0.49516641124321698</v>
      </c>
      <c r="T79">
        <v>0.86879814984639103</v>
      </c>
      <c r="U79">
        <v>-0.99111343200000002</v>
      </c>
      <c r="V79">
        <v>0.72502401900000002</v>
      </c>
      <c r="W79">
        <v>2.336330019</v>
      </c>
      <c r="X79">
        <v>2.3331596879999998</v>
      </c>
      <c r="Y79">
        <v>1.3904794220000001</v>
      </c>
      <c r="Z79">
        <v>1.3902589299999999</v>
      </c>
      <c r="AA79">
        <v>-2259.0239580000002</v>
      </c>
      <c r="AB79">
        <v>2.0787159738646301</v>
      </c>
      <c r="AC79">
        <v>1.25339</v>
      </c>
      <c r="AD79">
        <v>1.2473799999999999</v>
      </c>
      <c r="AE79">
        <v>-2.5468505524800502</v>
      </c>
      <c r="AF79">
        <v>-0.28403</v>
      </c>
      <c r="AG79">
        <v>0.86656999999999995</v>
      </c>
      <c r="AH79">
        <v>0.86667000000000005</v>
      </c>
      <c r="AI79">
        <v>4.3021199764049998</v>
      </c>
      <c r="AJ79">
        <v>0.140849999999999</v>
      </c>
      <c r="AK79">
        <v>0.14430000000000001</v>
      </c>
    </row>
    <row r="80" spans="1:37">
      <c r="A80">
        <v>79</v>
      </c>
      <c r="B80">
        <v>0.38186186</v>
      </c>
      <c r="C80">
        <v>0.40617830700000002</v>
      </c>
      <c r="D80">
        <v>0.40718022599999998</v>
      </c>
      <c r="E80">
        <v>0.43449673500000002</v>
      </c>
      <c r="F80">
        <v>0.181757114</v>
      </c>
      <c r="G80">
        <v>0.20845596399999999</v>
      </c>
      <c r="H80">
        <v>0.100430939</v>
      </c>
      <c r="I80">
        <v>6.8711112000000005E-2</v>
      </c>
      <c r="J80">
        <v>0.58196660700000002</v>
      </c>
      <c r="K80">
        <v>0.60390065100000001</v>
      </c>
      <c r="L80">
        <v>0.76856253200000002</v>
      </c>
      <c r="M80">
        <v>0.74564934000000005</v>
      </c>
      <c r="N80">
        <v>0.542856644</v>
      </c>
      <c r="O80">
        <v>0.90141632500000002</v>
      </c>
      <c r="P80">
        <v>0.91188152300000003</v>
      </c>
      <c r="Q80">
        <v>0.12388005356944801</v>
      </c>
      <c r="R80">
        <v>-0.99229719959678897</v>
      </c>
      <c r="S80">
        <v>-0.51975956955399005</v>
      </c>
      <c r="T80">
        <v>-0.85431258322527903</v>
      </c>
      <c r="U80">
        <v>-2.076193784</v>
      </c>
      <c r="V80">
        <v>-1.3907517549999999</v>
      </c>
      <c r="W80">
        <v>2.321774542</v>
      </c>
      <c r="X80">
        <v>2.3483835069999999</v>
      </c>
      <c r="Y80">
        <v>1.386214257</v>
      </c>
      <c r="Z80">
        <v>1.392952295</v>
      </c>
      <c r="AA80">
        <v>-3848.5747040000001</v>
      </c>
      <c r="AB80">
        <v>2.7362973869811702</v>
      </c>
      <c r="AC80">
        <v>1.2911300000000001</v>
      </c>
      <c r="AD80">
        <v>1.2754099999999999</v>
      </c>
      <c r="AE80">
        <v>-3.5384711332394598</v>
      </c>
      <c r="AF80">
        <v>-0.28893999999999997</v>
      </c>
      <c r="AG80">
        <v>0.87766</v>
      </c>
      <c r="AH80">
        <v>0.87744</v>
      </c>
      <c r="AI80">
        <v>4.3266102229500003</v>
      </c>
      <c r="AJ80">
        <v>0.162989999999999</v>
      </c>
      <c r="AK80">
        <v>0.16225000000000001</v>
      </c>
    </row>
    <row r="81" spans="1:37">
      <c r="A81">
        <v>80</v>
      </c>
      <c r="B81">
        <v>0.30644188</v>
      </c>
      <c r="C81">
        <v>0.35931300300000002</v>
      </c>
      <c r="D81">
        <v>0.32651725199999998</v>
      </c>
      <c r="E81">
        <v>0.35573512899999998</v>
      </c>
      <c r="F81">
        <v>0.16641523799999999</v>
      </c>
      <c r="G81">
        <v>6.3137940000000004E-2</v>
      </c>
      <c r="H81">
        <v>8.0005464999999998E-2</v>
      </c>
      <c r="I81">
        <v>0.16883464400000001</v>
      </c>
      <c r="J81">
        <v>0.44646852199999998</v>
      </c>
      <c r="K81">
        <v>0.65548806500000001</v>
      </c>
      <c r="L81">
        <v>0.63146479300000002</v>
      </c>
      <c r="M81">
        <v>0.48419985999999998</v>
      </c>
      <c r="N81">
        <v>0.52671333399999998</v>
      </c>
      <c r="O81">
        <v>0.86226355799999999</v>
      </c>
      <c r="P81">
        <v>0.87525624300000004</v>
      </c>
      <c r="Q81">
        <v>0.91777576434971897</v>
      </c>
      <c r="R81">
        <v>-0.39709903849327999</v>
      </c>
      <c r="S81">
        <v>5.3200776963918901E-2</v>
      </c>
      <c r="T81">
        <v>-0.99858383590484501</v>
      </c>
      <c r="U81">
        <v>2.4585078450000002</v>
      </c>
      <c r="V81">
        <v>7.2995044509999998</v>
      </c>
      <c r="W81">
        <v>2.3143774170000002</v>
      </c>
      <c r="X81">
        <v>2.317892606</v>
      </c>
      <c r="Y81">
        <v>1.3901519739999999</v>
      </c>
      <c r="Z81">
        <v>1.3891846189999999</v>
      </c>
      <c r="AA81">
        <v>-2411.5942770000001</v>
      </c>
      <c r="AB81">
        <v>1.2578681250433199</v>
      </c>
      <c r="AC81">
        <v>1.3043400000000001</v>
      </c>
      <c r="AD81">
        <v>1.3073699999999999</v>
      </c>
      <c r="AE81">
        <v>-2.5554436493706798</v>
      </c>
      <c r="AF81">
        <v>-0.31617000000000001</v>
      </c>
      <c r="AG81">
        <v>0.82784999999999997</v>
      </c>
      <c r="AH81">
        <v>0.82428999999999997</v>
      </c>
      <c r="AI81">
        <v>4.3298755891559999</v>
      </c>
      <c r="AJ81">
        <v>0.17291999999999899</v>
      </c>
      <c r="AK81">
        <v>0.17161000000000001</v>
      </c>
    </row>
    <row r="82" spans="1:37">
      <c r="A82">
        <v>81</v>
      </c>
      <c r="B82">
        <v>0.36556360799999998</v>
      </c>
      <c r="C82">
        <v>0.30691152900000002</v>
      </c>
      <c r="D82">
        <v>0.182155605</v>
      </c>
      <c r="E82">
        <v>0.36943750199999997</v>
      </c>
      <c r="F82">
        <v>6.1771687999999998E-2</v>
      </c>
      <c r="G82">
        <v>7.7865003000000002E-2</v>
      </c>
      <c r="H82">
        <v>0.106584767</v>
      </c>
      <c r="I82">
        <v>3.5181000000000001E-3</v>
      </c>
      <c r="J82">
        <v>0.66935552700000001</v>
      </c>
      <c r="K82">
        <v>0.53595805600000002</v>
      </c>
      <c r="L82">
        <v>0.63229023799999995</v>
      </c>
      <c r="M82">
        <v>0.36079310999999997</v>
      </c>
      <c r="N82">
        <v>0.52447703099999998</v>
      </c>
      <c r="O82">
        <v>0.924676202</v>
      </c>
      <c r="P82">
        <v>0.82377469299999995</v>
      </c>
      <c r="Q82">
        <v>-0.83536900652267199</v>
      </c>
      <c r="R82">
        <v>-0.54968956961299698</v>
      </c>
      <c r="S82">
        <v>0.99391512315249997</v>
      </c>
      <c r="T82">
        <v>-0.110148663036597</v>
      </c>
      <c r="U82">
        <v>20.76882015</v>
      </c>
      <c r="V82">
        <v>-1.5547285870000001</v>
      </c>
      <c r="W82">
        <v>2.3208402650000002</v>
      </c>
      <c r="X82">
        <v>2.0948258040000001</v>
      </c>
      <c r="Y82">
        <v>1.3902617770000001</v>
      </c>
      <c r="Z82">
        <v>1.397745292</v>
      </c>
      <c r="AA82">
        <v>-1896.7198599999999</v>
      </c>
      <c r="AB82">
        <v>1.7428672410714401</v>
      </c>
      <c r="AC82">
        <v>1.3888</v>
      </c>
      <c r="AD82">
        <v>1.2866500000000001</v>
      </c>
      <c r="AE82">
        <v>-2.3424840220169898</v>
      </c>
      <c r="AF82">
        <v>-2.1680000000000001E-2</v>
      </c>
      <c r="AG82">
        <v>-0.55091000000000001</v>
      </c>
      <c r="AH82">
        <v>0.86589000000000005</v>
      </c>
      <c r="AI82">
        <v>4.0817077575000003</v>
      </c>
      <c r="AJ82">
        <v>0.15451000000000001</v>
      </c>
      <c r="AK82">
        <v>9.2189999999999994E-2</v>
      </c>
    </row>
    <row r="83" spans="1:37">
      <c r="A83">
        <v>82</v>
      </c>
      <c r="B83">
        <v>0.41359876600000001</v>
      </c>
      <c r="C83">
        <v>0.42131524599999998</v>
      </c>
      <c r="D83">
        <v>0.37695473699999998</v>
      </c>
      <c r="E83">
        <v>0.37461218400000001</v>
      </c>
      <c r="F83">
        <v>0.13721728499999999</v>
      </c>
      <c r="G83">
        <v>0.17305864100000001</v>
      </c>
      <c r="H83">
        <v>0.12517149299999999</v>
      </c>
      <c r="I83">
        <v>8.925044E-2</v>
      </c>
      <c r="J83">
        <v>0.68998024599999996</v>
      </c>
      <c r="K83">
        <v>0.66957185100000005</v>
      </c>
      <c r="L83">
        <v>0.62405287399999998</v>
      </c>
      <c r="M83">
        <v>0.66465903500000001</v>
      </c>
      <c r="N83">
        <v>0.53449962699999998</v>
      </c>
      <c r="O83">
        <v>0.90452618299999998</v>
      </c>
      <c r="P83">
        <v>0.92796659500000001</v>
      </c>
      <c r="Q83">
        <v>-0.190337204312967</v>
      </c>
      <c r="R83">
        <v>-0.981718772691204</v>
      </c>
      <c r="S83">
        <v>0.99132661944143596</v>
      </c>
      <c r="T83">
        <v>0.13142120676212499</v>
      </c>
      <c r="U83">
        <v>-5.6735284979999996</v>
      </c>
      <c r="V83">
        <v>-15.419799490000001</v>
      </c>
      <c r="W83">
        <v>2.3732287400000001</v>
      </c>
      <c r="X83">
        <v>2.356084375</v>
      </c>
      <c r="Y83">
        <v>1.3943443040000001</v>
      </c>
      <c r="Z83">
        <v>1.392157654</v>
      </c>
      <c r="AA83">
        <v>-2752.8833359999999</v>
      </c>
      <c r="AB83">
        <v>4.3637744075513298</v>
      </c>
      <c r="AC83">
        <v>1.27264</v>
      </c>
      <c r="AD83">
        <v>1.2835700000000001</v>
      </c>
      <c r="AE83">
        <v>-3.3598011844434299</v>
      </c>
      <c r="AF83">
        <v>-0.24603</v>
      </c>
      <c r="AG83">
        <v>0.87073999999999996</v>
      </c>
      <c r="AH83">
        <v>0.8629</v>
      </c>
      <c r="AI83">
        <v>4.3290592476044996</v>
      </c>
      <c r="AJ83">
        <v>0.14726</v>
      </c>
      <c r="AK83">
        <v>0.15056</v>
      </c>
    </row>
    <row r="84" spans="1:37">
      <c r="A84">
        <v>83</v>
      </c>
      <c r="B84">
        <v>0.44742205200000001</v>
      </c>
      <c r="C84">
        <v>0.39198635999999998</v>
      </c>
      <c r="D84">
        <v>0.47019577299999998</v>
      </c>
      <c r="E84">
        <v>0.49391163799999999</v>
      </c>
      <c r="F84">
        <v>0.15575846900000001</v>
      </c>
      <c r="G84">
        <v>8.7935421999999999E-2</v>
      </c>
      <c r="H84">
        <v>0.24625561400000001</v>
      </c>
      <c r="I84">
        <v>0.19705914199999999</v>
      </c>
      <c r="J84">
        <v>0.73908563599999999</v>
      </c>
      <c r="K84">
        <v>0.696037299</v>
      </c>
      <c r="L84">
        <v>0.74156766100000004</v>
      </c>
      <c r="M84">
        <v>0.743332404</v>
      </c>
      <c r="N84">
        <v>0.58417000600000002</v>
      </c>
      <c r="O84">
        <v>0.94353918199999998</v>
      </c>
      <c r="P84">
        <v>0.93432025699999999</v>
      </c>
      <c r="Q84">
        <v>8.4078507433577504E-2</v>
      </c>
      <c r="R84">
        <v>0.99645913342582204</v>
      </c>
      <c r="S84">
        <v>-0.80743622161779205</v>
      </c>
      <c r="T84">
        <v>-0.58995486947696396</v>
      </c>
      <c r="U84">
        <v>18.09434143</v>
      </c>
      <c r="V84">
        <v>40.412347830000002</v>
      </c>
      <c r="W84">
        <v>2.4260855449999998</v>
      </c>
      <c r="X84">
        <v>2.4238012800000002</v>
      </c>
      <c r="Y84">
        <v>1.3951313380000001</v>
      </c>
      <c r="Z84">
        <v>1.40523486</v>
      </c>
      <c r="AA84">
        <v>-2771.095984</v>
      </c>
      <c r="AB84">
        <v>1.52214398793281</v>
      </c>
      <c r="AC84">
        <v>1.31894</v>
      </c>
      <c r="AD84">
        <v>1.27108</v>
      </c>
      <c r="AE84">
        <v>-4.4777747676805504</v>
      </c>
      <c r="AF84">
        <v>-0.15129000000000001</v>
      </c>
      <c r="AG84">
        <v>0.81166000000000005</v>
      </c>
      <c r="AH84">
        <v>0.86287999999999998</v>
      </c>
      <c r="AI84">
        <v>4.3538216079999996</v>
      </c>
      <c r="AJ84">
        <v>0.13241999999999901</v>
      </c>
      <c r="AK84">
        <v>0.14474000000000001</v>
      </c>
    </row>
    <row r="85" spans="1:37">
      <c r="A85">
        <v>84</v>
      </c>
      <c r="B85">
        <v>0.28552398600000001</v>
      </c>
      <c r="C85">
        <v>0.26487080400000002</v>
      </c>
      <c r="D85">
        <v>0.28516249900000001</v>
      </c>
      <c r="E85">
        <v>0.26437553699999999</v>
      </c>
      <c r="F85">
        <v>4.3418364000000001E-2</v>
      </c>
      <c r="G85">
        <v>1.5711902999999999E-2</v>
      </c>
      <c r="H85">
        <v>1.5535429E-2</v>
      </c>
      <c r="I85">
        <v>4.3253275000000001E-2</v>
      </c>
      <c r="J85">
        <v>0.527629609</v>
      </c>
      <c r="K85">
        <v>0.514029705</v>
      </c>
      <c r="L85">
        <v>0.51321564600000003</v>
      </c>
      <c r="M85">
        <v>0.52707172300000005</v>
      </c>
      <c r="N85">
        <v>0.48827105900000001</v>
      </c>
      <c r="O85">
        <v>0.88878470899999995</v>
      </c>
      <c r="P85">
        <v>0.88887788899999998</v>
      </c>
      <c r="Q85">
        <v>0.31697371242641897</v>
      </c>
      <c r="R85">
        <v>-0.94843432330900601</v>
      </c>
      <c r="S85">
        <v>0.37036492114562303</v>
      </c>
      <c r="T85">
        <v>0.92888633598777604</v>
      </c>
      <c r="U85">
        <v>-18.59063883</v>
      </c>
      <c r="V85">
        <v>-18.557214949999999</v>
      </c>
      <c r="W85">
        <v>2.3184723229999999</v>
      </c>
      <c r="X85">
        <v>2.3183789379999999</v>
      </c>
      <c r="Y85">
        <v>1.3912904049999999</v>
      </c>
      <c r="Z85">
        <v>1.3913404460000001</v>
      </c>
      <c r="AA85">
        <v>-2066.9471990000002</v>
      </c>
      <c r="AB85">
        <v>0.29171474079998</v>
      </c>
      <c r="AC85">
        <v>1.36683</v>
      </c>
      <c r="AD85">
        <v>1.36734</v>
      </c>
      <c r="AE85">
        <v>-2.20720132053671</v>
      </c>
      <c r="AF85">
        <v>-0.27928999999999998</v>
      </c>
      <c r="AG85">
        <v>0.77310000000000001</v>
      </c>
      <c r="AH85">
        <v>0.77288000000000001</v>
      </c>
      <c r="AI85">
        <v>4.1647024819025003</v>
      </c>
      <c r="AJ85">
        <v>0.18572</v>
      </c>
      <c r="AK85">
        <v>0.18565000000000001</v>
      </c>
    </row>
    <row r="86" spans="1:37">
      <c r="A86">
        <v>85</v>
      </c>
      <c r="B86">
        <v>0.29117685599999998</v>
      </c>
      <c r="C86">
        <v>0.31151978499999999</v>
      </c>
      <c r="D86">
        <v>0.29143302799999998</v>
      </c>
      <c r="E86">
        <v>0.31172187699999998</v>
      </c>
      <c r="F86">
        <v>3.9871799999999999E-2</v>
      </c>
      <c r="G86">
        <v>9.1954481000000005E-2</v>
      </c>
      <c r="H86">
        <v>9.2113876999999997E-2</v>
      </c>
      <c r="I86">
        <v>4.0116587000000002E-2</v>
      </c>
      <c r="J86">
        <v>0.54248191099999998</v>
      </c>
      <c r="K86">
        <v>0.53108508899999995</v>
      </c>
      <c r="L86">
        <v>0.53132987600000003</v>
      </c>
      <c r="M86">
        <v>0.54274946899999998</v>
      </c>
      <c r="N86">
        <v>0.51217736700000005</v>
      </c>
      <c r="O86">
        <v>0.91283661000000005</v>
      </c>
      <c r="P86">
        <v>0.912580367</v>
      </c>
      <c r="Q86">
        <v>-0.93399076458337105</v>
      </c>
      <c r="R86">
        <v>-0.35729714758582698</v>
      </c>
      <c r="S86">
        <v>0.84817909440182204</v>
      </c>
      <c r="T86">
        <v>-0.52970956553540205</v>
      </c>
      <c r="U86">
        <v>33.822300499999997</v>
      </c>
      <c r="V86">
        <v>34.00254632</v>
      </c>
      <c r="W86">
        <v>2.3547770950000002</v>
      </c>
      <c r="X86">
        <v>2.3554696119999998</v>
      </c>
      <c r="Y86">
        <v>1.395100918</v>
      </c>
      <c r="Z86">
        <v>1.3948532840000001</v>
      </c>
      <c r="AA86">
        <v>-2145.3686560000001</v>
      </c>
      <c r="AB86">
        <v>0.27874579817460898</v>
      </c>
      <c r="AC86">
        <v>1.3774999999999999</v>
      </c>
      <c r="AD86">
        <v>1.3776200000000001</v>
      </c>
      <c r="AE86">
        <v>-2.4059902789833001</v>
      </c>
      <c r="AF86">
        <v>-0.2319</v>
      </c>
      <c r="AG86">
        <v>0.78129000000000004</v>
      </c>
      <c r="AH86">
        <v>0.78122999999999998</v>
      </c>
      <c r="AI86">
        <v>4.3339572969134998</v>
      </c>
      <c r="AJ86">
        <v>0.18062</v>
      </c>
      <c r="AK86">
        <v>0.18042</v>
      </c>
    </row>
    <row r="87" spans="1:37">
      <c r="A87">
        <v>86</v>
      </c>
      <c r="B87">
        <v>0.28224497999999998</v>
      </c>
      <c r="C87">
        <v>0.39812311099999997</v>
      </c>
      <c r="D87">
        <v>0.28266054899999998</v>
      </c>
      <c r="E87">
        <v>0.39820850200000002</v>
      </c>
      <c r="F87">
        <v>5.8276359E-2</v>
      </c>
      <c r="G87">
        <v>0.14266521700000001</v>
      </c>
      <c r="H87">
        <v>0.1427563</v>
      </c>
      <c r="I87">
        <v>5.8469910999999999E-2</v>
      </c>
      <c r="J87">
        <v>0.50621360199999998</v>
      </c>
      <c r="K87">
        <v>0.65358100500000005</v>
      </c>
      <c r="L87">
        <v>0.65366070300000001</v>
      </c>
      <c r="M87">
        <v>0.50685118699999998</v>
      </c>
      <c r="N87">
        <v>0.55838264100000001</v>
      </c>
      <c r="O87">
        <v>0.92826360399999996</v>
      </c>
      <c r="P87">
        <v>0.92853731799999994</v>
      </c>
      <c r="Q87">
        <v>-0.65848238254073299</v>
      </c>
      <c r="R87">
        <v>0.752596141289257</v>
      </c>
      <c r="S87">
        <v>-0.97647876618138396</v>
      </c>
      <c r="T87">
        <v>0.215613587690761</v>
      </c>
      <c r="U87">
        <v>-26.480895329999999</v>
      </c>
      <c r="V87">
        <v>-26.87361035</v>
      </c>
      <c r="W87">
        <v>2.3633391879999999</v>
      </c>
      <c r="X87">
        <v>2.3628808690000001</v>
      </c>
      <c r="Y87">
        <v>1.395040061</v>
      </c>
      <c r="Z87">
        <v>1.3945859940000001</v>
      </c>
      <c r="AA87">
        <v>-2302.2098879999999</v>
      </c>
      <c r="AB87">
        <v>0.36496166922020701</v>
      </c>
      <c r="AC87">
        <v>1.3783300000000001</v>
      </c>
      <c r="AD87">
        <v>1.37846</v>
      </c>
      <c r="AE87">
        <v>-2.8387810533256399</v>
      </c>
      <c r="AF87">
        <v>-0.23272000000000001</v>
      </c>
      <c r="AG87">
        <v>0.78295000000000003</v>
      </c>
      <c r="AH87">
        <v>0.78295000000000003</v>
      </c>
      <c r="AI87">
        <v>4.3753186021895001</v>
      </c>
      <c r="AJ87">
        <v>0.18545</v>
      </c>
      <c r="AK87">
        <v>0.18528</v>
      </c>
    </row>
    <row r="88" spans="1:37">
      <c r="A88">
        <v>87</v>
      </c>
      <c r="B88">
        <v>0.252751006</v>
      </c>
      <c r="C88">
        <v>0.48161821199999999</v>
      </c>
      <c r="D88">
        <v>0.39915918500000003</v>
      </c>
      <c r="E88">
        <v>0.58544201100000004</v>
      </c>
      <c r="F88">
        <v>5.212253E-2</v>
      </c>
      <c r="G88">
        <v>0.34882132300000002</v>
      </c>
      <c r="H88">
        <v>0.43967710900000001</v>
      </c>
      <c r="I88">
        <v>0.212554721</v>
      </c>
      <c r="J88">
        <v>0.453379482</v>
      </c>
      <c r="K88">
        <v>0.61441510200000005</v>
      </c>
      <c r="L88">
        <v>0.73120691299999996</v>
      </c>
      <c r="M88">
        <v>0.58576364999999997</v>
      </c>
      <c r="N88">
        <v>0.54235580500000002</v>
      </c>
      <c r="O88">
        <v>0.92968458799999998</v>
      </c>
      <c r="P88">
        <v>0.90795634599999997</v>
      </c>
      <c r="Q88">
        <v>-0.35571409287344102</v>
      </c>
      <c r="R88">
        <v>-0.93459482350975198</v>
      </c>
      <c r="S88">
        <v>-0.92654140187935996</v>
      </c>
      <c r="T88">
        <v>0.37619281040900998</v>
      </c>
      <c r="U88">
        <v>14.30160023</v>
      </c>
      <c r="V88">
        <v>-7.2815847930000004</v>
      </c>
      <c r="W88">
        <v>2.3208483129999999</v>
      </c>
      <c r="X88">
        <v>2.3369967389999999</v>
      </c>
      <c r="Y88">
        <v>1.3889582170000001</v>
      </c>
      <c r="Z88">
        <v>1.390944146</v>
      </c>
      <c r="AA88">
        <v>-2985.1953840000001</v>
      </c>
      <c r="AB88">
        <v>4.1309189703987101</v>
      </c>
      <c r="AC88">
        <v>1.36856</v>
      </c>
      <c r="AD88">
        <v>1.37449</v>
      </c>
      <c r="AE88">
        <v>-3.6370175995801901</v>
      </c>
      <c r="AF88">
        <v>-0.26090000000000002</v>
      </c>
      <c r="AG88">
        <v>0.78830999999999996</v>
      </c>
      <c r="AH88">
        <v>0.79227999999999998</v>
      </c>
      <c r="AI88">
        <v>4.5331446354795002</v>
      </c>
      <c r="AJ88">
        <v>0.18653999999999901</v>
      </c>
      <c r="AK88">
        <v>0.18018000000000001</v>
      </c>
    </row>
    <row r="89" spans="1:37">
      <c r="A89">
        <v>88</v>
      </c>
      <c r="B89">
        <v>0.27662911400000001</v>
      </c>
      <c r="C89">
        <v>0.31592025600000001</v>
      </c>
      <c r="D89">
        <v>0.352014938</v>
      </c>
      <c r="E89">
        <v>0.36466415800000002</v>
      </c>
      <c r="F89">
        <v>0.14423640700000001</v>
      </c>
      <c r="G89">
        <v>0.163301321</v>
      </c>
      <c r="H89">
        <v>0.105753631</v>
      </c>
      <c r="I89">
        <v>6.2386500999999997E-2</v>
      </c>
      <c r="J89">
        <v>0.40902181999999998</v>
      </c>
      <c r="K89">
        <v>0.46853919199999999</v>
      </c>
      <c r="L89">
        <v>0.62357468599999999</v>
      </c>
      <c r="M89">
        <v>0.64164337400000004</v>
      </c>
      <c r="N89">
        <v>0.517884597</v>
      </c>
      <c r="O89">
        <v>0.87592596899999997</v>
      </c>
      <c r="P89">
        <v>0.89290789199999998</v>
      </c>
      <c r="Q89">
        <v>0.92107681356207605</v>
      </c>
      <c r="R89">
        <v>0.38938092341347702</v>
      </c>
      <c r="S89">
        <v>0.79475782018333696</v>
      </c>
      <c r="T89">
        <v>0.60692669018377199</v>
      </c>
      <c r="U89">
        <v>-9.0896605239999992</v>
      </c>
      <c r="V89">
        <v>-2.2631603089999999</v>
      </c>
      <c r="W89">
        <v>2.3465465480000001</v>
      </c>
      <c r="X89">
        <v>2.3260739570000002</v>
      </c>
      <c r="Y89">
        <v>1.3898864289999999</v>
      </c>
      <c r="Z89">
        <v>1.3899614</v>
      </c>
      <c r="AA89">
        <v>-2238.220585</v>
      </c>
      <c r="AB89">
        <v>3.2935799398223198</v>
      </c>
      <c r="AC89">
        <v>1.29819</v>
      </c>
      <c r="AD89">
        <v>1.3161</v>
      </c>
      <c r="AE89">
        <v>-2.5025441644423698</v>
      </c>
      <c r="AF89">
        <v>-0.29108000000000001</v>
      </c>
      <c r="AG89">
        <v>0.84552000000000005</v>
      </c>
      <c r="AH89">
        <v>0.82098000000000004</v>
      </c>
      <c r="AI89">
        <v>4.3764070575914902</v>
      </c>
      <c r="AJ89">
        <v>0.16888999999999901</v>
      </c>
      <c r="AK89">
        <v>0.164989999999999</v>
      </c>
    </row>
    <row r="90" spans="1:37">
      <c r="A90">
        <v>89</v>
      </c>
      <c r="B90">
        <v>0.38794453000000001</v>
      </c>
      <c r="C90">
        <v>0.36959689899999998</v>
      </c>
      <c r="D90">
        <v>0.38803561399999997</v>
      </c>
      <c r="E90">
        <v>0.36896216100000001</v>
      </c>
      <c r="F90">
        <v>4.9782822999999997E-2</v>
      </c>
      <c r="G90">
        <v>0.164752964</v>
      </c>
      <c r="H90">
        <v>0.164109687</v>
      </c>
      <c r="I90">
        <v>4.9429873999999999E-2</v>
      </c>
      <c r="J90">
        <v>0.72610623799999996</v>
      </c>
      <c r="K90">
        <v>0.57444083300000004</v>
      </c>
      <c r="L90">
        <v>0.57381463399999999</v>
      </c>
      <c r="M90">
        <v>0.72664135299999999</v>
      </c>
      <c r="N90">
        <v>0.51448355400000001</v>
      </c>
      <c r="O90">
        <v>0.898888837</v>
      </c>
      <c r="P90">
        <v>0.899016959</v>
      </c>
      <c r="Q90">
        <v>-0.71601076508505701</v>
      </c>
      <c r="R90">
        <v>-0.69808923805077405</v>
      </c>
      <c r="S90">
        <v>0.265050316585492</v>
      </c>
      <c r="T90">
        <v>-0.96423458228686698</v>
      </c>
      <c r="U90">
        <v>-5.2339029569999997</v>
      </c>
      <c r="V90">
        <v>-5.1458691649999997</v>
      </c>
      <c r="W90">
        <v>2.3326241250000002</v>
      </c>
      <c r="X90">
        <v>2.3328219780000001</v>
      </c>
      <c r="Y90">
        <v>1.3892304959999999</v>
      </c>
      <c r="Z90">
        <v>1.3892890389999999</v>
      </c>
      <c r="AA90">
        <v>-2677.8047110000002</v>
      </c>
      <c r="AB90">
        <v>4.2328925819113303</v>
      </c>
      <c r="AC90">
        <v>1.27308</v>
      </c>
      <c r="AD90">
        <v>1.2730999999999999</v>
      </c>
      <c r="AE90">
        <v>-3.4383551414204199</v>
      </c>
      <c r="AF90">
        <v>-0.28327999999999998</v>
      </c>
      <c r="AG90">
        <v>0.86377999999999999</v>
      </c>
      <c r="AH90">
        <v>0.86382000000000003</v>
      </c>
      <c r="AI90">
        <v>4.3979040517810004</v>
      </c>
      <c r="AJ90">
        <v>0.15200999999999901</v>
      </c>
      <c r="AK90">
        <v>0.15196999999999899</v>
      </c>
    </row>
    <row r="91" spans="1:37">
      <c r="A91">
        <v>90</v>
      </c>
      <c r="B91">
        <v>0.39660600099999999</v>
      </c>
      <c r="C91">
        <v>0.40371336000000002</v>
      </c>
      <c r="D91">
        <v>0.39726066399999999</v>
      </c>
      <c r="E91">
        <v>0.40333764100000002</v>
      </c>
      <c r="F91">
        <v>0.193142551</v>
      </c>
      <c r="G91">
        <v>5.4268684999999997E-2</v>
      </c>
      <c r="H91">
        <v>5.4951811000000003E-2</v>
      </c>
      <c r="I91">
        <v>0.19298315499999999</v>
      </c>
      <c r="J91">
        <v>0.60006945099999998</v>
      </c>
      <c r="K91">
        <v>0.75315803599999998</v>
      </c>
      <c r="L91">
        <v>0.75172347100000003</v>
      </c>
      <c r="M91">
        <v>0.60153817300000001</v>
      </c>
      <c r="N91">
        <v>0.51360999799999996</v>
      </c>
      <c r="O91">
        <v>0.89858600399999999</v>
      </c>
      <c r="P91">
        <v>0.89857435699999999</v>
      </c>
      <c r="Q91">
        <v>-0.43929244110231003</v>
      </c>
      <c r="R91">
        <v>-0.89834411624408805</v>
      </c>
      <c r="S91">
        <v>0.129600136804703</v>
      </c>
      <c r="T91">
        <v>-0.99156633895075397</v>
      </c>
      <c r="U91">
        <v>6.391926625</v>
      </c>
      <c r="V91">
        <v>6.2537692319999998</v>
      </c>
      <c r="W91">
        <v>2.32879791</v>
      </c>
      <c r="X91">
        <v>2.3293516840000001</v>
      </c>
      <c r="Y91">
        <v>1.3888149460000001</v>
      </c>
      <c r="Z91">
        <v>1.388873537</v>
      </c>
      <c r="AA91">
        <v>-3866.721348</v>
      </c>
      <c r="AB91">
        <v>5.4173047468275204</v>
      </c>
      <c r="AC91">
        <v>1.2786599999999999</v>
      </c>
      <c r="AD91">
        <v>1.2786299999999999</v>
      </c>
      <c r="AE91">
        <v>-3.5720598682873401</v>
      </c>
      <c r="AF91">
        <v>-0.29599999999999999</v>
      </c>
      <c r="AG91">
        <v>0.87309999999999999</v>
      </c>
      <c r="AH91">
        <v>0.87324000000000002</v>
      </c>
      <c r="AI91">
        <v>4.4860689393430002</v>
      </c>
      <c r="AJ91">
        <v>0.155559999999999</v>
      </c>
      <c r="AK91">
        <v>0.15554000000000001</v>
      </c>
    </row>
    <row r="92" spans="1:37">
      <c r="A92">
        <v>91</v>
      </c>
      <c r="B92">
        <v>0.41749258500000003</v>
      </c>
      <c r="C92">
        <v>0.34682887099999998</v>
      </c>
      <c r="D92">
        <v>0.37650501199999997</v>
      </c>
      <c r="E92">
        <v>0.40771249500000001</v>
      </c>
      <c r="F92">
        <v>4.3509447E-2</v>
      </c>
      <c r="G92">
        <v>6.4293561999999999E-2</v>
      </c>
      <c r="H92">
        <v>0.19386552700000001</v>
      </c>
      <c r="I92">
        <v>9.2068335000000001E-2</v>
      </c>
      <c r="J92">
        <v>0.79147572300000002</v>
      </c>
      <c r="K92">
        <v>0.62936418000000005</v>
      </c>
      <c r="L92">
        <v>0.62155946299999998</v>
      </c>
      <c r="M92">
        <v>0.66094168900000005</v>
      </c>
      <c r="N92">
        <v>0.506819558</v>
      </c>
      <c r="O92">
        <v>0.91073425299999999</v>
      </c>
      <c r="P92">
        <v>0.88929137199999997</v>
      </c>
      <c r="Q92">
        <v>0.93507639409443899</v>
      </c>
      <c r="R92">
        <v>-0.35444624022175802</v>
      </c>
      <c r="S92">
        <v>7.2957127358445506E-2</v>
      </c>
      <c r="T92">
        <v>-0.99733507787884601</v>
      </c>
      <c r="U92">
        <v>12.16298248</v>
      </c>
      <c r="V92">
        <v>-8.4016843340000005</v>
      </c>
      <c r="W92">
        <v>2.3419409180000001</v>
      </c>
      <c r="X92">
        <v>2.3253708149999999</v>
      </c>
      <c r="Y92">
        <v>1.390817666</v>
      </c>
      <c r="Z92">
        <v>1.389079741</v>
      </c>
      <c r="AA92">
        <v>-4420.0332120000003</v>
      </c>
      <c r="AB92">
        <v>4.8876351889231602</v>
      </c>
      <c r="AC92">
        <v>1.2914300000000001</v>
      </c>
      <c r="AD92">
        <v>1.2837700000000001</v>
      </c>
      <c r="AE92">
        <v>-4.0303865274622996</v>
      </c>
      <c r="AF92">
        <v>-0.27062999999999998</v>
      </c>
      <c r="AG92">
        <v>0.85070999999999997</v>
      </c>
      <c r="AH92">
        <v>0.86358000000000001</v>
      </c>
      <c r="AI92">
        <v>4.2564048495210001</v>
      </c>
      <c r="AJ92">
        <v>0.15461</v>
      </c>
      <c r="AK92">
        <v>0.16091</v>
      </c>
    </row>
    <row r="93" spans="1:37">
      <c r="A93">
        <v>92</v>
      </c>
      <c r="B93">
        <v>0.38633349099999997</v>
      </c>
      <c r="C93">
        <v>0.34592942199999999</v>
      </c>
      <c r="D93">
        <v>0.36217643999999999</v>
      </c>
      <c r="E93">
        <v>0.38900337600000001</v>
      </c>
      <c r="F93">
        <v>2.9192260000000001E-2</v>
      </c>
      <c r="G93">
        <v>7.1608704999999995E-2</v>
      </c>
      <c r="H93">
        <v>0.18788247999999999</v>
      </c>
      <c r="I93">
        <v>7.8713218000000001E-2</v>
      </c>
      <c r="J93">
        <v>0.74347472100000001</v>
      </c>
      <c r="K93">
        <v>0.62025013799999995</v>
      </c>
      <c r="L93">
        <v>0.59012427199999995</v>
      </c>
      <c r="M93">
        <v>0.645639662</v>
      </c>
      <c r="N93">
        <v>0.50518309699999997</v>
      </c>
      <c r="O93">
        <v>0.90842806600000003</v>
      </c>
      <c r="P93">
        <v>0.88923895799999997</v>
      </c>
      <c r="Q93">
        <v>0.99794751411124505</v>
      </c>
      <c r="R93">
        <v>6.4037169512602299E-2</v>
      </c>
      <c r="S93">
        <v>0.20661134849514301</v>
      </c>
      <c r="T93">
        <v>-0.97842309389804205</v>
      </c>
      <c r="U93">
        <v>-6.8792788810000003</v>
      </c>
      <c r="V93">
        <v>12.36266738</v>
      </c>
      <c r="W93">
        <v>2.3419126430000001</v>
      </c>
      <c r="X93">
        <v>2.330264949</v>
      </c>
      <c r="Y93">
        <v>1.3905089610000001</v>
      </c>
      <c r="Z93">
        <v>1.389337424</v>
      </c>
      <c r="AA93">
        <v>-4087.797943</v>
      </c>
      <c r="AB93">
        <v>7.9047733174329498</v>
      </c>
      <c r="AC93">
        <v>1.29121</v>
      </c>
      <c r="AD93">
        <v>1.2843199999999999</v>
      </c>
      <c r="AE93">
        <v>-3.8162450960502001</v>
      </c>
      <c r="AF93">
        <v>-0.27239999999999998</v>
      </c>
      <c r="AG93">
        <v>0.84499999999999997</v>
      </c>
      <c r="AH93">
        <v>0.86004000000000003</v>
      </c>
      <c r="AI93">
        <v>4.1769476051750001</v>
      </c>
      <c r="AJ93">
        <v>0.155139999999999</v>
      </c>
      <c r="AK93">
        <v>0.160299999999999</v>
      </c>
    </row>
    <row r="94" spans="1:37">
      <c r="A94">
        <v>93</v>
      </c>
      <c r="B94">
        <v>0.40534147799999998</v>
      </c>
      <c r="C94">
        <v>0.40182337800000001</v>
      </c>
      <c r="D94">
        <v>0.40554641600000002</v>
      </c>
      <c r="E94">
        <v>0.40168390599999998</v>
      </c>
      <c r="F94">
        <v>6.0211883000000001E-2</v>
      </c>
      <c r="G94">
        <v>0.202467224</v>
      </c>
      <c r="H94">
        <v>0.20243876099999999</v>
      </c>
      <c r="I94">
        <v>5.9631226000000002E-2</v>
      </c>
      <c r="J94">
        <v>0.75047107199999996</v>
      </c>
      <c r="K94">
        <v>0.60117953099999999</v>
      </c>
      <c r="L94">
        <v>0.60092905200000002</v>
      </c>
      <c r="M94">
        <v>0.75146160500000003</v>
      </c>
      <c r="N94">
        <v>0.51181047300000004</v>
      </c>
      <c r="O94">
        <v>0.89843458799999998</v>
      </c>
      <c r="P94">
        <v>0.898952898</v>
      </c>
      <c r="Q94">
        <v>-6.6783622920805294E-2</v>
      </c>
      <c r="R94">
        <v>-0.99776748178599795</v>
      </c>
      <c r="S94">
        <v>-0.32657240229232498</v>
      </c>
      <c r="T94">
        <v>0.94517218857783702</v>
      </c>
      <c r="U94">
        <v>-6.8506167360000001</v>
      </c>
      <c r="V94">
        <v>-7.1369716719999996</v>
      </c>
      <c r="W94">
        <v>2.3269153419999999</v>
      </c>
      <c r="X94">
        <v>2.3263982209999998</v>
      </c>
      <c r="Y94">
        <v>1.3887783419999999</v>
      </c>
      <c r="Z94">
        <v>1.388838252</v>
      </c>
      <c r="AA94">
        <v>-4816.3323959999998</v>
      </c>
      <c r="AB94">
        <v>5.5796878174320801</v>
      </c>
      <c r="AC94">
        <v>1.28203</v>
      </c>
      <c r="AD94">
        <v>1.2821800000000001</v>
      </c>
      <c r="AE94">
        <v>-4.0253340644276996</v>
      </c>
      <c r="AF94">
        <v>-0.29546</v>
      </c>
      <c r="AG94">
        <v>0.87566999999999995</v>
      </c>
      <c r="AH94">
        <v>0.87585000000000002</v>
      </c>
      <c r="AI94">
        <v>4.2180367966004999</v>
      </c>
      <c r="AJ94">
        <v>0.15509000000000001</v>
      </c>
      <c r="AK94">
        <v>0.15515999999999899</v>
      </c>
    </row>
    <row r="95" spans="1:37">
      <c r="A95">
        <v>94</v>
      </c>
      <c r="B95">
        <v>0.47206867699999999</v>
      </c>
      <c r="C95">
        <v>0.37502490599999999</v>
      </c>
      <c r="D95">
        <v>0.458872956</v>
      </c>
      <c r="E95">
        <v>0.51571474900000003</v>
      </c>
      <c r="F95">
        <v>0.110057326</v>
      </c>
      <c r="G95">
        <v>8.1331868000000002E-2</v>
      </c>
      <c r="H95">
        <v>0.29405167799999998</v>
      </c>
      <c r="I95">
        <v>0.199603787</v>
      </c>
      <c r="J95">
        <v>0.83408002800000003</v>
      </c>
      <c r="K95">
        <v>0.66871794299999998</v>
      </c>
      <c r="L95">
        <v>0.73737781999999996</v>
      </c>
      <c r="M95">
        <v>0.71814212399999999</v>
      </c>
      <c r="N95">
        <v>0.51451849599999999</v>
      </c>
      <c r="O95">
        <v>0.91525927100000004</v>
      </c>
      <c r="P95">
        <v>0.892570117</v>
      </c>
      <c r="Q95">
        <v>0.52090688987830402</v>
      </c>
      <c r="R95">
        <v>0.85361350275011005</v>
      </c>
      <c r="S95">
        <v>0.38100109607631999</v>
      </c>
      <c r="T95">
        <v>-0.92457458584401997</v>
      </c>
      <c r="U95">
        <v>8.1275047239999996</v>
      </c>
      <c r="V95">
        <v>-16.958802909999999</v>
      </c>
      <c r="W95">
        <v>2.3398534190000002</v>
      </c>
      <c r="X95">
        <v>2.3151153369999999</v>
      </c>
      <c r="Y95">
        <v>1.3883649140000001</v>
      </c>
      <c r="Z95">
        <v>1.391429469</v>
      </c>
      <c r="AA95">
        <v>-5433.7055700000001</v>
      </c>
      <c r="AB95">
        <v>6.8949457496052799</v>
      </c>
      <c r="AC95">
        <v>1.29016</v>
      </c>
      <c r="AD95">
        <v>1.2836399999999999</v>
      </c>
      <c r="AE95">
        <v>-4.3349016979641801</v>
      </c>
      <c r="AF95">
        <v>-0.28565000000000002</v>
      </c>
      <c r="AG95">
        <v>0.85541999999999996</v>
      </c>
      <c r="AH95">
        <v>0.86656999999999995</v>
      </c>
      <c r="AI95">
        <v>4.0441560461310004</v>
      </c>
      <c r="AJ95">
        <v>0.15273999999999899</v>
      </c>
      <c r="AK95">
        <v>0.16095999999999999</v>
      </c>
    </row>
    <row r="96" spans="1:37">
      <c r="A96">
        <v>95</v>
      </c>
      <c r="B96">
        <v>0.360266533</v>
      </c>
      <c r="C96">
        <v>0.34378895999999998</v>
      </c>
      <c r="D96">
        <v>0.40548094899999998</v>
      </c>
      <c r="E96">
        <v>0.37237209900000001</v>
      </c>
      <c r="F96">
        <v>0.20780699399999999</v>
      </c>
      <c r="G96">
        <v>0.203247127</v>
      </c>
      <c r="H96">
        <v>8.3341397999999997E-2</v>
      </c>
      <c r="I96">
        <v>9.9588415999999999E-2</v>
      </c>
      <c r="J96">
        <v>0.51272607199999998</v>
      </c>
      <c r="K96">
        <v>0.48433079200000001</v>
      </c>
      <c r="L96">
        <v>0.66140279999999996</v>
      </c>
      <c r="M96">
        <v>0.71137348199999995</v>
      </c>
      <c r="N96">
        <v>0.51392447799999996</v>
      </c>
      <c r="O96">
        <v>0.88825475200000004</v>
      </c>
      <c r="P96">
        <v>0.89063082400000004</v>
      </c>
      <c r="Q96">
        <v>-0.87716093708953802</v>
      </c>
      <c r="R96">
        <v>-0.48019651231990701</v>
      </c>
      <c r="S96">
        <v>0.65712986500752202</v>
      </c>
      <c r="T96">
        <v>0.75377738127062099</v>
      </c>
      <c r="U96">
        <v>-9.3450069970000005</v>
      </c>
      <c r="V96">
        <v>-2.8194366890000002</v>
      </c>
      <c r="W96">
        <v>2.327368356</v>
      </c>
      <c r="X96">
        <v>2.3181462929999999</v>
      </c>
      <c r="Y96">
        <v>1.3896742</v>
      </c>
      <c r="Z96">
        <v>1.3877344309999999</v>
      </c>
      <c r="AA96">
        <v>-2497.908007</v>
      </c>
      <c r="AB96">
        <v>2.38349759387334</v>
      </c>
      <c r="AC96">
        <v>1.3043400000000001</v>
      </c>
      <c r="AD96">
        <v>1.2892999999999999</v>
      </c>
      <c r="AE96">
        <v>-3.1864772523828</v>
      </c>
      <c r="AF96">
        <v>-0.28954000000000002</v>
      </c>
      <c r="AG96">
        <v>0.82911000000000001</v>
      </c>
      <c r="AH96">
        <v>0.83801999999999999</v>
      </c>
      <c r="AI96">
        <v>4.2036147625240003</v>
      </c>
      <c r="AJ96">
        <v>0.161659999999999</v>
      </c>
      <c r="AK96">
        <v>0.16857</v>
      </c>
    </row>
    <row r="97" spans="1:37">
      <c r="A97">
        <v>96</v>
      </c>
      <c r="B97">
        <v>0.46709039499999999</v>
      </c>
      <c r="C97">
        <v>0.35436603</v>
      </c>
      <c r="D97">
        <v>0.48010110299999997</v>
      </c>
      <c r="E97">
        <v>0.48683274199999998</v>
      </c>
      <c r="F97">
        <v>0.33345667600000001</v>
      </c>
      <c r="G97">
        <v>0.24952892800000001</v>
      </c>
      <c r="H97">
        <v>0.20256399999999999</v>
      </c>
      <c r="I97">
        <v>0.163187467</v>
      </c>
      <c r="J97">
        <v>0.60072411400000003</v>
      </c>
      <c r="K97">
        <v>0.45920313299999999</v>
      </c>
      <c r="L97">
        <v>0.771101484</v>
      </c>
      <c r="M97">
        <v>0.797014738</v>
      </c>
      <c r="N97">
        <v>0.53145965299999998</v>
      </c>
      <c r="O97">
        <v>0.90341967899999998</v>
      </c>
      <c r="P97">
        <v>0.88961167500000005</v>
      </c>
      <c r="Q97">
        <v>0.99987003938590902</v>
      </c>
      <c r="R97">
        <v>1.61215488840026E-2</v>
      </c>
      <c r="S97">
        <v>-0.98852521960099204</v>
      </c>
      <c r="T97">
        <v>-0.15105591750345401</v>
      </c>
      <c r="U97">
        <v>-18.920893360000001</v>
      </c>
      <c r="V97">
        <v>-2.010228175</v>
      </c>
      <c r="W97">
        <v>2.3257336120000001</v>
      </c>
      <c r="X97">
        <v>2.298805695</v>
      </c>
      <c r="Y97">
        <v>1.390281739</v>
      </c>
      <c r="Z97">
        <v>1.3882552429999999</v>
      </c>
      <c r="AA97">
        <v>-3125.2643109999999</v>
      </c>
      <c r="AB97">
        <v>1.7108406880828999</v>
      </c>
      <c r="AC97">
        <v>1.29372</v>
      </c>
      <c r="AD97">
        <v>1.2879400000000001</v>
      </c>
      <c r="AE97">
        <v>-5.0410089245265199</v>
      </c>
      <c r="AF97">
        <v>-0.30174000000000001</v>
      </c>
      <c r="AG97">
        <v>0.81884999999999997</v>
      </c>
      <c r="AH97">
        <v>0.83862000000000003</v>
      </c>
      <c r="AI97">
        <v>4.1374910968525</v>
      </c>
      <c r="AJ97">
        <v>0.159</v>
      </c>
      <c r="AK97">
        <v>0.17094999999999899</v>
      </c>
    </row>
    <row r="98" spans="1:37">
      <c r="A98">
        <v>97</v>
      </c>
      <c r="B98">
        <v>0.46629910699999999</v>
      </c>
      <c r="C98">
        <v>0.44679300700000002</v>
      </c>
      <c r="D98">
        <v>0.397864092</v>
      </c>
      <c r="E98">
        <v>0.36107774500000001</v>
      </c>
      <c r="F98">
        <v>0.15619111599999999</v>
      </c>
      <c r="G98">
        <v>0.115380017</v>
      </c>
      <c r="H98">
        <v>2.4643778000000002E-2</v>
      </c>
      <c r="I98">
        <v>0.20227367199999999</v>
      </c>
      <c r="J98">
        <v>0.77640709799999996</v>
      </c>
      <c r="K98">
        <v>0.77820599700000004</v>
      </c>
      <c r="L98">
        <v>0.69751171300000003</v>
      </c>
      <c r="M98">
        <v>0.59345451199999999</v>
      </c>
      <c r="N98">
        <v>0.54439410200000005</v>
      </c>
      <c r="O98">
        <v>0.91111861699999996</v>
      </c>
      <c r="P98">
        <v>0.92680185400000004</v>
      </c>
      <c r="Q98">
        <v>-0.27679800738242299</v>
      </c>
      <c r="R98">
        <v>0.96092812588097298</v>
      </c>
      <c r="S98">
        <v>0.946703253601198</v>
      </c>
      <c r="T98">
        <v>-0.32210704683521701</v>
      </c>
      <c r="U98">
        <v>6.6922650819999996</v>
      </c>
      <c r="V98">
        <v>13.978684919999999</v>
      </c>
      <c r="W98">
        <v>2.3627100040000002</v>
      </c>
      <c r="X98">
        <v>2.383528804</v>
      </c>
      <c r="Y98">
        <v>1.397306867</v>
      </c>
      <c r="Z98">
        <v>1.388733129</v>
      </c>
      <c r="AA98">
        <v>-4028.587751</v>
      </c>
      <c r="AB98">
        <v>0.38010990515902099</v>
      </c>
      <c r="AC98">
        <v>1.3088900000000001</v>
      </c>
      <c r="AD98">
        <v>1.28491</v>
      </c>
      <c r="AE98">
        <v>-4.2327497203831799</v>
      </c>
      <c r="AF98">
        <v>-0.22178</v>
      </c>
      <c r="AG98">
        <v>0.86443000000000003</v>
      </c>
      <c r="AH98">
        <v>0.79654999999999998</v>
      </c>
      <c r="AI98">
        <v>4.1407564630584996</v>
      </c>
      <c r="AJ98">
        <v>0.14419000000000001</v>
      </c>
      <c r="AK98">
        <v>0.15601999999999999</v>
      </c>
    </row>
    <row r="99" spans="1:37">
      <c r="A99">
        <v>98</v>
      </c>
      <c r="B99">
        <v>0.33909246700000001</v>
      </c>
      <c r="C99">
        <v>0.33218435299999999</v>
      </c>
      <c r="D99">
        <v>0.30976927399999998</v>
      </c>
      <c r="E99">
        <v>0.302374433</v>
      </c>
      <c r="F99">
        <v>5.6306677999999999E-2</v>
      </c>
      <c r="G99">
        <v>8.6090980999999997E-2</v>
      </c>
      <c r="H99">
        <v>4.5957315999999998E-2</v>
      </c>
      <c r="I99">
        <v>1.9070607E-2</v>
      </c>
      <c r="J99">
        <v>0.62187825600000002</v>
      </c>
      <c r="K99">
        <v>0.57827772499999996</v>
      </c>
      <c r="L99">
        <v>0.55879155000000003</v>
      </c>
      <c r="M99">
        <v>0.60046794100000001</v>
      </c>
      <c r="N99">
        <v>0.47165602899999998</v>
      </c>
      <c r="O99">
        <v>0.86781354799999999</v>
      </c>
      <c r="P99">
        <v>0.85979430700000004</v>
      </c>
      <c r="Q99">
        <v>-0.87777312470330904</v>
      </c>
      <c r="R99">
        <v>-0.479076550823131</v>
      </c>
      <c r="S99">
        <v>-0.36350203441017198</v>
      </c>
      <c r="T99">
        <v>0.93159340432383098</v>
      </c>
      <c r="U99">
        <v>-2.6794744810000002</v>
      </c>
      <c r="V99">
        <v>10.41628495</v>
      </c>
      <c r="W99">
        <v>2.3343301379999999</v>
      </c>
      <c r="X99">
        <v>2.323832141</v>
      </c>
      <c r="Y99">
        <v>1.3903383789999999</v>
      </c>
      <c r="Z99">
        <v>1.389786945</v>
      </c>
      <c r="AA99">
        <v>-2468.7699809999999</v>
      </c>
      <c r="AB99">
        <v>2.77752368126718</v>
      </c>
      <c r="AC99">
        <v>1.25753</v>
      </c>
      <c r="AD99">
        <v>1.26695</v>
      </c>
      <c r="AE99">
        <v>-2.8213148625556199</v>
      </c>
      <c r="AF99">
        <v>-0.28206999999999999</v>
      </c>
      <c r="AG99">
        <v>0.86119000000000001</v>
      </c>
      <c r="AH99">
        <v>0.85494999999999999</v>
      </c>
      <c r="AI99">
        <v>4.3249775398469996</v>
      </c>
      <c r="AJ99">
        <v>0.14749000000000001</v>
      </c>
      <c r="AK99">
        <v>0.14782000000000001</v>
      </c>
    </row>
    <row r="100" spans="1:37">
      <c r="A100">
        <v>99</v>
      </c>
      <c r="B100">
        <v>0.33914939399999999</v>
      </c>
      <c r="C100">
        <v>0.17082140200000001</v>
      </c>
      <c r="D100">
        <v>0.17959103500000001</v>
      </c>
      <c r="E100">
        <v>0.37660748100000002</v>
      </c>
      <c r="F100">
        <v>9.8216471E-2</v>
      </c>
      <c r="G100">
        <v>2.6072650000000001E-3</v>
      </c>
      <c r="H100">
        <v>3.4771124E-2</v>
      </c>
      <c r="I100">
        <v>2.0095299999999998E-3</v>
      </c>
      <c r="J100">
        <v>0.58008231700000001</v>
      </c>
      <c r="K100">
        <v>0.33903554000000002</v>
      </c>
      <c r="L100">
        <v>0.718443838</v>
      </c>
      <c r="M100">
        <v>0.35717254100000001</v>
      </c>
      <c r="N100">
        <v>0.45226309199999998</v>
      </c>
      <c r="O100">
        <v>0.90309937600000001</v>
      </c>
      <c r="P100">
        <v>0.62782449699999998</v>
      </c>
      <c r="Q100">
        <v>-9.2897358206165501E-2</v>
      </c>
      <c r="R100">
        <v>-0.99567569059323502</v>
      </c>
      <c r="S100">
        <v>-0.88160450142485403</v>
      </c>
      <c r="T100">
        <v>0.47198888023705998</v>
      </c>
      <c r="U100">
        <v>3.7936058240000001</v>
      </c>
      <c r="V100">
        <v>2.6704719570000002</v>
      </c>
      <c r="W100">
        <v>2.3102493709999998</v>
      </c>
      <c r="X100">
        <v>2.1453720459999999</v>
      </c>
      <c r="Y100">
        <v>1.3879360970000001</v>
      </c>
      <c r="Z100">
        <v>1.4029891329999999</v>
      </c>
      <c r="AA100">
        <v>-2967.3553900000002</v>
      </c>
      <c r="AB100">
        <v>2.54792088966671</v>
      </c>
      <c r="AC100">
        <v>1.42439</v>
      </c>
      <c r="AD100">
        <v>1.25197</v>
      </c>
      <c r="AE100">
        <v>-2.0430901130945398</v>
      </c>
      <c r="AF100">
        <v>-3.2050000000000002E-2</v>
      </c>
      <c r="AG100">
        <v>-0.85782000000000003</v>
      </c>
      <c r="AH100">
        <v>0.88488999999999995</v>
      </c>
      <c r="AI100">
        <v>4.6311056216594997</v>
      </c>
      <c r="AJ100">
        <v>0.15131</v>
      </c>
      <c r="AK100">
        <v>4.8919999999999998E-2</v>
      </c>
    </row>
    <row r="101" spans="1:37">
      <c r="A101">
        <v>100</v>
      </c>
      <c r="B101">
        <v>0.38210949399999999</v>
      </c>
      <c r="C101">
        <v>0.45670402999999998</v>
      </c>
      <c r="D101">
        <v>0.399956166</v>
      </c>
      <c r="E101">
        <v>0.30624832800000001</v>
      </c>
      <c r="F101">
        <v>9.0223894999999998E-2</v>
      </c>
      <c r="G101">
        <v>0.115459715</v>
      </c>
      <c r="H101">
        <v>9.5853992999999998E-2</v>
      </c>
      <c r="I101">
        <v>0.20687338799999999</v>
      </c>
      <c r="J101">
        <v>0.67399509300000005</v>
      </c>
      <c r="K101">
        <v>0.79794834400000003</v>
      </c>
      <c r="L101">
        <v>0.51664266199999997</v>
      </c>
      <c r="M101">
        <v>0.59303894400000001</v>
      </c>
      <c r="N101">
        <v>0.57895196599999998</v>
      </c>
      <c r="O101">
        <v>0.94910081999999996</v>
      </c>
      <c r="P101">
        <v>0.93192089099999997</v>
      </c>
      <c r="Q101">
        <v>-0.71090054696876104</v>
      </c>
      <c r="R101">
        <v>0.70329255101949995</v>
      </c>
      <c r="S101">
        <v>-0.84534502290001001</v>
      </c>
      <c r="T101">
        <v>-0.53422073364685096</v>
      </c>
      <c r="U101">
        <v>11.11702777</v>
      </c>
      <c r="V101">
        <v>12.90249444</v>
      </c>
      <c r="W101">
        <v>2.4302982559999999</v>
      </c>
      <c r="X101">
        <v>2.398193134</v>
      </c>
      <c r="Y101">
        <v>1.3962831</v>
      </c>
      <c r="Z101">
        <v>1.3913879259999999</v>
      </c>
      <c r="AA101">
        <v>-3798.0342019999998</v>
      </c>
      <c r="AB101">
        <v>1.1301056632014499</v>
      </c>
      <c r="AC101">
        <v>1.31311</v>
      </c>
      <c r="AD101">
        <v>1.35762</v>
      </c>
      <c r="AE101">
        <v>-3.75152757598002</v>
      </c>
      <c r="AF101">
        <v>-0.21052999999999999</v>
      </c>
      <c r="AG101">
        <v>0.85604000000000002</v>
      </c>
      <c r="AH101">
        <v>0.77231000000000005</v>
      </c>
      <c r="AI101">
        <v>4.3772233991430003</v>
      </c>
      <c r="AJ101">
        <v>0.15690999999999999</v>
      </c>
      <c r="AK101">
        <v>0.15883</v>
      </c>
    </row>
    <row r="102" spans="1:37">
      <c r="A102">
        <v>101</v>
      </c>
      <c r="B102">
        <v>0.40877134100000001</v>
      </c>
      <c r="C102">
        <v>0.39882616100000001</v>
      </c>
      <c r="D102">
        <v>0.35983388599999999</v>
      </c>
      <c r="E102">
        <v>0.31111844799999999</v>
      </c>
      <c r="F102">
        <v>9.9127305999999998E-2</v>
      </c>
      <c r="G102">
        <v>9.7681355999999997E-2</v>
      </c>
      <c r="H102">
        <v>9.4669907999999997E-2</v>
      </c>
      <c r="I102">
        <v>0.104188133</v>
      </c>
      <c r="J102">
        <v>0.71841537499999997</v>
      </c>
      <c r="K102">
        <v>0.69997096700000005</v>
      </c>
      <c r="L102">
        <v>0.52756698899999999</v>
      </c>
      <c r="M102">
        <v>0.61547963999999999</v>
      </c>
      <c r="N102">
        <v>0.54780096899999997</v>
      </c>
      <c r="O102">
        <v>0.93584606800000003</v>
      </c>
      <c r="P102">
        <v>0.95462169200000002</v>
      </c>
      <c r="Q102">
        <v>-0.99074725375204398</v>
      </c>
      <c r="R102">
        <v>0.13571985552151999</v>
      </c>
      <c r="S102">
        <v>-5.2997825216591E-2</v>
      </c>
      <c r="T102">
        <v>-0.99859462772554097</v>
      </c>
      <c r="U102">
        <v>16.679406660000001</v>
      </c>
      <c r="V102">
        <v>14.25532297</v>
      </c>
      <c r="W102">
        <v>2.520966139</v>
      </c>
      <c r="X102">
        <v>2.5909061310000001</v>
      </c>
      <c r="Y102">
        <v>1.406406577</v>
      </c>
      <c r="Z102">
        <v>1.3978700550000001</v>
      </c>
      <c r="AA102">
        <v>-3650.548773</v>
      </c>
      <c r="AB102">
        <v>0.875290768830564</v>
      </c>
      <c r="AC102">
        <v>1.3788800000000001</v>
      </c>
      <c r="AD102">
        <v>1.37279</v>
      </c>
      <c r="AE102">
        <v>-3.7469283212845599</v>
      </c>
      <c r="AF102">
        <v>-8.5860000000000006E-2</v>
      </c>
      <c r="AG102">
        <v>0.78952</v>
      </c>
      <c r="AH102">
        <v>0.77929999999999999</v>
      </c>
      <c r="AI102">
        <v>4.7715163685175002</v>
      </c>
      <c r="AJ102">
        <v>0.14668999999999999</v>
      </c>
      <c r="AK102">
        <v>0.13538</v>
      </c>
    </row>
    <row r="103" spans="1:37">
      <c r="A103">
        <v>102</v>
      </c>
      <c r="B103">
        <v>0.27326187099999999</v>
      </c>
      <c r="C103">
        <v>0.29224708700000002</v>
      </c>
      <c r="D103">
        <v>0.31766507500000002</v>
      </c>
      <c r="E103">
        <v>0.33259707500000002</v>
      </c>
      <c r="F103">
        <v>4.4425974999999999E-2</v>
      </c>
      <c r="G103">
        <v>4.2854784E-2</v>
      </c>
      <c r="H103">
        <v>4.8558888000000001E-2</v>
      </c>
      <c r="I103">
        <v>6.7111457999999999E-2</v>
      </c>
      <c r="J103">
        <v>0.50209776699999997</v>
      </c>
      <c r="K103">
        <v>0.54163938899999997</v>
      </c>
      <c r="L103">
        <v>0.61663526199999996</v>
      </c>
      <c r="M103">
        <v>0.568218691</v>
      </c>
      <c r="N103">
        <v>0.501519987</v>
      </c>
      <c r="O103">
        <v>0.88377049900000004</v>
      </c>
      <c r="P103">
        <v>0.88546519800000001</v>
      </c>
      <c r="Q103">
        <v>0.45487892204533098</v>
      </c>
      <c r="R103">
        <v>-0.89055329221719004</v>
      </c>
      <c r="S103">
        <v>-0.99378670320103901</v>
      </c>
      <c r="T103">
        <v>-0.11130134114559601</v>
      </c>
      <c r="U103">
        <v>-1.578656914</v>
      </c>
      <c r="V103">
        <v>0.414748116</v>
      </c>
      <c r="W103">
        <v>2.317267282</v>
      </c>
      <c r="X103">
        <v>2.358905466</v>
      </c>
      <c r="Y103">
        <v>1.394454216</v>
      </c>
      <c r="Z103">
        <v>1.3873830009999999</v>
      </c>
      <c r="AA103">
        <v>-3260.8791209999999</v>
      </c>
      <c r="AB103">
        <v>1.61624096285176</v>
      </c>
      <c r="AC103">
        <v>1.3793200000000001</v>
      </c>
      <c r="AD103">
        <v>1.3827799999999999</v>
      </c>
      <c r="AE103">
        <v>-2.3378325595581799</v>
      </c>
      <c r="AF103">
        <v>-0.28410999999999997</v>
      </c>
      <c r="AG103">
        <v>0.81525000000000003</v>
      </c>
      <c r="AH103">
        <v>0.80142999999999998</v>
      </c>
      <c r="AI103">
        <v>5.0248543633329996</v>
      </c>
      <c r="AJ103">
        <v>0.21037999999999901</v>
      </c>
      <c r="AK103">
        <v>0.19217000000000001</v>
      </c>
    </row>
    <row r="104" spans="1:37">
      <c r="A104">
        <v>103</v>
      </c>
      <c r="B104">
        <v>0.41615764300000002</v>
      </c>
      <c r="C104">
        <v>0.48043412699999999</v>
      </c>
      <c r="D104">
        <v>0.38177646999999998</v>
      </c>
      <c r="E104">
        <v>0.30844856300000001</v>
      </c>
      <c r="F104">
        <v>0.108952938</v>
      </c>
      <c r="G104">
        <v>0.16689342700000001</v>
      </c>
      <c r="H104">
        <v>9.3480129999999995E-2</v>
      </c>
      <c r="I104">
        <v>7.8958004999999998E-2</v>
      </c>
      <c r="J104">
        <v>0.72336234700000002</v>
      </c>
      <c r="K104">
        <v>0.79397482699999999</v>
      </c>
      <c r="L104">
        <v>0.52341699699999999</v>
      </c>
      <c r="M104">
        <v>0.68459493500000002</v>
      </c>
      <c r="N104">
        <v>0.56033940599999998</v>
      </c>
      <c r="O104">
        <v>0.95010249700000005</v>
      </c>
      <c r="P104">
        <v>0.93334769799999995</v>
      </c>
      <c r="Q104">
        <v>0.86851110696454403</v>
      </c>
      <c r="R104">
        <v>-0.49566970562988999</v>
      </c>
      <c r="S104">
        <v>0.31743714206692403</v>
      </c>
      <c r="T104">
        <v>0.94827931583283098</v>
      </c>
      <c r="U104">
        <v>-11.32135909</v>
      </c>
      <c r="V104">
        <v>-5.9840197579999996</v>
      </c>
      <c r="W104">
        <v>2.479782921</v>
      </c>
      <c r="X104">
        <v>2.5180719950000001</v>
      </c>
      <c r="Y104">
        <v>1.3985113339999999</v>
      </c>
      <c r="Z104">
        <v>1.4011081400000001</v>
      </c>
      <c r="AA104">
        <v>-3805.1023220000002</v>
      </c>
      <c r="AB104">
        <v>1.0206600266494199</v>
      </c>
      <c r="AC104">
        <v>1.3323700000000001</v>
      </c>
      <c r="AD104">
        <v>1.3508100000000001</v>
      </c>
      <c r="AE104">
        <v>-4.0346183168929102</v>
      </c>
      <c r="AF104">
        <v>-0.1114</v>
      </c>
      <c r="AG104">
        <v>0.82047999999999999</v>
      </c>
      <c r="AH104">
        <v>0.77908999999999995</v>
      </c>
      <c r="AI104">
        <v>4.6789976593475</v>
      </c>
      <c r="AJ104">
        <v>0.14560999999999999</v>
      </c>
      <c r="AK104">
        <v>0.13951</v>
      </c>
    </row>
    <row r="105" spans="1:37">
      <c r="A105">
        <v>104</v>
      </c>
      <c r="B105">
        <v>0.25358498899999998</v>
      </c>
      <c r="C105">
        <v>0.42344147599999998</v>
      </c>
      <c r="D105">
        <v>0.203753779</v>
      </c>
      <c r="E105">
        <v>0.401527356</v>
      </c>
      <c r="F105">
        <v>1.7391255000000001E-2</v>
      </c>
      <c r="G105">
        <v>0.18146678599999999</v>
      </c>
      <c r="H105">
        <v>5.9039183000000002E-2</v>
      </c>
      <c r="I105">
        <v>6.916653E-3</v>
      </c>
      <c r="J105">
        <v>0.489778724</v>
      </c>
      <c r="K105">
        <v>0.66541616599999998</v>
      </c>
      <c r="L105">
        <v>0.74401552999999998</v>
      </c>
      <c r="M105">
        <v>0.40059090400000003</v>
      </c>
      <c r="N105">
        <v>0.49723373999999998</v>
      </c>
      <c r="O105">
        <v>0.86557724599999997</v>
      </c>
      <c r="P105">
        <v>0.84018006899999997</v>
      </c>
      <c r="Q105">
        <v>-0.93399559515544806</v>
      </c>
      <c r="R105">
        <v>-0.35728451999802502</v>
      </c>
      <c r="S105">
        <v>0.45724697986053697</v>
      </c>
      <c r="T105">
        <v>0.88933975476665605</v>
      </c>
      <c r="U105">
        <v>-11.11422222</v>
      </c>
      <c r="V105">
        <v>-0.44019260199999999</v>
      </c>
      <c r="W105">
        <v>2.2746868290000002</v>
      </c>
      <c r="X105">
        <v>2.2770777670000002</v>
      </c>
      <c r="Y105">
        <v>1.3854697730000001</v>
      </c>
      <c r="Z105">
        <v>1.387806313</v>
      </c>
      <c r="AA105">
        <v>-3167.9579039999999</v>
      </c>
      <c r="AB105">
        <v>2.4533834147967899</v>
      </c>
      <c r="AC105">
        <v>1.4048700000000001</v>
      </c>
      <c r="AD105">
        <v>1.41709</v>
      </c>
      <c r="AE105">
        <v>-3.8171498365071699</v>
      </c>
      <c r="AF105">
        <v>-0.42953999999999998</v>
      </c>
      <c r="AG105">
        <v>1.51789</v>
      </c>
      <c r="AH105">
        <v>1.52844</v>
      </c>
      <c r="AI105">
        <v>3.8931328591034999</v>
      </c>
      <c r="AJ105">
        <v>0.30576999999999899</v>
      </c>
      <c r="AK105">
        <v>0.30625999999999998</v>
      </c>
    </row>
    <row r="106" spans="1:37">
      <c r="A106">
        <v>105</v>
      </c>
      <c r="B106">
        <v>0.39751398999999998</v>
      </c>
      <c r="C106">
        <v>0.19503822700000001</v>
      </c>
      <c r="D106">
        <v>0.157133261</v>
      </c>
      <c r="E106">
        <v>0.364214433</v>
      </c>
      <c r="F106">
        <v>4.2792165E-2</v>
      </c>
      <c r="G106">
        <v>2.8059409E-2</v>
      </c>
      <c r="H106">
        <v>0.135150829</v>
      </c>
      <c r="I106">
        <v>1.0713696E-2</v>
      </c>
      <c r="J106">
        <v>0.75223581500000003</v>
      </c>
      <c r="K106">
        <v>0.36201704400000001</v>
      </c>
      <c r="L106">
        <v>0.59327803800000001</v>
      </c>
      <c r="M106">
        <v>0.303552826</v>
      </c>
      <c r="N106">
        <v>0.48560380199999997</v>
      </c>
      <c r="O106">
        <v>0.88743360999999998</v>
      </c>
      <c r="P106">
        <v>0.75248089799999995</v>
      </c>
      <c r="Q106">
        <v>4.4066917620558997E-2</v>
      </c>
      <c r="R106">
        <v>0.99902858155881702</v>
      </c>
      <c r="S106">
        <v>-0.76130580536593195</v>
      </c>
      <c r="T106">
        <v>0.64839299095234604</v>
      </c>
      <c r="U106">
        <v>-4.9200829510000004</v>
      </c>
      <c r="V106">
        <v>-7.3543638710000003</v>
      </c>
      <c r="W106">
        <v>2.308860541</v>
      </c>
      <c r="X106">
        <v>2.2336579150000002</v>
      </c>
      <c r="Y106">
        <v>1.386304907</v>
      </c>
      <c r="Z106">
        <v>1.4062206850000001</v>
      </c>
      <c r="AA106">
        <v>-3045.7448169999998</v>
      </c>
      <c r="AB106">
        <v>1.8295334705875099</v>
      </c>
      <c r="AC106">
        <v>1.2915300000000001</v>
      </c>
      <c r="AD106">
        <v>1.2424200000000001</v>
      </c>
      <c r="AE106">
        <v>-2.26312088552505</v>
      </c>
      <c r="AF106">
        <v>-1.9300000000000001E-3</v>
      </c>
      <c r="AG106">
        <v>-0.54612000000000005</v>
      </c>
      <c r="AH106">
        <v>0.88497000000000003</v>
      </c>
      <c r="AI106">
        <v>4.5628050451839997</v>
      </c>
      <c r="AJ106">
        <v>0.14466000000000001</v>
      </c>
      <c r="AK106">
        <v>2.40200000000001E-2</v>
      </c>
    </row>
    <row r="107" spans="1:37">
      <c r="A107">
        <v>106</v>
      </c>
      <c r="B107">
        <v>0.40092962100000001</v>
      </c>
      <c r="C107">
        <v>0.44529012899999998</v>
      </c>
      <c r="D107">
        <v>0.41889868699999999</v>
      </c>
      <c r="E107">
        <v>0.42587511300000003</v>
      </c>
      <c r="F107">
        <v>5.8566686999999999E-2</v>
      </c>
      <c r="G107">
        <v>0.20413519099999999</v>
      </c>
      <c r="H107">
        <v>0.20601948</v>
      </c>
      <c r="I107">
        <v>4.8416569999999999E-2</v>
      </c>
      <c r="J107">
        <v>0.74329255400000005</v>
      </c>
      <c r="K107">
        <v>0.68644506800000005</v>
      </c>
      <c r="L107">
        <v>0.64573074600000002</v>
      </c>
      <c r="M107">
        <v>0.78938080300000002</v>
      </c>
      <c r="N107">
        <v>0.53828503500000002</v>
      </c>
      <c r="O107">
        <v>0.89319325400000005</v>
      </c>
      <c r="P107">
        <v>0.91921939100000005</v>
      </c>
      <c r="Q107">
        <v>-0.902765425108631</v>
      </c>
      <c r="R107">
        <v>-0.43013322032648399</v>
      </c>
      <c r="S107">
        <v>-0.21699284802003499</v>
      </c>
      <c r="T107">
        <v>0.97617319360252497</v>
      </c>
      <c r="U107">
        <v>9.8727807179999996</v>
      </c>
      <c r="V107">
        <v>2.6669612140000001</v>
      </c>
      <c r="W107">
        <v>2.3420281439999999</v>
      </c>
      <c r="X107">
        <v>2.3400921800000001</v>
      </c>
      <c r="Y107">
        <v>1.3892456500000001</v>
      </c>
      <c r="Z107">
        <v>1.388466881</v>
      </c>
      <c r="AA107">
        <v>-3252.1997999999999</v>
      </c>
      <c r="AB107">
        <v>3.6633709653814699</v>
      </c>
      <c r="AC107">
        <v>1.2706200000000001</v>
      </c>
      <c r="AD107">
        <v>1.28102</v>
      </c>
      <c r="AE107">
        <v>-4.5439108444647696</v>
      </c>
      <c r="AF107">
        <v>-0.28988000000000003</v>
      </c>
      <c r="AG107">
        <v>0.85479000000000005</v>
      </c>
      <c r="AH107">
        <v>0.86856</v>
      </c>
      <c r="AI107">
        <v>4.6196768399385002</v>
      </c>
      <c r="AJ107">
        <v>0.15562999999999999</v>
      </c>
      <c r="AK107">
        <v>0.15137999999999999</v>
      </c>
    </row>
    <row r="108" spans="1:37">
      <c r="A108">
        <v>107</v>
      </c>
      <c r="B108">
        <v>0.27462242999999997</v>
      </c>
      <c r="C108">
        <v>8.2905905000000002E-2</v>
      </c>
      <c r="D108">
        <v>0.15618542299999999</v>
      </c>
      <c r="E108">
        <v>0.29130494200000001</v>
      </c>
      <c r="F108">
        <v>1.4988928E-2</v>
      </c>
      <c r="G108">
        <v>3.0342189999999999E-3</v>
      </c>
      <c r="H108">
        <v>4.3480983000000001E-2</v>
      </c>
      <c r="I108">
        <v>9.2962089999999997E-3</v>
      </c>
      <c r="J108">
        <v>0.53425593299999996</v>
      </c>
      <c r="K108">
        <v>0.162777591</v>
      </c>
      <c r="L108">
        <v>0.53912890000000002</v>
      </c>
      <c r="M108">
        <v>0.30307463699999998</v>
      </c>
      <c r="N108">
        <v>0.40334397100000002</v>
      </c>
      <c r="O108">
        <v>0.82096766700000001</v>
      </c>
      <c r="P108">
        <v>0.67235836699999996</v>
      </c>
      <c r="Q108">
        <v>0.794380266157938</v>
      </c>
      <c r="R108">
        <v>0.60742077075026202</v>
      </c>
      <c r="S108">
        <v>0.370692821612358</v>
      </c>
      <c r="T108">
        <v>0.92875552865383704</v>
      </c>
      <c r="U108">
        <v>1.1551833730000001</v>
      </c>
      <c r="V108">
        <v>-1.857865793</v>
      </c>
      <c r="W108">
        <v>2.306172417</v>
      </c>
      <c r="X108">
        <v>2.1430111169999999</v>
      </c>
      <c r="Y108">
        <v>1.4021429969999999</v>
      </c>
      <c r="Z108">
        <v>1.3859868820000001</v>
      </c>
      <c r="AA108">
        <v>-1435.3992109999999</v>
      </c>
      <c r="AB108">
        <v>2.1617537186275402</v>
      </c>
      <c r="AC108">
        <v>1.3753899999999999</v>
      </c>
      <c r="AD108">
        <v>1.2802199999999999</v>
      </c>
      <c r="AE108">
        <v>-1.2544577190689901</v>
      </c>
      <c r="AF108">
        <v>-2.0400000000000001E-2</v>
      </c>
      <c r="AG108">
        <v>-0.6956</v>
      </c>
      <c r="AH108">
        <v>0.84177999999999997</v>
      </c>
      <c r="AI108">
        <v>4.7119234352579999</v>
      </c>
      <c r="AJ108">
        <v>0.14757999999999899</v>
      </c>
      <c r="AK108">
        <v>4.4609999999999803E-2</v>
      </c>
    </row>
    <row r="109" spans="1:37">
      <c r="A109">
        <v>108</v>
      </c>
      <c r="B109">
        <v>0.314317756</v>
      </c>
      <c r="C109">
        <v>0.30887267099999999</v>
      </c>
      <c r="D109">
        <v>0.28656860000000001</v>
      </c>
      <c r="E109">
        <v>0.30117611599999999</v>
      </c>
      <c r="F109">
        <v>4.6999082999999997E-2</v>
      </c>
      <c r="G109">
        <v>2.4279444000000001E-2</v>
      </c>
      <c r="H109">
        <v>6.5841981999999993E-2</v>
      </c>
      <c r="I109">
        <v>7.8758759999999997E-2</v>
      </c>
      <c r="J109">
        <v>0.58163642900000001</v>
      </c>
      <c r="K109">
        <v>0.59346589800000005</v>
      </c>
      <c r="L109">
        <v>0.53651024999999997</v>
      </c>
      <c r="M109">
        <v>0.494378441</v>
      </c>
      <c r="N109">
        <v>0.49062383500000001</v>
      </c>
      <c r="O109">
        <v>0.87297335099999995</v>
      </c>
      <c r="P109">
        <v>0.857855013</v>
      </c>
      <c r="Q109">
        <v>0.26458881519577099</v>
      </c>
      <c r="R109">
        <v>-0.96436132174268396</v>
      </c>
      <c r="S109">
        <v>0.48297640473262998</v>
      </c>
      <c r="T109">
        <v>-0.87563336646769097</v>
      </c>
      <c r="U109">
        <v>6.5003551909999997</v>
      </c>
      <c r="V109">
        <v>-9.4936364149999992</v>
      </c>
      <c r="W109">
        <v>2.3069312339999999</v>
      </c>
      <c r="X109">
        <v>2.2899809100000001</v>
      </c>
      <c r="Y109">
        <v>1.388204236</v>
      </c>
      <c r="Z109">
        <v>1.386992089</v>
      </c>
      <c r="AA109">
        <v>-2105.7591299999999</v>
      </c>
      <c r="AB109">
        <v>2.5236745749006499</v>
      </c>
      <c r="AC109">
        <v>1.2879700000000001</v>
      </c>
      <c r="AD109">
        <v>1.28695</v>
      </c>
      <c r="AE109">
        <v>-2.1443643085377402</v>
      </c>
      <c r="AF109">
        <v>-0.32020999999999999</v>
      </c>
      <c r="AG109">
        <v>0.81771000000000005</v>
      </c>
      <c r="AH109">
        <v>0.82957000000000003</v>
      </c>
      <c r="AI109">
        <v>4.0792587328455001</v>
      </c>
      <c r="AJ109">
        <v>0.15636</v>
      </c>
      <c r="AK109">
        <v>0.16281000000000001</v>
      </c>
    </row>
    <row r="110" spans="1:37">
      <c r="A110">
        <v>109</v>
      </c>
      <c r="B110">
        <v>0.26117338299999998</v>
      </c>
      <c r="C110">
        <v>0.38394539500000002</v>
      </c>
      <c r="D110">
        <v>0.45854847100000001</v>
      </c>
      <c r="E110">
        <v>0.56096616799999999</v>
      </c>
      <c r="F110">
        <v>8.7457232999999995E-2</v>
      </c>
      <c r="G110">
        <v>0.30278430899999997</v>
      </c>
      <c r="H110">
        <v>0.47484103100000002</v>
      </c>
      <c r="I110">
        <v>0.39763069099999998</v>
      </c>
      <c r="J110">
        <v>0.43488953299999999</v>
      </c>
      <c r="K110">
        <v>0.46510648199999999</v>
      </c>
      <c r="L110">
        <v>0.64709130599999998</v>
      </c>
      <c r="M110">
        <v>0.51946625099999999</v>
      </c>
      <c r="N110">
        <v>0.54604803400000002</v>
      </c>
      <c r="O110">
        <v>0.91514862100000005</v>
      </c>
      <c r="P110">
        <v>0.88583209100000004</v>
      </c>
      <c r="Q110">
        <v>-0.99625228161944801</v>
      </c>
      <c r="R110">
        <v>8.6495036667096403E-2</v>
      </c>
      <c r="S110">
        <v>0.20847170416681601</v>
      </c>
      <c r="T110">
        <v>-0.97802839864790403</v>
      </c>
      <c r="U110">
        <v>9.6023187130000007</v>
      </c>
      <c r="V110">
        <v>-0.59189747999999998</v>
      </c>
      <c r="W110">
        <v>2.4227547149999999</v>
      </c>
      <c r="X110">
        <v>2.3806203379999999</v>
      </c>
      <c r="Y110">
        <v>1.3908786339999999</v>
      </c>
      <c r="Z110">
        <v>1.399518799</v>
      </c>
      <c r="AA110">
        <v>-2757.7740210000002</v>
      </c>
      <c r="AB110">
        <v>3.6013013953291901</v>
      </c>
      <c r="AC110">
        <v>1.3951199999999999</v>
      </c>
      <c r="AD110">
        <v>1.40273</v>
      </c>
      <c r="AE110">
        <v>-3.26276104241808</v>
      </c>
      <c r="AF110">
        <v>-0.21351000000000001</v>
      </c>
      <c r="AG110">
        <v>0.75978000000000001</v>
      </c>
      <c r="AH110">
        <v>0.77154999999999996</v>
      </c>
      <c r="AI110">
        <v>4.9766902117944998</v>
      </c>
      <c r="AJ110">
        <v>0.17632999999999999</v>
      </c>
      <c r="AK110">
        <v>0.17995999999999901</v>
      </c>
    </row>
    <row r="111" spans="1:37">
      <c r="A111">
        <v>110</v>
      </c>
      <c r="B111">
        <v>0.26390304199999998</v>
      </c>
      <c r="C111">
        <v>0.36108628500000001</v>
      </c>
      <c r="D111">
        <v>0.23906286500000001</v>
      </c>
      <c r="E111">
        <v>0.25252614400000001</v>
      </c>
      <c r="F111">
        <v>1.0434753E-2</v>
      </c>
      <c r="G111">
        <v>7.5280508999999995E-2</v>
      </c>
      <c r="H111">
        <v>2.0453936999999998E-2</v>
      </c>
      <c r="I111">
        <v>1.6821982999999999E-2</v>
      </c>
      <c r="J111">
        <v>0.51737133000000002</v>
      </c>
      <c r="K111">
        <v>0.64689205999999999</v>
      </c>
      <c r="L111">
        <v>0.48459835000000001</v>
      </c>
      <c r="M111">
        <v>0.46130374600000001</v>
      </c>
      <c r="N111">
        <v>0.475016306</v>
      </c>
      <c r="O111">
        <v>0.925217807</v>
      </c>
      <c r="P111">
        <v>0.90713520299999995</v>
      </c>
      <c r="Q111">
        <v>-0.85594213883900905</v>
      </c>
      <c r="R111">
        <v>-0.51707161492360199</v>
      </c>
      <c r="S111">
        <v>-0.53744950189990603</v>
      </c>
      <c r="T111">
        <v>0.84329593435966599</v>
      </c>
      <c r="U111">
        <v>7.8028542170000001</v>
      </c>
      <c r="V111">
        <v>-5.6802527749999996</v>
      </c>
      <c r="W111">
        <v>2.3719259149999998</v>
      </c>
      <c r="X111">
        <v>2.3049794380000002</v>
      </c>
      <c r="Y111">
        <v>1.387163269</v>
      </c>
      <c r="Z111">
        <v>1.3913515489999999</v>
      </c>
      <c r="AA111">
        <v>-1994.3859749999999</v>
      </c>
      <c r="AB111">
        <v>1.48358094487628</v>
      </c>
      <c r="AC111">
        <v>1.35856</v>
      </c>
      <c r="AD111">
        <v>1.3508500000000001</v>
      </c>
      <c r="AE111">
        <v>-2.1178070770209199</v>
      </c>
      <c r="AF111">
        <v>-0.28569</v>
      </c>
      <c r="AG111">
        <v>0.81245000000000001</v>
      </c>
      <c r="AH111">
        <v>0.73741999999999996</v>
      </c>
      <c r="AI111">
        <v>4.4098770612029998</v>
      </c>
      <c r="AJ111">
        <v>0.16064000000000001</v>
      </c>
      <c r="AK111">
        <v>0.19389999999999899</v>
      </c>
    </row>
    <row r="112" spans="1:37">
      <c r="A112">
        <v>111</v>
      </c>
      <c r="B112">
        <v>0.163844976</v>
      </c>
      <c r="C112">
        <v>0.28380763199999998</v>
      </c>
      <c r="D112">
        <v>0.16430893199999999</v>
      </c>
      <c r="E112">
        <v>0.28497179299999997</v>
      </c>
      <c r="F112">
        <v>5.7553379999999996E-3</v>
      </c>
      <c r="G112">
        <v>4.9481109000000002E-2</v>
      </c>
      <c r="H112">
        <v>5.061396E-2</v>
      </c>
      <c r="I112">
        <v>5.7382600000000002E-3</v>
      </c>
      <c r="J112">
        <v>0.32193461299999998</v>
      </c>
      <c r="K112">
        <v>0.51813415500000004</v>
      </c>
      <c r="L112">
        <v>0.51932962500000002</v>
      </c>
      <c r="M112">
        <v>0.32287960500000001</v>
      </c>
      <c r="N112">
        <v>0.48025764100000001</v>
      </c>
      <c r="O112">
        <v>0.85258456000000005</v>
      </c>
      <c r="P112">
        <v>0.85187406799999998</v>
      </c>
      <c r="Q112">
        <v>0.41827126558097499</v>
      </c>
      <c r="R112">
        <v>-0.90832216112417297</v>
      </c>
      <c r="S112">
        <v>-0.51671738104116904</v>
      </c>
      <c r="T112">
        <v>0.85615603024796505</v>
      </c>
      <c r="U112">
        <v>-13.043913570000001</v>
      </c>
      <c r="V112">
        <v>-12.95340388</v>
      </c>
      <c r="W112">
        <v>2.3246023880000002</v>
      </c>
      <c r="X112">
        <v>2.3241889050000002</v>
      </c>
      <c r="Y112">
        <v>1.3896614410000001</v>
      </c>
      <c r="Z112">
        <v>1.389720168</v>
      </c>
      <c r="AA112">
        <v>-1688.586219</v>
      </c>
      <c r="AB112">
        <v>1.7071255401990799</v>
      </c>
      <c r="AC112">
        <v>1.32578</v>
      </c>
      <c r="AD112">
        <v>1.3258300000000001</v>
      </c>
      <c r="AE112">
        <v>-1.60255387106361</v>
      </c>
      <c r="AF112">
        <v>-0.27854000000000001</v>
      </c>
      <c r="AG112">
        <v>0.78263000000000005</v>
      </c>
      <c r="AH112">
        <v>0.78239999999999998</v>
      </c>
      <c r="AI112">
        <v>4.0232032796424999</v>
      </c>
      <c r="AJ112">
        <v>0.17055999999999999</v>
      </c>
      <c r="AK112">
        <v>0.17063999999999899</v>
      </c>
    </row>
    <row r="113" spans="1:37">
      <c r="A113">
        <v>112</v>
      </c>
      <c r="B113">
        <v>0.30301201700000002</v>
      </c>
      <c r="C113">
        <v>0.43318171700000002</v>
      </c>
      <c r="D113">
        <v>0.53912036100000005</v>
      </c>
      <c r="E113">
        <v>0.34482503399999997</v>
      </c>
      <c r="F113">
        <v>5.4399616999999997E-2</v>
      </c>
      <c r="G113">
        <v>0.23147731699999999</v>
      </c>
      <c r="H113">
        <v>0.112157939</v>
      </c>
      <c r="I113">
        <v>0.21879394099999999</v>
      </c>
      <c r="J113">
        <v>0.55162441699999998</v>
      </c>
      <c r="K113">
        <v>0.63488611699999997</v>
      </c>
      <c r="L113">
        <v>0.57749212999999999</v>
      </c>
      <c r="M113">
        <v>0.85944678200000002</v>
      </c>
      <c r="N113">
        <v>0.57115984900000005</v>
      </c>
      <c r="O113">
        <v>0.94932212100000002</v>
      </c>
      <c r="P113">
        <v>0.93220625199999996</v>
      </c>
      <c r="Q113">
        <v>0.63743240257220901</v>
      </c>
      <c r="R113">
        <v>0.77050628300554502</v>
      </c>
      <c r="S113">
        <v>0.61829471638023803</v>
      </c>
      <c r="T113">
        <v>-0.78594633639726297</v>
      </c>
      <c r="U113">
        <v>-16.882196709999999</v>
      </c>
      <c r="V113">
        <v>-8.2530133909999996</v>
      </c>
      <c r="W113">
        <v>2.4193138240000001</v>
      </c>
      <c r="X113">
        <v>2.357436216</v>
      </c>
      <c r="Y113">
        <v>1.392659828</v>
      </c>
      <c r="Z113">
        <v>1.395526839</v>
      </c>
      <c r="AA113">
        <v>-3874.1320569999998</v>
      </c>
      <c r="AB113">
        <v>2.0219045353329599</v>
      </c>
      <c r="AC113">
        <v>1.27657</v>
      </c>
      <c r="AD113">
        <v>1.3533500000000001</v>
      </c>
      <c r="AE113">
        <v>-3.8883933378815199</v>
      </c>
      <c r="AF113">
        <v>-0.26719999999999999</v>
      </c>
      <c r="AG113">
        <v>0.87187999999999999</v>
      </c>
      <c r="AH113">
        <v>0.76790000000000003</v>
      </c>
      <c r="AI113">
        <v>3.6133998207895002</v>
      </c>
      <c r="AJ113">
        <v>0.15842999999999999</v>
      </c>
      <c r="AK113">
        <v>0.15964</v>
      </c>
    </row>
    <row r="114" spans="1:37">
      <c r="A114">
        <v>113</v>
      </c>
      <c r="B114">
        <v>0.31563846699999998</v>
      </c>
      <c r="C114">
        <v>0.36106351399999997</v>
      </c>
      <c r="D114">
        <v>0.31374563799999999</v>
      </c>
      <c r="E114">
        <v>0.35956632900000002</v>
      </c>
      <c r="F114">
        <v>0.13026078299999999</v>
      </c>
      <c r="G114">
        <v>0.120230214</v>
      </c>
      <c r="H114">
        <v>0.118004361</v>
      </c>
      <c r="I114">
        <v>0.12874652</v>
      </c>
      <c r="J114">
        <v>0.50101614999999999</v>
      </c>
      <c r="K114">
        <v>0.60189681399999995</v>
      </c>
      <c r="L114">
        <v>0.60112829700000003</v>
      </c>
      <c r="M114">
        <v>0.49874475600000001</v>
      </c>
      <c r="N114">
        <v>0.495678811</v>
      </c>
      <c r="O114">
        <v>0.87377702199999996</v>
      </c>
      <c r="P114">
        <v>0.87364307699999999</v>
      </c>
      <c r="Q114">
        <v>0.92642704095322403</v>
      </c>
      <c r="R114">
        <v>-0.376474352102041</v>
      </c>
      <c r="S114">
        <v>-0.61131643657312396</v>
      </c>
      <c r="T114">
        <v>-0.79138626117436295</v>
      </c>
      <c r="U114">
        <v>-6.596742839</v>
      </c>
      <c r="V114">
        <v>-5.4385868229999996</v>
      </c>
      <c r="W114">
        <v>2.3209903110000001</v>
      </c>
      <c r="X114">
        <v>2.3203551189999998</v>
      </c>
      <c r="Y114">
        <v>1.388822996</v>
      </c>
      <c r="Z114">
        <v>1.3889695</v>
      </c>
      <c r="AA114">
        <v>-2373.186451</v>
      </c>
      <c r="AB114">
        <v>2.02057206750959</v>
      </c>
      <c r="AC114">
        <v>1.2972699999999999</v>
      </c>
      <c r="AD114">
        <v>1.2973300000000001</v>
      </c>
      <c r="AE114">
        <v>-2.62384215689984</v>
      </c>
      <c r="AF114">
        <v>-0.30101</v>
      </c>
      <c r="AG114">
        <v>0.81384999999999996</v>
      </c>
      <c r="AH114">
        <v>0.81389</v>
      </c>
      <c r="AI114">
        <v>3.79870935298</v>
      </c>
      <c r="AJ114">
        <v>0.15906999999999999</v>
      </c>
      <c r="AK114">
        <v>0.159109999999999</v>
      </c>
    </row>
    <row r="115" spans="1:37">
      <c r="A115">
        <v>114</v>
      </c>
      <c r="B115">
        <v>0.36387571699999999</v>
      </c>
      <c r="C115">
        <v>0.20551852100000001</v>
      </c>
      <c r="D115">
        <v>0.175227566</v>
      </c>
      <c r="E115">
        <v>0.38183055100000002</v>
      </c>
      <c r="F115">
        <v>0.13599904400000001</v>
      </c>
      <c r="G115">
        <v>2.2167446E-2</v>
      </c>
      <c r="H115">
        <v>3.5141151000000002E-2</v>
      </c>
      <c r="I115">
        <v>1.6947223000000001E-2</v>
      </c>
      <c r="J115">
        <v>0.59175239000000002</v>
      </c>
      <c r="K115">
        <v>0.38886959700000001</v>
      </c>
      <c r="L115">
        <v>0.72851995000000003</v>
      </c>
      <c r="M115">
        <v>0.33350791000000002</v>
      </c>
      <c r="N115">
        <v>0.50925386699999997</v>
      </c>
      <c r="O115">
        <v>0.90664601199999995</v>
      </c>
      <c r="P115">
        <v>0.77366171299999997</v>
      </c>
      <c r="Q115">
        <v>-0.69740408676863697</v>
      </c>
      <c r="R115">
        <v>-0.71667812842195999</v>
      </c>
      <c r="S115">
        <v>0.99853409698722195</v>
      </c>
      <c r="T115">
        <v>5.4126307410645197E-2</v>
      </c>
      <c r="U115">
        <v>0.945880049</v>
      </c>
      <c r="V115">
        <v>4.5336297800000001</v>
      </c>
      <c r="W115">
        <v>2.3071859300000002</v>
      </c>
      <c r="X115">
        <v>2.2162538660000002</v>
      </c>
      <c r="Y115">
        <v>1.3861168290000001</v>
      </c>
      <c r="Z115">
        <v>1.405819733</v>
      </c>
      <c r="AA115">
        <v>-3045.7483090000001</v>
      </c>
      <c r="AB115">
        <v>1.9766976248278301</v>
      </c>
      <c r="AC115">
        <v>1.2874099999999999</v>
      </c>
      <c r="AD115">
        <v>1.24743</v>
      </c>
      <c r="AE115">
        <v>-2.2946077642111802</v>
      </c>
      <c r="AF115">
        <v>-2.87E-2</v>
      </c>
      <c r="AG115">
        <v>-0.54340999999999995</v>
      </c>
      <c r="AH115">
        <v>0.87421000000000004</v>
      </c>
      <c r="AI115">
        <v>4.5878395194300001</v>
      </c>
      <c r="AJ115">
        <v>0.15051</v>
      </c>
      <c r="AK115">
        <v>2.7349999999999899E-2</v>
      </c>
    </row>
    <row r="116" spans="1:37">
      <c r="A116">
        <v>115</v>
      </c>
      <c r="B116">
        <v>0.50384543100000001</v>
      </c>
      <c r="C116">
        <v>0.20334959599999999</v>
      </c>
      <c r="D116">
        <v>0.15352407700000001</v>
      </c>
      <c r="E116">
        <v>0.45804751100000002</v>
      </c>
      <c r="F116">
        <v>0.14437303200000001</v>
      </c>
      <c r="G116">
        <v>2.8953165999999999E-2</v>
      </c>
      <c r="H116">
        <v>0.21392666599999999</v>
      </c>
      <c r="I116">
        <v>1.0485987E-2</v>
      </c>
      <c r="J116">
        <v>0.86331782999999995</v>
      </c>
      <c r="K116">
        <v>0.37774602499999999</v>
      </c>
      <c r="L116">
        <v>0.70216835600000005</v>
      </c>
      <c r="M116">
        <v>0.29656216699999999</v>
      </c>
      <c r="N116">
        <v>0.48659965500000002</v>
      </c>
      <c r="O116">
        <v>0.88924478200000001</v>
      </c>
      <c r="P116">
        <v>0.75237024799999996</v>
      </c>
      <c r="Q116">
        <v>-0.378464000702736</v>
      </c>
      <c r="R116">
        <v>0.92561601119042802</v>
      </c>
      <c r="S116">
        <v>0.19962384010189199</v>
      </c>
      <c r="T116">
        <v>-0.97987260522119601</v>
      </c>
      <c r="U116">
        <v>-5.5232714669999998</v>
      </c>
      <c r="V116">
        <v>-6.8552438049999997</v>
      </c>
      <c r="W116">
        <v>2.297683895</v>
      </c>
      <c r="X116">
        <v>2.230746897</v>
      </c>
      <c r="Y116">
        <v>1.3854263099999999</v>
      </c>
      <c r="Z116">
        <v>1.4055450789999999</v>
      </c>
      <c r="AA116">
        <v>-4391.6636049999997</v>
      </c>
      <c r="AB116">
        <v>4.4531147851812598</v>
      </c>
      <c r="AC116">
        <v>1.2927900000000001</v>
      </c>
      <c r="AD116">
        <v>1.2460500000000001</v>
      </c>
      <c r="AE116">
        <v>-2.7159141585305799</v>
      </c>
      <c r="AF116">
        <v>-1.111E-2</v>
      </c>
      <c r="AG116">
        <v>-0.55020000000000002</v>
      </c>
      <c r="AH116">
        <v>0.90525</v>
      </c>
      <c r="AI116">
        <v>4.1154498749619997</v>
      </c>
      <c r="AJ116">
        <v>0.14627000000000001</v>
      </c>
      <c r="AK116">
        <v>2.4719999999999999E-2</v>
      </c>
    </row>
    <row r="117" spans="1:37">
      <c r="A117">
        <v>116</v>
      </c>
      <c r="B117">
        <v>0.38736102700000002</v>
      </c>
      <c r="C117">
        <v>0.50168219800000002</v>
      </c>
      <c r="D117">
        <v>0.48651394999999997</v>
      </c>
      <c r="E117">
        <v>0.33765505499999998</v>
      </c>
      <c r="F117">
        <v>9.2210653000000004E-2</v>
      </c>
      <c r="G117">
        <v>0.17005288499999999</v>
      </c>
      <c r="H117">
        <v>0.114600115</v>
      </c>
      <c r="I117">
        <v>0.30478245300000001</v>
      </c>
      <c r="J117">
        <v>0.68251139999999999</v>
      </c>
      <c r="K117">
        <v>0.833311511</v>
      </c>
      <c r="L117">
        <v>0.56070999600000004</v>
      </c>
      <c r="M117">
        <v>0.66824544699999999</v>
      </c>
      <c r="N117">
        <v>0.56547008899999995</v>
      </c>
      <c r="O117">
        <v>0.89222651900000005</v>
      </c>
      <c r="P117">
        <v>0.92440248800000002</v>
      </c>
      <c r="Q117">
        <v>-0.74353189008092302</v>
      </c>
      <c r="R117">
        <v>-0.66870047736837201</v>
      </c>
      <c r="S117">
        <v>-0.91323568780752495</v>
      </c>
      <c r="T117">
        <v>0.407431685702911</v>
      </c>
      <c r="U117">
        <v>-38.871790619999999</v>
      </c>
      <c r="V117">
        <v>140.59888290000001</v>
      </c>
      <c r="W117">
        <v>3.0279613240000001</v>
      </c>
      <c r="X117">
        <v>2.361136906</v>
      </c>
      <c r="Y117">
        <v>1.4082447380000001</v>
      </c>
      <c r="Z117">
        <v>1.402734632</v>
      </c>
      <c r="AA117">
        <v>-3031.7710670000001</v>
      </c>
      <c r="AB117">
        <v>3.9090433829774698</v>
      </c>
      <c r="AC117">
        <v>1.2901400000000001</v>
      </c>
      <c r="AD117">
        <v>0.88675999999999999</v>
      </c>
      <c r="AE117">
        <v>-4.4988476261746904</v>
      </c>
      <c r="AF117">
        <v>8.4690000000000001E-2</v>
      </c>
      <c r="AG117">
        <v>0.87100999999999995</v>
      </c>
      <c r="AH117">
        <v>1.9241900000000001</v>
      </c>
      <c r="AI117">
        <v>4.1581717494905002</v>
      </c>
      <c r="AJ117" s="25">
        <v>9.9999999999544897E-6</v>
      </c>
      <c r="AK117">
        <v>0.14354</v>
      </c>
    </row>
    <row r="118" spans="1:37">
      <c r="A118">
        <v>117</v>
      </c>
      <c r="B118">
        <v>0.43474721500000002</v>
      </c>
      <c r="C118">
        <v>0.47522813600000002</v>
      </c>
      <c r="D118">
        <v>0.33967881700000002</v>
      </c>
      <c r="E118">
        <v>0.371011539</v>
      </c>
      <c r="F118">
        <v>0.113683587</v>
      </c>
      <c r="G118">
        <v>0.36157301200000003</v>
      </c>
      <c r="H118">
        <v>4.6378576999999997E-2</v>
      </c>
      <c r="I118">
        <v>2.8520519000000001E-2</v>
      </c>
      <c r="J118">
        <v>0.75581084200000004</v>
      </c>
      <c r="K118">
        <v>0.58888325900000005</v>
      </c>
      <c r="L118">
        <v>0.69564450099999997</v>
      </c>
      <c r="M118">
        <v>0.65083711399999999</v>
      </c>
      <c r="N118">
        <v>0.55469623599999995</v>
      </c>
      <c r="O118">
        <v>0.89316995899999996</v>
      </c>
      <c r="P118">
        <v>0.89450941100000003</v>
      </c>
      <c r="Q118">
        <v>0.37333574605029302</v>
      </c>
      <c r="R118">
        <v>-0.927696297675629</v>
      </c>
      <c r="S118">
        <v>-0.17270443275397401</v>
      </c>
      <c r="T118">
        <v>-0.98497369452545602</v>
      </c>
      <c r="U118">
        <v>7.6492496059999997</v>
      </c>
      <c r="V118">
        <v>-5.1835795329999996</v>
      </c>
      <c r="W118">
        <v>2.3404854689999999</v>
      </c>
      <c r="X118">
        <v>2.3444328489999999</v>
      </c>
      <c r="Y118">
        <v>1.3924970839999999</v>
      </c>
      <c r="Z118">
        <v>1.393429773</v>
      </c>
      <c r="AA118">
        <v>-2992.3547469999999</v>
      </c>
      <c r="AB118">
        <v>1.4724881561493099</v>
      </c>
      <c r="AC118">
        <v>1.34653</v>
      </c>
      <c r="AD118">
        <v>1.3476300000000001</v>
      </c>
      <c r="AE118">
        <v>-4.5018416295644199</v>
      </c>
      <c r="AF118">
        <v>-0.24989</v>
      </c>
      <c r="AG118">
        <v>0.83182</v>
      </c>
      <c r="AH118">
        <v>0.83172999999999997</v>
      </c>
      <c r="AI118">
        <v>4.5584512235759904</v>
      </c>
      <c r="AJ118">
        <v>0.17605000000000001</v>
      </c>
      <c r="AK118">
        <v>0.17357</v>
      </c>
    </row>
    <row r="119" spans="1:37">
      <c r="A119">
        <v>118</v>
      </c>
      <c r="B119">
        <v>0.46820332100000001</v>
      </c>
      <c r="C119">
        <v>0.48498260900000001</v>
      </c>
      <c r="D119">
        <v>0.38363229599999998</v>
      </c>
      <c r="E119">
        <v>0.38987720799999998</v>
      </c>
      <c r="F119">
        <v>0.18668131600000001</v>
      </c>
      <c r="G119">
        <v>0.15852513100000001</v>
      </c>
      <c r="H119">
        <v>0.16364857699999999</v>
      </c>
      <c r="I119">
        <v>0.15326505900000001</v>
      </c>
      <c r="J119">
        <v>0.74972532599999997</v>
      </c>
      <c r="K119">
        <v>0.81144008700000003</v>
      </c>
      <c r="L119">
        <v>0.61610583900000004</v>
      </c>
      <c r="M119">
        <v>0.61399953299999999</v>
      </c>
      <c r="N119">
        <v>0.56308819399999999</v>
      </c>
      <c r="O119">
        <v>0.90676831000000002</v>
      </c>
      <c r="P119">
        <v>0.90349538799999995</v>
      </c>
      <c r="Q119">
        <v>-0.91809446212544699</v>
      </c>
      <c r="R119">
        <v>0.39636165129157602</v>
      </c>
      <c r="S119">
        <v>-0.77089633722814799</v>
      </c>
      <c r="T119">
        <v>0.63696062456656199</v>
      </c>
      <c r="U119">
        <v>26.8138513</v>
      </c>
      <c r="V119">
        <v>20.7363918</v>
      </c>
      <c r="W119">
        <v>2.397218944</v>
      </c>
      <c r="X119">
        <v>2.3453645889999999</v>
      </c>
      <c r="Y119">
        <v>1.402832369</v>
      </c>
      <c r="Z119">
        <v>1.3914552389999999</v>
      </c>
      <c r="AA119">
        <v>-3066.446547</v>
      </c>
      <c r="AB119">
        <v>2.1369191748870602</v>
      </c>
      <c r="AC119">
        <v>1.2873000000000001</v>
      </c>
      <c r="AD119">
        <v>1.2950999999999999</v>
      </c>
      <c r="AE119">
        <v>-4.3264136805580602</v>
      </c>
      <c r="AF119">
        <v>-0.19722999999999999</v>
      </c>
      <c r="AG119">
        <v>0.86628000000000005</v>
      </c>
      <c r="AH119">
        <v>0.86389000000000005</v>
      </c>
      <c r="AI119">
        <v>4.5579069958750003</v>
      </c>
      <c r="AJ119">
        <v>0.14788000000000001</v>
      </c>
      <c r="AK119">
        <v>0.15931000000000001</v>
      </c>
    </row>
    <row r="120" spans="1:37">
      <c r="A120">
        <v>119</v>
      </c>
      <c r="B120">
        <v>0.375087526</v>
      </c>
      <c r="C120">
        <v>0.37882479499999999</v>
      </c>
      <c r="D120">
        <v>0.46791299200000003</v>
      </c>
      <c r="E120">
        <v>0.32220217099999998</v>
      </c>
      <c r="F120">
        <v>0.130283554</v>
      </c>
      <c r="G120">
        <v>0.112937841</v>
      </c>
      <c r="H120">
        <v>0.14191377799999999</v>
      </c>
      <c r="I120">
        <v>0.37300968299999998</v>
      </c>
      <c r="J120">
        <v>0.61989149700000001</v>
      </c>
      <c r="K120">
        <v>0.64471174899999995</v>
      </c>
      <c r="L120">
        <v>0.50249056400000003</v>
      </c>
      <c r="M120">
        <v>0.56281630199999999</v>
      </c>
      <c r="N120">
        <v>0.55602986399999998</v>
      </c>
      <c r="O120">
        <v>0.90611605500000003</v>
      </c>
      <c r="P120">
        <v>0.89480059599999995</v>
      </c>
      <c r="Q120">
        <v>0.76850432070701302</v>
      </c>
      <c r="R120">
        <v>0.63984459758182699</v>
      </c>
      <c r="S120">
        <v>-0.99253564301278097</v>
      </c>
      <c r="T120">
        <v>-0.121954898832334</v>
      </c>
      <c r="U120">
        <v>9.5459740439999994</v>
      </c>
      <c r="V120">
        <v>9.8968285960000006</v>
      </c>
      <c r="W120">
        <v>2.382572975</v>
      </c>
      <c r="X120">
        <v>2.3484142719999999</v>
      </c>
      <c r="Y120">
        <v>1.3953777860000001</v>
      </c>
      <c r="Z120">
        <v>1.3932586039999999</v>
      </c>
      <c r="AA120">
        <v>-2590.398029</v>
      </c>
      <c r="AB120">
        <v>3.7041197712816998</v>
      </c>
      <c r="AC120">
        <v>1.3086899999999999</v>
      </c>
      <c r="AD120">
        <v>1.35765</v>
      </c>
      <c r="AE120">
        <v>-3.4066710101252</v>
      </c>
      <c r="AF120">
        <v>-0.25629000000000002</v>
      </c>
      <c r="AG120">
        <v>0.82945999999999998</v>
      </c>
      <c r="AH120">
        <v>0.8024</v>
      </c>
      <c r="AI120">
        <v>4.4142308828109904</v>
      </c>
      <c r="AJ120">
        <v>0.18015999999999999</v>
      </c>
      <c r="AK120">
        <v>0.15953999999999999</v>
      </c>
    </row>
    <row r="121" spans="1:37">
      <c r="A121">
        <v>120</v>
      </c>
      <c r="B121">
        <v>0.38513802000000003</v>
      </c>
      <c r="C121">
        <v>0.34549677499999998</v>
      </c>
      <c r="D121">
        <v>0.36599625400000002</v>
      </c>
      <c r="E121">
        <v>0.38782213700000001</v>
      </c>
      <c r="F121">
        <v>3.3632581000000002E-2</v>
      </c>
      <c r="G121">
        <v>7.2143820999999997E-2</v>
      </c>
      <c r="H121">
        <v>0.17185178400000001</v>
      </c>
      <c r="I121">
        <v>8.2071922000000005E-2</v>
      </c>
      <c r="J121">
        <v>0.73664345899999994</v>
      </c>
      <c r="K121">
        <v>0.61884972900000002</v>
      </c>
      <c r="L121">
        <v>0.60379248900000004</v>
      </c>
      <c r="M121">
        <v>0.64992058699999999</v>
      </c>
      <c r="N121">
        <v>0.50928880899999995</v>
      </c>
      <c r="O121">
        <v>0.91048965699999995</v>
      </c>
      <c r="P121">
        <v>0.887649087</v>
      </c>
      <c r="Q121">
        <v>0.72609785166918295</v>
      </c>
      <c r="R121">
        <v>-0.68759138287313903</v>
      </c>
      <c r="S121">
        <v>0.204459830651398</v>
      </c>
      <c r="T121">
        <v>0.97887495506320998</v>
      </c>
      <c r="U121">
        <v>-4.6387977200000003</v>
      </c>
      <c r="V121">
        <v>12.33457031</v>
      </c>
      <c r="W121">
        <v>2.3478355949999998</v>
      </c>
      <c r="X121">
        <v>2.3344925660000002</v>
      </c>
      <c r="Y121">
        <v>1.391852807</v>
      </c>
      <c r="Z121">
        <v>1.389164622</v>
      </c>
      <c r="AA121">
        <v>-3222.0109000000002</v>
      </c>
      <c r="AB121">
        <v>2.2820913851114701</v>
      </c>
      <c r="AC121">
        <v>1.28911</v>
      </c>
      <c r="AD121">
        <v>1.2811900000000001</v>
      </c>
      <c r="AE121">
        <v>-3.4654624674128498</v>
      </c>
      <c r="AF121">
        <v>-0.26584000000000002</v>
      </c>
      <c r="AG121">
        <v>0.84206999999999999</v>
      </c>
      <c r="AH121">
        <v>0.85921999999999998</v>
      </c>
      <c r="AI121">
        <v>4.2466087509030004</v>
      </c>
      <c r="AJ121">
        <v>0.15459000000000001</v>
      </c>
      <c r="AK121">
        <v>0.16005999999999901</v>
      </c>
    </row>
    <row r="122" spans="1:37">
      <c r="A122">
        <v>121</v>
      </c>
      <c r="B122">
        <v>0.220547298</v>
      </c>
      <c r="C122">
        <v>0.19057228900000001</v>
      </c>
      <c r="D122">
        <v>0.22056437600000001</v>
      </c>
      <c r="E122">
        <v>0.19056944300000001</v>
      </c>
      <c r="F122">
        <v>3.5465639999999999E-3</v>
      </c>
      <c r="G122">
        <v>3.9683940000000001E-2</v>
      </c>
      <c r="H122">
        <v>3.9296835000000002E-2</v>
      </c>
      <c r="I122">
        <v>3.5408710000000001E-3</v>
      </c>
      <c r="J122">
        <v>0.43754803199999998</v>
      </c>
      <c r="K122">
        <v>0.34146063799999998</v>
      </c>
      <c r="L122">
        <v>0.34184205000000001</v>
      </c>
      <c r="M122">
        <v>0.43758788100000001</v>
      </c>
      <c r="N122">
        <v>0.44600260899999999</v>
      </c>
      <c r="O122">
        <v>0.82722232600000001</v>
      </c>
      <c r="P122">
        <v>0.82746692099999997</v>
      </c>
      <c r="Q122">
        <v>0.51082697367818397</v>
      </c>
      <c r="R122">
        <v>-0.85968354815175296</v>
      </c>
      <c r="S122">
        <v>-0.97554824715139499</v>
      </c>
      <c r="T122">
        <v>0.21978538959594199</v>
      </c>
      <c r="U122">
        <v>-15.80601587</v>
      </c>
      <c r="V122">
        <v>-15.589512210000001</v>
      </c>
      <c r="W122">
        <v>2.3103917209999998</v>
      </c>
      <c r="X122">
        <v>2.3100364249999998</v>
      </c>
      <c r="Y122">
        <v>1.3890438439999999</v>
      </c>
      <c r="Z122">
        <v>1.3891017290000001</v>
      </c>
      <c r="AA122">
        <v>-1612.532177</v>
      </c>
      <c r="AB122">
        <v>1.80276007555082</v>
      </c>
      <c r="AC122">
        <v>1.37405</v>
      </c>
      <c r="AD122">
        <v>1.3741000000000001</v>
      </c>
      <c r="AE122">
        <v>-1.3775652142095101</v>
      </c>
      <c r="AF122">
        <v>-0.29231000000000001</v>
      </c>
      <c r="AG122">
        <v>0.74756999999999996</v>
      </c>
      <c r="AH122">
        <v>0.74743000000000004</v>
      </c>
      <c r="AI122">
        <v>5.6716689859715004</v>
      </c>
      <c r="AJ122">
        <v>0.18851999999999999</v>
      </c>
      <c r="AK122">
        <v>0.188609999999999</v>
      </c>
    </row>
    <row r="123" spans="1:37">
      <c r="A123">
        <v>122</v>
      </c>
      <c r="B123">
        <v>0.38741510699999998</v>
      </c>
      <c r="C123">
        <v>0.369981157</v>
      </c>
      <c r="D123">
        <v>0.38719593800000002</v>
      </c>
      <c r="E123">
        <v>0.37058173900000002</v>
      </c>
      <c r="F123">
        <v>4.9424181999999997E-2</v>
      </c>
      <c r="G123">
        <v>0.16362580600000001</v>
      </c>
      <c r="H123">
        <v>0.16390474899999999</v>
      </c>
      <c r="I123">
        <v>5.0044687999999997E-2</v>
      </c>
      <c r="J123">
        <v>0.72540603299999995</v>
      </c>
      <c r="K123">
        <v>0.57633650800000003</v>
      </c>
      <c r="L123">
        <v>0.577258728</v>
      </c>
      <c r="M123">
        <v>0.72434718799999998</v>
      </c>
      <c r="N123">
        <v>0.51550270200000003</v>
      </c>
      <c r="O123">
        <v>0.89982063000000001</v>
      </c>
      <c r="P123">
        <v>0.89920914100000005</v>
      </c>
      <c r="Q123">
        <v>-0.348151124298195</v>
      </c>
      <c r="R123">
        <v>-0.93743842179094705</v>
      </c>
      <c r="S123">
        <v>0.51492915629573999</v>
      </c>
      <c r="T123">
        <v>-0.85723273619044404</v>
      </c>
      <c r="U123">
        <v>-4.7706976140000004</v>
      </c>
      <c r="V123">
        <v>-4.9147981830000003</v>
      </c>
      <c r="W123">
        <v>2.3297423400000001</v>
      </c>
      <c r="X123">
        <v>2.3295320820000001</v>
      </c>
      <c r="Y123">
        <v>1.389093632</v>
      </c>
      <c r="Z123">
        <v>1.3890443880000001</v>
      </c>
      <c r="AA123">
        <v>-2904.04963</v>
      </c>
      <c r="AB123">
        <v>4.9805180343012498</v>
      </c>
      <c r="AC123">
        <v>1.2734099999999999</v>
      </c>
      <c r="AD123">
        <v>1.2735300000000001</v>
      </c>
      <c r="AE123">
        <v>-3.6558553366754398</v>
      </c>
      <c r="AF123">
        <v>-0.28971999999999998</v>
      </c>
      <c r="AG123">
        <v>0.86319999999999997</v>
      </c>
      <c r="AH123">
        <v>0.86312999999999995</v>
      </c>
      <c r="AI123">
        <v>4.2291934644709999</v>
      </c>
      <c r="AJ123">
        <v>0.15440000000000001</v>
      </c>
      <c r="AK123">
        <v>0.154359999999999</v>
      </c>
    </row>
    <row r="124" spans="1:37">
      <c r="A124">
        <v>123</v>
      </c>
      <c r="B124">
        <v>0.25622356400000001</v>
      </c>
      <c r="C124">
        <v>0.26279580800000002</v>
      </c>
      <c r="D124">
        <v>0.48565719600000001</v>
      </c>
      <c r="E124">
        <v>0.483118243</v>
      </c>
      <c r="F124">
        <v>2.3533697999999999E-2</v>
      </c>
      <c r="G124">
        <v>1.4078093E-2</v>
      </c>
      <c r="H124">
        <v>0.40615838300000001</v>
      </c>
      <c r="I124">
        <v>0.191440429</v>
      </c>
      <c r="J124">
        <v>0.48891343100000001</v>
      </c>
      <c r="K124">
        <v>0.51151352299999997</v>
      </c>
      <c r="L124">
        <v>0.56007810400000002</v>
      </c>
      <c r="M124">
        <v>0.779873963</v>
      </c>
      <c r="N124">
        <v>0.58153769099999997</v>
      </c>
      <c r="O124">
        <v>0.88017144999999997</v>
      </c>
      <c r="P124">
        <v>0.87861652099999998</v>
      </c>
      <c r="Q124">
        <v>-0.99408347599183</v>
      </c>
      <c r="R124">
        <v>0.10861879561107</v>
      </c>
      <c r="S124">
        <v>0.81935856639708304</v>
      </c>
      <c r="T124">
        <v>0.57328137914266497</v>
      </c>
      <c r="U124">
        <v>22.520046149999999</v>
      </c>
      <c r="V124">
        <v>-3.4663082420000002</v>
      </c>
      <c r="W124">
        <v>2.2860744340000001</v>
      </c>
      <c r="X124">
        <v>2.2868293500000001</v>
      </c>
      <c r="Y124">
        <v>1.3886810220000001</v>
      </c>
      <c r="Z124">
        <v>1.3923640070000001</v>
      </c>
      <c r="AA124">
        <v>-2942.1039599999999</v>
      </c>
      <c r="AB124">
        <v>2.5027480196775702</v>
      </c>
      <c r="AC124">
        <v>1.42835</v>
      </c>
      <c r="AD124">
        <v>1.42357</v>
      </c>
      <c r="AE124">
        <v>-3.6981779467145102</v>
      </c>
      <c r="AF124">
        <v>-0.41775000000000001</v>
      </c>
      <c r="AG124">
        <v>1.51871</v>
      </c>
      <c r="AH124">
        <v>1.5334099999999999</v>
      </c>
      <c r="AI124">
        <v>5.3383295191090001</v>
      </c>
      <c r="AJ124">
        <v>0.31467000000000001</v>
      </c>
      <c r="AK124">
        <v>0.30464000000000002</v>
      </c>
    </row>
    <row r="125" spans="1:37">
      <c r="A125">
        <v>124</v>
      </c>
      <c r="B125">
        <v>0.38525472100000002</v>
      </c>
      <c r="C125">
        <v>0.649177687</v>
      </c>
      <c r="D125">
        <v>0.398356512</v>
      </c>
      <c r="E125">
        <v>0.57173963800000005</v>
      </c>
      <c r="F125">
        <v>5.1963134000000001E-2</v>
      </c>
      <c r="G125">
        <v>0.45343640899999998</v>
      </c>
      <c r="H125">
        <v>0.24129725699999999</v>
      </c>
      <c r="I125">
        <v>0.11678042600000001</v>
      </c>
      <c r="J125">
        <v>0.718546307</v>
      </c>
      <c r="K125">
        <v>0.84491896399999999</v>
      </c>
      <c r="L125">
        <v>0.90218201899999995</v>
      </c>
      <c r="M125">
        <v>0.67993259800000005</v>
      </c>
      <c r="N125">
        <v>0.55706065999999999</v>
      </c>
      <c r="O125">
        <v>0.91060030700000005</v>
      </c>
      <c r="P125">
        <v>0.88975144399999995</v>
      </c>
      <c r="Q125">
        <v>0.99990472572971301</v>
      </c>
      <c r="R125">
        <v>1.38036032754914E-2</v>
      </c>
      <c r="S125">
        <v>9.4235571282128394E-2</v>
      </c>
      <c r="T125">
        <v>0.99554992697761302</v>
      </c>
      <c r="U125">
        <v>-7.4926425270000001</v>
      </c>
      <c r="V125">
        <v>4.1113486339999996</v>
      </c>
      <c r="W125">
        <v>2.3318484339999999</v>
      </c>
      <c r="X125">
        <v>2.2843967790000002</v>
      </c>
      <c r="Y125">
        <v>1.3806332729999999</v>
      </c>
      <c r="Z125">
        <v>1.3950166399999999</v>
      </c>
      <c r="AA125">
        <v>-4323.7586490000003</v>
      </c>
      <c r="AB125">
        <v>2.2250451725751499</v>
      </c>
      <c r="AC125">
        <v>1.4185000000000001</v>
      </c>
      <c r="AD125">
        <v>1.4076500000000001</v>
      </c>
      <c r="AE125">
        <v>-6.9543675729788097</v>
      </c>
      <c r="AF125">
        <v>-0.37853999999999999</v>
      </c>
      <c r="AG125">
        <v>1.56965</v>
      </c>
      <c r="AH125">
        <v>1.5383</v>
      </c>
      <c r="AI125">
        <v>4.3951829132759999</v>
      </c>
      <c r="AJ125">
        <v>0.27366000000000001</v>
      </c>
      <c r="AK125">
        <v>0.32242999999999999</v>
      </c>
    </row>
    <row r="126" spans="1:37">
      <c r="A126">
        <v>125</v>
      </c>
      <c r="B126">
        <v>0.41557129300000001</v>
      </c>
      <c r="C126">
        <v>0.38819785600000001</v>
      </c>
      <c r="D126">
        <v>0.38559628400000001</v>
      </c>
      <c r="E126">
        <v>0.41787969000000003</v>
      </c>
      <c r="F126">
        <v>0.22687190800000001</v>
      </c>
      <c r="G126">
        <v>0.12449975200000001</v>
      </c>
      <c r="H126">
        <v>6.4060161000000004E-2</v>
      </c>
      <c r="I126">
        <v>0.11714476</v>
      </c>
      <c r="J126">
        <v>0.60427067700000003</v>
      </c>
      <c r="K126">
        <v>0.65189596000000005</v>
      </c>
      <c r="L126">
        <v>0.77169922000000002</v>
      </c>
      <c r="M126">
        <v>0.65404780699999998</v>
      </c>
      <c r="N126">
        <v>0.53666022199999996</v>
      </c>
      <c r="O126">
        <v>0.92174105500000003</v>
      </c>
      <c r="P126">
        <v>0.88975144399999995</v>
      </c>
      <c r="Q126">
        <v>0.75601931600159999</v>
      </c>
      <c r="R126">
        <v>-0.65454930588342397</v>
      </c>
      <c r="S126">
        <v>-0.76999145906032596</v>
      </c>
      <c r="T126">
        <v>0.63805419281919096</v>
      </c>
      <c r="U126">
        <v>4.7480541089999999</v>
      </c>
      <c r="V126">
        <v>15.05855214</v>
      </c>
      <c r="W126">
        <v>2.3427290140000001</v>
      </c>
      <c r="X126">
        <v>2.334470531</v>
      </c>
      <c r="Y126">
        <v>1.3950649070000001</v>
      </c>
      <c r="Z126">
        <v>1.3900586260000001</v>
      </c>
      <c r="AA126">
        <v>-2642.9211559999999</v>
      </c>
      <c r="AB126">
        <v>2.13155890605913</v>
      </c>
      <c r="AC126">
        <v>1.2745599999999999</v>
      </c>
      <c r="AD126">
        <v>1.28165</v>
      </c>
      <c r="AE126">
        <v>-3.7136209818906099</v>
      </c>
      <c r="AF126">
        <v>-0.24795</v>
      </c>
      <c r="AG126">
        <v>0.86965999999999999</v>
      </c>
      <c r="AH126">
        <v>0.85863</v>
      </c>
      <c r="AI126">
        <v>4.2702826558964997</v>
      </c>
      <c r="AJ126">
        <v>0.152749999999999</v>
      </c>
      <c r="AK126">
        <v>0.14976999999999899</v>
      </c>
    </row>
    <row r="127" spans="1:37">
      <c r="A127">
        <v>126</v>
      </c>
      <c r="B127">
        <v>0.237816159</v>
      </c>
      <c r="C127">
        <v>0.37556571399999999</v>
      </c>
      <c r="D127">
        <v>0.377407308</v>
      </c>
      <c r="E127">
        <v>0.52820741999999998</v>
      </c>
      <c r="F127">
        <v>4.4118567999999997E-2</v>
      </c>
      <c r="G127">
        <v>0.12817724799999999</v>
      </c>
      <c r="H127">
        <v>0.380302056</v>
      </c>
      <c r="I127">
        <v>0.20185810300000001</v>
      </c>
      <c r="J127">
        <v>0.431513751</v>
      </c>
      <c r="K127">
        <v>0.62295417900000005</v>
      </c>
      <c r="L127">
        <v>0.67611278399999997</v>
      </c>
      <c r="M127">
        <v>0.55295651300000004</v>
      </c>
      <c r="N127">
        <v>0.55968132699999995</v>
      </c>
      <c r="O127">
        <v>0.92040160299999996</v>
      </c>
      <c r="P127">
        <v>0.91358204399999998</v>
      </c>
      <c r="Q127">
        <v>0.76046320966451897</v>
      </c>
      <c r="R127">
        <v>-0.64938101816016902</v>
      </c>
      <c r="S127">
        <v>0.84410370695180104</v>
      </c>
      <c r="T127">
        <v>-0.53617994359191201</v>
      </c>
      <c r="U127">
        <v>17.80493237</v>
      </c>
      <c r="V127">
        <v>-17.3916951</v>
      </c>
      <c r="W127">
        <v>2.3096719280000002</v>
      </c>
      <c r="X127">
        <v>2.3429204449999999</v>
      </c>
      <c r="Y127">
        <v>1.3878757150000001</v>
      </c>
      <c r="Z127">
        <v>1.398005575</v>
      </c>
      <c r="AA127">
        <v>-2528.0504540000002</v>
      </c>
      <c r="AB127">
        <v>1.3336904888316401</v>
      </c>
      <c r="AC127">
        <v>1.36521</v>
      </c>
      <c r="AD127">
        <v>1.3733599999999999</v>
      </c>
      <c r="AE127">
        <v>-3.0976476641547599</v>
      </c>
      <c r="AF127">
        <v>-0.26978000000000002</v>
      </c>
      <c r="AG127">
        <v>0.78705000000000003</v>
      </c>
      <c r="AH127">
        <v>0.79386000000000001</v>
      </c>
      <c r="AI127">
        <v>4.3872916116115004</v>
      </c>
      <c r="AJ127">
        <v>0.190999999999999</v>
      </c>
      <c r="AK127">
        <v>0.18246000000000001</v>
      </c>
    </row>
    <row r="128" spans="1:37">
      <c r="A128">
        <v>127</v>
      </c>
      <c r="B128">
        <v>0.337999465</v>
      </c>
      <c r="C128">
        <v>0.38373191899999998</v>
      </c>
      <c r="D128">
        <v>0.28646043799999998</v>
      </c>
      <c r="E128">
        <v>0.41831518299999998</v>
      </c>
      <c r="F128">
        <v>9.5165174000000005E-2</v>
      </c>
      <c r="G128">
        <v>9.6309410999999998E-2</v>
      </c>
      <c r="H128">
        <v>4.9708817000000002E-2</v>
      </c>
      <c r="I128">
        <v>6.9337310000000003E-3</v>
      </c>
      <c r="J128">
        <v>0.58083375599999998</v>
      </c>
      <c r="K128">
        <v>0.67115442599999997</v>
      </c>
      <c r="L128">
        <v>0.786921549</v>
      </c>
      <c r="M128">
        <v>0.565987146</v>
      </c>
      <c r="N128">
        <v>0.50398923799999995</v>
      </c>
      <c r="O128">
        <v>0.91048965699999995</v>
      </c>
      <c r="P128">
        <v>0.830122531</v>
      </c>
      <c r="Q128">
        <v>2.55296300831418E-2</v>
      </c>
      <c r="R128">
        <v>-0.99967406587738195</v>
      </c>
      <c r="S128">
        <v>-0.95963240020450402</v>
      </c>
      <c r="T128">
        <v>-0.281257278088481</v>
      </c>
      <c r="U128">
        <v>5.1443374530000003</v>
      </c>
      <c r="V128">
        <v>6.5041336660000004</v>
      </c>
      <c r="W128">
        <v>2.3810247269999998</v>
      </c>
      <c r="X128">
        <v>2.0933063349999999</v>
      </c>
      <c r="Y128">
        <v>1.391460479</v>
      </c>
      <c r="Z128">
        <v>1.4027712050000001</v>
      </c>
      <c r="AA128">
        <v>-2355.4678090000002</v>
      </c>
      <c r="AB128">
        <v>2.00095264561658</v>
      </c>
      <c r="AC128">
        <v>1.3939699999999999</v>
      </c>
      <c r="AD128">
        <v>1.2986599999999999</v>
      </c>
      <c r="AE128">
        <v>-3.39467612547076</v>
      </c>
      <c r="AF128">
        <v>1.057E-2</v>
      </c>
      <c r="AG128">
        <v>-0.54810000000000003</v>
      </c>
      <c r="AH128">
        <v>0.85829999999999995</v>
      </c>
      <c r="AI128">
        <v>4.7391348203080002</v>
      </c>
      <c r="AJ128">
        <v>0.14668999999999999</v>
      </c>
      <c r="AK128">
        <v>8.9369999999999894E-2</v>
      </c>
    </row>
    <row r="129" spans="1:37">
      <c r="A129">
        <v>128</v>
      </c>
      <c r="B129">
        <v>0.36079595599999997</v>
      </c>
      <c r="C129">
        <v>0.36430836300000002</v>
      </c>
      <c r="D129">
        <v>0.38493592799999998</v>
      </c>
      <c r="E129">
        <v>0.331469917</v>
      </c>
      <c r="F129">
        <v>0.101051445</v>
      </c>
      <c r="G129">
        <v>7.8684753999999996E-2</v>
      </c>
      <c r="H129">
        <v>5.3067520999999999E-2</v>
      </c>
      <c r="I129">
        <v>0.146661505</v>
      </c>
      <c r="J129">
        <v>0.62054046699999998</v>
      </c>
      <c r="K129">
        <v>0.64993197199999997</v>
      </c>
      <c r="L129">
        <v>0.60987231200000003</v>
      </c>
      <c r="M129">
        <v>0.62321035199999997</v>
      </c>
      <c r="N129">
        <v>0.535809961</v>
      </c>
      <c r="O129">
        <v>0.90113096299999995</v>
      </c>
      <c r="P129">
        <v>0.92912551200000004</v>
      </c>
      <c r="Q129">
        <v>0.942572816640598</v>
      </c>
      <c r="R129">
        <v>-0.33400072654143897</v>
      </c>
      <c r="S129">
        <v>0.62055983115907498</v>
      </c>
      <c r="T129">
        <v>0.78415910117260001</v>
      </c>
      <c r="U129">
        <v>5.2534154280000003</v>
      </c>
      <c r="V129">
        <v>5.6728076669999998</v>
      </c>
      <c r="W129">
        <v>2.4103878710000002</v>
      </c>
      <c r="X129">
        <v>2.3715001149999999</v>
      </c>
      <c r="Y129">
        <v>1.3969627120000001</v>
      </c>
      <c r="Z129">
        <v>1.391276001</v>
      </c>
      <c r="AA129">
        <v>-3496.1554689999998</v>
      </c>
      <c r="AB129">
        <v>1.86783627226799</v>
      </c>
      <c r="AC129">
        <v>1.3113900000000001</v>
      </c>
      <c r="AD129">
        <v>1.3479000000000001</v>
      </c>
      <c r="AE129">
        <v>-3.18243317252854</v>
      </c>
      <c r="AF129">
        <v>-0.24961</v>
      </c>
      <c r="AG129">
        <v>0.80530000000000002</v>
      </c>
      <c r="AH129">
        <v>0.81779000000000002</v>
      </c>
      <c r="AI129">
        <v>5.0474398129244999</v>
      </c>
      <c r="AJ129">
        <v>0.17036000000000001</v>
      </c>
      <c r="AK129">
        <v>0.16908000000000001</v>
      </c>
    </row>
    <row r="130" spans="1:37">
      <c r="A130">
        <v>129</v>
      </c>
      <c r="B130">
        <v>0.41907800699999997</v>
      </c>
      <c r="C130">
        <v>0.38806976999999998</v>
      </c>
      <c r="D130">
        <v>0.38281823700000001</v>
      </c>
      <c r="E130">
        <v>0.40517923500000003</v>
      </c>
      <c r="F130">
        <v>0.24400129800000001</v>
      </c>
      <c r="G130">
        <v>0.129127932</v>
      </c>
      <c r="H130">
        <v>4.2097652999999999E-2</v>
      </c>
      <c r="I130">
        <v>6.5591501999999996E-2</v>
      </c>
      <c r="J130">
        <v>0.594154717</v>
      </c>
      <c r="K130">
        <v>0.64701160700000004</v>
      </c>
      <c r="L130">
        <v>0.76826081800000001</v>
      </c>
      <c r="M130">
        <v>0.70004497200000004</v>
      </c>
      <c r="N130">
        <v>0.537504659</v>
      </c>
      <c r="O130">
        <v>0.92287667699999998</v>
      </c>
      <c r="P130">
        <v>0.90157356499999997</v>
      </c>
      <c r="Q130">
        <v>-0.78581117528691002</v>
      </c>
      <c r="R130">
        <v>0.61846648801224802</v>
      </c>
      <c r="S130">
        <v>-0.98972317927048303</v>
      </c>
      <c r="T130">
        <v>0.142996602808344</v>
      </c>
      <c r="U130">
        <v>-13.097202279999999</v>
      </c>
      <c r="V130">
        <v>2.2315110690000002</v>
      </c>
      <c r="W130">
        <v>2.370928401</v>
      </c>
      <c r="X130">
        <v>2.3097901150000002</v>
      </c>
      <c r="Y130">
        <v>1.393691263</v>
      </c>
      <c r="Z130">
        <v>1.3869516</v>
      </c>
      <c r="AA130">
        <v>-2799.7975569999999</v>
      </c>
      <c r="AB130">
        <v>2.00180871463784</v>
      </c>
      <c r="AC130">
        <v>1.2661800000000001</v>
      </c>
      <c r="AD130">
        <v>1.2840199999999999</v>
      </c>
      <c r="AE130">
        <v>-4.1056853959734196</v>
      </c>
      <c r="AF130">
        <v>-0.25802999999999998</v>
      </c>
      <c r="AG130">
        <v>0.84577000000000002</v>
      </c>
      <c r="AH130">
        <v>0.85731000000000002</v>
      </c>
      <c r="AI130">
        <v>4.3181746935845</v>
      </c>
      <c r="AJ130">
        <v>0.15003999999999901</v>
      </c>
      <c r="AK130">
        <v>0.15379000000000001</v>
      </c>
    </row>
    <row r="131" spans="1:37">
      <c r="A131">
        <v>130</v>
      </c>
      <c r="B131">
        <v>0.41573353499999999</v>
      </c>
      <c r="C131">
        <v>0.46730387200000001</v>
      </c>
      <c r="D131">
        <v>0.42331339000000001</v>
      </c>
      <c r="E131">
        <v>0.43458497200000001</v>
      </c>
      <c r="F131">
        <v>6.2807763000000003E-2</v>
      </c>
      <c r="G131">
        <v>0.23202381799999999</v>
      </c>
      <c r="H131">
        <v>0.22022281299999999</v>
      </c>
      <c r="I131">
        <v>5.8282051000000001E-2</v>
      </c>
      <c r="J131">
        <v>0.76865930800000004</v>
      </c>
      <c r="K131">
        <v>0.702583925</v>
      </c>
      <c r="L131">
        <v>0.64894713199999998</v>
      </c>
      <c r="M131">
        <v>0.78834472799999999</v>
      </c>
      <c r="N131">
        <v>0.51477473900000004</v>
      </c>
      <c r="O131">
        <v>0.89712425500000004</v>
      </c>
      <c r="P131">
        <v>0.89898783999999998</v>
      </c>
      <c r="Q131">
        <v>-0.64320184235038402</v>
      </c>
      <c r="R131">
        <v>-0.76569666970483197</v>
      </c>
      <c r="S131">
        <v>-0.80736328810643598</v>
      </c>
      <c r="T131">
        <v>0.59005467629531005</v>
      </c>
      <c r="U131">
        <v>-4.4389995219999996</v>
      </c>
      <c r="V131">
        <v>-3.2572597820000002</v>
      </c>
      <c r="W131">
        <v>2.3317062970000002</v>
      </c>
      <c r="X131">
        <v>2.3330000709999998</v>
      </c>
      <c r="Y131">
        <v>1.3894563799999999</v>
      </c>
      <c r="Z131">
        <v>1.3893100249999999</v>
      </c>
      <c r="AA131">
        <v>-3677.2288279999998</v>
      </c>
      <c r="AB131">
        <v>4.4022754343634602</v>
      </c>
      <c r="AC131">
        <v>1.26827</v>
      </c>
      <c r="AD131">
        <v>1.2685599999999999</v>
      </c>
      <c r="AE131">
        <v>-5.1754957338111698</v>
      </c>
      <c r="AF131">
        <v>-0.28299999999999997</v>
      </c>
      <c r="AG131">
        <v>0.86516000000000004</v>
      </c>
      <c r="AH131">
        <v>0.86767000000000005</v>
      </c>
      <c r="AI131">
        <v>4.4330067384955001</v>
      </c>
      <c r="AJ131">
        <v>0.15211999999999901</v>
      </c>
      <c r="AK131">
        <v>0.15154999999999999</v>
      </c>
    </row>
    <row r="132" spans="1:37">
      <c r="A132">
        <v>131</v>
      </c>
      <c r="B132">
        <v>0.54825717399999996</v>
      </c>
      <c r="C132">
        <v>0.32546694500000001</v>
      </c>
      <c r="D132">
        <v>0.35147128300000002</v>
      </c>
      <c r="E132">
        <v>0.42200121800000001</v>
      </c>
      <c r="F132">
        <v>0.48086392700000002</v>
      </c>
      <c r="G132">
        <v>5.6238365999999998E-2</v>
      </c>
      <c r="H132">
        <v>0.283770629</v>
      </c>
      <c r="I132">
        <v>5.2521020000000002E-2</v>
      </c>
      <c r="J132">
        <v>0.61565042199999997</v>
      </c>
      <c r="K132">
        <v>0.594695525</v>
      </c>
      <c r="L132">
        <v>0.56023180699999997</v>
      </c>
      <c r="M132">
        <v>0.65042154600000002</v>
      </c>
      <c r="N132">
        <v>0.51945117399999996</v>
      </c>
      <c r="O132">
        <v>0.89523155099999996</v>
      </c>
      <c r="P132">
        <v>0.90467759999999997</v>
      </c>
      <c r="Q132">
        <v>0.82666538853871896</v>
      </c>
      <c r="R132">
        <v>-0.56269382028962001</v>
      </c>
      <c r="S132">
        <v>-0.33417713467050297</v>
      </c>
      <c r="T132">
        <v>-0.94251028782895097</v>
      </c>
      <c r="U132">
        <v>2.745711896</v>
      </c>
      <c r="V132">
        <v>16.099993260000002</v>
      </c>
      <c r="W132">
        <v>2.3567990559999998</v>
      </c>
      <c r="X132">
        <v>2.4451272130000001</v>
      </c>
      <c r="Y132">
        <v>1.3948758139999999</v>
      </c>
      <c r="Z132">
        <v>1.3991193319999999</v>
      </c>
      <c r="AA132">
        <v>-3138.5041959999999</v>
      </c>
      <c r="AB132">
        <v>5.05187057039271</v>
      </c>
      <c r="AC132">
        <v>1.38971</v>
      </c>
      <c r="AD132">
        <v>1.37782</v>
      </c>
      <c r="AE132">
        <v>-3.9151412586213499</v>
      </c>
      <c r="AF132">
        <v>-0.20966000000000001</v>
      </c>
      <c r="AG132">
        <v>0.76619000000000004</v>
      </c>
      <c r="AH132">
        <v>0.76066</v>
      </c>
      <c r="AI132">
        <v>4.3834820177045</v>
      </c>
      <c r="AJ132">
        <v>0.17874999999999899</v>
      </c>
      <c r="AK132">
        <v>0.16148000000000001</v>
      </c>
    </row>
    <row r="133" spans="1:37">
      <c r="A133">
        <v>132</v>
      </c>
      <c r="B133">
        <v>0.31766222799999999</v>
      </c>
      <c r="C133">
        <v>0.35584044399999998</v>
      </c>
      <c r="D133">
        <v>0.40385852500000002</v>
      </c>
      <c r="E133">
        <v>0.42834290699999999</v>
      </c>
      <c r="F133">
        <v>2.234392E-2</v>
      </c>
      <c r="G133">
        <v>4.2296897999999999E-2</v>
      </c>
      <c r="H133">
        <v>0.16926728999999999</v>
      </c>
      <c r="I133">
        <v>5.7143508000000003E-2</v>
      </c>
      <c r="J133">
        <v>0.61298053699999999</v>
      </c>
      <c r="K133">
        <v>0.66938399100000001</v>
      </c>
      <c r="L133">
        <v>0.68741852299999995</v>
      </c>
      <c r="M133">
        <v>0.75057354099999996</v>
      </c>
      <c r="N133">
        <v>0.515322167</v>
      </c>
      <c r="O133">
        <v>0.85989913299999998</v>
      </c>
      <c r="P133">
        <v>0.86526276599999996</v>
      </c>
      <c r="Q133">
        <v>-0.75675078403203699</v>
      </c>
      <c r="R133">
        <v>0.65370348849221804</v>
      </c>
      <c r="S133">
        <v>0.92162314109218901</v>
      </c>
      <c r="T133">
        <v>0.38808605463655299</v>
      </c>
      <c r="U133">
        <v>5.3393501170000004</v>
      </c>
      <c r="V133">
        <v>-17.134736409999999</v>
      </c>
      <c r="W133">
        <v>2.2706392709999998</v>
      </c>
      <c r="X133">
        <v>2.2747563529999999</v>
      </c>
      <c r="Y133">
        <v>1.3831872810000001</v>
      </c>
      <c r="Z133">
        <v>1.3882525290000001</v>
      </c>
      <c r="AA133">
        <v>-3400.88546</v>
      </c>
      <c r="AB133">
        <v>3.7323672354150799</v>
      </c>
      <c r="AC133">
        <v>1.41357</v>
      </c>
      <c r="AD133">
        <v>1.41222</v>
      </c>
      <c r="AE133">
        <v>-4.4938506879712801</v>
      </c>
      <c r="AF133">
        <v>-0.42780000000000001</v>
      </c>
      <c r="AG133">
        <v>1.5315000000000001</v>
      </c>
      <c r="AH133">
        <v>1.53759</v>
      </c>
      <c r="AI133">
        <v>3.9328614812764999</v>
      </c>
      <c r="AJ133">
        <v>0.31436999999999998</v>
      </c>
      <c r="AK133">
        <v>0.30021999999999899</v>
      </c>
    </row>
    <row r="134" spans="1:37">
      <c r="A134">
        <v>133</v>
      </c>
      <c r="B134">
        <v>0.37707143799999998</v>
      </c>
      <c r="C134">
        <v>0.43159344900000002</v>
      </c>
      <c r="D134">
        <v>0.37621183699999999</v>
      </c>
      <c r="E134">
        <v>0.43652618900000001</v>
      </c>
      <c r="F134">
        <v>0.18028269999999999</v>
      </c>
      <c r="G134">
        <v>0.101096987</v>
      </c>
      <c r="H134">
        <v>0.10551453600000001</v>
      </c>
      <c r="I134">
        <v>0.178609041</v>
      </c>
      <c r="J134">
        <v>0.57386017499999997</v>
      </c>
      <c r="K134">
        <v>0.76208991100000001</v>
      </c>
      <c r="L134">
        <v>0.76753784199999997</v>
      </c>
      <c r="M134">
        <v>0.57381463399999999</v>
      </c>
      <c r="N134">
        <v>0.54057957499999998</v>
      </c>
      <c r="O134">
        <v>0.90620341000000004</v>
      </c>
      <c r="P134">
        <v>0.90597046199999998</v>
      </c>
      <c r="Q134">
        <v>0.64349912858979996</v>
      </c>
      <c r="R134">
        <v>0.76544684433614796</v>
      </c>
      <c r="S134">
        <v>-0.84529832070029198</v>
      </c>
      <c r="T134">
        <v>0.53429462754295498</v>
      </c>
      <c r="U134">
        <v>5.9627665690000002</v>
      </c>
      <c r="V134">
        <v>6.4028394950000003</v>
      </c>
      <c r="W134">
        <v>2.3747968629999998</v>
      </c>
      <c r="X134">
        <v>2.373400137</v>
      </c>
      <c r="Y134">
        <v>1.3933798150000001</v>
      </c>
      <c r="Z134">
        <v>1.393517364</v>
      </c>
      <c r="AA134">
        <v>-3061.9940000000001</v>
      </c>
      <c r="AB134">
        <v>3.0403065141528001</v>
      </c>
      <c r="AC134">
        <v>1.27956</v>
      </c>
      <c r="AD134">
        <v>1.2793600000000001</v>
      </c>
      <c r="AE134">
        <v>-4.0210035983514896</v>
      </c>
      <c r="AF134">
        <v>-0.25794</v>
      </c>
      <c r="AG134">
        <v>0.84887999999999997</v>
      </c>
      <c r="AH134">
        <v>0.84823999999999999</v>
      </c>
      <c r="AI134">
        <v>3.841703341359</v>
      </c>
      <c r="AJ134">
        <v>0.14893999999999999</v>
      </c>
      <c r="AK134">
        <v>0.14896999999999999</v>
      </c>
    </row>
    <row r="135" spans="1:37">
      <c r="A135">
        <v>134</v>
      </c>
      <c r="B135">
        <v>0.38362944999999998</v>
      </c>
      <c r="C135">
        <v>0.32277713600000002</v>
      </c>
      <c r="D135">
        <v>0.381722389</v>
      </c>
      <c r="E135">
        <v>0.32153042999999998</v>
      </c>
      <c r="F135">
        <v>2.3249062000000001E-2</v>
      </c>
      <c r="G135">
        <v>4.6691677000000001E-2</v>
      </c>
      <c r="H135">
        <v>4.5917466999999997E-2</v>
      </c>
      <c r="I135">
        <v>2.0977666999999998E-2</v>
      </c>
      <c r="J135">
        <v>0.74400983700000001</v>
      </c>
      <c r="K135">
        <v>0.59886259500000005</v>
      </c>
      <c r="L135">
        <v>0.59714339400000005</v>
      </c>
      <c r="M135">
        <v>0.74246710999999999</v>
      </c>
      <c r="N135">
        <v>0.51262579200000002</v>
      </c>
      <c r="O135">
        <v>0.91376257900000002</v>
      </c>
      <c r="P135">
        <v>0.91368104699999997</v>
      </c>
      <c r="Q135">
        <v>0.78090370515992802</v>
      </c>
      <c r="R135">
        <v>-0.62465142541060104</v>
      </c>
      <c r="S135">
        <v>0.77199200129158196</v>
      </c>
      <c r="T135">
        <v>-0.63563224425906495</v>
      </c>
      <c r="U135">
        <v>-9.3677056679999993</v>
      </c>
      <c r="V135">
        <v>-8.8979183319999997</v>
      </c>
      <c r="W135">
        <v>2.345453907</v>
      </c>
      <c r="X135">
        <v>2.3468502619999998</v>
      </c>
      <c r="Y135">
        <v>1.3910497799999999</v>
      </c>
      <c r="Z135">
        <v>1.3912711959999999</v>
      </c>
      <c r="AA135">
        <v>-3069.6005169999999</v>
      </c>
      <c r="AB135">
        <v>0.30241092903531103</v>
      </c>
      <c r="AC135">
        <v>1.35656</v>
      </c>
      <c r="AD135">
        <v>1.3560099999999999</v>
      </c>
      <c r="AE135">
        <v>-4.8901640264938697</v>
      </c>
      <c r="AF135">
        <v>-0.27365</v>
      </c>
      <c r="AG135">
        <v>0.81823999999999997</v>
      </c>
      <c r="AH135">
        <v>0.81818999999999997</v>
      </c>
      <c r="AI135">
        <v>3.43407679331</v>
      </c>
      <c r="AJ135">
        <v>0.17657999999999899</v>
      </c>
      <c r="AK135">
        <v>0.17646000000000001</v>
      </c>
    </row>
    <row r="136" spans="1:37">
      <c r="A136">
        <v>135</v>
      </c>
      <c r="B136">
        <v>0.399699994</v>
      </c>
      <c r="C136">
        <v>0.216326147</v>
      </c>
      <c r="D136">
        <v>0.426914034</v>
      </c>
      <c r="E136">
        <v>0.25508217399999999</v>
      </c>
      <c r="F136">
        <v>5.4752566000000003E-2</v>
      </c>
      <c r="G136">
        <v>7.0305070000000001E-3</v>
      </c>
      <c r="H136">
        <v>1.8017453999999999E-2</v>
      </c>
      <c r="I136">
        <v>0.17478922699999999</v>
      </c>
      <c r="J136">
        <v>0.74464742100000003</v>
      </c>
      <c r="K136">
        <v>0.42562178699999997</v>
      </c>
      <c r="L136">
        <v>0.49214689499999997</v>
      </c>
      <c r="M136">
        <v>0.679038841</v>
      </c>
      <c r="N136">
        <v>0.49712891399999998</v>
      </c>
      <c r="O136">
        <v>0.86629938500000003</v>
      </c>
      <c r="P136">
        <v>0.84073914500000002</v>
      </c>
      <c r="Q136">
        <v>-0.93044897675432103</v>
      </c>
      <c r="R136">
        <v>-0.36642148088892901</v>
      </c>
      <c r="S136">
        <v>0.29321550664568402</v>
      </c>
      <c r="T136">
        <v>0.95604637265276704</v>
      </c>
      <c r="U136">
        <v>0.80321041299999996</v>
      </c>
      <c r="V136">
        <v>9.9863848659999999</v>
      </c>
      <c r="W136">
        <v>2.2754643080000001</v>
      </c>
      <c r="X136">
        <v>2.2781460020000002</v>
      </c>
      <c r="Y136">
        <v>1.387497988</v>
      </c>
      <c r="Z136">
        <v>1.385621537</v>
      </c>
      <c r="AA136">
        <v>-3177.384102</v>
      </c>
      <c r="AB136">
        <v>3.4299067188481902</v>
      </c>
      <c r="AC136">
        <v>1.40541</v>
      </c>
      <c r="AD136">
        <v>1.41473</v>
      </c>
      <c r="AE136">
        <v>-4.1907201143749102</v>
      </c>
      <c r="AF136">
        <v>-0.42773</v>
      </c>
      <c r="AG136">
        <v>1.5172399999999999</v>
      </c>
      <c r="AH136">
        <v>1.5281100000000001</v>
      </c>
      <c r="AI136">
        <v>4.5761386238585002</v>
      </c>
      <c r="AJ136">
        <v>0.30575999999999998</v>
      </c>
      <c r="AK136">
        <v>0.30630000000000002</v>
      </c>
    </row>
    <row r="137" spans="1:37">
      <c r="A137">
        <v>136</v>
      </c>
      <c r="B137">
        <v>0.278544713</v>
      </c>
      <c r="C137">
        <v>0.28347745400000002</v>
      </c>
      <c r="D137">
        <v>0.27862441199999999</v>
      </c>
      <c r="E137">
        <v>0.28380763199999998</v>
      </c>
      <c r="F137">
        <v>3.5551026999999999E-2</v>
      </c>
      <c r="G137">
        <v>5.0380557999999999E-2</v>
      </c>
      <c r="H137">
        <v>5.0744892E-2</v>
      </c>
      <c r="I137">
        <v>3.5573797999999997E-2</v>
      </c>
      <c r="J137">
        <v>0.52153839999999996</v>
      </c>
      <c r="K137">
        <v>0.51657434999999996</v>
      </c>
      <c r="L137">
        <v>0.516870371</v>
      </c>
      <c r="M137">
        <v>0.52167502499999996</v>
      </c>
      <c r="N137">
        <v>0.51439037499999996</v>
      </c>
      <c r="O137">
        <v>0.88812080699999996</v>
      </c>
      <c r="P137">
        <v>0.88795774299999997</v>
      </c>
      <c r="Q137">
        <v>-0.57537304324270799</v>
      </c>
      <c r="R137">
        <v>-0.81789110589957104</v>
      </c>
      <c r="S137">
        <v>-0.70324180742411602</v>
      </c>
      <c r="T137">
        <v>-0.71095074392735702</v>
      </c>
      <c r="U137">
        <v>13.25082027</v>
      </c>
      <c r="V137">
        <v>13.209000420000001</v>
      </c>
      <c r="W137">
        <v>2.3299371369999999</v>
      </c>
      <c r="X137">
        <v>2.3297493720000002</v>
      </c>
      <c r="Y137">
        <v>1.3921880609999999</v>
      </c>
      <c r="Z137">
        <v>1.3922020479999999</v>
      </c>
      <c r="AA137">
        <v>-3182.5111440000001</v>
      </c>
      <c r="AB137">
        <v>1.5520378958002199</v>
      </c>
      <c r="AC137">
        <v>1.34626</v>
      </c>
      <c r="AD137">
        <v>1.34629</v>
      </c>
      <c r="AE137">
        <v>-2.1808990352075699</v>
      </c>
      <c r="AF137">
        <v>-0.25668999999999997</v>
      </c>
      <c r="AG137">
        <v>0.81418999999999997</v>
      </c>
      <c r="AH137">
        <v>0.81427000000000005</v>
      </c>
      <c r="AI137">
        <v>5.0275755018380002</v>
      </c>
      <c r="AJ137">
        <v>0.1867</v>
      </c>
      <c r="AK137">
        <v>0.1867</v>
      </c>
    </row>
    <row r="138" spans="1:37">
      <c r="A138">
        <v>137</v>
      </c>
      <c r="B138">
        <v>0.32222778800000001</v>
      </c>
      <c r="C138">
        <v>0.33222420200000002</v>
      </c>
      <c r="D138">
        <v>0.32219647800000001</v>
      </c>
      <c r="E138">
        <v>0.332394984</v>
      </c>
      <c r="F138">
        <v>7.2935108999999998E-2</v>
      </c>
      <c r="G138">
        <v>5.4240220999999998E-2</v>
      </c>
      <c r="H138">
        <v>5.4086518E-2</v>
      </c>
      <c r="I138">
        <v>7.2992035999999996E-2</v>
      </c>
      <c r="J138">
        <v>0.571520468</v>
      </c>
      <c r="K138">
        <v>0.61020818300000002</v>
      </c>
      <c r="L138">
        <v>0.61070344899999995</v>
      </c>
      <c r="M138">
        <v>0.57140092099999995</v>
      </c>
      <c r="N138">
        <v>0.51627143099999995</v>
      </c>
      <c r="O138">
        <v>0.89003098199999997</v>
      </c>
      <c r="P138">
        <v>0.89022316400000001</v>
      </c>
      <c r="Q138">
        <v>-0.45715570451531901</v>
      </c>
      <c r="R138">
        <v>-0.88938667733955901</v>
      </c>
      <c r="S138">
        <v>0.73507432793693595</v>
      </c>
      <c r="T138">
        <v>-0.67798652819068705</v>
      </c>
      <c r="U138">
        <v>12.52465057</v>
      </c>
      <c r="V138">
        <v>12.44467652</v>
      </c>
      <c r="W138">
        <v>2.329766105</v>
      </c>
      <c r="X138">
        <v>2.3295423350000002</v>
      </c>
      <c r="Y138">
        <v>1.3919870640000001</v>
      </c>
      <c r="Z138">
        <v>1.3920111209999999</v>
      </c>
      <c r="AA138">
        <v>-3339.3515470000002</v>
      </c>
      <c r="AB138">
        <v>1.51475398002447</v>
      </c>
      <c r="AC138">
        <v>1.33917</v>
      </c>
      <c r="AD138">
        <v>1.3394900000000001</v>
      </c>
      <c r="AE138">
        <v>-2.5650284406992201</v>
      </c>
      <c r="AF138">
        <v>-0.26174999999999998</v>
      </c>
      <c r="AG138">
        <v>0.83037000000000005</v>
      </c>
      <c r="AH138">
        <v>0.83043</v>
      </c>
      <c r="AI138">
        <v>5.0202284278744997</v>
      </c>
      <c r="AJ138">
        <v>0.18681</v>
      </c>
      <c r="AK138">
        <v>0.18673999999999899</v>
      </c>
    </row>
    <row r="139" spans="1:37">
      <c r="A139">
        <v>138</v>
      </c>
      <c r="B139">
        <v>0.39712688499999999</v>
      </c>
      <c r="C139">
        <v>0.26259940900000001</v>
      </c>
      <c r="D139">
        <v>0.37617198800000001</v>
      </c>
      <c r="E139">
        <v>0.24400414400000001</v>
      </c>
      <c r="F139">
        <v>0.15907732399999999</v>
      </c>
      <c r="G139">
        <v>5.1940363000000003E-2</v>
      </c>
      <c r="H139">
        <v>4.6845379999999999E-2</v>
      </c>
      <c r="I139">
        <v>0.150999357</v>
      </c>
      <c r="J139">
        <v>0.63517644600000001</v>
      </c>
      <c r="K139">
        <v>0.47325845500000002</v>
      </c>
      <c r="L139">
        <v>0.44116290899999999</v>
      </c>
      <c r="M139">
        <v>0.60134462</v>
      </c>
      <c r="N139">
        <v>0.48930767800000002</v>
      </c>
      <c r="O139">
        <v>0.90852124499999998</v>
      </c>
      <c r="P139">
        <v>0.90050782699999998</v>
      </c>
      <c r="Q139">
        <v>0.27170857910141799</v>
      </c>
      <c r="R139">
        <v>-0.96237957586530698</v>
      </c>
      <c r="S139">
        <v>0.99109834891661996</v>
      </c>
      <c r="T139">
        <v>0.13313174968710101</v>
      </c>
      <c r="U139">
        <v>-2.95794881</v>
      </c>
      <c r="V139">
        <v>-15.93196223</v>
      </c>
      <c r="W139">
        <v>2.311089833</v>
      </c>
      <c r="X139">
        <v>2.3140351479999999</v>
      </c>
      <c r="Y139">
        <v>1.3882965140000001</v>
      </c>
      <c r="Z139">
        <v>1.389539702</v>
      </c>
      <c r="AA139">
        <v>-2295.5316910000001</v>
      </c>
      <c r="AB139">
        <v>2.2796646025238001</v>
      </c>
      <c r="AC139">
        <v>1.35907</v>
      </c>
      <c r="AD139">
        <v>1.36758</v>
      </c>
      <c r="AE139">
        <v>-2.3060729357174101</v>
      </c>
      <c r="AF139">
        <v>-0.28288000000000002</v>
      </c>
      <c r="AG139">
        <v>0.79964000000000002</v>
      </c>
      <c r="AH139">
        <v>0.79881999999999997</v>
      </c>
      <c r="AI139">
        <v>4.5296071554230002</v>
      </c>
      <c r="AJ139">
        <v>0.18733</v>
      </c>
      <c r="AK139">
        <v>0.18221999999999999</v>
      </c>
    </row>
    <row r="140" spans="1:37">
      <c r="A140">
        <v>139</v>
      </c>
      <c r="B140">
        <v>0.54174755100000005</v>
      </c>
      <c r="C140">
        <v>0.37953638499999998</v>
      </c>
      <c r="D140">
        <v>0.37092330200000001</v>
      </c>
      <c r="E140">
        <v>0.37411691699999999</v>
      </c>
      <c r="F140">
        <v>0.34072058399999999</v>
      </c>
      <c r="G140">
        <v>0.19060359900000001</v>
      </c>
      <c r="H140">
        <v>0.100510637</v>
      </c>
      <c r="I140">
        <v>0.15422712799999999</v>
      </c>
      <c r="J140">
        <v>0.74277451699999997</v>
      </c>
      <c r="K140">
        <v>0.56846917100000005</v>
      </c>
      <c r="L140">
        <v>0.64772319700000003</v>
      </c>
      <c r="M140">
        <v>0.58761947599999997</v>
      </c>
      <c r="N140">
        <v>0.59546216900000004</v>
      </c>
      <c r="O140">
        <v>0.90527744099999996</v>
      </c>
      <c r="P140">
        <v>0.87494758699999997</v>
      </c>
      <c r="Q140">
        <v>0.55531199229408801</v>
      </c>
      <c r="R140">
        <v>-0.83164210524381799</v>
      </c>
      <c r="S140">
        <v>-0.87319845722310496</v>
      </c>
      <c r="T140">
        <v>-0.48736480618032801</v>
      </c>
      <c r="U140">
        <v>4.078225196</v>
      </c>
      <c r="V140">
        <v>28.005486749999999</v>
      </c>
      <c r="W140">
        <v>2.39199574</v>
      </c>
      <c r="X140">
        <v>2.3372934889999999</v>
      </c>
      <c r="Y140">
        <v>1.4040337249999999</v>
      </c>
      <c r="Z140">
        <v>1.387965766</v>
      </c>
      <c r="AA140">
        <v>-2871.0739119999998</v>
      </c>
      <c r="AB140">
        <v>2.6497431592514702</v>
      </c>
      <c r="AC140">
        <v>1.2961199999999999</v>
      </c>
      <c r="AD140">
        <v>1.3435600000000001</v>
      </c>
      <c r="AE140">
        <v>-4.0686001503303704</v>
      </c>
      <c r="AF140">
        <v>-0.25546999999999997</v>
      </c>
      <c r="AG140">
        <v>1.05036</v>
      </c>
      <c r="AH140">
        <v>1.0460799999999999</v>
      </c>
      <c r="AI140">
        <v>4.372325349834</v>
      </c>
      <c r="AJ140">
        <v>0.18604999999999999</v>
      </c>
      <c r="AK140">
        <v>0.17852000000000001</v>
      </c>
    </row>
    <row r="141" spans="1:37">
      <c r="A141">
        <v>140</v>
      </c>
      <c r="B141">
        <v>0.453003763</v>
      </c>
      <c r="C141">
        <v>0.367718302</v>
      </c>
      <c r="D141">
        <v>5.7109351000000003E-2</v>
      </c>
      <c r="E141">
        <v>0.32980195000000001</v>
      </c>
      <c r="F141">
        <v>8.8999960000000003E-2</v>
      </c>
      <c r="G141">
        <v>9.0172660000000002E-2</v>
      </c>
      <c r="H141">
        <v>3.0979774000000002E-2</v>
      </c>
      <c r="I141">
        <v>1.6110390000000001E-3</v>
      </c>
      <c r="J141">
        <v>0.81700756600000002</v>
      </c>
      <c r="K141">
        <v>0.64526394300000001</v>
      </c>
      <c r="L141">
        <v>0.62862412700000003</v>
      </c>
      <c r="M141">
        <v>0.112607664</v>
      </c>
      <c r="N141">
        <v>0.46631569099999998</v>
      </c>
      <c r="O141">
        <v>0.89770080100000005</v>
      </c>
      <c r="P141">
        <v>0.59181070599999996</v>
      </c>
      <c r="Q141">
        <v>0.99984328249083299</v>
      </c>
      <c r="R141">
        <v>1.7703402440090901E-2</v>
      </c>
      <c r="S141">
        <v>-0.97883657007472902</v>
      </c>
      <c r="T141">
        <v>-0.204643517083584</v>
      </c>
      <c r="U141">
        <v>4.9016800979999999</v>
      </c>
      <c r="V141">
        <v>-14.568898040000001</v>
      </c>
      <c r="W141">
        <v>2.3115969550000002</v>
      </c>
      <c r="X141">
        <v>2.1630604550000001</v>
      </c>
      <c r="Y141">
        <v>1.4059705790000001</v>
      </c>
      <c r="Z141">
        <v>1.3875143059999999</v>
      </c>
      <c r="AA141">
        <v>-3158.6841890000001</v>
      </c>
      <c r="AB141">
        <v>1.89579927734979</v>
      </c>
      <c r="AC141">
        <v>1.43035</v>
      </c>
      <c r="AD141">
        <v>1.25345</v>
      </c>
      <c r="AE141">
        <v>-2.4675536648261498</v>
      </c>
      <c r="AF141">
        <v>-4.3549999999999998E-2</v>
      </c>
      <c r="AG141">
        <v>-0.84630000000000005</v>
      </c>
      <c r="AH141">
        <v>0.88178000000000001</v>
      </c>
      <c r="AI141">
        <v>4.7511078297299996</v>
      </c>
      <c r="AJ141">
        <v>0.15412000000000001</v>
      </c>
      <c r="AK141">
        <v>5.0750000000000003E-2</v>
      </c>
    </row>
    <row r="142" spans="1:37">
      <c r="A142">
        <v>141</v>
      </c>
      <c r="B142">
        <v>0.51085316800000002</v>
      </c>
      <c r="C142">
        <v>0.40606445299999999</v>
      </c>
      <c r="D142">
        <v>0.40625231299999998</v>
      </c>
      <c r="E142">
        <v>0.38483061299999999</v>
      </c>
      <c r="F142">
        <v>0.20591131900000001</v>
      </c>
      <c r="G142">
        <v>8.8282678000000003E-2</v>
      </c>
      <c r="H142">
        <v>0.12620187499999999</v>
      </c>
      <c r="I142">
        <v>0.15407911699999999</v>
      </c>
      <c r="J142">
        <v>0.81579501700000001</v>
      </c>
      <c r="K142">
        <v>0.72384622799999998</v>
      </c>
      <c r="L142">
        <v>0.64345935099999996</v>
      </c>
      <c r="M142">
        <v>0.65842550799999999</v>
      </c>
      <c r="N142">
        <v>0.55635599099999999</v>
      </c>
      <c r="O142">
        <v>0.92541581299999998</v>
      </c>
      <c r="P142">
        <v>0.92189247100000005</v>
      </c>
      <c r="Q142">
        <v>0.82655088170341096</v>
      </c>
      <c r="R142">
        <v>-0.56286200791607199</v>
      </c>
      <c r="S142">
        <v>-0.95811826972084102</v>
      </c>
      <c r="T142">
        <v>-0.286372801130171</v>
      </c>
      <c r="U142">
        <v>16.412737499999999</v>
      </c>
      <c r="V142">
        <v>2.246399002</v>
      </c>
      <c r="W142">
        <v>2.3569695849999999</v>
      </c>
      <c r="X142">
        <v>2.3512401029999999</v>
      </c>
      <c r="Y142">
        <v>1.392008999</v>
      </c>
      <c r="Z142">
        <v>1.390818672</v>
      </c>
      <c r="AA142">
        <v>-3981.3641640000001</v>
      </c>
      <c r="AB142">
        <v>2.2804797499649001</v>
      </c>
      <c r="AC142">
        <v>1.2963899999999999</v>
      </c>
      <c r="AD142">
        <v>1.27563</v>
      </c>
      <c r="AE142">
        <v>-3.7577080243956802</v>
      </c>
      <c r="AF142">
        <v>-0.26238</v>
      </c>
      <c r="AG142">
        <v>0.84609999999999996</v>
      </c>
      <c r="AH142">
        <v>0.87617999999999996</v>
      </c>
      <c r="AI142">
        <v>4.2566769633714996</v>
      </c>
      <c r="AJ142">
        <v>0.1585</v>
      </c>
      <c r="AK142">
        <v>0.15920999999999899</v>
      </c>
    </row>
    <row r="143" spans="1:37">
      <c r="A143">
        <v>142</v>
      </c>
      <c r="B143">
        <v>0.44346276699999998</v>
      </c>
      <c r="C143">
        <v>0.52053078900000005</v>
      </c>
      <c r="D143">
        <v>0.27508638699999999</v>
      </c>
      <c r="E143">
        <v>0.26368671799999999</v>
      </c>
      <c r="F143">
        <v>0.15522335400000001</v>
      </c>
      <c r="G143">
        <v>0.36940619299999999</v>
      </c>
      <c r="H143">
        <v>2.9294728999999999E-2</v>
      </c>
      <c r="I143">
        <v>8.3489409000000001E-2</v>
      </c>
      <c r="J143">
        <v>0.73170217999999998</v>
      </c>
      <c r="K143">
        <v>0.67165538599999997</v>
      </c>
      <c r="L143">
        <v>0.49807870799999998</v>
      </c>
      <c r="M143">
        <v>0.46668336500000002</v>
      </c>
      <c r="N143">
        <v>0.57938874399999996</v>
      </c>
      <c r="O143">
        <v>0.91799058899999997</v>
      </c>
      <c r="P143">
        <v>0.91889326299999996</v>
      </c>
      <c r="Q143">
        <v>-1.7104114636380501E-2</v>
      </c>
      <c r="R143">
        <v>-0.99985371393144495</v>
      </c>
      <c r="S143">
        <v>0.97387715112016005</v>
      </c>
      <c r="T143">
        <v>-0.227075526039419</v>
      </c>
      <c r="U143">
        <v>22.942715069999998</v>
      </c>
      <c r="V143">
        <v>6.7868025249999997</v>
      </c>
      <c r="W143">
        <v>2.3888454819999998</v>
      </c>
      <c r="X143">
        <v>2.415668299</v>
      </c>
      <c r="Y143">
        <v>1.394677167</v>
      </c>
      <c r="Z143">
        <v>1.394974734</v>
      </c>
      <c r="AA143">
        <v>-2529.5763099999999</v>
      </c>
      <c r="AB143">
        <v>1.9327003544264101</v>
      </c>
      <c r="AC143">
        <v>1.37405</v>
      </c>
      <c r="AD143">
        <v>1.3685</v>
      </c>
      <c r="AE143">
        <v>-3.0895789388174602</v>
      </c>
      <c r="AF143">
        <v>-0.25511</v>
      </c>
      <c r="AG143">
        <v>0.74526000000000003</v>
      </c>
      <c r="AH143">
        <v>0.77675000000000005</v>
      </c>
      <c r="AI143">
        <v>4.8117892183914996</v>
      </c>
      <c r="AJ143">
        <v>0.18015</v>
      </c>
      <c r="AK143">
        <v>0.17928999999999901</v>
      </c>
    </row>
    <row r="144" spans="1:37">
      <c r="A144">
        <v>143</v>
      </c>
      <c r="B144">
        <v>0.30099679499999998</v>
      </c>
      <c r="C144">
        <v>0.33219858499999999</v>
      </c>
      <c r="D144">
        <v>0.38513517400000002</v>
      </c>
      <c r="E144">
        <v>0.39658892299999998</v>
      </c>
      <c r="F144">
        <v>0.15537136400000001</v>
      </c>
      <c r="G144">
        <v>7.8513973000000001E-2</v>
      </c>
      <c r="H144">
        <v>8.5100447999999995E-2</v>
      </c>
      <c r="I144">
        <v>0.13792318200000001</v>
      </c>
      <c r="J144">
        <v>0.44662222600000001</v>
      </c>
      <c r="K144">
        <v>0.58588319700000002</v>
      </c>
      <c r="L144">
        <v>0.70807739800000002</v>
      </c>
      <c r="M144">
        <v>0.63234716499999999</v>
      </c>
      <c r="N144">
        <v>0.52271827199999998</v>
      </c>
      <c r="O144">
        <v>0.883391959</v>
      </c>
      <c r="P144">
        <v>0.89395615900000003</v>
      </c>
      <c r="Q144">
        <v>0.56619878672707102</v>
      </c>
      <c r="R144">
        <v>0.82426872675650598</v>
      </c>
      <c r="S144">
        <v>0.82027280176372097</v>
      </c>
      <c r="T144">
        <v>-0.57197249119751803</v>
      </c>
      <c r="U144">
        <v>11.93336274</v>
      </c>
      <c r="V144">
        <v>-0.21639929099999999</v>
      </c>
      <c r="W144">
        <v>2.341560581</v>
      </c>
      <c r="X144">
        <v>2.331127414</v>
      </c>
      <c r="Y144">
        <v>1.391165062</v>
      </c>
      <c r="Z144">
        <v>1.390500369</v>
      </c>
      <c r="AA144">
        <v>-2583.3120869999998</v>
      </c>
      <c r="AB144">
        <v>2.2601985819834498</v>
      </c>
      <c r="AC144">
        <v>1.3011600000000001</v>
      </c>
      <c r="AD144">
        <v>1.2988500000000001</v>
      </c>
      <c r="AE144">
        <v>-3.1110724309017002</v>
      </c>
      <c r="AF144">
        <v>-0.29181000000000001</v>
      </c>
      <c r="AG144">
        <v>0.82035999999999998</v>
      </c>
      <c r="AH144">
        <v>0.81194999999999995</v>
      </c>
      <c r="AI144">
        <v>4.3832099038540004</v>
      </c>
      <c r="AJ144">
        <v>0.15512000000000001</v>
      </c>
      <c r="AK144">
        <v>0.16836999999999999</v>
      </c>
    </row>
    <row r="145" spans="1:37">
      <c r="A145">
        <v>144</v>
      </c>
      <c r="B145">
        <v>0.422493638</v>
      </c>
      <c r="C145">
        <v>0.323090235</v>
      </c>
      <c r="D145">
        <v>0.42563317299999998</v>
      </c>
      <c r="E145">
        <v>0.282623546</v>
      </c>
      <c r="F145">
        <v>0.17174931500000001</v>
      </c>
      <c r="G145">
        <v>1.6269789E-2</v>
      </c>
      <c r="H145">
        <v>6.8654179999999999E-3</v>
      </c>
      <c r="I145">
        <v>9.5193637999999997E-2</v>
      </c>
      <c r="J145">
        <v>0.673237961</v>
      </c>
      <c r="K145">
        <v>0.62991068100000003</v>
      </c>
      <c r="L145">
        <v>0.55838167400000005</v>
      </c>
      <c r="M145">
        <v>0.75607270699999996</v>
      </c>
      <c r="N145">
        <v>0.50690691399999999</v>
      </c>
      <c r="O145">
        <v>0.85139070100000003</v>
      </c>
      <c r="P145">
        <v>0.87137765599999994</v>
      </c>
      <c r="Q145">
        <v>-0.80469554273548205</v>
      </c>
      <c r="R145">
        <v>-0.59368769862752502</v>
      </c>
      <c r="S145">
        <v>-0.255720353672929</v>
      </c>
      <c r="T145">
        <v>0.96675079556077503</v>
      </c>
      <c r="U145">
        <v>20.508609750000002</v>
      </c>
      <c r="V145">
        <v>2.402714032</v>
      </c>
      <c r="W145">
        <v>2.2661780980000001</v>
      </c>
      <c r="X145">
        <v>2.2798041819999999</v>
      </c>
      <c r="Y145">
        <v>1.384218189</v>
      </c>
      <c r="Z145">
        <v>1.3909311209999999</v>
      </c>
      <c r="AA145">
        <v>-3472.6016300000001</v>
      </c>
      <c r="AB145">
        <v>1.6947991355909999</v>
      </c>
      <c r="AC145">
        <v>1.4116</v>
      </c>
      <c r="AD145">
        <v>1.40133</v>
      </c>
      <c r="AE145">
        <v>-4.3527517080414597</v>
      </c>
      <c r="AF145">
        <v>-0.42503999999999997</v>
      </c>
      <c r="AG145">
        <v>1.5321800000000001</v>
      </c>
      <c r="AH145">
        <v>1.5297700000000001</v>
      </c>
      <c r="AI145">
        <v>3.9317730258745001</v>
      </c>
      <c r="AJ145">
        <v>0.31135999999999903</v>
      </c>
      <c r="AK145">
        <v>0.30165999999999998</v>
      </c>
    </row>
    <row r="146" spans="1:37">
      <c r="A146">
        <v>145</v>
      </c>
      <c r="B146">
        <v>0.40286229899999998</v>
      </c>
      <c r="C146">
        <v>0.40101216499999998</v>
      </c>
      <c r="D146">
        <v>0.40829030599999999</v>
      </c>
      <c r="E146">
        <v>0.39386780399999999</v>
      </c>
      <c r="F146">
        <v>0.21233270500000001</v>
      </c>
      <c r="G146">
        <v>0.17513648300000001</v>
      </c>
      <c r="H146">
        <v>6.3018393000000006E-2</v>
      </c>
      <c r="I146">
        <v>9.4436506000000003E-2</v>
      </c>
      <c r="J146">
        <v>0.59339189199999998</v>
      </c>
      <c r="K146">
        <v>0.62688784799999997</v>
      </c>
      <c r="L146">
        <v>0.724717214</v>
      </c>
      <c r="M146">
        <v>0.72214410500000004</v>
      </c>
      <c r="N146">
        <v>0.53521011900000004</v>
      </c>
      <c r="O146">
        <v>0.90754286200000001</v>
      </c>
      <c r="P146">
        <v>0.90505031700000005</v>
      </c>
      <c r="Q146">
        <v>-0.999603989346868</v>
      </c>
      <c r="R146">
        <v>2.8140086741633701E-2</v>
      </c>
      <c r="S146">
        <v>-0.91931140037282599</v>
      </c>
      <c r="T146">
        <v>-0.39353087444894702</v>
      </c>
      <c r="U146">
        <v>-15.62145381</v>
      </c>
      <c r="V146">
        <v>-1.9187066500000001</v>
      </c>
      <c r="W146">
        <v>2.4055072219999998</v>
      </c>
      <c r="X146">
        <v>2.332648528</v>
      </c>
      <c r="Y146">
        <v>1.39423341</v>
      </c>
      <c r="Z146">
        <v>1.3877534300000001</v>
      </c>
      <c r="AA146">
        <v>-2909.5681290000002</v>
      </c>
      <c r="AB146">
        <v>3.8787098628280998</v>
      </c>
      <c r="AC146">
        <v>1.2798</v>
      </c>
      <c r="AD146">
        <v>1.30505</v>
      </c>
      <c r="AE146">
        <v>-4.06097999106992</v>
      </c>
      <c r="AF146">
        <v>-0.24567</v>
      </c>
      <c r="AG146">
        <v>0.85421999999999998</v>
      </c>
      <c r="AH146">
        <v>0.85709000000000002</v>
      </c>
      <c r="AI146">
        <v>4.5513762634630002</v>
      </c>
      <c r="AJ146">
        <v>0.15185999999999999</v>
      </c>
      <c r="AK146">
        <v>0.15484000000000001</v>
      </c>
    </row>
    <row r="147" spans="1:37">
      <c r="A147">
        <v>146</v>
      </c>
      <c r="B147">
        <v>0.28688454600000002</v>
      </c>
      <c r="C147">
        <v>0.42685995300000001</v>
      </c>
      <c r="D147">
        <v>0.255110638</v>
      </c>
      <c r="E147">
        <v>0.30175392699999998</v>
      </c>
      <c r="F147">
        <v>1.6588582000000001E-2</v>
      </c>
      <c r="G147">
        <v>0.10722804499999999</v>
      </c>
      <c r="H147">
        <v>6.1487052E-2</v>
      </c>
      <c r="I147">
        <v>9.79148E-4</v>
      </c>
      <c r="J147">
        <v>0.55718051000000002</v>
      </c>
      <c r="K147">
        <v>0.74649186199999995</v>
      </c>
      <c r="L147">
        <v>0.54202080100000005</v>
      </c>
      <c r="M147">
        <v>0.50924212800000002</v>
      </c>
      <c r="N147">
        <v>0.42897409600000003</v>
      </c>
      <c r="O147">
        <v>0.863457417</v>
      </c>
      <c r="P147">
        <v>0.79206462</v>
      </c>
      <c r="Q147">
        <v>0.16895338987620001</v>
      </c>
      <c r="R147">
        <v>0.98562404193959297</v>
      </c>
      <c r="S147">
        <v>-0.70091240225694096</v>
      </c>
      <c r="T147">
        <v>-0.71324736547876799</v>
      </c>
      <c r="U147">
        <v>-1.7299956430000001</v>
      </c>
      <c r="V147">
        <v>6.0468026750000003</v>
      </c>
      <c r="W147">
        <v>2.3066950350000002</v>
      </c>
      <c r="X147">
        <v>2.1268441490000001</v>
      </c>
      <c r="Y147">
        <v>1.403729107</v>
      </c>
      <c r="Z147">
        <v>1.387005262</v>
      </c>
      <c r="AA147">
        <v>-2349.2853679999998</v>
      </c>
      <c r="AB147">
        <v>5.4738938617770003</v>
      </c>
      <c r="AC147">
        <v>1.32151</v>
      </c>
      <c r="AD147">
        <v>1.2620199999999999</v>
      </c>
      <c r="AE147">
        <v>-3.08816370461353</v>
      </c>
      <c r="AF147">
        <v>2.0400000000000001E-3</v>
      </c>
      <c r="AG147">
        <v>-0.23174</v>
      </c>
      <c r="AH147">
        <v>0.88124000000000002</v>
      </c>
      <c r="AI147">
        <v>3.6656456800855</v>
      </c>
      <c r="AJ147">
        <v>0.14071999999999901</v>
      </c>
      <c r="AK147">
        <v>7.3369999999999894E-2</v>
      </c>
    </row>
    <row r="148" spans="1:37">
      <c r="A148">
        <v>147</v>
      </c>
      <c r="B148">
        <v>0.38354690499999999</v>
      </c>
      <c r="C148">
        <v>0.37615775699999998</v>
      </c>
      <c r="D148">
        <v>0.38377461400000001</v>
      </c>
      <c r="E148">
        <v>0.37620045200000002</v>
      </c>
      <c r="F148">
        <v>4.8228711E-2</v>
      </c>
      <c r="G148">
        <v>0.16076806199999999</v>
      </c>
      <c r="H148">
        <v>0.16048342600000001</v>
      </c>
      <c r="I148">
        <v>4.8297023000000001E-2</v>
      </c>
      <c r="J148">
        <v>0.71886510000000003</v>
      </c>
      <c r="K148">
        <v>0.59154745200000003</v>
      </c>
      <c r="L148">
        <v>0.59191747800000005</v>
      </c>
      <c r="M148">
        <v>0.71925220499999998</v>
      </c>
      <c r="N148">
        <v>0.51335375500000002</v>
      </c>
      <c r="O148">
        <v>0.89723490500000003</v>
      </c>
      <c r="P148">
        <v>0.89704272299999999</v>
      </c>
      <c r="Q148">
        <v>-0.87247340511512805</v>
      </c>
      <c r="R148">
        <v>-0.48866159800705899</v>
      </c>
      <c r="S148">
        <v>0.89217542934165905</v>
      </c>
      <c r="T148">
        <v>-0.451689055965522</v>
      </c>
      <c r="U148">
        <v>-5.5567533830000002</v>
      </c>
      <c r="V148">
        <v>-5.740276551</v>
      </c>
      <c r="W148">
        <v>2.331764094</v>
      </c>
      <c r="X148">
        <v>2.3314877420000002</v>
      </c>
      <c r="Y148">
        <v>1.3894535889999999</v>
      </c>
      <c r="Z148">
        <v>1.3895055199999999</v>
      </c>
      <c r="AA148">
        <v>-2938.4736400000002</v>
      </c>
      <c r="AB148">
        <v>3.69828189704354</v>
      </c>
      <c r="AC148">
        <v>1.2707900000000001</v>
      </c>
      <c r="AD148">
        <v>1.2710900000000001</v>
      </c>
      <c r="AE148">
        <v>-3.60157217186529</v>
      </c>
      <c r="AF148">
        <v>-0.28221000000000002</v>
      </c>
      <c r="AG148">
        <v>0.86812</v>
      </c>
      <c r="AH148">
        <v>0.86816000000000004</v>
      </c>
      <c r="AI148">
        <v>4.5481108972569997</v>
      </c>
      <c r="AJ148">
        <v>0.15029000000000001</v>
      </c>
      <c r="AK148">
        <v>0.15021999999999999</v>
      </c>
    </row>
    <row r="149" spans="1:37">
      <c r="A149">
        <v>148</v>
      </c>
      <c r="B149">
        <v>0.44464115900000001</v>
      </c>
      <c r="C149">
        <v>0.60850605999999996</v>
      </c>
      <c r="D149">
        <v>0.43429179699999998</v>
      </c>
      <c r="E149">
        <v>0.52949397399999998</v>
      </c>
      <c r="F149">
        <v>0.107057263</v>
      </c>
      <c r="G149">
        <v>0.35114395199999998</v>
      </c>
      <c r="H149">
        <v>0.25952534100000002</v>
      </c>
      <c r="I149">
        <v>0.105372218</v>
      </c>
      <c r="J149">
        <v>0.78222505600000003</v>
      </c>
      <c r="K149">
        <v>0.86586816799999999</v>
      </c>
      <c r="L149">
        <v>0.79946260700000005</v>
      </c>
      <c r="M149">
        <v>0.763211376</v>
      </c>
      <c r="N149">
        <v>0.58025647599999997</v>
      </c>
      <c r="O149">
        <v>0.93650997000000002</v>
      </c>
      <c r="P149">
        <v>0.92277185100000003</v>
      </c>
      <c r="Q149">
        <v>-0.890192326609201</v>
      </c>
      <c r="R149">
        <v>-0.45558492254034899</v>
      </c>
      <c r="S149">
        <v>-0.99190698032337599</v>
      </c>
      <c r="T149">
        <v>0.12696669793989401</v>
      </c>
      <c r="U149">
        <v>16.043578719999999</v>
      </c>
      <c r="V149">
        <v>13.5708018</v>
      </c>
      <c r="W149">
        <v>2.3085214889999999</v>
      </c>
      <c r="X149">
        <v>2.313213084</v>
      </c>
      <c r="Y149">
        <v>1.3847186440000001</v>
      </c>
      <c r="Z149">
        <v>1.3883348959999999</v>
      </c>
      <c r="AA149">
        <v>-4021.1056629999998</v>
      </c>
      <c r="AB149">
        <v>1.9381949050598599</v>
      </c>
      <c r="AC149">
        <v>1.4559200000000001</v>
      </c>
      <c r="AD149">
        <v>1.44217</v>
      </c>
      <c r="AE149">
        <v>-6.7809392498817003</v>
      </c>
      <c r="AF149">
        <v>-0.38535999999999998</v>
      </c>
      <c r="AG149">
        <v>1.55358</v>
      </c>
      <c r="AH149">
        <v>1.5460700000000001</v>
      </c>
      <c r="AI149">
        <v>4.6936918072745</v>
      </c>
      <c r="AJ149">
        <v>0.31091000000000002</v>
      </c>
      <c r="AK149">
        <v>0.31365999999999999</v>
      </c>
    </row>
    <row r="150" spans="1:37">
      <c r="A150">
        <v>149</v>
      </c>
      <c r="B150">
        <v>0.39634413600000001</v>
      </c>
      <c r="C150">
        <v>0.36326374900000002</v>
      </c>
      <c r="D150">
        <v>0.37855723699999999</v>
      </c>
      <c r="E150">
        <v>0.39414390100000002</v>
      </c>
      <c r="F150">
        <v>3.4662962999999998E-2</v>
      </c>
      <c r="G150">
        <v>6.6917905E-2</v>
      </c>
      <c r="H150">
        <v>0.17987851699999999</v>
      </c>
      <c r="I150">
        <v>9.0912714000000006E-2</v>
      </c>
      <c r="J150">
        <v>0.75802530999999995</v>
      </c>
      <c r="K150">
        <v>0.65960959299999999</v>
      </c>
      <c r="L150">
        <v>0.60840928400000005</v>
      </c>
      <c r="M150">
        <v>0.66620176099999995</v>
      </c>
      <c r="N150">
        <v>0.51121645500000001</v>
      </c>
      <c r="O150">
        <v>0.91028582700000005</v>
      </c>
      <c r="P150">
        <v>0.89199939399999995</v>
      </c>
      <c r="Q150">
        <v>0.88987691049137196</v>
      </c>
      <c r="R150">
        <v>-0.45620070602129698</v>
      </c>
      <c r="S150">
        <v>-0.89905186375669199</v>
      </c>
      <c r="T150">
        <v>-0.43784214766924501</v>
      </c>
      <c r="U150">
        <v>10.35571433</v>
      </c>
      <c r="V150">
        <v>-10.93646373</v>
      </c>
      <c r="W150">
        <v>2.3464503159999999</v>
      </c>
      <c r="X150">
        <v>2.327156848</v>
      </c>
      <c r="Y150">
        <v>1.3922201219999999</v>
      </c>
      <c r="Z150">
        <v>1.3889064550000001</v>
      </c>
      <c r="AA150">
        <v>-3063.2447579999998</v>
      </c>
      <c r="AB150">
        <v>5.8642455388566397</v>
      </c>
      <c r="AC150">
        <v>1.2748900000000001</v>
      </c>
      <c r="AD150">
        <v>1.2739</v>
      </c>
      <c r="AE150">
        <v>-4.1370856880323297</v>
      </c>
      <c r="AF150">
        <v>-0.26078000000000001</v>
      </c>
      <c r="AG150">
        <v>0.84838999999999998</v>
      </c>
      <c r="AH150">
        <v>0.85940000000000005</v>
      </c>
      <c r="AI150">
        <v>4.4574969850404997</v>
      </c>
      <c r="AJ150">
        <v>0.15135000000000001</v>
      </c>
      <c r="AK150">
        <v>0.15589</v>
      </c>
    </row>
    <row r="151" spans="1:37">
      <c r="A151">
        <v>150</v>
      </c>
      <c r="B151">
        <v>0.60698325799999997</v>
      </c>
      <c r="C151">
        <v>0.36107774500000001</v>
      </c>
      <c r="D151">
        <v>0.34519221500000002</v>
      </c>
      <c r="E151">
        <v>0.47651184400000002</v>
      </c>
      <c r="F151">
        <v>0.43231642399999998</v>
      </c>
      <c r="G151">
        <v>0.20198334300000001</v>
      </c>
      <c r="H151">
        <v>9.9309472999999995E-2</v>
      </c>
      <c r="I151">
        <v>3.1975998999999998E-2</v>
      </c>
      <c r="J151">
        <v>0.78165009100000005</v>
      </c>
      <c r="K151">
        <v>0.520172148</v>
      </c>
      <c r="L151">
        <v>0.85371421400000003</v>
      </c>
      <c r="M151">
        <v>0.65840843000000004</v>
      </c>
      <c r="N151">
        <v>0.61350983000000003</v>
      </c>
      <c r="O151">
        <v>0.91684331900000005</v>
      </c>
      <c r="P151">
        <v>0.83393705699999998</v>
      </c>
      <c r="Q151">
        <v>0.81917255228171604</v>
      </c>
      <c r="R151">
        <v>-0.57354714678765295</v>
      </c>
      <c r="S151">
        <v>-0.78673708859892499</v>
      </c>
      <c r="T151">
        <v>-0.61728822556637697</v>
      </c>
      <c r="U151">
        <v>43.061311099999998</v>
      </c>
      <c r="V151">
        <v>-2.1067051810000001</v>
      </c>
      <c r="W151">
        <v>2.3575539129999998</v>
      </c>
      <c r="X151">
        <v>2.1875618430000001</v>
      </c>
      <c r="Y151">
        <v>1.4022353430000001</v>
      </c>
      <c r="Z151">
        <v>1.416359887</v>
      </c>
      <c r="AA151">
        <v>-3229.6288479999998</v>
      </c>
      <c r="AB151">
        <v>2.6328924132975802</v>
      </c>
      <c r="AC151">
        <v>1.30901</v>
      </c>
      <c r="AD151">
        <v>1.2964</v>
      </c>
      <c r="AE151">
        <v>-5.2638522330621296</v>
      </c>
      <c r="AF151">
        <v>-0.11094</v>
      </c>
      <c r="AG151">
        <v>-0.66181000000000001</v>
      </c>
      <c r="AH151">
        <v>0.87060999999999999</v>
      </c>
      <c r="AI151">
        <v>4.74022327571</v>
      </c>
      <c r="AJ151">
        <v>0.16017999999999999</v>
      </c>
      <c r="AK151">
        <v>3.322E-2</v>
      </c>
    </row>
    <row r="152" spans="1:37">
      <c r="A152">
        <v>151</v>
      </c>
      <c r="B152">
        <v>0.35488976100000003</v>
      </c>
      <c r="C152">
        <v>0.19637886199999999</v>
      </c>
      <c r="D152">
        <v>0.347702703</v>
      </c>
      <c r="E152">
        <v>0.35967449000000001</v>
      </c>
      <c r="F152">
        <v>0.118585018</v>
      </c>
      <c r="G152">
        <v>6.2164489999999998E-3</v>
      </c>
      <c r="H152">
        <v>3.0080323999999999E-2</v>
      </c>
      <c r="I152">
        <v>9.6434649999999997E-2</v>
      </c>
      <c r="J152">
        <v>0.59119450299999998</v>
      </c>
      <c r="K152">
        <v>0.38654127500000002</v>
      </c>
      <c r="L152">
        <v>0.68926865599999998</v>
      </c>
      <c r="M152">
        <v>0.59897075700000002</v>
      </c>
      <c r="N152">
        <v>0.47955297200000002</v>
      </c>
      <c r="O152">
        <v>0.88194185599999997</v>
      </c>
      <c r="P152">
        <v>0.82867242799999996</v>
      </c>
      <c r="Q152">
        <v>0.26187266596335701</v>
      </c>
      <c r="R152">
        <v>-0.96510243333090995</v>
      </c>
      <c r="S152">
        <v>0.90411010025070904</v>
      </c>
      <c r="T152">
        <v>-0.42729957480045799</v>
      </c>
      <c r="U152">
        <v>4.9076873089999999</v>
      </c>
      <c r="V152">
        <v>-11.060547379999999</v>
      </c>
      <c r="W152">
        <v>2.306299901</v>
      </c>
      <c r="X152">
        <v>2.1080062009999998</v>
      </c>
      <c r="Y152">
        <v>1.384479419</v>
      </c>
      <c r="Z152">
        <v>1.404624571</v>
      </c>
      <c r="AA152">
        <v>-3236.1408529999999</v>
      </c>
      <c r="AB152">
        <v>2.53425087353245</v>
      </c>
      <c r="AC152">
        <v>1.3897299999999999</v>
      </c>
      <c r="AD152">
        <v>1.2618</v>
      </c>
      <c r="AE152">
        <v>-2.5413742830078498</v>
      </c>
      <c r="AF152">
        <v>-2.7359999999999999E-2</v>
      </c>
      <c r="AG152">
        <v>-0.56083000000000005</v>
      </c>
      <c r="AH152">
        <v>0.89773999999999998</v>
      </c>
      <c r="AI152">
        <v>4.6321940770615004</v>
      </c>
      <c r="AJ152">
        <v>0.15390999999999999</v>
      </c>
      <c r="AK152">
        <v>8.9159999999999906E-2</v>
      </c>
    </row>
    <row r="153" spans="1:37">
      <c r="A153">
        <v>152</v>
      </c>
      <c r="B153">
        <v>0.45655886600000001</v>
      </c>
      <c r="C153">
        <v>0.34392558499999998</v>
      </c>
      <c r="D153">
        <v>0.17120850700000001</v>
      </c>
      <c r="E153">
        <v>0.39075388700000002</v>
      </c>
      <c r="F153">
        <v>0.202211052</v>
      </c>
      <c r="G153">
        <v>0.111309724</v>
      </c>
      <c r="H153">
        <v>8.3421096E-2</v>
      </c>
      <c r="I153">
        <v>1.3434816E-2</v>
      </c>
      <c r="J153">
        <v>0.71090667900000004</v>
      </c>
      <c r="K153">
        <v>0.57654144600000001</v>
      </c>
      <c r="L153">
        <v>0.69808667700000004</v>
      </c>
      <c r="M153">
        <v>0.32898219899999998</v>
      </c>
      <c r="N153">
        <v>0.46223909800000001</v>
      </c>
      <c r="O153">
        <v>0.90008269699999999</v>
      </c>
      <c r="P153">
        <v>0.78917023900000005</v>
      </c>
      <c r="Q153">
        <v>-0.98182813737298402</v>
      </c>
      <c r="R153">
        <v>-0.18977225472311601</v>
      </c>
      <c r="S153">
        <v>0.95808434111280905</v>
      </c>
      <c r="T153">
        <v>0.286486291669312</v>
      </c>
      <c r="U153">
        <v>7.5088282749999999</v>
      </c>
      <c r="V153">
        <v>1.060042537</v>
      </c>
      <c r="W153">
        <v>2.3294209659999998</v>
      </c>
      <c r="X153">
        <v>2.0950522380000001</v>
      </c>
      <c r="Y153">
        <v>1.388525223</v>
      </c>
      <c r="Z153">
        <v>1.403211333</v>
      </c>
      <c r="AA153">
        <v>-3503.5554189999998</v>
      </c>
      <c r="AB153">
        <v>2.52267989645931</v>
      </c>
      <c r="AC153">
        <v>1.3953800000000001</v>
      </c>
      <c r="AD153">
        <v>1.2634799999999999</v>
      </c>
      <c r="AE153">
        <v>-2.9914129420624902</v>
      </c>
      <c r="AF153">
        <v>-1.01E-3</v>
      </c>
      <c r="AG153">
        <v>-0.55145999999999995</v>
      </c>
      <c r="AH153">
        <v>0.89303999999999994</v>
      </c>
      <c r="AI153">
        <v>3.9274192042665002</v>
      </c>
      <c r="AJ153">
        <v>0.142539999999999</v>
      </c>
      <c r="AK153">
        <v>9.3849999999999906E-2</v>
      </c>
    </row>
    <row r="154" spans="1:37">
      <c r="A154">
        <v>153</v>
      </c>
      <c r="B154">
        <v>0.31990231299999999</v>
      </c>
      <c r="C154">
        <v>0.25613532700000002</v>
      </c>
      <c r="D154">
        <v>0.31305397299999999</v>
      </c>
      <c r="E154">
        <v>0.25048245800000002</v>
      </c>
      <c r="F154">
        <v>3.8198140999999998E-2</v>
      </c>
      <c r="G154">
        <v>4.2439216000000002E-2</v>
      </c>
      <c r="H154">
        <v>4.7101551999999998E-2</v>
      </c>
      <c r="I154">
        <v>3.8995121000000001E-2</v>
      </c>
      <c r="J154">
        <v>0.60160648500000002</v>
      </c>
      <c r="K154">
        <v>0.46983143900000002</v>
      </c>
      <c r="L154">
        <v>0.45386336300000002</v>
      </c>
      <c r="M154">
        <v>0.58711282399999998</v>
      </c>
      <c r="N154">
        <v>0.47655958799999998</v>
      </c>
      <c r="O154">
        <v>0.89454435300000001</v>
      </c>
      <c r="P154">
        <v>0.89106177799999997</v>
      </c>
      <c r="Q154">
        <v>-0.257177134594679</v>
      </c>
      <c r="R154">
        <v>-0.96636427988707696</v>
      </c>
      <c r="S154">
        <v>0.70490606571528203</v>
      </c>
      <c r="T154">
        <v>-0.70930066862917995</v>
      </c>
      <c r="U154">
        <v>-13.378237609999999</v>
      </c>
      <c r="V154">
        <v>-20.94014404</v>
      </c>
      <c r="W154">
        <v>2.3086696330000001</v>
      </c>
      <c r="X154">
        <v>2.3182450210000001</v>
      </c>
      <c r="Y154">
        <v>1.391965187</v>
      </c>
      <c r="Z154">
        <v>1.389287961</v>
      </c>
      <c r="AA154">
        <v>-2066.9473010000002</v>
      </c>
      <c r="AB154">
        <v>0.34367208207825001</v>
      </c>
      <c r="AC154">
        <v>1.3543099999999999</v>
      </c>
      <c r="AD154">
        <v>1.3563000000000001</v>
      </c>
      <c r="AE154">
        <v>-2.0195413178860901</v>
      </c>
      <c r="AF154">
        <v>-0.27634999999999998</v>
      </c>
      <c r="AG154">
        <v>0.79110000000000003</v>
      </c>
      <c r="AH154">
        <v>0.78944999999999999</v>
      </c>
      <c r="AI154">
        <v>4.5657982975394997</v>
      </c>
      <c r="AJ154">
        <v>0.18159</v>
      </c>
      <c r="AK154">
        <v>0.17767999999999901</v>
      </c>
    </row>
    <row r="155" spans="1:37">
      <c r="A155">
        <v>154</v>
      </c>
      <c r="B155">
        <v>0.49562230000000002</v>
      </c>
      <c r="C155">
        <v>0.36405503700000003</v>
      </c>
      <c r="D155">
        <v>0.17803692300000001</v>
      </c>
      <c r="E155">
        <v>0.41912070299999998</v>
      </c>
      <c r="F155">
        <v>0.214393469</v>
      </c>
      <c r="G155">
        <v>0.116017602</v>
      </c>
      <c r="H155">
        <v>0.13766131700000001</v>
      </c>
      <c r="I155">
        <v>4.7175557999999999E-2</v>
      </c>
      <c r="J155">
        <v>0.77685112999999995</v>
      </c>
      <c r="K155">
        <v>0.61209247300000003</v>
      </c>
      <c r="L155">
        <v>0.70058008800000005</v>
      </c>
      <c r="M155">
        <v>0.30889828800000002</v>
      </c>
      <c r="N155">
        <v>0.47640234799999998</v>
      </c>
      <c r="O155">
        <v>0.87818556699999994</v>
      </c>
      <c r="P155">
        <v>0.80141166600000002</v>
      </c>
      <c r="Q155">
        <v>9.2870562755452496E-2</v>
      </c>
      <c r="R155">
        <v>-0.99567819026705895</v>
      </c>
      <c r="S155">
        <v>-0.21412451187664999</v>
      </c>
      <c r="T155">
        <v>0.97680637457665398</v>
      </c>
      <c r="U155">
        <v>24.779898790000001</v>
      </c>
      <c r="V155">
        <v>4.539230635</v>
      </c>
      <c r="W155">
        <v>2.288406771</v>
      </c>
      <c r="X155">
        <v>2.1006378109999999</v>
      </c>
      <c r="Y155">
        <v>1.387860364</v>
      </c>
      <c r="Z155">
        <v>1.402859614</v>
      </c>
      <c r="AA155">
        <v>-4542.8443500000003</v>
      </c>
      <c r="AB155">
        <v>4.9585487614825299</v>
      </c>
      <c r="AC155">
        <v>1.3994</v>
      </c>
      <c r="AD155">
        <v>1.2719400000000001</v>
      </c>
      <c r="AE155">
        <v>-2.7349271287821302</v>
      </c>
      <c r="AF155">
        <v>-1.966E-2</v>
      </c>
      <c r="AG155">
        <v>-0.56011</v>
      </c>
      <c r="AH155">
        <v>0.89305999999999996</v>
      </c>
      <c r="AI155">
        <v>4.5233485368614996</v>
      </c>
      <c r="AJ155">
        <v>0.15776999999999899</v>
      </c>
      <c r="AK155">
        <v>9.5280000000000004E-2</v>
      </c>
    </row>
    <row r="156" spans="1:37">
      <c r="A156">
        <v>155</v>
      </c>
      <c r="B156">
        <v>0.45581027299999999</v>
      </c>
      <c r="C156">
        <v>0.36990430499999999</v>
      </c>
      <c r="D156">
        <v>0.38404217200000001</v>
      </c>
      <c r="E156">
        <v>0.43917330300000001</v>
      </c>
      <c r="F156">
        <v>0.13993840499999999</v>
      </c>
      <c r="G156">
        <v>0.199467162</v>
      </c>
      <c r="H156">
        <v>0.123549068</v>
      </c>
      <c r="I156">
        <v>7.4654310000000002E-2</v>
      </c>
      <c r="J156">
        <v>0.77168214099999999</v>
      </c>
      <c r="K156">
        <v>0.54034144900000003</v>
      </c>
      <c r="L156">
        <v>0.75479753800000005</v>
      </c>
      <c r="M156">
        <v>0.69343003400000003</v>
      </c>
      <c r="N156">
        <v>0.50554999099999998</v>
      </c>
      <c r="O156">
        <v>0.90674501500000004</v>
      </c>
      <c r="P156">
        <v>0.89017075099999998</v>
      </c>
      <c r="Q156">
        <v>-0.85413956733170704</v>
      </c>
      <c r="R156">
        <v>-0.52004384384242397</v>
      </c>
      <c r="S156">
        <v>-0.723423489611147</v>
      </c>
      <c r="T156">
        <v>-0.690404558703684</v>
      </c>
      <c r="U156">
        <v>5.2183404339999999</v>
      </c>
      <c r="V156">
        <v>1.6345643050000001</v>
      </c>
      <c r="W156">
        <v>2.3176606120000001</v>
      </c>
      <c r="X156">
        <v>2.317341173</v>
      </c>
      <c r="Y156">
        <v>1.390345757</v>
      </c>
      <c r="Z156">
        <v>1.389248635</v>
      </c>
      <c r="AA156">
        <v>-4028.6748779999998</v>
      </c>
      <c r="AB156">
        <v>2.3482467630127801</v>
      </c>
      <c r="AC156">
        <v>1.2921400000000001</v>
      </c>
      <c r="AD156">
        <v>1.24726</v>
      </c>
      <c r="AE156">
        <v>-3.89225566201047</v>
      </c>
      <c r="AF156">
        <v>-0.27789000000000003</v>
      </c>
      <c r="AG156">
        <v>0.8468</v>
      </c>
      <c r="AH156">
        <v>0.89573999999999998</v>
      </c>
      <c r="AI156">
        <v>4.2057916733280001</v>
      </c>
      <c r="AJ156">
        <v>0.148479999999999</v>
      </c>
      <c r="AK156">
        <v>0.15715999999999899</v>
      </c>
    </row>
    <row r="157" spans="1:37">
      <c r="A157">
        <v>156</v>
      </c>
      <c r="B157">
        <v>0.41620887699999998</v>
      </c>
      <c r="C157">
        <v>0.42580395399999998</v>
      </c>
      <c r="D157">
        <v>0.40535001700000001</v>
      </c>
      <c r="E157">
        <v>0.38175085199999997</v>
      </c>
      <c r="F157">
        <v>0.12956627200000001</v>
      </c>
      <c r="G157">
        <v>4.4670762000000003E-2</v>
      </c>
      <c r="H157">
        <v>4.9987760999999999E-2</v>
      </c>
      <c r="I157">
        <v>0.17054815200000001</v>
      </c>
      <c r="J157">
        <v>0.702851483</v>
      </c>
      <c r="K157">
        <v>0.80693714699999997</v>
      </c>
      <c r="L157">
        <v>0.71351394400000001</v>
      </c>
      <c r="M157">
        <v>0.64015188199999995</v>
      </c>
      <c r="N157">
        <v>0.53314270399999997</v>
      </c>
      <c r="O157">
        <v>0.91425177000000002</v>
      </c>
      <c r="P157">
        <v>0.92860720299999999</v>
      </c>
      <c r="Q157">
        <v>-0.61748348689418397</v>
      </c>
      <c r="R157">
        <v>-0.78658384385455005</v>
      </c>
      <c r="S157">
        <v>0.22860617710380499</v>
      </c>
      <c r="T157">
        <v>-0.97351898583950702</v>
      </c>
      <c r="U157">
        <v>6.3336502960000001</v>
      </c>
      <c r="V157">
        <v>12.86891372</v>
      </c>
      <c r="W157">
        <v>2.3008836989999999</v>
      </c>
      <c r="X157">
        <v>2.3599064630000002</v>
      </c>
      <c r="Y157">
        <v>1.3891688250000001</v>
      </c>
      <c r="Z157">
        <v>1.393956765</v>
      </c>
      <c r="AA157">
        <v>-5284.9149239999997</v>
      </c>
      <c r="AB157">
        <v>1.73675549516908</v>
      </c>
      <c r="AC157">
        <v>1.2497799999999999</v>
      </c>
      <c r="AD157">
        <v>1.24827</v>
      </c>
      <c r="AE157">
        <v>-4.0574554908440899</v>
      </c>
      <c r="AF157">
        <v>-0.27199000000000001</v>
      </c>
      <c r="AG157">
        <v>0.89019000000000004</v>
      </c>
      <c r="AH157">
        <v>0.88961999999999997</v>
      </c>
      <c r="AI157">
        <v>4.2945007885909998</v>
      </c>
      <c r="AJ157">
        <v>0.15293999999999999</v>
      </c>
      <c r="AK157">
        <v>0.14090999999999901</v>
      </c>
    </row>
    <row r="158" spans="1:37">
      <c r="A158">
        <v>157</v>
      </c>
      <c r="B158">
        <v>0.41139568399999998</v>
      </c>
      <c r="C158">
        <v>0.40601891099999998</v>
      </c>
      <c r="D158">
        <v>0.413974485</v>
      </c>
      <c r="E158">
        <v>0.37475734799999999</v>
      </c>
      <c r="F158">
        <v>7.8365961999999997E-2</v>
      </c>
      <c r="G158">
        <v>0.10368717399999999</v>
      </c>
      <c r="H158">
        <v>0.103208985</v>
      </c>
      <c r="I158">
        <v>7.9134478999999994E-2</v>
      </c>
      <c r="J158">
        <v>0.74442540499999998</v>
      </c>
      <c r="K158">
        <v>0.708350649</v>
      </c>
      <c r="L158">
        <v>0.64630571000000003</v>
      </c>
      <c r="M158">
        <v>0.74881449099999997</v>
      </c>
      <c r="N158">
        <v>0.50418141999999999</v>
      </c>
      <c r="O158">
        <v>0.91238236100000003</v>
      </c>
      <c r="P158">
        <v>0.91260948600000003</v>
      </c>
      <c r="Q158">
        <v>0.97500507992845298</v>
      </c>
      <c r="R158">
        <v>-0.222182569329166</v>
      </c>
      <c r="S158">
        <v>-0.99273870451369595</v>
      </c>
      <c r="T158">
        <v>0.120290750103518</v>
      </c>
      <c r="U158">
        <v>3.2683286800000002</v>
      </c>
      <c r="V158">
        <v>3.519779744</v>
      </c>
      <c r="W158">
        <v>2.3767414850000002</v>
      </c>
      <c r="X158">
        <v>2.373852968</v>
      </c>
      <c r="Y158">
        <v>1.3931724640000001</v>
      </c>
      <c r="Z158">
        <v>1.3928339059999999</v>
      </c>
      <c r="AA158">
        <v>-2920.5269330000001</v>
      </c>
      <c r="AB158">
        <v>3.7368077459243199</v>
      </c>
      <c r="AC158">
        <v>1.29095</v>
      </c>
      <c r="AD158">
        <v>1.29064</v>
      </c>
      <c r="AE158">
        <v>-4.3123569566047104</v>
      </c>
      <c r="AF158">
        <v>-0.22606000000000001</v>
      </c>
      <c r="AG158">
        <v>0.83726999999999996</v>
      </c>
      <c r="AH158">
        <v>0.83650999999999998</v>
      </c>
      <c r="AI158">
        <v>4.4400816986084903</v>
      </c>
      <c r="AJ158">
        <v>0.14329999999999901</v>
      </c>
      <c r="AK158">
        <v>0.14398</v>
      </c>
    </row>
    <row r="159" spans="1:37">
      <c r="A159">
        <v>158</v>
      </c>
      <c r="B159">
        <v>0.50806373599999999</v>
      </c>
      <c r="C159">
        <v>0.40627508400000001</v>
      </c>
      <c r="D159">
        <v>0.31730928000000003</v>
      </c>
      <c r="E159">
        <v>0.54066878100000004</v>
      </c>
      <c r="F159">
        <v>0.39936696999999999</v>
      </c>
      <c r="G159">
        <v>0.26915172799999998</v>
      </c>
      <c r="H159">
        <v>0.196040145</v>
      </c>
      <c r="I159">
        <v>2.1011823999999998E-2</v>
      </c>
      <c r="J159">
        <v>0.61676050199999999</v>
      </c>
      <c r="K159">
        <v>0.54339843899999996</v>
      </c>
      <c r="L159">
        <v>0.885297416</v>
      </c>
      <c r="M159">
        <v>0.61360673600000004</v>
      </c>
      <c r="N159">
        <v>0.58813594899999999</v>
      </c>
      <c r="O159">
        <v>0.91769940400000005</v>
      </c>
      <c r="P159">
        <v>0.83138627499999995</v>
      </c>
      <c r="Q159">
        <v>0.29102671454526002</v>
      </c>
      <c r="R159">
        <v>0.95671492693539095</v>
      </c>
      <c r="S159">
        <v>0.85369961108123305</v>
      </c>
      <c r="T159">
        <v>0.52076575736097597</v>
      </c>
      <c r="U159">
        <v>17.878056770000001</v>
      </c>
      <c r="V159">
        <v>-25.737578169999999</v>
      </c>
      <c r="W159">
        <v>2.3340300169999999</v>
      </c>
      <c r="X159">
        <v>2.251080312</v>
      </c>
      <c r="Y159">
        <v>1.387934851</v>
      </c>
      <c r="Z159">
        <v>1.42614007</v>
      </c>
      <c r="AA159">
        <v>-2847.7270349999999</v>
      </c>
      <c r="AB159">
        <v>1.7598614831855299</v>
      </c>
      <c r="AC159">
        <v>1.2961800000000001</v>
      </c>
      <c r="AD159">
        <v>1.28363</v>
      </c>
      <c r="AE159">
        <v>-5.0211111706477896</v>
      </c>
      <c r="AF159">
        <v>2.4559999999999998E-2</v>
      </c>
      <c r="AG159">
        <v>-0.65505999999999998</v>
      </c>
      <c r="AH159">
        <v>0.88815</v>
      </c>
      <c r="AI159">
        <v>4.5902885440845003</v>
      </c>
      <c r="AJ159">
        <v>0.15939999999999999</v>
      </c>
      <c r="AK159">
        <v>2.2530000000000099E-2</v>
      </c>
    </row>
    <row r="160" spans="1:37">
      <c r="A160">
        <v>159</v>
      </c>
      <c r="B160">
        <v>0.330425303</v>
      </c>
      <c r="C160">
        <v>0.41702578200000001</v>
      </c>
      <c r="D160">
        <v>0.32952585299999998</v>
      </c>
      <c r="E160">
        <v>0.41628288299999999</v>
      </c>
      <c r="F160">
        <v>5.0722121000000002E-2</v>
      </c>
      <c r="G160">
        <v>0.14463489800000001</v>
      </c>
      <c r="H160">
        <v>0.14073538499999999</v>
      </c>
      <c r="I160">
        <v>4.8963070999999997E-2</v>
      </c>
      <c r="J160">
        <v>0.61012848500000005</v>
      </c>
      <c r="K160">
        <v>0.68941666700000004</v>
      </c>
      <c r="L160">
        <v>0.69183037999999997</v>
      </c>
      <c r="M160">
        <v>0.61008863599999996</v>
      </c>
      <c r="N160">
        <v>0.57855595400000004</v>
      </c>
      <c r="O160">
        <v>0.88926807699999999</v>
      </c>
      <c r="P160">
        <v>0.889658265</v>
      </c>
      <c r="Q160">
        <v>0.95701777189460802</v>
      </c>
      <c r="R160">
        <v>0.29002928175941101</v>
      </c>
      <c r="S160">
        <v>0.103149010787019</v>
      </c>
      <c r="T160">
        <v>-0.99466591455305198</v>
      </c>
      <c r="U160">
        <v>-17.781147409999999</v>
      </c>
      <c r="V160">
        <v>-18.692369920000001</v>
      </c>
      <c r="W160">
        <v>2.3159097919999998</v>
      </c>
      <c r="X160">
        <v>2.3164997779999998</v>
      </c>
      <c r="Y160">
        <v>1.391952131</v>
      </c>
      <c r="Z160">
        <v>1.3925747749999999</v>
      </c>
      <c r="AA160">
        <v>-3890.2689300000002</v>
      </c>
      <c r="AB160">
        <v>7.1061999057161298</v>
      </c>
      <c r="AC160">
        <v>1.3614900000000001</v>
      </c>
      <c r="AD160">
        <v>1.3610100000000001</v>
      </c>
      <c r="AE160">
        <v>-4.03909469857917</v>
      </c>
      <c r="AF160">
        <v>-0.29433999999999999</v>
      </c>
      <c r="AG160">
        <v>0.78781000000000001</v>
      </c>
      <c r="AH160">
        <v>0.78835999999999995</v>
      </c>
      <c r="AI160">
        <v>4.0705510896295003</v>
      </c>
      <c r="AJ160">
        <v>0.18501999999999899</v>
      </c>
      <c r="AK160">
        <v>0.18464999999999901</v>
      </c>
    </row>
    <row r="161" spans="1:37">
      <c r="A161">
        <v>160</v>
      </c>
      <c r="B161">
        <v>0.33733057</v>
      </c>
      <c r="C161">
        <v>0.33910954500000001</v>
      </c>
      <c r="D161">
        <v>0.25428803999999999</v>
      </c>
      <c r="E161">
        <v>0.27409869999999997</v>
      </c>
      <c r="F161">
        <v>1.4482276000000001E-2</v>
      </c>
      <c r="G161">
        <v>2.2298378000000001E-2</v>
      </c>
      <c r="H161">
        <v>4.5615753000000002E-2</v>
      </c>
      <c r="I161">
        <v>2.7302277999999999E-2</v>
      </c>
      <c r="J161">
        <v>0.660178865</v>
      </c>
      <c r="K161">
        <v>0.65592071200000002</v>
      </c>
      <c r="L161">
        <v>0.50258164800000005</v>
      </c>
      <c r="M161">
        <v>0.481273803</v>
      </c>
      <c r="N161">
        <v>0.474923127</v>
      </c>
      <c r="O161">
        <v>0.87176784399999996</v>
      </c>
      <c r="P161">
        <v>0.870993291</v>
      </c>
      <c r="Q161">
        <v>0.59763145438513998</v>
      </c>
      <c r="R161">
        <v>0.80177094280692296</v>
      </c>
      <c r="S161">
        <v>0.50996035797685202</v>
      </c>
      <c r="T161">
        <v>-0.86019790356180204</v>
      </c>
      <c r="U161">
        <v>4.677302568</v>
      </c>
      <c r="V161">
        <v>-6.3159653670000004</v>
      </c>
      <c r="W161">
        <v>2.334583598</v>
      </c>
      <c r="X161">
        <v>2.335999996</v>
      </c>
      <c r="Y161">
        <v>1.392438989</v>
      </c>
      <c r="Z161">
        <v>1.392280819</v>
      </c>
      <c r="AA161">
        <v>-3890.252657</v>
      </c>
      <c r="AB161">
        <v>5.4574985387080002</v>
      </c>
      <c r="AC161">
        <v>1.35</v>
      </c>
      <c r="AD161">
        <v>1.3384799999999999</v>
      </c>
      <c r="AE161">
        <v>-4.0262486662906101</v>
      </c>
      <c r="AF161">
        <v>-0.25539000000000001</v>
      </c>
      <c r="AG161">
        <v>0.79088000000000003</v>
      </c>
      <c r="AH161">
        <v>0.75851999999999997</v>
      </c>
      <c r="AI161">
        <v>3.7219732471390001</v>
      </c>
      <c r="AJ161">
        <v>0.17357</v>
      </c>
      <c r="AK161">
        <v>0.17938999999999999</v>
      </c>
    </row>
    <row r="162" spans="1:37">
      <c r="A162">
        <v>161</v>
      </c>
      <c r="B162">
        <v>0.35465920499999998</v>
      </c>
      <c r="C162">
        <v>0.14947940100000001</v>
      </c>
      <c r="D162">
        <v>0.228403249</v>
      </c>
      <c r="E162">
        <v>0.34303467399999998</v>
      </c>
      <c r="F162">
        <v>2.7063183000000001E-2</v>
      </c>
      <c r="G162">
        <v>8.76679E-4</v>
      </c>
      <c r="H162">
        <v>5.0152848999999999E-2</v>
      </c>
      <c r="I162">
        <v>1.0856014000000001E-2</v>
      </c>
      <c r="J162">
        <v>0.68225522699999996</v>
      </c>
      <c r="K162">
        <v>0.29808212299999998</v>
      </c>
      <c r="L162">
        <v>0.63591649900000002</v>
      </c>
      <c r="M162">
        <v>0.44595048500000001</v>
      </c>
      <c r="N162">
        <v>0.44940365300000001</v>
      </c>
      <c r="O162">
        <v>0.89761344600000004</v>
      </c>
      <c r="P162">
        <v>0.60746482499999999</v>
      </c>
      <c r="Q162">
        <v>0.99919128039866401</v>
      </c>
      <c r="R162">
        <v>4.0209267281046998E-2</v>
      </c>
      <c r="S162">
        <v>0.46096700062919799</v>
      </c>
      <c r="T162">
        <v>0.88741727745797205</v>
      </c>
      <c r="U162">
        <v>-4.0729971190000001</v>
      </c>
      <c r="V162">
        <v>-5.3516954800000001</v>
      </c>
      <c r="W162">
        <v>2.3078734409999999</v>
      </c>
      <c r="X162">
        <v>2.1565830149999998</v>
      </c>
      <c r="Y162">
        <v>1.3875415149999999</v>
      </c>
      <c r="Z162">
        <v>1.403242297</v>
      </c>
      <c r="AA162">
        <v>-1780.0462829999999</v>
      </c>
      <c r="AB162">
        <v>1.92980656284509</v>
      </c>
      <c r="AC162">
        <v>1.42378</v>
      </c>
      <c r="AD162">
        <v>1.2880199999999999</v>
      </c>
      <c r="AE162">
        <v>-2.0880371986355102</v>
      </c>
      <c r="AF162">
        <v>-6.3170000000000004E-2</v>
      </c>
      <c r="AG162">
        <v>-0.86819000000000002</v>
      </c>
      <c r="AH162">
        <v>0.82955000000000001</v>
      </c>
      <c r="AI162">
        <v>4.6950523765269896</v>
      </c>
      <c r="AJ162">
        <v>0.15812999999999899</v>
      </c>
      <c r="AK162">
        <v>4.8280000000000101E-2</v>
      </c>
    </row>
    <row r="163" spans="1:37">
      <c r="A163">
        <v>162</v>
      </c>
      <c r="B163">
        <v>0.30376345599999999</v>
      </c>
      <c r="C163">
        <v>0.12430620000000001</v>
      </c>
      <c r="D163">
        <v>0.120270063</v>
      </c>
      <c r="E163">
        <v>0.29735345499999999</v>
      </c>
      <c r="F163">
        <v>1.1231733000000001E-2</v>
      </c>
      <c r="G163">
        <v>8.4252199999999995E-4</v>
      </c>
      <c r="H163">
        <v>5.2458400000000002E-2</v>
      </c>
      <c r="I163">
        <v>8.4252199999999995E-4</v>
      </c>
      <c r="J163">
        <v>0.59629517899999995</v>
      </c>
      <c r="K163">
        <v>0.247769878</v>
      </c>
      <c r="L163">
        <v>0.54224850999999996</v>
      </c>
      <c r="M163">
        <v>0.23969760300000001</v>
      </c>
      <c r="N163">
        <v>0.37649669200000002</v>
      </c>
      <c r="O163">
        <v>0.84489727000000003</v>
      </c>
      <c r="P163">
        <v>0.53950218999999999</v>
      </c>
      <c r="Q163">
        <v>0.27452321922026801</v>
      </c>
      <c r="R163">
        <v>-0.96158047094818799</v>
      </c>
      <c r="S163">
        <v>0.71929306813592098</v>
      </c>
      <c r="T163">
        <v>0.69470675981424901</v>
      </c>
      <c r="U163">
        <v>-2.5378292340000002</v>
      </c>
      <c r="V163">
        <v>3.1045320240000001</v>
      </c>
      <c r="W163">
        <v>2.3171146939999998</v>
      </c>
      <c r="X163">
        <v>2.1858040179999998</v>
      </c>
      <c r="Y163">
        <v>1.386514421</v>
      </c>
      <c r="Z163">
        <v>1.404698091</v>
      </c>
      <c r="AA163">
        <v>-1587.5348489999999</v>
      </c>
      <c r="AB163">
        <v>1.9763940700174101</v>
      </c>
      <c r="AC163">
        <v>1.4126099999999999</v>
      </c>
      <c r="AD163">
        <v>1.25562</v>
      </c>
      <c r="AE163">
        <v>-1.54782673073727</v>
      </c>
      <c r="AF163">
        <v>-1.8610000000000002E-2</v>
      </c>
      <c r="AG163">
        <v>-0.84850999999999999</v>
      </c>
      <c r="AH163">
        <v>0.86426999999999998</v>
      </c>
      <c r="AI163">
        <v>4.7162772568660003</v>
      </c>
      <c r="AJ163">
        <v>0.14118999999999901</v>
      </c>
      <c r="AK163">
        <v>4.0949999999999799E-2</v>
      </c>
    </row>
    <row r="164" spans="1:37">
      <c r="A164">
        <v>163</v>
      </c>
      <c r="B164">
        <v>0.34771978199999998</v>
      </c>
      <c r="C164">
        <v>0.31586332900000003</v>
      </c>
      <c r="D164">
        <v>0.35467628400000001</v>
      </c>
      <c r="E164">
        <v>0.33416541900000002</v>
      </c>
      <c r="F164">
        <v>0.213203691</v>
      </c>
      <c r="G164">
        <v>0.16053466</v>
      </c>
      <c r="H164">
        <v>5.0283781999999999E-2</v>
      </c>
      <c r="I164">
        <v>4.5786533999999997E-2</v>
      </c>
      <c r="J164">
        <v>0.48223587200000001</v>
      </c>
      <c r="K164">
        <v>0.471191998</v>
      </c>
      <c r="L164">
        <v>0.61804705599999998</v>
      </c>
      <c r="M164">
        <v>0.66356603300000006</v>
      </c>
      <c r="N164">
        <v>0.51195024200000006</v>
      </c>
      <c r="O164">
        <v>0.88738119599999998</v>
      </c>
      <c r="P164">
        <v>0.88943114099999998</v>
      </c>
      <c r="Q164">
        <v>-0.85542288794310495</v>
      </c>
      <c r="R164">
        <v>-0.51793019103260995</v>
      </c>
      <c r="S164">
        <v>0.24260853648543701</v>
      </c>
      <c r="T164">
        <v>-0.97012426937191598</v>
      </c>
      <c r="U164">
        <v>-2.383933045</v>
      </c>
      <c r="V164">
        <v>-9.3500410580000004</v>
      </c>
      <c r="W164">
        <v>2.3274879390000001</v>
      </c>
      <c r="X164">
        <v>2.3170836860000001</v>
      </c>
      <c r="Y164">
        <v>1.3895817640000001</v>
      </c>
      <c r="Z164">
        <v>1.3879535110000001</v>
      </c>
      <c r="AA164">
        <v>-2811.5467330000001</v>
      </c>
      <c r="AB164">
        <v>2.4688619908775702</v>
      </c>
      <c r="AC164">
        <v>1.3008200000000001</v>
      </c>
      <c r="AD164">
        <v>1.2875000000000001</v>
      </c>
      <c r="AE164">
        <v>-4.0178571948786503</v>
      </c>
      <c r="AF164">
        <v>-0.28921000000000002</v>
      </c>
      <c r="AG164">
        <v>0.82784999999999997</v>
      </c>
      <c r="AH164">
        <v>0.83789000000000002</v>
      </c>
      <c r="AI164">
        <v>4.2476972063050003</v>
      </c>
      <c r="AJ164">
        <v>0.16128999999999999</v>
      </c>
      <c r="AK164">
        <v>0.16808999999999999</v>
      </c>
    </row>
    <row r="165" spans="1:37">
      <c r="A165">
        <v>164</v>
      </c>
      <c r="B165">
        <v>0.44683001</v>
      </c>
      <c r="C165">
        <v>0.40433101999999999</v>
      </c>
      <c r="D165">
        <v>0.44732812300000002</v>
      </c>
      <c r="E165">
        <v>0.40461280999999999</v>
      </c>
      <c r="F165">
        <v>0.14109971900000001</v>
      </c>
      <c r="G165">
        <v>0.24433716799999999</v>
      </c>
      <c r="H165">
        <v>0.245293545</v>
      </c>
      <c r="I165">
        <v>0.143393885</v>
      </c>
      <c r="J165">
        <v>0.75256029999999996</v>
      </c>
      <c r="K165">
        <v>0.56432487200000003</v>
      </c>
      <c r="L165">
        <v>0.56393207400000001</v>
      </c>
      <c r="M165">
        <v>0.75126236000000002</v>
      </c>
      <c r="N165">
        <v>0.55296659500000001</v>
      </c>
      <c r="O165">
        <v>0.88789950600000001</v>
      </c>
      <c r="P165">
        <v>0.88853428999999995</v>
      </c>
      <c r="Q165">
        <v>-0.851817540153047</v>
      </c>
      <c r="R165">
        <v>-0.52383859946324196</v>
      </c>
      <c r="S165">
        <v>-0.75521501172213901</v>
      </c>
      <c r="T165">
        <v>-0.65547714381931599</v>
      </c>
      <c r="U165">
        <v>-15.18455002</v>
      </c>
      <c r="V165">
        <v>-15.357218080000001</v>
      </c>
      <c r="W165">
        <v>2.3879525250000002</v>
      </c>
      <c r="X165">
        <v>2.3873101189999999</v>
      </c>
      <c r="Y165">
        <v>1.3961090869999999</v>
      </c>
      <c r="Z165">
        <v>1.3961815399999999</v>
      </c>
      <c r="AA165">
        <v>-5441.7463289999996</v>
      </c>
      <c r="AB165">
        <v>0.56742642694890399</v>
      </c>
      <c r="AC165">
        <v>1.32443</v>
      </c>
      <c r="AD165">
        <v>1.3247800000000001</v>
      </c>
      <c r="AE165">
        <v>-4.3281292087228396</v>
      </c>
      <c r="AF165">
        <v>-0.21188000000000001</v>
      </c>
      <c r="AG165">
        <v>0.84050000000000002</v>
      </c>
      <c r="AH165">
        <v>0.84048</v>
      </c>
      <c r="AI165">
        <v>4.6302892801080002</v>
      </c>
      <c r="AJ165">
        <v>0.15989</v>
      </c>
      <c r="AK165">
        <v>0.159939999999999</v>
      </c>
    </row>
    <row r="166" spans="1:37">
      <c r="A166">
        <v>165</v>
      </c>
      <c r="B166">
        <v>0.25112288900000002</v>
      </c>
      <c r="C166">
        <v>0.25934032800000001</v>
      </c>
      <c r="D166">
        <v>0.37368996300000001</v>
      </c>
      <c r="E166">
        <v>0.364057884</v>
      </c>
      <c r="F166">
        <v>0.105246979</v>
      </c>
      <c r="G166">
        <v>2.1677872000000001E-2</v>
      </c>
      <c r="H166">
        <v>0.137251442</v>
      </c>
      <c r="I166">
        <v>0.25181170800000002</v>
      </c>
      <c r="J166">
        <v>0.39699879900000001</v>
      </c>
      <c r="K166">
        <v>0.49700278399999998</v>
      </c>
      <c r="L166">
        <v>0.59086432499999997</v>
      </c>
      <c r="M166">
        <v>0.49556821899999998</v>
      </c>
      <c r="N166">
        <v>0.43818719699999997</v>
      </c>
      <c r="O166">
        <v>0.82376886900000001</v>
      </c>
      <c r="P166">
        <v>0.82882384499999995</v>
      </c>
      <c r="Q166">
        <v>0.98853400791032797</v>
      </c>
      <c r="R166">
        <v>0.15099839470915599</v>
      </c>
      <c r="S166">
        <v>-0.491306433289186</v>
      </c>
      <c r="T166">
        <v>0.87098679014589897</v>
      </c>
      <c r="U166">
        <v>5.9997813610000001</v>
      </c>
      <c r="V166">
        <v>-7.9202024999999995E-2</v>
      </c>
      <c r="W166">
        <v>2.2899673319999998</v>
      </c>
      <c r="X166">
        <v>2.300744543</v>
      </c>
      <c r="Y166">
        <v>1.386186605</v>
      </c>
      <c r="Z166">
        <v>1.3880045590000001</v>
      </c>
      <c r="AA166">
        <v>-2986.4844119999998</v>
      </c>
      <c r="AB166">
        <v>1.72795659957071</v>
      </c>
      <c r="AC166">
        <v>1.33883</v>
      </c>
      <c r="AD166">
        <v>1.34399</v>
      </c>
      <c r="AE166">
        <v>-3.9933903011442999</v>
      </c>
      <c r="AF166">
        <v>-0.28827000000000003</v>
      </c>
      <c r="AG166">
        <v>0.80201999999999996</v>
      </c>
      <c r="AH166">
        <v>0.80666000000000004</v>
      </c>
      <c r="AI166">
        <v>3.5342146902940001</v>
      </c>
      <c r="AJ166">
        <v>0.1784</v>
      </c>
      <c r="AK166">
        <v>0.174229999999999</v>
      </c>
    </row>
    <row r="167" spans="1:37">
      <c r="A167">
        <v>166</v>
      </c>
      <c r="B167">
        <v>0.32327240200000001</v>
      </c>
      <c r="C167">
        <v>0.11557357</v>
      </c>
      <c r="D167">
        <v>0.17932347700000001</v>
      </c>
      <c r="E167">
        <v>0.335537364</v>
      </c>
      <c r="F167">
        <v>2.1228146999999999E-2</v>
      </c>
      <c r="G167">
        <v>1.685045E-3</v>
      </c>
      <c r="H167">
        <v>0.10800794700000001</v>
      </c>
      <c r="I167">
        <v>1.685045E-3</v>
      </c>
      <c r="J167">
        <v>0.62531665700000005</v>
      </c>
      <c r="K167">
        <v>0.229462095</v>
      </c>
      <c r="L167">
        <v>0.56306678099999996</v>
      </c>
      <c r="M167">
        <v>0.35696190999999999</v>
      </c>
      <c r="N167">
        <v>0.40007104900000001</v>
      </c>
      <c r="O167">
        <v>0.86755148199999998</v>
      </c>
      <c r="P167">
        <v>0.58792629500000004</v>
      </c>
      <c r="Q167">
        <v>0.82796723337564204</v>
      </c>
      <c r="R167">
        <v>0.56077647994212798</v>
      </c>
      <c r="S167">
        <v>0.69945317546058805</v>
      </c>
      <c r="T167">
        <v>-0.71467842792272496</v>
      </c>
      <c r="U167">
        <v>-3.1577892300000001</v>
      </c>
      <c r="V167">
        <v>-0.48513497</v>
      </c>
      <c r="W167">
        <v>2.3053047430000002</v>
      </c>
      <c r="X167">
        <v>2.1442284620000001</v>
      </c>
      <c r="Y167">
        <v>1.3873500860000001</v>
      </c>
      <c r="Z167">
        <v>1.4023528540000001</v>
      </c>
      <c r="AA167">
        <v>-1626.758681</v>
      </c>
      <c r="AB167">
        <v>2.3183310980099399</v>
      </c>
      <c r="AC167">
        <v>1.4256500000000001</v>
      </c>
      <c r="AD167">
        <v>1.26519</v>
      </c>
      <c r="AE167">
        <v>-1.71106750039446</v>
      </c>
      <c r="AF167">
        <v>-1.439E-2</v>
      </c>
      <c r="AG167">
        <v>-0.84928000000000003</v>
      </c>
      <c r="AH167">
        <v>0.86845000000000006</v>
      </c>
      <c r="AI167">
        <v>4.567158866792</v>
      </c>
      <c r="AJ167">
        <v>0.1489</v>
      </c>
      <c r="AK167">
        <v>4.4819999999999999E-2</v>
      </c>
    </row>
    <row r="168" spans="1:37">
      <c r="A168">
        <v>167</v>
      </c>
      <c r="B168">
        <v>0.31226553099999999</v>
      </c>
      <c r="C168">
        <v>0.31724381299999999</v>
      </c>
      <c r="D168">
        <v>0.330516386</v>
      </c>
      <c r="E168">
        <v>0.32236725999999999</v>
      </c>
      <c r="F168">
        <v>0.106914945</v>
      </c>
      <c r="G168">
        <v>4.0947723999999998E-2</v>
      </c>
      <c r="H168">
        <v>1.1271583E-2</v>
      </c>
      <c r="I168">
        <v>5.8953791999999998E-2</v>
      </c>
      <c r="J168">
        <v>0.51761611699999999</v>
      </c>
      <c r="K168">
        <v>0.59353990300000004</v>
      </c>
      <c r="L168">
        <v>0.63346293799999998</v>
      </c>
      <c r="M168">
        <v>0.60207898100000001</v>
      </c>
      <c r="N168">
        <v>0.54063198800000001</v>
      </c>
      <c r="O168">
        <v>0.90835235700000005</v>
      </c>
      <c r="P168">
        <v>0.91488655399999996</v>
      </c>
      <c r="Q168">
        <v>-0.249651258371588</v>
      </c>
      <c r="R168">
        <v>-0.96833581426769599</v>
      </c>
      <c r="S168">
        <v>-0.77008736871446004</v>
      </c>
      <c r="T168">
        <v>-0.63793843319433097</v>
      </c>
      <c r="U168">
        <v>-28.436740329999999</v>
      </c>
      <c r="V168">
        <v>-7.1432729320000004</v>
      </c>
      <c r="W168">
        <v>2.294821486</v>
      </c>
      <c r="X168">
        <v>2.3280837179999998</v>
      </c>
      <c r="Y168">
        <v>1.3857022859999999</v>
      </c>
      <c r="Z168">
        <v>1.3963351159999999</v>
      </c>
      <c r="AA168">
        <v>-2078.3372089999998</v>
      </c>
      <c r="AB168">
        <v>1.85262961759764</v>
      </c>
      <c r="AC168">
        <v>1.34243</v>
      </c>
      <c r="AD168">
        <v>1.33775</v>
      </c>
      <c r="AE168">
        <v>-2.6970579231357799</v>
      </c>
      <c r="AF168">
        <v>-0.30476999999999999</v>
      </c>
      <c r="AG168">
        <v>0.76275999999999999</v>
      </c>
      <c r="AH168">
        <v>0.75122</v>
      </c>
      <c r="AI168">
        <v>4.0030668547054997</v>
      </c>
      <c r="AJ168">
        <v>0.18864999999999901</v>
      </c>
      <c r="AK168">
        <v>0.17609999999999901</v>
      </c>
    </row>
    <row r="169" spans="1:37">
      <c r="A169">
        <v>168</v>
      </c>
      <c r="B169">
        <v>0.52787154999999997</v>
      </c>
      <c r="C169">
        <v>0.41006927999999998</v>
      </c>
      <c r="D169">
        <v>0.64326010600000005</v>
      </c>
      <c r="E169">
        <v>0.269666919</v>
      </c>
      <c r="F169">
        <v>0.19581243600000001</v>
      </c>
      <c r="G169">
        <v>0.18027700799999999</v>
      </c>
      <c r="H169">
        <v>5.4433773999999997E-2</v>
      </c>
      <c r="I169">
        <v>0.53337356199999997</v>
      </c>
      <c r="J169">
        <v>0.85993066299999998</v>
      </c>
      <c r="K169">
        <v>0.63986155300000003</v>
      </c>
      <c r="L169">
        <v>0.48490006400000002</v>
      </c>
      <c r="M169">
        <v>0.75314665000000003</v>
      </c>
      <c r="N169">
        <v>0.54550642900000001</v>
      </c>
      <c r="O169">
        <v>0.88018892100000001</v>
      </c>
      <c r="P169">
        <v>0.90882407799999998</v>
      </c>
      <c r="Q169">
        <v>-0.88116947055297901</v>
      </c>
      <c r="R169">
        <v>-0.472800554320087</v>
      </c>
      <c r="S169">
        <v>-0.99692417371036401</v>
      </c>
      <c r="T169">
        <v>-7.8372137089070606E-2</v>
      </c>
      <c r="U169">
        <v>7.9575923000000007E-2</v>
      </c>
      <c r="V169">
        <v>0.60181779300000005</v>
      </c>
      <c r="W169">
        <v>2.422760888</v>
      </c>
      <c r="X169">
        <v>2.443138598</v>
      </c>
      <c r="Y169">
        <v>1.4050744150000001</v>
      </c>
      <c r="Z169">
        <v>1.39247586</v>
      </c>
      <c r="AA169">
        <v>-3300.0335</v>
      </c>
      <c r="AB169">
        <v>4.0252046817522196</v>
      </c>
      <c r="AC169">
        <v>1.4048700000000001</v>
      </c>
      <c r="AD169">
        <v>1.4037900000000001</v>
      </c>
      <c r="AE169">
        <v>-4.6069766334624198</v>
      </c>
      <c r="AF169">
        <v>-0.16025</v>
      </c>
      <c r="AG169">
        <v>0.76671999999999996</v>
      </c>
      <c r="AH169">
        <v>0.78407000000000004</v>
      </c>
      <c r="AI169">
        <v>4.7674346607600002</v>
      </c>
      <c r="AJ169">
        <v>0.17781</v>
      </c>
      <c r="AK169">
        <v>0.16697999999999999</v>
      </c>
    </row>
    <row r="170" spans="1:37">
      <c r="A170">
        <v>169</v>
      </c>
      <c r="B170">
        <v>0.479318354</v>
      </c>
      <c r="C170">
        <v>0.49113359099999998</v>
      </c>
      <c r="D170">
        <v>0.47856976099999998</v>
      </c>
      <c r="E170">
        <v>0.49092296000000002</v>
      </c>
      <c r="F170">
        <v>0.185053198</v>
      </c>
      <c r="G170">
        <v>0.131490411</v>
      </c>
      <c r="H170">
        <v>0.13168965599999999</v>
      </c>
      <c r="I170">
        <v>0.18341938799999999</v>
      </c>
      <c r="J170">
        <v>0.77358350899999995</v>
      </c>
      <c r="K170">
        <v>0.85077677100000004</v>
      </c>
      <c r="L170">
        <v>0.85015626499999997</v>
      </c>
      <c r="M170">
        <v>0.77372013500000003</v>
      </c>
      <c r="N170">
        <v>0.54988003200000002</v>
      </c>
      <c r="O170">
        <v>0.93887439399999995</v>
      </c>
      <c r="P170">
        <v>0.93892098400000001</v>
      </c>
      <c r="Q170">
        <v>-0.99821198968114599</v>
      </c>
      <c r="R170">
        <v>5.9773101448781403E-2</v>
      </c>
      <c r="S170">
        <v>-0.65269012661943704</v>
      </c>
      <c r="T170">
        <v>-0.75762497227421299</v>
      </c>
      <c r="U170">
        <v>-43.831370020000001</v>
      </c>
      <c r="V170">
        <v>-43.967808220000002</v>
      </c>
      <c r="W170">
        <v>2.44805216</v>
      </c>
      <c r="X170">
        <v>2.4501838220000001</v>
      </c>
      <c r="Y170">
        <v>1.4010329290000001</v>
      </c>
      <c r="Z170">
        <v>1.4013729180000001</v>
      </c>
      <c r="AA170">
        <v>-4457.4153500000002</v>
      </c>
      <c r="AB170">
        <v>1.2253308043136699</v>
      </c>
      <c r="AC170">
        <v>1.3264800000000001</v>
      </c>
      <c r="AD170">
        <v>1.3261000000000001</v>
      </c>
      <c r="AE170">
        <v>-5.8470058312607103</v>
      </c>
      <c r="AF170">
        <v>-0.15090999999999999</v>
      </c>
      <c r="AG170">
        <v>0.80728</v>
      </c>
      <c r="AH170">
        <v>0.80728999999999995</v>
      </c>
      <c r="AI170">
        <v>4.8528784098170004</v>
      </c>
      <c r="AJ170">
        <v>0.14885999999999999</v>
      </c>
      <c r="AK170">
        <v>0.14867</v>
      </c>
    </row>
    <row r="171" spans="1:37">
      <c r="A171">
        <v>170</v>
      </c>
      <c r="B171">
        <v>0.55496319699999996</v>
      </c>
      <c r="C171">
        <v>0.58312507499999999</v>
      </c>
      <c r="D171">
        <v>0.38862765599999999</v>
      </c>
      <c r="E171">
        <v>0.59229604400000002</v>
      </c>
      <c r="F171">
        <v>0.37160927500000002</v>
      </c>
      <c r="G171">
        <v>0.313002738</v>
      </c>
      <c r="H171">
        <v>0.288222335</v>
      </c>
      <c r="I171">
        <v>8.6796877999999994E-2</v>
      </c>
      <c r="J171">
        <v>0.73831711899999997</v>
      </c>
      <c r="K171">
        <v>0.85324741100000001</v>
      </c>
      <c r="L171">
        <v>0.89636975299999999</v>
      </c>
      <c r="M171">
        <v>0.69045843500000004</v>
      </c>
      <c r="N171">
        <v>0.52264838800000002</v>
      </c>
      <c r="O171">
        <v>0.91626677199999995</v>
      </c>
      <c r="P171">
        <v>0.89918002200000002</v>
      </c>
      <c r="Q171">
        <v>0.85887571177885202</v>
      </c>
      <c r="R171">
        <v>0.51218406038881104</v>
      </c>
      <c r="S171">
        <v>0.98565360764628696</v>
      </c>
      <c r="T171">
        <v>0.168780821581893</v>
      </c>
      <c r="U171">
        <v>2.0992839399999998</v>
      </c>
      <c r="V171">
        <v>-8.7294137119999995</v>
      </c>
      <c r="W171">
        <v>2.3479840099999998</v>
      </c>
      <c r="X171">
        <v>2.3172064140000002</v>
      </c>
      <c r="Y171">
        <v>1.392406107</v>
      </c>
      <c r="Z171">
        <v>1.387614114</v>
      </c>
      <c r="AA171">
        <v>-4467.6777849999999</v>
      </c>
      <c r="AB171">
        <v>2.5632841902528001</v>
      </c>
      <c r="AC171">
        <v>1.2688600000000001</v>
      </c>
      <c r="AD171">
        <v>1.26813</v>
      </c>
      <c r="AE171">
        <v>-8.5674087961959806</v>
      </c>
      <c r="AF171">
        <v>-0.27516000000000002</v>
      </c>
      <c r="AG171">
        <v>0.85206999999999999</v>
      </c>
      <c r="AH171">
        <v>0.86956999999999995</v>
      </c>
      <c r="AI171">
        <v>3.5668683523540001</v>
      </c>
      <c r="AJ171">
        <v>0.14742999999999901</v>
      </c>
      <c r="AK171">
        <v>0.15401999999999999</v>
      </c>
    </row>
    <row r="172" spans="1:37">
      <c r="A172">
        <v>171</v>
      </c>
      <c r="B172">
        <v>0.30701684499999998</v>
      </c>
      <c r="C172">
        <v>0.33901846099999999</v>
      </c>
      <c r="D172">
        <v>0.30710223599999997</v>
      </c>
      <c r="E172">
        <v>0.33918355</v>
      </c>
      <c r="F172">
        <v>6.5147469999999999E-2</v>
      </c>
      <c r="G172">
        <v>0.128342337</v>
      </c>
      <c r="H172">
        <v>0.12883191099999999</v>
      </c>
      <c r="I172">
        <v>6.6052611999999997E-2</v>
      </c>
      <c r="J172">
        <v>0.54888621999999998</v>
      </c>
      <c r="K172">
        <v>0.54969458599999999</v>
      </c>
      <c r="L172">
        <v>0.54953518999999995</v>
      </c>
      <c r="M172">
        <v>0.54815185899999996</v>
      </c>
      <c r="N172">
        <v>0.50136857099999999</v>
      </c>
      <c r="O172">
        <v>0.91417606200000001</v>
      </c>
      <c r="P172">
        <v>0.914024646</v>
      </c>
      <c r="Q172">
        <v>-0.80088540963994603</v>
      </c>
      <c r="R172">
        <v>-0.59881763553343603</v>
      </c>
      <c r="S172">
        <v>-0.81378737126770995</v>
      </c>
      <c r="T172">
        <v>0.581162726235251</v>
      </c>
      <c r="U172">
        <v>-1.442636019</v>
      </c>
      <c r="V172">
        <v>-1.0491488099999999</v>
      </c>
      <c r="W172">
        <v>2.390184788</v>
      </c>
      <c r="X172">
        <v>2.3891822550000001</v>
      </c>
      <c r="Y172">
        <v>1.391463927</v>
      </c>
      <c r="Z172">
        <v>1.391358147</v>
      </c>
      <c r="AA172">
        <v>-2223.7777500000002</v>
      </c>
      <c r="AB172">
        <v>0.20760900751171599</v>
      </c>
      <c r="AC172">
        <v>1.39269</v>
      </c>
      <c r="AD172">
        <v>1.3928400000000001</v>
      </c>
      <c r="AE172">
        <v>-2.6209119043430098</v>
      </c>
      <c r="AF172">
        <v>-0.23718</v>
      </c>
      <c r="AG172">
        <v>0.77158000000000004</v>
      </c>
      <c r="AH172">
        <v>0.77154</v>
      </c>
      <c r="AI172">
        <v>4.3998088487344997</v>
      </c>
      <c r="AJ172">
        <v>0.18007999999999999</v>
      </c>
      <c r="AK172">
        <v>0.18015999999999899</v>
      </c>
    </row>
    <row r="173" spans="1:37">
      <c r="A173">
        <v>172</v>
      </c>
      <c r="B173">
        <v>0.32616430299999999</v>
      </c>
      <c r="C173">
        <v>0.63108907400000003</v>
      </c>
      <c r="D173">
        <v>0.32605898799999999</v>
      </c>
      <c r="E173">
        <v>0.63123993099999998</v>
      </c>
      <c r="F173">
        <v>0.159646596</v>
      </c>
      <c r="G173">
        <v>0.54148568600000002</v>
      </c>
      <c r="H173">
        <v>0.54123520599999997</v>
      </c>
      <c r="I173">
        <v>0.15957828299999999</v>
      </c>
      <c r="J173">
        <v>0.49268201</v>
      </c>
      <c r="K173">
        <v>0.72069246200000003</v>
      </c>
      <c r="L173">
        <v>0.72124465599999998</v>
      </c>
      <c r="M173">
        <v>0.49253969199999997</v>
      </c>
      <c r="N173">
        <v>0.58312173899999997</v>
      </c>
      <c r="O173">
        <v>0.92275437900000001</v>
      </c>
      <c r="P173">
        <v>0.92298732800000005</v>
      </c>
      <c r="Q173">
        <v>-0.289145992324921</v>
      </c>
      <c r="R173">
        <v>-0.95728501248188103</v>
      </c>
      <c r="S173">
        <v>-0.99952831885201499</v>
      </c>
      <c r="T173">
        <v>3.07105814478177E-2</v>
      </c>
      <c r="U173">
        <v>14.80117894</v>
      </c>
      <c r="V173">
        <v>14.71588053</v>
      </c>
      <c r="W173">
        <v>2.328966211</v>
      </c>
      <c r="X173">
        <v>2.3280523440000001</v>
      </c>
      <c r="Y173">
        <v>1.390236579</v>
      </c>
      <c r="Z173">
        <v>1.39033728</v>
      </c>
      <c r="AA173">
        <v>-3141.3271949999998</v>
      </c>
      <c r="AB173">
        <v>0.808653009640105</v>
      </c>
      <c r="AC173">
        <v>1.3795999999999999</v>
      </c>
      <c r="AD173">
        <v>1.37971</v>
      </c>
      <c r="AE173">
        <v>-4.3663979074342496</v>
      </c>
      <c r="AF173">
        <v>-0.26216</v>
      </c>
      <c r="AG173">
        <v>0.79757</v>
      </c>
      <c r="AH173">
        <v>0.7974</v>
      </c>
      <c r="AI173">
        <v>3.5908143711979998</v>
      </c>
      <c r="AJ173">
        <v>0.18879000000000001</v>
      </c>
      <c r="AK173">
        <v>0.18897999999999901</v>
      </c>
    </row>
    <row r="174" spans="1:37">
      <c r="A174">
        <v>173</v>
      </c>
      <c r="B174">
        <v>0.36779800000000001</v>
      </c>
      <c r="C174">
        <v>0.152174903</v>
      </c>
      <c r="D174">
        <v>0.119117287</v>
      </c>
      <c r="E174">
        <v>0.24169859299999999</v>
      </c>
      <c r="F174">
        <v>9.3685066999999997E-2</v>
      </c>
      <c r="G174">
        <v>1.0394904E-2</v>
      </c>
      <c r="H174">
        <v>3.1657207E-2</v>
      </c>
      <c r="I174">
        <v>7.0248150000000002E-3</v>
      </c>
      <c r="J174">
        <v>0.64191093200000005</v>
      </c>
      <c r="K174">
        <v>0.29395490200000002</v>
      </c>
      <c r="L174">
        <v>0.45173997900000001</v>
      </c>
      <c r="M174">
        <v>0.23120975999999999</v>
      </c>
      <c r="N174">
        <v>0.40981993100000003</v>
      </c>
      <c r="O174">
        <v>0.87484858399999998</v>
      </c>
      <c r="P174">
        <v>0.69268892100000001</v>
      </c>
      <c r="Q174">
        <v>0.75672814515416498</v>
      </c>
      <c r="R174">
        <v>0.65372969515812596</v>
      </c>
      <c r="S174">
        <v>-0.48440577348888397</v>
      </c>
      <c r="T174">
        <v>-0.87484344119998703</v>
      </c>
      <c r="U174">
        <v>0.53620547100000004</v>
      </c>
      <c r="V174">
        <v>-6.0416993769999996</v>
      </c>
      <c r="W174">
        <v>2.2897045199999999</v>
      </c>
      <c r="X174">
        <v>2.1323288499999999</v>
      </c>
      <c r="Y174">
        <v>1.3878112380000001</v>
      </c>
      <c r="Z174">
        <v>1.4029084979999999</v>
      </c>
      <c r="AA174">
        <v>-1585.576969</v>
      </c>
      <c r="AB174">
        <v>1.2315135971640701</v>
      </c>
      <c r="AC174">
        <v>1.3515699999999999</v>
      </c>
      <c r="AD174">
        <v>1.3579300000000001</v>
      </c>
      <c r="AE174">
        <v>-1.3819344483460101</v>
      </c>
      <c r="AF174">
        <v>-1.3820000000000001E-2</v>
      </c>
      <c r="AG174">
        <v>-0.48227999999999999</v>
      </c>
      <c r="AH174">
        <v>0.82920000000000005</v>
      </c>
      <c r="AI174">
        <v>4.8191362923550001</v>
      </c>
      <c r="AJ174">
        <v>0.18312999999999999</v>
      </c>
      <c r="AK174">
        <v>7.3119999999999796E-2</v>
      </c>
    </row>
    <row r="175" spans="1:37">
      <c r="A175">
        <v>174</v>
      </c>
      <c r="B175">
        <v>0.39558985099999999</v>
      </c>
      <c r="C175">
        <v>0.33148984100000001</v>
      </c>
      <c r="D175">
        <v>0.12868959299999999</v>
      </c>
      <c r="E175">
        <v>0.33500794099999998</v>
      </c>
      <c r="F175">
        <v>5.1815122999999998E-2</v>
      </c>
      <c r="G175">
        <v>2.0266080000000001E-3</v>
      </c>
      <c r="H175">
        <v>5.3471704000000002E-2</v>
      </c>
      <c r="I175">
        <v>2.0266080000000001E-3</v>
      </c>
      <c r="J175">
        <v>0.73936457899999997</v>
      </c>
      <c r="K175">
        <v>0.660953075</v>
      </c>
      <c r="L175">
        <v>0.61654417800000005</v>
      </c>
      <c r="M175">
        <v>0.25535257900000002</v>
      </c>
      <c r="N175">
        <v>0.421729407</v>
      </c>
      <c r="O175">
        <v>0.887520965</v>
      </c>
      <c r="P175">
        <v>0.67855478899999999</v>
      </c>
      <c r="Q175">
        <v>-4.5553706111511799E-2</v>
      </c>
      <c r="R175">
        <v>-0.99896189109470301</v>
      </c>
      <c r="S175">
        <v>0.86421306722286395</v>
      </c>
      <c r="T175">
        <v>0.50312600254930995</v>
      </c>
      <c r="U175">
        <v>-6.9265204579999997</v>
      </c>
      <c r="V175">
        <v>1.3881446</v>
      </c>
      <c r="W175">
        <v>2.309218569</v>
      </c>
      <c r="X175">
        <v>2.1061864749999999</v>
      </c>
      <c r="Y175">
        <v>1.410582714</v>
      </c>
      <c r="Z175">
        <v>1.386129406</v>
      </c>
      <c r="AA175">
        <v>-3485.7756949999998</v>
      </c>
      <c r="AB175">
        <v>5.1568728402007302</v>
      </c>
      <c r="AC175">
        <v>0.95974999999999999</v>
      </c>
      <c r="AD175">
        <v>1.2980700000000001</v>
      </c>
      <c r="AE175">
        <v>-2.6472344866442601</v>
      </c>
      <c r="AF175">
        <v>4.9009999999999998E-2</v>
      </c>
      <c r="AG175">
        <v>1.7106399999999999</v>
      </c>
      <c r="AH175">
        <v>0.87617</v>
      </c>
      <c r="AI175">
        <v>4.6955966042280002</v>
      </c>
      <c r="AJ175">
        <v>0.15290000000000001</v>
      </c>
      <c r="AK175">
        <v>0.76741999999999999</v>
      </c>
    </row>
    <row r="176" spans="1:37">
      <c r="A176">
        <v>175</v>
      </c>
      <c r="B176">
        <v>0.52407166000000005</v>
      </c>
      <c r="C176">
        <v>0.44793724299999998</v>
      </c>
      <c r="D176">
        <v>0.41948503700000001</v>
      </c>
      <c r="E176">
        <v>0.40706067899999998</v>
      </c>
      <c r="F176">
        <v>0.23197258400000001</v>
      </c>
      <c r="G176">
        <v>0.11995127</v>
      </c>
      <c r="H176">
        <v>0.14528386700000001</v>
      </c>
      <c r="I176">
        <v>0.20006489699999999</v>
      </c>
      <c r="J176">
        <v>0.81617073600000001</v>
      </c>
      <c r="K176">
        <v>0.775923217</v>
      </c>
      <c r="L176">
        <v>0.66883749000000003</v>
      </c>
      <c r="M176">
        <v>0.63890517599999996</v>
      </c>
      <c r="N176">
        <v>0.57478801700000004</v>
      </c>
      <c r="O176">
        <v>0.93056396799999996</v>
      </c>
      <c r="P176">
        <v>0.92637672400000004</v>
      </c>
      <c r="Q176">
        <v>-0.23528166527149799</v>
      </c>
      <c r="R176">
        <v>-0.97192722875072801</v>
      </c>
      <c r="S176">
        <v>-0.83813184495250304</v>
      </c>
      <c r="T176">
        <v>-0.54546769883881396</v>
      </c>
      <c r="U176">
        <v>15.08495712</v>
      </c>
      <c r="V176">
        <v>1.6731732319999999</v>
      </c>
      <c r="W176">
        <v>2.3475711750000001</v>
      </c>
      <c r="X176">
        <v>2.3608845870000001</v>
      </c>
      <c r="Y176">
        <v>1.391909209</v>
      </c>
      <c r="Z176">
        <v>1.389820284</v>
      </c>
      <c r="AA176">
        <v>-4196.7773159999997</v>
      </c>
      <c r="AB176">
        <v>2.2692085933205801</v>
      </c>
      <c r="AC176">
        <v>1.28518</v>
      </c>
      <c r="AD176">
        <v>1.2806299999999999</v>
      </c>
      <c r="AE176">
        <v>-4.4325235568157204</v>
      </c>
      <c r="AF176">
        <v>-0.26469999999999999</v>
      </c>
      <c r="AG176">
        <v>0.84982000000000002</v>
      </c>
      <c r="AH176">
        <v>0.87722</v>
      </c>
      <c r="AI176">
        <v>4.2436154985475003</v>
      </c>
      <c r="AJ176">
        <v>0.164019999999999</v>
      </c>
      <c r="AK176">
        <v>0.15226999999999899</v>
      </c>
    </row>
    <row r="177" spans="1:37">
      <c r="A177">
        <v>176</v>
      </c>
      <c r="B177">
        <v>0.32324678499999998</v>
      </c>
      <c r="C177">
        <v>0.31584625100000002</v>
      </c>
      <c r="D177">
        <v>0.475925494</v>
      </c>
      <c r="E177">
        <v>0.53716775900000002</v>
      </c>
      <c r="F177">
        <v>9.8011532999999998E-2</v>
      </c>
      <c r="G177">
        <v>4.2718158999999999E-2</v>
      </c>
      <c r="H177">
        <v>0.313002738</v>
      </c>
      <c r="I177">
        <v>0.16692188999999999</v>
      </c>
      <c r="J177">
        <v>0.54848203699999998</v>
      </c>
      <c r="K177">
        <v>0.58897434299999996</v>
      </c>
      <c r="L177">
        <v>0.76133277899999996</v>
      </c>
      <c r="M177">
        <v>0.78492909700000002</v>
      </c>
      <c r="N177">
        <v>0.54746319399999999</v>
      </c>
      <c r="O177">
        <v>0.90951709800000002</v>
      </c>
      <c r="P177">
        <v>0.91235324299999998</v>
      </c>
      <c r="Q177">
        <v>-0.32278715208647701</v>
      </c>
      <c r="R177">
        <v>-0.94647158142645804</v>
      </c>
      <c r="S177">
        <v>-0.90634990361644796</v>
      </c>
      <c r="T177">
        <v>-0.42252793069151501</v>
      </c>
      <c r="U177">
        <v>22.035847480000001</v>
      </c>
      <c r="V177">
        <v>0.17601530200000001</v>
      </c>
      <c r="W177">
        <v>2.3455475419999998</v>
      </c>
      <c r="X177">
        <v>2.3288290749999998</v>
      </c>
      <c r="Y177">
        <v>1.4017218199999999</v>
      </c>
      <c r="Z177">
        <v>1.3913834249999999</v>
      </c>
      <c r="AA177">
        <v>-4031.1986350000002</v>
      </c>
      <c r="AB177">
        <v>1.8100562891799801</v>
      </c>
      <c r="AC177">
        <v>1.27857</v>
      </c>
      <c r="AD177">
        <v>1.2886500000000001</v>
      </c>
      <c r="AE177">
        <v>-3.3328800523532101</v>
      </c>
      <c r="AF177">
        <v>-0.30258000000000002</v>
      </c>
      <c r="AG177">
        <v>0.79683999999999999</v>
      </c>
      <c r="AH177">
        <v>0.82591000000000003</v>
      </c>
      <c r="AI177">
        <v>4.870293696249</v>
      </c>
      <c r="AJ177">
        <v>0.16871999999999901</v>
      </c>
      <c r="AK177">
        <v>0.15669</v>
      </c>
    </row>
    <row r="178" spans="1:37">
      <c r="A178">
        <v>177</v>
      </c>
      <c r="B178">
        <v>0.42305152499999998</v>
      </c>
      <c r="C178">
        <v>0.38835155999999998</v>
      </c>
      <c r="D178">
        <v>0.42348132500000002</v>
      </c>
      <c r="E178">
        <v>0.38915992599999999</v>
      </c>
      <c r="F178">
        <v>7.5132498000000006E-2</v>
      </c>
      <c r="G178">
        <v>7.6532906999999997E-2</v>
      </c>
      <c r="H178">
        <v>7.8599364000000005E-2</v>
      </c>
      <c r="I178">
        <v>7.7090793000000005E-2</v>
      </c>
      <c r="J178">
        <v>0.77097055199999998</v>
      </c>
      <c r="K178">
        <v>0.70017021199999996</v>
      </c>
      <c r="L178">
        <v>0.69972048799999997</v>
      </c>
      <c r="M178">
        <v>0.76987185700000005</v>
      </c>
      <c r="N178">
        <v>0.56942438500000003</v>
      </c>
      <c r="O178">
        <v>0.87888441100000003</v>
      </c>
      <c r="P178">
        <v>0.87882035000000003</v>
      </c>
      <c r="Q178">
        <v>-0.61703868741167001</v>
      </c>
      <c r="R178">
        <v>-0.78693281685114802</v>
      </c>
      <c r="S178">
        <v>0.93611466960430201</v>
      </c>
      <c r="T178">
        <v>0.35169493222340897</v>
      </c>
      <c r="U178">
        <v>9.9931108099999992</v>
      </c>
      <c r="V178">
        <v>10.642134540000001</v>
      </c>
      <c r="W178">
        <v>2.2858685890000001</v>
      </c>
      <c r="X178">
        <v>2.2847876079999998</v>
      </c>
      <c r="Y178">
        <v>1.3861458149999999</v>
      </c>
      <c r="Z178">
        <v>1.3859310149999999</v>
      </c>
      <c r="AA178">
        <v>-3557.7458839999999</v>
      </c>
      <c r="AB178">
        <v>0.43434831644660399</v>
      </c>
      <c r="AC178">
        <v>1.4208499999999999</v>
      </c>
      <c r="AD178">
        <v>1.42032</v>
      </c>
      <c r="AE178">
        <v>-5.18529384062938</v>
      </c>
      <c r="AF178">
        <v>-0.43697000000000003</v>
      </c>
      <c r="AG178">
        <v>1.5359100000000001</v>
      </c>
      <c r="AH178">
        <v>1.53562</v>
      </c>
      <c r="AI178">
        <v>4.0253801904464996</v>
      </c>
      <c r="AJ178">
        <v>0.30870999999999998</v>
      </c>
      <c r="AK178">
        <v>0.30945999999999901</v>
      </c>
    </row>
    <row r="179" spans="1:37">
      <c r="A179">
        <v>178</v>
      </c>
      <c r="B179">
        <v>0.37936275699999999</v>
      </c>
      <c r="C179">
        <v>0.36782931000000002</v>
      </c>
      <c r="D179">
        <v>0.379257442</v>
      </c>
      <c r="E179">
        <v>0.36767275999999999</v>
      </c>
      <c r="F179">
        <v>4.3987634999999997E-2</v>
      </c>
      <c r="G179">
        <v>0.156475752</v>
      </c>
      <c r="H179">
        <v>0.15636759</v>
      </c>
      <c r="I179">
        <v>4.3799775999999999E-2</v>
      </c>
      <c r="J179">
        <v>0.71473787899999996</v>
      </c>
      <c r="K179">
        <v>0.57918286699999999</v>
      </c>
      <c r="L179">
        <v>0.578977929</v>
      </c>
      <c r="M179">
        <v>0.71471510800000004</v>
      </c>
      <c r="N179">
        <v>0.51243943300000006</v>
      </c>
      <c r="O179">
        <v>0.89927320200000005</v>
      </c>
      <c r="P179">
        <v>0.89958768200000006</v>
      </c>
      <c r="Q179">
        <v>0.86166504590257298</v>
      </c>
      <c r="R179">
        <v>-0.50747743661143796</v>
      </c>
      <c r="S179">
        <v>0.94712385361497897</v>
      </c>
      <c r="T179">
        <v>-0.32086820645478598</v>
      </c>
      <c r="U179">
        <v>-5.9385527910000002</v>
      </c>
      <c r="V179">
        <v>-5.8997438720000002</v>
      </c>
      <c r="W179">
        <v>2.324934775</v>
      </c>
      <c r="X179">
        <v>2.3252063170000001</v>
      </c>
      <c r="Y179">
        <v>1.38855105</v>
      </c>
      <c r="Z179">
        <v>1.3885685059999999</v>
      </c>
      <c r="AA179">
        <v>-2676.6266260000002</v>
      </c>
      <c r="AB179">
        <v>3.3367997093023098</v>
      </c>
      <c r="AC179">
        <v>1.2742</v>
      </c>
      <c r="AD179">
        <v>1.2741400000000001</v>
      </c>
      <c r="AE179">
        <v>-3.3904165831485402</v>
      </c>
      <c r="AF179">
        <v>-0.28965999999999997</v>
      </c>
      <c r="AG179">
        <v>0.86175999999999997</v>
      </c>
      <c r="AH179">
        <v>0.86175999999999997</v>
      </c>
      <c r="AI179">
        <v>4.3023920902555002</v>
      </c>
      <c r="AJ179">
        <v>0.15348000000000001</v>
      </c>
      <c r="AK179">
        <v>0.15351000000000001</v>
      </c>
    </row>
    <row r="180" spans="1:37">
      <c r="A180">
        <v>179</v>
      </c>
      <c r="B180">
        <v>0.290852371</v>
      </c>
      <c r="C180">
        <v>0.25697215699999998</v>
      </c>
      <c r="D180">
        <v>0.26879593299999999</v>
      </c>
      <c r="E180">
        <v>0.30535741700000002</v>
      </c>
      <c r="F180">
        <v>1.9508945999999999E-2</v>
      </c>
      <c r="G180">
        <v>6.8768040000000002E-3</v>
      </c>
      <c r="H180">
        <v>6.0809618000000003E-2</v>
      </c>
      <c r="I180">
        <v>8.9375700000000001E-4</v>
      </c>
      <c r="J180">
        <v>0.56219579500000005</v>
      </c>
      <c r="K180">
        <v>0.50706751000000005</v>
      </c>
      <c r="L180">
        <v>0.54990521599999997</v>
      </c>
      <c r="M180">
        <v>0.53669810900000003</v>
      </c>
      <c r="N180">
        <v>0.42431513199999998</v>
      </c>
      <c r="O180">
        <v>0.86425526500000005</v>
      </c>
      <c r="P180">
        <v>0.78078410399999998</v>
      </c>
      <c r="Q180">
        <v>0.49856142445320301</v>
      </c>
      <c r="R180">
        <v>0.86685437418703204</v>
      </c>
      <c r="S180">
        <v>0.98112460330553397</v>
      </c>
      <c r="T180">
        <v>0.19337660869029</v>
      </c>
      <c r="U180">
        <v>2.9197794589999999</v>
      </c>
      <c r="V180">
        <v>2.9954377640000001</v>
      </c>
      <c r="W180">
        <v>2.318972348</v>
      </c>
      <c r="X180">
        <v>2.1485267549999998</v>
      </c>
      <c r="Y180">
        <v>1.3883870279999999</v>
      </c>
      <c r="Z180">
        <v>1.4037530220000001</v>
      </c>
      <c r="AA180">
        <v>-1969.0643050000001</v>
      </c>
      <c r="AB180">
        <v>3.4538635670796198</v>
      </c>
      <c r="AC180">
        <v>1.33927</v>
      </c>
      <c r="AD180">
        <v>1.25979</v>
      </c>
      <c r="AE180">
        <v>-2.4384380896365401</v>
      </c>
      <c r="AF180">
        <v>1.208E-2</v>
      </c>
      <c r="AG180">
        <v>-0.47666999999999998</v>
      </c>
      <c r="AH180">
        <v>0.87805</v>
      </c>
      <c r="AI180">
        <v>3.6836051942185</v>
      </c>
      <c r="AJ180">
        <v>0.13955999999999899</v>
      </c>
      <c r="AK180">
        <v>6.6089999999999899E-2</v>
      </c>
    </row>
    <row r="181" spans="1:37">
      <c r="A181">
        <v>180</v>
      </c>
      <c r="B181">
        <v>0.43856133600000002</v>
      </c>
      <c r="C181">
        <v>0.37692912000000001</v>
      </c>
      <c r="D181">
        <v>0.37785133999999998</v>
      </c>
      <c r="E181">
        <v>0.33436181799999998</v>
      </c>
      <c r="F181">
        <v>0.104723248</v>
      </c>
      <c r="G181">
        <v>0.19722423</v>
      </c>
      <c r="H181">
        <v>4.2780778999999998E-2</v>
      </c>
      <c r="I181">
        <v>8.5880349999999994E-2</v>
      </c>
      <c r="J181">
        <v>0.77239942399999995</v>
      </c>
      <c r="K181">
        <v>0.55663400900000004</v>
      </c>
      <c r="L181">
        <v>0.62594285599999999</v>
      </c>
      <c r="M181">
        <v>0.66982233000000002</v>
      </c>
      <c r="N181">
        <v>0.49816553299999999</v>
      </c>
      <c r="O181">
        <v>0.89805604699999997</v>
      </c>
      <c r="P181">
        <v>0.88413156900000001</v>
      </c>
      <c r="Q181">
        <v>0.457965057357553</v>
      </c>
      <c r="R181">
        <v>-0.88897019423571899</v>
      </c>
      <c r="S181">
        <v>0.95217338342448998</v>
      </c>
      <c r="T181">
        <v>0.30555825614432103</v>
      </c>
      <c r="U181">
        <v>9.9759374609999991</v>
      </c>
      <c r="V181">
        <v>-0.82004456400000003</v>
      </c>
      <c r="W181">
        <v>2.29303078</v>
      </c>
      <c r="X181">
        <v>2.3116394229999999</v>
      </c>
      <c r="Y181">
        <v>1.3894978280000001</v>
      </c>
      <c r="Z181">
        <v>1.387313311</v>
      </c>
      <c r="AA181">
        <v>-3867.4556419999999</v>
      </c>
      <c r="AB181">
        <v>2.9400705246643302</v>
      </c>
      <c r="AC181">
        <v>1.27901</v>
      </c>
      <c r="AD181">
        <v>1.2754399999999999</v>
      </c>
      <c r="AE181">
        <v>-3.1637941084766901</v>
      </c>
      <c r="AF181">
        <v>-0.30123</v>
      </c>
      <c r="AG181">
        <v>0.83716999999999997</v>
      </c>
      <c r="AH181">
        <v>0.86033000000000004</v>
      </c>
      <c r="AI181">
        <v>4.3410322570264999</v>
      </c>
      <c r="AJ181">
        <v>0.16327999999999901</v>
      </c>
      <c r="AK181">
        <v>0.15731999999999899</v>
      </c>
    </row>
    <row r="182" spans="1:37">
      <c r="A182">
        <v>181</v>
      </c>
      <c r="B182">
        <v>0.45318593000000001</v>
      </c>
      <c r="C182">
        <v>0.33863135700000002</v>
      </c>
      <c r="D182">
        <v>0.36668791899999997</v>
      </c>
      <c r="E182">
        <v>0.374011602</v>
      </c>
      <c r="F182">
        <v>0.10847474999999999</v>
      </c>
      <c r="G182">
        <v>0.14555711800000001</v>
      </c>
      <c r="H182">
        <v>6.2016475000000001E-2</v>
      </c>
      <c r="I182">
        <v>6.0024023000000003E-2</v>
      </c>
      <c r="J182">
        <v>0.79789710999999996</v>
      </c>
      <c r="K182">
        <v>0.53170559500000003</v>
      </c>
      <c r="L182">
        <v>0.68600672900000004</v>
      </c>
      <c r="M182">
        <v>0.67335181600000005</v>
      </c>
      <c r="N182">
        <v>0.50670308399999997</v>
      </c>
      <c r="O182">
        <v>0.91376840299999995</v>
      </c>
      <c r="P182">
        <v>0.887573379</v>
      </c>
      <c r="Q182">
        <v>0.88342705026502699</v>
      </c>
      <c r="R182">
        <v>0.46856872159805102</v>
      </c>
      <c r="S182">
        <v>0.94663824493847804</v>
      </c>
      <c r="T182">
        <v>0.32229805028854303</v>
      </c>
      <c r="U182">
        <v>-16.45380647</v>
      </c>
      <c r="V182">
        <v>-3.8847702279999998</v>
      </c>
      <c r="W182">
        <v>2.3265818669999998</v>
      </c>
      <c r="X182">
        <v>2.2984135330000002</v>
      </c>
      <c r="Y182">
        <v>1.3910498870000001</v>
      </c>
      <c r="Z182">
        <v>1.3881117700000001</v>
      </c>
      <c r="AA182">
        <v>-5060.8632909999997</v>
      </c>
      <c r="AB182">
        <v>4.5944273604008501</v>
      </c>
      <c r="AC182">
        <v>1.2784599999999999</v>
      </c>
      <c r="AD182">
        <v>1.2584500000000001</v>
      </c>
      <c r="AE182">
        <v>-3.6474925515055898</v>
      </c>
      <c r="AF182">
        <v>-0.28892000000000001</v>
      </c>
      <c r="AG182">
        <v>0.84548999999999996</v>
      </c>
      <c r="AH182">
        <v>0.87883999999999995</v>
      </c>
      <c r="AI182">
        <v>4.0827962129020001</v>
      </c>
      <c r="AJ182">
        <v>0.1532</v>
      </c>
      <c r="AK182">
        <v>0.15484999999999899</v>
      </c>
    </row>
    <row r="183" spans="1:37">
      <c r="A183">
        <v>182</v>
      </c>
      <c r="B183">
        <v>0.45811867000000001</v>
      </c>
      <c r="C183">
        <v>0.38700807799999998</v>
      </c>
      <c r="D183">
        <v>0.38854795800000003</v>
      </c>
      <c r="E183">
        <v>0.439492096</v>
      </c>
      <c r="F183">
        <v>0.10229815</v>
      </c>
      <c r="G183">
        <v>0.19098501100000001</v>
      </c>
      <c r="H183">
        <v>0.19570996700000001</v>
      </c>
      <c r="I183">
        <v>5.5390149999999999E-2</v>
      </c>
      <c r="J183">
        <v>0.81393919000000003</v>
      </c>
      <c r="K183">
        <v>0.58303114499999997</v>
      </c>
      <c r="L183">
        <v>0.68327422400000004</v>
      </c>
      <c r="M183">
        <v>0.72170576600000003</v>
      </c>
      <c r="N183">
        <v>0.55212215799999997</v>
      </c>
      <c r="O183">
        <v>0.91145639199999995</v>
      </c>
      <c r="P183">
        <v>0.92433260299999997</v>
      </c>
      <c r="Q183">
        <v>-0.85168606732334295</v>
      </c>
      <c r="R183">
        <v>-0.52405232823382897</v>
      </c>
      <c r="S183">
        <v>-0.98251965393706198</v>
      </c>
      <c r="T183">
        <v>-0.18615888275178999</v>
      </c>
      <c r="U183">
        <v>1.2026936260000001</v>
      </c>
      <c r="V183">
        <v>-6.7951464579999996</v>
      </c>
      <c r="W183">
        <v>2.3258035370000001</v>
      </c>
      <c r="X183">
        <v>2.3226549419999998</v>
      </c>
      <c r="Y183">
        <v>1.390232294</v>
      </c>
      <c r="Z183">
        <v>1.389833699</v>
      </c>
      <c r="AA183">
        <v>-4178.7953479999996</v>
      </c>
      <c r="AB183">
        <v>2.9688566048228</v>
      </c>
      <c r="AC183">
        <v>1.27003</v>
      </c>
      <c r="AD183">
        <v>1.2462200000000001</v>
      </c>
      <c r="AE183">
        <v>-4.1095061411060199</v>
      </c>
      <c r="AF183">
        <v>-0.31830999999999998</v>
      </c>
      <c r="AG183">
        <v>0.81264999999999998</v>
      </c>
      <c r="AH183">
        <v>0.87695999999999996</v>
      </c>
      <c r="AI183">
        <v>4.2376289938365002</v>
      </c>
      <c r="AJ183">
        <v>0.15314</v>
      </c>
      <c r="AK183">
        <v>0.14294000000000001</v>
      </c>
    </row>
    <row r="184" spans="1:37">
      <c r="A184">
        <v>183</v>
      </c>
      <c r="B184">
        <v>0.375078986</v>
      </c>
      <c r="C184">
        <v>0.365751467</v>
      </c>
      <c r="D184">
        <v>0.328558091</v>
      </c>
      <c r="E184">
        <v>0.30525210200000003</v>
      </c>
      <c r="F184">
        <v>0.118010053</v>
      </c>
      <c r="G184">
        <v>7.8018705999999993E-2</v>
      </c>
      <c r="H184">
        <v>0.12579769199999999</v>
      </c>
      <c r="I184">
        <v>0.164502485</v>
      </c>
      <c r="J184">
        <v>0.63214791999999997</v>
      </c>
      <c r="K184">
        <v>0.65348422799999994</v>
      </c>
      <c r="L184">
        <v>0.48470651199999998</v>
      </c>
      <c r="M184">
        <v>0.49261369799999999</v>
      </c>
      <c r="N184">
        <v>0.50817648199999998</v>
      </c>
      <c r="O184">
        <v>0.86713217499999995</v>
      </c>
      <c r="P184">
        <v>0.87198332099999998</v>
      </c>
      <c r="Q184">
        <v>-0.68237770213709703</v>
      </c>
      <c r="R184">
        <v>-0.73099977539400995</v>
      </c>
      <c r="S184">
        <v>0.75584347913998695</v>
      </c>
      <c r="T184">
        <v>-0.65475234634292001</v>
      </c>
      <c r="U184">
        <v>11.69130822</v>
      </c>
      <c r="V184">
        <v>2.4245291999999998</v>
      </c>
      <c r="W184">
        <v>2.3704897640000002</v>
      </c>
      <c r="X184">
        <v>2.3717650109999999</v>
      </c>
      <c r="Y184">
        <v>1.3910516559999999</v>
      </c>
      <c r="Z184">
        <v>1.394562804</v>
      </c>
      <c r="AA184">
        <v>-2300.6303429999998</v>
      </c>
      <c r="AB184">
        <v>2.2653525222357702</v>
      </c>
      <c r="AC184">
        <v>1.3061100000000001</v>
      </c>
      <c r="AD184">
        <v>1.30345</v>
      </c>
      <c r="AE184">
        <v>-2.7842501152489301</v>
      </c>
      <c r="AF184">
        <v>-0.25441000000000003</v>
      </c>
      <c r="AG184">
        <v>0.83743000000000001</v>
      </c>
      <c r="AH184">
        <v>0.81923999999999997</v>
      </c>
      <c r="AI184">
        <v>4.5780434208120004</v>
      </c>
      <c r="AJ184">
        <v>0.15497999999999901</v>
      </c>
      <c r="AK184">
        <v>0.15509999999999999</v>
      </c>
    </row>
    <row r="185" spans="1:37">
      <c r="A185">
        <v>184</v>
      </c>
      <c r="B185">
        <v>0.25476053599999998</v>
      </c>
      <c r="C185">
        <v>0.19339018499999999</v>
      </c>
      <c r="D185">
        <v>0.16455087299999999</v>
      </c>
      <c r="E185">
        <v>0.357502718</v>
      </c>
      <c r="F185">
        <v>3.9718097000000001E-2</v>
      </c>
      <c r="G185">
        <v>0.100487866</v>
      </c>
      <c r="H185">
        <v>0.110410274</v>
      </c>
      <c r="I185">
        <v>2.2315456000000001E-2</v>
      </c>
      <c r="J185">
        <v>0.46980297500000001</v>
      </c>
      <c r="K185">
        <v>0.28629250299999998</v>
      </c>
      <c r="L185">
        <v>0.60459516199999996</v>
      </c>
      <c r="M185">
        <v>0.30678629000000002</v>
      </c>
      <c r="N185">
        <v>0.43535687699999998</v>
      </c>
      <c r="O185">
        <v>0.87966478800000003</v>
      </c>
      <c r="P185">
        <v>0.754734672</v>
      </c>
      <c r="Q185">
        <v>-1.8153346132428499E-2</v>
      </c>
      <c r="R185">
        <v>0.99983521443495604</v>
      </c>
      <c r="S185">
        <v>0.66866260928152699</v>
      </c>
      <c r="T185">
        <v>-0.74356594525893904</v>
      </c>
      <c r="U185">
        <v>-21.62015478</v>
      </c>
      <c r="V185">
        <v>6.0194682200000003</v>
      </c>
      <c r="W185">
        <v>2.2629456349999999</v>
      </c>
      <c r="X185">
        <v>2.1936648810000001</v>
      </c>
      <c r="Y185">
        <v>1.38132667</v>
      </c>
      <c r="Z185">
        <v>1.409541768</v>
      </c>
      <c r="AA185">
        <v>-1699.866651</v>
      </c>
      <c r="AB185">
        <v>1.9369061051067999</v>
      </c>
      <c r="AC185">
        <v>1.35232</v>
      </c>
      <c r="AD185">
        <v>1.3391900000000001</v>
      </c>
      <c r="AE185">
        <v>-1.4736259831121199</v>
      </c>
      <c r="AF185">
        <v>-2.7269999999999999E-2</v>
      </c>
      <c r="AG185">
        <v>-0.50858999999999999</v>
      </c>
      <c r="AH185">
        <v>0.83208000000000004</v>
      </c>
      <c r="AI185">
        <v>4.3078343672655004</v>
      </c>
      <c r="AJ185">
        <v>0.18339</v>
      </c>
      <c r="AK185">
        <v>6.3099999999999906E-2</v>
      </c>
    </row>
    <row r="186" spans="1:37">
      <c r="A186">
        <v>185</v>
      </c>
      <c r="B186">
        <v>0.23895470299999999</v>
      </c>
      <c r="C186">
        <v>0.140265736</v>
      </c>
      <c r="D186">
        <v>0.30065238599999999</v>
      </c>
      <c r="E186">
        <v>0.54740042</v>
      </c>
      <c r="F186">
        <v>3.4822358999999997E-2</v>
      </c>
      <c r="G186">
        <v>2.5793706999999999E-2</v>
      </c>
      <c r="H186">
        <v>0.33861997100000002</v>
      </c>
      <c r="I186">
        <v>0.16745700599999999</v>
      </c>
      <c r="J186">
        <v>0.44308704700000001</v>
      </c>
      <c r="K186">
        <v>0.254737765</v>
      </c>
      <c r="L186">
        <v>0.75618086900000003</v>
      </c>
      <c r="M186">
        <v>0.433847765</v>
      </c>
      <c r="N186">
        <v>0.51217154300000001</v>
      </c>
      <c r="O186">
        <v>0.90428741099999999</v>
      </c>
      <c r="P186">
        <v>0.78224002999999998</v>
      </c>
      <c r="Q186">
        <v>-0.90327646730393596</v>
      </c>
      <c r="R186">
        <v>0.42905899782538098</v>
      </c>
      <c r="S186">
        <v>0.74740928906745996</v>
      </c>
      <c r="T186">
        <v>0.66436387214814197</v>
      </c>
      <c r="U186">
        <v>-3.5391277479999999</v>
      </c>
      <c r="V186">
        <v>12.29324776</v>
      </c>
      <c r="W186">
        <v>2.2842061579999999</v>
      </c>
      <c r="X186">
        <v>2.209685221</v>
      </c>
      <c r="Y186">
        <v>1.408318682</v>
      </c>
      <c r="Z186">
        <v>1.3844373720000001</v>
      </c>
      <c r="AA186">
        <v>-2044.7085950000001</v>
      </c>
      <c r="AB186">
        <v>2.7928565985384899</v>
      </c>
      <c r="AC186">
        <v>1.3504700000000001</v>
      </c>
      <c r="AD186">
        <v>1.3662700000000001</v>
      </c>
      <c r="AE186">
        <v>-2.1637850468365398</v>
      </c>
      <c r="AF186">
        <v>-9.6299999999999997E-3</v>
      </c>
      <c r="AG186">
        <v>-0.50868999999999998</v>
      </c>
      <c r="AH186">
        <v>0.82526999999999995</v>
      </c>
      <c r="AI186">
        <v>4.8545110929200002</v>
      </c>
      <c r="AJ186">
        <v>0.18839</v>
      </c>
      <c r="AK186">
        <v>6.3189999999999996E-2</v>
      </c>
    </row>
    <row r="187" spans="1:37">
      <c r="A187">
        <v>186</v>
      </c>
      <c r="B187">
        <v>0.51866642399999996</v>
      </c>
      <c r="C187">
        <v>0.59002180299999996</v>
      </c>
      <c r="D187">
        <v>0.60017191999999997</v>
      </c>
      <c r="E187">
        <v>0.42745484299999997</v>
      </c>
      <c r="F187">
        <v>0.29355071900000002</v>
      </c>
      <c r="G187">
        <v>0.47248424500000002</v>
      </c>
      <c r="H187">
        <v>0.246984282</v>
      </c>
      <c r="I187">
        <v>0.57744089499999995</v>
      </c>
      <c r="J187">
        <v>0.74378212799999999</v>
      </c>
      <c r="K187">
        <v>0.70755936100000005</v>
      </c>
      <c r="L187">
        <v>0.60792540299999998</v>
      </c>
      <c r="M187">
        <v>0.62290294499999999</v>
      </c>
      <c r="N187">
        <v>0.58562593200000002</v>
      </c>
      <c r="O187">
        <v>0.93212472000000002</v>
      </c>
      <c r="P187">
        <v>0.92237583899999998</v>
      </c>
      <c r="Q187">
        <v>-0.95026302201929702</v>
      </c>
      <c r="R187">
        <v>-0.311448533441324</v>
      </c>
      <c r="S187">
        <v>-0.48671368152898198</v>
      </c>
      <c r="T187">
        <v>-0.87356155605229302</v>
      </c>
      <c r="U187">
        <v>7.6202965430000003</v>
      </c>
      <c r="V187">
        <v>9.3232947629999998</v>
      </c>
      <c r="W187">
        <v>2.541028453</v>
      </c>
      <c r="X187">
        <v>2.417105185</v>
      </c>
      <c r="Y187">
        <v>1.3963141619999999</v>
      </c>
      <c r="Z187">
        <v>1.405383708</v>
      </c>
      <c r="AA187">
        <v>-3635.5870559999998</v>
      </c>
      <c r="AB187">
        <v>5.1848726532095197</v>
      </c>
      <c r="AC187">
        <v>1.3957900000000001</v>
      </c>
      <c r="AD187">
        <v>1.4288400000000001</v>
      </c>
      <c r="AE187">
        <v>-5.4782770628861197</v>
      </c>
      <c r="AF187">
        <v>-0.17157</v>
      </c>
      <c r="AG187">
        <v>0.79579999999999995</v>
      </c>
      <c r="AH187">
        <v>0.78746000000000005</v>
      </c>
      <c r="AI187">
        <v>3.3271360500634999</v>
      </c>
      <c r="AJ187">
        <v>0.15532000000000001</v>
      </c>
      <c r="AK187">
        <v>0.17535999999999999</v>
      </c>
    </row>
    <row r="188" spans="1:37">
      <c r="A188">
        <v>187</v>
      </c>
      <c r="B188">
        <v>0.36990999800000002</v>
      </c>
      <c r="C188">
        <v>0.383845773</v>
      </c>
      <c r="D188">
        <v>0.37029140999999999</v>
      </c>
      <c r="E188">
        <v>0.384082021</v>
      </c>
      <c r="F188">
        <v>0.16244741400000001</v>
      </c>
      <c r="G188">
        <v>5.1894821000000001E-2</v>
      </c>
      <c r="H188">
        <v>5.2412858999999999E-2</v>
      </c>
      <c r="I188">
        <v>0.16274343499999999</v>
      </c>
      <c r="J188">
        <v>0.57737258300000005</v>
      </c>
      <c r="K188">
        <v>0.71579672400000005</v>
      </c>
      <c r="L188">
        <v>0.71575118299999996</v>
      </c>
      <c r="M188">
        <v>0.57783938599999995</v>
      </c>
      <c r="N188">
        <v>0.51800107200000001</v>
      </c>
      <c r="O188">
        <v>0.900222466</v>
      </c>
      <c r="P188">
        <v>0.90071747999999996</v>
      </c>
      <c r="Q188">
        <v>-3.6977593867751297E-2</v>
      </c>
      <c r="R188">
        <v>-0.99931609491279105</v>
      </c>
      <c r="S188">
        <v>0.12783464680227</v>
      </c>
      <c r="T188">
        <v>-0.99179549458390803</v>
      </c>
      <c r="U188">
        <v>6.0489127290000004</v>
      </c>
      <c r="V188">
        <v>6.0846410640000004</v>
      </c>
      <c r="W188">
        <v>2.3261789049999999</v>
      </c>
      <c r="X188">
        <v>2.3266047059999999</v>
      </c>
      <c r="Y188">
        <v>1.3889763589999999</v>
      </c>
      <c r="Z188">
        <v>1.388945205</v>
      </c>
      <c r="AA188">
        <v>-2982.5005849999998</v>
      </c>
      <c r="AB188">
        <v>4.3067448159834099</v>
      </c>
      <c r="AC188">
        <v>1.27363</v>
      </c>
      <c r="AD188">
        <v>1.2736000000000001</v>
      </c>
      <c r="AE188">
        <v>-3.8068170504629699</v>
      </c>
      <c r="AF188">
        <v>-0.29458000000000001</v>
      </c>
      <c r="AG188">
        <v>0.86292999999999997</v>
      </c>
      <c r="AH188">
        <v>0.86299000000000003</v>
      </c>
      <c r="AI188">
        <v>4.1829341098859896</v>
      </c>
      <c r="AJ188">
        <v>0.15576000000000001</v>
      </c>
      <c r="AK188">
        <v>0.15578</v>
      </c>
    </row>
    <row r="189" spans="1:37">
      <c r="A189">
        <v>188</v>
      </c>
      <c r="B189">
        <v>0.57674353700000003</v>
      </c>
      <c r="C189">
        <v>0.38153452900000001</v>
      </c>
      <c r="D189">
        <v>0.35924184399999998</v>
      </c>
      <c r="E189">
        <v>0.53296368599999999</v>
      </c>
      <c r="F189">
        <v>0.33766928699999998</v>
      </c>
      <c r="G189">
        <v>0.16040942</v>
      </c>
      <c r="H189">
        <v>0.229445017</v>
      </c>
      <c r="I189">
        <v>5.2640566999999999E-2</v>
      </c>
      <c r="J189">
        <v>0.81581778699999996</v>
      </c>
      <c r="K189">
        <v>0.602659638</v>
      </c>
      <c r="L189">
        <v>0.83648235500000001</v>
      </c>
      <c r="M189">
        <v>0.66584312000000001</v>
      </c>
      <c r="N189">
        <v>0.524919633</v>
      </c>
      <c r="O189">
        <v>0.91698308799999995</v>
      </c>
      <c r="P189">
        <v>0.90453200700000003</v>
      </c>
      <c r="Q189">
        <v>0.95239182703978997</v>
      </c>
      <c r="R189">
        <v>-0.30487670915930898</v>
      </c>
      <c r="S189">
        <v>0.71533306103746697</v>
      </c>
      <c r="T189">
        <v>0.69878366594158903</v>
      </c>
      <c r="U189">
        <v>13.052654670000001</v>
      </c>
      <c r="V189">
        <v>3.1473473630000002</v>
      </c>
      <c r="W189">
        <v>2.299260581</v>
      </c>
      <c r="X189">
        <v>2.3539489300000001</v>
      </c>
      <c r="Y189">
        <v>1.3884255430000001</v>
      </c>
      <c r="Z189">
        <v>1.3889860510000001</v>
      </c>
      <c r="AA189">
        <v>-4577.9251610000001</v>
      </c>
      <c r="AB189">
        <v>1.2769958887952599</v>
      </c>
      <c r="AC189">
        <v>1.3224899999999999</v>
      </c>
      <c r="AD189">
        <v>1.26688</v>
      </c>
      <c r="AE189">
        <v>-5.7442783165590798</v>
      </c>
      <c r="AF189">
        <v>-0.28588000000000002</v>
      </c>
      <c r="AG189">
        <v>0.80796999999999997</v>
      </c>
      <c r="AH189">
        <v>0.86390999999999996</v>
      </c>
      <c r="AI189">
        <v>4.1913696392514996</v>
      </c>
      <c r="AJ189">
        <v>0.16741</v>
      </c>
      <c r="AK189">
        <v>0.16988</v>
      </c>
    </row>
    <row r="190" spans="1:37">
      <c r="A190">
        <v>189</v>
      </c>
      <c r="B190">
        <v>0.37037964699999998</v>
      </c>
      <c r="C190">
        <v>0.35299123900000001</v>
      </c>
      <c r="D190">
        <v>0.34609166400000002</v>
      </c>
      <c r="E190">
        <v>0.299778553</v>
      </c>
      <c r="F190">
        <v>0.109533596</v>
      </c>
      <c r="G190">
        <v>0.121704628</v>
      </c>
      <c r="H190">
        <v>0.15209235900000001</v>
      </c>
      <c r="I190">
        <v>0.106949101</v>
      </c>
      <c r="J190">
        <v>0.63122569900000003</v>
      </c>
      <c r="K190">
        <v>0.58427784999999999</v>
      </c>
      <c r="L190">
        <v>0.44746474800000002</v>
      </c>
      <c r="M190">
        <v>0.58523422700000005</v>
      </c>
      <c r="N190">
        <v>0.52661433099999999</v>
      </c>
      <c r="O190">
        <v>0.89191203900000005</v>
      </c>
      <c r="P190">
        <v>0.90726332499999995</v>
      </c>
      <c r="Q190">
        <v>0.95848495072356898</v>
      </c>
      <c r="R190">
        <v>0.28514312061916502</v>
      </c>
      <c r="S190">
        <v>-0.99481105498919897</v>
      </c>
      <c r="T190">
        <v>-0.101739691719974</v>
      </c>
      <c r="U190">
        <v>-2.9260053589999999</v>
      </c>
      <c r="V190">
        <v>-15.168475669999999</v>
      </c>
      <c r="W190">
        <v>2.3467834010000002</v>
      </c>
      <c r="X190">
        <v>2.3257837320000001</v>
      </c>
      <c r="Y190">
        <v>1.3894250640000001</v>
      </c>
      <c r="Z190">
        <v>1.3920724550000001</v>
      </c>
      <c r="AA190">
        <v>-2223.3819720000001</v>
      </c>
      <c r="AB190">
        <v>2.0190590234066899</v>
      </c>
      <c r="AC190">
        <v>1.28912</v>
      </c>
      <c r="AD190">
        <v>1.29819</v>
      </c>
      <c r="AE190">
        <v>-2.5790654391195398</v>
      </c>
      <c r="AF190">
        <v>-0.28716999999999998</v>
      </c>
      <c r="AG190">
        <v>0.84104000000000001</v>
      </c>
      <c r="AH190">
        <v>0.82191999999999998</v>
      </c>
      <c r="AI190">
        <v>4.3132766442754997</v>
      </c>
      <c r="AJ190">
        <v>0.15544999999999901</v>
      </c>
      <c r="AK190">
        <v>0.16027999999999901</v>
      </c>
    </row>
    <row r="191" spans="1:37">
      <c r="A191">
        <v>190</v>
      </c>
      <c r="B191">
        <v>0.61508968900000005</v>
      </c>
      <c r="C191">
        <v>0.42740076199999999</v>
      </c>
      <c r="D191">
        <v>0.43565805000000002</v>
      </c>
      <c r="E191">
        <v>0.439882047</v>
      </c>
      <c r="F191">
        <v>0.35969441499999999</v>
      </c>
      <c r="G191">
        <v>0.13819643300000001</v>
      </c>
      <c r="H191">
        <v>0.29324331199999998</v>
      </c>
      <c r="I191">
        <v>0.17223888900000001</v>
      </c>
      <c r="J191">
        <v>0.870484963</v>
      </c>
      <c r="K191">
        <v>0.71660508999999994</v>
      </c>
      <c r="L191">
        <v>0.58652078100000005</v>
      </c>
      <c r="M191">
        <v>0.69907721</v>
      </c>
      <c r="N191">
        <v>0.59041301700000004</v>
      </c>
      <c r="O191">
        <v>0.91467107700000005</v>
      </c>
      <c r="P191">
        <v>0.91744316100000001</v>
      </c>
      <c r="Q191">
        <v>-0.14931366909504201</v>
      </c>
      <c r="R191">
        <v>-0.98878988072359197</v>
      </c>
      <c r="S191">
        <v>0.86105316376280705</v>
      </c>
      <c r="T191">
        <v>0.50851494488762095</v>
      </c>
      <c r="U191">
        <v>45.517220360000003</v>
      </c>
      <c r="V191">
        <v>30.005971089999999</v>
      </c>
      <c r="W191">
        <v>2.367727393</v>
      </c>
      <c r="X191">
        <v>2.7266431510000002</v>
      </c>
      <c r="Y191">
        <v>1.389933372</v>
      </c>
      <c r="Z191">
        <v>1.416351989</v>
      </c>
      <c r="AA191">
        <v>-3377.7020029999999</v>
      </c>
      <c r="AB191">
        <v>1.66523399556939</v>
      </c>
      <c r="AC191">
        <v>1.4173199999999999</v>
      </c>
      <c r="AD191">
        <v>1.3796200000000001</v>
      </c>
      <c r="AE191">
        <v>-5.4624240337714696</v>
      </c>
      <c r="AF191">
        <v>-8.7800000000000003E-2</v>
      </c>
      <c r="AG191">
        <v>0.76744999999999997</v>
      </c>
      <c r="AH191">
        <v>0.7752</v>
      </c>
      <c r="AI191">
        <v>3.4999283451309999</v>
      </c>
      <c r="AJ191">
        <v>0.18146999999999999</v>
      </c>
      <c r="AK191">
        <v>0.135769999999999</v>
      </c>
    </row>
    <row r="192" spans="1:37">
      <c r="A192">
        <v>191</v>
      </c>
      <c r="B192">
        <v>0.435327872</v>
      </c>
      <c r="C192">
        <v>0.41780568499999998</v>
      </c>
      <c r="D192">
        <v>0.351121181</v>
      </c>
      <c r="E192">
        <v>0.45476565899999999</v>
      </c>
      <c r="F192">
        <v>0.12956057900000001</v>
      </c>
      <c r="G192">
        <v>0.11384298299999999</v>
      </c>
      <c r="H192">
        <v>0.19475928300000001</v>
      </c>
      <c r="I192">
        <v>9.2700226999999996E-2</v>
      </c>
      <c r="J192">
        <v>0.74109516499999994</v>
      </c>
      <c r="K192">
        <v>0.72176838600000004</v>
      </c>
      <c r="L192">
        <v>0.71477203499999997</v>
      </c>
      <c r="M192">
        <v>0.60954213499999998</v>
      </c>
      <c r="N192">
        <v>0.51719157699999996</v>
      </c>
      <c r="O192">
        <v>0.91242895099999999</v>
      </c>
      <c r="P192">
        <v>0.88417815899999996</v>
      </c>
      <c r="Q192">
        <v>9.0584612389522992E-3</v>
      </c>
      <c r="R192">
        <v>0.99995897129831401</v>
      </c>
      <c r="S192">
        <v>0.88002248137162697</v>
      </c>
      <c r="T192">
        <v>0.474932029116298</v>
      </c>
      <c r="U192">
        <v>-18.184793060000001</v>
      </c>
      <c r="V192">
        <v>-2.6157580980000001</v>
      </c>
      <c r="W192">
        <v>2.3883532430000001</v>
      </c>
      <c r="X192">
        <v>2.4300926820000002</v>
      </c>
      <c r="Y192">
        <v>1.396287126</v>
      </c>
      <c r="Z192">
        <v>1.408126193</v>
      </c>
      <c r="AA192">
        <v>-2869.3393500000002</v>
      </c>
      <c r="AB192">
        <v>3.5127021650006101</v>
      </c>
      <c r="AC192">
        <v>1.3188200000000001</v>
      </c>
      <c r="AD192">
        <v>1.30783</v>
      </c>
      <c r="AE192">
        <v>-3.7812402614763401</v>
      </c>
      <c r="AF192">
        <v>-0.17454</v>
      </c>
      <c r="AG192">
        <v>0.86385000000000001</v>
      </c>
      <c r="AH192">
        <v>0.85428000000000004</v>
      </c>
      <c r="AI192">
        <v>4.3078343672655004</v>
      </c>
      <c r="AJ192">
        <v>0.15790999999999999</v>
      </c>
      <c r="AK192">
        <v>0.14957999999999999</v>
      </c>
    </row>
    <row r="193" spans="1:37">
      <c r="A193">
        <v>192</v>
      </c>
      <c r="B193">
        <v>0.28247553600000003</v>
      </c>
      <c r="C193">
        <v>0.40982449300000001</v>
      </c>
      <c r="D193">
        <v>0.52055355999999997</v>
      </c>
      <c r="E193">
        <v>0.67761566200000001</v>
      </c>
      <c r="F193">
        <v>0.11776526599999999</v>
      </c>
      <c r="G193">
        <v>0.35643817999999999</v>
      </c>
      <c r="H193">
        <v>0.56500230600000001</v>
      </c>
      <c r="I193">
        <v>0.390628647</v>
      </c>
      <c r="J193">
        <v>0.44718580499999999</v>
      </c>
      <c r="K193">
        <v>0.463210807</v>
      </c>
      <c r="L193">
        <v>0.79022901800000001</v>
      </c>
      <c r="M193">
        <v>0.65047847299999995</v>
      </c>
      <c r="N193">
        <v>0.54611791799999998</v>
      </c>
      <c r="O193">
        <v>0.920343366</v>
      </c>
      <c r="P193">
        <v>0.88810915999999995</v>
      </c>
      <c r="Q193">
        <v>-0.80082218139786499</v>
      </c>
      <c r="R193">
        <v>0.59890219049621396</v>
      </c>
      <c r="S193">
        <v>0.99139797048848</v>
      </c>
      <c r="T193">
        <v>-0.130881870827563</v>
      </c>
      <c r="U193">
        <v>10.8099659</v>
      </c>
      <c r="V193">
        <v>-0.35421583400000001</v>
      </c>
      <c r="W193">
        <v>2.42284393</v>
      </c>
      <c r="X193">
        <v>2.3817910850000001</v>
      </c>
      <c r="Y193">
        <v>1.4001102540000001</v>
      </c>
      <c r="Z193">
        <v>1.3907318740000001</v>
      </c>
      <c r="AA193">
        <v>-3751.7153530000001</v>
      </c>
      <c r="AB193">
        <v>3.9744778348859802</v>
      </c>
      <c r="AC193">
        <v>1.39334</v>
      </c>
      <c r="AD193">
        <v>1.40361</v>
      </c>
      <c r="AE193">
        <v>-5.0289026527885197</v>
      </c>
      <c r="AF193">
        <v>-0.20104</v>
      </c>
      <c r="AG193">
        <v>0.75973999999999997</v>
      </c>
      <c r="AH193">
        <v>0.77281</v>
      </c>
      <c r="AI193">
        <v>4.7870268579959996</v>
      </c>
      <c r="AJ193">
        <v>0.17469999999999999</v>
      </c>
      <c r="AK193">
        <v>0.17818999999999999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24AF-99AF-4CDB-B41D-F198D1027E71}">
  <dimension ref="A1:T3361"/>
  <sheetViews>
    <sheetView workbookViewId="0">
      <selection activeCell="J1" sqref="J1"/>
    </sheetView>
  </sheetViews>
  <sheetFormatPr defaultRowHeight="14.4"/>
  <cols>
    <col min="1" max="1" width="14.44140625" bestFit="1" customWidth="1"/>
    <col min="3" max="3" width="18.33203125" bestFit="1" customWidth="1"/>
    <col min="4" max="4" width="13.33203125" customWidth="1"/>
    <col min="5" max="5" width="14.21875" customWidth="1"/>
    <col min="6" max="6" width="14.5546875" customWidth="1"/>
    <col min="7" max="7" width="13.6640625" customWidth="1"/>
    <col min="8" max="8" width="13.88671875" customWidth="1"/>
    <col min="9" max="9" width="12.6640625" customWidth="1"/>
    <col min="10" max="10" width="13.88671875" customWidth="1"/>
    <col min="11" max="11" width="13.44140625" customWidth="1"/>
    <col min="12" max="12" width="21.5546875" customWidth="1"/>
    <col min="13" max="13" width="12.6640625" customWidth="1"/>
    <col min="15" max="15" width="16.109375" customWidth="1"/>
    <col min="16" max="16" width="23.5546875" customWidth="1"/>
    <col min="19" max="19" width="36.44140625" customWidth="1"/>
  </cols>
  <sheetData>
    <row r="1" spans="1:20">
      <c r="A1" s="1" t="s">
        <v>1575</v>
      </c>
      <c r="B1" s="1" t="s">
        <v>1576</v>
      </c>
      <c r="C1" s="1" t="s">
        <v>1577</v>
      </c>
      <c r="D1" s="1" t="s">
        <v>2</v>
      </c>
      <c r="E1" s="1" t="s">
        <v>1578</v>
      </c>
      <c r="F1" s="1" t="s">
        <v>1579</v>
      </c>
      <c r="G1" s="1" t="s">
        <v>1580</v>
      </c>
      <c r="H1" s="1" t="s">
        <v>1581</v>
      </c>
      <c r="I1" s="1" t="s">
        <v>1582</v>
      </c>
      <c r="J1" s="1" t="s">
        <v>1583</v>
      </c>
      <c r="K1" s="1" t="s">
        <v>1584</v>
      </c>
      <c r="L1" s="1" t="s">
        <v>1585</v>
      </c>
      <c r="M1" s="1" t="s">
        <v>1586</v>
      </c>
      <c r="N1" s="1" t="s">
        <v>1587</v>
      </c>
      <c r="O1" s="1" t="s">
        <v>1588</v>
      </c>
      <c r="P1" s="1" t="s">
        <v>1589</v>
      </c>
      <c r="Q1" s="1" t="s">
        <v>1590</v>
      </c>
      <c r="R1" s="1" t="s">
        <v>1591</v>
      </c>
      <c r="S1" s="1" t="s">
        <v>1592</v>
      </c>
      <c r="T1" s="1" t="s">
        <v>1593</v>
      </c>
    </row>
    <row r="2" spans="1:20">
      <c r="A2" s="3" t="s">
        <v>1594</v>
      </c>
      <c r="B2" s="3" t="s">
        <v>1595</v>
      </c>
      <c r="C2" s="3" t="s">
        <v>1596</v>
      </c>
      <c r="D2" s="3" t="s">
        <v>67</v>
      </c>
      <c r="E2" s="3" t="s">
        <v>68</v>
      </c>
      <c r="F2" s="2">
        <v>1</v>
      </c>
      <c r="G2" s="4">
        <v>0.99902911255258975</v>
      </c>
      <c r="H2" s="2">
        <v>50</v>
      </c>
      <c r="I2" s="2">
        <v>5</v>
      </c>
      <c r="J2" s="2">
        <v>16</v>
      </c>
      <c r="K2" s="4">
        <v>1</v>
      </c>
      <c r="L2" s="14">
        <v>0.63063103955733535</v>
      </c>
      <c r="M2" s="4">
        <v>0.63063103955733535</v>
      </c>
      <c r="N2" s="10">
        <v>0.63100000000000001</v>
      </c>
      <c r="O2" s="4">
        <v>3.989745593232235</v>
      </c>
      <c r="P2" s="4">
        <v>3.99</v>
      </c>
      <c r="Q2" s="3" t="s">
        <v>1597</v>
      </c>
      <c r="R2" s="3" t="s">
        <v>1598</v>
      </c>
      <c r="S2" s="3" t="s">
        <v>1599</v>
      </c>
      <c r="T2" s="3"/>
    </row>
    <row r="3" spans="1:20">
      <c r="A3" s="3" t="s">
        <v>1594</v>
      </c>
      <c r="B3" s="3" t="s">
        <v>1612</v>
      </c>
      <c r="C3" s="3" t="s">
        <v>1596</v>
      </c>
      <c r="D3" s="3" t="s">
        <v>67</v>
      </c>
      <c r="E3" s="3" t="s">
        <v>68</v>
      </c>
      <c r="F3" s="2">
        <v>1</v>
      </c>
      <c r="G3" s="4">
        <v>0.99902911255258975</v>
      </c>
      <c r="H3" s="2">
        <v>50</v>
      </c>
      <c r="I3" s="2">
        <v>5</v>
      </c>
      <c r="J3" s="2">
        <v>16</v>
      </c>
      <c r="K3" s="4">
        <v>0.99246016115156876</v>
      </c>
      <c r="L3" s="14">
        <v>0.17563168304131188</v>
      </c>
      <c r="M3" s="4">
        <v>0.17563168304131188</v>
      </c>
      <c r="N3" s="10">
        <v>0.17599999999999999</v>
      </c>
      <c r="O3" s="4">
        <v>0.9536729978987788</v>
      </c>
      <c r="P3" s="4">
        <v>0.96</v>
      </c>
      <c r="Q3" s="3" t="s">
        <v>1597</v>
      </c>
      <c r="R3" s="3" t="s">
        <v>1613</v>
      </c>
      <c r="S3" s="3" t="s">
        <v>1614</v>
      </c>
      <c r="T3" s="3"/>
    </row>
    <row r="4" spans="1:20">
      <c r="A4" s="3" t="s">
        <v>1600</v>
      </c>
      <c r="B4" s="3" t="s">
        <v>1601</v>
      </c>
      <c r="C4" s="3" t="s">
        <v>1616</v>
      </c>
      <c r="D4" s="3" t="s">
        <v>67</v>
      </c>
      <c r="E4" s="3" t="s">
        <v>68</v>
      </c>
      <c r="F4" s="2">
        <v>1</v>
      </c>
      <c r="G4" s="4">
        <v>0.99902911255258975</v>
      </c>
      <c r="H4" s="2">
        <v>25</v>
      </c>
      <c r="I4" s="2">
        <v>5</v>
      </c>
      <c r="J4" s="2">
        <v>1</v>
      </c>
      <c r="K4" s="4">
        <v>1</v>
      </c>
      <c r="L4" s="4">
        <v>0.14935253428306208</v>
      </c>
      <c r="M4" s="4">
        <v>0.14935253428306208</v>
      </c>
      <c r="N4" s="10">
        <v>0.14899999999999999</v>
      </c>
      <c r="O4" s="4">
        <v>0.74606100361225058</v>
      </c>
      <c r="P4" s="4">
        <v>0.74</v>
      </c>
      <c r="Q4" s="3" t="s">
        <v>1597</v>
      </c>
      <c r="R4" s="3" t="s">
        <v>1602</v>
      </c>
      <c r="S4" s="3" t="s">
        <v>1603</v>
      </c>
      <c r="T4" s="3"/>
    </row>
    <row r="5" spans="1:20">
      <c r="A5" s="3" t="s">
        <v>1600</v>
      </c>
      <c r="B5" s="3" t="s">
        <v>1601</v>
      </c>
      <c r="C5" s="3" t="s">
        <v>1616</v>
      </c>
      <c r="D5" s="3" t="s">
        <v>67</v>
      </c>
      <c r="E5" s="3" t="s">
        <v>68</v>
      </c>
      <c r="F5" s="2">
        <v>1</v>
      </c>
      <c r="G5" s="4">
        <v>0.99902911255258975</v>
      </c>
      <c r="H5" s="2">
        <v>25</v>
      </c>
      <c r="I5" s="2">
        <v>5</v>
      </c>
      <c r="J5" s="2">
        <v>16</v>
      </c>
      <c r="K5" s="4">
        <v>1</v>
      </c>
      <c r="L5" s="4">
        <v>0.12984831571260991</v>
      </c>
      <c r="M5" s="4">
        <v>0.12984831571260991</v>
      </c>
      <c r="N5" s="10">
        <v>0.13</v>
      </c>
      <c r="O5" s="4">
        <v>0.64743490117045732</v>
      </c>
      <c r="P5" s="4">
        <v>0.65</v>
      </c>
      <c r="Q5" s="3" t="s">
        <v>1597</v>
      </c>
      <c r="R5" s="3" t="s">
        <v>1602</v>
      </c>
      <c r="S5" s="3" t="s">
        <v>1603</v>
      </c>
      <c r="T5" s="3"/>
    </row>
    <row r="6" spans="1:20">
      <c r="A6" s="3" t="s">
        <v>1600</v>
      </c>
      <c r="B6" s="3" t="s">
        <v>1609</v>
      </c>
      <c r="C6" s="3" t="s">
        <v>1616</v>
      </c>
      <c r="D6" s="3" t="s">
        <v>67</v>
      </c>
      <c r="E6" s="3" t="s">
        <v>68</v>
      </c>
      <c r="F6" s="2">
        <v>1</v>
      </c>
      <c r="G6" s="4">
        <v>0.99902911255258975</v>
      </c>
      <c r="H6" s="2">
        <v>25</v>
      </c>
      <c r="I6" s="2">
        <v>5</v>
      </c>
      <c r="J6" s="2">
        <v>1</v>
      </c>
      <c r="K6" s="4">
        <v>0.28611804390478024</v>
      </c>
      <c r="L6" s="4">
        <v>1.5964721238386433E-2</v>
      </c>
      <c r="M6" s="4">
        <v>1.5964721238386433E-2</v>
      </c>
      <c r="N6" s="10">
        <v>1.6E-2</v>
      </c>
      <c r="O6" s="4">
        <v>7.9158797331440003E-2</v>
      </c>
      <c r="P6" s="4">
        <v>0.08</v>
      </c>
      <c r="Q6" s="3" t="s">
        <v>1597</v>
      </c>
      <c r="R6" s="3" t="s">
        <v>1610</v>
      </c>
      <c r="S6" s="3" t="s">
        <v>1611</v>
      </c>
      <c r="T6" s="3"/>
    </row>
    <row r="7" spans="1:20">
      <c r="A7" s="12" t="s">
        <v>1605</v>
      </c>
      <c r="B7" s="3" t="s">
        <v>1601</v>
      </c>
      <c r="C7" s="3" t="s">
        <v>1596</v>
      </c>
      <c r="D7" s="3" t="s">
        <v>67</v>
      </c>
      <c r="E7" s="3" t="s">
        <v>68</v>
      </c>
      <c r="F7" s="2">
        <v>1</v>
      </c>
      <c r="G7" s="4">
        <v>0.99902911255258975</v>
      </c>
      <c r="H7" s="2">
        <v>25</v>
      </c>
      <c r="I7" s="2">
        <v>5</v>
      </c>
      <c r="J7" s="2">
        <v>16</v>
      </c>
      <c r="K7" s="11">
        <v>1</v>
      </c>
      <c r="L7" s="11">
        <v>-2.5102231899497181E-3</v>
      </c>
      <c r="M7" s="4">
        <v>2.5102231899497181E-3</v>
      </c>
      <c r="N7" s="10">
        <v>3.0000000000000001E-3</v>
      </c>
      <c r="O7" s="4">
        <v>1.2445552940832849E-2</v>
      </c>
      <c r="P7" s="4">
        <v>-0.01</v>
      </c>
      <c r="Q7" s="3" t="s">
        <v>1617</v>
      </c>
      <c r="R7" s="3" t="s">
        <v>1618</v>
      </c>
      <c r="S7" s="3" t="s">
        <v>1619</v>
      </c>
      <c r="T7" s="3"/>
    </row>
    <row r="8" spans="1:20">
      <c r="A8" s="3" t="s">
        <v>1600</v>
      </c>
      <c r="B8" s="3" t="s">
        <v>1601</v>
      </c>
      <c r="C8" s="3" t="s">
        <v>1596</v>
      </c>
      <c r="D8" s="3" t="s">
        <v>67</v>
      </c>
      <c r="E8" s="3" t="s">
        <v>68</v>
      </c>
      <c r="F8" s="2">
        <v>1</v>
      </c>
      <c r="G8" s="4">
        <v>0.99902911255258975</v>
      </c>
      <c r="H8" s="2">
        <v>25</v>
      </c>
      <c r="I8" s="2">
        <v>5</v>
      </c>
      <c r="J8" s="2">
        <v>1</v>
      </c>
      <c r="K8" s="4">
        <v>1</v>
      </c>
      <c r="L8" s="4">
        <v>-3.7448723936784872E-3</v>
      </c>
      <c r="M8" s="4">
        <v>3.7448723936784872E-3</v>
      </c>
      <c r="N8" s="10">
        <v>4.0000000000000001E-3</v>
      </c>
      <c r="O8" s="4">
        <v>1.8566925761671786E-2</v>
      </c>
      <c r="P8" s="4">
        <v>-0.02</v>
      </c>
      <c r="Q8" s="3" t="s">
        <v>1617</v>
      </c>
      <c r="R8" s="3" t="s">
        <v>1618</v>
      </c>
      <c r="S8" s="3" t="s">
        <v>1619</v>
      </c>
      <c r="T8" s="3"/>
    </row>
    <row r="9" spans="1:20">
      <c r="A9" s="3" t="s">
        <v>1600</v>
      </c>
      <c r="B9" s="3" t="s">
        <v>1609</v>
      </c>
      <c r="C9" s="3" t="s">
        <v>1616</v>
      </c>
      <c r="D9" s="3" t="s">
        <v>67</v>
      </c>
      <c r="E9" s="3" t="s">
        <v>68</v>
      </c>
      <c r="F9" s="2">
        <v>1</v>
      </c>
      <c r="G9" s="4">
        <v>0.99902911255258975</v>
      </c>
      <c r="H9" s="2">
        <v>25</v>
      </c>
      <c r="I9" s="2">
        <v>5</v>
      </c>
      <c r="J9" s="2">
        <v>16</v>
      </c>
      <c r="K9" s="11">
        <v>0.44564105231109086</v>
      </c>
      <c r="L9" s="11">
        <v>-4.9581682759759016E-3</v>
      </c>
      <c r="M9" s="4">
        <v>4.9581682759759016E-3</v>
      </c>
      <c r="N9" s="10">
        <v>5.0000000000000001E-3</v>
      </c>
      <c r="O9" s="4">
        <v>2.4582484166813218E-2</v>
      </c>
      <c r="P9" s="4">
        <v>-0.02</v>
      </c>
      <c r="Q9" s="3" t="s">
        <v>1617</v>
      </c>
      <c r="R9" s="3" t="s">
        <v>1623</v>
      </c>
      <c r="S9" s="3" t="s">
        <v>1624</v>
      </c>
      <c r="T9" s="3"/>
    </row>
    <row r="10" spans="1:20">
      <c r="A10" s="3" t="s">
        <v>1600</v>
      </c>
      <c r="B10" s="3" t="s">
        <v>1601</v>
      </c>
      <c r="C10" s="3" t="s">
        <v>1596</v>
      </c>
      <c r="D10" s="3" t="s">
        <v>67</v>
      </c>
      <c r="E10" s="3" t="s">
        <v>68</v>
      </c>
      <c r="F10" s="2">
        <v>1</v>
      </c>
      <c r="G10" s="4">
        <v>0.99902911255258975</v>
      </c>
      <c r="H10" s="2">
        <v>25</v>
      </c>
      <c r="I10" s="2">
        <v>5</v>
      </c>
      <c r="J10" s="2">
        <v>16</v>
      </c>
      <c r="K10" s="4">
        <v>1</v>
      </c>
      <c r="L10" s="4">
        <v>-9.0490294612770618E-3</v>
      </c>
      <c r="M10" s="4">
        <v>9.0490294612770618E-3</v>
      </c>
      <c r="N10" s="10">
        <v>8.9999999999999993E-3</v>
      </c>
      <c r="O10" s="4">
        <v>4.4865736734328004E-2</v>
      </c>
      <c r="P10" s="4">
        <v>-0.04</v>
      </c>
      <c r="Q10" s="3" t="s">
        <v>1617</v>
      </c>
      <c r="R10" s="3" t="s">
        <v>1618</v>
      </c>
      <c r="S10" s="3" t="s">
        <v>1619</v>
      </c>
      <c r="T10" s="3"/>
    </row>
    <row r="11" spans="1:20">
      <c r="A11" s="3" t="s">
        <v>1600</v>
      </c>
      <c r="B11" s="3" t="s">
        <v>1606</v>
      </c>
      <c r="C11" s="3" t="s">
        <v>1616</v>
      </c>
      <c r="D11" s="3" t="s">
        <v>67</v>
      </c>
      <c r="E11" s="3" t="s">
        <v>68</v>
      </c>
      <c r="F11" s="2">
        <v>1</v>
      </c>
      <c r="G11" s="4">
        <v>0.99902911255258975</v>
      </c>
      <c r="H11" s="2">
        <v>25</v>
      </c>
      <c r="I11" s="2">
        <v>5</v>
      </c>
      <c r="J11" s="2">
        <v>16</v>
      </c>
      <c r="K11" s="11">
        <v>1</v>
      </c>
      <c r="L11" s="11">
        <v>-2.9405838332001787E-2</v>
      </c>
      <c r="M11" s="4">
        <v>2.9405838332001787E-2</v>
      </c>
      <c r="N11" s="10">
        <v>2.9000000000000001E-2</v>
      </c>
      <c r="O11" s="4">
        <v>0.14583431893911536</v>
      </c>
      <c r="P11" s="4">
        <v>-0.14000000000000001</v>
      </c>
      <c r="Q11" s="3" t="s">
        <v>1617</v>
      </c>
      <c r="R11" s="3" t="s">
        <v>1621</v>
      </c>
      <c r="S11" s="3" t="s">
        <v>1622</v>
      </c>
      <c r="T11" s="3"/>
    </row>
    <row r="12" spans="1:20">
      <c r="A12" s="3" t="s">
        <v>1600</v>
      </c>
      <c r="B12" s="3" t="s">
        <v>1606</v>
      </c>
      <c r="C12" s="3" t="s">
        <v>1616</v>
      </c>
      <c r="D12" s="3" t="s">
        <v>67</v>
      </c>
      <c r="E12" s="3" t="s">
        <v>68</v>
      </c>
      <c r="F12" s="2">
        <v>1</v>
      </c>
      <c r="G12" s="4">
        <v>0.99902911255258975</v>
      </c>
      <c r="H12" s="2">
        <v>25</v>
      </c>
      <c r="I12" s="2">
        <v>5</v>
      </c>
      <c r="J12" s="2">
        <v>1</v>
      </c>
      <c r="K12" s="4">
        <v>1</v>
      </c>
      <c r="L12" s="4">
        <v>-3.8268440704849992E-2</v>
      </c>
      <c r="M12" s="4">
        <v>3.8268440704849992E-2</v>
      </c>
      <c r="N12" s="10">
        <v>3.7999999999999999E-2</v>
      </c>
      <c r="O12" s="4">
        <v>0.18982519410304738</v>
      </c>
      <c r="P12" s="4">
        <v>-0.19</v>
      </c>
      <c r="Q12" s="3" t="s">
        <v>1617</v>
      </c>
      <c r="R12" s="3" t="s">
        <v>1621</v>
      </c>
      <c r="S12" s="3" t="s">
        <v>1622</v>
      </c>
      <c r="T12" s="3"/>
    </row>
    <row r="13" spans="1:20">
      <c r="A13" s="3" t="s">
        <v>1604</v>
      </c>
      <c r="B13" s="3" t="s">
        <v>1601</v>
      </c>
      <c r="C13" s="3" t="s">
        <v>1616</v>
      </c>
      <c r="D13" s="3" t="s">
        <v>67</v>
      </c>
      <c r="E13" s="3" t="s">
        <v>68</v>
      </c>
      <c r="F13" s="2">
        <v>1</v>
      </c>
      <c r="G13" s="4">
        <v>0.99902911255258975</v>
      </c>
      <c r="H13" s="2">
        <v>25</v>
      </c>
      <c r="I13" s="2">
        <v>30</v>
      </c>
      <c r="J13" s="2">
        <v>16</v>
      </c>
      <c r="K13" s="4">
        <v>1</v>
      </c>
      <c r="L13" s="4">
        <v>-4.6108332200311838E-2</v>
      </c>
      <c r="M13" s="4">
        <v>4.6108332200311838E-2</v>
      </c>
      <c r="N13" s="10">
        <v>4.5999999999999999E-2</v>
      </c>
      <c r="O13" s="4">
        <v>0.22876438430315751</v>
      </c>
      <c r="P13" s="4">
        <v>-0.23</v>
      </c>
      <c r="Q13" s="3" t="s">
        <v>1617</v>
      </c>
      <c r="R13" s="3" t="s">
        <v>1618</v>
      </c>
      <c r="S13" s="3" t="s">
        <v>1619</v>
      </c>
      <c r="T13" s="3"/>
    </row>
    <row r="14" spans="1:20">
      <c r="A14" s="3" t="s">
        <v>1600</v>
      </c>
      <c r="B14" s="3" t="s">
        <v>1609</v>
      </c>
      <c r="C14" s="3" t="s">
        <v>1596</v>
      </c>
      <c r="D14" s="3" t="s">
        <v>67</v>
      </c>
      <c r="E14" s="3" t="s">
        <v>68</v>
      </c>
      <c r="F14" s="2">
        <v>1</v>
      </c>
      <c r="G14" s="4">
        <v>0.99902911255258975</v>
      </c>
      <c r="H14" s="2">
        <v>25</v>
      </c>
      <c r="I14" s="2">
        <v>5</v>
      </c>
      <c r="J14" s="2">
        <v>1</v>
      </c>
      <c r="K14" s="11">
        <v>0.29298390004733421</v>
      </c>
      <c r="L14" s="11">
        <v>-6.4359462486002272E-2</v>
      </c>
      <c r="M14" s="4">
        <v>6.4359462486002272E-2</v>
      </c>
      <c r="N14" s="10">
        <v>6.4000000000000001E-2</v>
      </c>
      <c r="O14" s="4">
        <v>0.31953178874753585</v>
      </c>
      <c r="P14" s="4">
        <v>-0.32</v>
      </c>
      <c r="Q14" s="3" t="s">
        <v>1617</v>
      </c>
      <c r="R14" s="3" t="s">
        <v>1623</v>
      </c>
      <c r="S14" s="3" t="s">
        <v>1624</v>
      </c>
      <c r="T14" s="3"/>
    </row>
    <row r="15" spans="1:20">
      <c r="A15" s="3" t="s">
        <v>1604</v>
      </c>
      <c r="B15" s="3" t="s">
        <v>1601</v>
      </c>
      <c r="C15" s="3" t="s">
        <v>1596</v>
      </c>
      <c r="D15" s="3" t="s">
        <v>67</v>
      </c>
      <c r="E15" s="3" t="s">
        <v>68</v>
      </c>
      <c r="F15" s="2">
        <v>1</v>
      </c>
      <c r="G15" s="4">
        <v>0.99902911255258975</v>
      </c>
      <c r="H15" s="2">
        <v>25</v>
      </c>
      <c r="I15" s="2">
        <v>30</v>
      </c>
      <c r="J15" s="2">
        <v>16</v>
      </c>
      <c r="K15" s="4">
        <v>1</v>
      </c>
      <c r="L15" s="4">
        <v>-8.1335562162876032E-2</v>
      </c>
      <c r="M15" s="4">
        <v>8.1335562162876032E-2</v>
      </c>
      <c r="N15" s="10">
        <v>8.1000000000000003E-2</v>
      </c>
      <c r="O15" s="4">
        <v>0.40414933096528721</v>
      </c>
      <c r="P15" s="4">
        <v>-0.4</v>
      </c>
      <c r="Q15" s="3" t="s">
        <v>1617</v>
      </c>
      <c r="R15" s="3" t="s">
        <v>1618</v>
      </c>
      <c r="S15" s="3" t="s">
        <v>1619</v>
      </c>
      <c r="T15" s="3"/>
    </row>
    <row r="16" spans="1:20">
      <c r="A16" s="3" t="s">
        <v>1600</v>
      </c>
      <c r="B16" s="3" t="s">
        <v>1606</v>
      </c>
      <c r="C16" s="3" t="s">
        <v>1596</v>
      </c>
      <c r="D16" s="3" t="s">
        <v>67</v>
      </c>
      <c r="E16" s="3" t="s">
        <v>68</v>
      </c>
      <c r="F16" s="2">
        <v>1</v>
      </c>
      <c r="G16" s="4">
        <v>0.99902911255258975</v>
      </c>
      <c r="H16" s="2">
        <v>25</v>
      </c>
      <c r="I16" s="2">
        <v>5</v>
      </c>
      <c r="J16" s="2">
        <v>1</v>
      </c>
      <c r="K16" s="11">
        <v>0.72338689161239689</v>
      </c>
      <c r="L16" s="11">
        <v>-0.12506333218490973</v>
      </c>
      <c r="M16" s="4">
        <v>0.12506333218490973</v>
      </c>
      <c r="N16" s="10">
        <v>0.125</v>
      </c>
      <c r="O16" s="4">
        <v>0.62331945321257876</v>
      </c>
      <c r="P16" s="4">
        <v>-0.62</v>
      </c>
      <c r="Q16" s="3" t="s">
        <v>1617</v>
      </c>
      <c r="R16" s="3" t="s">
        <v>1621</v>
      </c>
      <c r="S16" s="3" t="s">
        <v>1622</v>
      </c>
      <c r="T16" s="3"/>
    </row>
    <row r="17" spans="1:20">
      <c r="A17" s="3" t="s">
        <v>1600</v>
      </c>
      <c r="B17" s="3" t="s">
        <v>1606</v>
      </c>
      <c r="C17" s="3" t="s">
        <v>1596</v>
      </c>
      <c r="D17" s="3" t="s">
        <v>67</v>
      </c>
      <c r="E17" s="3" t="s">
        <v>68</v>
      </c>
      <c r="F17" s="2">
        <v>1</v>
      </c>
      <c r="G17" s="4">
        <v>0.99902911255258975</v>
      </c>
      <c r="H17" s="2">
        <v>25</v>
      </c>
      <c r="I17" s="2">
        <v>5</v>
      </c>
      <c r="J17" s="2">
        <v>16</v>
      </c>
      <c r="K17" s="11">
        <v>1</v>
      </c>
      <c r="L17" s="11">
        <v>-0.22329385591834064</v>
      </c>
      <c r="M17" s="4">
        <v>0.22329385591834064</v>
      </c>
      <c r="N17" s="10">
        <v>0.223</v>
      </c>
      <c r="O17" s="4">
        <v>1.1260472366043273</v>
      </c>
      <c r="P17" s="4">
        <v>-1.1200000000000001</v>
      </c>
      <c r="Q17" s="3" t="s">
        <v>1617</v>
      </c>
      <c r="R17" s="3" t="s">
        <v>1621</v>
      </c>
      <c r="S17" s="3" t="s">
        <v>1622</v>
      </c>
      <c r="T17" s="3"/>
    </row>
    <row r="18" spans="1:20">
      <c r="A18" s="3" t="s">
        <v>1600</v>
      </c>
      <c r="B18" s="3" t="s">
        <v>1609</v>
      </c>
      <c r="C18" s="3" t="s">
        <v>1596</v>
      </c>
      <c r="D18" s="3" t="s">
        <v>67</v>
      </c>
      <c r="E18" s="3" t="s">
        <v>68</v>
      </c>
      <c r="F18" s="2">
        <v>1</v>
      </c>
      <c r="G18" s="4">
        <v>0.99902911255258975</v>
      </c>
      <c r="H18" s="2">
        <v>25</v>
      </c>
      <c r="I18" s="2">
        <v>5</v>
      </c>
      <c r="J18" s="2">
        <v>16</v>
      </c>
      <c r="K18" s="4">
        <v>1</v>
      </c>
      <c r="L18" s="4">
        <v>-0.24432241250930753</v>
      </c>
      <c r="M18" s="4">
        <v>0.24432241250930753</v>
      </c>
      <c r="N18" s="10">
        <v>0.24399999999999999</v>
      </c>
      <c r="O18" s="4">
        <v>1.2363397645659824</v>
      </c>
      <c r="P18" s="4">
        <v>-1.23</v>
      </c>
      <c r="Q18" s="3" t="s">
        <v>1617</v>
      </c>
      <c r="R18" s="3" t="s">
        <v>1623</v>
      </c>
      <c r="S18" s="3" t="s">
        <v>1624</v>
      </c>
      <c r="T18" s="3"/>
    </row>
    <row r="19" spans="1:20">
      <c r="A19" s="3" t="s">
        <v>1600</v>
      </c>
      <c r="B19" s="3" t="s">
        <v>1606</v>
      </c>
      <c r="C19" s="3" t="s">
        <v>1596</v>
      </c>
      <c r="D19" s="3" t="s">
        <v>1559</v>
      </c>
      <c r="E19" s="3" t="s">
        <v>1560</v>
      </c>
      <c r="F19" s="2">
        <v>1</v>
      </c>
      <c r="G19" s="4">
        <v>1</v>
      </c>
      <c r="H19" s="2">
        <v>25</v>
      </c>
      <c r="I19" s="2">
        <v>5</v>
      </c>
      <c r="J19" s="2">
        <v>16</v>
      </c>
      <c r="K19" s="4">
        <v>0.29246477819038752</v>
      </c>
      <c r="L19" s="4">
        <v>0.48481557661972774</v>
      </c>
      <c r="M19" s="4">
        <v>0.48481557661972774</v>
      </c>
      <c r="N19" s="10">
        <v>0.48499999999999999</v>
      </c>
      <c r="O19" s="4">
        <v>2.6240396546224565</v>
      </c>
      <c r="P19" s="4">
        <v>2.63</v>
      </c>
      <c r="Q19" s="3" t="s">
        <v>1597</v>
      </c>
      <c r="R19" s="3" t="s">
        <v>1607</v>
      </c>
      <c r="S19" s="3" t="s">
        <v>1608</v>
      </c>
      <c r="T19" s="3"/>
    </row>
    <row r="20" spans="1:20">
      <c r="A20" s="3" t="s">
        <v>1600</v>
      </c>
      <c r="B20" s="3" t="s">
        <v>1606</v>
      </c>
      <c r="C20" s="3" t="s">
        <v>1616</v>
      </c>
      <c r="D20" s="3" t="s">
        <v>1559</v>
      </c>
      <c r="E20" s="3" t="s">
        <v>1560</v>
      </c>
      <c r="F20" s="2">
        <v>1</v>
      </c>
      <c r="G20" s="4">
        <v>1</v>
      </c>
      <c r="H20" s="2">
        <v>25</v>
      </c>
      <c r="I20" s="2">
        <v>5</v>
      </c>
      <c r="J20" s="2">
        <v>16</v>
      </c>
      <c r="K20" s="4">
        <v>0.10513046908969692</v>
      </c>
      <c r="L20" s="4">
        <v>0.30267043721987141</v>
      </c>
      <c r="M20" s="4">
        <v>0.30267043721987141</v>
      </c>
      <c r="N20" s="10">
        <v>0.30299999999999999</v>
      </c>
      <c r="O20" s="4">
        <v>1.5491406527957396</v>
      </c>
      <c r="P20" s="4">
        <v>1.55</v>
      </c>
      <c r="Q20" s="3" t="s">
        <v>1597</v>
      </c>
      <c r="R20" s="3" t="s">
        <v>1607</v>
      </c>
      <c r="S20" s="3" t="s">
        <v>1608</v>
      </c>
      <c r="T20" s="3"/>
    </row>
    <row r="21" spans="1:20">
      <c r="A21" s="3" t="s">
        <v>1600</v>
      </c>
      <c r="B21" s="3" t="s">
        <v>1609</v>
      </c>
      <c r="C21" s="3" t="s">
        <v>1616</v>
      </c>
      <c r="D21" s="3" t="s">
        <v>1559</v>
      </c>
      <c r="E21" s="3" t="s">
        <v>1560</v>
      </c>
      <c r="F21" s="2">
        <v>1</v>
      </c>
      <c r="G21" s="4">
        <v>1</v>
      </c>
      <c r="H21" s="2">
        <v>25</v>
      </c>
      <c r="I21" s="2">
        <v>5</v>
      </c>
      <c r="J21" s="2">
        <v>1</v>
      </c>
      <c r="K21" s="4">
        <v>8.1894155821328196E-3</v>
      </c>
      <c r="L21" s="4">
        <v>0.22633136094674555</v>
      </c>
      <c r="M21" s="4">
        <v>0.22633136094674555</v>
      </c>
      <c r="N21" s="10">
        <v>0.22600000000000001</v>
      </c>
      <c r="O21" s="4">
        <v>1.1419086553371089</v>
      </c>
      <c r="P21" s="4">
        <v>1.1399999999999999</v>
      </c>
      <c r="Q21" s="3" t="s">
        <v>1597</v>
      </c>
      <c r="R21" s="3" t="s">
        <v>1610</v>
      </c>
      <c r="S21" s="3" t="s">
        <v>1611</v>
      </c>
      <c r="T21" s="3"/>
    </row>
    <row r="22" spans="1:20">
      <c r="A22" s="3" t="s">
        <v>1604</v>
      </c>
      <c r="B22" s="3" t="s">
        <v>1601</v>
      </c>
      <c r="C22" s="3" t="s">
        <v>1616</v>
      </c>
      <c r="D22" s="3" t="s">
        <v>1559</v>
      </c>
      <c r="E22" s="3" t="s">
        <v>1560</v>
      </c>
      <c r="F22" s="2">
        <v>1</v>
      </c>
      <c r="G22" s="4">
        <v>1</v>
      </c>
      <c r="H22" s="2">
        <v>25</v>
      </c>
      <c r="I22" s="2">
        <v>30</v>
      </c>
      <c r="J22" s="2">
        <v>16</v>
      </c>
      <c r="K22" s="4">
        <v>3.6302941224048313E-2</v>
      </c>
      <c r="L22" s="4">
        <v>0.12434235852688311</v>
      </c>
      <c r="M22" s="4">
        <v>0.12434235852688311</v>
      </c>
      <c r="N22" s="10">
        <v>0.124</v>
      </c>
      <c r="O22" s="4">
        <v>0.61968844648065469</v>
      </c>
      <c r="P22" s="4">
        <v>0.62</v>
      </c>
      <c r="Q22" s="3" t="s">
        <v>1597</v>
      </c>
      <c r="R22" s="3" t="s">
        <v>1602</v>
      </c>
      <c r="S22" s="3" t="s">
        <v>1603</v>
      </c>
      <c r="T22" s="3"/>
    </row>
    <row r="23" spans="1:20">
      <c r="A23" s="3" t="s">
        <v>1600</v>
      </c>
      <c r="B23" s="3" t="s">
        <v>1601</v>
      </c>
      <c r="C23" s="3" t="s">
        <v>1596</v>
      </c>
      <c r="D23" s="3" t="s">
        <v>1559</v>
      </c>
      <c r="E23" s="3" t="s">
        <v>1560</v>
      </c>
      <c r="F23" s="2">
        <v>1</v>
      </c>
      <c r="G23" s="4">
        <v>1</v>
      </c>
      <c r="H23" s="2">
        <v>25</v>
      </c>
      <c r="I23" s="2">
        <v>5</v>
      </c>
      <c r="J23" s="2">
        <v>16</v>
      </c>
      <c r="K23" s="4">
        <v>0.12823519376166692</v>
      </c>
      <c r="L23" s="4">
        <v>6.1710109997145907E-2</v>
      </c>
      <c r="M23" s="4">
        <v>6.1710109997145907E-2</v>
      </c>
      <c r="N23" s="10">
        <v>6.2E-2</v>
      </c>
      <c r="O23" s="4">
        <v>0.30634405998808656</v>
      </c>
      <c r="P23" s="4">
        <v>0.31</v>
      </c>
      <c r="Q23" s="3" t="s">
        <v>1597</v>
      </c>
      <c r="R23" s="3" t="s">
        <v>1602</v>
      </c>
      <c r="S23" s="3" t="s">
        <v>1603</v>
      </c>
      <c r="T23" s="3"/>
    </row>
    <row r="24" spans="1:20">
      <c r="A24" s="3" t="s">
        <v>1600</v>
      </c>
      <c r="B24" s="3" t="s">
        <v>1601</v>
      </c>
      <c r="C24" s="3" t="s">
        <v>1616</v>
      </c>
      <c r="D24" s="3" t="s">
        <v>1559</v>
      </c>
      <c r="E24" s="3" t="s">
        <v>1560</v>
      </c>
      <c r="F24" s="2">
        <v>1</v>
      </c>
      <c r="G24" s="4">
        <v>1</v>
      </c>
      <c r="H24" s="2">
        <v>25</v>
      </c>
      <c r="I24" s="2">
        <v>5</v>
      </c>
      <c r="J24" s="2">
        <v>1</v>
      </c>
      <c r="K24" s="4">
        <v>0</v>
      </c>
      <c r="L24" s="4">
        <v>0</v>
      </c>
      <c r="M24" s="4">
        <v>0</v>
      </c>
      <c r="N24" s="10">
        <v>0</v>
      </c>
      <c r="O24" s="4">
        <v>0</v>
      </c>
      <c r="P24" s="4">
        <v>0</v>
      </c>
      <c r="Q24" s="3" t="s">
        <v>1617</v>
      </c>
      <c r="R24" s="3" t="s">
        <v>1618</v>
      </c>
      <c r="S24" s="3" t="s">
        <v>1619</v>
      </c>
      <c r="T24" s="3"/>
    </row>
    <row r="25" spans="1:20">
      <c r="A25" s="3" t="s">
        <v>1600</v>
      </c>
      <c r="B25" s="3" t="s">
        <v>1601</v>
      </c>
      <c r="C25" s="3" t="s">
        <v>1596</v>
      </c>
      <c r="D25" s="3" t="s">
        <v>1559</v>
      </c>
      <c r="E25" s="3" t="s">
        <v>1560</v>
      </c>
      <c r="F25" s="2">
        <v>1</v>
      </c>
      <c r="G25" s="4">
        <v>1</v>
      </c>
      <c r="H25" s="2">
        <v>25</v>
      </c>
      <c r="I25" s="2">
        <v>5</v>
      </c>
      <c r="J25" s="2">
        <v>1</v>
      </c>
      <c r="K25" s="4">
        <v>0</v>
      </c>
      <c r="L25" s="4">
        <v>0</v>
      </c>
      <c r="M25" s="4">
        <v>0</v>
      </c>
      <c r="N25" s="10">
        <v>0</v>
      </c>
      <c r="O25" s="4">
        <v>0</v>
      </c>
      <c r="P25" s="4">
        <v>0</v>
      </c>
      <c r="Q25" s="3" t="s">
        <v>1617</v>
      </c>
      <c r="R25" s="3" t="s">
        <v>1618</v>
      </c>
      <c r="S25" s="3" t="s">
        <v>1619</v>
      </c>
      <c r="T25" s="3"/>
    </row>
    <row r="26" spans="1:20">
      <c r="A26" s="3" t="s">
        <v>1600</v>
      </c>
      <c r="B26" s="3" t="s">
        <v>1606</v>
      </c>
      <c r="C26" s="3" t="s">
        <v>1596</v>
      </c>
      <c r="D26" s="3" t="s">
        <v>1559</v>
      </c>
      <c r="E26" s="3" t="s">
        <v>1560</v>
      </c>
      <c r="F26" s="2">
        <v>1</v>
      </c>
      <c r="G26" s="4">
        <v>1</v>
      </c>
      <c r="H26" s="2">
        <v>25</v>
      </c>
      <c r="I26" s="2">
        <v>5</v>
      </c>
      <c r="J26" s="2">
        <v>1</v>
      </c>
      <c r="K26" s="4">
        <v>0</v>
      </c>
      <c r="L26" s="4">
        <v>0</v>
      </c>
      <c r="M26" s="4">
        <v>0</v>
      </c>
      <c r="N26" s="10">
        <v>0</v>
      </c>
      <c r="O26" s="4">
        <v>0</v>
      </c>
      <c r="P26" s="4">
        <v>0</v>
      </c>
      <c r="Q26" s="3" t="s">
        <v>1617</v>
      </c>
      <c r="R26" s="3" t="s">
        <v>1621</v>
      </c>
      <c r="S26" s="3" t="s">
        <v>1622</v>
      </c>
      <c r="T26" s="3"/>
    </row>
    <row r="27" spans="1:20">
      <c r="A27" s="3" t="s">
        <v>1600</v>
      </c>
      <c r="B27" s="3" t="s">
        <v>1606</v>
      </c>
      <c r="C27" s="3" t="s">
        <v>1616</v>
      </c>
      <c r="D27" s="3" t="s">
        <v>1559</v>
      </c>
      <c r="E27" s="3" t="s">
        <v>1560</v>
      </c>
      <c r="F27" s="2">
        <v>1</v>
      </c>
      <c r="G27" s="4">
        <v>1</v>
      </c>
      <c r="H27" s="2">
        <v>25</v>
      </c>
      <c r="I27" s="2">
        <v>5</v>
      </c>
      <c r="J27" s="2">
        <v>1</v>
      </c>
      <c r="K27" s="4">
        <v>0</v>
      </c>
      <c r="L27" s="4">
        <v>0</v>
      </c>
      <c r="M27" s="4">
        <v>0</v>
      </c>
      <c r="N27" s="10">
        <v>0</v>
      </c>
      <c r="O27" s="4">
        <v>0</v>
      </c>
      <c r="P27" s="4">
        <v>0</v>
      </c>
      <c r="Q27" s="3" t="s">
        <v>1617</v>
      </c>
      <c r="R27" s="3" t="s">
        <v>1621</v>
      </c>
      <c r="S27" s="3" t="s">
        <v>1622</v>
      </c>
      <c r="T27" s="3"/>
    </row>
    <row r="28" spans="1:20">
      <c r="A28" s="3" t="s">
        <v>1605</v>
      </c>
      <c r="B28" s="3" t="s">
        <v>1601</v>
      </c>
      <c r="C28" s="3" t="s">
        <v>1596</v>
      </c>
      <c r="D28" s="3" t="s">
        <v>1559</v>
      </c>
      <c r="E28" s="3" t="s">
        <v>1560</v>
      </c>
      <c r="F28" s="2">
        <v>1</v>
      </c>
      <c r="G28" s="4">
        <v>1</v>
      </c>
      <c r="H28" s="2">
        <v>25</v>
      </c>
      <c r="I28" s="2">
        <v>5</v>
      </c>
      <c r="J28" s="2">
        <v>16</v>
      </c>
      <c r="K28" s="4">
        <v>0.11453002663162093</v>
      </c>
      <c r="L28" s="4">
        <v>-4.3079952779047654E-3</v>
      </c>
      <c r="M28" s="4">
        <v>4.3079952779047654E-3</v>
      </c>
      <c r="N28" s="10">
        <v>4.0000000000000001E-3</v>
      </c>
      <c r="O28" s="4">
        <v>2.1358898516614384E-2</v>
      </c>
      <c r="P28" s="4">
        <v>-0.02</v>
      </c>
      <c r="Q28" s="3" t="s">
        <v>1617</v>
      </c>
      <c r="R28" s="3" t="s">
        <v>1618</v>
      </c>
      <c r="S28" s="3" t="s">
        <v>1619</v>
      </c>
      <c r="T28" s="3"/>
    </row>
    <row r="29" spans="1:20">
      <c r="A29" s="3" t="s">
        <v>1604</v>
      </c>
      <c r="B29" s="3" t="s">
        <v>1601</v>
      </c>
      <c r="C29" s="3" t="s">
        <v>1596</v>
      </c>
      <c r="D29" s="3" t="s">
        <v>1559</v>
      </c>
      <c r="E29" s="3" t="s">
        <v>1560</v>
      </c>
      <c r="F29" s="2">
        <v>1</v>
      </c>
      <c r="G29" s="4">
        <v>1</v>
      </c>
      <c r="H29" s="2">
        <v>25</v>
      </c>
      <c r="I29" s="2">
        <v>30</v>
      </c>
      <c r="J29" s="2">
        <v>16</v>
      </c>
      <c r="K29" s="4">
        <v>0.17125728029071152</v>
      </c>
      <c r="L29" s="4">
        <v>-3.8661256038442199E-2</v>
      </c>
      <c r="M29" s="4">
        <v>3.8661256038442199E-2</v>
      </c>
      <c r="N29" s="10">
        <v>3.9E-2</v>
      </c>
      <c r="O29" s="4">
        <v>0.19177563331125116</v>
      </c>
      <c r="P29" s="4">
        <v>-0.19</v>
      </c>
      <c r="Q29" s="3" t="s">
        <v>1617</v>
      </c>
      <c r="R29" s="3" t="s">
        <v>1618</v>
      </c>
      <c r="S29" s="3" t="s">
        <v>1619</v>
      </c>
      <c r="T29" s="3"/>
    </row>
    <row r="30" spans="1:20">
      <c r="A30" s="3" t="s">
        <v>1600</v>
      </c>
      <c r="B30" s="3" t="s">
        <v>1609</v>
      </c>
      <c r="C30" s="3" t="s">
        <v>1596</v>
      </c>
      <c r="D30" s="3" t="s">
        <v>1559</v>
      </c>
      <c r="E30" s="3" t="s">
        <v>1560</v>
      </c>
      <c r="F30" s="2">
        <v>1</v>
      </c>
      <c r="G30" s="4">
        <v>1</v>
      </c>
      <c r="H30" s="2">
        <v>25</v>
      </c>
      <c r="I30" s="2">
        <v>5</v>
      </c>
      <c r="J30" s="2">
        <v>1</v>
      </c>
      <c r="K30" s="4">
        <v>4.4260115289201929E-2</v>
      </c>
      <c r="L30" s="4">
        <v>-8.2234115443033176E-2</v>
      </c>
      <c r="M30" s="4">
        <v>8.2234115443033176E-2</v>
      </c>
      <c r="N30" s="10">
        <v>8.2000000000000003E-2</v>
      </c>
      <c r="O30" s="4">
        <v>0.40863430012697455</v>
      </c>
      <c r="P30" s="4">
        <v>-0.41</v>
      </c>
      <c r="Q30" s="3" t="s">
        <v>1617</v>
      </c>
      <c r="R30" s="3" t="s">
        <v>1623</v>
      </c>
      <c r="S30" s="3" t="s">
        <v>1624</v>
      </c>
      <c r="T30" s="3"/>
    </row>
    <row r="31" spans="1:20">
      <c r="A31" s="3" t="s">
        <v>1600</v>
      </c>
      <c r="B31" s="3" t="s">
        <v>1609</v>
      </c>
      <c r="C31" s="3" t="s">
        <v>1596</v>
      </c>
      <c r="D31" s="3" t="s">
        <v>1559</v>
      </c>
      <c r="E31" s="3" t="s">
        <v>1560</v>
      </c>
      <c r="F31" s="2">
        <v>1</v>
      </c>
      <c r="G31" s="4">
        <v>1</v>
      </c>
      <c r="H31" s="2">
        <v>25</v>
      </c>
      <c r="I31" s="2">
        <v>5</v>
      </c>
      <c r="J31" s="2">
        <v>16</v>
      </c>
      <c r="K31" s="4">
        <v>0.5498324466953336</v>
      </c>
      <c r="L31" s="4">
        <v>-0.10124818747202767</v>
      </c>
      <c r="M31" s="4">
        <v>0.10124818747202767</v>
      </c>
      <c r="N31" s="10">
        <v>0.10100000000000001</v>
      </c>
      <c r="O31" s="4">
        <v>0.50370800270861493</v>
      </c>
      <c r="P31" s="4">
        <v>-0.5</v>
      </c>
      <c r="Q31" s="3" t="s">
        <v>1617</v>
      </c>
      <c r="R31" s="3" t="s">
        <v>1623</v>
      </c>
      <c r="S31" s="3" t="s">
        <v>1624</v>
      </c>
      <c r="T31" s="3"/>
    </row>
    <row r="32" spans="1:20">
      <c r="A32" s="3" t="s">
        <v>1600</v>
      </c>
      <c r="B32" s="3" t="s">
        <v>1601</v>
      </c>
      <c r="C32" s="3" t="s">
        <v>1616</v>
      </c>
      <c r="D32" s="3" t="s">
        <v>1559</v>
      </c>
      <c r="E32" s="3" t="s">
        <v>1560</v>
      </c>
      <c r="F32" s="2">
        <v>1</v>
      </c>
      <c r="G32" s="4">
        <v>1</v>
      </c>
      <c r="H32" s="2">
        <v>25</v>
      </c>
      <c r="I32" s="2">
        <v>5</v>
      </c>
      <c r="J32" s="2">
        <v>16</v>
      </c>
      <c r="K32" s="4">
        <v>6.2303925595796672E-2</v>
      </c>
      <c r="L32" s="4">
        <v>-0.23642330079599433</v>
      </c>
      <c r="M32" s="4">
        <v>0.23642330079599433</v>
      </c>
      <c r="N32" s="10">
        <v>0.23599999999999999</v>
      </c>
      <c r="O32" s="4">
        <v>1.1947746043570859</v>
      </c>
      <c r="P32" s="4">
        <v>-1.19</v>
      </c>
      <c r="Q32" s="3" t="s">
        <v>1617</v>
      </c>
      <c r="R32" s="3" t="s">
        <v>1618</v>
      </c>
      <c r="S32" s="3" t="s">
        <v>1619</v>
      </c>
      <c r="T32" s="3"/>
    </row>
    <row r="33" spans="1:20">
      <c r="A33" s="3" t="s">
        <v>1600</v>
      </c>
      <c r="B33" s="3" t="s">
        <v>1609</v>
      </c>
      <c r="C33" s="3" t="s">
        <v>1616</v>
      </c>
      <c r="D33" s="3" t="s">
        <v>1559</v>
      </c>
      <c r="E33" s="3" t="s">
        <v>1560</v>
      </c>
      <c r="F33" s="2">
        <v>1</v>
      </c>
      <c r="G33" s="4">
        <v>1</v>
      </c>
      <c r="H33" s="2">
        <v>25</v>
      </c>
      <c r="I33" s="2">
        <v>5</v>
      </c>
      <c r="J33" s="2">
        <v>16</v>
      </c>
      <c r="K33" s="4">
        <v>6.0428496222247108E-2</v>
      </c>
      <c r="L33" s="4">
        <v>-0.33784332192436384</v>
      </c>
      <c r="M33" s="4">
        <v>0.33784332192436384</v>
      </c>
      <c r="N33" s="10">
        <v>0.33800000000000002</v>
      </c>
      <c r="O33" s="4">
        <v>1.7434878998870096</v>
      </c>
      <c r="P33" s="4">
        <v>-1.74</v>
      </c>
      <c r="Q33" s="3" t="s">
        <v>1617</v>
      </c>
      <c r="R33" s="3" t="s">
        <v>1623</v>
      </c>
      <c r="S33" s="3" t="s">
        <v>1624</v>
      </c>
      <c r="T33" s="3"/>
    </row>
    <row r="34" spans="1:20">
      <c r="A34" s="3" t="s">
        <v>1594</v>
      </c>
      <c r="B34" s="3" t="s">
        <v>1612</v>
      </c>
      <c r="C34" s="3" t="s">
        <v>1596</v>
      </c>
      <c r="D34" s="3" t="s">
        <v>1559</v>
      </c>
      <c r="E34" s="3" t="s">
        <v>1560</v>
      </c>
      <c r="F34" s="2">
        <v>1</v>
      </c>
      <c r="G34" s="4">
        <v>1</v>
      </c>
      <c r="H34" s="2">
        <v>50</v>
      </c>
      <c r="I34" s="2">
        <v>5</v>
      </c>
      <c r="J34" s="2">
        <v>16</v>
      </c>
      <c r="K34" s="4">
        <v>1</v>
      </c>
      <c r="L34" s="4">
        <v>-0.35711907985048841</v>
      </c>
      <c r="M34" s="4">
        <v>0.35711907985048841</v>
      </c>
      <c r="N34" s="10">
        <v>0.35699999999999998</v>
      </c>
      <c r="O34" s="4">
        <v>2.0074921259597538</v>
      </c>
      <c r="P34" s="4">
        <v>-2.0099999999999998</v>
      </c>
      <c r="Q34" s="3" t="s">
        <v>1617</v>
      </c>
      <c r="R34" s="3" t="s">
        <v>1627</v>
      </c>
      <c r="S34" s="3" t="s">
        <v>1628</v>
      </c>
      <c r="T34" s="3"/>
    </row>
    <row r="35" spans="1:20">
      <c r="A35" s="3" t="s">
        <v>1594</v>
      </c>
      <c r="B35" s="3" t="s">
        <v>1595</v>
      </c>
      <c r="C35" s="3" t="s">
        <v>1596</v>
      </c>
      <c r="D35" s="3" t="s">
        <v>1559</v>
      </c>
      <c r="E35" s="3" t="s">
        <v>1560</v>
      </c>
      <c r="F35" s="2">
        <v>1</v>
      </c>
      <c r="G35" s="4">
        <v>1</v>
      </c>
      <c r="H35" s="2">
        <v>25</v>
      </c>
      <c r="I35" s="2">
        <v>5</v>
      </c>
      <c r="J35" s="2">
        <v>16</v>
      </c>
      <c r="K35" s="4">
        <v>1</v>
      </c>
      <c r="L35" s="4">
        <v>-0.38187666190860531</v>
      </c>
      <c r="M35" s="4">
        <v>0.38187666190860531</v>
      </c>
      <c r="N35" s="10">
        <v>0.38200000000000001</v>
      </c>
      <c r="O35" s="4">
        <v>1.9943540432114057</v>
      </c>
      <c r="P35" s="4">
        <v>-2</v>
      </c>
      <c r="Q35" s="3" t="s">
        <v>1617</v>
      </c>
      <c r="R35" s="3" t="s">
        <v>1625</v>
      </c>
      <c r="S35" s="3" t="s">
        <v>1626</v>
      </c>
      <c r="T35" s="3"/>
    </row>
    <row r="36" spans="1:20">
      <c r="A36" s="3" t="s">
        <v>1594</v>
      </c>
      <c r="B36" s="3" t="s">
        <v>1595</v>
      </c>
      <c r="C36" s="3" t="s">
        <v>1596</v>
      </c>
      <c r="D36" s="3" t="s">
        <v>1559</v>
      </c>
      <c r="E36" s="3" t="s">
        <v>1560</v>
      </c>
      <c r="F36" s="2">
        <v>1</v>
      </c>
      <c r="G36" s="4">
        <v>1</v>
      </c>
      <c r="H36" s="2">
        <v>50</v>
      </c>
      <c r="I36" s="2">
        <v>5</v>
      </c>
      <c r="J36" s="2">
        <v>16</v>
      </c>
      <c r="K36" s="4">
        <v>1</v>
      </c>
      <c r="L36" s="4">
        <v>-0.45111211104239735</v>
      </c>
      <c r="M36" s="4">
        <v>0.45111211104239735</v>
      </c>
      <c r="N36" s="10">
        <v>0.45100000000000001</v>
      </c>
      <c r="O36" s="4">
        <v>2.6121134161228055</v>
      </c>
      <c r="P36" s="4">
        <v>-2.61</v>
      </c>
      <c r="Q36" s="3" t="s">
        <v>1617</v>
      </c>
      <c r="R36" s="3" t="s">
        <v>1625</v>
      </c>
      <c r="S36" s="3" t="s">
        <v>1626</v>
      </c>
      <c r="T36" s="3"/>
    </row>
    <row r="37" spans="1:20">
      <c r="A37" s="3" t="s">
        <v>1604</v>
      </c>
      <c r="B37" s="3" t="s">
        <v>1601</v>
      </c>
      <c r="C37" s="3" t="s">
        <v>1616</v>
      </c>
      <c r="D37" s="3" t="s">
        <v>1350</v>
      </c>
      <c r="E37" s="3" t="s">
        <v>1351</v>
      </c>
      <c r="F37" s="2">
        <v>1</v>
      </c>
      <c r="G37" s="4">
        <v>1.0018879798615481</v>
      </c>
      <c r="H37" s="2">
        <v>25</v>
      </c>
      <c r="I37" s="2">
        <v>30</v>
      </c>
      <c r="J37" s="2">
        <v>16</v>
      </c>
      <c r="K37" s="4">
        <v>1</v>
      </c>
      <c r="L37" s="4">
        <v>0.30290661663473378</v>
      </c>
      <c r="M37" s="4">
        <v>0.30290661663473378</v>
      </c>
      <c r="N37" s="10">
        <v>0.30299999999999999</v>
      </c>
      <c r="O37" s="4">
        <v>1.5504298060285813</v>
      </c>
      <c r="P37" s="4">
        <v>1.55</v>
      </c>
      <c r="Q37" s="3" t="s">
        <v>1597</v>
      </c>
      <c r="R37" s="3" t="s">
        <v>1602</v>
      </c>
      <c r="S37" s="3" t="s">
        <v>1603</v>
      </c>
      <c r="T37" s="3"/>
    </row>
    <row r="38" spans="1:20">
      <c r="A38" s="3" t="s">
        <v>1600</v>
      </c>
      <c r="B38" s="3" t="s">
        <v>1609</v>
      </c>
      <c r="C38" s="3" t="s">
        <v>1616</v>
      </c>
      <c r="D38" s="3" t="s">
        <v>1350</v>
      </c>
      <c r="E38" s="3" t="s">
        <v>1351</v>
      </c>
      <c r="F38" s="2">
        <v>1</v>
      </c>
      <c r="G38" s="4">
        <v>1.0018879798615481</v>
      </c>
      <c r="H38" s="2">
        <v>25</v>
      </c>
      <c r="I38" s="2">
        <v>5</v>
      </c>
      <c r="J38" s="2">
        <v>1</v>
      </c>
      <c r="K38" s="4">
        <v>0.82506414105170478</v>
      </c>
      <c r="L38" s="4">
        <v>0.29289863468113042</v>
      </c>
      <c r="M38" s="4">
        <v>0.29289863468113042</v>
      </c>
      <c r="N38" s="10">
        <v>0.29299999999999998</v>
      </c>
      <c r="O38" s="4">
        <v>1.4959778445860934</v>
      </c>
      <c r="P38" s="4">
        <v>1.5</v>
      </c>
      <c r="Q38" s="3" t="s">
        <v>1597</v>
      </c>
      <c r="R38" s="3" t="s">
        <v>1610</v>
      </c>
      <c r="S38" s="3" t="s">
        <v>1611</v>
      </c>
      <c r="T38" s="3"/>
    </row>
    <row r="39" spans="1:20">
      <c r="A39" s="3" t="s">
        <v>1594</v>
      </c>
      <c r="B39" s="3" t="s">
        <v>1595</v>
      </c>
      <c r="C39" s="3" t="s">
        <v>1596</v>
      </c>
      <c r="D39" s="3" t="s">
        <v>1350</v>
      </c>
      <c r="E39" s="3" t="s">
        <v>1351</v>
      </c>
      <c r="F39" s="2">
        <v>1</v>
      </c>
      <c r="G39" s="4">
        <v>1.0018879798615481</v>
      </c>
      <c r="H39" s="2">
        <v>50</v>
      </c>
      <c r="I39" s="2">
        <v>5</v>
      </c>
      <c r="J39" s="2">
        <v>16</v>
      </c>
      <c r="K39" s="4">
        <v>1</v>
      </c>
      <c r="L39" s="4">
        <v>0.29041055835407131</v>
      </c>
      <c r="M39" s="4">
        <v>0.29041055835407131</v>
      </c>
      <c r="N39" s="10">
        <v>0.28999999999999998</v>
      </c>
      <c r="O39" s="4">
        <v>1.6068030847280208</v>
      </c>
      <c r="P39" s="4">
        <v>1.6</v>
      </c>
      <c r="Q39" s="3" t="s">
        <v>1597</v>
      </c>
      <c r="R39" s="3" t="s">
        <v>1598</v>
      </c>
      <c r="S39" s="3" t="s">
        <v>1599</v>
      </c>
      <c r="T39" s="3"/>
    </row>
    <row r="40" spans="1:20">
      <c r="A40" s="3" t="s">
        <v>1600</v>
      </c>
      <c r="B40" s="3" t="s">
        <v>1601</v>
      </c>
      <c r="C40" s="3" t="s">
        <v>1596</v>
      </c>
      <c r="D40" s="3" t="s">
        <v>1350</v>
      </c>
      <c r="E40" s="3" t="s">
        <v>1351</v>
      </c>
      <c r="F40" s="2">
        <v>1</v>
      </c>
      <c r="G40" s="4">
        <v>1.0018879798615481</v>
      </c>
      <c r="H40" s="2">
        <v>25</v>
      </c>
      <c r="I40" s="2">
        <v>5</v>
      </c>
      <c r="J40" s="2">
        <v>16</v>
      </c>
      <c r="K40" s="4">
        <v>0.15924773543040882</v>
      </c>
      <c r="L40" s="4">
        <v>0.27896278726558688</v>
      </c>
      <c r="M40" s="4">
        <v>0.27896278726558688</v>
      </c>
      <c r="N40" s="10">
        <v>0.27900000000000003</v>
      </c>
      <c r="O40" s="4">
        <v>1.4207312609289986</v>
      </c>
      <c r="P40" s="4">
        <v>1.42</v>
      </c>
      <c r="Q40" s="3" t="s">
        <v>1597</v>
      </c>
      <c r="R40" s="3" t="s">
        <v>1602</v>
      </c>
      <c r="S40" s="3" t="s">
        <v>1603</v>
      </c>
      <c r="T40" s="3"/>
    </row>
    <row r="41" spans="1:20">
      <c r="A41" s="3" t="s">
        <v>1594</v>
      </c>
      <c r="B41" s="3" t="s">
        <v>1595</v>
      </c>
      <c r="C41" s="3" t="s">
        <v>1596</v>
      </c>
      <c r="D41" s="3" t="s">
        <v>1350</v>
      </c>
      <c r="E41" s="3" t="s">
        <v>1351</v>
      </c>
      <c r="F41" s="2">
        <v>1</v>
      </c>
      <c r="G41" s="4">
        <v>1.0018879798615481</v>
      </c>
      <c r="H41" s="2">
        <v>25</v>
      </c>
      <c r="I41" s="2">
        <v>5</v>
      </c>
      <c r="J41" s="2">
        <v>16</v>
      </c>
      <c r="K41" s="4">
        <v>0.91264129099858404</v>
      </c>
      <c r="L41" s="4">
        <v>0.26790876327721364</v>
      </c>
      <c r="M41" s="4">
        <v>0.26790876327721364</v>
      </c>
      <c r="N41" s="10">
        <v>0.26800000000000002</v>
      </c>
      <c r="O41" s="4">
        <v>1.3614965029964783</v>
      </c>
      <c r="P41" s="4">
        <v>1.36</v>
      </c>
      <c r="Q41" s="3" t="s">
        <v>1597</v>
      </c>
      <c r="R41" s="3" t="s">
        <v>1598</v>
      </c>
      <c r="S41" s="3" t="s">
        <v>1599</v>
      </c>
      <c r="T41" s="3"/>
    </row>
    <row r="42" spans="1:20">
      <c r="A42" s="3" t="s">
        <v>1600</v>
      </c>
      <c r="B42" s="3" t="s">
        <v>1601</v>
      </c>
      <c r="C42" s="3" t="s">
        <v>1616</v>
      </c>
      <c r="D42" s="3" t="s">
        <v>1350</v>
      </c>
      <c r="E42" s="3" t="s">
        <v>1351</v>
      </c>
      <c r="F42" s="2">
        <v>1</v>
      </c>
      <c r="G42" s="4">
        <v>1.0018879798615481</v>
      </c>
      <c r="H42" s="2">
        <v>25</v>
      </c>
      <c r="I42" s="2">
        <v>5</v>
      </c>
      <c r="J42" s="2">
        <v>16</v>
      </c>
      <c r="K42" s="4">
        <v>1</v>
      </c>
      <c r="L42" s="4">
        <v>0.26742506352526374</v>
      </c>
      <c r="M42" s="4">
        <v>0.26742506352526374</v>
      </c>
      <c r="N42" s="10">
        <v>0.26700000000000002</v>
      </c>
      <c r="O42" s="4">
        <v>1.3589132733721423</v>
      </c>
      <c r="P42" s="4">
        <v>1.36</v>
      </c>
      <c r="Q42" s="3" t="s">
        <v>1597</v>
      </c>
      <c r="R42" s="3" t="s">
        <v>1602</v>
      </c>
      <c r="S42" s="3" t="s">
        <v>1603</v>
      </c>
      <c r="T42" s="3"/>
    </row>
    <row r="43" spans="1:20">
      <c r="A43" s="3" t="s">
        <v>1604</v>
      </c>
      <c r="B43" s="3" t="s">
        <v>1601</v>
      </c>
      <c r="C43" s="3" t="s">
        <v>1596</v>
      </c>
      <c r="D43" s="3" t="s">
        <v>1350</v>
      </c>
      <c r="E43" s="3" t="s">
        <v>1351</v>
      </c>
      <c r="F43" s="2">
        <v>1</v>
      </c>
      <c r="G43" s="4">
        <v>1.0018879798615481</v>
      </c>
      <c r="H43" s="2">
        <v>25</v>
      </c>
      <c r="I43" s="2">
        <v>30</v>
      </c>
      <c r="J43" s="2">
        <v>16</v>
      </c>
      <c r="K43" s="4">
        <v>0.14184662500857781</v>
      </c>
      <c r="L43" s="4">
        <v>0.26615748933610173</v>
      </c>
      <c r="M43" s="4">
        <v>0.26615748933610173</v>
      </c>
      <c r="N43" s="10">
        <v>0.26600000000000001</v>
      </c>
      <c r="O43" s="4">
        <v>1.3521471217029444</v>
      </c>
      <c r="P43" s="4">
        <v>1.35</v>
      </c>
      <c r="Q43" s="3" t="s">
        <v>1597</v>
      </c>
      <c r="R43" s="3" t="s">
        <v>1602</v>
      </c>
      <c r="S43" s="3" t="s">
        <v>1603</v>
      </c>
      <c r="T43" s="3"/>
    </row>
    <row r="44" spans="1:20">
      <c r="A44" s="3" t="s">
        <v>1600</v>
      </c>
      <c r="B44" s="3" t="s">
        <v>1601</v>
      </c>
      <c r="C44" s="3" t="s">
        <v>1616</v>
      </c>
      <c r="D44" s="3" t="s">
        <v>1350</v>
      </c>
      <c r="E44" s="3" t="s">
        <v>1351</v>
      </c>
      <c r="F44" s="2">
        <v>1</v>
      </c>
      <c r="G44" s="4">
        <v>1.0018879798615481</v>
      </c>
      <c r="H44" s="2">
        <v>25</v>
      </c>
      <c r="I44" s="2">
        <v>5</v>
      </c>
      <c r="J44" s="2">
        <v>1</v>
      </c>
      <c r="K44" s="4">
        <v>1</v>
      </c>
      <c r="L44" s="4">
        <v>0.26438543957481697</v>
      </c>
      <c r="M44" s="4">
        <v>0.26438543957481697</v>
      </c>
      <c r="N44" s="10">
        <v>0.26400000000000001</v>
      </c>
      <c r="O44" s="4">
        <v>1.342696369013495</v>
      </c>
      <c r="P44" s="4">
        <v>1.34</v>
      </c>
      <c r="Q44" s="3" t="s">
        <v>1597</v>
      </c>
      <c r="R44" s="3" t="s">
        <v>1602</v>
      </c>
      <c r="S44" s="3" t="s">
        <v>1603</v>
      </c>
      <c r="T44" s="3"/>
    </row>
    <row r="45" spans="1:20">
      <c r="A45" s="3" t="s">
        <v>1600</v>
      </c>
      <c r="B45" s="3" t="s">
        <v>1609</v>
      </c>
      <c r="C45" s="3" t="s">
        <v>1616</v>
      </c>
      <c r="D45" s="3" t="s">
        <v>1350</v>
      </c>
      <c r="E45" s="3" t="s">
        <v>1351</v>
      </c>
      <c r="F45" s="2">
        <v>1</v>
      </c>
      <c r="G45" s="4">
        <v>1.0018879798615481</v>
      </c>
      <c r="H45" s="2">
        <v>25</v>
      </c>
      <c r="I45" s="2">
        <v>5</v>
      </c>
      <c r="J45" s="2">
        <v>16</v>
      </c>
      <c r="K45" s="4">
        <v>0.9934979931184843</v>
      </c>
      <c r="L45" s="4">
        <v>0.24505423608345156</v>
      </c>
      <c r="M45" s="4">
        <v>0.24505423608345156</v>
      </c>
      <c r="N45" s="10">
        <v>0.245</v>
      </c>
      <c r="O45" s="4">
        <v>1.2401991713355707</v>
      </c>
      <c r="P45" s="4">
        <v>1.24</v>
      </c>
      <c r="Q45" s="3" t="s">
        <v>1597</v>
      </c>
      <c r="R45" s="3" t="s">
        <v>1610</v>
      </c>
      <c r="S45" s="3" t="s">
        <v>1611</v>
      </c>
      <c r="T45" s="3"/>
    </row>
    <row r="46" spans="1:20">
      <c r="A46" s="3" t="s">
        <v>1605</v>
      </c>
      <c r="B46" s="3" t="s">
        <v>1601</v>
      </c>
      <c r="C46" s="3" t="s">
        <v>1596</v>
      </c>
      <c r="D46" s="3" t="s">
        <v>1350</v>
      </c>
      <c r="E46" s="3" t="s">
        <v>1351</v>
      </c>
      <c r="F46" s="2">
        <v>1</v>
      </c>
      <c r="G46" s="4">
        <v>1.0018879798615481</v>
      </c>
      <c r="H46" s="2">
        <v>25</v>
      </c>
      <c r="I46" s="2">
        <v>5</v>
      </c>
      <c r="J46" s="2">
        <v>16</v>
      </c>
      <c r="K46" s="4">
        <v>0.13755296651783266</v>
      </c>
      <c r="L46" s="4">
        <v>0.24096884240924185</v>
      </c>
      <c r="M46" s="4">
        <v>0.24096884240924185</v>
      </c>
      <c r="N46" s="10">
        <v>0.24099999999999999</v>
      </c>
      <c r="O46" s="4">
        <v>1.2186727794376635</v>
      </c>
      <c r="P46" s="4">
        <v>1.22</v>
      </c>
      <c r="Q46" s="3" t="s">
        <v>1597</v>
      </c>
      <c r="R46" s="3" t="s">
        <v>1602</v>
      </c>
      <c r="S46" s="3" t="s">
        <v>1603</v>
      </c>
      <c r="T46" s="3"/>
    </row>
    <row r="47" spans="1:20">
      <c r="A47" s="3" t="s">
        <v>1600</v>
      </c>
      <c r="B47" s="3" t="s">
        <v>1601</v>
      </c>
      <c r="C47" s="3" t="s">
        <v>1596</v>
      </c>
      <c r="D47" s="3" t="s">
        <v>1350</v>
      </c>
      <c r="E47" s="3" t="s">
        <v>1351</v>
      </c>
      <c r="F47" s="2">
        <v>1</v>
      </c>
      <c r="G47" s="4">
        <v>1.0018879798615481</v>
      </c>
      <c r="H47" s="2">
        <v>25</v>
      </c>
      <c r="I47" s="2">
        <v>5</v>
      </c>
      <c r="J47" s="2">
        <v>1</v>
      </c>
      <c r="K47" s="4">
        <v>0</v>
      </c>
      <c r="L47" s="4">
        <v>0</v>
      </c>
      <c r="M47" s="4">
        <v>0</v>
      </c>
      <c r="N47" s="10">
        <v>0</v>
      </c>
      <c r="O47" s="4">
        <v>0</v>
      </c>
      <c r="P47" s="4">
        <v>0</v>
      </c>
      <c r="Q47" s="3" t="s">
        <v>1617</v>
      </c>
      <c r="R47" s="3" t="s">
        <v>1618</v>
      </c>
      <c r="S47" s="3" t="s">
        <v>1619</v>
      </c>
      <c r="T47" s="3"/>
    </row>
    <row r="48" spans="1:20">
      <c r="A48" s="3" t="s">
        <v>1594</v>
      </c>
      <c r="B48" s="3" t="s">
        <v>1612</v>
      </c>
      <c r="C48" s="3" t="s">
        <v>1596</v>
      </c>
      <c r="D48" s="3" t="s">
        <v>1350</v>
      </c>
      <c r="E48" s="3" t="s">
        <v>1351</v>
      </c>
      <c r="F48" s="2">
        <v>1</v>
      </c>
      <c r="G48" s="4">
        <v>1.0018879798615481</v>
      </c>
      <c r="H48" s="2">
        <v>50</v>
      </c>
      <c r="I48" s="2">
        <v>5</v>
      </c>
      <c r="J48" s="2">
        <v>16</v>
      </c>
      <c r="K48" s="4">
        <v>1</v>
      </c>
      <c r="L48" s="4">
        <v>-0.15288329169428441</v>
      </c>
      <c r="M48" s="4">
        <v>0.15288329169428441</v>
      </c>
      <c r="N48" s="10">
        <v>0.153</v>
      </c>
      <c r="O48" s="4">
        <v>0.8280350498539002</v>
      </c>
      <c r="P48" s="4">
        <v>-0.83</v>
      </c>
      <c r="Q48" s="3" t="s">
        <v>1617</v>
      </c>
      <c r="R48" s="3" t="s">
        <v>1627</v>
      </c>
      <c r="S48" s="3" t="s">
        <v>1628</v>
      </c>
      <c r="T48" s="3"/>
    </row>
    <row r="49" spans="1:20">
      <c r="A49" s="3" t="s">
        <v>1600</v>
      </c>
      <c r="B49" s="3" t="s">
        <v>1606</v>
      </c>
      <c r="C49" s="3" t="s">
        <v>1596</v>
      </c>
      <c r="D49" s="3" t="s">
        <v>1350</v>
      </c>
      <c r="E49" s="3" t="s">
        <v>1351</v>
      </c>
      <c r="F49" s="2">
        <v>1</v>
      </c>
      <c r="G49" s="4">
        <v>1.0018879798615481</v>
      </c>
      <c r="H49" s="2">
        <v>25</v>
      </c>
      <c r="I49" s="2">
        <v>5</v>
      </c>
      <c r="J49" s="2">
        <v>1</v>
      </c>
      <c r="K49" s="4">
        <v>1</v>
      </c>
      <c r="L49" s="4">
        <v>-0.17425736880624407</v>
      </c>
      <c r="M49" s="4">
        <v>0.17425736880624407</v>
      </c>
      <c r="N49" s="10">
        <v>0.17399999999999999</v>
      </c>
      <c r="O49" s="4">
        <v>0.87286467430643588</v>
      </c>
      <c r="P49" s="4">
        <v>-0.87</v>
      </c>
      <c r="Q49" s="3" t="s">
        <v>1617</v>
      </c>
      <c r="R49" s="3" t="s">
        <v>1621</v>
      </c>
      <c r="S49" s="3" t="s">
        <v>1622</v>
      </c>
      <c r="T49" s="3"/>
    </row>
    <row r="50" spans="1:20">
      <c r="A50" s="3" t="s">
        <v>1600</v>
      </c>
      <c r="B50" s="3" t="s">
        <v>1609</v>
      </c>
      <c r="C50" s="3" t="s">
        <v>1596</v>
      </c>
      <c r="D50" s="3" t="s">
        <v>1350</v>
      </c>
      <c r="E50" s="3" t="s">
        <v>1351</v>
      </c>
      <c r="F50" s="2">
        <v>1</v>
      </c>
      <c r="G50" s="4">
        <v>1.0018879798615481</v>
      </c>
      <c r="H50" s="2">
        <v>25</v>
      </c>
      <c r="I50" s="2">
        <v>5</v>
      </c>
      <c r="J50" s="2">
        <v>16</v>
      </c>
      <c r="K50" s="4">
        <v>0.27028174154690032</v>
      </c>
      <c r="L50" s="4">
        <v>-0.19713711344615686</v>
      </c>
      <c r="M50" s="4">
        <v>0.19713711344615686</v>
      </c>
      <c r="N50" s="10">
        <v>0.19700000000000001</v>
      </c>
      <c r="O50" s="4">
        <v>0.99035844223938507</v>
      </c>
      <c r="P50" s="4">
        <v>-0.99</v>
      </c>
      <c r="Q50" s="3" t="s">
        <v>1617</v>
      </c>
      <c r="R50" s="3" t="s">
        <v>1623</v>
      </c>
      <c r="S50" s="3" t="s">
        <v>1624</v>
      </c>
      <c r="T50" s="3"/>
    </row>
    <row r="51" spans="1:20">
      <c r="A51" s="3" t="s">
        <v>1600</v>
      </c>
      <c r="B51" s="3" t="s">
        <v>1606</v>
      </c>
      <c r="C51" s="3" t="s">
        <v>1596</v>
      </c>
      <c r="D51" s="3" t="s">
        <v>1350</v>
      </c>
      <c r="E51" s="3" t="s">
        <v>1351</v>
      </c>
      <c r="F51" s="2">
        <v>1</v>
      </c>
      <c r="G51" s="4">
        <v>1.0018879798615481</v>
      </c>
      <c r="H51" s="2">
        <v>25</v>
      </c>
      <c r="I51" s="2">
        <v>5</v>
      </c>
      <c r="J51" s="2">
        <v>16</v>
      </c>
      <c r="K51" s="4">
        <v>1</v>
      </c>
      <c r="L51" s="4">
        <v>-0.19732481001961205</v>
      </c>
      <c r="M51" s="4">
        <v>0.19732481001961205</v>
      </c>
      <c r="N51" s="10">
        <v>0.19700000000000001</v>
      </c>
      <c r="O51" s="4">
        <v>0.99132669498958159</v>
      </c>
      <c r="P51" s="4">
        <v>-0.99</v>
      </c>
      <c r="Q51" s="3" t="s">
        <v>1617</v>
      </c>
      <c r="R51" s="3" t="s">
        <v>1621</v>
      </c>
      <c r="S51" s="3" t="s">
        <v>1622</v>
      </c>
      <c r="T51" s="3"/>
    </row>
    <row r="52" spans="1:20">
      <c r="A52" s="3" t="s">
        <v>1600</v>
      </c>
      <c r="B52" s="3" t="s">
        <v>1609</v>
      </c>
      <c r="C52" s="3" t="s">
        <v>1596</v>
      </c>
      <c r="D52" s="3" t="s">
        <v>1350</v>
      </c>
      <c r="E52" s="3" t="s">
        <v>1351</v>
      </c>
      <c r="F52" s="2">
        <v>1</v>
      </c>
      <c r="G52" s="4">
        <v>1.0018879798615481</v>
      </c>
      <c r="H52" s="2">
        <v>25</v>
      </c>
      <c r="I52" s="2">
        <v>5</v>
      </c>
      <c r="J52" s="2">
        <v>1</v>
      </c>
      <c r="K52" s="4">
        <v>4.7291637514171869E-2</v>
      </c>
      <c r="L52" s="4">
        <v>-0.20407083138971613</v>
      </c>
      <c r="M52" s="4">
        <v>0.20407083138971613</v>
      </c>
      <c r="N52" s="10">
        <v>0.20399999999999999</v>
      </c>
      <c r="O52" s="4">
        <v>1.0261769487245789</v>
      </c>
      <c r="P52" s="4">
        <v>-1.03</v>
      </c>
      <c r="Q52" s="3" t="s">
        <v>1617</v>
      </c>
      <c r="R52" s="3" t="s">
        <v>1623</v>
      </c>
      <c r="S52" s="3" t="s">
        <v>1624</v>
      </c>
      <c r="T52" s="3"/>
    </row>
    <row r="53" spans="1:20">
      <c r="A53" s="3" t="s">
        <v>1600</v>
      </c>
      <c r="B53" s="3" t="s">
        <v>1606</v>
      </c>
      <c r="C53" s="3" t="s">
        <v>1616</v>
      </c>
      <c r="D53" s="3" t="s">
        <v>1350</v>
      </c>
      <c r="E53" s="3" t="s">
        <v>1351</v>
      </c>
      <c r="F53" s="2">
        <v>1</v>
      </c>
      <c r="G53" s="4">
        <v>1.0018879798615481</v>
      </c>
      <c r="H53" s="2">
        <v>25</v>
      </c>
      <c r="I53" s="2">
        <v>5</v>
      </c>
      <c r="J53" s="2">
        <v>16</v>
      </c>
      <c r="K53" s="4">
        <v>1</v>
      </c>
      <c r="L53" s="4">
        <v>-0.2912994187015816</v>
      </c>
      <c r="M53" s="4">
        <v>0.2912994187015816</v>
      </c>
      <c r="N53" s="10">
        <v>0.29099999999999998</v>
      </c>
      <c r="O53" s="4">
        <v>1.4873094255376187</v>
      </c>
      <c r="P53" s="4">
        <v>-1.49</v>
      </c>
      <c r="Q53" s="3" t="s">
        <v>1617</v>
      </c>
      <c r="R53" s="3" t="s">
        <v>1621</v>
      </c>
      <c r="S53" s="3" t="s">
        <v>1622</v>
      </c>
      <c r="T53" s="3"/>
    </row>
    <row r="54" spans="1:20">
      <c r="A54" s="3" t="s">
        <v>1600</v>
      </c>
      <c r="B54" s="3" t="s">
        <v>1606</v>
      </c>
      <c r="C54" s="3" t="s">
        <v>1616</v>
      </c>
      <c r="D54" s="3" t="s">
        <v>1350</v>
      </c>
      <c r="E54" s="3" t="s">
        <v>1351</v>
      </c>
      <c r="F54" s="2">
        <v>1</v>
      </c>
      <c r="G54" s="4">
        <v>1.0018879798615481</v>
      </c>
      <c r="H54" s="2">
        <v>25</v>
      </c>
      <c r="I54" s="2">
        <v>5</v>
      </c>
      <c r="J54" s="2">
        <v>1</v>
      </c>
      <c r="K54" s="4">
        <v>1</v>
      </c>
      <c r="L54" s="4">
        <v>-0.32817134680633553</v>
      </c>
      <c r="M54" s="4">
        <v>0.32817134680633553</v>
      </c>
      <c r="N54" s="10">
        <v>0.32800000000000001</v>
      </c>
      <c r="O54" s="4">
        <v>1.6895532047837289</v>
      </c>
      <c r="P54" s="4">
        <v>-1.69</v>
      </c>
      <c r="Q54" s="3" t="s">
        <v>1617</v>
      </c>
      <c r="R54" s="3" t="s">
        <v>1621</v>
      </c>
      <c r="S54" s="3" t="s">
        <v>1622</v>
      </c>
      <c r="T54" s="3"/>
    </row>
    <row r="55" spans="1:20">
      <c r="A55" s="3" t="s">
        <v>1600</v>
      </c>
      <c r="B55" s="3" t="s">
        <v>1606</v>
      </c>
      <c r="C55" s="3" t="s">
        <v>1596</v>
      </c>
      <c r="D55" s="3" t="s">
        <v>961</v>
      </c>
      <c r="E55" s="3" t="s">
        <v>962</v>
      </c>
      <c r="F55" s="2">
        <v>1</v>
      </c>
      <c r="G55" s="4">
        <v>1.0029285513700004</v>
      </c>
      <c r="H55" s="2">
        <v>25</v>
      </c>
      <c r="I55" s="2">
        <v>5</v>
      </c>
      <c r="J55" s="2">
        <v>1</v>
      </c>
      <c r="K55" s="4">
        <v>0.67262754501870126</v>
      </c>
      <c r="L55" s="4">
        <v>1</v>
      </c>
      <c r="M55" s="4">
        <v>1</v>
      </c>
      <c r="N55" s="10">
        <v>0.995</v>
      </c>
      <c r="O55" s="4">
        <v>14.85</v>
      </c>
      <c r="P55" s="4">
        <v>14.85</v>
      </c>
      <c r="Q55" s="3" t="s">
        <v>1597</v>
      </c>
      <c r="R55" s="3" t="s">
        <v>1607</v>
      </c>
      <c r="S55" s="3" t="s">
        <v>1608</v>
      </c>
      <c r="T55" s="3"/>
    </row>
    <row r="56" spans="1:20">
      <c r="A56" s="3" t="s">
        <v>1600</v>
      </c>
      <c r="B56" s="3" t="s">
        <v>1606</v>
      </c>
      <c r="C56" s="3" t="s">
        <v>1596</v>
      </c>
      <c r="D56" s="3" t="s">
        <v>961</v>
      </c>
      <c r="E56" s="3" t="s">
        <v>962</v>
      </c>
      <c r="F56" s="2">
        <v>1</v>
      </c>
      <c r="G56" s="4">
        <v>1.0029285513700004</v>
      </c>
      <c r="H56" s="2">
        <v>25</v>
      </c>
      <c r="I56" s="2">
        <v>5</v>
      </c>
      <c r="J56" s="2">
        <v>16</v>
      </c>
      <c r="K56" s="4">
        <v>1</v>
      </c>
      <c r="L56" s="4">
        <v>1</v>
      </c>
      <c r="M56" s="4">
        <v>1</v>
      </c>
      <c r="N56" s="10">
        <v>0.995</v>
      </c>
      <c r="O56" s="4">
        <v>14.85</v>
      </c>
      <c r="P56" s="4">
        <v>14.85</v>
      </c>
      <c r="Q56" s="3" t="s">
        <v>1597</v>
      </c>
      <c r="R56" s="3" t="s">
        <v>1607</v>
      </c>
      <c r="S56" s="3" t="s">
        <v>1608</v>
      </c>
      <c r="T56" s="3"/>
    </row>
    <row r="57" spans="1:20">
      <c r="A57" s="3" t="s">
        <v>1600</v>
      </c>
      <c r="B57" s="3" t="s">
        <v>1601</v>
      </c>
      <c r="C57" s="3" t="s">
        <v>1616</v>
      </c>
      <c r="D57" s="3" t="s">
        <v>961</v>
      </c>
      <c r="E57" s="3" t="s">
        <v>962</v>
      </c>
      <c r="F57" s="2">
        <v>1</v>
      </c>
      <c r="G57" s="4">
        <v>1.0029285513700004</v>
      </c>
      <c r="H57" s="2">
        <v>25</v>
      </c>
      <c r="I57" s="2">
        <v>5</v>
      </c>
      <c r="J57" s="2">
        <v>16</v>
      </c>
      <c r="K57" s="4">
        <v>1</v>
      </c>
      <c r="L57" s="4">
        <v>0.98640479918929236</v>
      </c>
      <c r="M57" s="4">
        <v>0.98640479918929236</v>
      </c>
      <c r="N57" s="10">
        <v>0.98599999999999999</v>
      </c>
      <c r="O57" s="4">
        <v>12.356081715051582</v>
      </c>
      <c r="P57" s="4">
        <v>12.28</v>
      </c>
      <c r="Q57" s="3" t="s">
        <v>1597</v>
      </c>
      <c r="R57" s="3" t="s">
        <v>1602</v>
      </c>
      <c r="S57" s="3" t="s">
        <v>1603</v>
      </c>
      <c r="T57" s="3"/>
    </row>
    <row r="58" spans="1:20">
      <c r="A58" s="3" t="s">
        <v>1600</v>
      </c>
      <c r="B58" s="3" t="s">
        <v>1601</v>
      </c>
      <c r="C58" s="3" t="s">
        <v>1616</v>
      </c>
      <c r="D58" s="3" t="s">
        <v>961</v>
      </c>
      <c r="E58" s="3" t="s">
        <v>962</v>
      </c>
      <c r="F58" s="2">
        <v>1</v>
      </c>
      <c r="G58" s="4">
        <v>1.0029285513700004</v>
      </c>
      <c r="H58" s="2">
        <v>25</v>
      </c>
      <c r="I58" s="2">
        <v>5</v>
      </c>
      <c r="J58" s="2">
        <v>1</v>
      </c>
      <c r="K58" s="4">
        <v>1</v>
      </c>
      <c r="L58" s="4">
        <v>0.98386222338006157</v>
      </c>
      <c r="M58" s="4">
        <v>0.98386222338006157</v>
      </c>
      <c r="N58" s="10">
        <v>0.98399999999999999</v>
      </c>
      <c r="O58" s="4">
        <v>11.927897333070746</v>
      </c>
      <c r="P58" s="4">
        <v>11.95</v>
      </c>
      <c r="Q58" s="3" t="s">
        <v>1597</v>
      </c>
      <c r="R58" s="3" t="s">
        <v>1602</v>
      </c>
      <c r="S58" s="3" t="s">
        <v>1603</v>
      </c>
      <c r="T58" s="3"/>
    </row>
    <row r="59" spans="1:20">
      <c r="A59" s="3" t="s">
        <v>1600</v>
      </c>
      <c r="B59" s="3" t="s">
        <v>1601</v>
      </c>
      <c r="C59" s="3" t="s">
        <v>1596</v>
      </c>
      <c r="D59" s="3" t="s">
        <v>961</v>
      </c>
      <c r="E59" s="3" t="s">
        <v>962</v>
      </c>
      <c r="F59" s="2">
        <v>1</v>
      </c>
      <c r="G59" s="4">
        <v>1.0029285513700004</v>
      </c>
      <c r="H59" s="2">
        <v>25</v>
      </c>
      <c r="I59" s="2">
        <v>5</v>
      </c>
      <c r="J59" s="2">
        <v>1</v>
      </c>
      <c r="K59" s="4">
        <v>0.8938745881844401</v>
      </c>
      <c r="L59" s="4">
        <v>0.98385298990811865</v>
      </c>
      <c r="M59" s="4">
        <v>0.98385298990811865</v>
      </c>
      <c r="N59" s="10">
        <v>0.98399999999999999</v>
      </c>
      <c r="O59" s="4">
        <v>11.926467821846671</v>
      </c>
      <c r="P59" s="4">
        <v>11.95</v>
      </c>
      <c r="Q59" s="3" t="s">
        <v>1597</v>
      </c>
      <c r="R59" s="3" t="s">
        <v>1602</v>
      </c>
      <c r="S59" s="3" t="s">
        <v>1603</v>
      </c>
      <c r="T59" s="3"/>
    </row>
    <row r="60" spans="1:20">
      <c r="A60" s="3" t="s">
        <v>1600</v>
      </c>
      <c r="B60" s="3" t="s">
        <v>1601</v>
      </c>
      <c r="C60" s="3" t="s">
        <v>1596</v>
      </c>
      <c r="D60" s="3" t="s">
        <v>961</v>
      </c>
      <c r="E60" s="3" t="s">
        <v>962</v>
      </c>
      <c r="F60" s="2">
        <v>1</v>
      </c>
      <c r="G60" s="4">
        <v>1.0029285513700004</v>
      </c>
      <c r="H60" s="2">
        <v>25</v>
      </c>
      <c r="I60" s="2">
        <v>5</v>
      </c>
      <c r="J60" s="2">
        <v>16</v>
      </c>
      <c r="K60" s="4">
        <v>1</v>
      </c>
      <c r="L60" s="4">
        <v>0.97966132933993777</v>
      </c>
      <c r="M60" s="4">
        <v>0.97966132933993777</v>
      </c>
      <c r="N60" s="10">
        <v>0.98</v>
      </c>
      <c r="O60" s="4">
        <v>11.349105579336779</v>
      </c>
      <c r="P60" s="4">
        <v>11.39</v>
      </c>
      <c r="Q60" s="3" t="s">
        <v>1597</v>
      </c>
      <c r="R60" s="3" t="s">
        <v>1602</v>
      </c>
      <c r="S60" s="3" t="s">
        <v>1603</v>
      </c>
      <c r="T60" s="3"/>
    </row>
    <row r="61" spans="1:20">
      <c r="A61" s="3" t="s">
        <v>1605</v>
      </c>
      <c r="B61" s="3" t="s">
        <v>1601</v>
      </c>
      <c r="C61" s="3" t="s">
        <v>1596</v>
      </c>
      <c r="D61" s="3" t="s">
        <v>961</v>
      </c>
      <c r="E61" s="3" t="s">
        <v>962</v>
      </c>
      <c r="F61" s="2">
        <v>1</v>
      </c>
      <c r="G61" s="4">
        <v>1.0029285513700004</v>
      </c>
      <c r="H61" s="2">
        <v>25</v>
      </c>
      <c r="I61" s="2">
        <v>5</v>
      </c>
      <c r="J61" s="2">
        <v>16</v>
      </c>
      <c r="K61" s="4">
        <v>1</v>
      </c>
      <c r="L61" s="4">
        <v>0.97859622861182149</v>
      </c>
      <c r="M61" s="4">
        <v>0.97859622861182149</v>
      </c>
      <c r="N61" s="10">
        <v>0.97899999999999998</v>
      </c>
      <c r="O61" s="4">
        <v>11.221237243837795</v>
      </c>
      <c r="P61" s="4">
        <v>11.27</v>
      </c>
      <c r="Q61" s="3" t="s">
        <v>1597</v>
      </c>
      <c r="R61" s="3" t="s">
        <v>1602</v>
      </c>
      <c r="S61" s="3" t="s">
        <v>1603</v>
      </c>
      <c r="T61" s="3"/>
    </row>
    <row r="62" spans="1:20">
      <c r="A62" s="3" t="s">
        <v>1604</v>
      </c>
      <c r="B62" s="3" t="s">
        <v>1601</v>
      </c>
      <c r="C62" s="3" t="s">
        <v>1596</v>
      </c>
      <c r="D62" s="3" t="s">
        <v>961</v>
      </c>
      <c r="E62" s="3" t="s">
        <v>962</v>
      </c>
      <c r="F62" s="2">
        <v>1</v>
      </c>
      <c r="G62" s="4">
        <v>1.0029285513700004</v>
      </c>
      <c r="H62" s="2">
        <v>25</v>
      </c>
      <c r="I62" s="2">
        <v>30</v>
      </c>
      <c r="J62" s="2">
        <v>16</v>
      </c>
      <c r="K62" s="4">
        <v>1</v>
      </c>
      <c r="L62" s="4">
        <v>0.95348984503652412</v>
      </c>
      <c r="M62" s="4">
        <v>0.95348984503652412</v>
      </c>
      <c r="N62" s="10">
        <v>0.95299999999999996</v>
      </c>
      <c r="O62" s="4">
        <v>9.2656444074614228</v>
      </c>
      <c r="P62" s="4">
        <v>9.24</v>
      </c>
      <c r="Q62" s="3" t="s">
        <v>1597</v>
      </c>
      <c r="R62" s="3" t="s">
        <v>1602</v>
      </c>
      <c r="S62" s="3" t="s">
        <v>1603</v>
      </c>
      <c r="T62" s="3"/>
    </row>
    <row r="63" spans="1:20">
      <c r="A63" s="3" t="s">
        <v>1600</v>
      </c>
      <c r="B63" s="3" t="s">
        <v>1606</v>
      </c>
      <c r="C63" s="3" t="s">
        <v>1616</v>
      </c>
      <c r="D63" s="3" t="s">
        <v>961</v>
      </c>
      <c r="E63" s="3" t="s">
        <v>962</v>
      </c>
      <c r="F63" s="2">
        <v>1</v>
      </c>
      <c r="G63" s="4">
        <v>1.0029285513700004</v>
      </c>
      <c r="H63" s="2">
        <v>25</v>
      </c>
      <c r="I63" s="2">
        <v>5</v>
      </c>
      <c r="J63" s="2">
        <v>1</v>
      </c>
      <c r="K63" s="4">
        <v>0.65885758088921476</v>
      </c>
      <c r="L63" s="4">
        <v>0.95058055295217059</v>
      </c>
      <c r="M63" s="4">
        <v>0.95058055295217059</v>
      </c>
      <c r="N63" s="10">
        <v>0.95099999999999996</v>
      </c>
      <c r="O63" s="4">
        <v>9.1115425089941802</v>
      </c>
      <c r="P63" s="4">
        <v>9.1300000000000008</v>
      </c>
      <c r="Q63" s="3" t="s">
        <v>1597</v>
      </c>
      <c r="R63" s="3" t="s">
        <v>1607</v>
      </c>
      <c r="S63" s="3" t="s">
        <v>1608</v>
      </c>
      <c r="T63" s="3"/>
    </row>
    <row r="64" spans="1:20">
      <c r="A64" s="3" t="s">
        <v>1600</v>
      </c>
      <c r="B64" s="3" t="s">
        <v>1606</v>
      </c>
      <c r="C64" s="3" t="s">
        <v>1616</v>
      </c>
      <c r="D64" s="3" t="s">
        <v>961</v>
      </c>
      <c r="E64" s="3" t="s">
        <v>962</v>
      </c>
      <c r="F64" s="2">
        <v>1</v>
      </c>
      <c r="G64" s="4">
        <v>1.0029285513700004</v>
      </c>
      <c r="H64" s="2">
        <v>25</v>
      </c>
      <c r="I64" s="2">
        <v>5</v>
      </c>
      <c r="J64" s="2">
        <v>16</v>
      </c>
      <c r="K64" s="4">
        <v>1</v>
      </c>
      <c r="L64" s="4">
        <v>0.94983155041214118</v>
      </c>
      <c r="M64" s="4">
        <v>0.94983155041214118</v>
      </c>
      <c r="N64" s="10">
        <v>0.95</v>
      </c>
      <c r="O64" s="4">
        <v>9.0733009878772943</v>
      </c>
      <c r="P64" s="4">
        <v>9.08</v>
      </c>
      <c r="Q64" s="3" t="s">
        <v>1597</v>
      </c>
      <c r="R64" s="3" t="s">
        <v>1607</v>
      </c>
      <c r="S64" s="3" t="s">
        <v>1608</v>
      </c>
      <c r="T64" s="3"/>
    </row>
    <row r="65" spans="1:20">
      <c r="A65" s="3" t="s">
        <v>1600</v>
      </c>
      <c r="B65" s="3" t="s">
        <v>1609</v>
      </c>
      <c r="C65" s="3" t="s">
        <v>1596</v>
      </c>
      <c r="D65" s="3" t="s">
        <v>961</v>
      </c>
      <c r="E65" s="3" t="s">
        <v>962</v>
      </c>
      <c r="F65" s="2">
        <v>1</v>
      </c>
      <c r="G65" s="4">
        <v>1.0029285513700004</v>
      </c>
      <c r="H65" s="2">
        <v>25</v>
      </c>
      <c r="I65" s="2">
        <v>5</v>
      </c>
      <c r="J65" s="2">
        <v>16</v>
      </c>
      <c r="K65" s="4">
        <v>1</v>
      </c>
      <c r="L65" s="4">
        <v>0.93548274980325563</v>
      </c>
      <c r="M65" s="4">
        <v>0.93548274980325563</v>
      </c>
      <c r="N65" s="10">
        <v>0.93500000000000005</v>
      </c>
      <c r="O65" s="4">
        <v>8.4314155507882393</v>
      </c>
      <c r="P65" s="4">
        <v>8.41</v>
      </c>
      <c r="Q65" s="3" t="s">
        <v>1597</v>
      </c>
      <c r="R65" s="3" t="s">
        <v>1610</v>
      </c>
      <c r="S65" s="3" t="s">
        <v>1611</v>
      </c>
      <c r="T65" s="3"/>
    </row>
    <row r="66" spans="1:20">
      <c r="A66" s="3" t="s">
        <v>1600</v>
      </c>
      <c r="B66" s="3" t="s">
        <v>1609</v>
      </c>
      <c r="C66" s="3" t="s">
        <v>1596</v>
      </c>
      <c r="D66" s="3" t="s">
        <v>961</v>
      </c>
      <c r="E66" s="3" t="s">
        <v>962</v>
      </c>
      <c r="F66" s="2">
        <v>1</v>
      </c>
      <c r="G66" s="4">
        <v>1.0029285513700004</v>
      </c>
      <c r="H66" s="2">
        <v>25</v>
      </c>
      <c r="I66" s="2">
        <v>5</v>
      </c>
      <c r="J66" s="2">
        <v>1</v>
      </c>
      <c r="K66" s="4">
        <v>1</v>
      </c>
      <c r="L66" s="4">
        <v>0.92075348422442072</v>
      </c>
      <c r="M66" s="4">
        <v>0.92075348422442072</v>
      </c>
      <c r="N66" s="10">
        <v>0.92100000000000004</v>
      </c>
      <c r="O66" s="4">
        <v>7.9027259000939116</v>
      </c>
      <c r="P66" s="4">
        <v>7.91</v>
      </c>
      <c r="Q66" s="3" t="s">
        <v>1597</v>
      </c>
      <c r="R66" s="3" t="s">
        <v>1610</v>
      </c>
      <c r="S66" s="3" t="s">
        <v>1611</v>
      </c>
      <c r="T66" s="3"/>
    </row>
    <row r="67" spans="1:20">
      <c r="A67" s="3" t="s">
        <v>1604</v>
      </c>
      <c r="B67" s="3" t="s">
        <v>1601</v>
      </c>
      <c r="C67" s="3" t="s">
        <v>1616</v>
      </c>
      <c r="D67" s="3" t="s">
        <v>961</v>
      </c>
      <c r="E67" s="3" t="s">
        <v>962</v>
      </c>
      <c r="F67" s="2">
        <v>1</v>
      </c>
      <c r="G67" s="4">
        <v>1.0029285513700004</v>
      </c>
      <c r="H67" s="2">
        <v>25</v>
      </c>
      <c r="I67" s="2">
        <v>30</v>
      </c>
      <c r="J67" s="2">
        <v>16</v>
      </c>
      <c r="K67" s="4">
        <v>1</v>
      </c>
      <c r="L67" s="4">
        <v>0.90875102251302209</v>
      </c>
      <c r="M67" s="4">
        <v>0.90875102251302209</v>
      </c>
      <c r="N67" s="10">
        <v>0.90900000000000003</v>
      </c>
      <c r="O67" s="4">
        <v>7.5375818814212252</v>
      </c>
      <c r="P67" s="4">
        <v>7.54</v>
      </c>
      <c r="Q67" s="3" t="s">
        <v>1597</v>
      </c>
      <c r="R67" s="3" t="s">
        <v>1602</v>
      </c>
      <c r="S67" s="3" t="s">
        <v>1603</v>
      </c>
      <c r="T67" s="3"/>
    </row>
    <row r="68" spans="1:20">
      <c r="A68" s="3" t="s">
        <v>1600</v>
      </c>
      <c r="B68" s="3" t="s">
        <v>1609</v>
      </c>
      <c r="C68" s="3" t="s">
        <v>1616</v>
      </c>
      <c r="D68" s="3" t="s">
        <v>961</v>
      </c>
      <c r="E68" s="3" t="s">
        <v>962</v>
      </c>
      <c r="F68" s="2">
        <v>1</v>
      </c>
      <c r="G68" s="4">
        <v>1.0029285513700004</v>
      </c>
      <c r="H68" s="2">
        <v>25</v>
      </c>
      <c r="I68" s="2">
        <v>5</v>
      </c>
      <c r="J68" s="2">
        <v>1</v>
      </c>
      <c r="K68" s="4">
        <v>0.96826975168753993</v>
      </c>
      <c r="L68" s="4">
        <v>0.85598426751419754</v>
      </c>
      <c r="M68" s="4">
        <v>0.85598426751419754</v>
      </c>
      <c r="N68" s="10">
        <v>0.85599999999999998</v>
      </c>
      <c r="O68" s="4">
        <v>6.3368571661593052</v>
      </c>
      <c r="P68" s="4">
        <v>6.34</v>
      </c>
      <c r="Q68" s="3" t="s">
        <v>1597</v>
      </c>
      <c r="R68" s="3" t="s">
        <v>1610</v>
      </c>
      <c r="S68" s="3" t="s">
        <v>1611</v>
      </c>
      <c r="T68" s="3"/>
    </row>
    <row r="69" spans="1:20">
      <c r="A69" s="3" t="s">
        <v>1600</v>
      </c>
      <c r="B69" s="3" t="s">
        <v>1609</v>
      </c>
      <c r="C69" s="3" t="s">
        <v>1616</v>
      </c>
      <c r="D69" s="3" t="s">
        <v>961</v>
      </c>
      <c r="E69" s="3" t="s">
        <v>962</v>
      </c>
      <c r="F69" s="2">
        <v>1</v>
      </c>
      <c r="G69" s="4">
        <v>1.0029285513700004</v>
      </c>
      <c r="H69" s="2">
        <v>25</v>
      </c>
      <c r="I69" s="2">
        <v>5</v>
      </c>
      <c r="J69" s="2">
        <v>16</v>
      </c>
      <c r="K69" s="4">
        <v>0.97631894712542211</v>
      </c>
      <c r="L69" s="4">
        <v>0.84662554370137866</v>
      </c>
      <c r="M69" s="4">
        <v>0.84662554370137866</v>
      </c>
      <c r="N69" s="10">
        <v>0.84699999999999998</v>
      </c>
      <c r="O69" s="4">
        <v>6.168250081750835</v>
      </c>
      <c r="P69" s="4">
        <v>6.17</v>
      </c>
      <c r="Q69" s="3" t="s">
        <v>1597</v>
      </c>
      <c r="R69" s="3" t="s">
        <v>1610</v>
      </c>
      <c r="S69" s="3" t="s">
        <v>1611</v>
      </c>
      <c r="T69" s="3"/>
    </row>
    <row r="70" spans="1:20">
      <c r="A70" s="3" t="s">
        <v>1594</v>
      </c>
      <c r="B70" s="3" t="s">
        <v>1612</v>
      </c>
      <c r="C70" s="3" t="s">
        <v>1596</v>
      </c>
      <c r="D70" s="3" t="s">
        <v>961</v>
      </c>
      <c r="E70" s="3" t="s">
        <v>962</v>
      </c>
      <c r="F70" s="2">
        <v>1</v>
      </c>
      <c r="G70" s="4">
        <v>1.0029285513700004</v>
      </c>
      <c r="H70" s="2">
        <v>50</v>
      </c>
      <c r="I70" s="2">
        <v>5</v>
      </c>
      <c r="J70" s="2">
        <v>16</v>
      </c>
      <c r="K70" s="4">
        <v>0.12646616167077207</v>
      </c>
      <c r="L70" s="4">
        <v>-0.12433075550267698</v>
      </c>
      <c r="M70" s="4">
        <v>0.12433075550267698</v>
      </c>
      <c r="N70" s="10">
        <v>0.124</v>
      </c>
      <c r="O70" s="4">
        <v>0.6715862475532024</v>
      </c>
      <c r="P70" s="4">
        <v>-0.67</v>
      </c>
      <c r="Q70" s="3" t="s">
        <v>1617</v>
      </c>
      <c r="R70" s="3" t="s">
        <v>1627</v>
      </c>
      <c r="S70" s="3" t="s">
        <v>1628</v>
      </c>
      <c r="T70" s="3"/>
    </row>
    <row r="71" spans="1:20">
      <c r="A71" s="3" t="s">
        <v>1594</v>
      </c>
      <c r="B71" s="3" t="s">
        <v>1595</v>
      </c>
      <c r="C71" s="3" t="s">
        <v>1596</v>
      </c>
      <c r="D71" s="3" t="s">
        <v>961</v>
      </c>
      <c r="E71" s="3" t="s">
        <v>962</v>
      </c>
      <c r="F71" s="2">
        <v>1</v>
      </c>
      <c r="G71" s="4">
        <v>1.0029285513700004</v>
      </c>
      <c r="H71" s="2">
        <v>50</v>
      </c>
      <c r="I71" s="2">
        <v>5</v>
      </c>
      <c r="J71" s="2">
        <v>16</v>
      </c>
      <c r="K71" s="4">
        <v>0.77064756434511517</v>
      </c>
      <c r="L71" s="4">
        <v>-0.50552909881851493</v>
      </c>
      <c r="M71" s="4">
        <v>0.50552909881851493</v>
      </c>
      <c r="N71" s="10">
        <v>0.50600000000000001</v>
      </c>
      <c r="O71" s="4">
        <v>2.9915478273147658</v>
      </c>
      <c r="P71" s="4">
        <v>-2.99</v>
      </c>
      <c r="Q71" s="3" t="s">
        <v>1617</v>
      </c>
      <c r="R71" s="3" t="s">
        <v>1625</v>
      </c>
      <c r="S71" s="3" t="s">
        <v>1626</v>
      </c>
      <c r="T71" s="3"/>
    </row>
    <row r="72" spans="1:20">
      <c r="A72" s="3" t="s">
        <v>1594</v>
      </c>
      <c r="B72" s="3" t="s">
        <v>1595</v>
      </c>
      <c r="C72" s="3" t="s">
        <v>1596</v>
      </c>
      <c r="D72" s="3" t="s">
        <v>961</v>
      </c>
      <c r="E72" s="3" t="s">
        <v>962</v>
      </c>
      <c r="F72" s="2">
        <v>1</v>
      </c>
      <c r="G72" s="4">
        <v>1.0029285513700004</v>
      </c>
      <c r="H72" s="2">
        <v>25</v>
      </c>
      <c r="I72" s="2">
        <v>5</v>
      </c>
      <c r="J72" s="2">
        <v>16</v>
      </c>
      <c r="K72" s="4">
        <v>0.16172873052893455</v>
      </c>
      <c r="L72" s="4">
        <v>-0.57366548400647643</v>
      </c>
      <c r="M72" s="4">
        <v>0.57366548400647643</v>
      </c>
      <c r="N72" s="10">
        <v>0.57399999999999995</v>
      </c>
      <c r="O72" s="4">
        <v>3.2373802115736137</v>
      </c>
      <c r="P72" s="4">
        <v>-3.24</v>
      </c>
      <c r="Q72" s="3" t="s">
        <v>1617</v>
      </c>
      <c r="R72" s="3" t="s">
        <v>1625</v>
      </c>
      <c r="S72" s="3" t="s">
        <v>1626</v>
      </c>
      <c r="T72" s="3"/>
    </row>
    <row r="73" spans="1:20">
      <c r="A73" s="3" t="s">
        <v>1600</v>
      </c>
      <c r="B73" s="3" t="s">
        <v>1601</v>
      </c>
      <c r="C73" s="3" t="s">
        <v>1616</v>
      </c>
      <c r="D73" s="3" t="s">
        <v>1089</v>
      </c>
      <c r="E73" s="3" t="s">
        <v>1090</v>
      </c>
      <c r="F73" s="2">
        <v>1</v>
      </c>
      <c r="G73" s="4">
        <v>1.0034515074630277</v>
      </c>
      <c r="H73" s="2">
        <v>25</v>
      </c>
      <c r="I73" s="2">
        <v>5</v>
      </c>
      <c r="J73" s="2">
        <v>16</v>
      </c>
      <c r="K73" s="4">
        <v>1</v>
      </c>
      <c r="L73" s="4">
        <v>0.91801051588592097</v>
      </c>
      <c r="M73" s="4">
        <v>0.91801051588592097</v>
      </c>
      <c r="N73" s="10">
        <v>0.91800000000000004</v>
      </c>
      <c r="O73" s="4">
        <v>7.8148300197026925</v>
      </c>
      <c r="P73" s="4">
        <v>7.81</v>
      </c>
      <c r="Q73" s="3" t="s">
        <v>1597</v>
      </c>
      <c r="R73" s="3" t="s">
        <v>1602</v>
      </c>
      <c r="S73" s="3" t="s">
        <v>1603</v>
      </c>
      <c r="T73" s="3"/>
    </row>
    <row r="74" spans="1:20">
      <c r="A74" s="3" t="s">
        <v>1600</v>
      </c>
      <c r="B74" s="3" t="s">
        <v>1601</v>
      </c>
      <c r="C74" s="3" t="s">
        <v>1616</v>
      </c>
      <c r="D74" s="3" t="s">
        <v>1089</v>
      </c>
      <c r="E74" s="3" t="s">
        <v>1090</v>
      </c>
      <c r="F74" s="2">
        <v>1</v>
      </c>
      <c r="G74" s="4">
        <v>1.0034515074630277</v>
      </c>
      <c r="H74" s="2">
        <v>25</v>
      </c>
      <c r="I74" s="2">
        <v>5</v>
      </c>
      <c r="J74" s="2">
        <v>1</v>
      </c>
      <c r="K74" s="4">
        <v>1</v>
      </c>
      <c r="L74" s="4">
        <v>0.91267063729178677</v>
      </c>
      <c r="M74" s="4">
        <v>0.91267063729178677</v>
      </c>
      <c r="N74" s="10">
        <v>0.91300000000000003</v>
      </c>
      <c r="O74" s="4">
        <v>7.6515064075758197</v>
      </c>
      <c r="P74" s="4">
        <v>7.66</v>
      </c>
      <c r="Q74" s="3" t="s">
        <v>1597</v>
      </c>
      <c r="R74" s="3" t="s">
        <v>1602</v>
      </c>
      <c r="S74" s="3" t="s">
        <v>1603</v>
      </c>
      <c r="T74" s="3"/>
    </row>
    <row r="75" spans="1:20">
      <c r="A75" s="3" t="s">
        <v>1604</v>
      </c>
      <c r="B75" s="3" t="s">
        <v>1601</v>
      </c>
      <c r="C75" s="3" t="s">
        <v>1616</v>
      </c>
      <c r="D75" s="3" t="s">
        <v>1089</v>
      </c>
      <c r="E75" s="3" t="s">
        <v>1090</v>
      </c>
      <c r="F75" s="2">
        <v>1</v>
      </c>
      <c r="G75" s="4">
        <v>1.0034515074630277</v>
      </c>
      <c r="H75" s="2">
        <v>25</v>
      </c>
      <c r="I75" s="2">
        <v>30</v>
      </c>
      <c r="J75" s="2">
        <v>16</v>
      </c>
      <c r="K75" s="4">
        <v>1</v>
      </c>
      <c r="L75" s="4">
        <v>0.88873608915523961</v>
      </c>
      <c r="M75" s="4">
        <v>0.88873608915523961</v>
      </c>
      <c r="N75" s="10">
        <v>0.88900000000000001</v>
      </c>
      <c r="O75" s="4">
        <v>7.019838442030216</v>
      </c>
      <c r="P75" s="4">
        <v>7.03</v>
      </c>
      <c r="Q75" s="3" t="s">
        <v>1597</v>
      </c>
      <c r="R75" s="3" t="s">
        <v>1602</v>
      </c>
      <c r="S75" s="3" t="s">
        <v>1603</v>
      </c>
      <c r="T75" s="3"/>
    </row>
    <row r="76" spans="1:20">
      <c r="A76" s="3" t="s">
        <v>1600</v>
      </c>
      <c r="B76" s="3" t="s">
        <v>1601</v>
      </c>
      <c r="C76" s="3" t="s">
        <v>1596</v>
      </c>
      <c r="D76" s="3" t="s">
        <v>1089</v>
      </c>
      <c r="E76" s="3" t="s">
        <v>1090</v>
      </c>
      <c r="F76" s="2">
        <v>1</v>
      </c>
      <c r="G76" s="4">
        <v>1.0034515074630277</v>
      </c>
      <c r="H76" s="2">
        <v>25</v>
      </c>
      <c r="I76" s="2">
        <v>5</v>
      </c>
      <c r="J76" s="2">
        <v>16</v>
      </c>
      <c r="K76" s="4">
        <v>1</v>
      </c>
      <c r="L76" s="4">
        <v>0.88207332400195892</v>
      </c>
      <c r="M76" s="4">
        <v>0.88207332400195892</v>
      </c>
      <c r="N76" s="10">
        <v>0.88200000000000001</v>
      </c>
      <c r="O76" s="4">
        <v>6.8669060481107245</v>
      </c>
      <c r="P76" s="4">
        <v>6.87</v>
      </c>
      <c r="Q76" s="3" t="s">
        <v>1597</v>
      </c>
      <c r="R76" s="3" t="s">
        <v>1602</v>
      </c>
      <c r="S76" s="3" t="s">
        <v>1603</v>
      </c>
      <c r="T76" s="3"/>
    </row>
    <row r="77" spans="1:20">
      <c r="A77" s="3" t="s">
        <v>1605</v>
      </c>
      <c r="B77" s="3" t="s">
        <v>1601</v>
      </c>
      <c r="C77" s="3" t="s">
        <v>1596</v>
      </c>
      <c r="D77" s="3" t="s">
        <v>1089</v>
      </c>
      <c r="E77" s="3" t="s">
        <v>1090</v>
      </c>
      <c r="F77" s="2">
        <v>1</v>
      </c>
      <c r="G77" s="4">
        <v>1.0034515074630277</v>
      </c>
      <c r="H77" s="2">
        <v>25</v>
      </c>
      <c r="I77" s="2">
        <v>5</v>
      </c>
      <c r="J77" s="2">
        <v>16</v>
      </c>
      <c r="K77" s="4">
        <v>1</v>
      </c>
      <c r="L77" s="4">
        <v>0.88174908910896721</v>
      </c>
      <c r="M77" s="4">
        <v>0.88174908910896721</v>
      </c>
      <c r="N77" s="10">
        <v>0.88200000000000001</v>
      </c>
      <c r="O77" s="4">
        <v>6.859672470586073</v>
      </c>
      <c r="P77" s="4">
        <v>6.87</v>
      </c>
      <c r="Q77" s="3" t="s">
        <v>1597</v>
      </c>
      <c r="R77" s="3" t="s">
        <v>1602</v>
      </c>
      <c r="S77" s="3" t="s">
        <v>1603</v>
      </c>
      <c r="T77" s="3"/>
    </row>
    <row r="78" spans="1:20">
      <c r="A78" s="3" t="s">
        <v>1600</v>
      </c>
      <c r="B78" s="3" t="s">
        <v>1606</v>
      </c>
      <c r="C78" s="3" t="s">
        <v>1596</v>
      </c>
      <c r="D78" s="3" t="s">
        <v>1089</v>
      </c>
      <c r="E78" s="3" t="s">
        <v>1090</v>
      </c>
      <c r="F78" s="2">
        <v>1</v>
      </c>
      <c r="G78" s="4">
        <v>1.0034515074630277</v>
      </c>
      <c r="H78" s="2">
        <v>25</v>
      </c>
      <c r="I78" s="2">
        <v>5</v>
      </c>
      <c r="J78" s="2">
        <v>16</v>
      </c>
      <c r="K78" s="4">
        <v>1</v>
      </c>
      <c r="L78" s="4">
        <v>0.87783930698285062</v>
      </c>
      <c r="M78" s="4">
        <v>0.87783930698285062</v>
      </c>
      <c r="N78" s="10">
        <v>0.878</v>
      </c>
      <c r="O78" s="4">
        <v>6.7738790924124581</v>
      </c>
      <c r="P78" s="4">
        <v>6.78</v>
      </c>
      <c r="Q78" s="3" t="s">
        <v>1597</v>
      </c>
      <c r="R78" s="3" t="s">
        <v>1607</v>
      </c>
      <c r="S78" s="3" t="s">
        <v>1608</v>
      </c>
      <c r="T78" s="3"/>
    </row>
    <row r="79" spans="1:20">
      <c r="A79" s="3" t="s">
        <v>1600</v>
      </c>
      <c r="B79" s="3" t="s">
        <v>1601</v>
      </c>
      <c r="C79" s="3" t="s">
        <v>1596</v>
      </c>
      <c r="D79" s="3" t="s">
        <v>1089</v>
      </c>
      <c r="E79" s="3" t="s">
        <v>1090</v>
      </c>
      <c r="F79" s="2">
        <v>1</v>
      </c>
      <c r="G79" s="4">
        <v>1.0034515074630277</v>
      </c>
      <c r="H79" s="2">
        <v>25</v>
      </c>
      <c r="I79" s="2">
        <v>5</v>
      </c>
      <c r="J79" s="2">
        <v>1</v>
      </c>
      <c r="K79" s="4">
        <v>1</v>
      </c>
      <c r="L79" s="4">
        <v>0.87709389667504478</v>
      </c>
      <c r="M79" s="4">
        <v>0.87709389667504478</v>
      </c>
      <c r="N79" s="10">
        <v>0.877</v>
      </c>
      <c r="O79" s="4">
        <v>6.7578144559979458</v>
      </c>
      <c r="P79" s="4">
        <v>6.76</v>
      </c>
      <c r="Q79" s="3" t="s">
        <v>1597</v>
      </c>
      <c r="R79" s="3" t="s">
        <v>1602</v>
      </c>
      <c r="S79" s="3" t="s">
        <v>1603</v>
      </c>
      <c r="T79" s="3"/>
    </row>
    <row r="80" spans="1:20">
      <c r="A80" s="3" t="s">
        <v>1600</v>
      </c>
      <c r="B80" s="3" t="s">
        <v>1606</v>
      </c>
      <c r="C80" s="3" t="s">
        <v>1596</v>
      </c>
      <c r="D80" s="3" t="s">
        <v>1089</v>
      </c>
      <c r="E80" s="3" t="s">
        <v>1090</v>
      </c>
      <c r="F80" s="2">
        <v>1</v>
      </c>
      <c r="G80" s="4">
        <v>1.0034515074630277</v>
      </c>
      <c r="H80" s="2">
        <v>25</v>
      </c>
      <c r="I80" s="2">
        <v>5</v>
      </c>
      <c r="J80" s="2">
        <v>1</v>
      </c>
      <c r="K80" s="4">
        <v>1</v>
      </c>
      <c r="L80" s="4">
        <v>0.86793467974797178</v>
      </c>
      <c r="M80" s="4">
        <v>0.86793467974797178</v>
      </c>
      <c r="N80" s="10">
        <v>0.86799999999999999</v>
      </c>
      <c r="O80" s="4">
        <v>6.5675105532407922</v>
      </c>
      <c r="P80" s="4">
        <v>6.57</v>
      </c>
      <c r="Q80" s="3" t="s">
        <v>1597</v>
      </c>
      <c r="R80" s="3" t="s">
        <v>1607</v>
      </c>
      <c r="S80" s="3" t="s">
        <v>1608</v>
      </c>
      <c r="T80" s="3"/>
    </row>
    <row r="81" spans="1:20">
      <c r="A81" s="3" t="s">
        <v>1600</v>
      </c>
      <c r="B81" s="3" t="s">
        <v>1606</v>
      </c>
      <c r="C81" s="3" t="s">
        <v>1616</v>
      </c>
      <c r="D81" s="3" t="s">
        <v>1089</v>
      </c>
      <c r="E81" s="3" t="s">
        <v>1090</v>
      </c>
      <c r="F81" s="2">
        <v>1</v>
      </c>
      <c r="G81" s="4">
        <v>1.0034515074630277</v>
      </c>
      <c r="H81" s="2">
        <v>25</v>
      </c>
      <c r="I81" s="2">
        <v>5</v>
      </c>
      <c r="J81" s="2">
        <v>1</v>
      </c>
      <c r="K81" s="4">
        <v>1</v>
      </c>
      <c r="L81" s="4">
        <v>0.82291054511315809</v>
      </c>
      <c r="M81" s="4">
        <v>0.82291054511315809</v>
      </c>
      <c r="N81" s="10">
        <v>0.82299999999999995</v>
      </c>
      <c r="O81" s="4">
        <v>5.7798003290755364</v>
      </c>
      <c r="P81" s="4">
        <v>5.78</v>
      </c>
      <c r="Q81" s="3" t="s">
        <v>1597</v>
      </c>
      <c r="R81" s="3" t="s">
        <v>1607</v>
      </c>
      <c r="S81" s="3" t="s">
        <v>1608</v>
      </c>
      <c r="T81" s="3"/>
    </row>
    <row r="82" spans="1:20">
      <c r="A82" s="3" t="s">
        <v>1600</v>
      </c>
      <c r="B82" s="3" t="s">
        <v>1606</v>
      </c>
      <c r="C82" s="3" t="s">
        <v>1616</v>
      </c>
      <c r="D82" s="3" t="s">
        <v>1089</v>
      </c>
      <c r="E82" s="3" t="s">
        <v>1090</v>
      </c>
      <c r="F82" s="2">
        <v>1</v>
      </c>
      <c r="G82" s="4">
        <v>1.0034515074630277</v>
      </c>
      <c r="H82" s="2">
        <v>25</v>
      </c>
      <c r="I82" s="2">
        <v>5</v>
      </c>
      <c r="J82" s="2">
        <v>16</v>
      </c>
      <c r="K82" s="4">
        <v>1</v>
      </c>
      <c r="L82" s="4">
        <v>0.82270668306432515</v>
      </c>
      <c r="M82" s="4">
        <v>0.82270668306432515</v>
      </c>
      <c r="N82" s="10">
        <v>0.82299999999999995</v>
      </c>
      <c r="O82" s="4">
        <v>5.7766709822547702</v>
      </c>
      <c r="P82" s="4">
        <v>5.78</v>
      </c>
      <c r="Q82" s="3" t="s">
        <v>1597</v>
      </c>
      <c r="R82" s="3" t="s">
        <v>1607</v>
      </c>
      <c r="S82" s="3" t="s">
        <v>1608</v>
      </c>
      <c r="T82" s="3"/>
    </row>
    <row r="83" spans="1:20">
      <c r="A83" s="3" t="s">
        <v>1604</v>
      </c>
      <c r="B83" s="3" t="s">
        <v>1601</v>
      </c>
      <c r="C83" s="3" t="s">
        <v>1596</v>
      </c>
      <c r="D83" s="3" t="s">
        <v>1089</v>
      </c>
      <c r="E83" s="3" t="s">
        <v>1090</v>
      </c>
      <c r="F83" s="2">
        <v>1</v>
      </c>
      <c r="G83" s="4">
        <v>1.0034515074630277</v>
      </c>
      <c r="H83" s="2">
        <v>25</v>
      </c>
      <c r="I83" s="2">
        <v>30</v>
      </c>
      <c r="J83" s="2">
        <v>16</v>
      </c>
      <c r="K83" s="4">
        <v>1</v>
      </c>
      <c r="L83" s="4">
        <v>0.80473677978313374</v>
      </c>
      <c r="M83" s="4">
        <v>0.80473677978313374</v>
      </c>
      <c r="N83" s="10">
        <v>0.80500000000000005</v>
      </c>
      <c r="O83" s="4">
        <v>5.5127828150030735</v>
      </c>
      <c r="P83" s="4">
        <v>5.52</v>
      </c>
      <c r="Q83" s="3" t="s">
        <v>1597</v>
      </c>
      <c r="R83" s="3" t="s">
        <v>1602</v>
      </c>
      <c r="S83" s="3" t="s">
        <v>1603</v>
      </c>
      <c r="T83" s="3"/>
    </row>
    <row r="84" spans="1:20">
      <c r="A84" s="3" t="s">
        <v>1600</v>
      </c>
      <c r="B84" s="3" t="s">
        <v>1609</v>
      </c>
      <c r="C84" s="3" t="s">
        <v>1596</v>
      </c>
      <c r="D84" s="3" t="s">
        <v>1089</v>
      </c>
      <c r="E84" s="3" t="s">
        <v>1090</v>
      </c>
      <c r="F84" s="2">
        <v>1</v>
      </c>
      <c r="G84" s="4">
        <v>1.0034515074630277</v>
      </c>
      <c r="H84" s="2">
        <v>25</v>
      </c>
      <c r="I84" s="2">
        <v>5</v>
      </c>
      <c r="J84" s="2">
        <v>16</v>
      </c>
      <c r="K84" s="4">
        <v>1</v>
      </c>
      <c r="L84" s="4">
        <v>0.77884714017487811</v>
      </c>
      <c r="M84" s="4">
        <v>0.77884714017487811</v>
      </c>
      <c r="N84" s="10">
        <v>0.77900000000000003</v>
      </c>
      <c r="O84" s="4">
        <v>5.1683180089171197</v>
      </c>
      <c r="P84" s="4">
        <v>5.17</v>
      </c>
      <c r="Q84" s="3" t="s">
        <v>1597</v>
      </c>
      <c r="R84" s="3" t="s">
        <v>1610</v>
      </c>
      <c r="S84" s="3" t="s">
        <v>1611</v>
      </c>
      <c r="T84" s="3"/>
    </row>
    <row r="85" spans="1:20">
      <c r="A85" s="3" t="s">
        <v>1600</v>
      </c>
      <c r="B85" s="3" t="s">
        <v>1609</v>
      </c>
      <c r="C85" s="3" t="s">
        <v>1596</v>
      </c>
      <c r="D85" s="3" t="s">
        <v>1089</v>
      </c>
      <c r="E85" s="3" t="s">
        <v>1090</v>
      </c>
      <c r="F85" s="2">
        <v>1</v>
      </c>
      <c r="G85" s="4">
        <v>1.0034515074630277</v>
      </c>
      <c r="H85" s="2">
        <v>25</v>
      </c>
      <c r="I85" s="2">
        <v>5</v>
      </c>
      <c r="J85" s="2">
        <v>1</v>
      </c>
      <c r="K85" s="4">
        <v>1</v>
      </c>
      <c r="L85" s="4">
        <v>0.76419256843128969</v>
      </c>
      <c r="M85" s="4">
        <v>0.76419256843128969</v>
      </c>
      <c r="N85" s="10">
        <v>0.76400000000000001</v>
      </c>
      <c r="O85" s="4">
        <v>4.9887570945148232</v>
      </c>
      <c r="P85" s="4">
        <v>4.99</v>
      </c>
      <c r="Q85" s="3" t="s">
        <v>1597</v>
      </c>
      <c r="R85" s="3" t="s">
        <v>1610</v>
      </c>
      <c r="S85" s="3" t="s">
        <v>1611</v>
      </c>
      <c r="T85" s="3"/>
    </row>
    <row r="86" spans="1:20">
      <c r="A86" s="3" t="s">
        <v>1600</v>
      </c>
      <c r="B86" s="3" t="s">
        <v>1609</v>
      </c>
      <c r="C86" s="3" t="s">
        <v>1616</v>
      </c>
      <c r="D86" s="3" t="s">
        <v>1089</v>
      </c>
      <c r="E86" s="3" t="s">
        <v>1090</v>
      </c>
      <c r="F86" s="2">
        <v>1</v>
      </c>
      <c r="G86" s="4">
        <v>1.0034515074630277</v>
      </c>
      <c r="H86" s="2">
        <v>25</v>
      </c>
      <c r="I86" s="2">
        <v>5</v>
      </c>
      <c r="J86" s="2">
        <v>1</v>
      </c>
      <c r="K86" s="4">
        <v>0.94881076206261017</v>
      </c>
      <c r="L86" s="4">
        <v>0.74788789873554939</v>
      </c>
      <c r="M86" s="4">
        <v>0.74788789873554939</v>
      </c>
      <c r="N86" s="10">
        <v>0.748</v>
      </c>
      <c r="O86" s="4">
        <v>4.800000266525128</v>
      </c>
      <c r="P86" s="4">
        <v>4.8</v>
      </c>
      <c r="Q86" s="3" t="s">
        <v>1597</v>
      </c>
      <c r="R86" s="3" t="s">
        <v>1610</v>
      </c>
      <c r="S86" s="3" t="s">
        <v>1611</v>
      </c>
      <c r="T86" s="3"/>
    </row>
    <row r="87" spans="1:20">
      <c r="A87" s="3" t="s">
        <v>1600</v>
      </c>
      <c r="B87" s="3" t="s">
        <v>1609</v>
      </c>
      <c r="C87" s="3" t="s">
        <v>1616</v>
      </c>
      <c r="D87" s="3" t="s">
        <v>1089</v>
      </c>
      <c r="E87" s="3" t="s">
        <v>1090</v>
      </c>
      <c r="F87" s="2">
        <v>1</v>
      </c>
      <c r="G87" s="4">
        <v>1.0034515074630277</v>
      </c>
      <c r="H87" s="2">
        <v>25</v>
      </c>
      <c r="I87" s="2">
        <v>5</v>
      </c>
      <c r="J87" s="2">
        <v>16</v>
      </c>
      <c r="K87" s="4">
        <v>0.94545366925966379</v>
      </c>
      <c r="L87" s="4">
        <v>0.7296353182908355</v>
      </c>
      <c r="M87" s="4">
        <v>0.7296353182908355</v>
      </c>
      <c r="N87" s="10">
        <v>0.73</v>
      </c>
      <c r="O87" s="4">
        <v>4.6007025239486463</v>
      </c>
      <c r="P87" s="4">
        <v>4.5999999999999996</v>
      </c>
      <c r="Q87" s="3" t="s">
        <v>1597</v>
      </c>
      <c r="R87" s="3" t="s">
        <v>1610</v>
      </c>
      <c r="S87" s="3" t="s">
        <v>1611</v>
      </c>
      <c r="T87" s="3"/>
    </row>
    <row r="88" spans="1:20">
      <c r="A88" s="3" t="s">
        <v>1594</v>
      </c>
      <c r="B88" s="3" t="s">
        <v>1595</v>
      </c>
      <c r="C88" s="3" t="s">
        <v>1596</v>
      </c>
      <c r="D88" s="3" t="s">
        <v>1089</v>
      </c>
      <c r="E88" s="3" t="s">
        <v>1090</v>
      </c>
      <c r="F88" s="2">
        <v>1</v>
      </c>
      <c r="G88" s="4">
        <v>1.0034515074630277</v>
      </c>
      <c r="H88" s="2">
        <v>25</v>
      </c>
      <c r="I88" s="2">
        <v>5</v>
      </c>
      <c r="J88" s="2">
        <v>16</v>
      </c>
      <c r="K88" s="4">
        <v>0.12475847600390133</v>
      </c>
      <c r="L88" s="4">
        <v>0.23757892893192184</v>
      </c>
      <c r="M88" s="4">
        <v>0.23757892893192184</v>
      </c>
      <c r="N88" s="10">
        <v>0.23799999999999999</v>
      </c>
      <c r="O88" s="4">
        <v>1.2008451135759466</v>
      </c>
      <c r="P88" s="4">
        <v>1.2</v>
      </c>
      <c r="Q88" s="3" t="s">
        <v>1597</v>
      </c>
      <c r="R88" s="3" t="s">
        <v>1598</v>
      </c>
      <c r="S88" s="3" t="s">
        <v>1599</v>
      </c>
      <c r="T88" s="3"/>
    </row>
    <row r="89" spans="1:20">
      <c r="A89" s="3" t="s">
        <v>1594</v>
      </c>
      <c r="B89" s="3" t="s">
        <v>1595</v>
      </c>
      <c r="C89" s="3" t="s">
        <v>1596</v>
      </c>
      <c r="D89" s="3" t="s">
        <v>1089</v>
      </c>
      <c r="E89" s="3" t="s">
        <v>1090</v>
      </c>
      <c r="F89" s="2">
        <v>1</v>
      </c>
      <c r="G89" s="4">
        <v>1.0034515074630277</v>
      </c>
      <c r="H89" s="2">
        <v>50</v>
      </c>
      <c r="I89" s="2">
        <v>5</v>
      </c>
      <c r="J89" s="2">
        <v>16</v>
      </c>
      <c r="K89" s="4">
        <v>0.8282918925997822</v>
      </c>
      <c r="L89" s="4">
        <v>0.10461494490744726</v>
      </c>
      <c r="M89" s="4">
        <v>0.10461494490744726</v>
      </c>
      <c r="N89" s="10">
        <v>0.105</v>
      </c>
      <c r="O89" s="4">
        <v>0.56422969188956618</v>
      </c>
      <c r="P89" s="4">
        <v>0.56999999999999995</v>
      </c>
      <c r="Q89" s="3" t="s">
        <v>1597</v>
      </c>
      <c r="R89" s="3" t="s">
        <v>1598</v>
      </c>
      <c r="S89" s="3" t="s">
        <v>1599</v>
      </c>
      <c r="T89" s="3"/>
    </row>
    <row r="90" spans="1:20">
      <c r="A90" s="3" t="s">
        <v>1594</v>
      </c>
      <c r="B90" s="3" t="s">
        <v>1612</v>
      </c>
      <c r="C90" s="3" t="s">
        <v>1596</v>
      </c>
      <c r="D90" s="3" t="s">
        <v>1089</v>
      </c>
      <c r="E90" s="3" t="s">
        <v>1090</v>
      </c>
      <c r="F90" s="2">
        <v>1</v>
      </c>
      <c r="G90" s="4">
        <v>1.0034515074630277</v>
      </c>
      <c r="H90" s="2">
        <v>50</v>
      </c>
      <c r="I90" s="2">
        <v>5</v>
      </c>
      <c r="J90" s="2">
        <v>16</v>
      </c>
      <c r="K90" s="4">
        <v>0.86579027598240832</v>
      </c>
      <c r="L90" s="4">
        <v>0.10414229892825272</v>
      </c>
      <c r="M90" s="4">
        <v>0.10414229892825272</v>
      </c>
      <c r="N90" s="10">
        <v>0.104</v>
      </c>
      <c r="O90" s="4">
        <v>0.56166187632365761</v>
      </c>
      <c r="P90" s="4">
        <v>0.56000000000000005</v>
      </c>
      <c r="Q90" s="3" t="s">
        <v>1597</v>
      </c>
      <c r="R90" s="3" t="s">
        <v>1613</v>
      </c>
      <c r="S90" s="3" t="s">
        <v>1614</v>
      </c>
      <c r="T90" s="3"/>
    </row>
    <row r="91" spans="1:20">
      <c r="A91" s="3" t="s">
        <v>1604</v>
      </c>
      <c r="B91" s="3" t="s">
        <v>1601</v>
      </c>
      <c r="C91" s="3" t="s">
        <v>1596</v>
      </c>
      <c r="D91" s="3" t="s">
        <v>354</v>
      </c>
      <c r="E91" s="3" t="s">
        <v>355</v>
      </c>
      <c r="F91" s="2">
        <v>1</v>
      </c>
      <c r="G91" s="4">
        <v>1.0038372985418265</v>
      </c>
      <c r="H91" s="2">
        <v>25</v>
      </c>
      <c r="I91" s="2">
        <v>30</v>
      </c>
      <c r="J91" s="2">
        <v>16</v>
      </c>
      <c r="K91" s="4">
        <v>1</v>
      </c>
      <c r="L91" s="4">
        <v>0.27355000946060271</v>
      </c>
      <c r="M91" s="4">
        <v>0.27355000946060271</v>
      </c>
      <c r="N91" s="10">
        <v>0.27400000000000002</v>
      </c>
      <c r="O91" s="4">
        <v>1.3916776575002505</v>
      </c>
      <c r="P91" s="4">
        <v>1.39</v>
      </c>
      <c r="Q91" s="3" t="s">
        <v>1597</v>
      </c>
      <c r="R91" s="3" t="s">
        <v>1602</v>
      </c>
      <c r="S91" s="3" t="s">
        <v>1603</v>
      </c>
      <c r="T91" s="3"/>
    </row>
    <row r="92" spans="1:20">
      <c r="A92" s="12" t="s">
        <v>1605</v>
      </c>
      <c r="B92" s="3" t="s">
        <v>1601</v>
      </c>
      <c r="C92" s="3" t="s">
        <v>1596</v>
      </c>
      <c r="D92" s="3" t="s">
        <v>354</v>
      </c>
      <c r="E92" s="3" t="s">
        <v>355</v>
      </c>
      <c r="F92" s="2">
        <v>1</v>
      </c>
      <c r="G92" s="4">
        <v>1.0038372985418265</v>
      </c>
      <c r="H92" s="2">
        <v>25</v>
      </c>
      <c r="I92" s="2">
        <v>5</v>
      </c>
      <c r="J92" s="2">
        <v>16</v>
      </c>
      <c r="K92" s="11">
        <v>1</v>
      </c>
      <c r="L92" s="11">
        <v>0.23704867489497877</v>
      </c>
      <c r="M92" s="4">
        <v>0.23704867489497877</v>
      </c>
      <c r="N92" s="10">
        <v>0.23699999999999999</v>
      </c>
      <c r="O92" s="4">
        <v>1.198059254143186</v>
      </c>
      <c r="P92" s="4">
        <v>1.2</v>
      </c>
      <c r="Q92" s="3" t="s">
        <v>1597</v>
      </c>
      <c r="R92" s="3" t="s">
        <v>1602</v>
      </c>
      <c r="S92" s="3" t="s">
        <v>1603</v>
      </c>
      <c r="T92" s="3"/>
    </row>
    <row r="93" spans="1:20">
      <c r="A93" s="3" t="s">
        <v>1600</v>
      </c>
      <c r="B93" s="3" t="s">
        <v>1601</v>
      </c>
      <c r="C93" s="3" t="s">
        <v>1596</v>
      </c>
      <c r="D93" s="3" t="s">
        <v>354</v>
      </c>
      <c r="E93" s="3" t="s">
        <v>355</v>
      </c>
      <c r="F93" s="2">
        <v>1</v>
      </c>
      <c r="G93" s="4">
        <v>1.0038372985418265</v>
      </c>
      <c r="H93" s="2">
        <v>25</v>
      </c>
      <c r="I93" s="2">
        <v>5</v>
      </c>
      <c r="J93" s="2">
        <v>1</v>
      </c>
      <c r="K93" s="4">
        <v>0.64187742574166518</v>
      </c>
      <c r="L93" s="4">
        <v>0.22724564607170331</v>
      </c>
      <c r="M93" s="4">
        <v>0.22724564607170331</v>
      </c>
      <c r="N93" s="10">
        <v>0.22700000000000001</v>
      </c>
      <c r="O93" s="4">
        <v>1.1466874089532428</v>
      </c>
      <c r="P93" s="4">
        <v>1.1499999999999999</v>
      </c>
      <c r="Q93" s="3" t="s">
        <v>1597</v>
      </c>
      <c r="R93" s="3" t="s">
        <v>1602</v>
      </c>
      <c r="S93" s="3" t="s">
        <v>1603</v>
      </c>
      <c r="T93" s="3"/>
    </row>
    <row r="94" spans="1:20">
      <c r="A94" s="3" t="s">
        <v>1604</v>
      </c>
      <c r="B94" s="3" t="s">
        <v>1601</v>
      </c>
      <c r="C94" s="3" t="s">
        <v>1616</v>
      </c>
      <c r="D94" s="3" t="s">
        <v>354</v>
      </c>
      <c r="E94" s="3" t="s">
        <v>355</v>
      </c>
      <c r="F94" s="2">
        <v>1</v>
      </c>
      <c r="G94" s="4">
        <v>1.0038372985418265</v>
      </c>
      <c r="H94" s="2">
        <v>25</v>
      </c>
      <c r="I94" s="2">
        <v>30</v>
      </c>
      <c r="J94" s="2">
        <v>16</v>
      </c>
      <c r="K94" s="4">
        <v>1</v>
      </c>
      <c r="L94" s="4">
        <v>0.19138263392329102</v>
      </c>
      <c r="M94" s="4">
        <v>0.19138263392329102</v>
      </c>
      <c r="N94" s="10">
        <v>0.191</v>
      </c>
      <c r="O94" s="4">
        <v>0.96070913134912272</v>
      </c>
      <c r="P94" s="4">
        <v>0.96</v>
      </c>
      <c r="Q94" s="3" t="s">
        <v>1597</v>
      </c>
      <c r="R94" s="3" t="s">
        <v>1602</v>
      </c>
      <c r="S94" s="3" t="s">
        <v>1603</v>
      </c>
      <c r="T94" s="3"/>
    </row>
    <row r="95" spans="1:20">
      <c r="A95" s="3" t="s">
        <v>1600</v>
      </c>
      <c r="B95" s="3" t="s">
        <v>1606</v>
      </c>
      <c r="C95" s="3" t="s">
        <v>1596</v>
      </c>
      <c r="D95" s="3" t="s">
        <v>354</v>
      </c>
      <c r="E95" s="3" t="s">
        <v>355</v>
      </c>
      <c r="F95" s="2">
        <v>1</v>
      </c>
      <c r="G95" s="4">
        <v>1.0038372985418265</v>
      </c>
      <c r="H95" s="2">
        <v>25</v>
      </c>
      <c r="I95" s="2">
        <v>5</v>
      </c>
      <c r="J95" s="2">
        <v>1</v>
      </c>
      <c r="K95" s="11">
        <v>0.97740345688453056</v>
      </c>
      <c r="L95" s="11">
        <v>0.18447592968387083</v>
      </c>
      <c r="M95" s="4">
        <v>0.18447592968387083</v>
      </c>
      <c r="N95" s="10">
        <v>0.184</v>
      </c>
      <c r="O95" s="4">
        <v>0.92521231373209423</v>
      </c>
      <c r="P95" s="4">
        <v>0.92</v>
      </c>
      <c r="Q95" s="3" t="s">
        <v>1597</v>
      </c>
      <c r="R95" s="3" t="s">
        <v>1607</v>
      </c>
      <c r="S95" s="3" t="s">
        <v>1608</v>
      </c>
      <c r="T95" s="3"/>
    </row>
    <row r="96" spans="1:20">
      <c r="A96" s="3" t="s">
        <v>1600</v>
      </c>
      <c r="B96" s="3" t="s">
        <v>1606</v>
      </c>
      <c r="C96" s="3" t="s">
        <v>1596</v>
      </c>
      <c r="D96" s="3" t="s">
        <v>354</v>
      </c>
      <c r="E96" s="3" t="s">
        <v>355</v>
      </c>
      <c r="F96" s="2">
        <v>1</v>
      </c>
      <c r="G96" s="4">
        <v>1.0038372985418265</v>
      </c>
      <c r="H96" s="2">
        <v>25</v>
      </c>
      <c r="I96" s="2">
        <v>5</v>
      </c>
      <c r="J96" s="2">
        <v>16</v>
      </c>
      <c r="K96" s="11">
        <v>1</v>
      </c>
      <c r="L96" s="11">
        <v>0.18207082051405599</v>
      </c>
      <c r="M96" s="4">
        <v>0.18207082051405599</v>
      </c>
      <c r="N96" s="10">
        <v>0.182</v>
      </c>
      <c r="O96" s="4">
        <v>0.91287347802157248</v>
      </c>
      <c r="P96" s="4">
        <v>0.91</v>
      </c>
      <c r="Q96" s="3" t="s">
        <v>1597</v>
      </c>
      <c r="R96" s="3" t="s">
        <v>1607</v>
      </c>
      <c r="S96" s="3" t="s">
        <v>1608</v>
      </c>
      <c r="T96" s="3"/>
    </row>
    <row r="97" spans="1:20">
      <c r="A97" s="3" t="s">
        <v>1594</v>
      </c>
      <c r="B97" s="3" t="s">
        <v>1612</v>
      </c>
      <c r="C97" s="3" t="s">
        <v>1596</v>
      </c>
      <c r="D97" s="3" t="s">
        <v>354</v>
      </c>
      <c r="E97" s="3" t="s">
        <v>355</v>
      </c>
      <c r="F97" s="2">
        <v>1</v>
      </c>
      <c r="G97" s="4">
        <v>1.0038372985418265</v>
      </c>
      <c r="H97" s="2">
        <v>50</v>
      </c>
      <c r="I97" s="2">
        <v>5</v>
      </c>
      <c r="J97" s="2">
        <v>16</v>
      </c>
      <c r="K97" s="4">
        <v>0.31049263126557275</v>
      </c>
      <c r="L97" s="14">
        <v>0.17266998324055266</v>
      </c>
      <c r="M97" s="4">
        <v>0.17266998324055266</v>
      </c>
      <c r="N97" s="10">
        <v>0.17299999999999999</v>
      </c>
      <c r="O97" s="4">
        <v>0.93726003180022954</v>
      </c>
      <c r="P97" s="4">
        <v>0.94</v>
      </c>
      <c r="Q97" s="3" t="s">
        <v>1597</v>
      </c>
      <c r="R97" s="3" t="s">
        <v>1613</v>
      </c>
      <c r="S97" s="3" t="s">
        <v>1614</v>
      </c>
      <c r="T97" s="3"/>
    </row>
    <row r="98" spans="1:20">
      <c r="A98" s="3" t="s">
        <v>1600</v>
      </c>
      <c r="B98" s="3" t="s">
        <v>1601</v>
      </c>
      <c r="C98" s="3" t="s">
        <v>1616</v>
      </c>
      <c r="D98" s="3" t="s">
        <v>354</v>
      </c>
      <c r="E98" s="3" t="s">
        <v>355</v>
      </c>
      <c r="F98" s="2">
        <v>1</v>
      </c>
      <c r="G98" s="4">
        <v>1.0038372985418265</v>
      </c>
      <c r="H98" s="2">
        <v>25</v>
      </c>
      <c r="I98" s="2">
        <v>5</v>
      </c>
      <c r="J98" s="2">
        <v>1</v>
      </c>
      <c r="K98" s="4">
        <v>1</v>
      </c>
      <c r="L98" s="4">
        <v>0.16974088672104543</v>
      </c>
      <c r="M98" s="4">
        <v>0.16974088672104543</v>
      </c>
      <c r="N98" s="10">
        <v>0.17</v>
      </c>
      <c r="O98" s="4">
        <v>0.84978955210216012</v>
      </c>
      <c r="P98" s="4">
        <v>0.85</v>
      </c>
      <c r="Q98" s="3" t="s">
        <v>1597</v>
      </c>
      <c r="R98" s="3" t="s">
        <v>1602</v>
      </c>
      <c r="S98" s="3" t="s">
        <v>1603</v>
      </c>
      <c r="T98" s="3"/>
    </row>
    <row r="99" spans="1:20">
      <c r="A99" s="3" t="s">
        <v>1600</v>
      </c>
      <c r="B99" s="3" t="s">
        <v>1609</v>
      </c>
      <c r="C99" s="3" t="s">
        <v>1616</v>
      </c>
      <c r="D99" s="3" t="s">
        <v>354</v>
      </c>
      <c r="E99" s="3" t="s">
        <v>355</v>
      </c>
      <c r="F99" s="2">
        <v>1</v>
      </c>
      <c r="G99" s="4">
        <v>1.0038372985418265</v>
      </c>
      <c r="H99" s="2">
        <v>25</v>
      </c>
      <c r="I99" s="2">
        <v>5</v>
      </c>
      <c r="J99" s="2">
        <v>1</v>
      </c>
      <c r="K99" s="4">
        <v>1</v>
      </c>
      <c r="L99" s="4">
        <v>0.15941861047982797</v>
      </c>
      <c r="M99" s="4">
        <v>0.15941861047982797</v>
      </c>
      <c r="N99" s="10">
        <v>0.159</v>
      </c>
      <c r="O99" s="4">
        <v>0.79718702645179262</v>
      </c>
      <c r="P99" s="4">
        <v>0.8</v>
      </c>
      <c r="Q99" s="3" t="s">
        <v>1597</v>
      </c>
      <c r="R99" s="3" t="s">
        <v>1610</v>
      </c>
      <c r="S99" s="3" t="s">
        <v>1611</v>
      </c>
      <c r="T99" s="3"/>
    </row>
    <row r="100" spans="1:20">
      <c r="A100" s="3" t="s">
        <v>1600</v>
      </c>
      <c r="B100" s="3" t="s">
        <v>1601</v>
      </c>
      <c r="C100" s="3" t="s">
        <v>1616</v>
      </c>
      <c r="D100" s="3" t="s">
        <v>354</v>
      </c>
      <c r="E100" s="3" t="s">
        <v>355</v>
      </c>
      <c r="F100" s="2">
        <v>1</v>
      </c>
      <c r="G100" s="4">
        <v>1.0038372985418265</v>
      </c>
      <c r="H100" s="2">
        <v>25</v>
      </c>
      <c r="I100" s="2">
        <v>5</v>
      </c>
      <c r="J100" s="2">
        <v>16</v>
      </c>
      <c r="K100" s="4">
        <v>1</v>
      </c>
      <c r="L100" s="4">
        <v>0.15550139321510995</v>
      </c>
      <c r="M100" s="4">
        <v>0.15550139321510995</v>
      </c>
      <c r="N100" s="10">
        <v>0.156</v>
      </c>
      <c r="O100" s="4">
        <v>0.77727191621218106</v>
      </c>
      <c r="P100" s="4">
        <v>0.78</v>
      </c>
      <c r="Q100" s="3" t="s">
        <v>1597</v>
      </c>
      <c r="R100" s="3" t="s">
        <v>1602</v>
      </c>
      <c r="S100" s="3" t="s">
        <v>1603</v>
      </c>
      <c r="T100" s="3"/>
    </row>
    <row r="101" spans="1:20">
      <c r="A101" s="3" t="s">
        <v>1600</v>
      </c>
      <c r="B101" s="3" t="s">
        <v>1601</v>
      </c>
      <c r="C101" s="3" t="s">
        <v>1596</v>
      </c>
      <c r="D101" s="3" t="s">
        <v>354</v>
      </c>
      <c r="E101" s="3" t="s">
        <v>355</v>
      </c>
      <c r="F101" s="2">
        <v>1</v>
      </c>
      <c r="G101" s="4">
        <v>1.0038372985418265</v>
      </c>
      <c r="H101" s="2">
        <v>25</v>
      </c>
      <c r="I101" s="2">
        <v>5</v>
      </c>
      <c r="J101" s="2">
        <v>16</v>
      </c>
      <c r="K101" s="4">
        <v>1</v>
      </c>
      <c r="L101" s="4">
        <v>0.14298705938064746</v>
      </c>
      <c r="M101" s="4">
        <v>0.14298705938064746</v>
      </c>
      <c r="N101" s="10">
        <v>0.14299999999999999</v>
      </c>
      <c r="O101" s="4">
        <v>0.71381225156421613</v>
      </c>
      <c r="P101" s="4">
        <v>0.71</v>
      </c>
      <c r="Q101" s="3" t="s">
        <v>1597</v>
      </c>
      <c r="R101" s="3" t="s">
        <v>1602</v>
      </c>
      <c r="S101" s="3" t="s">
        <v>1603</v>
      </c>
      <c r="T101" s="3"/>
    </row>
    <row r="102" spans="1:20">
      <c r="A102" s="3" t="s">
        <v>1600</v>
      </c>
      <c r="B102" s="3" t="s">
        <v>1606</v>
      </c>
      <c r="C102" s="3" t="s">
        <v>1616</v>
      </c>
      <c r="D102" s="3" t="s">
        <v>354</v>
      </c>
      <c r="E102" s="3" t="s">
        <v>355</v>
      </c>
      <c r="F102" s="2">
        <v>1</v>
      </c>
      <c r="G102" s="4">
        <v>1.0038372985418265</v>
      </c>
      <c r="H102" s="2">
        <v>25</v>
      </c>
      <c r="I102" s="2">
        <v>5</v>
      </c>
      <c r="J102" s="2">
        <v>1</v>
      </c>
      <c r="K102" s="4">
        <v>1</v>
      </c>
      <c r="L102" s="4">
        <v>0.13528145639641578</v>
      </c>
      <c r="M102" s="4">
        <v>0.13528145639641578</v>
      </c>
      <c r="N102" s="10">
        <v>0.13500000000000001</v>
      </c>
      <c r="O102" s="4">
        <v>0.67485398704390742</v>
      </c>
      <c r="P102" s="4">
        <v>0.67</v>
      </c>
      <c r="Q102" s="3" t="s">
        <v>1597</v>
      </c>
      <c r="R102" s="3" t="s">
        <v>1607</v>
      </c>
      <c r="S102" s="3" t="s">
        <v>1608</v>
      </c>
      <c r="T102" s="3"/>
    </row>
    <row r="103" spans="1:20">
      <c r="A103" s="3" t="s">
        <v>1600</v>
      </c>
      <c r="B103" s="3" t="s">
        <v>1606</v>
      </c>
      <c r="C103" s="3" t="s">
        <v>1616</v>
      </c>
      <c r="D103" s="3" t="s">
        <v>354</v>
      </c>
      <c r="E103" s="3" t="s">
        <v>355</v>
      </c>
      <c r="F103" s="2">
        <v>1</v>
      </c>
      <c r="G103" s="4">
        <v>1.0038372985418265</v>
      </c>
      <c r="H103" s="2">
        <v>25</v>
      </c>
      <c r="I103" s="2">
        <v>5</v>
      </c>
      <c r="J103" s="2">
        <v>16</v>
      </c>
      <c r="K103" s="11">
        <v>1</v>
      </c>
      <c r="L103" s="11">
        <v>0.12976604873310127</v>
      </c>
      <c r="M103" s="4">
        <v>0.12976604873310127</v>
      </c>
      <c r="N103" s="10">
        <v>0.13</v>
      </c>
      <c r="O103" s="4">
        <v>0.64702003628843063</v>
      </c>
      <c r="P103" s="4">
        <v>0.65</v>
      </c>
      <c r="Q103" s="3" t="s">
        <v>1597</v>
      </c>
      <c r="R103" s="3" t="s">
        <v>1607</v>
      </c>
      <c r="S103" s="3" t="s">
        <v>1608</v>
      </c>
      <c r="T103" s="3"/>
    </row>
    <row r="104" spans="1:20">
      <c r="A104" s="3" t="s">
        <v>1600</v>
      </c>
      <c r="B104" s="3" t="s">
        <v>1609</v>
      </c>
      <c r="C104" s="3" t="s">
        <v>1616</v>
      </c>
      <c r="D104" s="3" t="s">
        <v>354</v>
      </c>
      <c r="E104" s="3" t="s">
        <v>355</v>
      </c>
      <c r="F104" s="2">
        <v>1</v>
      </c>
      <c r="G104" s="4">
        <v>1.0038372985418265</v>
      </c>
      <c r="H104" s="2">
        <v>25</v>
      </c>
      <c r="I104" s="2">
        <v>5</v>
      </c>
      <c r="J104" s="2">
        <v>16</v>
      </c>
      <c r="K104" s="11">
        <v>1</v>
      </c>
      <c r="L104" s="11">
        <v>0.12077783652876364</v>
      </c>
      <c r="M104" s="4">
        <v>0.12077783652876364</v>
      </c>
      <c r="N104" s="10">
        <v>0.121</v>
      </c>
      <c r="O104" s="4">
        <v>0.60174624371525376</v>
      </c>
      <c r="P104" s="4">
        <v>0.6</v>
      </c>
      <c r="Q104" s="3" t="s">
        <v>1597</v>
      </c>
      <c r="R104" s="3" t="s">
        <v>1610</v>
      </c>
      <c r="S104" s="3" t="s">
        <v>1611</v>
      </c>
      <c r="T104" s="3"/>
    </row>
    <row r="105" spans="1:20">
      <c r="A105" s="3" t="s">
        <v>1600</v>
      </c>
      <c r="B105" s="3" t="s">
        <v>1609</v>
      </c>
      <c r="C105" s="3" t="s">
        <v>1596</v>
      </c>
      <c r="D105" s="3" t="s">
        <v>354</v>
      </c>
      <c r="E105" s="3" t="s">
        <v>355</v>
      </c>
      <c r="F105" s="2">
        <v>1</v>
      </c>
      <c r="G105" s="4">
        <v>1.0038372985418265</v>
      </c>
      <c r="H105" s="2">
        <v>25</v>
      </c>
      <c r="I105" s="2">
        <v>5</v>
      </c>
      <c r="J105" s="2">
        <v>16</v>
      </c>
      <c r="K105" s="4">
        <v>0.5745924369357176</v>
      </c>
      <c r="L105" s="4">
        <v>0.10867582062714319</v>
      </c>
      <c r="M105" s="4">
        <v>0.10867582062714319</v>
      </c>
      <c r="N105" s="10">
        <v>0.109</v>
      </c>
      <c r="O105" s="4">
        <v>0.54094414535779867</v>
      </c>
      <c r="P105" s="4">
        <v>0.54</v>
      </c>
      <c r="Q105" s="3" t="s">
        <v>1597</v>
      </c>
      <c r="R105" s="3" t="s">
        <v>1610</v>
      </c>
      <c r="S105" s="3" t="s">
        <v>1611</v>
      </c>
      <c r="T105" s="3"/>
    </row>
    <row r="106" spans="1:20">
      <c r="A106" s="3" t="s">
        <v>1600</v>
      </c>
      <c r="B106" s="3" t="s">
        <v>1609</v>
      </c>
      <c r="C106" s="3" t="s">
        <v>1596</v>
      </c>
      <c r="D106" s="3" t="s">
        <v>354</v>
      </c>
      <c r="E106" s="3" t="s">
        <v>355</v>
      </c>
      <c r="F106" s="2">
        <v>1</v>
      </c>
      <c r="G106" s="4">
        <v>1.0038372985418265</v>
      </c>
      <c r="H106" s="2">
        <v>25</v>
      </c>
      <c r="I106" s="2">
        <v>5</v>
      </c>
      <c r="J106" s="2">
        <v>1</v>
      </c>
      <c r="K106" s="11">
        <v>0.29533151078935438</v>
      </c>
      <c r="L106" s="11">
        <v>7.9382577845462612E-2</v>
      </c>
      <c r="M106" s="4">
        <v>7.9382577845462612E-2</v>
      </c>
      <c r="N106" s="10">
        <v>7.9000000000000001E-2</v>
      </c>
      <c r="O106" s="4">
        <v>0.39440362215324271</v>
      </c>
      <c r="P106" s="4">
        <v>0.39</v>
      </c>
      <c r="Q106" s="3" t="s">
        <v>1597</v>
      </c>
      <c r="R106" s="3" t="s">
        <v>1610</v>
      </c>
      <c r="S106" s="3" t="s">
        <v>1611</v>
      </c>
      <c r="T106" s="3"/>
    </row>
    <row r="107" spans="1:20">
      <c r="A107" s="3" t="s">
        <v>1594</v>
      </c>
      <c r="B107" s="3" t="s">
        <v>1595</v>
      </c>
      <c r="C107" s="3" t="s">
        <v>1596</v>
      </c>
      <c r="D107" s="3" t="s">
        <v>354</v>
      </c>
      <c r="E107" s="3" t="s">
        <v>355</v>
      </c>
      <c r="F107" s="2">
        <v>1</v>
      </c>
      <c r="G107" s="4">
        <v>1.0038372985418265</v>
      </c>
      <c r="H107" s="2">
        <v>50</v>
      </c>
      <c r="I107" s="2">
        <v>5</v>
      </c>
      <c r="J107" s="2">
        <v>16</v>
      </c>
      <c r="K107" s="4">
        <v>0.44030225291420694</v>
      </c>
      <c r="L107" s="14">
        <v>-0.21372753899498581</v>
      </c>
      <c r="M107" s="4">
        <v>0.21372753899498581</v>
      </c>
      <c r="N107" s="10">
        <v>0.214</v>
      </c>
      <c r="O107" s="4">
        <v>1.1664825376530101</v>
      </c>
      <c r="P107" s="4">
        <v>-1.17</v>
      </c>
      <c r="Q107" s="3" t="s">
        <v>1617</v>
      </c>
      <c r="R107" s="3" t="s">
        <v>1625</v>
      </c>
      <c r="S107" s="3" t="s">
        <v>1626</v>
      </c>
      <c r="T107" s="3"/>
    </row>
    <row r="108" spans="1:20">
      <c r="A108" s="12" t="s">
        <v>1605</v>
      </c>
      <c r="B108" s="3" t="s">
        <v>1601</v>
      </c>
      <c r="C108" s="3" t="s">
        <v>1596</v>
      </c>
      <c r="D108" s="3" t="s">
        <v>426</v>
      </c>
      <c r="E108" s="3" t="s">
        <v>427</v>
      </c>
      <c r="F108" s="2">
        <v>1</v>
      </c>
      <c r="G108" s="4">
        <v>1.004146409315511</v>
      </c>
      <c r="H108" s="2">
        <v>25</v>
      </c>
      <c r="I108" s="2">
        <v>5</v>
      </c>
      <c r="J108" s="2">
        <v>16</v>
      </c>
      <c r="K108" s="11">
        <v>1</v>
      </c>
      <c r="L108" s="11">
        <v>0.86397498833265984</v>
      </c>
      <c r="M108" s="4">
        <v>0.86397498833265984</v>
      </c>
      <c r="N108" s="10">
        <v>0.86399999999999999</v>
      </c>
      <c r="O108" s="4">
        <v>6.4890160070557927</v>
      </c>
      <c r="P108" s="4">
        <v>6.49</v>
      </c>
      <c r="Q108" s="3" t="s">
        <v>1597</v>
      </c>
      <c r="R108" s="3" t="s">
        <v>1602</v>
      </c>
      <c r="S108" s="3" t="s">
        <v>1603</v>
      </c>
      <c r="T108" s="3"/>
    </row>
    <row r="109" spans="1:20">
      <c r="A109" s="3" t="s">
        <v>1600</v>
      </c>
      <c r="B109" s="3" t="s">
        <v>1601</v>
      </c>
      <c r="C109" s="3" t="s">
        <v>1596</v>
      </c>
      <c r="D109" s="3" t="s">
        <v>426</v>
      </c>
      <c r="E109" s="3" t="s">
        <v>427</v>
      </c>
      <c r="F109" s="2">
        <v>1</v>
      </c>
      <c r="G109" s="4">
        <v>1.004146409315511</v>
      </c>
      <c r="H109" s="2">
        <v>25</v>
      </c>
      <c r="I109" s="2">
        <v>5</v>
      </c>
      <c r="J109" s="2">
        <v>16</v>
      </c>
      <c r="K109" s="4">
        <v>1</v>
      </c>
      <c r="L109" s="4">
        <v>0.85912693706221421</v>
      </c>
      <c r="M109" s="4">
        <v>0.85912693706221421</v>
      </c>
      <c r="N109" s="10">
        <v>0.85899999999999999</v>
      </c>
      <c r="O109" s="4">
        <v>6.3957454419116742</v>
      </c>
      <c r="P109" s="4">
        <v>6.39</v>
      </c>
      <c r="Q109" s="3" t="s">
        <v>1597</v>
      </c>
      <c r="R109" s="3" t="s">
        <v>1602</v>
      </c>
      <c r="S109" s="3" t="s">
        <v>1603</v>
      </c>
      <c r="T109" s="3"/>
    </row>
    <row r="110" spans="1:20">
      <c r="A110" s="3" t="s">
        <v>1600</v>
      </c>
      <c r="B110" s="3" t="s">
        <v>1601</v>
      </c>
      <c r="C110" s="3" t="s">
        <v>1616</v>
      </c>
      <c r="D110" s="3" t="s">
        <v>426</v>
      </c>
      <c r="E110" s="3" t="s">
        <v>427</v>
      </c>
      <c r="F110" s="2">
        <v>1</v>
      </c>
      <c r="G110" s="4">
        <v>1.004146409315511</v>
      </c>
      <c r="H110" s="2">
        <v>25</v>
      </c>
      <c r="I110" s="2">
        <v>5</v>
      </c>
      <c r="J110" s="2">
        <v>1</v>
      </c>
      <c r="K110" s="4">
        <v>1</v>
      </c>
      <c r="L110" s="4">
        <v>0.8536861835780265</v>
      </c>
      <c r="M110" s="4">
        <v>0.8536861835780265</v>
      </c>
      <c r="N110" s="10">
        <v>0.85399999999999998</v>
      </c>
      <c r="O110" s="4">
        <v>6.2945407702904363</v>
      </c>
      <c r="P110" s="4">
        <v>6.3</v>
      </c>
      <c r="Q110" s="3" t="s">
        <v>1597</v>
      </c>
      <c r="R110" s="3" t="s">
        <v>1602</v>
      </c>
      <c r="S110" s="3" t="s">
        <v>1603</v>
      </c>
      <c r="T110" s="3"/>
    </row>
    <row r="111" spans="1:20">
      <c r="A111" s="3" t="s">
        <v>1600</v>
      </c>
      <c r="B111" s="3" t="s">
        <v>1601</v>
      </c>
      <c r="C111" s="3" t="s">
        <v>1596</v>
      </c>
      <c r="D111" s="3" t="s">
        <v>426</v>
      </c>
      <c r="E111" s="3" t="s">
        <v>427</v>
      </c>
      <c r="F111" s="2">
        <v>1</v>
      </c>
      <c r="G111" s="4">
        <v>1.004146409315511</v>
      </c>
      <c r="H111" s="2">
        <v>25</v>
      </c>
      <c r="I111" s="2">
        <v>5</v>
      </c>
      <c r="J111" s="2">
        <v>1</v>
      </c>
      <c r="K111" s="4">
        <v>1</v>
      </c>
      <c r="L111" s="4">
        <v>0.8506515634189793</v>
      </c>
      <c r="M111" s="4">
        <v>0.8506515634189793</v>
      </c>
      <c r="N111" s="10">
        <v>0.85099999999999998</v>
      </c>
      <c r="O111" s="4">
        <v>6.2395901057693228</v>
      </c>
      <c r="P111" s="4">
        <v>6.25</v>
      </c>
      <c r="Q111" s="3" t="s">
        <v>1597</v>
      </c>
      <c r="R111" s="3" t="s">
        <v>1602</v>
      </c>
      <c r="S111" s="3" t="s">
        <v>1603</v>
      </c>
      <c r="T111" s="3"/>
    </row>
    <row r="112" spans="1:20">
      <c r="A112" s="3" t="s">
        <v>1600</v>
      </c>
      <c r="B112" s="3" t="s">
        <v>1606</v>
      </c>
      <c r="C112" s="3" t="s">
        <v>1596</v>
      </c>
      <c r="D112" s="3" t="s">
        <v>426</v>
      </c>
      <c r="E112" s="3" t="s">
        <v>427</v>
      </c>
      <c r="F112" s="2">
        <v>1</v>
      </c>
      <c r="G112" s="4">
        <v>1.004146409315511</v>
      </c>
      <c r="H112" s="2">
        <v>25</v>
      </c>
      <c r="I112" s="2">
        <v>5</v>
      </c>
      <c r="J112" s="2">
        <v>1</v>
      </c>
      <c r="K112" s="11">
        <v>1</v>
      </c>
      <c r="L112" s="11">
        <v>0.84797689779931618</v>
      </c>
      <c r="M112" s="4">
        <v>0.84797689779931618</v>
      </c>
      <c r="N112" s="10">
        <v>0.84799999999999998</v>
      </c>
      <c r="O112" s="4">
        <v>6.1920020414209587</v>
      </c>
      <c r="P112" s="4">
        <v>6.19</v>
      </c>
      <c r="Q112" s="3" t="s">
        <v>1597</v>
      </c>
      <c r="R112" s="3" t="s">
        <v>1607</v>
      </c>
      <c r="S112" s="3" t="s">
        <v>1608</v>
      </c>
      <c r="T112" s="3"/>
    </row>
    <row r="113" spans="1:20">
      <c r="A113" s="3" t="s">
        <v>1600</v>
      </c>
      <c r="B113" s="3" t="s">
        <v>1601</v>
      </c>
      <c r="C113" s="3" t="s">
        <v>1616</v>
      </c>
      <c r="D113" s="3" t="s">
        <v>426</v>
      </c>
      <c r="E113" s="3" t="s">
        <v>427</v>
      </c>
      <c r="F113" s="2">
        <v>1</v>
      </c>
      <c r="G113" s="4">
        <v>1.004146409315511</v>
      </c>
      <c r="H113" s="2">
        <v>25</v>
      </c>
      <c r="I113" s="2">
        <v>5</v>
      </c>
      <c r="J113" s="2">
        <v>16</v>
      </c>
      <c r="K113" s="4">
        <v>1</v>
      </c>
      <c r="L113" s="4">
        <v>0.83455787625729316</v>
      </c>
      <c r="M113" s="4">
        <v>0.83455787625729316</v>
      </c>
      <c r="N113" s="10">
        <v>0.83499999999999996</v>
      </c>
      <c r="O113" s="4">
        <v>5.9642421561887602</v>
      </c>
      <c r="P113" s="4">
        <v>5.97</v>
      </c>
      <c r="Q113" s="3" t="s">
        <v>1597</v>
      </c>
      <c r="R113" s="3" t="s">
        <v>1602</v>
      </c>
      <c r="S113" s="3" t="s">
        <v>1603</v>
      </c>
      <c r="T113" s="3"/>
    </row>
    <row r="114" spans="1:20">
      <c r="A114" s="3" t="s">
        <v>1600</v>
      </c>
      <c r="B114" s="3" t="s">
        <v>1606</v>
      </c>
      <c r="C114" s="3" t="s">
        <v>1596</v>
      </c>
      <c r="D114" s="3" t="s">
        <v>426</v>
      </c>
      <c r="E114" s="3" t="s">
        <v>427</v>
      </c>
      <c r="F114" s="2">
        <v>1</v>
      </c>
      <c r="G114" s="4">
        <v>1.004146409315511</v>
      </c>
      <c r="H114" s="2">
        <v>25</v>
      </c>
      <c r="I114" s="2">
        <v>5</v>
      </c>
      <c r="J114" s="2">
        <v>16</v>
      </c>
      <c r="K114" s="11">
        <v>1</v>
      </c>
      <c r="L114" s="11">
        <v>0.83187313463627988</v>
      </c>
      <c r="M114" s="4">
        <v>0.83187313463627988</v>
      </c>
      <c r="N114" s="10">
        <v>0.83199999999999996</v>
      </c>
      <c r="O114" s="4">
        <v>5.9207067250197465</v>
      </c>
      <c r="P114" s="4">
        <v>5.92</v>
      </c>
      <c r="Q114" s="3" t="s">
        <v>1597</v>
      </c>
      <c r="R114" s="3" t="s">
        <v>1607</v>
      </c>
      <c r="S114" s="3" t="s">
        <v>1608</v>
      </c>
      <c r="T114" s="3"/>
    </row>
    <row r="115" spans="1:20">
      <c r="A115" s="3" t="s">
        <v>1604</v>
      </c>
      <c r="B115" s="3" t="s">
        <v>1601</v>
      </c>
      <c r="C115" s="3" t="s">
        <v>1616</v>
      </c>
      <c r="D115" s="3" t="s">
        <v>426</v>
      </c>
      <c r="E115" s="3" t="s">
        <v>427</v>
      </c>
      <c r="F115" s="2">
        <v>1</v>
      </c>
      <c r="G115" s="4">
        <v>1.004146409315511</v>
      </c>
      <c r="H115" s="2">
        <v>25</v>
      </c>
      <c r="I115" s="2">
        <v>30</v>
      </c>
      <c r="J115" s="2">
        <v>16</v>
      </c>
      <c r="K115" s="4">
        <v>1</v>
      </c>
      <c r="L115" s="4">
        <v>0.8192429968855256</v>
      </c>
      <c r="M115" s="4">
        <v>0.8192429968855256</v>
      </c>
      <c r="N115" s="10">
        <v>0.81899999999999995</v>
      </c>
      <c r="O115" s="4">
        <v>5.7239924319753088</v>
      </c>
      <c r="P115" s="4">
        <v>5.72</v>
      </c>
      <c r="Q115" s="3" t="s">
        <v>1597</v>
      </c>
      <c r="R115" s="3" t="s">
        <v>1602</v>
      </c>
      <c r="S115" s="3" t="s">
        <v>1603</v>
      </c>
      <c r="T115" s="3"/>
    </row>
    <row r="116" spans="1:20">
      <c r="A116" s="3" t="s">
        <v>1600</v>
      </c>
      <c r="B116" s="3" t="s">
        <v>1606</v>
      </c>
      <c r="C116" s="3" t="s">
        <v>1616</v>
      </c>
      <c r="D116" s="3" t="s">
        <v>426</v>
      </c>
      <c r="E116" s="3" t="s">
        <v>427</v>
      </c>
      <c r="F116" s="2">
        <v>1</v>
      </c>
      <c r="G116" s="4">
        <v>1.004146409315511</v>
      </c>
      <c r="H116" s="2">
        <v>25</v>
      </c>
      <c r="I116" s="2">
        <v>5</v>
      </c>
      <c r="J116" s="2">
        <v>16</v>
      </c>
      <c r="K116" s="11">
        <v>1</v>
      </c>
      <c r="L116" s="11">
        <v>0.81499701038212757</v>
      </c>
      <c r="M116" s="4">
        <v>0.81499701038212757</v>
      </c>
      <c r="N116" s="10">
        <v>0.81499999999999995</v>
      </c>
      <c r="O116" s="4">
        <v>5.6606423054571176</v>
      </c>
      <c r="P116" s="4">
        <v>5.66</v>
      </c>
      <c r="Q116" s="3" t="s">
        <v>1597</v>
      </c>
      <c r="R116" s="3" t="s">
        <v>1607</v>
      </c>
      <c r="S116" s="3" t="s">
        <v>1608</v>
      </c>
      <c r="T116" s="3"/>
    </row>
    <row r="117" spans="1:20">
      <c r="A117" s="3" t="s">
        <v>1600</v>
      </c>
      <c r="B117" s="3" t="s">
        <v>1609</v>
      </c>
      <c r="C117" s="3" t="s">
        <v>1596</v>
      </c>
      <c r="D117" s="3" t="s">
        <v>426</v>
      </c>
      <c r="E117" s="3" t="s">
        <v>427</v>
      </c>
      <c r="F117" s="2">
        <v>1</v>
      </c>
      <c r="G117" s="4">
        <v>1.004146409315511</v>
      </c>
      <c r="H117" s="2">
        <v>25</v>
      </c>
      <c r="I117" s="2">
        <v>5</v>
      </c>
      <c r="J117" s="2">
        <v>16</v>
      </c>
      <c r="K117" s="4">
        <v>1</v>
      </c>
      <c r="L117" s="4">
        <v>0.80618484645698552</v>
      </c>
      <c r="M117" s="4">
        <v>0.80618484645698552</v>
      </c>
      <c r="N117" s="10">
        <v>0.80600000000000005</v>
      </c>
      <c r="O117" s="4">
        <v>5.5332235334003634</v>
      </c>
      <c r="P117" s="4">
        <v>5.53</v>
      </c>
      <c r="Q117" s="3" t="s">
        <v>1597</v>
      </c>
      <c r="R117" s="3" t="s">
        <v>1610</v>
      </c>
      <c r="S117" s="3" t="s">
        <v>1611</v>
      </c>
      <c r="T117" s="3"/>
    </row>
    <row r="118" spans="1:20">
      <c r="A118" s="3" t="s">
        <v>1600</v>
      </c>
      <c r="B118" s="3" t="s">
        <v>1609</v>
      </c>
      <c r="C118" s="3" t="s">
        <v>1596</v>
      </c>
      <c r="D118" s="3" t="s">
        <v>426</v>
      </c>
      <c r="E118" s="3" t="s">
        <v>427</v>
      </c>
      <c r="F118" s="2">
        <v>1</v>
      </c>
      <c r="G118" s="4">
        <v>1.004146409315511</v>
      </c>
      <c r="H118" s="2">
        <v>25</v>
      </c>
      <c r="I118" s="2">
        <v>5</v>
      </c>
      <c r="J118" s="2">
        <v>1</v>
      </c>
      <c r="K118" s="11">
        <v>1</v>
      </c>
      <c r="L118" s="11">
        <v>0.79384402467683957</v>
      </c>
      <c r="M118" s="4">
        <v>0.79384402467683957</v>
      </c>
      <c r="N118" s="10">
        <v>0.79400000000000004</v>
      </c>
      <c r="O118" s="4">
        <v>5.3632056331152222</v>
      </c>
      <c r="P118" s="4">
        <v>5.37</v>
      </c>
      <c r="Q118" s="3" t="s">
        <v>1597</v>
      </c>
      <c r="R118" s="3" t="s">
        <v>1610</v>
      </c>
      <c r="S118" s="3" t="s">
        <v>1611</v>
      </c>
      <c r="T118" s="3"/>
    </row>
    <row r="119" spans="1:20">
      <c r="A119" s="3" t="s">
        <v>1604</v>
      </c>
      <c r="B119" s="3" t="s">
        <v>1601</v>
      </c>
      <c r="C119" s="3" t="s">
        <v>1596</v>
      </c>
      <c r="D119" s="3" t="s">
        <v>426</v>
      </c>
      <c r="E119" s="3" t="s">
        <v>427</v>
      </c>
      <c r="F119" s="2">
        <v>1</v>
      </c>
      <c r="G119" s="4">
        <v>1.004146409315511</v>
      </c>
      <c r="H119" s="2">
        <v>25</v>
      </c>
      <c r="I119" s="2">
        <v>30</v>
      </c>
      <c r="J119" s="2">
        <v>16</v>
      </c>
      <c r="K119" s="4">
        <v>1</v>
      </c>
      <c r="L119" s="4">
        <v>0.77428125547771032</v>
      </c>
      <c r="M119" s="4">
        <v>0.77428125547771032</v>
      </c>
      <c r="N119" s="10">
        <v>0.77400000000000002</v>
      </c>
      <c r="O119" s="4">
        <v>5.1112877071387226</v>
      </c>
      <c r="P119" s="4">
        <v>5.1100000000000003</v>
      </c>
      <c r="Q119" s="3" t="s">
        <v>1597</v>
      </c>
      <c r="R119" s="3" t="s">
        <v>1602</v>
      </c>
      <c r="S119" s="3" t="s">
        <v>1603</v>
      </c>
      <c r="T119" s="3"/>
    </row>
    <row r="120" spans="1:20">
      <c r="A120" s="3" t="s">
        <v>1600</v>
      </c>
      <c r="B120" s="3" t="s">
        <v>1606</v>
      </c>
      <c r="C120" s="3" t="s">
        <v>1616</v>
      </c>
      <c r="D120" s="3" t="s">
        <v>426</v>
      </c>
      <c r="E120" s="3" t="s">
        <v>427</v>
      </c>
      <c r="F120" s="2">
        <v>1</v>
      </c>
      <c r="G120" s="4">
        <v>1.004146409315511</v>
      </c>
      <c r="H120" s="2">
        <v>25</v>
      </c>
      <c r="I120" s="2">
        <v>5</v>
      </c>
      <c r="J120" s="2">
        <v>1</v>
      </c>
      <c r="K120" s="4">
        <v>1</v>
      </c>
      <c r="L120" s="4">
        <v>0.75747020785964236</v>
      </c>
      <c r="M120" s="4">
        <v>0.75747020785964236</v>
      </c>
      <c r="N120" s="10">
        <v>0.75700000000000001</v>
      </c>
      <c r="O120" s="4">
        <v>4.909611629704238</v>
      </c>
      <c r="P120" s="4">
        <v>4.9000000000000004</v>
      </c>
      <c r="Q120" s="3" t="s">
        <v>1597</v>
      </c>
      <c r="R120" s="3" t="s">
        <v>1607</v>
      </c>
      <c r="S120" s="3" t="s">
        <v>1608</v>
      </c>
      <c r="T120" s="3"/>
    </row>
    <row r="121" spans="1:20">
      <c r="A121" s="3" t="s">
        <v>1600</v>
      </c>
      <c r="B121" s="3" t="s">
        <v>1609</v>
      </c>
      <c r="C121" s="3" t="s">
        <v>1616</v>
      </c>
      <c r="D121" s="3" t="s">
        <v>426</v>
      </c>
      <c r="E121" s="3" t="s">
        <v>427</v>
      </c>
      <c r="F121" s="2">
        <v>1</v>
      </c>
      <c r="G121" s="4">
        <v>1.004146409315511</v>
      </c>
      <c r="H121" s="2">
        <v>25</v>
      </c>
      <c r="I121" s="2">
        <v>5</v>
      </c>
      <c r="J121" s="2">
        <v>1</v>
      </c>
      <c r="K121" s="4">
        <v>0.96977967107461249</v>
      </c>
      <c r="L121" s="4">
        <v>0.693927685607587</v>
      </c>
      <c r="M121" s="4">
        <v>0.693927685607587</v>
      </c>
      <c r="N121" s="10">
        <v>0.69399999999999995</v>
      </c>
      <c r="O121" s="4">
        <v>4.2414743637990915</v>
      </c>
      <c r="P121" s="4">
        <v>4.24</v>
      </c>
      <c r="Q121" s="3" t="s">
        <v>1597</v>
      </c>
      <c r="R121" s="3" t="s">
        <v>1610</v>
      </c>
      <c r="S121" s="3" t="s">
        <v>1611</v>
      </c>
      <c r="T121" s="3"/>
    </row>
    <row r="122" spans="1:20">
      <c r="A122" s="3" t="s">
        <v>1600</v>
      </c>
      <c r="B122" s="3" t="s">
        <v>1609</v>
      </c>
      <c r="C122" s="3" t="s">
        <v>1616</v>
      </c>
      <c r="D122" s="3" t="s">
        <v>426</v>
      </c>
      <c r="E122" s="3" t="s">
        <v>427</v>
      </c>
      <c r="F122" s="2">
        <v>1</v>
      </c>
      <c r="G122" s="4">
        <v>1.004146409315511</v>
      </c>
      <c r="H122" s="2">
        <v>25</v>
      </c>
      <c r="I122" s="2">
        <v>5</v>
      </c>
      <c r="J122" s="2">
        <v>16</v>
      </c>
      <c r="K122" s="11">
        <v>1</v>
      </c>
      <c r="L122" s="11">
        <v>0.68650347584230176</v>
      </c>
      <c r="M122" s="4">
        <v>0.68650347584230176</v>
      </c>
      <c r="N122" s="10">
        <v>0.68700000000000006</v>
      </c>
      <c r="O122" s="4">
        <v>4.1711724438909092</v>
      </c>
      <c r="P122" s="4">
        <v>4.18</v>
      </c>
      <c r="Q122" s="3" t="s">
        <v>1597</v>
      </c>
      <c r="R122" s="3" t="s">
        <v>1610</v>
      </c>
      <c r="S122" s="3" t="s">
        <v>1611</v>
      </c>
      <c r="T122" s="3"/>
    </row>
    <row r="123" spans="1:20">
      <c r="A123" s="3" t="s">
        <v>1594</v>
      </c>
      <c r="B123" s="3" t="s">
        <v>1612</v>
      </c>
      <c r="C123" s="3" t="s">
        <v>1596</v>
      </c>
      <c r="D123" s="3" t="s">
        <v>426</v>
      </c>
      <c r="E123" s="3" t="s">
        <v>427</v>
      </c>
      <c r="F123" s="2">
        <v>1</v>
      </c>
      <c r="G123" s="4">
        <v>1.004146409315511</v>
      </c>
      <c r="H123" s="2">
        <v>50</v>
      </c>
      <c r="I123" s="2">
        <v>5</v>
      </c>
      <c r="J123" s="2">
        <v>16</v>
      </c>
      <c r="K123" s="4">
        <v>0.83771077925762827</v>
      </c>
      <c r="L123" s="14">
        <v>0.13968532243656698</v>
      </c>
      <c r="M123" s="4">
        <v>0.13968532243656698</v>
      </c>
      <c r="N123" s="10">
        <v>0.14000000000000001</v>
      </c>
      <c r="O123" s="4">
        <v>0.75556162252231651</v>
      </c>
      <c r="P123" s="4">
        <v>0.76</v>
      </c>
      <c r="Q123" s="3" t="s">
        <v>1597</v>
      </c>
      <c r="R123" s="3" t="s">
        <v>1613</v>
      </c>
      <c r="S123" s="3" t="s">
        <v>1614</v>
      </c>
      <c r="T123" s="3"/>
    </row>
    <row r="124" spans="1:20">
      <c r="A124" s="3" t="s">
        <v>1594</v>
      </c>
      <c r="B124" s="3" t="s">
        <v>1595</v>
      </c>
      <c r="C124" s="3" t="s">
        <v>1596</v>
      </c>
      <c r="D124" s="3" t="s">
        <v>426</v>
      </c>
      <c r="E124" s="3" t="s">
        <v>427</v>
      </c>
      <c r="F124" s="2">
        <v>1</v>
      </c>
      <c r="G124" s="4">
        <v>1.004146409315511</v>
      </c>
      <c r="H124" s="2">
        <v>50</v>
      </c>
      <c r="I124" s="2">
        <v>5</v>
      </c>
      <c r="J124" s="2">
        <v>16</v>
      </c>
      <c r="K124" s="4">
        <v>0.61640922231376249</v>
      </c>
      <c r="L124" s="14">
        <v>-0.17782071087365542</v>
      </c>
      <c r="M124" s="4">
        <v>0.17782071087365542</v>
      </c>
      <c r="N124" s="10">
        <v>0.17799999999999999</v>
      </c>
      <c r="O124" s="4">
        <v>0.96581532871084386</v>
      </c>
      <c r="P124" s="4">
        <v>-0.97</v>
      </c>
      <c r="Q124" s="3" t="s">
        <v>1617</v>
      </c>
      <c r="R124" s="3" t="s">
        <v>1625</v>
      </c>
      <c r="S124" s="3" t="s">
        <v>1626</v>
      </c>
      <c r="T124" s="3"/>
    </row>
    <row r="125" spans="1:20">
      <c r="A125" s="3" t="s">
        <v>1600</v>
      </c>
      <c r="B125" s="3" t="s">
        <v>1606</v>
      </c>
      <c r="C125" s="3" t="s">
        <v>1596</v>
      </c>
      <c r="D125" s="3" t="s">
        <v>1118</v>
      </c>
      <c r="E125" s="3" t="s">
        <v>1119</v>
      </c>
      <c r="F125" s="2">
        <v>1</v>
      </c>
      <c r="G125" s="4">
        <v>1.004231925866456</v>
      </c>
      <c r="H125" s="2">
        <v>25</v>
      </c>
      <c r="I125" s="2">
        <v>5</v>
      </c>
      <c r="J125" s="2">
        <v>1</v>
      </c>
      <c r="K125" s="4">
        <v>0.99590317467400713</v>
      </c>
      <c r="L125" s="4">
        <v>0.98755617006567575</v>
      </c>
      <c r="M125" s="4">
        <v>0.98755617006567575</v>
      </c>
      <c r="N125" s="10">
        <v>0.98799999999999999</v>
      </c>
      <c r="O125" s="4">
        <v>12.576886866129255</v>
      </c>
      <c r="P125" s="4">
        <v>12.67</v>
      </c>
      <c r="Q125" s="3" t="s">
        <v>1597</v>
      </c>
      <c r="R125" s="3" t="s">
        <v>1607</v>
      </c>
      <c r="S125" s="3" t="s">
        <v>1608</v>
      </c>
      <c r="T125" s="3"/>
    </row>
    <row r="126" spans="1:20">
      <c r="A126" s="3" t="s">
        <v>1600</v>
      </c>
      <c r="B126" s="3" t="s">
        <v>1606</v>
      </c>
      <c r="C126" s="3" t="s">
        <v>1596</v>
      </c>
      <c r="D126" s="3" t="s">
        <v>1118</v>
      </c>
      <c r="E126" s="3" t="s">
        <v>1119</v>
      </c>
      <c r="F126" s="2">
        <v>1</v>
      </c>
      <c r="G126" s="4">
        <v>1.004231925866456</v>
      </c>
      <c r="H126" s="2">
        <v>25</v>
      </c>
      <c r="I126" s="2">
        <v>5</v>
      </c>
      <c r="J126" s="2">
        <v>16</v>
      </c>
      <c r="K126" s="4">
        <v>1</v>
      </c>
      <c r="L126" s="4">
        <v>0.98514565720172553</v>
      </c>
      <c r="M126" s="4">
        <v>0.98514565720172553</v>
      </c>
      <c r="N126" s="10">
        <v>0.98499999999999999</v>
      </c>
      <c r="O126" s="4">
        <v>12.134934206700661</v>
      </c>
      <c r="P126" s="4">
        <v>12.11</v>
      </c>
      <c r="Q126" s="3" t="s">
        <v>1597</v>
      </c>
      <c r="R126" s="3" t="s">
        <v>1607</v>
      </c>
      <c r="S126" s="3" t="s">
        <v>1608</v>
      </c>
      <c r="T126" s="3"/>
    </row>
    <row r="127" spans="1:20">
      <c r="A127" s="3" t="s">
        <v>1600</v>
      </c>
      <c r="B127" s="3" t="s">
        <v>1606</v>
      </c>
      <c r="C127" s="3" t="s">
        <v>1616</v>
      </c>
      <c r="D127" s="3" t="s">
        <v>1118</v>
      </c>
      <c r="E127" s="3" t="s">
        <v>1119</v>
      </c>
      <c r="F127" s="2">
        <v>1</v>
      </c>
      <c r="G127" s="4">
        <v>1.004231925866456</v>
      </c>
      <c r="H127" s="2">
        <v>25</v>
      </c>
      <c r="I127" s="2">
        <v>5</v>
      </c>
      <c r="J127" s="2">
        <v>16</v>
      </c>
      <c r="K127" s="4">
        <v>1</v>
      </c>
      <c r="L127" s="4">
        <v>0.95849836521287701</v>
      </c>
      <c r="M127" s="4">
        <v>0.95849836521287701</v>
      </c>
      <c r="N127" s="10">
        <v>0.95799999999999996</v>
      </c>
      <c r="O127" s="4">
        <v>9.5544403782554301</v>
      </c>
      <c r="P127" s="4">
        <v>9.52</v>
      </c>
      <c r="Q127" s="3" t="s">
        <v>1597</v>
      </c>
      <c r="R127" s="3" t="s">
        <v>1607</v>
      </c>
      <c r="S127" s="3" t="s">
        <v>1608</v>
      </c>
      <c r="T127" s="3"/>
    </row>
    <row r="128" spans="1:20">
      <c r="A128" s="3" t="s">
        <v>1600</v>
      </c>
      <c r="B128" s="3" t="s">
        <v>1606</v>
      </c>
      <c r="C128" s="3" t="s">
        <v>1616</v>
      </c>
      <c r="D128" s="3" t="s">
        <v>1118</v>
      </c>
      <c r="E128" s="3" t="s">
        <v>1119</v>
      </c>
      <c r="F128" s="2">
        <v>1</v>
      </c>
      <c r="G128" s="4">
        <v>1.004231925866456</v>
      </c>
      <c r="H128" s="2">
        <v>25</v>
      </c>
      <c r="I128" s="2">
        <v>5</v>
      </c>
      <c r="J128" s="2">
        <v>1</v>
      </c>
      <c r="K128" s="4">
        <v>1</v>
      </c>
      <c r="L128" s="4">
        <v>0.94812478411838497</v>
      </c>
      <c r="M128" s="4">
        <v>0.94812478411838497</v>
      </c>
      <c r="N128" s="10">
        <v>0.94799999999999995</v>
      </c>
      <c r="O128" s="4">
        <v>8.9881966990930895</v>
      </c>
      <c r="P128" s="4">
        <v>8.98</v>
      </c>
      <c r="Q128" s="3" t="s">
        <v>1597</v>
      </c>
      <c r="R128" s="3" t="s">
        <v>1607</v>
      </c>
      <c r="S128" s="3" t="s">
        <v>1608</v>
      </c>
      <c r="T128" s="3"/>
    </row>
    <row r="129" spans="1:20">
      <c r="A129" s="3" t="s">
        <v>1600</v>
      </c>
      <c r="B129" s="3" t="s">
        <v>1601</v>
      </c>
      <c r="C129" s="3" t="s">
        <v>1616</v>
      </c>
      <c r="D129" s="3" t="s">
        <v>1118</v>
      </c>
      <c r="E129" s="3" t="s">
        <v>1119</v>
      </c>
      <c r="F129" s="2">
        <v>1</v>
      </c>
      <c r="G129" s="4">
        <v>1.004231925866456</v>
      </c>
      <c r="H129" s="2">
        <v>25</v>
      </c>
      <c r="I129" s="2">
        <v>5</v>
      </c>
      <c r="J129" s="2">
        <v>16</v>
      </c>
      <c r="K129" s="4">
        <v>1</v>
      </c>
      <c r="L129" s="4">
        <v>0.86420683334063697</v>
      </c>
      <c r="M129" s="4">
        <v>0.86420683334063697</v>
      </c>
      <c r="N129" s="10">
        <v>0.86399999999999999</v>
      </c>
      <c r="O129" s="4">
        <v>6.4935531577470531</v>
      </c>
      <c r="P129" s="4">
        <v>6.49</v>
      </c>
      <c r="Q129" s="3" t="s">
        <v>1597</v>
      </c>
      <c r="R129" s="3" t="s">
        <v>1602</v>
      </c>
      <c r="S129" s="3" t="s">
        <v>1603</v>
      </c>
      <c r="T129" s="3"/>
    </row>
    <row r="130" spans="1:20">
      <c r="A130" s="3" t="s">
        <v>1600</v>
      </c>
      <c r="B130" s="3" t="s">
        <v>1601</v>
      </c>
      <c r="C130" s="3" t="s">
        <v>1616</v>
      </c>
      <c r="D130" s="3" t="s">
        <v>1118</v>
      </c>
      <c r="E130" s="3" t="s">
        <v>1119</v>
      </c>
      <c r="F130" s="2">
        <v>1</v>
      </c>
      <c r="G130" s="4">
        <v>1.004231925866456</v>
      </c>
      <c r="H130" s="2">
        <v>25</v>
      </c>
      <c r="I130" s="2">
        <v>5</v>
      </c>
      <c r="J130" s="2">
        <v>1</v>
      </c>
      <c r="K130" s="4">
        <v>1</v>
      </c>
      <c r="L130" s="4">
        <v>0.86098553654524734</v>
      </c>
      <c r="M130" s="4">
        <v>0.86098553654524734</v>
      </c>
      <c r="N130" s="10">
        <v>0.86099999999999999</v>
      </c>
      <c r="O130" s="4">
        <v>6.4311462418331278</v>
      </c>
      <c r="P130" s="4">
        <v>6.43</v>
      </c>
      <c r="Q130" s="3" t="s">
        <v>1597</v>
      </c>
      <c r="R130" s="3" t="s">
        <v>1602</v>
      </c>
      <c r="S130" s="3" t="s">
        <v>1603</v>
      </c>
      <c r="T130" s="3"/>
    </row>
    <row r="131" spans="1:20">
      <c r="A131" s="3" t="s">
        <v>1604</v>
      </c>
      <c r="B131" s="3" t="s">
        <v>1601</v>
      </c>
      <c r="C131" s="3" t="s">
        <v>1616</v>
      </c>
      <c r="D131" s="3" t="s">
        <v>1118</v>
      </c>
      <c r="E131" s="3" t="s">
        <v>1119</v>
      </c>
      <c r="F131" s="2">
        <v>1</v>
      </c>
      <c r="G131" s="4">
        <v>1.004231925866456</v>
      </c>
      <c r="H131" s="2">
        <v>25</v>
      </c>
      <c r="I131" s="2">
        <v>30</v>
      </c>
      <c r="J131" s="2">
        <v>16</v>
      </c>
      <c r="K131" s="4">
        <v>1</v>
      </c>
      <c r="L131" s="4">
        <v>0.83912636040743405</v>
      </c>
      <c r="M131" s="4">
        <v>0.83912636040743405</v>
      </c>
      <c r="N131" s="10">
        <v>0.83899999999999997</v>
      </c>
      <c r="O131" s="4">
        <v>6.0398243098675106</v>
      </c>
      <c r="P131" s="4">
        <v>6.04</v>
      </c>
      <c r="Q131" s="3" t="s">
        <v>1597</v>
      </c>
      <c r="R131" s="3" t="s">
        <v>1602</v>
      </c>
      <c r="S131" s="3" t="s">
        <v>1603</v>
      </c>
      <c r="T131" s="3"/>
    </row>
    <row r="132" spans="1:20">
      <c r="A132" s="3" t="s">
        <v>1605</v>
      </c>
      <c r="B132" s="3" t="s">
        <v>1601</v>
      </c>
      <c r="C132" s="3" t="s">
        <v>1596</v>
      </c>
      <c r="D132" s="3" t="s">
        <v>1118</v>
      </c>
      <c r="E132" s="3" t="s">
        <v>1119</v>
      </c>
      <c r="F132" s="2">
        <v>1</v>
      </c>
      <c r="G132" s="4">
        <v>1.004231925866456</v>
      </c>
      <c r="H132" s="2">
        <v>25</v>
      </c>
      <c r="I132" s="2">
        <v>5</v>
      </c>
      <c r="J132" s="2">
        <v>16</v>
      </c>
      <c r="K132" s="4">
        <v>1</v>
      </c>
      <c r="L132" s="4">
        <v>0.76308301877123841</v>
      </c>
      <c r="M132" s="4">
        <v>0.76308301877123841</v>
      </c>
      <c r="N132" s="10">
        <v>0.76300000000000001</v>
      </c>
      <c r="O132" s="4">
        <v>4.9755605275964134</v>
      </c>
      <c r="P132" s="4">
        <v>4.97</v>
      </c>
      <c r="Q132" s="3" t="s">
        <v>1597</v>
      </c>
      <c r="R132" s="3" t="s">
        <v>1602</v>
      </c>
      <c r="S132" s="3" t="s">
        <v>1603</v>
      </c>
      <c r="T132" s="3"/>
    </row>
    <row r="133" spans="1:20">
      <c r="A133" s="3" t="s">
        <v>1604</v>
      </c>
      <c r="B133" s="3" t="s">
        <v>1601</v>
      </c>
      <c r="C133" s="3" t="s">
        <v>1596</v>
      </c>
      <c r="D133" s="3" t="s">
        <v>1118</v>
      </c>
      <c r="E133" s="3" t="s">
        <v>1119</v>
      </c>
      <c r="F133" s="2">
        <v>1</v>
      </c>
      <c r="G133" s="4">
        <v>1.004231925866456</v>
      </c>
      <c r="H133" s="2">
        <v>25</v>
      </c>
      <c r="I133" s="2">
        <v>30</v>
      </c>
      <c r="J133" s="2">
        <v>16</v>
      </c>
      <c r="K133" s="4">
        <v>1</v>
      </c>
      <c r="L133" s="4">
        <v>0.76161816276556837</v>
      </c>
      <c r="M133" s="4">
        <v>0.76161816276556837</v>
      </c>
      <c r="N133" s="10">
        <v>0.76200000000000001</v>
      </c>
      <c r="O133" s="4">
        <v>4.9582197706883964</v>
      </c>
      <c r="P133" s="4">
        <v>4.96</v>
      </c>
      <c r="Q133" s="3" t="s">
        <v>1597</v>
      </c>
      <c r="R133" s="3" t="s">
        <v>1602</v>
      </c>
      <c r="S133" s="3" t="s">
        <v>1603</v>
      </c>
      <c r="T133" s="3"/>
    </row>
    <row r="134" spans="1:20">
      <c r="A134" s="3" t="s">
        <v>1600</v>
      </c>
      <c r="B134" s="3" t="s">
        <v>1601</v>
      </c>
      <c r="C134" s="3" t="s">
        <v>1596</v>
      </c>
      <c r="D134" s="3" t="s">
        <v>1118</v>
      </c>
      <c r="E134" s="3" t="s">
        <v>1119</v>
      </c>
      <c r="F134" s="2">
        <v>1</v>
      </c>
      <c r="G134" s="4">
        <v>1.004231925866456</v>
      </c>
      <c r="H134" s="2">
        <v>25</v>
      </c>
      <c r="I134" s="2">
        <v>5</v>
      </c>
      <c r="J134" s="2">
        <v>16</v>
      </c>
      <c r="K134" s="4">
        <v>1</v>
      </c>
      <c r="L134" s="4">
        <v>0.75541488072745833</v>
      </c>
      <c r="M134" s="4">
        <v>0.75541488072745833</v>
      </c>
      <c r="N134" s="10">
        <v>0.755</v>
      </c>
      <c r="O134" s="4">
        <v>4.8857912436781001</v>
      </c>
      <c r="P134" s="4">
        <v>4.88</v>
      </c>
      <c r="Q134" s="3" t="s">
        <v>1597</v>
      </c>
      <c r="R134" s="3" t="s">
        <v>1602</v>
      </c>
      <c r="S134" s="3" t="s">
        <v>1603</v>
      </c>
      <c r="T134" s="3"/>
    </row>
    <row r="135" spans="1:20">
      <c r="A135" s="3" t="s">
        <v>1600</v>
      </c>
      <c r="B135" s="3" t="s">
        <v>1601</v>
      </c>
      <c r="C135" s="3" t="s">
        <v>1596</v>
      </c>
      <c r="D135" s="3" t="s">
        <v>1118</v>
      </c>
      <c r="E135" s="3" t="s">
        <v>1119</v>
      </c>
      <c r="F135" s="2">
        <v>1</v>
      </c>
      <c r="G135" s="4">
        <v>1.004231925866456</v>
      </c>
      <c r="H135" s="2">
        <v>25</v>
      </c>
      <c r="I135" s="2">
        <v>5</v>
      </c>
      <c r="J135" s="2">
        <v>1</v>
      </c>
      <c r="K135" s="4">
        <v>0.45932748259636791</v>
      </c>
      <c r="L135" s="4">
        <v>0.75483430871430901</v>
      </c>
      <c r="M135" s="4">
        <v>0.75483430871430901</v>
      </c>
      <c r="N135" s="10">
        <v>0.755</v>
      </c>
      <c r="O135" s="4">
        <v>4.8790938766040748</v>
      </c>
      <c r="P135" s="4">
        <v>4.88</v>
      </c>
      <c r="Q135" s="3" t="s">
        <v>1597</v>
      </c>
      <c r="R135" s="3" t="s">
        <v>1602</v>
      </c>
      <c r="S135" s="3" t="s">
        <v>1603</v>
      </c>
      <c r="T135" s="3"/>
    </row>
    <row r="136" spans="1:20">
      <c r="A136" s="3" t="s">
        <v>1600</v>
      </c>
      <c r="B136" s="3" t="s">
        <v>1609</v>
      </c>
      <c r="C136" s="3" t="s">
        <v>1596</v>
      </c>
      <c r="D136" s="3" t="s">
        <v>1118</v>
      </c>
      <c r="E136" s="3" t="s">
        <v>1119</v>
      </c>
      <c r="F136" s="2">
        <v>1</v>
      </c>
      <c r="G136" s="4">
        <v>1.004231925866456</v>
      </c>
      <c r="H136" s="2">
        <v>25</v>
      </c>
      <c r="I136" s="2">
        <v>5</v>
      </c>
      <c r="J136" s="2">
        <v>1</v>
      </c>
      <c r="K136" s="4">
        <v>0.99261282742885781</v>
      </c>
      <c r="L136" s="4">
        <v>0.66694620985340114</v>
      </c>
      <c r="M136" s="4">
        <v>0.66694620985340114</v>
      </c>
      <c r="N136" s="10">
        <v>0.66700000000000004</v>
      </c>
      <c r="O136" s="4">
        <v>3.9922409251020228</v>
      </c>
      <c r="P136" s="4">
        <v>3.99</v>
      </c>
      <c r="Q136" s="3" t="s">
        <v>1597</v>
      </c>
      <c r="R136" s="3" t="s">
        <v>1610</v>
      </c>
      <c r="S136" s="3" t="s">
        <v>1611</v>
      </c>
      <c r="T136" s="3"/>
    </row>
    <row r="137" spans="1:20">
      <c r="A137" s="3" t="s">
        <v>1600</v>
      </c>
      <c r="B137" s="3" t="s">
        <v>1609</v>
      </c>
      <c r="C137" s="3" t="s">
        <v>1616</v>
      </c>
      <c r="D137" s="3" t="s">
        <v>1118</v>
      </c>
      <c r="E137" s="3" t="s">
        <v>1119</v>
      </c>
      <c r="F137" s="2">
        <v>1</v>
      </c>
      <c r="G137" s="4">
        <v>1.004231925866456</v>
      </c>
      <c r="H137" s="2">
        <v>25</v>
      </c>
      <c r="I137" s="2">
        <v>5</v>
      </c>
      <c r="J137" s="2">
        <v>16</v>
      </c>
      <c r="K137" s="4">
        <v>1</v>
      </c>
      <c r="L137" s="4">
        <v>0.66057430193143774</v>
      </c>
      <c r="M137" s="4">
        <v>0.66057430193143774</v>
      </c>
      <c r="N137" s="10">
        <v>0.66100000000000003</v>
      </c>
      <c r="O137" s="4">
        <v>3.9357678355536705</v>
      </c>
      <c r="P137" s="4">
        <v>3.94</v>
      </c>
      <c r="Q137" s="3" t="s">
        <v>1597</v>
      </c>
      <c r="R137" s="3" t="s">
        <v>1610</v>
      </c>
      <c r="S137" s="3" t="s">
        <v>1611</v>
      </c>
      <c r="T137" s="3"/>
    </row>
    <row r="138" spans="1:20">
      <c r="A138" s="3" t="s">
        <v>1600</v>
      </c>
      <c r="B138" s="3" t="s">
        <v>1609</v>
      </c>
      <c r="C138" s="3" t="s">
        <v>1616</v>
      </c>
      <c r="D138" s="3" t="s">
        <v>1118</v>
      </c>
      <c r="E138" s="3" t="s">
        <v>1119</v>
      </c>
      <c r="F138" s="2">
        <v>1</v>
      </c>
      <c r="G138" s="4">
        <v>1.004231925866456</v>
      </c>
      <c r="H138" s="2">
        <v>25</v>
      </c>
      <c r="I138" s="2">
        <v>5</v>
      </c>
      <c r="J138" s="2">
        <v>1</v>
      </c>
      <c r="K138" s="4">
        <v>0.24848732125773609</v>
      </c>
      <c r="L138" s="4">
        <v>0.64378956430103373</v>
      </c>
      <c r="M138" s="4">
        <v>0.64378956430103373</v>
      </c>
      <c r="N138" s="10">
        <v>0.64400000000000002</v>
      </c>
      <c r="O138" s="4">
        <v>3.7909320797695041</v>
      </c>
      <c r="P138" s="4">
        <v>3.79</v>
      </c>
      <c r="Q138" s="3" t="s">
        <v>1597</v>
      </c>
      <c r="R138" s="3" t="s">
        <v>1610</v>
      </c>
      <c r="S138" s="3" t="s">
        <v>1611</v>
      </c>
      <c r="T138" s="3"/>
    </row>
    <row r="139" spans="1:20">
      <c r="A139" s="3" t="s">
        <v>1600</v>
      </c>
      <c r="B139" s="3" t="s">
        <v>1609</v>
      </c>
      <c r="C139" s="3" t="s">
        <v>1596</v>
      </c>
      <c r="D139" s="3" t="s">
        <v>1118</v>
      </c>
      <c r="E139" s="3" t="s">
        <v>1119</v>
      </c>
      <c r="F139" s="2">
        <v>1</v>
      </c>
      <c r="G139" s="4">
        <v>1.004231925866456</v>
      </c>
      <c r="H139" s="2">
        <v>25</v>
      </c>
      <c r="I139" s="2">
        <v>5</v>
      </c>
      <c r="J139" s="2">
        <v>16</v>
      </c>
      <c r="K139" s="4">
        <v>1</v>
      </c>
      <c r="L139" s="4">
        <v>0.6360005414644232</v>
      </c>
      <c r="M139" s="4">
        <v>0.6360005414644232</v>
      </c>
      <c r="N139" s="10">
        <v>0.63600000000000001</v>
      </c>
      <c r="O139" s="4">
        <v>3.7255358348200964</v>
      </c>
      <c r="P139" s="4">
        <v>3.73</v>
      </c>
      <c r="Q139" s="3" t="s">
        <v>1597</v>
      </c>
      <c r="R139" s="3" t="s">
        <v>1610</v>
      </c>
      <c r="S139" s="3" t="s">
        <v>1611</v>
      </c>
      <c r="T139" s="3"/>
    </row>
    <row r="140" spans="1:20">
      <c r="A140" s="3" t="s">
        <v>1594</v>
      </c>
      <c r="B140" s="3" t="s">
        <v>1595</v>
      </c>
      <c r="C140" s="3" t="s">
        <v>1596</v>
      </c>
      <c r="D140" s="3" t="s">
        <v>1118</v>
      </c>
      <c r="E140" s="3" t="s">
        <v>1119</v>
      </c>
      <c r="F140" s="2">
        <v>1</v>
      </c>
      <c r="G140" s="4">
        <v>1.004231925866456</v>
      </c>
      <c r="H140" s="2">
        <v>25</v>
      </c>
      <c r="I140" s="2">
        <v>5</v>
      </c>
      <c r="J140" s="2">
        <v>16</v>
      </c>
      <c r="K140" s="4">
        <v>0.94010753687047488</v>
      </c>
      <c r="L140" s="4">
        <v>0.29581950709412258</v>
      </c>
      <c r="M140" s="4">
        <v>0.29581950709412258</v>
      </c>
      <c r="N140" s="10">
        <v>0.29599999999999999</v>
      </c>
      <c r="O140" s="4">
        <v>1.5118331811580101</v>
      </c>
      <c r="P140" s="4">
        <v>1.51</v>
      </c>
      <c r="Q140" s="3" t="s">
        <v>1597</v>
      </c>
      <c r="R140" s="3" t="s">
        <v>1598</v>
      </c>
      <c r="S140" s="3" t="s">
        <v>1599</v>
      </c>
      <c r="T140" s="3"/>
    </row>
    <row r="141" spans="1:20">
      <c r="A141" s="3" t="s">
        <v>1594</v>
      </c>
      <c r="B141" s="3" t="s">
        <v>1595</v>
      </c>
      <c r="C141" s="3" t="s">
        <v>1596</v>
      </c>
      <c r="D141" s="3" t="s">
        <v>1118</v>
      </c>
      <c r="E141" s="3" t="s">
        <v>1119</v>
      </c>
      <c r="F141" s="2">
        <v>1</v>
      </c>
      <c r="G141" s="4">
        <v>1.004231925866456</v>
      </c>
      <c r="H141" s="2">
        <v>50</v>
      </c>
      <c r="I141" s="2">
        <v>5</v>
      </c>
      <c r="J141" s="2">
        <v>16</v>
      </c>
      <c r="K141" s="4">
        <v>1</v>
      </c>
      <c r="L141" s="4">
        <v>0.2943585154646981</v>
      </c>
      <c r="M141" s="4">
        <v>0.2943585154646981</v>
      </c>
      <c r="N141" s="10">
        <v>0.29399999999999998</v>
      </c>
      <c r="O141" s="4">
        <v>1.6300012959903323</v>
      </c>
      <c r="P141" s="4">
        <v>1.63</v>
      </c>
      <c r="Q141" s="3" t="s">
        <v>1597</v>
      </c>
      <c r="R141" s="3" t="s">
        <v>1598</v>
      </c>
      <c r="S141" s="3" t="s">
        <v>1599</v>
      </c>
      <c r="T141" s="3"/>
    </row>
    <row r="142" spans="1:20">
      <c r="A142" s="3" t="s">
        <v>1594</v>
      </c>
      <c r="B142" s="3" t="s">
        <v>1612</v>
      </c>
      <c r="C142" s="3" t="s">
        <v>1596</v>
      </c>
      <c r="D142" s="3" t="s">
        <v>1118</v>
      </c>
      <c r="E142" s="3" t="s">
        <v>1119</v>
      </c>
      <c r="F142" s="2">
        <v>1</v>
      </c>
      <c r="G142" s="4">
        <v>1.004231925866456</v>
      </c>
      <c r="H142" s="2">
        <v>50</v>
      </c>
      <c r="I142" s="2">
        <v>5</v>
      </c>
      <c r="J142" s="2">
        <v>16</v>
      </c>
      <c r="K142" s="4">
        <v>0.99120522952022749</v>
      </c>
      <c r="L142" s="4">
        <v>0.2244593586875466</v>
      </c>
      <c r="M142" s="4">
        <v>0.2244593586875466</v>
      </c>
      <c r="N142" s="10">
        <v>0.224</v>
      </c>
      <c r="O142" s="4">
        <v>1.2270602486333906</v>
      </c>
      <c r="P142" s="4">
        <v>1.22</v>
      </c>
      <c r="Q142" s="3" t="s">
        <v>1597</v>
      </c>
      <c r="R142" s="3" t="s">
        <v>1613</v>
      </c>
      <c r="S142" s="3" t="s">
        <v>1614</v>
      </c>
      <c r="T142" s="3"/>
    </row>
    <row r="143" spans="1:20">
      <c r="A143" s="3" t="s">
        <v>1600</v>
      </c>
      <c r="B143" s="3" t="s">
        <v>1601</v>
      </c>
      <c r="C143" s="3" t="s">
        <v>1596</v>
      </c>
      <c r="D143" s="3" t="s">
        <v>1259</v>
      </c>
      <c r="E143" s="3" t="s">
        <v>1260</v>
      </c>
      <c r="F143" s="2">
        <v>1</v>
      </c>
      <c r="G143" s="4">
        <v>1.0043510413262935</v>
      </c>
      <c r="H143" s="2">
        <v>25</v>
      </c>
      <c r="I143" s="2">
        <v>5</v>
      </c>
      <c r="J143" s="2">
        <v>16</v>
      </c>
      <c r="K143" s="4">
        <v>4.8652470284467064E-2</v>
      </c>
      <c r="L143" s="4">
        <v>1</v>
      </c>
      <c r="M143" s="4">
        <v>1</v>
      </c>
      <c r="N143" s="10">
        <v>0.995</v>
      </c>
      <c r="O143" s="4">
        <v>14.85</v>
      </c>
      <c r="P143" s="4">
        <v>14.85</v>
      </c>
      <c r="Q143" s="3" t="s">
        <v>1597</v>
      </c>
      <c r="R143" s="3" t="s">
        <v>1602</v>
      </c>
      <c r="S143" s="3" t="s">
        <v>1603</v>
      </c>
      <c r="T143" s="3"/>
    </row>
    <row r="144" spans="1:20">
      <c r="A144" s="3" t="s">
        <v>1605</v>
      </c>
      <c r="B144" s="3" t="s">
        <v>1601</v>
      </c>
      <c r="C144" s="3" t="s">
        <v>1596</v>
      </c>
      <c r="D144" s="3" t="s">
        <v>1259</v>
      </c>
      <c r="E144" s="3" t="s">
        <v>1260</v>
      </c>
      <c r="F144" s="2">
        <v>1</v>
      </c>
      <c r="G144" s="4">
        <v>1.0043510413262935</v>
      </c>
      <c r="H144" s="2">
        <v>25</v>
      </c>
      <c r="I144" s="2">
        <v>5</v>
      </c>
      <c r="J144" s="2">
        <v>16</v>
      </c>
      <c r="K144" s="4">
        <v>4.4302868482444691E-2</v>
      </c>
      <c r="L144" s="4">
        <v>1</v>
      </c>
      <c r="M144" s="4">
        <v>1</v>
      </c>
      <c r="N144" s="10">
        <v>0.995</v>
      </c>
      <c r="O144" s="4">
        <v>14.85</v>
      </c>
      <c r="P144" s="4">
        <v>14.85</v>
      </c>
      <c r="Q144" s="3" t="s">
        <v>1597</v>
      </c>
      <c r="R144" s="3" t="s">
        <v>1602</v>
      </c>
      <c r="S144" s="3" t="s">
        <v>1603</v>
      </c>
      <c r="T144" s="3"/>
    </row>
    <row r="145" spans="1:20">
      <c r="A145" s="3" t="s">
        <v>1600</v>
      </c>
      <c r="B145" s="3" t="s">
        <v>1601</v>
      </c>
      <c r="C145" s="3" t="s">
        <v>1616</v>
      </c>
      <c r="D145" s="3" t="s">
        <v>1259</v>
      </c>
      <c r="E145" s="3" t="s">
        <v>1260</v>
      </c>
      <c r="F145" s="2">
        <v>1</v>
      </c>
      <c r="G145" s="4">
        <v>1.0043510413262935</v>
      </c>
      <c r="H145" s="2">
        <v>25</v>
      </c>
      <c r="I145" s="2">
        <v>5</v>
      </c>
      <c r="J145" s="2">
        <v>16</v>
      </c>
      <c r="K145" s="4">
        <v>4.8480129596317534E-2</v>
      </c>
      <c r="L145" s="4">
        <v>1</v>
      </c>
      <c r="M145" s="4">
        <v>1</v>
      </c>
      <c r="N145" s="10">
        <v>0.995</v>
      </c>
      <c r="O145" s="4">
        <v>14.85</v>
      </c>
      <c r="P145" s="4">
        <v>14.85</v>
      </c>
      <c r="Q145" s="3" t="s">
        <v>1597</v>
      </c>
      <c r="R145" s="3" t="s">
        <v>1602</v>
      </c>
      <c r="S145" s="3" t="s">
        <v>1603</v>
      </c>
      <c r="T145" s="3"/>
    </row>
    <row r="146" spans="1:20">
      <c r="A146" s="3" t="s">
        <v>1604</v>
      </c>
      <c r="B146" s="3" t="s">
        <v>1601</v>
      </c>
      <c r="C146" s="3" t="s">
        <v>1596</v>
      </c>
      <c r="D146" s="3" t="s">
        <v>1259</v>
      </c>
      <c r="E146" s="3" t="s">
        <v>1260</v>
      </c>
      <c r="F146" s="2">
        <v>1</v>
      </c>
      <c r="G146" s="4">
        <v>1.0043510413262935</v>
      </c>
      <c r="H146" s="2">
        <v>25</v>
      </c>
      <c r="I146" s="2">
        <v>30</v>
      </c>
      <c r="J146" s="2">
        <v>16</v>
      </c>
      <c r="K146" s="4">
        <v>0.20759823432069657</v>
      </c>
      <c r="L146" s="4">
        <v>0.94696976487777773</v>
      </c>
      <c r="M146" s="4">
        <v>0.94696976487777773</v>
      </c>
      <c r="N146" s="10">
        <v>0.94699999999999995</v>
      </c>
      <c r="O146" s="4">
        <v>8.9321369451054284</v>
      </c>
      <c r="P146" s="4">
        <v>8.93</v>
      </c>
      <c r="Q146" s="3" t="s">
        <v>1597</v>
      </c>
      <c r="R146" s="3" t="s">
        <v>1602</v>
      </c>
      <c r="S146" s="3" t="s">
        <v>1603</v>
      </c>
      <c r="T146" s="3"/>
    </row>
    <row r="147" spans="1:20">
      <c r="A147" s="3" t="s">
        <v>1604</v>
      </c>
      <c r="B147" s="3" t="s">
        <v>1601</v>
      </c>
      <c r="C147" s="3" t="s">
        <v>1616</v>
      </c>
      <c r="D147" s="3" t="s">
        <v>1259</v>
      </c>
      <c r="E147" s="3" t="s">
        <v>1260</v>
      </c>
      <c r="F147" s="2">
        <v>1</v>
      </c>
      <c r="G147" s="4">
        <v>1.0043510413262935</v>
      </c>
      <c r="H147" s="2">
        <v>25</v>
      </c>
      <c r="I147" s="2">
        <v>30</v>
      </c>
      <c r="J147" s="2">
        <v>16</v>
      </c>
      <c r="K147" s="4">
        <v>0.21723790258600495</v>
      </c>
      <c r="L147" s="4">
        <v>0.89390385036439268</v>
      </c>
      <c r="M147" s="4">
        <v>0.89390385036439268</v>
      </c>
      <c r="N147" s="10">
        <v>0.89400000000000002</v>
      </c>
      <c r="O147" s="4">
        <v>7.1445096141467932</v>
      </c>
      <c r="P147" s="4">
        <v>7.15</v>
      </c>
      <c r="Q147" s="3" t="s">
        <v>1597</v>
      </c>
      <c r="R147" s="3" t="s">
        <v>1602</v>
      </c>
      <c r="S147" s="3" t="s">
        <v>1603</v>
      </c>
      <c r="T147" s="3"/>
    </row>
    <row r="148" spans="1:20">
      <c r="A148" s="3" t="s">
        <v>1600</v>
      </c>
      <c r="B148" s="3" t="s">
        <v>1609</v>
      </c>
      <c r="C148" s="3" t="s">
        <v>1616</v>
      </c>
      <c r="D148" s="3" t="s">
        <v>1259</v>
      </c>
      <c r="E148" s="3" t="s">
        <v>1260</v>
      </c>
      <c r="F148" s="2">
        <v>1</v>
      </c>
      <c r="G148" s="4">
        <v>1.0043510413262935</v>
      </c>
      <c r="H148" s="2">
        <v>25</v>
      </c>
      <c r="I148" s="2">
        <v>5</v>
      </c>
      <c r="J148" s="2">
        <v>16</v>
      </c>
      <c r="K148" s="4">
        <v>0.21591649542739477</v>
      </c>
      <c r="L148" s="4">
        <v>0.76509452736318406</v>
      </c>
      <c r="M148" s="4">
        <v>0.76509452736318406</v>
      </c>
      <c r="N148" s="10">
        <v>0.76500000000000001</v>
      </c>
      <c r="O148" s="4">
        <v>4.999524351523343</v>
      </c>
      <c r="P148" s="4">
        <v>5</v>
      </c>
      <c r="Q148" s="3" t="s">
        <v>1597</v>
      </c>
      <c r="R148" s="3" t="s">
        <v>1610</v>
      </c>
      <c r="S148" s="3" t="s">
        <v>1611</v>
      </c>
      <c r="T148" s="3"/>
    </row>
    <row r="149" spans="1:20">
      <c r="A149" s="3" t="s">
        <v>1600</v>
      </c>
      <c r="B149" s="3" t="s">
        <v>1609</v>
      </c>
      <c r="C149" s="3" t="s">
        <v>1596</v>
      </c>
      <c r="D149" s="3" t="s">
        <v>1259</v>
      </c>
      <c r="E149" s="3" t="s">
        <v>1260</v>
      </c>
      <c r="F149" s="2">
        <v>1</v>
      </c>
      <c r="G149" s="4">
        <v>1.0043510413262935</v>
      </c>
      <c r="H149" s="2">
        <v>25</v>
      </c>
      <c r="I149" s="2">
        <v>5</v>
      </c>
      <c r="J149" s="2">
        <v>16</v>
      </c>
      <c r="K149" s="4">
        <v>8.2284472523006191E-2</v>
      </c>
      <c r="L149" s="4">
        <v>0.71166827386692377</v>
      </c>
      <c r="M149" s="4">
        <v>0.71166827386692377</v>
      </c>
      <c r="N149" s="10">
        <v>0.71199999999999997</v>
      </c>
      <c r="O149" s="4">
        <v>4.4153202827046885</v>
      </c>
      <c r="P149" s="4">
        <v>4.42</v>
      </c>
      <c r="Q149" s="3" t="s">
        <v>1597</v>
      </c>
      <c r="R149" s="3" t="s">
        <v>1610</v>
      </c>
      <c r="S149" s="3" t="s">
        <v>1611</v>
      </c>
      <c r="T149" s="3"/>
    </row>
    <row r="150" spans="1:20">
      <c r="A150" s="3" t="s">
        <v>1594</v>
      </c>
      <c r="B150" s="3" t="s">
        <v>1612</v>
      </c>
      <c r="C150" s="3" t="s">
        <v>1596</v>
      </c>
      <c r="D150" s="3" t="s">
        <v>1259</v>
      </c>
      <c r="E150" s="3" t="s">
        <v>1260</v>
      </c>
      <c r="F150" s="2">
        <v>1</v>
      </c>
      <c r="G150" s="4">
        <v>1.0043510413262935</v>
      </c>
      <c r="H150" s="2">
        <v>50</v>
      </c>
      <c r="I150" s="2">
        <v>5</v>
      </c>
      <c r="J150" s="2">
        <v>16</v>
      </c>
      <c r="K150" s="4">
        <v>0.34825067599832815</v>
      </c>
      <c r="L150" s="4">
        <v>0.25517491829076383</v>
      </c>
      <c r="M150" s="4">
        <v>0.25517491829076383</v>
      </c>
      <c r="N150" s="10">
        <v>0.255</v>
      </c>
      <c r="O150" s="4">
        <v>1.4022053900069196</v>
      </c>
      <c r="P150" s="4">
        <v>1.4</v>
      </c>
      <c r="Q150" s="3" t="s">
        <v>1597</v>
      </c>
      <c r="R150" s="3" t="s">
        <v>1613</v>
      </c>
      <c r="S150" s="3" t="s">
        <v>1614</v>
      </c>
      <c r="T150" s="3"/>
    </row>
    <row r="151" spans="1:20">
      <c r="A151" s="3" t="s">
        <v>1600</v>
      </c>
      <c r="B151" s="3" t="s">
        <v>1601</v>
      </c>
      <c r="C151" s="3" t="s">
        <v>1616</v>
      </c>
      <c r="D151" s="3" t="s">
        <v>1259</v>
      </c>
      <c r="E151" s="3" t="s">
        <v>1260</v>
      </c>
      <c r="F151" s="2">
        <v>1</v>
      </c>
      <c r="G151" s="4">
        <v>1.0043510413262935</v>
      </c>
      <c r="H151" s="2">
        <v>25</v>
      </c>
      <c r="I151" s="2">
        <v>5</v>
      </c>
      <c r="J151" s="2">
        <v>1</v>
      </c>
      <c r="K151" s="4">
        <v>0</v>
      </c>
      <c r="L151" s="4">
        <v>0</v>
      </c>
      <c r="M151" s="4">
        <v>0</v>
      </c>
      <c r="N151" s="10">
        <v>0</v>
      </c>
      <c r="O151" s="4">
        <v>0</v>
      </c>
      <c r="P151" s="4">
        <v>0</v>
      </c>
      <c r="Q151" s="3" t="s">
        <v>1617</v>
      </c>
      <c r="R151" s="3" t="s">
        <v>1618</v>
      </c>
      <c r="S151" s="3" t="s">
        <v>1619</v>
      </c>
      <c r="T151" s="3"/>
    </row>
    <row r="152" spans="1:20">
      <c r="A152" s="3" t="s">
        <v>1600</v>
      </c>
      <c r="B152" s="3" t="s">
        <v>1601</v>
      </c>
      <c r="C152" s="3" t="s">
        <v>1596</v>
      </c>
      <c r="D152" s="3" t="s">
        <v>1259</v>
      </c>
      <c r="E152" s="3" t="s">
        <v>1260</v>
      </c>
      <c r="F152" s="2">
        <v>1</v>
      </c>
      <c r="G152" s="4">
        <v>1.0043510413262935</v>
      </c>
      <c r="H152" s="2">
        <v>25</v>
      </c>
      <c r="I152" s="2">
        <v>5</v>
      </c>
      <c r="J152" s="2">
        <v>1</v>
      </c>
      <c r="K152" s="4">
        <v>0</v>
      </c>
      <c r="L152" s="4">
        <v>0</v>
      </c>
      <c r="M152" s="4">
        <v>0</v>
      </c>
      <c r="N152" s="10">
        <v>0</v>
      </c>
      <c r="O152" s="4">
        <v>0</v>
      </c>
      <c r="P152" s="4">
        <v>0</v>
      </c>
      <c r="Q152" s="3" t="s">
        <v>1617</v>
      </c>
      <c r="R152" s="3" t="s">
        <v>1618</v>
      </c>
      <c r="S152" s="3" t="s">
        <v>1619</v>
      </c>
      <c r="T152" s="3"/>
    </row>
    <row r="153" spans="1:20">
      <c r="A153" s="3" t="s">
        <v>1600</v>
      </c>
      <c r="B153" s="3" t="s">
        <v>1606</v>
      </c>
      <c r="C153" s="3" t="s">
        <v>1596</v>
      </c>
      <c r="D153" s="3" t="s">
        <v>1259</v>
      </c>
      <c r="E153" s="3" t="s">
        <v>1260</v>
      </c>
      <c r="F153" s="2">
        <v>1</v>
      </c>
      <c r="G153" s="4">
        <v>1.0043510413262935</v>
      </c>
      <c r="H153" s="2">
        <v>25</v>
      </c>
      <c r="I153" s="2">
        <v>5</v>
      </c>
      <c r="J153" s="2">
        <v>1</v>
      </c>
      <c r="K153" s="4">
        <v>0</v>
      </c>
      <c r="L153" s="4">
        <v>0</v>
      </c>
      <c r="M153" s="4">
        <v>0</v>
      </c>
      <c r="N153" s="10">
        <v>0</v>
      </c>
      <c r="O153" s="4">
        <v>0</v>
      </c>
      <c r="P153" s="4">
        <v>0</v>
      </c>
      <c r="Q153" s="3" t="s">
        <v>1617</v>
      </c>
      <c r="R153" s="3" t="s">
        <v>1621</v>
      </c>
      <c r="S153" s="3" t="s">
        <v>1622</v>
      </c>
      <c r="T153" s="3"/>
    </row>
    <row r="154" spans="1:20">
      <c r="A154" s="3" t="s">
        <v>1600</v>
      </c>
      <c r="B154" s="3" t="s">
        <v>1606</v>
      </c>
      <c r="C154" s="3" t="s">
        <v>1596</v>
      </c>
      <c r="D154" s="3" t="s">
        <v>1259</v>
      </c>
      <c r="E154" s="3" t="s">
        <v>1260</v>
      </c>
      <c r="F154" s="2">
        <v>1</v>
      </c>
      <c r="G154" s="4">
        <v>1.0043510413262935</v>
      </c>
      <c r="H154" s="2">
        <v>25</v>
      </c>
      <c r="I154" s="2">
        <v>5</v>
      </c>
      <c r="J154" s="2">
        <v>16</v>
      </c>
      <c r="K154" s="4">
        <v>0</v>
      </c>
      <c r="L154" s="4">
        <v>0</v>
      </c>
      <c r="M154" s="4">
        <v>0</v>
      </c>
      <c r="N154" s="10">
        <v>0</v>
      </c>
      <c r="O154" s="4">
        <v>0</v>
      </c>
      <c r="P154" s="4">
        <v>0</v>
      </c>
      <c r="Q154" s="3" t="s">
        <v>1617</v>
      </c>
      <c r="R154" s="3" t="s">
        <v>1621</v>
      </c>
      <c r="S154" s="3" t="s">
        <v>1622</v>
      </c>
      <c r="T154" s="3"/>
    </row>
    <row r="155" spans="1:20">
      <c r="A155" s="3" t="s">
        <v>1600</v>
      </c>
      <c r="B155" s="3" t="s">
        <v>1609</v>
      </c>
      <c r="C155" s="3" t="s">
        <v>1596</v>
      </c>
      <c r="D155" s="3" t="s">
        <v>1259</v>
      </c>
      <c r="E155" s="3" t="s">
        <v>1260</v>
      </c>
      <c r="F155" s="2">
        <v>1</v>
      </c>
      <c r="G155" s="4">
        <v>1.0043510413262935</v>
      </c>
      <c r="H155" s="2">
        <v>25</v>
      </c>
      <c r="I155" s="2">
        <v>5</v>
      </c>
      <c r="J155" s="2">
        <v>1</v>
      </c>
      <c r="K155" s="4">
        <v>0</v>
      </c>
      <c r="L155" s="4">
        <v>0</v>
      </c>
      <c r="M155" s="4">
        <v>0</v>
      </c>
      <c r="N155" s="10">
        <v>0</v>
      </c>
      <c r="O155" s="4">
        <v>0</v>
      </c>
      <c r="P155" s="4">
        <v>0</v>
      </c>
      <c r="Q155" s="3" t="s">
        <v>1617</v>
      </c>
      <c r="R155" s="3" t="s">
        <v>1623</v>
      </c>
      <c r="S155" s="3" t="s">
        <v>1624</v>
      </c>
      <c r="T155" s="3"/>
    </row>
    <row r="156" spans="1:20">
      <c r="A156" s="3" t="s">
        <v>1594</v>
      </c>
      <c r="B156" s="3" t="s">
        <v>1595</v>
      </c>
      <c r="C156" s="3" t="s">
        <v>1596</v>
      </c>
      <c r="D156" s="3" t="s">
        <v>1259</v>
      </c>
      <c r="E156" s="3" t="s">
        <v>1260</v>
      </c>
      <c r="F156" s="2">
        <v>1</v>
      </c>
      <c r="G156" s="4">
        <v>1.0043510413262935</v>
      </c>
      <c r="H156" s="2">
        <v>25</v>
      </c>
      <c r="I156" s="2">
        <v>5</v>
      </c>
      <c r="J156" s="2">
        <v>16</v>
      </c>
      <c r="K156" s="4">
        <v>0</v>
      </c>
      <c r="L156" s="4">
        <v>0</v>
      </c>
      <c r="M156" s="4">
        <v>0</v>
      </c>
      <c r="N156" s="10">
        <v>0</v>
      </c>
      <c r="O156" s="4">
        <v>0</v>
      </c>
      <c r="P156" s="4">
        <v>0</v>
      </c>
      <c r="Q156" s="3" t="s">
        <v>1617</v>
      </c>
      <c r="R156" s="3" t="s">
        <v>1625</v>
      </c>
      <c r="S156" s="3" t="s">
        <v>1626</v>
      </c>
      <c r="T156" s="3"/>
    </row>
    <row r="157" spans="1:20">
      <c r="A157" s="3" t="s">
        <v>1600</v>
      </c>
      <c r="B157" s="3" t="s">
        <v>1606</v>
      </c>
      <c r="C157" s="3" t="s">
        <v>1616</v>
      </c>
      <c r="D157" s="3" t="s">
        <v>1259</v>
      </c>
      <c r="E157" s="3" t="s">
        <v>1260</v>
      </c>
      <c r="F157" s="2">
        <v>1</v>
      </c>
      <c r="G157" s="4">
        <v>1.0043510413262935</v>
      </c>
      <c r="H157" s="2">
        <v>25</v>
      </c>
      <c r="I157" s="2">
        <v>5</v>
      </c>
      <c r="J157" s="2">
        <v>1</v>
      </c>
      <c r="K157" s="4">
        <v>0</v>
      </c>
      <c r="L157" s="4">
        <v>0</v>
      </c>
      <c r="M157" s="4">
        <v>0</v>
      </c>
      <c r="N157" s="10">
        <v>0</v>
      </c>
      <c r="O157" s="4">
        <v>0</v>
      </c>
      <c r="P157" s="4">
        <v>0</v>
      </c>
      <c r="Q157" s="3" t="s">
        <v>1617</v>
      </c>
      <c r="R157" s="3" t="s">
        <v>1621</v>
      </c>
      <c r="S157" s="3" t="s">
        <v>1622</v>
      </c>
      <c r="T157" s="3"/>
    </row>
    <row r="158" spans="1:20">
      <c r="A158" s="3" t="s">
        <v>1600</v>
      </c>
      <c r="B158" s="3" t="s">
        <v>1606</v>
      </c>
      <c r="C158" s="3" t="s">
        <v>1616</v>
      </c>
      <c r="D158" s="3" t="s">
        <v>1259</v>
      </c>
      <c r="E158" s="3" t="s">
        <v>1260</v>
      </c>
      <c r="F158" s="2">
        <v>1</v>
      </c>
      <c r="G158" s="4">
        <v>1.0043510413262935</v>
      </c>
      <c r="H158" s="2">
        <v>25</v>
      </c>
      <c r="I158" s="2">
        <v>5</v>
      </c>
      <c r="J158" s="2">
        <v>16</v>
      </c>
      <c r="K158" s="4">
        <v>0</v>
      </c>
      <c r="L158" s="4">
        <v>0</v>
      </c>
      <c r="M158" s="4">
        <v>0</v>
      </c>
      <c r="N158" s="10">
        <v>0</v>
      </c>
      <c r="O158" s="4">
        <v>0</v>
      </c>
      <c r="P158" s="4">
        <v>0</v>
      </c>
      <c r="Q158" s="3" t="s">
        <v>1617</v>
      </c>
      <c r="R158" s="3" t="s">
        <v>1621</v>
      </c>
      <c r="S158" s="3" t="s">
        <v>1622</v>
      </c>
      <c r="T158" s="3"/>
    </row>
    <row r="159" spans="1:20">
      <c r="A159" s="3" t="s">
        <v>1600</v>
      </c>
      <c r="B159" s="3" t="s">
        <v>1609</v>
      </c>
      <c r="C159" s="3" t="s">
        <v>1616</v>
      </c>
      <c r="D159" s="3" t="s">
        <v>1259</v>
      </c>
      <c r="E159" s="3" t="s">
        <v>1260</v>
      </c>
      <c r="F159" s="2">
        <v>1</v>
      </c>
      <c r="G159" s="4">
        <v>1.0043510413262935</v>
      </c>
      <c r="H159" s="2">
        <v>25</v>
      </c>
      <c r="I159" s="2">
        <v>5</v>
      </c>
      <c r="J159" s="2">
        <v>1</v>
      </c>
      <c r="K159" s="4">
        <v>0</v>
      </c>
      <c r="L159" s="4">
        <v>0</v>
      </c>
      <c r="M159" s="4">
        <v>0</v>
      </c>
      <c r="N159" s="10">
        <v>0</v>
      </c>
      <c r="O159" s="4">
        <v>0</v>
      </c>
      <c r="P159" s="4">
        <v>0</v>
      </c>
      <c r="Q159" s="3" t="s">
        <v>1617</v>
      </c>
      <c r="R159" s="3" t="s">
        <v>1623</v>
      </c>
      <c r="S159" s="3" t="s">
        <v>1624</v>
      </c>
      <c r="T159" s="3"/>
    </row>
    <row r="160" spans="1:20">
      <c r="A160" s="3" t="s">
        <v>1594</v>
      </c>
      <c r="B160" s="3" t="s">
        <v>1595</v>
      </c>
      <c r="C160" s="3" t="s">
        <v>1596</v>
      </c>
      <c r="D160" s="3" t="s">
        <v>1259</v>
      </c>
      <c r="E160" s="3" t="s">
        <v>1260</v>
      </c>
      <c r="F160" s="2">
        <v>1</v>
      </c>
      <c r="G160" s="4">
        <v>1.0043510413262935</v>
      </c>
      <c r="H160" s="2">
        <v>50</v>
      </c>
      <c r="I160" s="2">
        <v>5</v>
      </c>
      <c r="J160" s="2">
        <v>16</v>
      </c>
      <c r="K160" s="4">
        <v>7.8766711947744206E-3</v>
      </c>
      <c r="L160" s="4">
        <v>-0.13514833353680869</v>
      </c>
      <c r="M160" s="4">
        <v>0.13514833353680869</v>
      </c>
      <c r="N160" s="10">
        <v>0.13500000000000001</v>
      </c>
      <c r="O160" s="4">
        <v>0.73071209146639238</v>
      </c>
      <c r="P160" s="4">
        <v>-0.73</v>
      </c>
      <c r="Q160" s="3" t="s">
        <v>1617</v>
      </c>
      <c r="R160" s="3" t="s">
        <v>1625</v>
      </c>
      <c r="S160" s="3" t="s">
        <v>1626</v>
      </c>
      <c r="T160" s="3"/>
    </row>
    <row r="161" spans="1:20">
      <c r="A161" s="3" t="s">
        <v>1594</v>
      </c>
      <c r="B161" s="3" t="s">
        <v>1595</v>
      </c>
      <c r="C161" s="3" t="s">
        <v>1596</v>
      </c>
      <c r="D161" s="3" t="s">
        <v>362</v>
      </c>
      <c r="E161" s="3" t="s">
        <v>363</v>
      </c>
      <c r="F161" s="2">
        <v>1</v>
      </c>
      <c r="G161" s="4">
        <v>1.0055924137691479</v>
      </c>
      <c r="H161" s="2">
        <v>50</v>
      </c>
      <c r="I161" s="2">
        <v>5</v>
      </c>
      <c r="J161" s="2">
        <v>16</v>
      </c>
      <c r="K161" s="4">
        <v>0.26156721248526316</v>
      </c>
      <c r="L161" s="14">
        <v>3.602959255268752E-2</v>
      </c>
      <c r="M161" s="4">
        <v>3.602959255268752E-2</v>
      </c>
      <c r="N161" s="10">
        <v>3.5999999999999997E-2</v>
      </c>
      <c r="O161" s="4">
        <v>0.19369467171082705</v>
      </c>
      <c r="P161" s="4">
        <v>0.19</v>
      </c>
      <c r="Q161" s="3" t="s">
        <v>1597</v>
      </c>
      <c r="R161" s="3" t="s">
        <v>1598</v>
      </c>
      <c r="S161" s="3" t="s">
        <v>1599</v>
      </c>
      <c r="T161" s="3"/>
    </row>
    <row r="162" spans="1:20">
      <c r="A162" s="3" t="s">
        <v>1600</v>
      </c>
      <c r="B162" s="3" t="s">
        <v>1609</v>
      </c>
      <c r="C162" s="3" t="s">
        <v>1596</v>
      </c>
      <c r="D162" s="3" t="s">
        <v>362</v>
      </c>
      <c r="E162" s="3" t="s">
        <v>363</v>
      </c>
      <c r="F162" s="2">
        <v>1</v>
      </c>
      <c r="G162" s="4">
        <v>1.0055924137691479</v>
      </c>
      <c r="H162" s="2">
        <v>25</v>
      </c>
      <c r="I162" s="2">
        <v>5</v>
      </c>
      <c r="J162" s="2">
        <v>16</v>
      </c>
      <c r="K162" s="4">
        <v>0.29729360766198887</v>
      </c>
      <c r="L162" s="4">
        <v>-2.9625897468194988E-2</v>
      </c>
      <c r="M162" s="4">
        <v>2.9625897468194988E-2</v>
      </c>
      <c r="N162" s="10">
        <v>0.03</v>
      </c>
      <c r="O162" s="4">
        <v>0.14692630946137458</v>
      </c>
      <c r="P162" s="4">
        <v>-0.15</v>
      </c>
      <c r="Q162" s="3" t="s">
        <v>1617</v>
      </c>
      <c r="R162" s="3" t="s">
        <v>1623</v>
      </c>
      <c r="S162" s="3" t="s">
        <v>1624</v>
      </c>
      <c r="T162" s="3"/>
    </row>
    <row r="163" spans="1:20">
      <c r="A163" s="3" t="s">
        <v>1594</v>
      </c>
      <c r="B163" s="3" t="s">
        <v>1612</v>
      </c>
      <c r="C163" s="3" t="s">
        <v>1596</v>
      </c>
      <c r="D163" s="3" t="s">
        <v>362</v>
      </c>
      <c r="E163" s="3" t="s">
        <v>363</v>
      </c>
      <c r="F163" s="2">
        <v>1</v>
      </c>
      <c r="G163" s="4">
        <v>1.0055924137691479</v>
      </c>
      <c r="H163" s="2">
        <v>50</v>
      </c>
      <c r="I163" s="2">
        <v>5</v>
      </c>
      <c r="J163" s="2">
        <v>16</v>
      </c>
      <c r="K163" s="4">
        <v>0.42108412646982024</v>
      </c>
      <c r="L163" s="14">
        <v>-0.29957175011878057</v>
      </c>
      <c r="M163" s="4">
        <v>0.29957175011878057</v>
      </c>
      <c r="N163" s="10">
        <v>0.3</v>
      </c>
      <c r="O163" s="4">
        <v>1.6607250230149788</v>
      </c>
      <c r="P163" s="4">
        <v>-1.66</v>
      </c>
      <c r="Q163" s="3" t="s">
        <v>1617</v>
      </c>
      <c r="R163" s="3" t="s">
        <v>1627</v>
      </c>
      <c r="S163" s="3" t="s">
        <v>1628</v>
      </c>
      <c r="T163" s="3"/>
    </row>
    <row r="164" spans="1:20">
      <c r="A164" s="3" t="s">
        <v>1600</v>
      </c>
      <c r="B164" s="3" t="s">
        <v>1601</v>
      </c>
      <c r="C164" s="3" t="s">
        <v>1596</v>
      </c>
      <c r="D164" s="3" t="s">
        <v>362</v>
      </c>
      <c r="E164" s="3" t="s">
        <v>363</v>
      </c>
      <c r="F164" s="2">
        <v>1</v>
      </c>
      <c r="G164" s="4">
        <v>1.0055924137691479</v>
      </c>
      <c r="H164" s="2">
        <v>25</v>
      </c>
      <c r="I164" s="2">
        <v>5</v>
      </c>
      <c r="J164" s="2">
        <v>16</v>
      </c>
      <c r="K164" s="4">
        <v>0.17078275669135057</v>
      </c>
      <c r="L164" s="4">
        <v>-0.65804210896907012</v>
      </c>
      <c r="M164" s="4">
        <v>0.65804210896907012</v>
      </c>
      <c r="N164" s="10">
        <v>0.65800000000000003</v>
      </c>
      <c r="O164" s="4">
        <v>3.9135597724492972</v>
      </c>
      <c r="P164" s="4">
        <v>-3.91</v>
      </c>
      <c r="Q164" s="3" t="s">
        <v>1617</v>
      </c>
      <c r="R164" s="3" t="s">
        <v>1618</v>
      </c>
      <c r="S164" s="3" t="s">
        <v>1619</v>
      </c>
      <c r="T164" s="3"/>
    </row>
    <row r="165" spans="1:20">
      <c r="A165" s="3" t="s">
        <v>1600</v>
      </c>
      <c r="B165" s="3" t="s">
        <v>1609</v>
      </c>
      <c r="C165" s="3" t="s">
        <v>1616</v>
      </c>
      <c r="D165" s="3" t="s">
        <v>362</v>
      </c>
      <c r="E165" s="3" t="s">
        <v>363</v>
      </c>
      <c r="F165" s="2">
        <v>1</v>
      </c>
      <c r="G165" s="4">
        <v>1.0055924137691479</v>
      </c>
      <c r="H165" s="2">
        <v>25</v>
      </c>
      <c r="I165" s="2">
        <v>5</v>
      </c>
      <c r="J165" s="2">
        <v>1</v>
      </c>
      <c r="K165" s="4">
        <v>0.35320851271007458</v>
      </c>
      <c r="L165" s="4">
        <v>-0.81753896839370999</v>
      </c>
      <c r="M165" s="4">
        <v>0.81753896839370999</v>
      </c>
      <c r="N165" s="10">
        <v>0.81799999999999995</v>
      </c>
      <c r="O165" s="4">
        <v>5.6984091639240013</v>
      </c>
      <c r="P165" s="4">
        <v>-5.71</v>
      </c>
      <c r="Q165" s="3" t="s">
        <v>1617</v>
      </c>
      <c r="R165" s="3" t="s">
        <v>1623</v>
      </c>
      <c r="S165" s="3" t="s">
        <v>1624</v>
      </c>
      <c r="T165" s="3"/>
    </row>
    <row r="166" spans="1:20">
      <c r="A166" s="3" t="s">
        <v>1600</v>
      </c>
      <c r="B166" s="3" t="s">
        <v>1609</v>
      </c>
      <c r="C166" s="3" t="s">
        <v>1616</v>
      </c>
      <c r="D166" s="3" t="s">
        <v>362</v>
      </c>
      <c r="E166" s="3" t="s">
        <v>363</v>
      </c>
      <c r="F166" s="2">
        <v>1</v>
      </c>
      <c r="G166" s="4">
        <v>1.0055924137691479</v>
      </c>
      <c r="H166" s="2">
        <v>25</v>
      </c>
      <c r="I166" s="2">
        <v>5</v>
      </c>
      <c r="J166" s="2">
        <v>16</v>
      </c>
      <c r="K166" s="11">
        <v>0.71825751875624499</v>
      </c>
      <c r="L166" s="11">
        <v>-0.83458617909405663</v>
      </c>
      <c r="M166" s="4">
        <v>0.83458617909405663</v>
      </c>
      <c r="N166" s="10">
        <v>0.83499999999999996</v>
      </c>
      <c r="O166" s="4">
        <v>5.9647045235831966</v>
      </c>
      <c r="P166" s="4">
        <v>-5.97</v>
      </c>
      <c r="Q166" s="3" t="s">
        <v>1617</v>
      </c>
      <c r="R166" s="3" t="s">
        <v>1623</v>
      </c>
      <c r="S166" s="3" t="s">
        <v>1624</v>
      </c>
      <c r="T166" s="3"/>
    </row>
    <row r="167" spans="1:20">
      <c r="A167" s="3" t="s">
        <v>1600</v>
      </c>
      <c r="B167" s="3" t="s">
        <v>1601</v>
      </c>
      <c r="C167" s="3" t="s">
        <v>1616</v>
      </c>
      <c r="D167" s="3" t="s">
        <v>362</v>
      </c>
      <c r="E167" s="3" t="s">
        <v>363</v>
      </c>
      <c r="F167" s="2">
        <v>1</v>
      </c>
      <c r="G167" s="4">
        <v>1.0055924137691479</v>
      </c>
      <c r="H167" s="2">
        <v>25</v>
      </c>
      <c r="I167" s="2">
        <v>5</v>
      </c>
      <c r="J167" s="2">
        <v>16</v>
      </c>
      <c r="K167" s="4">
        <v>0.98842530849637411</v>
      </c>
      <c r="L167" s="4">
        <v>-0.86808409219757554</v>
      </c>
      <c r="M167" s="4">
        <v>0.86808409219757554</v>
      </c>
      <c r="N167" s="10">
        <v>0.86799999999999999</v>
      </c>
      <c r="O167" s="4">
        <v>6.5705150080293331</v>
      </c>
      <c r="P167" s="4">
        <v>-6.57</v>
      </c>
      <c r="Q167" s="3" t="s">
        <v>1617</v>
      </c>
      <c r="R167" s="3" t="s">
        <v>1618</v>
      </c>
      <c r="S167" s="3" t="s">
        <v>1619</v>
      </c>
      <c r="T167" s="3"/>
    </row>
    <row r="168" spans="1:20">
      <c r="A168" s="3" t="s">
        <v>1604</v>
      </c>
      <c r="B168" s="3" t="s">
        <v>1601</v>
      </c>
      <c r="C168" s="3" t="s">
        <v>1616</v>
      </c>
      <c r="D168" s="3" t="s">
        <v>362</v>
      </c>
      <c r="E168" s="3" t="s">
        <v>363</v>
      </c>
      <c r="F168" s="2">
        <v>1</v>
      </c>
      <c r="G168" s="4">
        <v>1.0055924137691479</v>
      </c>
      <c r="H168" s="2">
        <v>25</v>
      </c>
      <c r="I168" s="2">
        <v>30</v>
      </c>
      <c r="J168" s="2">
        <v>16</v>
      </c>
      <c r="K168" s="4">
        <v>1</v>
      </c>
      <c r="L168" s="4">
        <v>-0.86838944918737415</v>
      </c>
      <c r="M168" s="4">
        <v>0.86838944918737415</v>
      </c>
      <c r="N168" s="10">
        <v>0.86799999999999999</v>
      </c>
      <c r="O168" s="4">
        <v>6.5766651175331425</v>
      </c>
      <c r="P168" s="4">
        <v>-6.57</v>
      </c>
      <c r="Q168" s="3" t="s">
        <v>1617</v>
      </c>
      <c r="R168" s="3" t="s">
        <v>1618</v>
      </c>
      <c r="S168" s="3" t="s">
        <v>1619</v>
      </c>
      <c r="T168" s="3"/>
    </row>
    <row r="169" spans="1:20">
      <c r="A169" s="3" t="s">
        <v>1600</v>
      </c>
      <c r="B169" s="3" t="s">
        <v>1601</v>
      </c>
      <c r="C169" s="3" t="s">
        <v>1596</v>
      </c>
      <c r="D169" s="3" t="s">
        <v>362</v>
      </c>
      <c r="E169" s="3" t="s">
        <v>363</v>
      </c>
      <c r="F169" s="2">
        <v>1</v>
      </c>
      <c r="G169" s="4">
        <v>1.0055924137691479</v>
      </c>
      <c r="H169" s="2">
        <v>25</v>
      </c>
      <c r="I169" s="2">
        <v>5</v>
      </c>
      <c r="J169" s="2">
        <v>1</v>
      </c>
      <c r="K169" s="4">
        <v>0.1355811395719817</v>
      </c>
      <c r="L169" s="4">
        <v>-0.87458983387736566</v>
      </c>
      <c r="M169" s="4">
        <v>0.87458983387736566</v>
      </c>
      <c r="N169" s="10">
        <v>0.875</v>
      </c>
      <c r="O169" s="4">
        <v>6.7045069246061866</v>
      </c>
      <c r="P169" s="4">
        <v>-6.71</v>
      </c>
      <c r="Q169" s="3" t="s">
        <v>1617</v>
      </c>
      <c r="R169" s="3" t="s">
        <v>1618</v>
      </c>
      <c r="S169" s="3" t="s">
        <v>1619</v>
      </c>
      <c r="T169" s="3"/>
    </row>
    <row r="170" spans="1:20">
      <c r="A170" s="3" t="s">
        <v>1600</v>
      </c>
      <c r="B170" s="3" t="s">
        <v>1601</v>
      </c>
      <c r="C170" s="3" t="s">
        <v>1616</v>
      </c>
      <c r="D170" s="3" t="s">
        <v>362</v>
      </c>
      <c r="E170" s="3" t="s">
        <v>363</v>
      </c>
      <c r="F170" s="2">
        <v>1</v>
      </c>
      <c r="G170" s="4">
        <v>1.0055924137691479</v>
      </c>
      <c r="H170" s="2">
        <v>25</v>
      </c>
      <c r="I170" s="2">
        <v>5</v>
      </c>
      <c r="J170" s="2">
        <v>1</v>
      </c>
      <c r="K170" s="4">
        <v>0.93730060496792156</v>
      </c>
      <c r="L170" s="4">
        <v>-0.88910364427845912</v>
      </c>
      <c r="M170" s="4">
        <v>0.88910364427845912</v>
      </c>
      <c r="N170" s="10">
        <v>0.88900000000000001</v>
      </c>
      <c r="O170" s="4">
        <v>7.0285235230750018</v>
      </c>
      <c r="P170" s="4">
        <v>-7.03</v>
      </c>
      <c r="Q170" s="3" t="s">
        <v>1617</v>
      </c>
      <c r="R170" s="3" t="s">
        <v>1618</v>
      </c>
      <c r="S170" s="3" t="s">
        <v>1619</v>
      </c>
      <c r="T170" s="3"/>
    </row>
    <row r="171" spans="1:20">
      <c r="A171" s="3" t="s">
        <v>1604</v>
      </c>
      <c r="B171" s="3" t="s">
        <v>1601</v>
      </c>
      <c r="C171" s="3" t="s">
        <v>1596</v>
      </c>
      <c r="D171" s="3" t="s">
        <v>362</v>
      </c>
      <c r="E171" s="3" t="s">
        <v>363</v>
      </c>
      <c r="F171" s="2">
        <v>1</v>
      </c>
      <c r="G171" s="4">
        <v>1.0055924137691479</v>
      </c>
      <c r="H171" s="2">
        <v>25</v>
      </c>
      <c r="I171" s="2">
        <v>30</v>
      </c>
      <c r="J171" s="2">
        <v>16</v>
      </c>
      <c r="K171" s="4">
        <v>1</v>
      </c>
      <c r="L171" s="4">
        <v>-0.9043961582643959</v>
      </c>
      <c r="M171" s="4">
        <v>0.9043961582643959</v>
      </c>
      <c r="N171" s="10">
        <v>0.90400000000000003</v>
      </c>
      <c r="O171" s="4">
        <v>7.4163470746938476</v>
      </c>
      <c r="P171" s="4">
        <v>-7.41</v>
      </c>
      <c r="Q171" s="3" t="s">
        <v>1617</v>
      </c>
      <c r="R171" s="3" t="s">
        <v>1618</v>
      </c>
      <c r="S171" s="3" t="s">
        <v>1619</v>
      </c>
      <c r="T171" s="3"/>
    </row>
    <row r="172" spans="1:20">
      <c r="A172" s="12" t="s">
        <v>1605</v>
      </c>
      <c r="B172" s="3" t="s">
        <v>1601</v>
      </c>
      <c r="C172" s="3" t="s">
        <v>1596</v>
      </c>
      <c r="D172" s="3" t="s">
        <v>362</v>
      </c>
      <c r="E172" s="3" t="s">
        <v>363</v>
      </c>
      <c r="F172" s="2">
        <v>1</v>
      </c>
      <c r="G172" s="4">
        <v>1.0055924137691479</v>
      </c>
      <c r="H172" s="2">
        <v>25</v>
      </c>
      <c r="I172" s="2">
        <v>5</v>
      </c>
      <c r="J172" s="2">
        <v>16</v>
      </c>
      <c r="K172" s="11">
        <v>0.98638090853013005</v>
      </c>
      <c r="L172" s="11">
        <v>-0.92314634450530364</v>
      </c>
      <c r="M172" s="4">
        <v>0.92314634450530364</v>
      </c>
      <c r="N172" s="10">
        <v>0.92300000000000004</v>
      </c>
      <c r="O172" s="4">
        <v>7.981818441914414</v>
      </c>
      <c r="P172" s="4">
        <v>-7.98</v>
      </c>
      <c r="Q172" s="3" t="s">
        <v>1617</v>
      </c>
      <c r="R172" s="3" t="s">
        <v>1618</v>
      </c>
      <c r="S172" s="3" t="s">
        <v>1619</v>
      </c>
      <c r="T172" s="3"/>
    </row>
    <row r="173" spans="1:20">
      <c r="A173" s="3" t="s">
        <v>1600</v>
      </c>
      <c r="B173" s="3" t="s">
        <v>1609</v>
      </c>
      <c r="C173" s="3" t="s">
        <v>1596</v>
      </c>
      <c r="D173" s="3" t="s">
        <v>362</v>
      </c>
      <c r="E173" s="3" t="s">
        <v>363</v>
      </c>
      <c r="F173" s="2">
        <v>1</v>
      </c>
      <c r="G173" s="4">
        <v>1.0055924137691479</v>
      </c>
      <c r="H173" s="2">
        <v>25</v>
      </c>
      <c r="I173" s="2">
        <v>5</v>
      </c>
      <c r="J173" s="2">
        <v>1</v>
      </c>
      <c r="K173" s="11">
        <v>0.79250188862941751</v>
      </c>
      <c r="L173" s="11">
        <v>-0.93076615389296091</v>
      </c>
      <c r="M173" s="4">
        <v>0.93076615389296091</v>
      </c>
      <c r="N173" s="10">
        <v>0.93100000000000005</v>
      </c>
      <c r="O173" s="4">
        <v>8.2504580652945663</v>
      </c>
      <c r="P173" s="4">
        <v>-8.26</v>
      </c>
      <c r="Q173" s="3" t="s">
        <v>1617</v>
      </c>
      <c r="R173" s="3" t="s">
        <v>1623</v>
      </c>
      <c r="S173" s="3" t="s">
        <v>1624</v>
      </c>
      <c r="T173" s="3"/>
    </row>
    <row r="174" spans="1:20">
      <c r="A174" s="3" t="s">
        <v>1600</v>
      </c>
      <c r="B174" s="3" t="s">
        <v>1606</v>
      </c>
      <c r="C174" s="3" t="s">
        <v>1596</v>
      </c>
      <c r="D174" s="3" t="s">
        <v>362</v>
      </c>
      <c r="E174" s="3" t="s">
        <v>363</v>
      </c>
      <c r="F174" s="2">
        <v>1</v>
      </c>
      <c r="G174" s="4">
        <v>1.0055924137691479</v>
      </c>
      <c r="H174" s="2">
        <v>25</v>
      </c>
      <c r="I174" s="2">
        <v>5</v>
      </c>
      <c r="J174" s="2">
        <v>1</v>
      </c>
      <c r="K174" s="11">
        <v>0.79462221811568712</v>
      </c>
      <c r="L174" s="11">
        <v>-0.93161821637221087</v>
      </c>
      <c r="M174" s="4">
        <v>0.93161821637221087</v>
      </c>
      <c r="N174" s="10">
        <v>0.93200000000000005</v>
      </c>
      <c r="O174" s="4">
        <v>8.2822498190631926</v>
      </c>
      <c r="P174" s="4">
        <v>-8.3000000000000007</v>
      </c>
      <c r="Q174" s="3" t="s">
        <v>1617</v>
      </c>
      <c r="R174" s="3" t="s">
        <v>1621</v>
      </c>
      <c r="S174" s="3" t="s">
        <v>1622</v>
      </c>
      <c r="T174" s="3"/>
    </row>
    <row r="175" spans="1:20">
      <c r="A175" s="3" t="s">
        <v>1600</v>
      </c>
      <c r="B175" s="3" t="s">
        <v>1606</v>
      </c>
      <c r="C175" s="3" t="s">
        <v>1596</v>
      </c>
      <c r="D175" s="3" t="s">
        <v>362</v>
      </c>
      <c r="E175" s="3" t="s">
        <v>363</v>
      </c>
      <c r="F175" s="2">
        <v>1</v>
      </c>
      <c r="G175" s="4">
        <v>1.0055924137691479</v>
      </c>
      <c r="H175" s="2">
        <v>25</v>
      </c>
      <c r="I175" s="2">
        <v>5</v>
      </c>
      <c r="J175" s="2">
        <v>16</v>
      </c>
      <c r="K175" s="11">
        <v>1</v>
      </c>
      <c r="L175" s="11">
        <v>-0.97640454009194089</v>
      </c>
      <c r="M175" s="4">
        <v>0.97640454009194089</v>
      </c>
      <c r="N175" s="10">
        <v>0.97599999999999998</v>
      </c>
      <c r="O175" s="4">
        <v>10.9768221623474</v>
      </c>
      <c r="P175" s="4">
        <v>-10.93</v>
      </c>
      <c r="Q175" s="3" t="s">
        <v>1617</v>
      </c>
      <c r="R175" s="3" t="s">
        <v>1621</v>
      </c>
      <c r="S175" s="3" t="s">
        <v>1622</v>
      </c>
      <c r="T175" s="3"/>
    </row>
    <row r="176" spans="1:20">
      <c r="A176" s="3" t="s">
        <v>1600</v>
      </c>
      <c r="B176" s="3" t="s">
        <v>1606</v>
      </c>
      <c r="C176" s="3" t="s">
        <v>1616</v>
      </c>
      <c r="D176" s="3" t="s">
        <v>362</v>
      </c>
      <c r="E176" s="3" t="s">
        <v>363</v>
      </c>
      <c r="F176" s="2">
        <v>1</v>
      </c>
      <c r="G176" s="4">
        <v>1.0055924137691479</v>
      </c>
      <c r="H176" s="2">
        <v>25</v>
      </c>
      <c r="I176" s="2">
        <v>5</v>
      </c>
      <c r="J176" s="2">
        <v>1</v>
      </c>
      <c r="K176" s="4">
        <v>1</v>
      </c>
      <c r="L176" s="4">
        <v>-1</v>
      </c>
      <c r="M176" s="4">
        <v>1</v>
      </c>
      <c r="N176" s="10">
        <v>0.995</v>
      </c>
      <c r="O176" s="4">
        <v>14.85</v>
      </c>
      <c r="P176" s="4">
        <v>-14.85</v>
      </c>
      <c r="Q176" s="3" t="s">
        <v>1617</v>
      </c>
      <c r="R176" s="3" t="s">
        <v>1621</v>
      </c>
      <c r="S176" s="3" t="s">
        <v>1622</v>
      </c>
      <c r="T176" s="3"/>
    </row>
    <row r="177" spans="1:20">
      <c r="A177" s="3" t="s">
        <v>1600</v>
      </c>
      <c r="B177" s="3" t="s">
        <v>1606</v>
      </c>
      <c r="C177" s="3" t="s">
        <v>1616</v>
      </c>
      <c r="D177" s="3" t="s">
        <v>362</v>
      </c>
      <c r="E177" s="3" t="s">
        <v>363</v>
      </c>
      <c r="F177" s="2">
        <v>1</v>
      </c>
      <c r="G177" s="4">
        <v>1.0055924137691479</v>
      </c>
      <c r="H177" s="2">
        <v>25</v>
      </c>
      <c r="I177" s="2">
        <v>5</v>
      </c>
      <c r="J177" s="2">
        <v>16</v>
      </c>
      <c r="K177" s="11">
        <v>1</v>
      </c>
      <c r="L177" s="11">
        <v>-1</v>
      </c>
      <c r="M177" s="4">
        <v>1</v>
      </c>
      <c r="N177" s="10">
        <v>0.995</v>
      </c>
      <c r="O177" s="4">
        <v>14.85</v>
      </c>
      <c r="P177" s="4">
        <v>-14.85</v>
      </c>
      <c r="Q177" s="3" t="s">
        <v>1617</v>
      </c>
      <c r="R177" s="3" t="s">
        <v>1621</v>
      </c>
      <c r="S177" s="3" t="s">
        <v>1622</v>
      </c>
      <c r="T177" s="3"/>
    </row>
    <row r="178" spans="1:20">
      <c r="A178" s="3" t="s">
        <v>1600</v>
      </c>
      <c r="B178" s="3" t="s">
        <v>1601</v>
      </c>
      <c r="C178" s="3" t="s">
        <v>1616</v>
      </c>
      <c r="D178" s="3" t="s">
        <v>209</v>
      </c>
      <c r="E178" s="3" t="s">
        <v>210</v>
      </c>
      <c r="F178" s="2">
        <v>1</v>
      </c>
      <c r="G178" s="4">
        <v>1.0074918811159581</v>
      </c>
      <c r="H178" s="2">
        <v>25</v>
      </c>
      <c r="I178" s="2">
        <v>5</v>
      </c>
      <c r="J178" s="2">
        <v>1</v>
      </c>
      <c r="K178" s="4">
        <v>1</v>
      </c>
      <c r="L178" s="4">
        <v>0.96794742325879624</v>
      </c>
      <c r="M178" s="4">
        <v>0.96794742325879624</v>
      </c>
      <c r="N178" s="10">
        <v>0.96799999999999997</v>
      </c>
      <c r="O178" s="4">
        <v>10.206826179667383</v>
      </c>
      <c r="P178" s="4">
        <v>10.210000000000001</v>
      </c>
      <c r="Q178" s="3" t="s">
        <v>1597</v>
      </c>
      <c r="R178" s="3" t="s">
        <v>1602</v>
      </c>
      <c r="S178" s="3" t="s">
        <v>1603</v>
      </c>
      <c r="T178" s="3"/>
    </row>
    <row r="179" spans="1:20">
      <c r="A179" s="3" t="s">
        <v>1600</v>
      </c>
      <c r="B179" s="3" t="s">
        <v>1601</v>
      </c>
      <c r="C179" s="3" t="s">
        <v>1596</v>
      </c>
      <c r="D179" s="3" t="s">
        <v>209</v>
      </c>
      <c r="E179" s="3" t="s">
        <v>210</v>
      </c>
      <c r="F179" s="2">
        <v>1</v>
      </c>
      <c r="G179" s="4">
        <v>1.0074918811159581</v>
      </c>
      <c r="H179" s="2">
        <v>25</v>
      </c>
      <c r="I179" s="2">
        <v>5</v>
      </c>
      <c r="J179" s="2">
        <v>1</v>
      </c>
      <c r="K179" s="4">
        <v>1</v>
      </c>
      <c r="L179" s="4">
        <v>0.96740689234761279</v>
      </c>
      <c r="M179" s="4">
        <v>0.96740689234761279</v>
      </c>
      <c r="N179" s="10">
        <v>0.96699999999999997</v>
      </c>
      <c r="O179" s="4">
        <v>10.16468874873545</v>
      </c>
      <c r="P179" s="4">
        <v>10.130000000000001</v>
      </c>
      <c r="Q179" s="3" t="s">
        <v>1597</v>
      </c>
      <c r="R179" s="3" t="s">
        <v>1602</v>
      </c>
      <c r="S179" s="3" t="s">
        <v>1603</v>
      </c>
      <c r="T179" s="3"/>
    </row>
    <row r="180" spans="1:20">
      <c r="A180" s="12" t="s">
        <v>1605</v>
      </c>
      <c r="B180" s="3" t="s">
        <v>1601</v>
      </c>
      <c r="C180" s="3" t="s">
        <v>1596</v>
      </c>
      <c r="D180" s="3" t="s">
        <v>209</v>
      </c>
      <c r="E180" s="3" t="s">
        <v>210</v>
      </c>
      <c r="F180" s="2">
        <v>1</v>
      </c>
      <c r="G180" s="4">
        <v>1.0074918811159581</v>
      </c>
      <c r="H180" s="2">
        <v>25</v>
      </c>
      <c r="I180" s="2">
        <v>5</v>
      </c>
      <c r="J180" s="2">
        <v>16</v>
      </c>
      <c r="K180" s="11">
        <v>1</v>
      </c>
      <c r="L180" s="11">
        <v>0.96397609795361683</v>
      </c>
      <c r="M180" s="4">
        <v>0.96397609795361683</v>
      </c>
      <c r="N180" s="10">
        <v>0.96399999999999997</v>
      </c>
      <c r="O180" s="4">
        <v>9.9122624667984773</v>
      </c>
      <c r="P180" s="4">
        <v>9.91</v>
      </c>
      <c r="Q180" s="3" t="s">
        <v>1597</v>
      </c>
      <c r="R180" s="3" t="s">
        <v>1602</v>
      </c>
      <c r="S180" s="3" t="s">
        <v>1603</v>
      </c>
      <c r="T180" s="3"/>
    </row>
    <row r="181" spans="1:20">
      <c r="A181" s="3" t="s">
        <v>1600</v>
      </c>
      <c r="B181" s="3" t="s">
        <v>1601</v>
      </c>
      <c r="C181" s="3" t="s">
        <v>1596</v>
      </c>
      <c r="D181" s="3" t="s">
        <v>209</v>
      </c>
      <c r="E181" s="3" t="s">
        <v>210</v>
      </c>
      <c r="F181" s="2">
        <v>1</v>
      </c>
      <c r="G181" s="4">
        <v>1.0074918811159581</v>
      </c>
      <c r="H181" s="2">
        <v>25</v>
      </c>
      <c r="I181" s="2">
        <v>5</v>
      </c>
      <c r="J181" s="2">
        <v>16</v>
      </c>
      <c r="K181" s="4">
        <v>1</v>
      </c>
      <c r="L181" s="4">
        <v>0.95374808773765007</v>
      </c>
      <c r="M181" s="4">
        <v>0.95374808773765007</v>
      </c>
      <c r="N181" s="10">
        <v>0.95399999999999996</v>
      </c>
      <c r="O181" s="4">
        <v>9.2797746563951851</v>
      </c>
      <c r="P181" s="4">
        <v>9.2899999999999991</v>
      </c>
      <c r="Q181" s="3" t="s">
        <v>1597</v>
      </c>
      <c r="R181" s="3" t="s">
        <v>1602</v>
      </c>
      <c r="S181" s="3" t="s">
        <v>1603</v>
      </c>
      <c r="T181" s="3"/>
    </row>
    <row r="182" spans="1:20">
      <c r="A182" s="3" t="s">
        <v>1600</v>
      </c>
      <c r="B182" s="3" t="s">
        <v>1601</v>
      </c>
      <c r="C182" s="3" t="s">
        <v>1616</v>
      </c>
      <c r="D182" s="3" t="s">
        <v>209</v>
      </c>
      <c r="E182" s="3" t="s">
        <v>210</v>
      </c>
      <c r="F182" s="2">
        <v>1</v>
      </c>
      <c r="G182" s="4">
        <v>1.0074918811159581</v>
      </c>
      <c r="H182" s="2">
        <v>25</v>
      </c>
      <c r="I182" s="2">
        <v>5</v>
      </c>
      <c r="J182" s="2">
        <v>16</v>
      </c>
      <c r="K182" s="4">
        <v>1</v>
      </c>
      <c r="L182" s="4">
        <v>0.94067175220289034</v>
      </c>
      <c r="M182" s="4">
        <v>0.94067175220289034</v>
      </c>
      <c r="N182" s="10">
        <v>0.94099999999999995</v>
      </c>
      <c r="O182" s="4">
        <v>8.6459069954191587</v>
      </c>
      <c r="P182" s="4">
        <v>8.66</v>
      </c>
      <c r="Q182" s="3" t="s">
        <v>1597</v>
      </c>
      <c r="R182" s="3" t="s">
        <v>1602</v>
      </c>
      <c r="S182" s="3" t="s">
        <v>1603</v>
      </c>
      <c r="T182" s="3"/>
    </row>
    <row r="183" spans="1:20">
      <c r="A183" s="3" t="s">
        <v>1604</v>
      </c>
      <c r="B183" s="3" t="s">
        <v>1601</v>
      </c>
      <c r="C183" s="3" t="s">
        <v>1616</v>
      </c>
      <c r="D183" s="3" t="s">
        <v>209</v>
      </c>
      <c r="E183" s="3" t="s">
        <v>210</v>
      </c>
      <c r="F183" s="2">
        <v>1</v>
      </c>
      <c r="G183" s="4">
        <v>1.0074918811159581</v>
      </c>
      <c r="H183" s="2">
        <v>25</v>
      </c>
      <c r="I183" s="2">
        <v>30</v>
      </c>
      <c r="J183" s="2">
        <v>16</v>
      </c>
      <c r="K183" s="4">
        <v>1</v>
      </c>
      <c r="L183" s="4">
        <v>0.93502652979261303</v>
      </c>
      <c r="M183" s="4">
        <v>0.93502652979261303</v>
      </c>
      <c r="N183" s="10">
        <v>0.93500000000000005</v>
      </c>
      <c r="O183" s="4">
        <v>8.4133633461732966</v>
      </c>
      <c r="P183" s="4">
        <v>8.41</v>
      </c>
      <c r="Q183" s="3" t="s">
        <v>1597</v>
      </c>
      <c r="R183" s="3" t="s">
        <v>1602</v>
      </c>
      <c r="S183" s="3" t="s">
        <v>1603</v>
      </c>
      <c r="T183" s="3"/>
    </row>
    <row r="184" spans="1:20">
      <c r="A184" s="3" t="s">
        <v>1600</v>
      </c>
      <c r="B184" s="3" t="s">
        <v>1609</v>
      </c>
      <c r="C184" s="3" t="s">
        <v>1616</v>
      </c>
      <c r="D184" s="3" t="s">
        <v>209</v>
      </c>
      <c r="E184" s="3" t="s">
        <v>210</v>
      </c>
      <c r="F184" s="2">
        <v>1</v>
      </c>
      <c r="G184" s="4">
        <v>1.0074918811159581</v>
      </c>
      <c r="H184" s="2">
        <v>25</v>
      </c>
      <c r="I184" s="2">
        <v>5</v>
      </c>
      <c r="J184" s="2">
        <v>16</v>
      </c>
      <c r="K184" s="11">
        <v>1</v>
      </c>
      <c r="L184" s="11">
        <v>0.92667103189267741</v>
      </c>
      <c r="M184" s="4">
        <v>0.92667103189267741</v>
      </c>
      <c r="N184" s="10">
        <v>0.92700000000000005</v>
      </c>
      <c r="O184" s="4">
        <v>8.1027385410927035</v>
      </c>
      <c r="P184" s="4">
        <v>8.11</v>
      </c>
      <c r="Q184" s="3" t="s">
        <v>1597</v>
      </c>
      <c r="R184" s="3" t="s">
        <v>1610</v>
      </c>
      <c r="S184" s="3" t="s">
        <v>1611</v>
      </c>
      <c r="T184" s="3"/>
    </row>
    <row r="185" spans="1:20">
      <c r="A185" s="3" t="s">
        <v>1600</v>
      </c>
      <c r="B185" s="3" t="s">
        <v>1609</v>
      </c>
      <c r="C185" s="3" t="s">
        <v>1616</v>
      </c>
      <c r="D185" s="3" t="s">
        <v>209</v>
      </c>
      <c r="E185" s="3" t="s">
        <v>210</v>
      </c>
      <c r="F185" s="2">
        <v>1</v>
      </c>
      <c r="G185" s="4">
        <v>1.0074918811159581</v>
      </c>
      <c r="H185" s="2">
        <v>25</v>
      </c>
      <c r="I185" s="2">
        <v>5</v>
      </c>
      <c r="J185" s="2">
        <v>1</v>
      </c>
      <c r="K185" s="4">
        <v>0.98281511211917905</v>
      </c>
      <c r="L185" s="4">
        <v>0.9266413689628954</v>
      </c>
      <c r="M185" s="4">
        <v>0.9266413689628954</v>
      </c>
      <c r="N185" s="10">
        <v>0.92700000000000005</v>
      </c>
      <c r="O185" s="4">
        <v>8.101697788821971</v>
      </c>
      <c r="P185" s="4">
        <v>8.11</v>
      </c>
      <c r="Q185" s="3" t="s">
        <v>1597</v>
      </c>
      <c r="R185" s="3" t="s">
        <v>1610</v>
      </c>
      <c r="S185" s="3" t="s">
        <v>1611</v>
      </c>
      <c r="T185" s="3"/>
    </row>
    <row r="186" spans="1:20">
      <c r="A186" s="3" t="s">
        <v>1600</v>
      </c>
      <c r="B186" s="3" t="s">
        <v>1609</v>
      </c>
      <c r="C186" s="3" t="s">
        <v>1596</v>
      </c>
      <c r="D186" s="3" t="s">
        <v>209</v>
      </c>
      <c r="E186" s="3" t="s">
        <v>210</v>
      </c>
      <c r="F186" s="2">
        <v>1</v>
      </c>
      <c r="G186" s="4">
        <v>1.0074918811159581</v>
      </c>
      <c r="H186" s="2">
        <v>25</v>
      </c>
      <c r="I186" s="2">
        <v>5</v>
      </c>
      <c r="J186" s="2">
        <v>1</v>
      </c>
      <c r="K186" s="11">
        <v>0.26229184071791534</v>
      </c>
      <c r="L186" s="11">
        <v>0.89912656748204489</v>
      </c>
      <c r="M186" s="4">
        <v>0.89912656748204489</v>
      </c>
      <c r="N186" s="10">
        <v>0.89900000000000002</v>
      </c>
      <c r="O186" s="4">
        <v>7.276472572745714</v>
      </c>
      <c r="P186" s="4">
        <v>7.27</v>
      </c>
      <c r="Q186" s="3" t="s">
        <v>1597</v>
      </c>
      <c r="R186" s="3" t="s">
        <v>1610</v>
      </c>
      <c r="S186" s="3" t="s">
        <v>1611</v>
      </c>
      <c r="T186" s="3"/>
    </row>
    <row r="187" spans="1:20">
      <c r="A187" s="3" t="s">
        <v>1604</v>
      </c>
      <c r="B187" s="3" t="s">
        <v>1601</v>
      </c>
      <c r="C187" s="3" t="s">
        <v>1596</v>
      </c>
      <c r="D187" s="3" t="s">
        <v>209</v>
      </c>
      <c r="E187" s="3" t="s">
        <v>210</v>
      </c>
      <c r="F187" s="2">
        <v>1</v>
      </c>
      <c r="G187" s="4">
        <v>1.0074918811159581</v>
      </c>
      <c r="H187" s="2">
        <v>25</v>
      </c>
      <c r="I187" s="2">
        <v>30</v>
      </c>
      <c r="J187" s="2">
        <v>16</v>
      </c>
      <c r="K187" s="4">
        <v>1</v>
      </c>
      <c r="L187" s="4">
        <v>0.88298840437608561</v>
      </c>
      <c r="M187" s="4">
        <v>0.88298840437608561</v>
      </c>
      <c r="N187" s="10">
        <v>0.88300000000000001</v>
      </c>
      <c r="O187" s="4">
        <v>6.8874222222570944</v>
      </c>
      <c r="P187" s="4">
        <v>6.89</v>
      </c>
      <c r="Q187" s="3" t="s">
        <v>1597</v>
      </c>
      <c r="R187" s="3" t="s">
        <v>1602</v>
      </c>
      <c r="S187" s="3" t="s">
        <v>1603</v>
      </c>
      <c r="T187" s="3"/>
    </row>
    <row r="188" spans="1:20">
      <c r="A188" s="3" t="s">
        <v>1600</v>
      </c>
      <c r="B188" s="3" t="s">
        <v>1606</v>
      </c>
      <c r="C188" s="3" t="s">
        <v>1596</v>
      </c>
      <c r="D188" s="3" t="s">
        <v>209</v>
      </c>
      <c r="E188" s="3" t="s">
        <v>210</v>
      </c>
      <c r="F188" s="2">
        <v>1</v>
      </c>
      <c r="G188" s="4">
        <v>1.0074918811159581</v>
      </c>
      <c r="H188" s="2">
        <v>25</v>
      </c>
      <c r="I188" s="2">
        <v>5</v>
      </c>
      <c r="J188" s="2">
        <v>16</v>
      </c>
      <c r="K188" s="11">
        <v>1</v>
      </c>
      <c r="L188" s="11">
        <v>0.87972444072153777</v>
      </c>
      <c r="M188" s="4">
        <v>0.87972444072153777</v>
      </c>
      <c r="N188" s="10">
        <v>0.88</v>
      </c>
      <c r="O188" s="4">
        <v>6.8149190979095549</v>
      </c>
      <c r="P188" s="4">
        <v>6.82</v>
      </c>
      <c r="Q188" s="3" t="s">
        <v>1597</v>
      </c>
      <c r="R188" s="3" t="s">
        <v>1607</v>
      </c>
      <c r="S188" s="3" t="s">
        <v>1608</v>
      </c>
      <c r="T188" s="3"/>
    </row>
    <row r="189" spans="1:20">
      <c r="A189" s="3" t="s">
        <v>1600</v>
      </c>
      <c r="B189" s="3" t="s">
        <v>1606</v>
      </c>
      <c r="C189" s="3" t="s">
        <v>1596</v>
      </c>
      <c r="D189" s="3" t="s">
        <v>209</v>
      </c>
      <c r="E189" s="3" t="s">
        <v>210</v>
      </c>
      <c r="F189" s="2">
        <v>1</v>
      </c>
      <c r="G189" s="4">
        <v>1.0074918811159581</v>
      </c>
      <c r="H189" s="2">
        <v>25</v>
      </c>
      <c r="I189" s="2">
        <v>5</v>
      </c>
      <c r="J189" s="2">
        <v>1</v>
      </c>
      <c r="K189" s="11">
        <v>1</v>
      </c>
      <c r="L189" s="11">
        <v>0.86494600669611277</v>
      </c>
      <c r="M189" s="4">
        <v>0.86494600669611277</v>
      </c>
      <c r="N189" s="10">
        <v>0.86499999999999999</v>
      </c>
      <c r="O189" s="4">
        <v>6.5080667119186622</v>
      </c>
      <c r="P189" s="4">
        <v>6.51</v>
      </c>
      <c r="Q189" s="3" t="s">
        <v>1597</v>
      </c>
      <c r="R189" s="3" t="s">
        <v>1607</v>
      </c>
      <c r="S189" s="3" t="s">
        <v>1608</v>
      </c>
      <c r="T189" s="3"/>
    </row>
    <row r="190" spans="1:20">
      <c r="A190" s="3" t="s">
        <v>1600</v>
      </c>
      <c r="B190" s="3" t="s">
        <v>1606</v>
      </c>
      <c r="C190" s="3" t="s">
        <v>1616</v>
      </c>
      <c r="D190" s="3" t="s">
        <v>209</v>
      </c>
      <c r="E190" s="3" t="s">
        <v>210</v>
      </c>
      <c r="F190" s="2">
        <v>1</v>
      </c>
      <c r="G190" s="4">
        <v>1.0074918811159581</v>
      </c>
      <c r="H190" s="2">
        <v>25</v>
      </c>
      <c r="I190" s="2">
        <v>5</v>
      </c>
      <c r="J190" s="2">
        <v>1</v>
      </c>
      <c r="K190" s="4">
        <v>1</v>
      </c>
      <c r="L190" s="4">
        <v>0.85559161894404134</v>
      </c>
      <c r="M190" s="4">
        <v>0.85559161894404134</v>
      </c>
      <c r="N190" s="10">
        <v>0.85599999999999998</v>
      </c>
      <c r="O190" s="4">
        <v>6.3295831326624921</v>
      </c>
      <c r="P190" s="4">
        <v>6.34</v>
      </c>
      <c r="Q190" s="3" t="s">
        <v>1597</v>
      </c>
      <c r="R190" s="3" t="s">
        <v>1607</v>
      </c>
      <c r="S190" s="3" t="s">
        <v>1608</v>
      </c>
      <c r="T190" s="3"/>
    </row>
    <row r="191" spans="1:20">
      <c r="A191" s="3" t="s">
        <v>1600</v>
      </c>
      <c r="B191" s="3" t="s">
        <v>1606</v>
      </c>
      <c r="C191" s="3" t="s">
        <v>1616</v>
      </c>
      <c r="D191" s="3" t="s">
        <v>209</v>
      </c>
      <c r="E191" s="3" t="s">
        <v>210</v>
      </c>
      <c r="F191" s="2">
        <v>1</v>
      </c>
      <c r="G191" s="4">
        <v>1.0074918811159581</v>
      </c>
      <c r="H191" s="2">
        <v>25</v>
      </c>
      <c r="I191" s="2">
        <v>5</v>
      </c>
      <c r="J191" s="2">
        <v>16</v>
      </c>
      <c r="K191" s="11">
        <v>1</v>
      </c>
      <c r="L191" s="11">
        <v>0.80649449834526066</v>
      </c>
      <c r="M191" s="4">
        <v>0.80649449834526066</v>
      </c>
      <c r="N191" s="10">
        <v>0.80600000000000005</v>
      </c>
      <c r="O191" s="4">
        <v>5.5376122211342951</v>
      </c>
      <c r="P191" s="4">
        <v>5.53</v>
      </c>
      <c r="Q191" s="3" t="s">
        <v>1597</v>
      </c>
      <c r="R191" s="3" t="s">
        <v>1607</v>
      </c>
      <c r="S191" s="3" t="s">
        <v>1608</v>
      </c>
      <c r="T191" s="3"/>
    </row>
    <row r="192" spans="1:20">
      <c r="A192" s="3" t="s">
        <v>1600</v>
      </c>
      <c r="B192" s="3" t="s">
        <v>1609</v>
      </c>
      <c r="C192" s="3" t="s">
        <v>1596</v>
      </c>
      <c r="D192" s="3" t="s">
        <v>209</v>
      </c>
      <c r="E192" s="3" t="s">
        <v>210</v>
      </c>
      <c r="F192" s="2">
        <v>1</v>
      </c>
      <c r="G192" s="4">
        <v>1.0074918811159581</v>
      </c>
      <c r="H192" s="2">
        <v>25</v>
      </c>
      <c r="I192" s="2">
        <v>5</v>
      </c>
      <c r="J192" s="2">
        <v>16</v>
      </c>
      <c r="K192" s="4">
        <v>0.23081797284566841</v>
      </c>
      <c r="L192" s="4">
        <v>0.79438600407377447</v>
      </c>
      <c r="M192" s="4">
        <v>0.79438600407377447</v>
      </c>
      <c r="N192" s="10">
        <v>0.79400000000000004</v>
      </c>
      <c r="O192" s="4">
        <v>5.3704802310102595</v>
      </c>
      <c r="P192" s="4">
        <v>5.37</v>
      </c>
      <c r="Q192" s="3" t="s">
        <v>1597</v>
      </c>
      <c r="R192" s="3" t="s">
        <v>1610</v>
      </c>
      <c r="S192" s="3" t="s">
        <v>1611</v>
      </c>
      <c r="T192" s="3"/>
    </row>
    <row r="193" spans="1:20">
      <c r="A193" s="3" t="s">
        <v>1594</v>
      </c>
      <c r="B193" s="3" t="s">
        <v>1595</v>
      </c>
      <c r="C193" s="3" t="s">
        <v>1596</v>
      </c>
      <c r="D193" s="3" t="s">
        <v>209</v>
      </c>
      <c r="E193" s="3" t="s">
        <v>210</v>
      </c>
      <c r="F193" s="2">
        <v>1</v>
      </c>
      <c r="G193" s="4">
        <v>1.0074918811159581</v>
      </c>
      <c r="H193" s="2">
        <v>50</v>
      </c>
      <c r="I193" s="2">
        <v>5</v>
      </c>
      <c r="J193" s="2">
        <v>16</v>
      </c>
      <c r="K193" s="4">
        <v>0.52174243892154182</v>
      </c>
      <c r="L193" s="14">
        <v>0.43493664377917113</v>
      </c>
      <c r="M193" s="4">
        <v>0.43493664377917113</v>
      </c>
      <c r="N193" s="10">
        <v>0.435</v>
      </c>
      <c r="O193" s="4">
        <v>2.5039599193624782</v>
      </c>
      <c r="P193" s="4">
        <v>2.5</v>
      </c>
      <c r="Q193" s="3" t="s">
        <v>1597</v>
      </c>
      <c r="R193" s="3" t="s">
        <v>1598</v>
      </c>
      <c r="S193" s="3" t="s">
        <v>1599</v>
      </c>
      <c r="T193" s="3"/>
    </row>
    <row r="194" spans="1:20">
      <c r="A194" s="3" t="s">
        <v>1594</v>
      </c>
      <c r="B194" s="3" t="s">
        <v>1612</v>
      </c>
      <c r="C194" s="3" t="s">
        <v>1596</v>
      </c>
      <c r="D194" s="3" t="s">
        <v>209</v>
      </c>
      <c r="E194" s="3" t="s">
        <v>210</v>
      </c>
      <c r="F194" s="2">
        <v>1</v>
      </c>
      <c r="G194" s="4">
        <v>1.0074918811159581</v>
      </c>
      <c r="H194" s="2">
        <v>50</v>
      </c>
      <c r="I194" s="2">
        <v>5</v>
      </c>
      <c r="J194" s="2">
        <v>16</v>
      </c>
      <c r="K194" s="4">
        <v>1</v>
      </c>
      <c r="L194" s="14">
        <v>-0.77552627818168329</v>
      </c>
      <c r="M194" s="4">
        <v>0.77552627818168329</v>
      </c>
      <c r="N194" s="10">
        <v>0.77600000000000002</v>
      </c>
      <c r="O194" s="4">
        <v>5.5566170664356207</v>
      </c>
      <c r="P194" s="4">
        <v>-5.56</v>
      </c>
      <c r="Q194" s="3" t="s">
        <v>1617</v>
      </c>
      <c r="R194" s="3" t="s">
        <v>1627</v>
      </c>
      <c r="S194" s="3" t="s">
        <v>1628</v>
      </c>
      <c r="T194" s="3"/>
    </row>
    <row r="195" spans="1:20">
      <c r="A195" s="3" t="s">
        <v>1600</v>
      </c>
      <c r="B195" s="3" t="s">
        <v>1606</v>
      </c>
      <c r="C195" s="3" t="s">
        <v>1596</v>
      </c>
      <c r="D195" s="3" t="s">
        <v>1111</v>
      </c>
      <c r="E195" s="3" t="s">
        <v>1112</v>
      </c>
      <c r="F195" s="2">
        <v>1</v>
      </c>
      <c r="G195" s="4">
        <v>1.0075349838536061</v>
      </c>
      <c r="H195" s="2">
        <v>25</v>
      </c>
      <c r="I195" s="2">
        <v>5</v>
      </c>
      <c r="J195" s="2">
        <v>1</v>
      </c>
      <c r="K195" s="4">
        <v>1</v>
      </c>
      <c r="L195" s="4">
        <v>0.98667612919485248</v>
      </c>
      <c r="M195" s="4">
        <v>0.98667612919485248</v>
      </c>
      <c r="N195" s="10">
        <v>0.98699999999999999</v>
      </c>
      <c r="O195" s="4">
        <v>12.406395371728737</v>
      </c>
      <c r="P195" s="4">
        <v>12.47</v>
      </c>
      <c r="Q195" s="3" t="s">
        <v>1597</v>
      </c>
      <c r="R195" s="3" t="s">
        <v>1607</v>
      </c>
      <c r="S195" s="3" t="s">
        <v>1608</v>
      </c>
      <c r="T195" s="3"/>
    </row>
    <row r="196" spans="1:20">
      <c r="A196" s="3" t="s">
        <v>1600</v>
      </c>
      <c r="B196" s="3" t="s">
        <v>1606</v>
      </c>
      <c r="C196" s="3" t="s">
        <v>1616</v>
      </c>
      <c r="D196" s="3" t="s">
        <v>1111</v>
      </c>
      <c r="E196" s="3" t="s">
        <v>1112</v>
      </c>
      <c r="F196" s="2">
        <v>1</v>
      </c>
      <c r="G196" s="4">
        <v>1.0075349838536061</v>
      </c>
      <c r="H196" s="2">
        <v>25</v>
      </c>
      <c r="I196" s="2">
        <v>5</v>
      </c>
      <c r="J196" s="2">
        <v>16</v>
      </c>
      <c r="K196" s="4">
        <v>1</v>
      </c>
      <c r="L196" s="4">
        <v>0.97836921797617982</v>
      </c>
      <c r="M196" s="4">
        <v>0.97836921797617982</v>
      </c>
      <c r="N196" s="10">
        <v>0.97799999999999998</v>
      </c>
      <c r="O196" s="4">
        <v>11.194799062947492</v>
      </c>
      <c r="P196" s="4">
        <v>11.15</v>
      </c>
      <c r="Q196" s="3" t="s">
        <v>1597</v>
      </c>
      <c r="R196" s="3" t="s">
        <v>1607</v>
      </c>
      <c r="S196" s="3" t="s">
        <v>1608</v>
      </c>
      <c r="T196" s="3"/>
    </row>
    <row r="197" spans="1:20">
      <c r="A197" s="3" t="s">
        <v>1600</v>
      </c>
      <c r="B197" s="3" t="s">
        <v>1606</v>
      </c>
      <c r="C197" s="3" t="s">
        <v>1616</v>
      </c>
      <c r="D197" s="3" t="s">
        <v>1111</v>
      </c>
      <c r="E197" s="3" t="s">
        <v>1112</v>
      </c>
      <c r="F197" s="2">
        <v>1</v>
      </c>
      <c r="G197" s="4">
        <v>1.0075349838536061</v>
      </c>
      <c r="H197" s="2">
        <v>25</v>
      </c>
      <c r="I197" s="2">
        <v>5</v>
      </c>
      <c r="J197" s="2">
        <v>1</v>
      </c>
      <c r="K197" s="4">
        <v>1</v>
      </c>
      <c r="L197" s="4">
        <v>0.97365167349436199</v>
      </c>
      <c r="M197" s="4">
        <v>0.97365167349436199</v>
      </c>
      <c r="N197" s="10">
        <v>0.97399999999999998</v>
      </c>
      <c r="O197" s="4">
        <v>10.699811641312261</v>
      </c>
      <c r="P197" s="4">
        <v>10.73</v>
      </c>
      <c r="Q197" s="3" t="s">
        <v>1597</v>
      </c>
      <c r="R197" s="3" t="s">
        <v>1607</v>
      </c>
      <c r="S197" s="3" t="s">
        <v>1608</v>
      </c>
      <c r="T197" s="3"/>
    </row>
    <row r="198" spans="1:20">
      <c r="A198" s="3" t="s">
        <v>1600</v>
      </c>
      <c r="B198" s="3" t="s">
        <v>1606</v>
      </c>
      <c r="C198" s="3" t="s">
        <v>1596</v>
      </c>
      <c r="D198" s="3" t="s">
        <v>1111</v>
      </c>
      <c r="E198" s="3" t="s">
        <v>1112</v>
      </c>
      <c r="F198" s="2">
        <v>1</v>
      </c>
      <c r="G198" s="4">
        <v>1.0075349838536061</v>
      </c>
      <c r="H198" s="2">
        <v>25</v>
      </c>
      <c r="I198" s="2">
        <v>5</v>
      </c>
      <c r="J198" s="2">
        <v>16</v>
      </c>
      <c r="K198" s="4">
        <v>1</v>
      </c>
      <c r="L198" s="4">
        <v>0.96289324986869085</v>
      </c>
      <c r="M198" s="4">
        <v>0.96289324986869085</v>
      </c>
      <c r="N198" s="10">
        <v>0.96299999999999997</v>
      </c>
      <c r="O198" s="4">
        <v>9.8374775981790066</v>
      </c>
      <c r="P198" s="4">
        <v>9.84</v>
      </c>
      <c r="Q198" s="3" t="s">
        <v>1597</v>
      </c>
      <c r="R198" s="3" t="s">
        <v>1607</v>
      </c>
      <c r="S198" s="3" t="s">
        <v>1608</v>
      </c>
      <c r="T198" s="3"/>
    </row>
    <row r="199" spans="1:20">
      <c r="A199" s="3" t="s">
        <v>1600</v>
      </c>
      <c r="B199" s="3" t="s">
        <v>1601</v>
      </c>
      <c r="C199" s="3" t="s">
        <v>1616</v>
      </c>
      <c r="D199" s="3" t="s">
        <v>1111</v>
      </c>
      <c r="E199" s="3" t="s">
        <v>1112</v>
      </c>
      <c r="F199" s="2">
        <v>1</v>
      </c>
      <c r="G199" s="4">
        <v>1.0075349838536061</v>
      </c>
      <c r="H199" s="2">
        <v>25</v>
      </c>
      <c r="I199" s="2">
        <v>5</v>
      </c>
      <c r="J199" s="2">
        <v>1</v>
      </c>
      <c r="K199" s="4">
        <v>1</v>
      </c>
      <c r="L199" s="4">
        <v>0.94287419208649759</v>
      </c>
      <c r="M199" s="4">
        <v>0.94287419208649759</v>
      </c>
      <c r="N199" s="10">
        <v>0.94299999999999995</v>
      </c>
      <c r="O199" s="4">
        <v>8.7424970068469783</v>
      </c>
      <c r="P199" s="4">
        <v>8.75</v>
      </c>
      <c r="Q199" s="3" t="s">
        <v>1597</v>
      </c>
      <c r="R199" s="3" t="s">
        <v>1602</v>
      </c>
      <c r="S199" s="3" t="s">
        <v>1603</v>
      </c>
      <c r="T199" s="3"/>
    </row>
    <row r="200" spans="1:20">
      <c r="A200" s="3" t="s">
        <v>1600</v>
      </c>
      <c r="B200" s="3" t="s">
        <v>1601</v>
      </c>
      <c r="C200" s="3" t="s">
        <v>1616</v>
      </c>
      <c r="D200" s="3" t="s">
        <v>1111</v>
      </c>
      <c r="E200" s="3" t="s">
        <v>1112</v>
      </c>
      <c r="F200" s="2">
        <v>1</v>
      </c>
      <c r="G200" s="4">
        <v>1.0075349838536061</v>
      </c>
      <c r="H200" s="2">
        <v>25</v>
      </c>
      <c r="I200" s="2">
        <v>5</v>
      </c>
      <c r="J200" s="2">
        <v>16</v>
      </c>
      <c r="K200" s="4">
        <v>1</v>
      </c>
      <c r="L200" s="4">
        <v>0.9361701590140179</v>
      </c>
      <c r="M200" s="4">
        <v>0.9361701590140179</v>
      </c>
      <c r="N200" s="10">
        <v>0.93600000000000005</v>
      </c>
      <c r="O200" s="4">
        <v>8.4588501018859947</v>
      </c>
      <c r="P200" s="4">
        <v>8.4499999999999993</v>
      </c>
      <c r="Q200" s="3" t="s">
        <v>1597</v>
      </c>
      <c r="R200" s="3" t="s">
        <v>1602</v>
      </c>
      <c r="S200" s="3" t="s">
        <v>1603</v>
      </c>
      <c r="T200" s="3"/>
    </row>
    <row r="201" spans="1:20">
      <c r="A201" s="3" t="s">
        <v>1600</v>
      </c>
      <c r="B201" s="3" t="s">
        <v>1601</v>
      </c>
      <c r="C201" s="3" t="s">
        <v>1596</v>
      </c>
      <c r="D201" s="3" t="s">
        <v>1111</v>
      </c>
      <c r="E201" s="3" t="s">
        <v>1112</v>
      </c>
      <c r="F201" s="2">
        <v>1</v>
      </c>
      <c r="G201" s="4">
        <v>1.0075349838536061</v>
      </c>
      <c r="H201" s="2">
        <v>25</v>
      </c>
      <c r="I201" s="2">
        <v>5</v>
      </c>
      <c r="J201" s="2">
        <v>1</v>
      </c>
      <c r="K201" s="4">
        <v>1</v>
      </c>
      <c r="L201" s="4">
        <v>0.90278663064900089</v>
      </c>
      <c r="M201" s="4">
        <v>0.90278663064900089</v>
      </c>
      <c r="N201" s="10">
        <v>0.90300000000000002</v>
      </c>
      <c r="O201" s="4">
        <v>7.3728640798672025</v>
      </c>
      <c r="P201" s="4">
        <v>7.38</v>
      </c>
      <c r="Q201" s="3" t="s">
        <v>1597</v>
      </c>
      <c r="R201" s="3" t="s">
        <v>1602</v>
      </c>
      <c r="S201" s="3" t="s">
        <v>1603</v>
      </c>
      <c r="T201" s="3"/>
    </row>
    <row r="202" spans="1:20">
      <c r="A202" s="3" t="s">
        <v>1600</v>
      </c>
      <c r="B202" s="3" t="s">
        <v>1601</v>
      </c>
      <c r="C202" s="3" t="s">
        <v>1596</v>
      </c>
      <c r="D202" s="3" t="s">
        <v>1111</v>
      </c>
      <c r="E202" s="3" t="s">
        <v>1112</v>
      </c>
      <c r="F202" s="2">
        <v>1</v>
      </c>
      <c r="G202" s="4">
        <v>1.0075349838536061</v>
      </c>
      <c r="H202" s="2">
        <v>25</v>
      </c>
      <c r="I202" s="2">
        <v>5</v>
      </c>
      <c r="J202" s="2">
        <v>16</v>
      </c>
      <c r="K202" s="4">
        <v>1</v>
      </c>
      <c r="L202" s="4">
        <v>0.89770578153901626</v>
      </c>
      <c r="M202" s="4">
        <v>0.89770578153901626</v>
      </c>
      <c r="N202" s="10">
        <v>0.89800000000000002</v>
      </c>
      <c r="O202" s="4">
        <v>7.2399450406707953</v>
      </c>
      <c r="P202" s="4">
        <v>7.25</v>
      </c>
      <c r="Q202" s="3" t="s">
        <v>1597</v>
      </c>
      <c r="R202" s="3" t="s">
        <v>1602</v>
      </c>
      <c r="S202" s="3" t="s">
        <v>1603</v>
      </c>
      <c r="T202" s="3"/>
    </row>
    <row r="203" spans="1:20">
      <c r="A203" s="3" t="s">
        <v>1605</v>
      </c>
      <c r="B203" s="3" t="s">
        <v>1601</v>
      </c>
      <c r="C203" s="3" t="s">
        <v>1596</v>
      </c>
      <c r="D203" s="3" t="s">
        <v>1111</v>
      </c>
      <c r="E203" s="3" t="s">
        <v>1112</v>
      </c>
      <c r="F203" s="2">
        <v>1</v>
      </c>
      <c r="G203" s="4">
        <v>1.0075349838536061</v>
      </c>
      <c r="H203" s="2">
        <v>25</v>
      </c>
      <c r="I203" s="2">
        <v>5</v>
      </c>
      <c r="J203" s="2">
        <v>16</v>
      </c>
      <c r="K203" s="4">
        <v>1</v>
      </c>
      <c r="L203" s="4">
        <v>0.87909382407171155</v>
      </c>
      <c r="M203" s="4">
        <v>0.87909382407171155</v>
      </c>
      <c r="N203" s="10">
        <v>0.879</v>
      </c>
      <c r="O203" s="4">
        <v>6.8011237849378627</v>
      </c>
      <c r="P203" s="4">
        <v>6.8</v>
      </c>
      <c r="Q203" s="3" t="s">
        <v>1597</v>
      </c>
      <c r="R203" s="3" t="s">
        <v>1602</v>
      </c>
      <c r="S203" s="3" t="s">
        <v>1603</v>
      </c>
      <c r="T203" s="3"/>
    </row>
    <row r="204" spans="1:20">
      <c r="A204" s="3" t="s">
        <v>1604</v>
      </c>
      <c r="B204" s="3" t="s">
        <v>1601</v>
      </c>
      <c r="C204" s="3" t="s">
        <v>1616</v>
      </c>
      <c r="D204" s="3" t="s">
        <v>1111</v>
      </c>
      <c r="E204" s="3" t="s">
        <v>1112</v>
      </c>
      <c r="F204" s="2">
        <v>1</v>
      </c>
      <c r="G204" s="4">
        <v>1.0075349838536061</v>
      </c>
      <c r="H204" s="2">
        <v>25</v>
      </c>
      <c r="I204" s="2">
        <v>30</v>
      </c>
      <c r="J204" s="2">
        <v>16</v>
      </c>
      <c r="K204" s="4">
        <v>1</v>
      </c>
      <c r="L204" s="4">
        <v>0.86090079952398468</v>
      </c>
      <c r="M204" s="4">
        <v>0.86090079952398468</v>
      </c>
      <c r="N204" s="10">
        <v>0.86099999999999999</v>
      </c>
      <c r="O204" s="4">
        <v>6.429522755221095</v>
      </c>
      <c r="P204" s="4">
        <v>6.43</v>
      </c>
      <c r="Q204" s="3" t="s">
        <v>1597</v>
      </c>
      <c r="R204" s="3" t="s">
        <v>1602</v>
      </c>
      <c r="S204" s="3" t="s">
        <v>1603</v>
      </c>
      <c r="T204" s="3"/>
    </row>
    <row r="205" spans="1:20">
      <c r="A205" s="3" t="s">
        <v>1600</v>
      </c>
      <c r="B205" s="3" t="s">
        <v>1609</v>
      </c>
      <c r="C205" s="3" t="s">
        <v>1616</v>
      </c>
      <c r="D205" s="3" t="s">
        <v>1111</v>
      </c>
      <c r="E205" s="3" t="s">
        <v>1112</v>
      </c>
      <c r="F205" s="2">
        <v>1</v>
      </c>
      <c r="G205" s="4">
        <v>1.0075349838536061</v>
      </c>
      <c r="H205" s="2">
        <v>25</v>
      </c>
      <c r="I205" s="2">
        <v>5</v>
      </c>
      <c r="J205" s="2">
        <v>16</v>
      </c>
      <c r="K205" s="4">
        <v>0.98084067273215347</v>
      </c>
      <c r="L205" s="4">
        <v>0.77947845635368262</v>
      </c>
      <c r="M205" s="4">
        <v>0.77947845635368262</v>
      </c>
      <c r="N205" s="10">
        <v>0.77900000000000003</v>
      </c>
      <c r="O205" s="4">
        <v>5.1762843739976425</v>
      </c>
      <c r="P205" s="4">
        <v>5.17</v>
      </c>
      <c r="Q205" s="3" t="s">
        <v>1597</v>
      </c>
      <c r="R205" s="3" t="s">
        <v>1610</v>
      </c>
      <c r="S205" s="3" t="s">
        <v>1611</v>
      </c>
      <c r="T205" s="3"/>
    </row>
    <row r="206" spans="1:20">
      <c r="A206" s="3" t="s">
        <v>1600</v>
      </c>
      <c r="B206" s="3" t="s">
        <v>1609</v>
      </c>
      <c r="C206" s="3" t="s">
        <v>1616</v>
      </c>
      <c r="D206" s="3" t="s">
        <v>1111</v>
      </c>
      <c r="E206" s="3" t="s">
        <v>1112</v>
      </c>
      <c r="F206" s="2">
        <v>1</v>
      </c>
      <c r="G206" s="4">
        <v>1.0075349838536061</v>
      </c>
      <c r="H206" s="2">
        <v>25</v>
      </c>
      <c r="I206" s="2">
        <v>5</v>
      </c>
      <c r="J206" s="2">
        <v>1</v>
      </c>
      <c r="K206" s="4">
        <v>0.96975945499132599</v>
      </c>
      <c r="L206" s="4">
        <v>0.72089513340257261</v>
      </c>
      <c r="M206" s="4">
        <v>0.72089513340257261</v>
      </c>
      <c r="N206" s="10">
        <v>0.72099999999999997</v>
      </c>
      <c r="O206" s="4">
        <v>4.5092735611952213</v>
      </c>
      <c r="P206" s="4">
        <v>4.51</v>
      </c>
      <c r="Q206" s="3" t="s">
        <v>1597</v>
      </c>
      <c r="R206" s="3" t="s">
        <v>1610</v>
      </c>
      <c r="S206" s="3" t="s">
        <v>1611</v>
      </c>
      <c r="T206" s="3"/>
    </row>
    <row r="207" spans="1:20">
      <c r="A207" s="3" t="s">
        <v>1600</v>
      </c>
      <c r="B207" s="3" t="s">
        <v>1609</v>
      </c>
      <c r="C207" s="3" t="s">
        <v>1596</v>
      </c>
      <c r="D207" s="3" t="s">
        <v>1111</v>
      </c>
      <c r="E207" s="3" t="s">
        <v>1112</v>
      </c>
      <c r="F207" s="2">
        <v>1</v>
      </c>
      <c r="G207" s="4">
        <v>1.0075349838536061</v>
      </c>
      <c r="H207" s="2">
        <v>25</v>
      </c>
      <c r="I207" s="2">
        <v>5</v>
      </c>
      <c r="J207" s="2">
        <v>1</v>
      </c>
      <c r="K207" s="4">
        <v>1</v>
      </c>
      <c r="L207" s="4">
        <v>0.71770351335315274</v>
      </c>
      <c r="M207" s="4">
        <v>0.71770351335315274</v>
      </c>
      <c r="N207" s="10">
        <v>0.71799999999999997</v>
      </c>
      <c r="O207" s="4">
        <v>4.4764850860764147</v>
      </c>
      <c r="P207" s="4">
        <v>4.4800000000000004</v>
      </c>
      <c r="Q207" s="3" t="s">
        <v>1597</v>
      </c>
      <c r="R207" s="3" t="s">
        <v>1610</v>
      </c>
      <c r="S207" s="3" t="s">
        <v>1611</v>
      </c>
      <c r="T207" s="3"/>
    </row>
    <row r="208" spans="1:20">
      <c r="A208" s="3" t="s">
        <v>1604</v>
      </c>
      <c r="B208" s="3" t="s">
        <v>1601</v>
      </c>
      <c r="C208" s="3" t="s">
        <v>1596</v>
      </c>
      <c r="D208" s="3" t="s">
        <v>1111</v>
      </c>
      <c r="E208" s="3" t="s">
        <v>1112</v>
      </c>
      <c r="F208" s="2">
        <v>1</v>
      </c>
      <c r="G208" s="4">
        <v>1.0075349838536061</v>
      </c>
      <c r="H208" s="2">
        <v>25</v>
      </c>
      <c r="I208" s="2">
        <v>30</v>
      </c>
      <c r="J208" s="2">
        <v>16</v>
      </c>
      <c r="K208" s="4">
        <v>1</v>
      </c>
      <c r="L208" s="4">
        <v>0.68076691688420699</v>
      </c>
      <c r="M208" s="4">
        <v>0.68076691688420699</v>
      </c>
      <c r="N208" s="10">
        <v>0.68100000000000005</v>
      </c>
      <c r="O208" s="4">
        <v>4.1177742786130596</v>
      </c>
      <c r="P208" s="4">
        <v>4.12</v>
      </c>
      <c r="Q208" s="3" t="s">
        <v>1597</v>
      </c>
      <c r="R208" s="3" t="s">
        <v>1602</v>
      </c>
      <c r="S208" s="3" t="s">
        <v>1603</v>
      </c>
      <c r="T208" s="3"/>
    </row>
    <row r="209" spans="1:20">
      <c r="A209" s="3" t="s">
        <v>1600</v>
      </c>
      <c r="B209" s="3" t="s">
        <v>1609</v>
      </c>
      <c r="C209" s="3" t="s">
        <v>1596</v>
      </c>
      <c r="D209" s="3" t="s">
        <v>1111</v>
      </c>
      <c r="E209" s="3" t="s">
        <v>1112</v>
      </c>
      <c r="F209" s="2">
        <v>1</v>
      </c>
      <c r="G209" s="4">
        <v>1.0075349838536061</v>
      </c>
      <c r="H209" s="2">
        <v>25</v>
      </c>
      <c r="I209" s="2">
        <v>5</v>
      </c>
      <c r="J209" s="2">
        <v>16</v>
      </c>
      <c r="K209" s="4">
        <v>1</v>
      </c>
      <c r="L209" s="4">
        <v>0.66788842314792463</v>
      </c>
      <c r="M209" s="4">
        <v>0.66788842314792463</v>
      </c>
      <c r="N209" s="10">
        <v>0.66800000000000004</v>
      </c>
      <c r="O209" s="4">
        <v>4.0006646946710323</v>
      </c>
      <c r="P209" s="4">
        <v>4</v>
      </c>
      <c r="Q209" s="3" t="s">
        <v>1597</v>
      </c>
      <c r="R209" s="3" t="s">
        <v>1610</v>
      </c>
      <c r="S209" s="3" t="s">
        <v>1611</v>
      </c>
      <c r="T209" s="3"/>
    </row>
    <row r="210" spans="1:20">
      <c r="A210" s="3" t="s">
        <v>1594</v>
      </c>
      <c r="B210" s="3" t="s">
        <v>1595</v>
      </c>
      <c r="C210" s="3" t="s">
        <v>1596</v>
      </c>
      <c r="D210" s="3" t="s">
        <v>1111</v>
      </c>
      <c r="E210" s="3" t="s">
        <v>1112</v>
      </c>
      <c r="F210" s="2">
        <v>1</v>
      </c>
      <c r="G210" s="4">
        <v>1.0075349838536061</v>
      </c>
      <c r="H210" s="2">
        <v>25</v>
      </c>
      <c r="I210" s="2">
        <v>5</v>
      </c>
      <c r="J210" s="2">
        <v>16</v>
      </c>
      <c r="K210" s="4">
        <v>1</v>
      </c>
      <c r="L210" s="4">
        <v>4.5973573802895233E-2</v>
      </c>
      <c r="M210" s="4">
        <v>4.5973573802895233E-2</v>
      </c>
      <c r="N210" s="10">
        <v>4.5999999999999999E-2</v>
      </c>
      <c r="O210" s="4">
        <v>0.22809484146873521</v>
      </c>
      <c r="P210" s="4">
        <v>0.23</v>
      </c>
      <c r="Q210" s="3" t="s">
        <v>1597</v>
      </c>
      <c r="R210" s="3" t="s">
        <v>1598</v>
      </c>
      <c r="S210" s="3" t="s">
        <v>1599</v>
      </c>
      <c r="T210" s="3"/>
    </row>
    <row r="211" spans="1:20">
      <c r="A211" s="3" t="s">
        <v>1594</v>
      </c>
      <c r="B211" s="3" t="s">
        <v>1595</v>
      </c>
      <c r="C211" s="3" t="s">
        <v>1596</v>
      </c>
      <c r="D211" s="3" t="s">
        <v>1111</v>
      </c>
      <c r="E211" s="3" t="s">
        <v>1112</v>
      </c>
      <c r="F211" s="2">
        <v>1</v>
      </c>
      <c r="G211" s="4">
        <v>1.0075349838536061</v>
      </c>
      <c r="H211" s="2">
        <v>50</v>
      </c>
      <c r="I211" s="2">
        <v>5</v>
      </c>
      <c r="J211" s="2">
        <v>16</v>
      </c>
      <c r="K211" s="4">
        <v>1</v>
      </c>
      <c r="L211" s="4">
        <v>-1.1151333250079758E-2</v>
      </c>
      <c r="M211" s="4">
        <v>1.1151333250079758E-2</v>
      </c>
      <c r="N211" s="10">
        <v>1.0999999999999999E-2</v>
      </c>
      <c r="O211" s="4">
        <v>5.9925972545470919E-2</v>
      </c>
      <c r="P211" s="4">
        <v>-0.06</v>
      </c>
      <c r="Q211" s="3" t="s">
        <v>1617</v>
      </c>
      <c r="R211" s="3" t="s">
        <v>1625</v>
      </c>
      <c r="S211" s="3" t="s">
        <v>1626</v>
      </c>
      <c r="T211" s="3"/>
    </row>
    <row r="212" spans="1:20">
      <c r="A212" s="3" t="s">
        <v>1594</v>
      </c>
      <c r="B212" s="3" t="s">
        <v>1612</v>
      </c>
      <c r="C212" s="3" t="s">
        <v>1596</v>
      </c>
      <c r="D212" s="3" t="s">
        <v>1111</v>
      </c>
      <c r="E212" s="3" t="s">
        <v>1112</v>
      </c>
      <c r="F212" s="2">
        <v>1</v>
      </c>
      <c r="G212" s="4">
        <v>1.0075349838536061</v>
      </c>
      <c r="H212" s="2">
        <v>50</v>
      </c>
      <c r="I212" s="2">
        <v>5</v>
      </c>
      <c r="J212" s="2">
        <v>16</v>
      </c>
      <c r="K212" s="4">
        <v>1</v>
      </c>
      <c r="L212" s="4">
        <v>-0.52151266593763679</v>
      </c>
      <c r="M212" s="4">
        <v>0.52151266593763679</v>
      </c>
      <c r="N212" s="10">
        <v>0.52200000000000002</v>
      </c>
      <c r="O212" s="4">
        <v>3.1082078168872176</v>
      </c>
      <c r="P212" s="4">
        <v>-3.11</v>
      </c>
      <c r="Q212" s="3" t="s">
        <v>1617</v>
      </c>
      <c r="R212" s="3" t="s">
        <v>1627</v>
      </c>
      <c r="S212" s="3" t="s">
        <v>1628</v>
      </c>
      <c r="T212" s="3"/>
    </row>
    <row r="213" spans="1:20">
      <c r="A213" s="3" t="s">
        <v>1600</v>
      </c>
      <c r="B213" s="3" t="s">
        <v>1609</v>
      </c>
      <c r="C213" s="3" t="s">
        <v>1616</v>
      </c>
      <c r="D213" s="3" t="s">
        <v>1274</v>
      </c>
      <c r="E213" s="3" t="s">
        <v>1275</v>
      </c>
      <c r="F213" s="2">
        <v>1</v>
      </c>
      <c r="G213" s="4">
        <v>1.0088406297289405</v>
      </c>
      <c r="H213" s="2">
        <v>25</v>
      </c>
      <c r="I213" s="2">
        <v>5</v>
      </c>
      <c r="J213" s="2">
        <v>1</v>
      </c>
      <c r="K213" s="4">
        <v>1.5238101591750652E-2</v>
      </c>
      <c r="L213" s="4">
        <v>0.60590195145168968</v>
      </c>
      <c r="M213" s="4">
        <v>0.60590195145168968</v>
      </c>
      <c r="N213" s="10">
        <v>0.60599999999999998</v>
      </c>
      <c r="O213" s="4">
        <v>3.4825563994502158</v>
      </c>
      <c r="P213" s="4">
        <v>3.48</v>
      </c>
      <c r="Q213" s="3" t="s">
        <v>1597</v>
      </c>
      <c r="R213" s="3" t="s">
        <v>1610</v>
      </c>
      <c r="S213" s="3" t="s">
        <v>1611</v>
      </c>
      <c r="T213" s="3"/>
    </row>
    <row r="214" spans="1:20">
      <c r="A214" s="3" t="s">
        <v>1600</v>
      </c>
      <c r="B214" s="3" t="s">
        <v>1606</v>
      </c>
      <c r="C214" s="3" t="s">
        <v>1616</v>
      </c>
      <c r="D214" s="3" t="s">
        <v>1274</v>
      </c>
      <c r="E214" s="3" t="s">
        <v>1275</v>
      </c>
      <c r="F214" s="2">
        <v>1</v>
      </c>
      <c r="G214" s="4">
        <v>1.0088406297289405</v>
      </c>
      <c r="H214" s="2">
        <v>25</v>
      </c>
      <c r="I214" s="2">
        <v>5</v>
      </c>
      <c r="J214" s="2">
        <v>16</v>
      </c>
      <c r="K214" s="4">
        <v>3.4613943587914586E-2</v>
      </c>
      <c r="L214" s="4">
        <v>0.16698538029732898</v>
      </c>
      <c r="M214" s="4">
        <v>0.16698538029732898</v>
      </c>
      <c r="N214" s="10">
        <v>0.16700000000000001</v>
      </c>
      <c r="O214" s="4">
        <v>0.83572936459696145</v>
      </c>
      <c r="P214" s="4">
        <v>0.84</v>
      </c>
      <c r="Q214" s="3" t="s">
        <v>1597</v>
      </c>
      <c r="R214" s="3" t="s">
        <v>1607</v>
      </c>
      <c r="S214" s="3" t="s">
        <v>1608</v>
      </c>
      <c r="T214" s="3"/>
    </row>
    <row r="215" spans="1:20">
      <c r="A215" s="3" t="s">
        <v>1594</v>
      </c>
      <c r="B215" s="3" t="s">
        <v>1612</v>
      </c>
      <c r="C215" s="3" t="s">
        <v>1596</v>
      </c>
      <c r="D215" s="3" t="s">
        <v>1274</v>
      </c>
      <c r="E215" s="3" t="s">
        <v>1275</v>
      </c>
      <c r="F215" s="2">
        <v>1</v>
      </c>
      <c r="G215" s="4">
        <v>1.0088406297289405</v>
      </c>
      <c r="H215" s="2">
        <v>50</v>
      </c>
      <c r="I215" s="2">
        <v>5</v>
      </c>
      <c r="J215" s="2">
        <v>16</v>
      </c>
      <c r="K215" s="4">
        <v>0.31787378703674896</v>
      </c>
      <c r="L215" s="4">
        <v>5.9719418393683082E-2</v>
      </c>
      <c r="M215" s="4">
        <v>5.9719418393683082E-2</v>
      </c>
      <c r="N215" s="10">
        <v>0.06</v>
      </c>
      <c r="O215" s="4">
        <v>0.32129424996381389</v>
      </c>
      <c r="P215" s="4">
        <v>0.32</v>
      </c>
      <c r="Q215" s="3" t="s">
        <v>1597</v>
      </c>
      <c r="R215" s="3" t="s">
        <v>1613</v>
      </c>
      <c r="S215" s="3" t="s">
        <v>1614</v>
      </c>
      <c r="T215" s="3"/>
    </row>
    <row r="216" spans="1:20">
      <c r="A216" s="3" t="s">
        <v>1600</v>
      </c>
      <c r="B216" s="3" t="s">
        <v>1601</v>
      </c>
      <c r="C216" s="3" t="s">
        <v>1616</v>
      </c>
      <c r="D216" s="3" t="s">
        <v>1274</v>
      </c>
      <c r="E216" s="3" t="s">
        <v>1275</v>
      </c>
      <c r="F216" s="2">
        <v>1</v>
      </c>
      <c r="G216" s="4">
        <v>1.0088406297289405</v>
      </c>
      <c r="H216" s="2">
        <v>25</v>
      </c>
      <c r="I216" s="2">
        <v>5</v>
      </c>
      <c r="J216" s="2">
        <v>1</v>
      </c>
      <c r="K216" s="4">
        <v>0</v>
      </c>
      <c r="L216" s="4">
        <v>0</v>
      </c>
      <c r="M216" s="4">
        <v>0</v>
      </c>
      <c r="N216" s="10">
        <v>0</v>
      </c>
      <c r="O216" s="4">
        <v>0</v>
      </c>
      <c r="P216" s="4">
        <v>0</v>
      </c>
      <c r="Q216" s="3" t="s">
        <v>1617</v>
      </c>
      <c r="R216" s="3" t="s">
        <v>1618</v>
      </c>
      <c r="S216" s="3" t="s">
        <v>1619</v>
      </c>
      <c r="T216" s="3"/>
    </row>
    <row r="217" spans="1:20">
      <c r="A217" s="3" t="s">
        <v>1600</v>
      </c>
      <c r="B217" s="3" t="s">
        <v>1601</v>
      </c>
      <c r="C217" s="3" t="s">
        <v>1596</v>
      </c>
      <c r="D217" s="3" t="s">
        <v>1274</v>
      </c>
      <c r="E217" s="3" t="s">
        <v>1275</v>
      </c>
      <c r="F217" s="2">
        <v>1</v>
      </c>
      <c r="G217" s="4">
        <v>1.0088406297289405</v>
      </c>
      <c r="H217" s="2">
        <v>25</v>
      </c>
      <c r="I217" s="2">
        <v>5</v>
      </c>
      <c r="J217" s="2">
        <v>1</v>
      </c>
      <c r="K217" s="4">
        <v>0</v>
      </c>
      <c r="L217" s="4">
        <v>0</v>
      </c>
      <c r="M217" s="4">
        <v>0</v>
      </c>
      <c r="N217" s="10">
        <v>0</v>
      </c>
      <c r="O217" s="4">
        <v>0</v>
      </c>
      <c r="P217" s="4">
        <v>0</v>
      </c>
      <c r="Q217" s="3" t="s">
        <v>1617</v>
      </c>
      <c r="R217" s="3" t="s">
        <v>1618</v>
      </c>
      <c r="S217" s="3" t="s">
        <v>1619</v>
      </c>
      <c r="T217" s="3"/>
    </row>
    <row r="218" spans="1:20">
      <c r="A218" s="3" t="s">
        <v>1600</v>
      </c>
      <c r="B218" s="3" t="s">
        <v>1606</v>
      </c>
      <c r="C218" s="3" t="s">
        <v>1596</v>
      </c>
      <c r="D218" s="3" t="s">
        <v>1274</v>
      </c>
      <c r="E218" s="3" t="s">
        <v>1275</v>
      </c>
      <c r="F218" s="2">
        <v>1</v>
      </c>
      <c r="G218" s="4">
        <v>1.0088406297289405</v>
      </c>
      <c r="H218" s="2">
        <v>25</v>
      </c>
      <c r="I218" s="2">
        <v>5</v>
      </c>
      <c r="J218" s="2">
        <v>1</v>
      </c>
      <c r="K218" s="4">
        <v>0</v>
      </c>
      <c r="L218" s="4">
        <v>0</v>
      </c>
      <c r="M218" s="4">
        <v>0</v>
      </c>
      <c r="N218" s="10">
        <v>0</v>
      </c>
      <c r="O218" s="4">
        <v>0</v>
      </c>
      <c r="P218" s="4">
        <v>0</v>
      </c>
      <c r="Q218" s="3" t="s">
        <v>1617</v>
      </c>
      <c r="R218" s="3" t="s">
        <v>1621</v>
      </c>
      <c r="S218" s="3" t="s">
        <v>1622</v>
      </c>
      <c r="T218" s="3"/>
    </row>
    <row r="219" spans="1:20">
      <c r="A219" s="3" t="s">
        <v>1600</v>
      </c>
      <c r="B219" s="3" t="s">
        <v>1606</v>
      </c>
      <c r="C219" s="3" t="s">
        <v>1596</v>
      </c>
      <c r="D219" s="3" t="s">
        <v>1274</v>
      </c>
      <c r="E219" s="3" t="s">
        <v>1275</v>
      </c>
      <c r="F219" s="2">
        <v>1</v>
      </c>
      <c r="G219" s="4">
        <v>1.0088406297289405</v>
      </c>
      <c r="H219" s="2">
        <v>25</v>
      </c>
      <c r="I219" s="2">
        <v>5</v>
      </c>
      <c r="J219" s="2">
        <v>16</v>
      </c>
      <c r="K219" s="4">
        <v>0</v>
      </c>
      <c r="L219" s="4">
        <v>0</v>
      </c>
      <c r="M219" s="4">
        <v>0</v>
      </c>
      <c r="N219" s="10">
        <v>0</v>
      </c>
      <c r="O219" s="4">
        <v>0</v>
      </c>
      <c r="P219" s="4">
        <v>0</v>
      </c>
      <c r="Q219" s="3" t="s">
        <v>1617</v>
      </c>
      <c r="R219" s="3" t="s">
        <v>1621</v>
      </c>
      <c r="S219" s="3" t="s">
        <v>1622</v>
      </c>
      <c r="T219" s="3"/>
    </row>
    <row r="220" spans="1:20">
      <c r="A220" s="3" t="s">
        <v>1600</v>
      </c>
      <c r="B220" s="3" t="s">
        <v>1606</v>
      </c>
      <c r="C220" s="3" t="s">
        <v>1616</v>
      </c>
      <c r="D220" s="3" t="s">
        <v>1274</v>
      </c>
      <c r="E220" s="3" t="s">
        <v>1275</v>
      </c>
      <c r="F220" s="2">
        <v>1</v>
      </c>
      <c r="G220" s="4">
        <v>1.0088406297289405</v>
      </c>
      <c r="H220" s="2">
        <v>25</v>
      </c>
      <c r="I220" s="2">
        <v>5</v>
      </c>
      <c r="J220" s="2">
        <v>1</v>
      </c>
      <c r="K220" s="4">
        <v>0</v>
      </c>
      <c r="L220" s="4">
        <v>0</v>
      </c>
      <c r="M220" s="4">
        <v>0</v>
      </c>
      <c r="N220" s="10">
        <v>0</v>
      </c>
      <c r="O220" s="4">
        <v>0</v>
      </c>
      <c r="P220" s="4">
        <v>0</v>
      </c>
      <c r="Q220" s="3" t="s">
        <v>1617</v>
      </c>
      <c r="R220" s="3" t="s">
        <v>1621</v>
      </c>
      <c r="S220" s="3" t="s">
        <v>1622</v>
      </c>
      <c r="T220" s="3"/>
    </row>
    <row r="221" spans="1:20">
      <c r="A221" s="3" t="s">
        <v>1594</v>
      </c>
      <c r="B221" s="3" t="s">
        <v>1595</v>
      </c>
      <c r="C221" s="3" t="s">
        <v>1596</v>
      </c>
      <c r="D221" s="3" t="s">
        <v>1274</v>
      </c>
      <c r="E221" s="3" t="s">
        <v>1275</v>
      </c>
      <c r="F221" s="2">
        <v>1</v>
      </c>
      <c r="G221" s="4">
        <v>1.0088406297289405</v>
      </c>
      <c r="H221" s="2">
        <v>50</v>
      </c>
      <c r="I221" s="2">
        <v>5</v>
      </c>
      <c r="J221" s="2">
        <v>16</v>
      </c>
      <c r="K221" s="4">
        <v>0.30192087772877263</v>
      </c>
      <c r="L221" s="4">
        <v>-3.6305429373285789E-4</v>
      </c>
      <c r="M221" s="4">
        <v>3.6305429373285789E-4</v>
      </c>
      <c r="N221" s="10">
        <v>0</v>
      </c>
      <c r="O221" s="4">
        <v>1.9509309119002665E-3</v>
      </c>
      <c r="P221" s="4">
        <v>0</v>
      </c>
      <c r="Q221" s="3" t="s">
        <v>1617</v>
      </c>
      <c r="R221" s="3" t="s">
        <v>1625</v>
      </c>
      <c r="S221" s="3" t="s">
        <v>1626</v>
      </c>
      <c r="T221" s="3"/>
    </row>
    <row r="222" spans="1:20">
      <c r="A222" s="3" t="s">
        <v>1594</v>
      </c>
      <c r="B222" s="3" t="s">
        <v>1595</v>
      </c>
      <c r="C222" s="3" t="s">
        <v>1596</v>
      </c>
      <c r="D222" s="3" t="s">
        <v>1274</v>
      </c>
      <c r="E222" s="3" t="s">
        <v>1275</v>
      </c>
      <c r="F222" s="2">
        <v>1</v>
      </c>
      <c r="G222" s="4">
        <v>1.0088406297289405</v>
      </c>
      <c r="H222" s="2">
        <v>25</v>
      </c>
      <c r="I222" s="2">
        <v>5</v>
      </c>
      <c r="J222" s="2">
        <v>16</v>
      </c>
      <c r="K222" s="4">
        <v>0.42011616132085838</v>
      </c>
      <c r="L222" s="4">
        <v>-1.5187803298533204E-3</v>
      </c>
      <c r="M222" s="4">
        <v>1.5187803298533204E-3</v>
      </c>
      <c r="N222" s="10">
        <v>2E-3</v>
      </c>
      <c r="O222" s="4">
        <v>7.5300219948663564E-3</v>
      </c>
      <c r="P222" s="4">
        <v>-0.01</v>
      </c>
      <c r="Q222" s="3" t="s">
        <v>1617</v>
      </c>
      <c r="R222" s="3" t="s">
        <v>1625</v>
      </c>
      <c r="S222" s="3" t="s">
        <v>1626</v>
      </c>
      <c r="T222" s="3"/>
    </row>
    <row r="223" spans="1:20">
      <c r="A223" s="3" t="s">
        <v>1600</v>
      </c>
      <c r="B223" s="3" t="s">
        <v>1609</v>
      </c>
      <c r="C223" s="3" t="s">
        <v>1616</v>
      </c>
      <c r="D223" s="3" t="s">
        <v>1274</v>
      </c>
      <c r="E223" s="3" t="s">
        <v>1275</v>
      </c>
      <c r="F223" s="2">
        <v>1</v>
      </c>
      <c r="G223" s="4">
        <v>1.0088406297289405</v>
      </c>
      <c r="H223" s="2">
        <v>25</v>
      </c>
      <c r="I223" s="2">
        <v>5</v>
      </c>
      <c r="J223" s="2">
        <v>16</v>
      </c>
      <c r="K223" s="4">
        <v>3.6842219826618283E-2</v>
      </c>
      <c r="L223" s="4">
        <v>-7.3560804044647501E-2</v>
      </c>
      <c r="M223" s="4">
        <v>7.3560804044647501E-2</v>
      </c>
      <c r="N223" s="10">
        <v>7.3999999999999996E-2</v>
      </c>
      <c r="O223" s="4">
        <v>0.36536976662078796</v>
      </c>
      <c r="P223" s="4">
        <v>-0.37</v>
      </c>
      <c r="Q223" s="3" t="s">
        <v>1617</v>
      </c>
      <c r="R223" s="3" t="s">
        <v>1623</v>
      </c>
      <c r="S223" s="3" t="s">
        <v>1624</v>
      </c>
      <c r="T223" s="3"/>
    </row>
    <row r="224" spans="1:20">
      <c r="A224" s="3" t="s">
        <v>1600</v>
      </c>
      <c r="B224" s="3" t="s">
        <v>1609</v>
      </c>
      <c r="C224" s="3" t="s">
        <v>1596</v>
      </c>
      <c r="D224" s="3" t="s">
        <v>1274</v>
      </c>
      <c r="E224" s="3" t="s">
        <v>1275</v>
      </c>
      <c r="F224" s="2">
        <v>1</v>
      </c>
      <c r="G224" s="4">
        <v>1.0088406297289405</v>
      </c>
      <c r="H224" s="2">
        <v>25</v>
      </c>
      <c r="I224" s="2">
        <v>5</v>
      </c>
      <c r="J224" s="2">
        <v>16</v>
      </c>
      <c r="K224" s="4">
        <v>6.6026675760059828E-2</v>
      </c>
      <c r="L224" s="4">
        <v>-0.10901294369888027</v>
      </c>
      <c r="M224" s="4">
        <v>0.10901294369888027</v>
      </c>
      <c r="N224" s="10">
        <v>0.109</v>
      </c>
      <c r="O224" s="4">
        <v>0.54263561916491876</v>
      </c>
      <c r="P224" s="4">
        <v>-0.54</v>
      </c>
      <c r="Q224" s="3" t="s">
        <v>1617</v>
      </c>
      <c r="R224" s="3" t="s">
        <v>1623</v>
      </c>
      <c r="S224" s="3" t="s">
        <v>1624</v>
      </c>
      <c r="T224" s="3"/>
    </row>
    <row r="225" spans="1:20">
      <c r="A225" s="3" t="s">
        <v>1600</v>
      </c>
      <c r="B225" s="3" t="s">
        <v>1609</v>
      </c>
      <c r="C225" s="3" t="s">
        <v>1596</v>
      </c>
      <c r="D225" s="3" t="s">
        <v>1274</v>
      </c>
      <c r="E225" s="3" t="s">
        <v>1275</v>
      </c>
      <c r="F225" s="2">
        <v>1</v>
      </c>
      <c r="G225" s="4">
        <v>1.0088406297289405</v>
      </c>
      <c r="H225" s="2">
        <v>25</v>
      </c>
      <c r="I225" s="2">
        <v>5</v>
      </c>
      <c r="J225" s="2">
        <v>1</v>
      </c>
      <c r="K225" s="4">
        <v>3.043692398998088E-2</v>
      </c>
      <c r="L225" s="4">
        <v>-0.18680395040974992</v>
      </c>
      <c r="M225" s="4">
        <v>0.18680395040974992</v>
      </c>
      <c r="N225" s="10">
        <v>0.187</v>
      </c>
      <c r="O225" s="4">
        <v>0.93716646467143505</v>
      </c>
      <c r="P225" s="4">
        <v>-0.94</v>
      </c>
      <c r="Q225" s="3" t="s">
        <v>1617</v>
      </c>
      <c r="R225" s="3" t="s">
        <v>1623</v>
      </c>
      <c r="S225" s="3" t="s">
        <v>1624</v>
      </c>
      <c r="T225" s="3"/>
    </row>
    <row r="226" spans="1:20">
      <c r="A226" s="3" t="s">
        <v>1605</v>
      </c>
      <c r="B226" s="3" t="s">
        <v>1601</v>
      </c>
      <c r="C226" s="3" t="s">
        <v>1596</v>
      </c>
      <c r="D226" s="3" t="s">
        <v>1274</v>
      </c>
      <c r="E226" s="3" t="s">
        <v>1275</v>
      </c>
      <c r="F226" s="2">
        <v>1</v>
      </c>
      <c r="G226" s="4">
        <v>1.0088406297289405</v>
      </c>
      <c r="H226" s="2">
        <v>25</v>
      </c>
      <c r="I226" s="2">
        <v>5</v>
      </c>
      <c r="J226" s="2">
        <v>16</v>
      </c>
      <c r="K226" s="4">
        <v>3.7091312737622895E-2</v>
      </c>
      <c r="L226" s="4">
        <v>-0.20049759316350263</v>
      </c>
      <c r="M226" s="4">
        <v>0.20049759316350263</v>
      </c>
      <c r="N226" s="10">
        <v>0.2</v>
      </c>
      <c r="O226" s="4">
        <v>1.0077051941003274</v>
      </c>
      <c r="P226" s="4">
        <v>-1.01</v>
      </c>
      <c r="Q226" s="3" t="s">
        <v>1617</v>
      </c>
      <c r="R226" s="3" t="s">
        <v>1618</v>
      </c>
      <c r="S226" s="3" t="s">
        <v>1619</v>
      </c>
      <c r="T226" s="3"/>
    </row>
    <row r="227" spans="1:20">
      <c r="A227" s="3" t="s">
        <v>1600</v>
      </c>
      <c r="B227" s="3" t="s">
        <v>1601</v>
      </c>
      <c r="C227" s="3" t="s">
        <v>1616</v>
      </c>
      <c r="D227" s="3" t="s">
        <v>1274</v>
      </c>
      <c r="E227" s="3" t="s">
        <v>1275</v>
      </c>
      <c r="F227" s="2">
        <v>1</v>
      </c>
      <c r="G227" s="4">
        <v>1.0088406297289405</v>
      </c>
      <c r="H227" s="2">
        <v>25</v>
      </c>
      <c r="I227" s="2">
        <v>5</v>
      </c>
      <c r="J227" s="2">
        <v>16</v>
      </c>
      <c r="K227" s="4">
        <v>3.2503238018123159E-2</v>
      </c>
      <c r="L227" s="4">
        <v>-0.32390381895332393</v>
      </c>
      <c r="M227" s="4">
        <v>0.32390381895332393</v>
      </c>
      <c r="N227" s="10">
        <v>0.32400000000000001</v>
      </c>
      <c r="O227" s="4">
        <v>1.6658783737906537</v>
      </c>
      <c r="P227" s="4">
        <v>-1.67</v>
      </c>
      <c r="Q227" s="3" t="s">
        <v>1617</v>
      </c>
      <c r="R227" s="3" t="s">
        <v>1618</v>
      </c>
      <c r="S227" s="3" t="s">
        <v>1619</v>
      </c>
      <c r="T227" s="3"/>
    </row>
    <row r="228" spans="1:20">
      <c r="A228" s="3" t="s">
        <v>1600</v>
      </c>
      <c r="B228" s="3" t="s">
        <v>1601</v>
      </c>
      <c r="C228" s="3" t="s">
        <v>1596</v>
      </c>
      <c r="D228" s="3" t="s">
        <v>1274</v>
      </c>
      <c r="E228" s="3" t="s">
        <v>1275</v>
      </c>
      <c r="F228" s="2">
        <v>1</v>
      </c>
      <c r="G228" s="4">
        <v>1.0088406297289405</v>
      </c>
      <c r="H228" s="2">
        <v>25</v>
      </c>
      <c r="I228" s="2">
        <v>5</v>
      </c>
      <c r="J228" s="2">
        <v>16</v>
      </c>
      <c r="K228" s="4">
        <v>3.2729719369313459E-2</v>
      </c>
      <c r="L228" s="4">
        <v>-0.38701982396972939</v>
      </c>
      <c r="M228" s="4">
        <v>0.38701982396972939</v>
      </c>
      <c r="N228" s="10">
        <v>0.38700000000000001</v>
      </c>
      <c r="O228" s="4">
        <v>2.0242761217886547</v>
      </c>
      <c r="P228" s="4">
        <v>-2.02</v>
      </c>
      <c r="Q228" s="3" t="s">
        <v>1617</v>
      </c>
      <c r="R228" s="3" t="s">
        <v>1618</v>
      </c>
      <c r="S228" s="3" t="s">
        <v>1619</v>
      </c>
      <c r="T228" s="3"/>
    </row>
    <row r="229" spans="1:20">
      <c r="A229" s="3" t="s">
        <v>1604</v>
      </c>
      <c r="B229" s="3" t="s">
        <v>1601</v>
      </c>
      <c r="C229" s="3" t="s">
        <v>1616</v>
      </c>
      <c r="D229" s="3" t="s">
        <v>1274</v>
      </c>
      <c r="E229" s="3" t="s">
        <v>1275</v>
      </c>
      <c r="F229" s="2">
        <v>1</v>
      </c>
      <c r="G229" s="4">
        <v>1.0088406297289405</v>
      </c>
      <c r="H229" s="2">
        <v>25</v>
      </c>
      <c r="I229" s="2">
        <v>30</v>
      </c>
      <c r="J229" s="2">
        <v>16</v>
      </c>
      <c r="K229" s="4">
        <v>0.1306475981129166</v>
      </c>
      <c r="L229" s="4">
        <v>-0.46112191762372928</v>
      </c>
      <c r="M229" s="4">
        <v>0.46112191762372928</v>
      </c>
      <c r="N229" s="10">
        <v>0.46100000000000002</v>
      </c>
      <c r="O229" s="4">
        <v>2.4726976330896457</v>
      </c>
      <c r="P229" s="4">
        <v>-2.4700000000000002</v>
      </c>
      <c r="Q229" s="3" t="s">
        <v>1617</v>
      </c>
      <c r="R229" s="3" t="s">
        <v>1618</v>
      </c>
      <c r="S229" s="3" t="s">
        <v>1619</v>
      </c>
      <c r="T229" s="3"/>
    </row>
    <row r="230" spans="1:20">
      <c r="A230" s="3" t="s">
        <v>1604</v>
      </c>
      <c r="B230" s="3" t="s">
        <v>1601</v>
      </c>
      <c r="C230" s="3" t="s">
        <v>1596</v>
      </c>
      <c r="D230" s="3" t="s">
        <v>1274</v>
      </c>
      <c r="E230" s="3" t="s">
        <v>1275</v>
      </c>
      <c r="F230" s="2">
        <v>1</v>
      </c>
      <c r="G230" s="4">
        <v>1.0088406297289405</v>
      </c>
      <c r="H230" s="2">
        <v>25</v>
      </c>
      <c r="I230" s="2">
        <v>30</v>
      </c>
      <c r="J230" s="2">
        <v>16</v>
      </c>
      <c r="K230" s="4">
        <v>0.11138210014236494</v>
      </c>
      <c r="L230" s="4">
        <v>-0.46203361924916264</v>
      </c>
      <c r="M230" s="4">
        <v>0.46203361924916264</v>
      </c>
      <c r="N230" s="10">
        <v>0.46200000000000002</v>
      </c>
      <c r="O230" s="4">
        <v>2.4784415591867393</v>
      </c>
      <c r="P230" s="4">
        <v>-2.48</v>
      </c>
      <c r="Q230" s="3" t="s">
        <v>1617</v>
      </c>
      <c r="R230" s="3" t="s">
        <v>1618</v>
      </c>
      <c r="S230" s="3" t="s">
        <v>1619</v>
      </c>
      <c r="T230" s="3"/>
    </row>
    <row r="231" spans="1:20">
      <c r="A231" s="3" t="s">
        <v>1600</v>
      </c>
      <c r="B231" s="3" t="s">
        <v>1606</v>
      </c>
      <c r="C231" s="3" t="s">
        <v>1596</v>
      </c>
      <c r="D231" s="3" t="s">
        <v>1472</v>
      </c>
      <c r="E231" s="3" t="s">
        <v>1473</v>
      </c>
      <c r="F231" s="2">
        <v>1</v>
      </c>
      <c r="G231" s="4">
        <v>1.0089577337257056</v>
      </c>
      <c r="H231" s="2">
        <v>25</v>
      </c>
      <c r="I231" s="2">
        <v>5</v>
      </c>
      <c r="J231" s="2">
        <v>1</v>
      </c>
      <c r="K231" s="4">
        <v>0.99515349886453197</v>
      </c>
      <c r="L231" s="4">
        <v>0.54118705800061151</v>
      </c>
      <c r="M231" s="4">
        <v>0.54118705800061151</v>
      </c>
      <c r="N231" s="10">
        <v>0.54100000000000004</v>
      </c>
      <c r="O231" s="4">
        <v>3.0036805160234996</v>
      </c>
      <c r="P231" s="4">
        <v>3</v>
      </c>
      <c r="Q231" s="3" t="s">
        <v>1597</v>
      </c>
      <c r="R231" s="3" t="s">
        <v>1607</v>
      </c>
      <c r="S231" s="3" t="s">
        <v>1608</v>
      </c>
      <c r="T231" s="3"/>
    </row>
    <row r="232" spans="1:20">
      <c r="A232" s="3" t="s">
        <v>1600</v>
      </c>
      <c r="B232" s="3" t="s">
        <v>1606</v>
      </c>
      <c r="C232" s="3" t="s">
        <v>1596</v>
      </c>
      <c r="D232" s="3" t="s">
        <v>1472</v>
      </c>
      <c r="E232" s="3" t="s">
        <v>1473</v>
      </c>
      <c r="F232" s="2">
        <v>1</v>
      </c>
      <c r="G232" s="4">
        <v>1.0089577337257056</v>
      </c>
      <c r="H232" s="2">
        <v>25</v>
      </c>
      <c r="I232" s="2">
        <v>5</v>
      </c>
      <c r="J232" s="2">
        <v>16</v>
      </c>
      <c r="K232" s="4">
        <v>0.97761357452967734</v>
      </c>
      <c r="L232" s="4">
        <v>0.54003911605037558</v>
      </c>
      <c r="M232" s="4">
        <v>0.54003911605037558</v>
      </c>
      <c r="N232" s="10">
        <v>0.54</v>
      </c>
      <c r="O232" s="4">
        <v>2.9956387978103396</v>
      </c>
      <c r="P232" s="4">
        <v>3</v>
      </c>
      <c r="Q232" s="3" t="s">
        <v>1597</v>
      </c>
      <c r="R232" s="3" t="s">
        <v>1607</v>
      </c>
      <c r="S232" s="3" t="s">
        <v>1608</v>
      </c>
      <c r="T232" s="3"/>
    </row>
    <row r="233" spans="1:20">
      <c r="A233" s="3" t="s">
        <v>1600</v>
      </c>
      <c r="B233" s="3" t="s">
        <v>1606</v>
      </c>
      <c r="C233" s="3" t="s">
        <v>1616</v>
      </c>
      <c r="D233" s="3" t="s">
        <v>1472</v>
      </c>
      <c r="E233" s="3" t="s">
        <v>1473</v>
      </c>
      <c r="F233" s="2">
        <v>1</v>
      </c>
      <c r="G233" s="4">
        <v>1.0089577337257056</v>
      </c>
      <c r="H233" s="2">
        <v>25</v>
      </c>
      <c r="I233" s="2">
        <v>5</v>
      </c>
      <c r="J233" s="2">
        <v>1</v>
      </c>
      <c r="K233" s="4">
        <v>1</v>
      </c>
      <c r="L233" s="4">
        <v>0.51385532100725906</v>
      </c>
      <c r="M233" s="4">
        <v>0.51385532100725906</v>
      </c>
      <c r="N233" s="10">
        <v>0.51400000000000001</v>
      </c>
      <c r="O233" s="4">
        <v>2.8158812583760606</v>
      </c>
      <c r="P233" s="4">
        <v>2.82</v>
      </c>
      <c r="Q233" s="3" t="s">
        <v>1597</v>
      </c>
      <c r="R233" s="3" t="s">
        <v>1607</v>
      </c>
      <c r="S233" s="3" t="s">
        <v>1608</v>
      </c>
      <c r="T233" s="3"/>
    </row>
    <row r="234" spans="1:20">
      <c r="A234" s="3" t="s">
        <v>1600</v>
      </c>
      <c r="B234" s="3" t="s">
        <v>1606</v>
      </c>
      <c r="C234" s="3" t="s">
        <v>1616</v>
      </c>
      <c r="D234" s="3" t="s">
        <v>1472</v>
      </c>
      <c r="E234" s="3" t="s">
        <v>1473</v>
      </c>
      <c r="F234" s="2">
        <v>1</v>
      </c>
      <c r="G234" s="4">
        <v>1.0089577337257056</v>
      </c>
      <c r="H234" s="2">
        <v>25</v>
      </c>
      <c r="I234" s="2">
        <v>5</v>
      </c>
      <c r="J234" s="2">
        <v>16</v>
      </c>
      <c r="K234" s="4">
        <v>1</v>
      </c>
      <c r="L234" s="4">
        <v>0.48683381054066754</v>
      </c>
      <c r="M234" s="4">
        <v>0.48683381054066754</v>
      </c>
      <c r="N234" s="10">
        <v>0.48699999999999999</v>
      </c>
      <c r="O234" s="4">
        <v>2.6371373260761226</v>
      </c>
      <c r="P234" s="4">
        <v>2.64</v>
      </c>
      <c r="Q234" s="3" t="s">
        <v>1597</v>
      </c>
      <c r="R234" s="3" t="s">
        <v>1607</v>
      </c>
      <c r="S234" s="3" t="s">
        <v>1608</v>
      </c>
      <c r="T234" s="3"/>
    </row>
    <row r="235" spans="1:20">
      <c r="A235" s="3" t="s">
        <v>1605</v>
      </c>
      <c r="B235" s="3" t="s">
        <v>1601</v>
      </c>
      <c r="C235" s="3" t="s">
        <v>1596</v>
      </c>
      <c r="D235" s="3" t="s">
        <v>1472</v>
      </c>
      <c r="E235" s="3" t="s">
        <v>1473</v>
      </c>
      <c r="F235" s="2">
        <v>1</v>
      </c>
      <c r="G235" s="4">
        <v>1.0089577337257056</v>
      </c>
      <c r="H235" s="2">
        <v>25</v>
      </c>
      <c r="I235" s="2">
        <v>5</v>
      </c>
      <c r="J235" s="2">
        <v>16</v>
      </c>
      <c r="K235" s="4">
        <v>1</v>
      </c>
      <c r="L235" s="4">
        <v>0.40290244083664284</v>
      </c>
      <c r="M235" s="4">
        <v>0.40290244083664284</v>
      </c>
      <c r="N235" s="10">
        <v>0.40300000000000002</v>
      </c>
      <c r="O235" s="4">
        <v>2.1175793005891452</v>
      </c>
      <c r="P235" s="4">
        <v>2.12</v>
      </c>
      <c r="Q235" s="3" t="s">
        <v>1597</v>
      </c>
      <c r="R235" s="3" t="s">
        <v>1602</v>
      </c>
      <c r="S235" s="3" t="s">
        <v>1603</v>
      </c>
      <c r="T235" s="3"/>
    </row>
    <row r="236" spans="1:20">
      <c r="A236" s="3" t="s">
        <v>1600</v>
      </c>
      <c r="B236" s="3" t="s">
        <v>1601</v>
      </c>
      <c r="C236" s="3" t="s">
        <v>1596</v>
      </c>
      <c r="D236" s="3" t="s">
        <v>1472</v>
      </c>
      <c r="E236" s="3" t="s">
        <v>1473</v>
      </c>
      <c r="F236" s="2">
        <v>1</v>
      </c>
      <c r="G236" s="4">
        <v>1.0089577337257056</v>
      </c>
      <c r="H236" s="2">
        <v>25</v>
      </c>
      <c r="I236" s="2">
        <v>5</v>
      </c>
      <c r="J236" s="2">
        <v>16</v>
      </c>
      <c r="K236" s="4">
        <v>1</v>
      </c>
      <c r="L236" s="4">
        <v>0.38834904141845711</v>
      </c>
      <c r="M236" s="4">
        <v>0.38834904141845711</v>
      </c>
      <c r="N236" s="10">
        <v>0.38800000000000001</v>
      </c>
      <c r="O236" s="4">
        <v>2.0320320019833145</v>
      </c>
      <c r="P236" s="4">
        <v>2.0299999999999998</v>
      </c>
      <c r="Q236" s="3" t="s">
        <v>1597</v>
      </c>
      <c r="R236" s="3" t="s">
        <v>1602</v>
      </c>
      <c r="S236" s="3" t="s">
        <v>1603</v>
      </c>
      <c r="T236" s="3"/>
    </row>
    <row r="237" spans="1:20">
      <c r="A237" s="3" t="s">
        <v>1600</v>
      </c>
      <c r="B237" s="3" t="s">
        <v>1601</v>
      </c>
      <c r="C237" s="3" t="s">
        <v>1596</v>
      </c>
      <c r="D237" s="3" t="s">
        <v>1472</v>
      </c>
      <c r="E237" s="3" t="s">
        <v>1473</v>
      </c>
      <c r="F237" s="2">
        <v>1</v>
      </c>
      <c r="G237" s="4">
        <v>1.0089577337257056</v>
      </c>
      <c r="H237" s="2">
        <v>25</v>
      </c>
      <c r="I237" s="2">
        <v>5</v>
      </c>
      <c r="J237" s="2">
        <v>1</v>
      </c>
      <c r="K237" s="4">
        <v>0.35550129309306244</v>
      </c>
      <c r="L237" s="4">
        <v>0.38512710516525733</v>
      </c>
      <c r="M237" s="4">
        <v>0.38512710516525733</v>
      </c>
      <c r="N237" s="10">
        <v>0.38500000000000001</v>
      </c>
      <c r="O237" s="4">
        <v>2.0132484292620121</v>
      </c>
      <c r="P237" s="4">
        <v>2.0099999999999998</v>
      </c>
      <c r="Q237" s="3" t="s">
        <v>1597</v>
      </c>
      <c r="R237" s="3" t="s">
        <v>1602</v>
      </c>
      <c r="S237" s="3" t="s">
        <v>1603</v>
      </c>
      <c r="T237" s="3"/>
    </row>
    <row r="238" spans="1:20">
      <c r="A238" s="3" t="s">
        <v>1600</v>
      </c>
      <c r="B238" s="3" t="s">
        <v>1601</v>
      </c>
      <c r="C238" s="3" t="s">
        <v>1616</v>
      </c>
      <c r="D238" s="3" t="s">
        <v>1472</v>
      </c>
      <c r="E238" s="3" t="s">
        <v>1473</v>
      </c>
      <c r="F238" s="2">
        <v>1</v>
      </c>
      <c r="G238" s="4">
        <v>1.0089577337257056</v>
      </c>
      <c r="H238" s="2">
        <v>25</v>
      </c>
      <c r="I238" s="2">
        <v>5</v>
      </c>
      <c r="J238" s="2">
        <v>1</v>
      </c>
      <c r="K238" s="4">
        <v>1</v>
      </c>
      <c r="L238" s="4">
        <v>0.37886250661838555</v>
      </c>
      <c r="M238" s="4">
        <v>0.37886250661838555</v>
      </c>
      <c r="N238" s="10">
        <v>0.379</v>
      </c>
      <c r="O238" s="4">
        <v>1.976882184622387</v>
      </c>
      <c r="P238" s="4">
        <v>1.98</v>
      </c>
      <c r="Q238" s="3" t="s">
        <v>1597</v>
      </c>
      <c r="R238" s="3" t="s">
        <v>1602</v>
      </c>
      <c r="S238" s="3" t="s">
        <v>1603</v>
      </c>
      <c r="T238" s="3"/>
    </row>
    <row r="239" spans="1:20">
      <c r="A239" s="3" t="s">
        <v>1600</v>
      </c>
      <c r="B239" s="3" t="s">
        <v>1601</v>
      </c>
      <c r="C239" s="3" t="s">
        <v>1616</v>
      </c>
      <c r="D239" s="3" t="s">
        <v>1472</v>
      </c>
      <c r="E239" s="3" t="s">
        <v>1473</v>
      </c>
      <c r="F239" s="2">
        <v>1</v>
      </c>
      <c r="G239" s="4">
        <v>1.0089577337257056</v>
      </c>
      <c r="H239" s="2">
        <v>25</v>
      </c>
      <c r="I239" s="2">
        <v>5</v>
      </c>
      <c r="J239" s="2">
        <v>16</v>
      </c>
      <c r="K239" s="4">
        <v>1</v>
      </c>
      <c r="L239" s="4">
        <v>0.37717889191495235</v>
      </c>
      <c r="M239" s="4">
        <v>0.37717889191495235</v>
      </c>
      <c r="N239" s="10">
        <v>0.377</v>
      </c>
      <c r="O239" s="4">
        <v>1.9671432335611985</v>
      </c>
      <c r="P239" s="4">
        <v>1.97</v>
      </c>
      <c r="Q239" s="3" t="s">
        <v>1597</v>
      </c>
      <c r="R239" s="3" t="s">
        <v>1602</v>
      </c>
      <c r="S239" s="3" t="s">
        <v>1603</v>
      </c>
      <c r="T239" s="3"/>
    </row>
    <row r="240" spans="1:20">
      <c r="A240" s="3" t="s">
        <v>1594</v>
      </c>
      <c r="B240" s="3" t="s">
        <v>1595</v>
      </c>
      <c r="C240" s="3" t="s">
        <v>1596</v>
      </c>
      <c r="D240" s="3" t="s">
        <v>1472</v>
      </c>
      <c r="E240" s="3" t="s">
        <v>1473</v>
      </c>
      <c r="F240" s="2">
        <v>1</v>
      </c>
      <c r="G240" s="4">
        <v>1.0089577337257056</v>
      </c>
      <c r="H240" s="2">
        <v>50</v>
      </c>
      <c r="I240" s="2">
        <v>5</v>
      </c>
      <c r="J240" s="2">
        <v>16</v>
      </c>
      <c r="K240" s="4">
        <v>1</v>
      </c>
      <c r="L240" s="4">
        <v>0.29954840171164449</v>
      </c>
      <c r="M240" s="4">
        <v>0.29954840171164449</v>
      </c>
      <c r="N240" s="10">
        <v>0.3</v>
      </c>
      <c r="O240" s="4">
        <v>1.6605871877650145</v>
      </c>
      <c r="P240" s="4">
        <v>1.66</v>
      </c>
      <c r="Q240" s="3" t="s">
        <v>1597</v>
      </c>
      <c r="R240" s="3" t="s">
        <v>1598</v>
      </c>
      <c r="S240" s="3" t="s">
        <v>1599</v>
      </c>
      <c r="T240" s="3"/>
    </row>
    <row r="241" spans="1:20">
      <c r="A241" s="3" t="s">
        <v>1604</v>
      </c>
      <c r="B241" s="3" t="s">
        <v>1601</v>
      </c>
      <c r="C241" s="3" t="s">
        <v>1596</v>
      </c>
      <c r="D241" s="3" t="s">
        <v>1472</v>
      </c>
      <c r="E241" s="3" t="s">
        <v>1473</v>
      </c>
      <c r="F241" s="2">
        <v>1</v>
      </c>
      <c r="G241" s="4">
        <v>1.0089577337257056</v>
      </c>
      <c r="H241" s="2">
        <v>25</v>
      </c>
      <c r="I241" s="2">
        <v>30</v>
      </c>
      <c r="J241" s="2">
        <v>16</v>
      </c>
      <c r="K241" s="4">
        <v>1</v>
      </c>
      <c r="L241" s="4">
        <v>0.25069122930836579</v>
      </c>
      <c r="M241" s="4">
        <v>0.25069122930836579</v>
      </c>
      <c r="N241" s="10">
        <v>0.251</v>
      </c>
      <c r="O241" s="4">
        <v>1.2699766812039623</v>
      </c>
      <c r="P241" s="4">
        <v>1.27</v>
      </c>
      <c r="Q241" s="3" t="s">
        <v>1597</v>
      </c>
      <c r="R241" s="3" t="s">
        <v>1602</v>
      </c>
      <c r="S241" s="3" t="s">
        <v>1603</v>
      </c>
      <c r="T241" s="3"/>
    </row>
    <row r="242" spans="1:20">
      <c r="A242" s="3" t="s">
        <v>1600</v>
      </c>
      <c r="B242" s="3" t="s">
        <v>1609</v>
      </c>
      <c r="C242" s="3" t="s">
        <v>1596</v>
      </c>
      <c r="D242" s="3" t="s">
        <v>1472</v>
      </c>
      <c r="E242" s="3" t="s">
        <v>1473</v>
      </c>
      <c r="F242" s="2">
        <v>1</v>
      </c>
      <c r="G242" s="4">
        <v>1.0089577337257056</v>
      </c>
      <c r="H242" s="2">
        <v>25</v>
      </c>
      <c r="I242" s="2">
        <v>5</v>
      </c>
      <c r="J242" s="2">
        <v>16</v>
      </c>
      <c r="K242" s="4">
        <v>0.98351564422299864</v>
      </c>
      <c r="L242" s="4">
        <v>0.23216613842507905</v>
      </c>
      <c r="M242" s="4">
        <v>0.23216613842507905</v>
      </c>
      <c r="N242" s="10">
        <v>0.23200000000000001</v>
      </c>
      <c r="O242" s="4">
        <v>1.1724418903748401</v>
      </c>
      <c r="P242" s="4">
        <v>1.17</v>
      </c>
      <c r="Q242" s="3" t="s">
        <v>1597</v>
      </c>
      <c r="R242" s="3" t="s">
        <v>1610</v>
      </c>
      <c r="S242" s="3" t="s">
        <v>1611</v>
      </c>
      <c r="T242" s="3"/>
    </row>
    <row r="243" spans="1:20">
      <c r="A243" s="3" t="s">
        <v>1594</v>
      </c>
      <c r="B243" s="3" t="s">
        <v>1595</v>
      </c>
      <c r="C243" s="3" t="s">
        <v>1596</v>
      </c>
      <c r="D243" s="3" t="s">
        <v>1472</v>
      </c>
      <c r="E243" s="3" t="s">
        <v>1473</v>
      </c>
      <c r="F243" s="2">
        <v>1</v>
      </c>
      <c r="G243" s="4">
        <v>1.0089577337257056</v>
      </c>
      <c r="H243" s="2">
        <v>25</v>
      </c>
      <c r="I243" s="2">
        <v>5</v>
      </c>
      <c r="J243" s="2">
        <v>16</v>
      </c>
      <c r="K243" s="4">
        <v>0.15917935941533445</v>
      </c>
      <c r="L243" s="4">
        <v>0.22539502262048988</v>
      </c>
      <c r="M243" s="4">
        <v>0.22539502262048988</v>
      </c>
      <c r="N243" s="10">
        <v>0.22500000000000001</v>
      </c>
      <c r="O243" s="4">
        <v>1.1370167948193648</v>
      </c>
      <c r="P243" s="4">
        <v>1.1299999999999999</v>
      </c>
      <c r="Q243" s="3" t="s">
        <v>1597</v>
      </c>
      <c r="R243" s="3" t="s">
        <v>1598</v>
      </c>
      <c r="S243" s="3" t="s">
        <v>1599</v>
      </c>
      <c r="T243" s="3"/>
    </row>
    <row r="244" spans="1:20">
      <c r="A244" s="3" t="s">
        <v>1600</v>
      </c>
      <c r="B244" s="3" t="s">
        <v>1609</v>
      </c>
      <c r="C244" s="3" t="s">
        <v>1616</v>
      </c>
      <c r="D244" s="3" t="s">
        <v>1472</v>
      </c>
      <c r="E244" s="3" t="s">
        <v>1473</v>
      </c>
      <c r="F244" s="2">
        <v>1</v>
      </c>
      <c r="G244" s="4">
        <v>1.0089577337257056</v>
      </c>
      <c r="H244" s="2">
        <v>25</v>
      </c>
      <c r="I244" s="2">
        <v>5</v>
      </c>
      <c r="J244" s="2">
        <v>16</v>
      </c>
      <c r="K244" s="4">
        <v>0.98831759781416473</v>
      </c>
      <c r="L244" s="4">
        <v>0.21751543082940417</v>
      </c>
      <c r="M244" s="4">
        <v>0.21751543082940417</v>
      </c>
      <c r="N244" s="10">
        <v>0.218</v>
      </c>
      <c r="O244" s="4">
        <v>1.0959352874151158</v>
      </c>
      <c r="P244" s="4">
        <v>1.1000000000000001</v>
      </c>
      <c r="Q244" s="3" t="s">
        <v>1597</v>
      </c>
      <c r="R244" s="3" t="s">
        <v>1610</v>
      </c>
      <c r="S244" s="3" t="s">
        <v>1611</v>
      </c>
      <c r="T244" s="3"/>
    </row>
    <row r="245" spans="1:20">
      <c r="A245" s="3" t="s">
        <v>1600</v>
      </c>
      <c r="B245" s="3" t="s">
        <v>1609</v>
      </c>
      <c r="C245" s="3" t="s">
        <v>1596</v>
      </c>
      <c r="D245" s="3" t="s">
        <v>1472</v>
      </c>
      <c r="E245" s="3" t="s">
        <v>1473</v>
      </c>
      <c r="F245" s="2">
        <v>1</v>
      </c>
      <c r="G245" s="4">
        <v>1.0089577337257056</v>
      </c>
      <c r="H245" s="2">
        <v>25</v>
      </c>
      <c r="I245" s="2">
        <v>5</v>
      </c>
      <c r="J245" s="2">
        <v>1</v>
      </c>
      <c r="K245" s="4">
        <v>0.98865647021496139</v>
      </c>
      <c r="L245" s="4">
        <v>0.21298014376294053</v>
      </c>
      <c r="M245" s="4">
        <v>0.21298014376294053</v>
      </c>
      <c r="N245" s="10">
        <v>0.21299999999999999</v>
      </c>
      <c r="O245" s="4">
        <v>1.072357162034032</v>
      </c>
      <c r="P245" s="4">
        <v>1.07</v>
      </c>
      <c r="Q245" s="3" t="s">
        <v>1597</v>
      </c>
      <c r="R245" s="3" t="s">
        <v>1610</v>
      </c>
      <c r="S245" s="3" t="s">
        <v>1611</v>
      </c>
      <c r="T245" s="3"/>
    </row>
    <row r="246" spans="1:20">
      <c r="A246" s="3" t="s">
        <v>1604</v>
      </c>
      <c r="B246" s="3" t="s">
        <v>1601</v>
      </c>
      <c r="C246" s="3" t="s">
        <v>1616</v>
      </c>
      <c r="D246" s="3" t="s">
        <v>1472</v>
      </c>
      <c r="E246" s="3" t="s">
        <v>1473</v>
      </c>
      <c r="F246" s="2">
        <v>1</v>
      </c>
      <c r="G246" s="4">
        <v>1.0089577337257056</v>
      </c>
      <c r="H246" s="2">
        <v>25</v>
      </c>
      <c r="I246" s="2">
        <v>30</v>
      </c>
      <c r="J246" s="2">
        <v>16</v>
      </c>
      <c r="K246" s="4">
        <v>1</v>
      </c>
      <c r="L246" s="4">
        <v>0.19522226712997889</v>
      </c>
      <c r="M246" s="4">
        <v>0.19522226712997889</v>
      </c>
      <c r="N246" s="10">
        <v>0.19500000000000001</v>
      </c>
      <c r="O246" s="4">
        <v>0.98048474897547444</v>
      </c>
      <c r="P246" s="4">
        <v>0.98</v>
      </c>
      <c r="Q246" s="3" t="s">
        <v>1597</v>
      </c>
      <c r="R246" s="3" t="s">
        <v>1602</v>
      </c>
      <c r="S246" s="3" t="s">
        <v>1603</v>
      </c>
      <c r="T246" s="3"/>
    </row>
    <row r="247" spans="1:20">
      <c r="A247" s="3" t="s">
        <v>1600</v>
      </c>
      <c r="B247" s="3" t="s">
        <v>1609</v>
      </c>
      <c r="C247" s="3" t="s">
        <v>1616</v>
      </c>
      <c r="D247" s="3" t="s">
        <v>1472</v>
      </c>
      <c r="E247" s="3" t="s">
        <v>1473</v>
      </c>
      <c r="F247" s="2">
        <v>1</v>
      </c>
      <c r="G247" s="4">
        <v>1.0089577337257056</v>
      </c>
      <c r="H247" s="2">
        <v>25</v>
      </c>
      <c r="I247" s="2">
        <v>5</v>
      </c>
      <c r="J247" s="2">
        <v>1</v>
      </c>
      <c r="K247" s="4">
        <v>0.51931062402552508</v>
      </c>
      <c r="L247" s="4">
        <v>0.17858392694177885</v>
      </c>
      <c r="M247" s="4">
        <v>0.17858392694177885</v>
      </c>
      <c r="N247" s="10">
        <v>0.17899999999999999</v>
      </c>
      <c r="O247" s="4">
        <v>0.89500460165450968</v>
      </c>
      <c r="P247" s="4">
        <v>0.9</v>
      </c>
      <c r="Q247" s="3" t="s">
        <v>1597</v>
      </c>
      <c r="R247" s="3" t="s">
        <v>1610</v>
      </c>
      <c r="S247" s="3" t="s">
        <v>1611</v>
      </c>
      <c r="T247" s="3"/>
    </row>
    <row r="248" spans="1:20">
      <c r="A248" s="3" t="s">
        <v>1594</v>
      </c>
      <c r="B248" s="3" t="s">
        <v>1612</v>
      </c>
      <c r="C248" s="3" t="s">
        <v>1596</v>
      </c>
      <c r="D248" s="3" t="s">
        <v>1472</v>
      </c>
      <c r="E248" s="3" t="s">
        <v>1473</v>
      </c>
      <c r="F248" s="2">
        <v>1</v>
      </c>
      <c r="G248" s="4">
        <v>1.0089577337257056</v>
      </c>
      <c r="H248" s="2">
        <v>50</v>
      </c>
      <c r="I248" s="2">
        <v>5</v>
      </c>
      <c r="J248" s="2">
        <v>16</v>
      </c>
      <c r="K248" s="4">
        <v>0.26775140057311742</v>
      </c>
      <c r="L248" s="4">
        <v>6.8681064046714244E-2</v>
      </c>
      <c r="M248" s="4">
        <v>6.8681064046714244E-2</v>
      </c>
      <c r="N248" s="10">
        <v>6.9000000000000006E-2</v>
      </c>
      <c r="O248" s="4">
        <v>0.36965073736208465</v>
      </c>
      <c r="P248" s="4">
        <v>0.37</v>
      </c>
      <c r="Q248" s="3" t="s">
        <v>1597</v>
      </c>
      <c r="R248" s="3" t="s">
        <v>1613</v>
      </c>
      <c r="S248" s="3" t="s">
        <v>1614</v>
      </c>
      <c r="T248" s="3"/>
    </row>
    <row r="249" spans="1:20">
      <c r="A249" s="3" t="s">
        <v>1600</v>
      </c>
      <c r="B249" s="3" t="s">
        <v>1606</v>
      </c>
      <c r="C249" s="3" t="s">
        <v>1596</v>
      </c>
      <c r="D249" s="3" t="s">
        <v>23</v>
      </c>
      <c r="E249" s="3" t="s">
        <v>24</v>
      </c>
      <c r="F249" s="2">
        <v>1</v>
      </c>
      <c r="G249" s="4">
        <v>1.0102313577288229</v>
      </c>
      <c r="H249" s="2">
        <v>25</v>
      </c>
      <c r="I249" s="2">
        <v>5</v>
      </c>
      <c r="J249" s="2">
        <v>16</v>
      </c>
      <c r="K249" s="11">
        <v>1</v>
      </c>
      <c r="L249" s="11">
        <v>0.6036916753216065</v>
      </c>
      <c r="M249" s="4">
        <v>0.6036916753216065</v>
      </c>
      <c r="N249" s="10">
        <v>0.60399999999999998</v>
      </c>
      <c r="O249" s="4">
        <v>3.465277824890499</v>
      </c>
      <c r="P249" s="4">
        <v>3.47</v>
      </c>
      <c r="Q249" s="3" t="s">
        <v>1597</v>
      </c>
      <c r="R249" s="3" t="s">
        <v>1607</v>
      </c>
      <c r="S249" s="3" t="s">
        <v>1608</v>
      </c>
      <c r="T249" s="3"/>
    </row>
    <row r="250" spans="1:20">
      <c r="A250" s="3" t="s">
        <v>1600</v>
      </c>
      <c r="B250" s="3" t="s">
        <v>1606</v>
      </c>
      <c r="C250" s="3" t="s">
        <v>1596</v>
      </c>
      <c r="D250" s="3" t="s">
        <v>23</v>
      </c>
      <c r="E250" s="3" t="s">
        <v>24</v>
      </c>
      <c r="F250" s="2">
        <v>1</v>
      </c>
      <c r="G250" s="4">
        <v>1.0102313577288229</v>
      </c>
      <c r="H250" s="2">
        <v>25</v>
      </c>
      <c r="I250" s="2">
        <v>5</v>
      </c>
      <c r="J250" s="2">
        <v>1</v>
      </c>
      <c r="K250" s="11">
        <v>0.98520596989107756</v>
      </c>
      <c r="L250" s="11">
        <v>0.58942588064191859</v>
      </c>
      <c r="M250" s="4">
        <v>0.58942588064191859</v>
      </c>
      <c r="N250" s="10">
        <v>0.58899999999999997</v>
      </c>
      <c r="O250" s="4">
        <v>3.3554611106802756</v>
      </c>
      <c r="P250" s="4">
        <v>3.35</v>
      </c>
      <c r="Q250" s="3" t="s">
        <v>1597</v>
      </c>
      <c r="R250" s="3" t="s">
        <v>1607</v>
      </c>
      <c r="S250" s="3" t="s">
        <v>1608</v>
      </c>
      <c r="T250" s="3"/>
    </row>
    <row r="251" spans="1:20">
      <c r="A251" s="3" t="s">
        <v>1600</v>
      </c>
      <c r="B251" s="3" t="s">
        <v>1606</v>
      </c>
      <c r="C251" s="3" t="s">
        <v>1616</v>
      </c>
      <c r="D251" s="3" t="s">
        <v>23</v>
      </c>
      <c r="E251" s="3" t="s">
        <v>24</v>
      </c>
      <c r="F251" s="2">
        <v>1</v>
      </c>
      <c r="G251" s="4">
        <v>1.0102313577288229</v>
      </c>
      <c r="H251" s="2">
        <v>25</v>
      </c>
      <c r="I251" s="2">
        <v>5</v>
      </c>
      <c r="J251" s="2">
        <v>16</v>
      </c>
      <c r="K251" s="11">
        <v>1</v>
      </c>
      <c r="L251" s="11">
        <v>0.54104224102595766</v>
      </c>
      <c r="M251" s="4">
        <v>0.54104224102595766</v>
      </c>
      <c r="N251" s="10">
        <v>0.54100000000000004</v>
      </c>
      <c r="O251" s="4">
        <v>3.0026652466673243</v>
      </c>
      <c r="P251" s="4">
        <v>3</v>
      </c>
      <c r="Q251" s="3" t="s">
        <v>1597</v>
      </c>
      <c r="R251" s="3" t="s">
        <v>1607</v>
      </c>
      <c r="S251" s="3" t="s">
        <v>1608</v>
      </c>
      <c r="T251" s="3"/>
    </row>
    <row r="252" spans="1:20">
      <c r="A252" s="3" t="s">
        <v>1600</v>
      </c>
      <c r="B252" s="3" t="s">
        <v>1606</v>
      </c>
      <c r="C252" s="3" t="s">
        <v>1616</v>
      </c>
      <c r="D252" s="3" t="s">
        <v>23</v>
      </c>
      <c r="E252" s="3" t="s">
        <v>24</v>
      </c>
      <c r="F252" s="2">
        <v>1</v>
      </c>
      <c r="G252" s="4">
        <v>1.0102313577288229</v>
      </c>
      <c r="H252" s="2">
        <v>25</v>
      </c>
      <c r="I252" s="2">
        <v>5</v>
      </c>
      <c r="J252" s="2">
        <v>1</v>
      </c>
      <c r="K252" s="4">
        <v>1</v>
      </c>
      <c r="L252" s="4">
        <v>0.54027095524668178</v>
      </c>
      <c r="M252" s="4">
        <v>0.54027095524668178</v>
      </c>
      <c r="N252" s="10">
        <v>0.54</v>
      </c>
      <c r="O252" s="4">
        <v>2.9972617732275473</v>
      </c>
      <c r="P252" s="4">
        <v>3</v>
      </c>
      <c r="Q252" s="3" t="s">
        <v>1597</v>
      </c>
      <c r="R252" s="3" t="s">
        <v>1607</v>
      </c>
      <c r="S252" s="3" t="s">
        <v>1608</v>
      </c>
      <c r="T252" s="3"/>
    </row>
    <row r="253" spans="1:20">
      <c r="A253" s="3" t="s">
        <v>1594</v>
      </c>
      <c r="B253" s="3" t="s">
        <v>1612</v>
      </c>
      <c r="C253" s="3" t="s">
        <v>1596</v>
      </c>
      <c r="D253" s="3" t="s">
        <v>23</v>
      </c>
      <c r="E253" s="3" t="s">
        <v>24</v>
      </c>
      <c r="F253" s="2">
        <v>1</v>
      </c>
      <c r="G253" s="4">
        <v>1.0102313577288229</v>
      </c>
      <c r="H253" s="2">
        <v>50</v>
      </c>
      <c r="I253" s="2">
        <v>5</v>
      </c>
      <c r="J253" s="2">
        <v>16</v>
      </c>
      <c r="K253" s="4">
        <v>1</v>
      </c>
      <c r="L253" s="14">
        <v>0.26030922165284864</v>
      </c>
      <c r="M253" s="4">
        <v>0.26030922165284864</v>
      </c>
      <c r="N253" s="10">
        <v>0.26</v>
      </c>
      <c r="O253" s="4">
        <v>1.4317587387008754</v>
      </c>
      <c r="P253" s="4">
        <v>1.43</v>
      </c>
      <c r="Q253" s="3" t="s">
        <v>1597</v>
      </c>
      <c r="R253" s="3" t="s">
        <v>1613</v>
      </c>
      <c r="S253" s="3" t="s">
        <v>1614</v>
      </c>
      <c r="T253" s="3"/>
    </row>
    <row r="254" spans="1:20">
      <c r="A254" s="3" t="s">
        <v>1600</v>
      </c>
      <c r="B254" s="3" t="s">
        <v>1609</v>
      </c>
      <c r="C254" s="3" t="s">
        <v>1596</v>
      </c>
      <c r="D254" s="3" t="s">
        <v>23</v>
      </c>
      <c r="E254" s="3" t="s">
        <v>24</v>
      </c>
      <c r="F254" s="2">
        <v>1</v>
      </c>
      <c r="G254" s="4">
        <v>1.0102313577288229</v>
      </c>
      <c r="H254" s="2">
        <v>25</v>
      </c>
      <c r="I254" s="2">
        <v>5</v>
      </c>
      <c r="J254" s="2">
        <v>16</v>
      </c>
      <c r="K254" s="4">
        <v>1</v>
      </c>
      <c r="L254" s="4">
        <v>7.2044894446588681E-2</v>
      </c>
      <c r="M254" s="4">
        <v>7.2044894446588681E-2</v>
      </c>
      <c r="N254" s="10">
        <v>7.1999999999999995E-2</v>
      </c>
      <c r="O254" s="4">
        <v>0.35781393400495742</v>
      </c>
      <c r="P254" s="4">
        <v>0.36</v>
      </c>
      <c r="Q254" s="3" t="s">
        <v>1597</v>
      </c>
      <c r="R254" s="3" t="s">
        <v>1610</v>
      </c>
      <c r="S254" s="3" t="s">
        <v>1611</v>
      </c>
      <c r="T254" s="3"/>
    </row>
    <row r="255" spans="1:20">
      <c r="A255" s="3" t="s">
        <v>1600</v>
      </c>
      <c r="B255" s="3" t="s">
        <v>1609</v>
      </c>
      <c r="C255" s="3" t="s">
        <v>1596</v>
      </c>
      <c r="D255" s="3" t="s">
        <v>23</v>
      </c>
      <c r="E255" s="3" t="s">
        <v>24</v>
      </c>
      <c r="F255" s="2">
        <v>1</v>
      </c>
      <c r="G255" s="4">
        <v>1.0102313577288229</v>
      </c>
      <c r="H255" s="2">
        <v>25</v>
      </c>
      <c r="I255" s="2">
        <v>5</v>
      </c>
      <c r="J255" s="2">
        <v>1</v>
      </c>
      <c r="K255" s="11">
        <v>1</v>
      </c>
      <c r="L255" s="11">
        <v>3.7972849529191062E-2</v>
      </c>
      <c r="M255" s="4">
        <v>3.7972849529191062E-2</v>
      </c>
      <c r="N255" s="10">
        <v>3.7999999999999999E-2</v>
      </c>
      <c r="O255" s="4">
        <v>0.18835753908558178</v>
      </c>
      <c r="P255" s="4">
        <v>0.19</v>
      </c>
      <c r="Q255" s="3" t="s">
        <v>1597</v>
      </c>
      <c r="R255" s="3" t="s">
        <v>1610</v>
      </c>
      <c r="S255" s="3" t="s">
        <v>1611</v>
      </c>
      <c r="T255" s="3"/>
    </row>
    <row r="256" spans="1:20">
      <c r="A256" s="12" t="s">
        <v>1605</v>
      </c>
      <c r="B256" s="3" t="s">
        <v>1601</v>
      </c>
      <c r="C256" s="3" t="s">
        <v>1596</v>
      </c>
      <c r="D256" s="3" t="s">
        <v>23</v>
      </c>
      <c r="E256" s="3" t="s">
        <v>24</v>
      </c>
      <c r="F256" s="2">
        <v>1</v>
      </c>
      <c r="G256" s="4">
        <v>1.0102313577288229</v>
      </c>
      <c r="H256" s="2">
        <v>25</v>
      </c>
      <c r="I256" s="2">
        <v>5</v>
      </c>
      <c r="J256" s="2">
        <v>16</v>
      </c>
      <c r="K256" s="11">
        <v>1</v>
      </c>
      <c r="L256" s="11">
        <v>3.3898429469343262E-3</v>
      </c>
      <c r="M256" s="4">
        <v>3.3898429469343262E-3</v>
      </c>
      <c r="N256" s="10">
        <v>3.0000000000000001E-3</v>
      </c>
      <c r="O256" s="4">
        <v>1.6806689943016321E-2</v>
      </c>
      <c r="P256" s="4">
        <v>0.01</v>
      </c>
      <c r="Q256" s="3" t="s">
        <v>1597</v>
      </c>
      <c r="R256" s="3" t="s">
        <v>1602</v>
      </c>
      <c r="S256" s="3" t="s">
        <v>1603</v>
      </c>
      <c r="T256" s="3"/>
    </row>
    <row r="257" spans="1:20">
      <c r="A257" s="3" t="s">
        <v>1600</v>
      </c>
      <c r="B257" s="3" t="s">
        <v>1601</v>
      </c>
      <c r="C257" s="3" t="s">
        <v>1596</v>
      </c>
      <c r="D257" s="3" t="s">
        <v>23</v>
      </c>
      <c r="E257" s="3" t="s">
        <v>24</v>
      </c>
      <c r="F257" s="2">
        <v>1</v>
      </c>
      <c r="G257" s="4">
        <v>1.0102313577288229</v>
      </c>
      <c r="H257" s="2">
        <v>25</v>
      </c>
      <c r="I257" s="2">
        <v>5</v>
      </c>
      <c r="J257" s="2">
        <v>16</v>
      </c>
      <c r="K257" s="4">
        <v>1</v>
      </c>
      <c r="L257" s="4">
        <v>3.0826727300976844E-3</v>
      </c>
      <c r="M257" s="4">
        <v>3.0826727300976844E-3</v>
      </c>
      <c r="N257" s="10">
        <v>3.0000000000000001E-3</v>
      </c>
      <c r="O257" s="4">
        <v>1.5283743596976151E-2</v>
      </c>
      <c r="P257" s="4">
        <v>0.01</v>
      </c>
      <c r="Q257" s="3" t="s">
        <v>1597</v>
      </c>
      <c r="R257" s="3" t="s">
        <v>1602</v>
      </c>
      <c r="S257" s="3" t="s">
        <v>1603</v>
      </c>
      <c r="T257" s="3"/>
    </row>
    <row r="258" spans="1:20">
      <c r="A258" s="3" t="s">
        <v>1604</v>
      </c>
      <c r="B258" s="3" t="s">
        <v>1601</v>
      </c>
      <c r="C258" s="3" t="s">
        <v>1596</v>
      </c>
      <c r="D258" s="3" t="s">
        <v>23</v>
      </c>
      <c r="E258" s="3" t="s">
        <v>24</v>
      </c>
      <c r="F258" s="2">
        <v>1</v>
      </c>
      <c r="G258" s="4">
        <v>1.0102313577288229</v>
      </c>
      <c r="H258" s="2">
        <v>25</v>
      </c>
      <c r="I258" s="2">
        <v>30</v>
      </c>
      <c r="J258" s="2">
        <v>16</v>
      </c>
      <c r="K258" s="4">
        <v>1</v>
      </c>
      <c r="L258" s="4">
        <v>2.5585175870572159E-3</v>
      </c>
      <c r="M258" s="4">
        <v>2.5585175870572159E-3</v>
      </c>
      <c r="N258" s="10">
        <v>3.0000000000000001E-3</v>
      </c>
      <c r="O258" s="4">
        <v>1.2684995025744232E-2</v>
      </c>
      <c r="P258" s="4">
        <v>0.01</v>
      </c>
      <c r="Q258" s="3" t="s">
        <v>1597</v>
      </c>
      <c r="R258" s="3" t="s">
        <v>1602</v>
      </c>
      <c r="S258" s="3" t="s">
        <v>1603</v>
      </c>
      <c r="T258" s="3"/>
    </row>
    <row r="259" spans="1:20">
      <c r="A259" s="3" t="s">
        <v>1600</v>
      </c>
      <c r="B259" s="3" t="s">
        <v>1601</v>
      </c>
      <c r="C259" s="3" t="s">
        <v>1596</v>
      </c>
      <c r="D259" s="3" t="s">
        <v>23</v>
      </c>
      <c r="E259" s="3" t="s">
        <v>24</v>
      </c>
      <c r="F259" s="2">
        <v>1</v>
      </c>
      <c r="G259" s="4">
        <v>1.0102313577288229</v>
      </c>
      <c r="H259" s="2">
        <v>25</v>
      </c>
      <c r="I259" s="2">
        <v>5</v>
      </c>
      <c r="J259" s="2">
        <v>1</v>
      </c>
      <c r="K259" s="4">
        <v>1</v>
      </c>
      <c r="L259" s="4">
        <v>-2.885875098530738E-4</v>
      </c>
      <c r="M259" s="4">
        <v>2.885875098530738E-4</v>
      </c>
      <c r="N259" s="10">
        <v>0</v>
      </c>
      <c r="O259" s="4">
        <v>1.43079854497667E-3</v>
      </c>
      <c r="P259" s="4">
        <v>0</v>
      </c>
      <c r="Q259" s="3" t="s">
        <v>1617</v>
      </c>
      <c r="R259" s="3" t="s">
        <v>1618</v>
      </c>
      <c r="S259" s="3" t="s">
        <v>1619</v>
      </c>
      <c r="T259" s="3"/>
    </row>
    <row r="260" spans="1:20">
      <c r="A260" s="3" t="s">
        <v>1600</v>
      </c>
      <c r="B260" s="3" t="s">
        <v>1601</v>
      </c>
      <c r="C260" s="3" t="s">
        <v>1616</v>
      </c>
      <c r="D260" s="3" t="s">
        <v>23</v>
      </c>
      <c r="E260" s="3" t="s">
        <v>24</v>
      </c>
      <c r="F260" s="2">
        <v>1</v>
      </c>
      <c r="G260" s="4">
        <v>1.0102313577288229</v>
      </c>
      <c r="H260" s="2">
        <v>25</v>
      </c>
      <c r="I260" s="2">
        <v>5</v>
      </c>
      <c r="J260" s="2">
        <v>1</v>
      </c>
      <c r="K260" s="4">
        <v>1</v>
      </c>
      <c r="L260" s="4">
        <v>-1.6369592987601683E-2</v>
      </c>
      <c r="M260" s="4">
        <v>1.6369592987601683E-2</v>
      </c>
      <c r="N260" s="10">
        <v>1.6E-2</v>
      </c>
      <c r="O260" s="4">
        <v>8.1166650528001441E-2</v>
      </c>
      <c r="P260" s="4">
        <v>-0.08</v>
      </c>
      <c r="Q260" s="3" t="s">
        <v>1617</v>
      </c>
      <c r="R260" s="3" t="s">
        <v>1618</v>
      </c>
      <c r="S260" s="3" t="s">
        <v>1619</v>
      </c>
      <c r="T260" s="3"/>
    </row>
    <row r="261" spans="1:20">
      <c r="A261" s="3" t="s">
        <v>1604</v>
      </c>
      <c r="B261" s="3" t="s">
        <v>1601</v>
      </c>
      <c r="C261" s="3" t="s">
        <v>1616</v>
      </c>
      <c r="D261" s="3" t="s">
        <v>23</v>
      </c>
      <c r="E261" s="3" t="s">
        <v>24</v>
      </c>
      <c r="F261" s="2">
        <v>1</v>
      </c>
      <c r="G261" s="4">
        <v>1.0102313577288229</v>
      </c>
      <c r="H261" s="2">
        <v>25</v>
      </c>
      <c r="I261" s="2">
        <v>30</v>
      </c>
      <c r="J261" s="2">
        <v>16</v>
      </c>
      <c r="K261" s="4">
        <v>1</v>
      </c>
      <c r="L261" s="4">
        <v>-2.4394587295124084E-2</v>
      </c>
      <c r="M261" s="4">
        <v>2.4394587295124084E-2</v>
      </c>
      <c r="N261" s="10">
        <v>2.4E-2</v>
      </c>
      <c r="O261" s="4">
        <v>0.12097081131382144</v>
      </c>
      <c r="P261" s="4">
        <v>-0.12</v>
      </c>
      <c r="Q261" s="3" t="s">
        <v>1617</v>
      </c>
      <c r="R261" s="3" t="s">
        <v>1618</v>
      </c>
      <c r="S261" s="3" t="s">
        <v>1619</v>
      </c>
      <c r="T261" s="3"/>
    </row>
    <row r="262" spans="1:20">
      <c r="A262" s="3" t="s">
        <v>1600</v>
      </c>
      <c r="B262" s="3" t="s">
        <v>1601</v>
      </c>
      <c r="C262" s="3" t="s">
        <v>1616</v>
      </c>
      <c r="D262" s="3" t="s">
        <v>23</v>
      </c>
      <c r="E262" s="3" t="s">
        <v>24</v>
      </c>
      <c r="F262" s="2">
        <v>1</v>
      </c>
      <c r="G262" s="4">
        <v>1.0102313577288229</v>
      </c>
      <c r="H262" s="2">
        <v>25</v>
      </c>
      <c r="I262" s="2">
        <v>5</v>
      </c>
      <c r="J262" s="2">
        <v>16</v>
      </c>
      <c r="K262" s="4">
        <v>1</v>
      </c>
      <c r="L262" s="4">
        <v>-2.6826166539745941E-2</v>
      </c>
      <c r="M262" s="4">
        <v>2.6826166539745941E-2</v>
      </c>
      <c r="N262" s="10">
        <v>2.7E-2</v>
      </c>
      <c r="O262" s="4">
        <v>0.13303434476604181</v>
      </c>
      <c r="P262" s="4">
        <v>-0.13</v>
      </c>
      <c r="Q262" s="3" t="s">
        <v>1617</v>
      </c>
      <c r="R262" s="3" t="s">
        <v>1618</v>
      </c>
      <c r="S262" s="3" t="s">
        <v>1619</v>
      </c>
      <c r="T262" s="3"/>
    </row>
    <row r="263" spans="1:20">
      <c r="A263" s="3" t="s">
        <v>1600</v>
      </c>
      <c r="B263" s="3" t="s">
        <v>1609</v>
      </c>
      <c r="C263" s="3" t="s">
        <v>1616</v>
      </c>
      <c r="D263" s="3" t="s">
        <v>23</v>
      </c>
      <c r="E263" s="3" t="s">
        <v>24</v>
      </c>
      <c r="F263" s="2">
        <v>1</v>
      </c>
      <c r="G263" s="4">
        <v>1.0102313577288229</v>
      </c>
      <c r="H263" s="2">
        <v>25</v>
      </c>
      <c r="I263" s="2">
        <v>5</v>
      </c>
      <c r="J263" s="2">
        <v>1</v>
      </c>
      <c r="K263" s="4">
        <v>1</v>
      </c>
      <c r="L263" s="4">
        <v>-5.1380590481032551E-2</v>
      </c>
      <c r="M263" s="4">
        <v>5.1380590481032551E-2</v>
      </c>
      <c r="N263" s="10">
        <v>5.0999999999999997E-2</v>
      </c>
      <c r="O263" s="4">
        <v>0.25496622270969088</v>
      </c>
      <c r="P263" s="4">
        <v>-0.25</v>
      </c>
      <c r="Q263" s="3" t="s">
        <v>1617</v>
      </c>
      <c r="R263" s="3" t="s">
        <v>1623</v>
      </c>
      <c r="S263" s="3" t="s">
        <v>1624</v>
      </c>
      <c r="T263" s="3"/>
    </row>
    <row r="264" spans="1:20">
      <c r="A264" s="3" t="s">
        <v>1600</v>
      </c>
      <c r="B264" s="3" t="s">
        <v>1609</v>
      </c>
      <c r="C264" s="3" t="s">
        <v>1616</v>
      </c>
      <c r="D264" s="3" t="s">
        <v>23</v>
      </c>
      <c r="E264" s="3" t="s">
        <v>24</v>
      </c>
      <c r="F264" s="2">
        <v>1</v>
      </c>
      <c r="G264" s="4">
        <v>1.0102313577288229</v>
      </c>
      <c r="H264" s="2">
        <v>25</v>
      </c>
      <c r="I264" s="2">
        <v>5</v>
      </c>
      <c r="J264" s="2">
        <v>16</v>
      </c>
      <c r="K264" s="11">
        <v>1</v>
      </c>
      <c r="L264" s="11">
        <v>-7.17374074600092E-2</v>
      </c>
      <c r="M264" s="4">
        <v>7.17374074600092E-2</v>
      </c>
      <c r="N264" s="10">
        <v>7.1999999999999995E-2</v>
      </c>
      <c r="O264" s="4">
        <v>0.35628151301572264</v>
      </c>
      <c r="P264" s="4">
        <v>-0.36</v>
      </c>
      <c r="Q264" s="3" t="s">
        <v>1617</v>
      </c>
      <c r="R264" s="3" t="s">
        <v>1623</v>
      </c>
      <c r="S264" s="3" t="s">
        <v>1624</v>
      </c>
      <c r="T264" s="3"/>
    </row>
    <row r="265" spans="1:20">
      <c r="A265" s="3" t="s">
        <v>1594</v>
      </c>
      <c r="B265" s="3" t="s">
        <v>1595</v>
      </c>
      <c r="C265" s="3" t="s">
        <v>1596</v>
      </c>
      <c r="D265" s="3" t="s">
        <v>23</v>
      </c>
      <c r="E265" s="3" t="s">
        <v>24</v>
      </c>
      <c r="F265" s="2">
        <v>1</v>
      </c>
      <c r="G265" s="4">
        <v>1.0102313577288229</v>
      </c>
      <c r="H265" s="2">
        <v>50</v>
      </c>
      <c r="I265" s="2">
        <v>5</v>
      </c>
      <c r="J265" s="2">
        <v>16</v>
      </c>
      <c r="K265" s="4">
        <v>1</v>
      </c>
      <c r="L265" s="14">
        <v>-0.15812046542756811</v>
      </c>
      <c r="M265" s="4">
        <v>0.15812046542756811</v>
      </c>
      <c r="N265" s="10">
        <v>0.158</v>
      </c>
      <c r="O265" s="4">
        <v>0.8568753017309142</v>
      </c>
      <c r="P265" s="4">
        <v>-0.86</v>
      </c>
      <c r="Q265" s="3" t="s">
        <v>1617</v>
      </c>
      <c r="R265" s="3" t="s">
        <v>1625</v>
      </c>
      <c r="S265" s="3" t="s">
        <v>1626</v>
      </c>
      <c r="T265" s="3"/>
    </row>
    <row r="266" spans="1:20">
      <c r="A266" s="3" t="s">
        <v>1594</v>
      </c>
      <c r="B266" s="3" t="s">
        <v>1595</v>
      </c>
      <c r="C266" s="3" t="s">
        <v>1596</v>
      </c>
      <c r="D266" s="3" t="s">
        <v>394</v>
      </c>
      <c r="E266" s="3" t="s">
        <v>395</v>
      </c>
      <c r="F266" s="2">
        <v>1</v>
      </c>
      <c r="G266" s="4">
        <v>1.0114136305991763</v>
      </c>
      <c r="H266" s="2">
        <v>50</v>
      </c>
      <c r="I266" s="2">
        <v>5</v>
      </c>
      <c r="J266" s="2">
        <v>16</v>
      </c>
      <c r="K266" s="4">
        <v>0.87208579496194294</v>
      </c>
      <c r="L266" s="14">
        <v>0.11463454539650114</v>
      </c>
      <c r="M266" s="4">
        <v>0.11463454539650114</v>
      </c>
      <c r="N266" s="10">
        <v>0.115</v>
      </c>
      <c r="O266" s="4">
        <v>0.61872703634914983</v>
      </c>
      <c r="P266" s="4">
        <v>0.62</v>
      </c>
      <c r="Q266" s="3" t="s">
        <v>1597</v>
      </c>
      <c r="R266" s="3" t="s">
        <v>1598</v>
      </c>
      <c r="S266" s="3" t="s">
        <v>1599</v>
      </c>
      <c r="T266" s="3"/>
    </row>
    <row r="267" spans="1:20">
      <c r="A267" s="3" t="s">
        <v>1594</v>
      </c>
      <c r="B267" s="3" t="s">
        <v>1612</v>
      </c>
      <c r="C267" s="3" t="s">
        <v>1596</v>
      </c>
      <c r="D267" s="3" t="s">
        <v>394</v>
      </c>
      <c r="E267" s="3" t="s">
        <v>395</v>
      </c>
      <c r="F267" s="2">
        <v>1</v>
      </c>
      <c r="G267" s="4">
        <v>1.0114136305991763</v>
      </c>
      <c r="H267" s="2">
        <v>50</v>
      </c>
      <c r="I267" s="2">
        <v>5</v>
      </c>
      <c r="J267" s="2">
        <v>16</v>
      </c>
      <c r="K267" s="4">
        <v>0.71608297139214594</v>
      </c>
      <c r="L267" s="14">
        <v>-0.16047936164800122</v>
      </c>
      <c r="M267" s="4">
        <v>0.16047936164800122</v>
      </c>
      <c r="N267" s="10">
        <v>0.16</v>
      </c>
      <c r="O267" s="4">
        <v>0.86988126312937653</v>
      </c>
      <c r="P267" s="4">
        <v>-0.87</v>
      </c>
      <c r="Q267" s="3" t="s">
        <v>1617</v>
      </c>
      <c r="R267" s="3" t="s">
        <v>1627</v>
      </c>
      <c r="S267" s="3" t="s">
        <v>1628</v>
      </c>
      <c r="T267" s="3"/>
    </row>
    <row r="268" spans="1:20">
      <c r="A268" s="3" t="s">
        <v>1600</v>
      </c>
      <c r="B268" s="3" t="s">
        <v>1601</v>
      </c>
      <c r="C268" s="3" t="s">
        <v>1616</v>
      </c>
      <c r="D268" s="3" t="s">
        <v>394</v>
      </c>
      <c r="E268" s="3" t="s">
        <v>395</v>
      </c>
      <c r="F268" s="2">
        <v>1</v>
      </c>
      <c r="G268" s="4">
        <v>1.0114136305991763</v>
      </c>
      <c r="H268" s="2">
        <v>25</v>
      </c>
      <c r="I268" s="2">
        <v>5</v>
      </c>
      <c r="J268" s="2">
        <v>16</v>
      </c>
      <c r="K268" s="4">
        <v>1</v>
      </c>
      <c r="L268" s="4">
        <v>-0.26477034987809672</v>
      </c>
      <c r="M268" s="4">
        <v>0.26477034987809672</v>
      </c>
      <c r="N268" s="10">
        <v>0.26500000000000001</v>
      </c>
      <c r="O268" s="4">
        <v>1.3447483731187508</v>
      </c>
      <c r="P268" s="4">
        <v>-1.35</v>
      </c>
      <c r="Q268" s="3" t="s">
        <v>1617</v>
      </c>
      <c r="R268" s="3" t="s">
        <v>1618</v>
      </c>
      <c r="S268" s="3" t="s">
        <v>1619</v>
      </c>
      <c r="T268" s="3"/>
    </row>
    <row r="269" spans="1:20">
      <c r="A269" s="3" t="s">
        <v>1600</v>
      </c>
      <c r="B269" s="3" t="s">
        <v>1601</v>
      </c>
      <c r="C269" s="3" t="s">
        <v>1616</v>
      </c>
      <c r="D269" s="3" t="s">
        <v>394</v>
      </c>
      <c r="E269" s="3" t="s">
        <v>395</v>
      </c>
      <c r="F269" s="2">
        <v>1</v>
      </c>
      <c r="G269" s="4">
        <v>1.0114136305991763</v>
      </c>
      <c r="H269" s="2">
        <v>25</v>
      </c>
      <c r="I269" s="2">
        <v>5</v>
      </c>
      <c r="J269" s="2">
        <v>1</v>
      </c>
      <c r="K269" s="4">
        <v>1</v>
      </c>
      <c r="L269" s="4">
        <v>-0.27044424449704663</v>
      </c>
      <c r="M269" s="4">
        <v>0.27044424449704663</v>
      </c>
      <c r="N269" s="10">
        <v>0.27</v>
      </c>
      <c r="O269" s="4">
        <v>1.3750492443235736</v>
      </c>
      <c r="P269" s="4">
        <v>-1.37</v>
      </c>
      <c r="Q269" s="3" t="s">
        <v>1617</v>
      </c>
      <c r="R269" s="3" t="s">
        <v>1618</v>
      </c>
      <c r="S269" s="3" t="s">
        <v>1619</v>
      </c>
      <c r="T269" s="3"/>
    </row>
    <row r="270" spans="1:20">
      <c r="A270" s="3" t="s">
        <v>1604</v>
      </c>
      <c r="B270" s="3" t="s">
        <v>1601</v>
      </c>
      <c r="C270" s="3" t="s">
        <v>1616</v>
      </c>
      <c r="D270" s="3" t="s">
        <v>394</v>
      </c>
      <c r="E270" s="3" t="s">
        <v>395</v>
      </c>
      <c r="F270" s="2">
        <v>1</v>
      </c>
      <c r="G270" s="4">
        <v>1.0114136305991763</v>
      </c>
      <c r="H270" s="2">
        <v>25</v>
      </c>
      <c r="I270" s="2">
        <v>30</v>
      </c>
      <c r="J270" s="2">
        <v>16</v>
      </c>
      <c r="K270" s="4">
        <v>1</v>
      </c>
      <c r="L270" s="4">
        <v>-0.27587182287005679</v>
      </c>
      <c r="M270" s="4">
        <v>0.27587182287005679</v>
      </c>
      <c r="N270" s="10">
        <v>0.27600000000000002</v>
      </c>
      <c r="O270" s="4">
        <v>1.4041286994406792</v>
      </c>
      <c r="P270" s="4">
        <v>-1.4</v>
      </c>
      <c r="Q270" s="3" t="s">
        <v>1617</v>
      </c>
      <c r="R270" s="3" t="s">
        <v>1618</v>
      </c>
      <c r="S270" s="3" t="s">
        <v>1619</v>
      </c>
      <c r="T270" s="3"/>
    </row>
    <row r="271" spans="1:20">
      <c r="A271" s="3" t="s">
        <v>1600</v>
      </c>
      <c r="B271" s="3" t="s">
        <v>1609</v>
      </c>
      <c r="C271" s="3" t="s">
        <v>1616</v>
      </c>
      <c r="D271" s="3" t="s">
        <v>394</v>
      </c>
      <c r="E271" s="3" t="s">
        <v>395</v>
      </c>
      <c r="F271" s="2">
        <v>1</v>
      </c>
      <c r="G271" s="4">
        <v>1.0114136305991763</v>
      </c>
      <c r="H271" s="2">
        <v>25</v>
      </c>
      <c r="I271" s="2">
        <v>5</v>
      </c>
      <c r="J271" s="2">
        <v>1</v>
      </c>
      <c r="K271" s="4">
        <v>1</v>
      </c>
      <c r="L271" s="4">
        <v>-0.3768150579168778</v>
      </c>
      <c r="M271" s="4">
        <v>0.3768150579168778</v>
      </c>
      <c r="N271" s="10">
        <v>0.377</v>
      </c>
      <c r="O271" s="4">
        <v>1.9650405152656887</v>
      </c>
      <c r="P271" s="4">
        <v>-1.97</v>
      </c>
      <c r="Q271" s="3" t="s">
        <v>1617</v>
      </c>
      <c r="R271" s="3" t="s">
        <v>1623</v>
      </c>
      <c r="S271" s="3" t="s">
        <v>1624</v>
      </c>
      <c r="T271" s="3"/>
    </row>
    <row r="272" spans="1:20">
      <c r="A272" s="3" t="s">
        <v>1604</v>
      </c>
      <c r="B272" s="3" t="s">
        <v>1601</v>
      </c>
      <c r="C272" s="3" t="s">
        <v>1596</v>
      </c>
      <c r="D272" s="3" t="s">
        <v>394</v>
      </c>
      <c r="E272" s="3" t="s">
        <v>395</v>
      </c>
      <c r="F272" s="2">
        <v>1</v>
      </c>
      <c r="G272" s="4">
        <v>1.0114136305991763</v>
      </c>
      <c r="H272" s="2">
        <v>25</v>
      </c>
      <c r="I272" s="2">
        <v>30</v>
      </c>
      <c r="J272" s="2">
        <v>16</v>
      </c>
      <c r="K272" s="4">
        <v>1</v>
      </c>
      <c r="L272" s="4">
        <v>-0.38358810938927101</v>
      </c>
      <c r="M272" s="4">
        <v>0.38358810938927101</v>
      </c>
      <c r="N272" s="10">
        <v>0.38400000000000001</v>
      </c>
      <c r="O272" s="4">
        <v>2.00429557043948</v>
      </c>
      <c r="P272" s="4">
        <v>-2.0099999999999998</v>
      </c>
      <c r="Q272" s="3" t="s">
        <v>1617</v>
      </c>
      <c r="R272" s="3" t="s">
        <v>1618</v>
      </c>
      <c r="S272" s="3" t="s">
        <v>1619</v>
      </c>
      <c r="T272" s="3"/>
    </row>
    <row r="273" spans="1:20">
      <c r="A273" s="3" t="s">
        <v>1600</v>
      </c>
      <c r="B273" s="3" t="s">
        <v>1601</v>
      </c>
      <c r="C273" s="3" t="s">
        <v>1596</v>
      </c>
      <c r="D273" s="3" t="s">
        <v>394</v>
      </c>
      <c r="E273" s="3" t="s">
        <v>395</v>
      </c>
      <c r="F273" s="2">
        <v>1</v>
      </c>
      <c r="G273" s="4">
        <v>1.0114136305991763</v>
      </c>
      <c r="H273" s="2">
        <v>25</v>
      </c>
      <c r="I273" s="2">
        <v>5</v>
      </c>
      <c r="J273" s="2">
        <v>16</v>
      </c>
      <c r="K273" s="4">
        <v>1</v>
      </c>
      <c r="L273" s="4">
        <v>-0.39782044233148667</v>
      </c>
      <c r="M273" s="4">
        <v>0.39782044233148667</v>
      </c>
      <c r="N273" s="10">
        <v>0.39800000000000002</v>
      </c>
      <c r="O273" s="4">
        <v>2.087573325285716</v>
      </c>
      <c r="P273" s="4">
        <v>-2.09</v>
      </c>
      <c r="Q273" s="3" t="s">
        <v>1617</v>
      </c>
      <c r="R273" s="3" t="s">
        <v>1618</v>
      </c>
      <c r="S273" s="3" t="s">
        <v>1619</v>
      </c>
      <c r="T273" s="3"/>
    </row>
    <row r="274" spans="1:20">
      <c r="A274" s="3" t="s">
        <v>1600</v>
      </c>
      <c r="B274" s="3" t="s">
        <v>1609</v>
      </c>
      <c r="C274" s="3" t="s">
        <v>1616</v>
      </c>
      <c r="D274" s="3" t="s">
        <v>394</v>
      </c>
      <c r="E274" s="3" t="s">
        <v>395</v>
      </c>
      <c r="F274" s="2">
        <v>1</v>
      </c>
      <c r="G274" s="4">
        <v>1.0114136305991763</v>
      </c>
      <c r="H274" s="2">
        <v>25</v>
      </c>
      <c r="I274" s="2">
        <v>5</v>
      </c>
      <c r="J274" s="2">
        <v>16</v>
      </c>
      <c r="K274" s="11">
        <v>1</v>
      </c>
      <c r="L274" s="11">
        <v>-0.4125614968054922</v>
      </c>
      <c r="M274" s="4">
        <v>0.4125614968054922</v>
      </c>
      <c r="N274" s="10">
        <v>0.41299999999999998</v>
      </c>
      <c r="O274" s="4">
        <v>2.1750180062594393</v>
      </c>
      <c r="P274" s="4">
        <v>-2.1800000000000002</v>
      </c>
      <c r="Q274" s="3" t="s">
        <v>1617</v>
      </c>
      <c r="R274" s="3" t="s">
        <v>1623</v>
      </c>
      <c r="S274" s="3" t="s">
        <v>1624</v>
      </c>
      <c r="T274" s="3"/>
    </row>
    <row r="275" spans="1:20">
      <c r="A275" s="3" t="s">
        <v>1600</v>
      </c>
      <c r="B275" s="3" t="s">
        <v>1609</v>
      </c>
      <c r="C275" s="3" t="s">
        <v>1596</v>
      </c>
      <c r="D275" s="3" t="s">
        <v>394</v>
      </c>
      <c r="E275" s="3" t="s">
        <v>395</v>
      </c>
      <c r="F275" s="2">
        <v>1</v>
      </c>
      <c r="G275" s="4">
        <v>1.0114136305991763</v>
      </c>
      <c r="H275" s="2">
        <v>25</v>
      </c>
      <c r="I275" s="2">
        <v>5</v>
      </c>
      <c r="J275" s="2">
        <v>16</v>
      </c>
      <c r="K275" s="4">
        <v>1</v>
      </c>
      <c r="L275" s="4">
        <v>-0.43521483662371252</v>
      </c>
      <c r="M275" s="4">
        <v>0.43521483662371252</v>
      </c>
      <c r="N275" s="10">
        <v>0.435</v>
      </c>
      <c r="O275" s="4">
        <v>2.3119462363197565</v>
      </c>
      <c r="P275" s="4">
        <v>-2.31</v>
      </c>
      <c r="Q275" s="3" t="s">
        <v>1617</v>
      </c>
      <c r="R275" s="3" t="s">
        <v>1623</v>
      </c>
      <c r="S275" s="3" t="s">
        <v>1624</v>
      </c>
      <c r="T275" s="3"/>
    </row>
    <row r="276" spans="1:20">
      <c r="A276" s="3" t="s">
        <v>1600</v>
      </c>
      <c r="B276" s="3" t="s">
        <v>1601</v>
      </c>
      <c r="C276" s="3" t="s">
        <v>1596</v>
      </c>
      <c r="D276" s="3" t="s">
        <v>394</v>
      </c>
      <c r="E276" s="3" t="s">
        <v>395</v>
      </c>
      <c r="F276" s="2">
        <v>1</v>
      </c>
      <c r="G276" s="4">
        <v>1.0114136305991763</v>
      </c>
      <c r="H276" s="2">
        <v>25</v>
      </c>
      <c r="I276" s="2">
        <v>5</v>
      </c>
      <c r="J276" s="2">
        <v>1</v>
      </c>
      <c r="K276" s="4">
        <v>0.72052820883760282</v>
      </c>
      <c r="L276" s="4">
        <v>-0.4442938869415734</v>
      </c>
      <c r="M276" s="4">
        <v>0.4442938869415734</v>
      </c>
      <c r="N276" s="10">
        <v>0.44400000000000001</v>
      </c>
      <c r="O276" s="4">
        <v>2.3677523434526302</v>
      </c>
      <c r="P276" s="4">
        <v>-2.37</v>
      </c>
      <c r="Q276" s="3" t="s">
        <v>1617</v>
      </c>
      <c r="R276" s="3" t="s">
        <v>1618</v>
      </c>
      <c r="S276" s="3" t="s">
        <v>1619</v>
      </c>
      <c r="T276" s="3"/>
    </row>
    <row r="277" spans="1:20">
      <c r="A277" s="3" t="s">
        <v>1600</v>
      </c>
      <c r="B277" s="3" t="s">
        <v>1606</v>
      </c>
      <c r="C277" s="3" t="s">
        <v>1616</v>
      </c>
      <c r="D277" s="3" t="s">
        <v>394</v>
      </c>
      <c r="E277" s="3" t="s">
        <v>395</v>
      </c>
      <c r="F277" s="2">
        <v>1</v>
      </c>
      <c r="G277" s="4">
        <v>1.0114136305991763</v>
      </c>
      <c r="H277" s="2">
        <v>25</v>
      </c>
      <c r="I277" s="2">
        <v>5</v>
      </c>
      <c r="J277" s="2">
        <v>1</v>
      </c>
      <c r="K277" s="4">
        <v>1</v>
      </c>
      <c r="L277" s="4">
        <v>-0.45001265831001824</v>
      </c>
      <c r="M277" s="4">
        <v>0.45001265831001824</v>
      </c>
      <c r="N277" s="10">
        <v>0.45</v>
      </c>
      <c r="O277" s="4">
        <v>2.4031918254491047</v>
      </c>
      <c r="P277" s="4">
        <v>-2.4</v>
      </c>
      <c r="Q277" s="3" t="s">
        <v>1617</v>
      </c>
      <c r="R277" s="3" t="s">
        <v>1621</v>
      </c>
      <c r="S277" s="3" t="s">
        <v>1622</v>
      </c>
      <c r="T277" s="3"/>
    </row>
    <row r="278" spans="1:20">
      <c r="A278" s="12" t="s">
        <v>1605</v>
      </c>
      <c r="B278" s="3" t="s">
        <v>1601</v>
      </c>
      <c r="C278" s="3" t="s">
        <v>1596</v>
      </c>
      <c r="D278" s="3" t="s">
        <v>394</v>
      </c>
      <c r="E278" s="3" t="s">
        <v>395</v>
      </c>
      <c r="F278" s="2">
        <v>1</v>
      </c>
      <c r="G278" s="4">
        <v>1.0114136305991763</v>
      </c>
      <c r="H278" s="2">
        <v>25</v>
      </c>
      <c r="I278" s="2">
        <v>5</v>
      </c>
      <c r="J278" s="2">
        <v>16</v>
      </c>
      <c r="K278" s="11">
        <v>1</v>
      </c>
      <c r="L278" s="11">
        <v>-0.46467487270312052</v>
      </c>
      <c r="M278" s="4">
        <v>0.46467487270312052</v>
      </c>
      <c r="N278" s="10">
        <v>0.46500000000000002</v>
      </c>
      <c r="O278" s="4">
        <v>2.4951168926911671</v>
      </c>
      <c r="P278" s="4">
        <v>-2.5</v>
      </c>
      <c r="Q278" s="3" t="s">
        <v>1617</v>
      </c>
      <c r="R278" s="3" t="s">
        <v>1618</v>
      </c>
      <c r="S278" s="3" t="s">
        <v>1619</v>
      </c>
      <c r="T278" s="3"/>
    </row>
    <row r="279" spans="1:20">
      <c r="A279" s="3" t="s">
        <v>1600</v>
      </c>
      <c r="B279" s="3" t="s">
        <v>1609</v>
      </c>
      <c r="C279" s="3" t="s">
        <v>1596</v>
      </c>
      <c r="D279" s="3" t="s">
        <v>394</v>
      </c>
      <c r="E279" s="3" t="s">
        <v>395</v>
      </c>
      <c r="F279" s="2">
        <v>1</v>
      </c>
      <c r="G279" s="4">
        <v>1.0114136305991763</v>
      </c>
      <c r="H279" s="2">
        <v>25</v>
      </c>
      <c r="I279" s="2">
        <v>5</v>
      </c>
      <c r="J279" s="2">
        <v>1</v>
      </c>
      <c r="K279" s="11">
        <v>1</v>
      </c>
      <c r="L279" s="11">
        <v>-0.46986984960491551</v>
      </c>
      <c r="M279" s="4">
        <v>0.46986984960491551</v>
      </c>
      <c r="N279" s="10">
        <v>0.47</v>
      </c>
      <c r="O279" s="4">
        <v>2.5280680936268967</v>
      </c>
      <c r="P279" s="4">
        <v>-2.5299999999999998</v>
      </c>
      <c r="Q279" s="3" t="s">
        <v>1617</v>
      </c>
      <c r="R279" s="3" t="s">
        <v>1623</v>
      </c>
      <c r="S279" s="3" t="s">
        <v>1624</v>
      </c>
      <c r="T279" s="3"/>
    </row>
    <row r="280" spans="1:20">
      <c r="A280" s="3" t="s">
        <v>1600</v>
      </c>
      <c r="B280" s="3" t="s">
        <v>1606</v>
      </c>
      <c r="C280" s="3" t="s">
        <v>1616</v>
      </c>
      <c r="D280" s="3" t="s">
        <v>394</v>
      </c>
      <c r="E280" s="3" t="s">
        <v>395</v>
      </c>
      <c r="F280" s="2">
        <v>1</v>
      </c>
      <c r="G280" s="4">
        <v>1.0114136305991763</v>
      </c>
      <c r="H280" s="2">
        <v>25</v>
      </c>
      <c r="I280" s="2">
        <v>5</v>
      </c>
      <c r="J280" s="2">
        <v>16</v>
      </c>
      <c r="K280" s="11">
        <v>1</v>
      </c>
      <c r="L280" s="11">
        <v>-0.48370900946267914</v>
      </c>
      <c r="M280" s="4">
        <v>0.48370900946267914</v>
      </c>
      <c r="N280" s="10">
        <v>0.48399999999999999</v>
      </c>
      <c r="O280" s="4">
        <v>2.6168726231352766</v>
      </c>
      <c r="P280" s="4">
        <v>-2.62</v>
      </c>
      <c r="Q280" s="3" t="s">
        <v>1617</v>
      </c>
      <c r="R280" s="3" t="s">
        <v>1621</v>
      </c>
      <c r="S280" s="3" t="s">
        <v>1622</v>
      </c>
      <c r="T280" s="3"/>
    </row>
    <row r="281" spans="1:20">
      <c r="A281" s="3" t="s">
        <v>1600</v>
      </c>
      <c r="B281" s="3" t="s">
        <v>1606</v>
      </c>
      <c r="C281" s="3" t="s">
        <v>1596</v>
      </c>
      <c r="D281" s="3" t="s">
        <v>394</v>
      </c>
      <c r="E281" s="3" t="s">
        <v>395</v>
      </c>
      <c r="F281" s="2">
        <v>1</v>
      </c>
      <c r="G281" s="4">
        <v>1.0114136305991763</v>
      </c>
      <c r="H281" s="2">
        <v>25</v>
      </c>
      <c r="I281" s="2">
        <v>5</v>
      </c>
      <c r="J281" s="2">
        <v>16</v>
      </c>
      <c r="K281" s="11">
        <v>1</v>
      </c>
      <c r="L281" s="11">
        <v>-0.57816981398936451</v>
      </c>
      <c r="M281" s="4">
        <v>0.57816981398936451</v>
      </c>
      <c r="N281" s="10">
        <v>0.57799999999999996</v>
      </c>
      <c r="O281" s="4">
        <v>3.270795922688289</v>
      </c>
      <c r="P281" s="4">
        <v>-3.27</v>
      </c>
      <c r="Q281" s="3" t="s">
        <v>1617</v>
      </c>
      <c r="R281" s="3" t="s">
        <v>1621</v>
      </c>
      <c r="S281" s="3" t="s">
        <v>1622</v>
      </c>
      <c r="T281" s="3"/>
    </row>
    <row r="282" spans="1:20">
      <c r="A282" s="3" t="s">
        <v>1600</v>
      </c>
      <c r="B282" s="3" t="s">
        <v>1606</v>
      </c>
      <c r="C282" s="3" t="s">
        <v>1596</v>
      </c>
      <c r="D282" s="3" t="s">
        <v>394</v>
      </c>
      <c r="E282" s="3" t="s">
        <v>395</v>
      </c>
      <c r="F282" s="2">
        <v>1</v>
      </c>
      <c r="G282" s="4">
        <v>1.0114136305991763</v>
      </c>
      <c r="H282" s="2">
        <v>25</v>
      </c>
      <c r="I282" s="2">
        <v>5</v>
      </c>
      <c r="J282" s="2">
        <v>1</v>
      </c>
      <c r="K282" s="11">
        <v>1</v>
      </c>
      <c r="L282" s="11">
        <v>-0.63416425659844289</v>
      </c>
      <c r="M282" s="4">
        <v>0.63416425659844289</v>
      </c>
      <c r="N282" s="10">
        <v>0.63400000000000001</v>
      </c>
      <c r="O282" s="4">
        <v>3.710277494229254</v>
      </c>
      <c r="P282" s="4">
        <v>-3.71</v>
      </c>
      <c r="Q282" s="3" t="s">
        <v>1617</v>
      </c>
      <c r="R282" s="3" t="s">
        <v>1621</v>
      </c>
      <c r="S282" s="3" t="s">
        <v>1622</v>
      </c>
      <c r="T282" s="3"/>
    </row>
    <row r="283" spans="1:20">
      <c r="A283" s="3" t="s">
        <v>1600</v>
      </c>
      <c r="B283" s="3" t="s">
        <v>1601</v>
      </c>
      <c r="C283" s="3" t="s">
        <v>1616</v>
      </c>
      <c r="D283" s="3" t="s">
        <v>1312</v>
      </c>
      <c r="E283" s="3" t="s">
        <v>1313</v>
      </c>
      <c r="F283" s="2">
        <v>1</v>
      </c>
      <c r="G283" s="4">
        <v>1.0121996697032656</v>
      </c>
      <c r="H283" s="2">
        <v>25</v>
      </c>
      <c r="I283" s="2">
        <v>5</v>
      </c>
      <c r="J283" s="2">
        <v>16</v>
      </c>
      <c r="K283" s="4">
        <v>1</v>
      </c>
      <c r="L283" s="4">
        <v>0.88989401029237991</v>
      </c>
      <c r="M283" s="4">
        <v>0.88989401029237991</v>
      </c>
      <c r="N283" s="10">
        <v>0.89</v>
      </c>
      <c r="O283" s="4">
        <v>7.047291499096727</v>
      </c>
      <c r="P283" s="4">
        <v>7.05</v>
      </c>
      <c r="Q283" s="3" t="s">
        <v>1597</v>
      </c>
      <c r="R283" s="3" t="s">
        <v>1602</v>
      </c>
      <c r="S283" s="3" t="s">
        <v>1603</v>
      </c>
      <c r="T283" s="3"/>
    </row>
    <row r="284" spans="1:20">
      <c r="A284" s="3" t="s">
        <v>1600</v>
      </c>
      <c r="B284" s="3" t="s">
        <v>1601</v>
      </c>
      <c r="C284" s="3" t="s">
        <v>1616</v>
      </c>
      <c r="D284" s="3" t="s">
        <v>1312</v>
      </c>
      <c r="E284" s="3" t="s">
        <v>1313</v>
      </c>
      <c r="F284" s="2">
        <v>1</v>
      </c>
      <c r="G284" s="4">
        <v>1.0121996697032656</v>
      </c>
      <c r="H284" s="2">
        <v>25</v>
      </c>
      <c r="I284" s="2">
        <v>5</v>
      </c>
      <c r="J284" s="2">
        <v>1</v>
      </c>
      <c r="K284" s="4">
        <v>1</v>
      </c>
      <c r="L284" s="4">
        <v>0.88747764138126717</v>
      </c>
      <c r="M284" s="4">
        <v>0.88747764138126717</v>
      </c>
      <c r="N284" s="10">
        <v>0.88700000000000001</v>
      </c>
      <c r="O284" s="4">
        <v>6.9903052455772681</v>
      </c>
      <c r="P284" s="4">
        <v>6.98</v>
      </c>
      <c r="Q284" s="3" t="s">
        <v>1597</v>
      </c>
      <c r="R284" s="3" t="s">
        <v>1602</v>
      </c>
      <c r="S284" s="3" t="s">
        <v>1603</v>
      </c>
      <c r="T284" s="3"/>
    </row>
    <row r="285" spans="1:20">
      <c r="A285" s="3" t="s">
        <v>1604</v>
      </c>
      <c r="B285" s="3" t="s">
        <v>1601</v>
      </c>
      <c r="C285" s="3" t="s">
        <v>1616</v>
      </c>
      <c r="D285" s="3" t="s">
        <v>1312</v>
      </c>
      <c r="E285" s="3" t="s">
        <v>1313</v>
      </c>
      <c r="F285" s="2">
        <v>1</v>
      </c>
      <c r="G285" s="4">
        <v>1.0121996697032656</v>
      </c>
      <c r="H285" s="2">
        <v>25</v>
      </c>
      <c r="I285" s="2">
        <v>30</v>
      </c>
      <c r="J285" s="2">
        <v>16</v>
      </c>
      <c r="K285" s="4">
        <v>1</v>
      </c>
      <c r="L285" s="4">
        <v>0.88041520495102898</v>
      </c>
      <c r="M285" s="4">
        <v>0.88041520495102898</v>
      </c>
      <c r="N285" s="10">
        <v>0.88</v>
      </c>
      <c r="O285" s="4">
        <v>6.8301081077019141</v>
      </c>
      <c r="P285" s="4">
        <v>6.82</v>
      </c>
      <c r="Q285" s="3" t="s">
        <v>1597</v>
      </c>
      <c r="R285" s="3" t="s">
        <v>1602</v>
      </c>
      <c r="S285" s="3" t="s">
        <v>1603</v>
      </c>
      <c r="T285" s="3"/>
    </row>
    <row r="286" spans="1:20">
      <c r="A286" s="3" t="s">
        <v>1600</v>
      </c>
      <c r="B286" s="3" t="s">
        <v>1606</v>
      </c>
      <c r="C286" s="3" t="s">
        <v>1616</v>
      </c>
      <c r="D286" s="3" t="s">
        <v>1312</v>
      </c>
      <c r="E286" s="3" t="s">
        <v>1313</v>
      </c>
      <c r="F286" s="2">
        <v>1</v>
      </c>
      <c r="G286" s="4">
        <v>1.0121996697032656</v>
      </c>
      <c r="H286" s="2">
        <v>25</v>
      </c>
      <c r="I286" s="2">
        <v>5</v>
      </c>
      <c r="J286" s="2">
        <v>1</v>
      </c>
      <c r="K286" s="4">
        <v>1</v>
      </c>
      <c r="L286" s="4">
        <v>0.87010829430895897</v>
      </c>
      <c r="M286" s="4">
        <v>0.87010829430895897</v>
      </c>
      <c r="N286" s="10">
        <v>0.87</v>
      </c>
      <c r="O286" s="4">
        <v>6.6115334331338431</v>
      </c>
      <c r="P286" s="4">
        <v>6.61</v>
      </c>
      <c r="Q286" s="3" t="s">
        <v>1597</v>
      </c>
      <c r="R286" s="3" t="s">
        <v>1607</v>
      </c>
      <c r="S286" s="3" t="s">
        <v>1608</v>
      </c>
      <c r="T286" s="3"/>
    </row>
    <row r="287" spans="1:20">
      <c r="A287" s="3" t="s">
        <v>1600</v>
      </c>
      <c r="B287" s="3" t="s">
        <v>1606</v>
      </c>
      <c r="C287" s="3" t="s">
        <v>1616</v>
      </c>
      <c r="D287" s="3" t="s">
        <v>1312</v>
      </c>
      <c r="E287" s="3" t="s">
        <v>1313</v>
      </c>
      <c r="F287" s="2">
        <v>1</v>
      </c>
      <c r="G287" s="4">
        <v>1.0121996697032656</v>
      </c>
      <c r="H287" s="2">
        <v>25</v>
      </c>
      <c r="I287" s="2">
        <v>5</v>
      </c>
      <c r="J287" s="2">
        <v>16</v>
      </c>
      <c r="K287" s="4">
        <v>1</v>
      </c>
      <c r="L287" s="4">
        <v>0.86019605689561485</v>
      </c>
      <c r="M287" s="4">
        <v>0.86019605689561485</v>
      </c>
      <c r="N287" s="10">
        <v>0.86</v>
      </c>
      <c r="O287" s="4">
        <v>6.4160558452546752</v>
      </c>
      <c r="P287" s="4">
        <v>6.41</v>
      </c>
      <c r="Q287" s="3" t="s">
        <v>1597</v>
      </c>
      <c r="R287" s="3" t="s">
        <v>1607</v>
      </c>
      <c r="S287" s="3" t="s">
        <v>1608</v>
      </c>
      <c r="T287" s="3"/>
    </row>
    <row r="288" spans="1:20">
      <c r="A288" s="3" t="s">
        <v>1600</v>
      </c>
      <c r="B288" s="3" t="s">
        <v>1606</v>
      </c>
      <c r="C288" s="3" t="s">
        <v>1596</v>
      </c>
      <c r="D288" s="3" t="s">
        <v>1312</v>
      </c>
      <c r="E288" s="3" t="s">
        <v>1313</v>
      </c>
      <c r="F288" s="2">
        <v>1</v>
      </c>
      <c r="G288" s="4">
        <v>1.0121996697032656</v>
      </c>
      <c r="H288" s="2">
        <v>25</v>
      </c>
      <c r="I288" s="2">
        <v>5</v>
      </c>
      <c r="J288" s="2">
        <v>1</v>
      </c>
      <c r="K288" s="4">
        <v>1</v>
      </c>
      <c r="L288" s="4">
        <v>0.81271256040679563</v>
      </c>
      <c r="M288" s="4">
        <v>0.81271256040679563</v>
      </c>
      <c r="N288" s="10">
        <v>0.81299999999999994</v>
      </c>
      <c r="O288" s="4">
        <v>5.6270968913674357</v>
      </c>
      <c r="P288" s="4">
        <v>5.63</v>
      </c>
      <c r="Q288" s="3" t="s">
        <v>1597</v>
      </c>
      <c r="R288" s="3" t="s">
        <v>1607</v>
      </c>
      <c r="S288" s="3" t="s">
        <v>1608</v>
      </c>
      <c r="T288" s="3"/>
    </row>
    <row r="289" spans="1:20">
      <c r="A289" s="3" t="s">
        <v>1600</v>
      </c>
      <c r="B289" s="3" t="s">
        <v>1609</v>
      </c>
      <c r="C289" s="3" t="s">
        <v>1616</v>
      </c>
      <c r="D289" s="3" t="s">
        <v>1312</v>
      </c>
      <c r="E289" s="3" t="s">
        <v>1313</v>
      </c>
      <c r="F289" s="2">
        <v>1</v>
      </c>
      <c r="G289" s="4">
        <v>1.0121996697032656</v>
      </c>
      <c r="H289" s="2">
        <v>25</v>
      </c>
      <c r="I289" s="2">
        <v>5</v>
      </c>
      <c r="J289" s="2">
        <v>1</v>
      </c>
      <c r="K289" s="4">
        <v>0.89975073394472016</v>
      </c>
      <c r="L289" s="4">
        <v>0.81013241765721955</v>
      </c>
      <c r="M289" s="4">
        <v>0.81013241765721955</v>
      </c>
      <c r="N289" s="10">
        <v>0.81</v>
      </c>
      <c r="O289" s="4">
        <v>5.5896478098734423</v>
      </c>
      <c r="P289" s="4">
        <v>5.59</v>
      </c>
      <c r="Q289" s="3" t="s">
        <v>1597</v>
      </c>
      <c r="R289" s="3" t="s">
        <v>1610</v>
      </c>
      <c r="S289" s="3" t="s">
        <v>1611</v>
      </c>
      <c r="T289" s="3"/>
    </row>
    <row r="290" spans="1:20">
      <c r="A290" s="3" t="s">
        <v>1600</v>
      </c>
      <c r="B290" s="3" t="s">
        <v>1606</v>
      </c>
      <c r="C290" s="3" t="s">
        <v>1596</v>
      </c>
      <c r="D290" s="3" t="s">
        <v>1312</v>
      </c>
      <c r="E290" s="3" t="s">
        <v>1313</v>
      </c>
      <c r="F290" s="2">
        <v>1</v>
      </c>
      <c r="G290" s="4">
        <v>1.0121996697032656</v>
      </c>
      <c r="H290" s="2">
        <v>25</v>
      </c>
      <c r="I290" s="2">
        <v>5</v>
      </c>
      <c r="J290" s="2">
        <v>16</v>
      </c>
      <c r="K290" s="4">
        <v>1</v>
      </c>
      <c r="L290" s="4">
        <v>0.80966258729428076</v>
      </c>
      <c r="M290" s="4">
        <v>0.80966258729428076</v>
      </c>
      <c r="N290" s="10">
        <v>0.81</v>
      </c>
      <c r="O290" s="4">
        <v>5.5828776266273747</v>
      </c>
      <c r="P290" s="4">
        <v>5.59</v>
      </c>
      <c r="Q290" s="3" t="s">
        <v>1597</v>
      </c>
      <c r="R290" s="3" t="s">
        <v>1607</v>
      </c>
      <c r="S290" s="3" t="s">
        <v>1608</v>
      </c>
      <c r="T290" s="3"/>
    </row>
    <row r="291" spans="1:20">
      <c r="A291" s="3" t="s">
        <v>1604</v>
      </c>
      <c r="B291" s="3" t="s">
        <v>1601</v>
      </c>
      <c r="C291" s="3" t="s">
        <v>1596</v>
      </c>
      <c r="D291" s="3" t="s">
        <v>1312</v>
      </c>
      <c r="E291" s="3" t="s">
        <v>1313</v>
      </c>
      <c r="F291" s="2">
        <v>1</v>
      </c>
      <c r="G291" s="4">
        <v>1.0121996697032656</v>
      </c>
      <c r="H291" s="2">
        <v>25</v>
      </c>
      <c r="I291" s="2">
        <v>30</v>
      </c>
      <c r="J291" s="2">
        <v>16</v>
      </c>
      <c r="K291" s="4">
        <v>1</v>
      </c>
      <c r="L291" s="4">
        <v>0.80220578579054902</v>
      </c>
      <c r="M291" s="4">
        <v>0.80220578579054902</v>
      </c>
      <c r="N291" s="10">
        <v>0.80200000000000005</v>
      </c>
      <c r="O291" s="4">
        <v>5.4773780080759682</v>
      </c>
      <c r="P291" s="4">
        <v>5.47</v>
      </c>
      <c r="Q291" s="3" t="s">
        <v>1597</v>
      </c>
      <c r="R291" s="3" t="s">
        <v>1602</v>
      </c>
      <c r="S291" s="3" t="s">
        <v>1603</v>
      </c>
      <c r="T291" s="3"/>
    </row>
    <row r="292" spans="1:20">
      <c r="A292" s="3" t="s">
        <v>1600</v>
      </c>
      <c r="B292" s="3" t="s">
        <v>1601</v>
      </c>
      <c r="C292" s="3" t="s">
        <v>1596</v>
      </c>
      <c r="D292" s="3" t="s">
        <v>1312</v>
      </c>
      <c r="E292" s="3" t="s">
        <v>1313</v>
      </c>
      <c r="F292" s="2">
        <v>1</v>
      </c>
      <c r="G292" s="4">
        <v>1.0121996697032656</v>
      </c>
      <c r="H292" s="2">
        <v>25</v>
      </c>
      <c r="I292" s="2">
        <v>5</v>
      </c>
      <c r="J292" s="2">
        <v>16</v>
      </c>
      <c r="K292" s="4">
        <v>1</v>
      </c>
      <c r="L292" s="4">
        <v>0.79467875030690915</v>
      </c>
      <c r="M292" s="4">
        <v>0.79467875030690915</v>
      </c>
      <c r="N292" s="10">
        <v>0.79500000000000004</v>
      </c>
      <c r="O292" s="4">
        <v>5.3744166166058172</v>
      </c>
      <c r="P292" s="4">
        <v>5.38</v>
      </c>
      <c r="Q292" s="3" t="s">
        <v>1597</v>
      </c>
      <c r="R292" s="3" t="s">
        <v>1602</v>
      </c>
      <c r="S292" s="3" t="s">
        <v>1603</v>
      </c>
      <c r="T292" s="3"/>
    </row>
    <row r="293" spans="1:20">
      <c r="A293" s="3" t="s">
        <v>1605</v>
      </c>
      <c r="B293" s="3" t="s">
        <v>1601</v>
      </c>
      <c r="C293" s="3" t="s">
        <v>1596</v>
      </c>
      <c r="D293" s="3" t="s">
        <v>1312</v>
      </c>
      <c r="E293" s="3" t="s">
        <v>1313</v>
      </c>
      <c r="F293" s="2">
        <v>1</v>
      </c>
      <c r="G293" s="4">
        <v>1.0121996697032656</v>
      </c>
      <c r="H293" s="2">
        <v>25</v>
      </c>
      <c r="I293" s="2">
        <v>5</v>
      </c>
      <c r="J293" s="2">
        <v>16</v>
      </c>
      <c r="K293" s="4">
        <v>1</v>
      </c>
      <c r="L293" s="4">
        <v>0.79057734343668085</v>
      </c>
      <c r="M293" s="4">
        <v>0.79057734343668085</v>
      </c>
      <c r="N293" s="10">
        <v>0.79100000000000004</v>
      </c>
      <c r="O293" s="4">
        <v>5.3197142260688723</v>
      </c>
      <c r="P293" s="4">
        <v>5.33</v>
      </c>
      <c r="Q293" s="3" t="s">
        <v>1597</v>
      </c>
      <c r="R293" s="3" t="s">
        <v>1602</v>
      </c>
      <c r="S293" s="3" t="s">
        <v>1603</v>
      </c>
      <c r="T293" s="3"/>
    </row>
    <row r="294" spans="1:20">
      <c r="A294" s="3" t="s">
        <v>1600</v>
      </c>
      <c r="B294" s="3" t="s">
        <v>1601</v>
      </c>
      <c r="C294" s="3" t="s">
        <v>1596</v>
      </c>
      <c r="D294" s="3" t="s">
        <v>1312</v>
      </c>
      <c r="E294" s="3" t="s">
        <v>1313</v>
      </c>
      <c r="F294" s="2">
        <v>1</v>
      </c>
      <c r="G294" s="4">
        <v>1.0121996697032656</v>
      </c>
      <c r="H294" s="2">
        <v>25</v>
      </c>
      <c r="I294" s="2">
        <v>5</v>
      </c>
      <c r="J294" s="2">
        <v>1</v>
      </c>
      <c r="K294" s="4">
        <v>0.95961977719350045</v>
      </c>
      <c r="L294" s="4">
        <v>0.78999526836345624</v>
      </c>
      <c r="M294" s="4">
        <v>0.78999526836345624</v>
      </c>
      <c r="N294" s="10">
        <v>0.79</v>
      </c>
      <c r="O294" s="4">
        <v>5.3120276855950257</v>
      </c>
      <c r="P294" s="4">
        <v>5.31</v>
      </c>
      <c r="Q294" s="3" t="s">
        <v>1597</v>
      </c>
      <c r="R294" s="3" t="s">
        <v>1602</v>
      </c>
      <c r="S294" s="3" t="s">
        <v>1603</v>
      </c>
      <c r="T294" s="3"/>
    </row>
    <row r="295" spans="1:20">
      <c r="A295" s="3" t="s">
        <v>1600</v>
      </c>
      <c r="B295" s="3" t="s">
        <v>1609</v>
      </c>
      <c r="C295" s="3" t="s">
        <v>1616</v>
      </c>
      <c r="D295" s="3" t="s">
        <v>1312</v>
      </c>
      <c r="E295" s="3" t="s">
        <v>1313</v>
      </c>
      <c r="F295" s="2">
        <v>1</v>
      </c>
      <c r="G295" s="4">
        <v>1.0121996697032656</v>
      </c>
      <c r="H295" s="2">
        <v>25</v>
      </c>
      <c r="I295" s="2">
        <v>5</v>
      </c>
      <c r="J295" s="2">
        <v>16</v>
      </c>
      <c r="K295" s="4">
        <v>0.96445577276142958</v>
      </c>
      <c r="L295" s="4">
        <v>0.78000029536934712</v>
      </c>
      <c r="M295" s="4">
        <v>0.78000029536934712</v>
      </c>
      <c r="N295" s="10">
        <v>0.78</v>
      </c>
      <c r="O295" s="4">
        <v>5.1828843810529968</v>
      </c>
      <c r="P295" s="4">
        <v>5.18</v>
      </c>
      <c r="Q295" s="3" t="s">
        <v>1597</v>
      </c>
      <c r="R295" s="3" t="s">
        <v>1610</v>
      </c>
      <c r="S295" s="3" t="s">
        <v>1611</v>
      </c>
      <c r="T295" s="3"/>
    </row>
    <row r="296" spans="1:20">
      <c r="A296" s="3" t="s">
        <v>1600</v>
      </c>
      <c r="B296" s="3" t="s">
        <v>1609</v>
      </c>
      <c r="C296" s="3" t="s">
        <v>1596</v>
      </c>
      <c r="D296" s="3" t="s">
        <v>1312</v>
      </c>
      <c r="E296" s="3" t="s">
        <v>1313</v>
      </c>
      <c r="F296" s="2">
        <v>1</v>
      </c>
      <c r="G296" s="4">
        <v>1.0121996697032656</v>
      </c>
      <c r="H296" s="2">
        <v>25</v>
      </c>
      <c r="I296" s="2">
        <v>5</v>
      </c>
      <c r="J296" s="2">
        <v>1</v>
      </c>
      <c r="K296" s="4">
        <v>0.99173421375391102</v>
      </c>
      <c r="L296" s="4">
        <v>0.71996522910498284</v>
      </c>
      <c r="M296" s="4">
        <v>0.71996522910498284</v>
      </c>
      <c r="N296" s="10">
        <v>0.72</v>
      </c>
      <c r="O296" s="4">
        <v>4.4996881177286738</v>
      </c>
      <c r="P296" s="4">
        <v>4.5</v>
      </c>
      <c r="Q296" s="3" t="s">
        <v>1597</v>
      </c>
      <c r="R296" s="3" t="s">
        <v>1610</v>
      </c>
      <c r="S296" s="3" t="s">
        <v>1611</v>
      </c>
      <c r="T296" s="3"/>
    </row>
    <row r="297" spans="1:20">
      <c r="A297" s="3" t="s">
        <v>1600</v>
      </c>
      <c r="B297" s="3" t="s">
        <v>1609</v>
      </c>
      <c r="C297" s="3" t="s">
        <v>1596</v>
      </c>
      <c r="D297" s="3" t="s">
        <v>1312</v>
      </c>
      <c r="E297" s="3" t="s">
        <v>1313</v>
      </c>
      <c r="F297" s="2">
        <v>1</v>
      </c>
      <c r="G297" s="4">
        <v>1.0121996697032656</v>
      </c>
      <c r="H297" s="2">
        <v>25</v>
      </c>
      <c r="I297" s="2">
        <v>5</v>
      </c>
      <c r="J297" s="2">
        <v>16</v>
      </c>
      <c r="K297" s="4">
        <v>0.98983320140642383</v>
      </c>
      <c r="L297" s="4">
        <v>0.71195320005978091</v>
      </c>
      <c r="M297" s="4">
        <v>0.71195320005978091</v>
      </c>
      <c r="N297" s="10">
        <v>0.71199999999999997</v>
      </c>
      <c r="O297" s="4">
        <v>4.4181837999968501</v>
      </c>
      <c r="P297" s="4">
        <v>4.42</v>
      </c>
      <c r="Q297" s="3" t="s">
        <v>1597</v>
      </c>
      <c r="R297" s="3" t="s">
        <v>1610</v>
      </c>
      <c r="S297" s="3" t="s">
        <v>1611</v>
      </c>
      <c r="T297" s="3"/>
    </row>
    <row r="298" spans="1:20">
      <c r="A298" s="3" t="s">
        <v>1594</v>
      </c>
      <c r="B298" s="3" t="s">
        <v>1612</v>
      </c>
      <c r="C298" s="3" t="s">
        <v>1596</v>
      </c>
      <c r="D298" s="3" t="s">
        <v>1312</v>
      </c>
      <c r="E298" s="3" t="s">
        <v>1313</v>
      </c>
      <c r="F298" s="2">
        <v>1</v>
      </c>
      <c r="G298" s="4">
        <v>1.0121996697032656</v>
      </c>
      <c r="H298" s="2">
        <v>50</v>
      </c>
      <c r="I298" s="2">
        <v>5</v>
      </c>
      <c r="J298" s="2">
        <v>16</v>
      </c>
      <c r="K298" s="4">
        <v>0.86934226370447787</v>
      </c>
      <c r="L298" s="4">
        <v>8.2888665156472863E-2</v>
      </c>
      <c r="M298" s="4">
        <v>8.2888665156472863E-2</v>
      </c>
      <c r="N298" s="10">
        <v>8.3000000000000004E-2</v>
      </c>
      <c r="O298" s="4">
        <v>0.44643992272083871</v>
      </c>
      <c r="P298" s="4">
        <v>0.45</v>
      </c>
      <c r="Q298" s="3" t="s">
        <v>1597</v>
      </c>
      <c r="R298" s="3" t="s">
        <v>1613</v>
      </c>
      <c r="S298" s="3" t="s">
        <v>1614</v>
      </c>
      <c r="T298" s="3"/>
    </row>
    <row r="299" spans="1:20">
      <c r="A299" s="3" t="s">
        <v>1594</v>
      </c>
      <c r="B299" s="3" t="s">
        <v>1595</v>
      </c>
      <c r="C299" s="3" t="s">
        <v>1596</v>
      </c>
      <c r="D299" s="3" t="s">
        <v>1312</v>
      </c>
      <c r="E299" s="3" t="s">
        <v>1313</v>
      </c>
      <c r="F299" s="2">
        <v>1</v>
      </c>
      <c r="G299" s="4">
        <v>1.0121996697032656</v>
      </c>
      <c r="H299" s="2">
        <v>50</v>
      </c>
      <c r="I299" s="2">
        <v>5</v>
      </c>
      <c r="J299" s="2">
        <v>16</v>
      </c>
      <c r="K299" s="4">
        <v>1</v>
      </c>
      <c r="L299" s="4">
        <v>-7.3229586501970825E-2</v>
      </c>
      <c r="M299" s="4">
        <v>7.3229586501970825E-2</v>
      </c>
      <c r="N299" s="10">
        <v>7.2999999999999995E-2</v>
      </c>
      <c r="O299" s="4">
        <v>0.39421668101998669</v>
      </c>
      <c r="P299" s="4">
        <v>-0.39</v>
      </c>
      <c r="Q299" s="3" t="s">
        <v>1617</v>
      </c>
      <c r="R299" s="3" t="s">
        <v>1625</v>
      </c>
      <c r="S299" s="3" t="s">
        <v>1626</v>
      </c>
      <c r="T299" s="3"/>
    </row>
    <row r="300" spans="1:20">
      <c r="A300" s="3" t="s">
        <v>1594</v>
      </c>
      <c r="B300" s="3" t="s">
        <v>1595</v>
      </c>
      <c r="C300" s="3" t="s">
        <v>1596</v>
      </c>
      <c r="D300" s="3" t="s">
        <v>1312</v>
      </c>
      <c r="E300" s="3" t="s">
        <v>1313</v>
      </c>
      <c r="F300" s="2">
        <v>1</v>
      </c>
      <c r="G300" s="4">
        <v>1.0121996697032656</v>
      </c>
      <c r="H300" s="2">
        <v>25</v>
      </c>
      <c r="I300" s="2">
        <v>5</v>
      </c>
      <c r="J300" s="2">
        <v>16</v>
      </c>
      <c r="K300" s="4">
        <v>1</v>
      </c>
      <c r="L300" s="4">
        <v>-9.174712405330708E-2</v>
      </c>
      <c r="M300" s="4">
        <v>9.174712405330708E-2</v>
      </c>
      <c r="N300" s="10">
        <v>9.1999999999999998E-2</v>
      </c>
      <c r="O300" s="4">
        <v>0.45615919904976276</v>
      </c>
      <c r="P300" s="4">
        <v>-0.46</v>
      </c>
      <c r="Q300" s="3" t="s">
        <v>1617</v>
      </c>
      <c r="R300" s="3" t="s">
        <v>1625</v>
      </c>
      <c r="S300" s="3" t="s">
        <v>1626</v>
      </c>
      <c r="T300" s="3"/>
    </row>
    <row r="301" spans="1:20">
      <c r="A301" s="3" t="s">
        <v>1594</v>
      </c>
      <c r="B301" s="3" t="s">
        <v>1612</v>
      </c>
      <c r="C301" s="3" t="s">
        <v>1596</v>
      </c>
      <c r="D301" s="3" t="s">
        <v>999</v>
      </c>
      <c r="E301" s="3" t="s">
        <v>1000</v>
      </c>
      <c r="F301" s="2">
        <v>1</v>
      </c>
      <c r="G301" s="4">
        <v>1.0127924333523985</v>
      </c>
      <c r="H301" s="2">
        <v>50</v>
      </c>
      <c r="I301" s="2">
        <v>5</v>
      </c>
      <c r="J301" s="2">
        <v>16</v>
      </c>
      <c r="K301" s="4">
        <v>1</v>
      </c>
      <c r="L301" s="4">
        <v>0.47871985776197357</v>
      </c>
      <c r="M301" s="4">
        <v>0.47871985776197357</v>
      </c>
      <c r="N301" s="10">
        <v>0.47899999999999998</v>
      </c>
      <c r="O301" s="4">
        <v>2.8014090462808152</v>
      </c>
      <c r="P301" s="4">
        <v>2.8</v>
      </c>
      <c r="Q301" s="3" t="s">
        <v>1597</v>
      </c>
      <c r="R301" s="3" t="s">
        <v>1613</v>
      </c>
      <c r="S301" s="3" t="s">
        <v>1614</v>
      </c>
      <c r="T301" s="3"/>
    </row>
    <row r="302" spans="1:20">
      <c r="A302" s="3" t="s">
        <v>1594</v>
      </c>
      <c r="B302" s="3" t="s">
        <v>1595</v>
      </c>
      <c r="C302" s="3" t="s">
        <v>1596</v>
      </c>
      <c r="D302" s="3" t="s">
        <v>999</v>
      </c>
      <c r="E302" s="3" t="s">
        <v>1000</v>
      </c>
      <c r="F302" s="2">
        <v>1</v>
      </c>
      <c r="G302" s="4">
        <v>1.0127924333523985</v>
      </c>
      <c r="H302" s="2">
        <v>50</v>
      </c>
      <c r="I302" s="2">
        <v>5</v>
      </c>
      <c r="J302" s="2">
        <v>16</v>
      </c>
      <c r="K302" s="4">
        <v>1</v>
      </c>
      <c r="L302" s="4">
        <v>0.34056981554773352</v>
      </c>
      <c r="M302" s="4">
        <v>0.34056981554773352</v>
      </c>
      <c r="N302" s="10">
        <v>0.34100000000000003</v>
      </c>
      <c r="O302" s="4">
        <v>1.906236325809902</v>
      </c>
      <c r="P302" s="4">
        <v>1.91</v>
      </c>
      <c r="Q302" s="3" t="s">
        <v>1597</v>
      </c>
      <c r="R302" s="3" t="s">
        <v>1598</v>
      </c>
      <c r="S302" s="3" t="s">
        <v>1599</v>
      </c>
      <c r="T302" s="3"/>
    </row>
    <row r="303" spans="1:20">
      <c r="A303" s="3" t="s">
        <v>1594</v>
      </c>
      <c r="B303" s="3" t="s">
        <v>1595</v>
      </c>
      <c r="C303" s="3" t="s">
        <v>1596</v>
      </c>
      <c r="D303" s="3" t="s">
        <v>999</v>
      </c>
      <c r="E303" s="3" t="s">
        <v>1000</v>
      </c>
      <c r="F303" s="2">
        <v>1</v>
      </c>
      <c r="G303" s="4">
        <v>1.0127924333523985</v>
      </c>
      <c r="H303" s="2">
        <v>25</v>
      </c>
      <c r="I303" s="2">
        <v>5</v>
      </c>
      <c r="J303" s="2">
        <v>16</v>
      </c>
      <c r="K303" s="4">
        <v>1</v>
      </c>
      <c r="L303" s="4">
        <v>0.32078258556402783</v>
      </c>
      <c r="M303" s="4">
        <v>0.32078258556402783</v>
      </c>
      <c r="N303" s="10">
        <v>0.32100000000000001</v>
      </c>
      <c r="O303" s="4">
        <v>1.6486091116938848</v>
      </c>
      <c r="P303" s="4">
        <v>1.65</v>
      </c>
      <c r="Q303" s="3" t="s">
        <v>1597</v>
      </c>
      <c r="R303" s="3" t="s">
        <v>1598</v>
      </c>
      <c r="S303" s="3" t="s">
        <v>1599</v>
      </c>
      <c r="T303" s="3"/>
    </row>
    <row r="304" spans="1:20">
      <c r="A304" s="3" t="s">
        <v>1600</v>
      </c>
      <c r="B304" s="3" t="s">
        <v>1606</v>
      </c>
      <c r="C304" s="3" t="s">
        <v>1616</v>
      </c>
      <c r="D304" s="3" t="s">
        <v>999</v>
      </c>
      <c r="E304" s="3" t="s">
        <v>1000</v>
      </c>
      <c r="F304" s="2">
        <v>1</v>
      </c>
      <c r="G304" s="4">
        <v>1.0127924333523985</v>
      </c>
      <c r="H304" s="2">
        <v>25</v>
      </c>
      <c r="I304" s="2">
        <v>5</v>
      </c>
      <c r="J304" s="2">
        <v>16</v>
      </c>
      <c r="K304" s="4">
        <v>1</v>
      </c>
      <c r="L304" s="4">
        <v>0.10944240396845943</v>
      </c>
      <c r="M304" s="4">
        <v>0.10944240396845943</v>
      </c>
      <c r="N304" s="10">
        <v>0.109</v>
      </c>
      <c r="O304" s="4">
        <v>0.54479056587082686</v>
      </c>
      <c r="P304" s="4">
        <v>0.54</v>
      </c>
      <c r="Q304" s="3" t="s">
        <v>1597</v>
      </c>
      <c r="R304" s="3" t="s">
        <v>1607</v>
      </c>
      <c r="S304" s="3" t="s">
        <v>1608</v>
      </c>
      <c r="T304" s="3"/>
    </row>
    <row r="305" spans="1:20">
      <c r="A305" s="3" t="s">
        <v>1600</v>
      </c>
      <c r="B305" s="3" t="s">
        <v>1606</v>
      </c>
      <c r="C305" s="3" t="s">
        <v>1616</v>
      </c>
      <c r="D305" s="3" t="s">
        <v>999</v>
      </c>
      <c r="E305" s="3" t="s">
        <v>1000</v>
      </c>
      <c r="F305" s="2">
        <v>1</v>
      </c>
      <c r="G305" s="4">
        <v>1.0127924333523985</v>
      </c>
      <c r="H305" s="2">
        <v>25</v>
      </c>
      <c r="I305" s="2">
        <v>5</v>
      </c>
      <c r="J305" s="2">
        <v>1</v>
      </c>
      <c r="K305" s="4">
        <v>1</v>
      </c>
      <c r="L305" s="4">
        <v>3.1558408493322858E-2</v>
      </c>
      <c r="M305" s="4">
        <v>3.1558408493322858E-2</v>
      </c>
      <c r="N305" s="10">
        <v>3.2000000000000001E-2</v>
      </c>
      <c r="O305" s="4">
        <v>0.15651655443223469</v>
      </c>
      <c r="P305" s="4">
        <v>0.16</v>
      </c>
      <c r="Q305" s="3" t="s">
        <v>1597</v>
      </c>
      <c r="R305" s="3" t="s">
        <v>1607</v>
      </c>
      <c r="S305" s="3" t="s">
        <v>1608</v>
      </c>
      <c r="T305" s="3"/>
    </row>
    <row r="306" spans="1:20">
      <c r="A306" s="3" t="s">
        <v>1600</v>
      </c>
      <c r="B306" s="3" t="s">
        <v>1606</v>
      </c>
      <c r="C306" s="3" t="s">
        <v>1596</v>
      </c>
      <c r="D306" s="3" t="s">
        <v>999</v>
      </c>
      <c r="E306" s="3" t="s">
        <v>1000</v>
      </c>
      <c r="F306" s="2">
        <v>1</v>
      </c>
      <c r="G306" s="4">
        <v>1.0127924333523985</v>
      </c>
      <c r="H306" s="2">
        <v>25</v>
      </c>
      <c r="I306" s="2">
        <v>5</v>
      </c>
      <c r="J306" s="2">
        <v>16</v>
      </c>
      <c r="K306" s="4">
        <v>1</v>
      </c>
      <c r="L306" s="4">
        <v>-3.4989644290322863E-2</v>
      </c>
      <c r="M306" s="4">
        <v>3.4989644290322863E-2</v>
      </c>
      <c r="N306" s="10">
        <v>3.5000000000000003E-2</v>
      </c>
      <c r="O306" s="4">
        <v>0.1735472756462654</v>
      </c>
      <c r="P306" s="4">
        <v>-0.17</v>
      </c>
      <c r="Q306" s="3" t="s">
        <v>1617</v>
      </c>
      <c r="R306" s="3" t="s">
        <v>1621</v>
      </c>
      <c r="S306" s="3" t="s">
        <v>1622</v>
      </c>
      <c r="T306" s="3"/>
    </row>
    <row r="307" spans="1:20">
      <c r="A307" s="3" t="s">
        <v>1600</v>
      </c>
      <c r="B307" s="3" t="s">
        <v>1606</v>
      </c>
      <c r="C307" s="3" t="s">
        <v>1596</v>
      </c>
      <c r="D307" s="3" t="s">
        <v>999</v>
      </c>
      <c r="E307" s="3" t="s">
        <v>1000</v>
      </c>
      <c r="F307" s="2">
        <v>1</v>
      </c>
      <c r="G307" s="4">
        <v>1.0127924333523985</v>
      </c>
      <c r="H307" s="2">
        <v>25</v>
      </c>
      <c r="I307" s="2">
        <v>5</v>
      </c>
      <c r="J307" s="2">
        <v>1</v>
      </c>
      <c r="K307" s="4">
        <v>1</v>
      </c>
      <c r="L307" s="4">
        <v>-5.1574831067349947E-2</v>
      </c>
      <c r="M307" s="4">
        <v>5.1574831067349947E-2</v>
      </c>
      <c r="N307" s="10">
        <v>5.1999999999999998E-2</v>
      </c>
      <c r="O307" s="4">
        <v>0.25593181394935821</v>
      </c>
      <c r="P307" s="4">
        <v>-0.26</v>
      </c>
      <c r="Q307" s="3" t="s">
        <v>1617</v>
      </c>
      <c r="R307" s="3" t="s">
        <v>1621</v>
      </c>
      <c r="S307" s="3" t="s">
        <v>1622</v>
      </c>
      <c r="T307" s="3"/>
    </row>
    <row r="308" spans="1:20">
      <c r="A308" s="3" t="s">
        <v>1604</v>
      </c>
      <c r="B308" s="3" t="s">
        <v>1601</v>
      </c>
      <c r="C308" s="3" t="s">
        <v>1596</v>
      </c>
      <c r="D308" s="3" t="s">
        <v>999</v>
      </c>
      <c r="E308" s="3" t="s">
        <v>1000</v>
      </c>
      <c r="F308" s="2">
        <v>1</v>
      </c>
      <c r="G308" s="4">
        <v>1.0127924333523985</v>
      </c>
      <c r="H308" s="2">
        <v>25</v>
      </c>
      <c r="I308" s="2">
        <v>30</v>
      </c>
      <c r="J308" s="2">
        <v>16</v>
      </c>
      <c r="K308" s="4">
        <v>1</v>
      </c>
      <c r="L308" s="4">
        <v>-0.18583169222299534</v>
      </c>
      <c r="M308" s="4">
        <v>0.18583169222299534</v>
      </c>
      <c r="N308" s="10">
        <v>0.186</v>
      </c>
      <c r="O308" s="4">
        <v>0.9321727153512388</v>
      </c>
      <c r="P308" s="4">
        <v>-0.93</v>
      </c>
      <c r="Q308" s="3" t="s">
        <v>1617</v>
      </c>
      <c r="R308" s="3" t="s">
        <v>1618</v>
      </c>
      <c r="S308" s="3" t="s">
        <v>1619</v>
      </c>
      <c r="T308" s="3"/>
    </row>
    <row r="309" spans="1:20">
      <c r="A309" s="3" t="s">
        <v>1600</v>
      </c>
      <c r="B309" s="3" t="s">
        <v>1601</v>
      </c>
      <c r="C309" s="3" t="s">
        <v>1596</v>
      </c>
      <c r="D309" s="3" t="s">
        <v>999</v>
      </c>
      <c r="E309" s="3" t="s">
        <v>1000</v>
      </c>
      <c r="F309" s="2">
        <v>1</v>
      </c>
      <c r="G309" s="4">
        <v>1.0127924333523985</v>
      </c>
      <c r="H309" s="2">
        <v>25</v>
      </c>
      <c r="I309" s="2">
        <v>5</v>
      </c>
      <c r="J309" s="2">
        <v>1</v>
      </c>
      <c r="K309" s="4">
        <v>1</v>
      </c>
      <c r="L309" s="4">
        <v>-0.1868980147396069</v>
      </c>
      <c r="M309" s="4">
        <v>0.1868980147396069</v>
      </c>
      <c r="N309" s="10">
        <v>0.187</v>
      </c>
      <c r="O309" s="4">
        <v>0.93764970100207901</v>
      </c>
      <c r="P309" s="4">
        <v>-0.94</v>
      </c>
      <c r="Q309" s="3" t="s">
        <v>1617</v>
      </c>
      <c r="R309" s="3" t="s">
        <v>1618</v>
      </c>
      <c r="S309" s="3" t="s">
        <v>1619</v>
      </c>
      <c r="T309" s="3"/>
    </row>
    <row r="310" spans="1:20">
      <c r="A310" s="3" t="s">
        <v>1605</v>
      </c>
      <c r="B310" s="3" t="s">
        <v>1601</v>
      </c>
      <c r="C310" s="3" t="s">
        <v>1596</v>
      </c>
      <c r="D310" s="3" t="s">
        <v>999</v>
      </c>
      <c r="E310" s="3" t="s">
        <v>1000</v>
      </c>
      <c r="F310" s="2">
        <v>1</v>
      </c>
      <c r="G310" s="4">
        <v>1.0127924333523985</v>
      </c>
      <c r="H310" s="2">
        <v>25</v>
      </c>
      <c r="I310" s="2">
        <v>5</v>
      </c>
      <c r="J310" s="2">
        <v>16</v>
      </c>
      <c r="K310" s="4">
        <v>1</v>
      </c>
      <c r="L310" s="4">
        <v>-0.18950828446498363</v>
      </c>
      <c r="M310" s="4">
        <v>0.18950828446498363</v>
      </c>
      <c r="N310" s="10">
        <v>0.19</v>
      </c>
      <c r="O310" s="4">
        <v>0.95106648924232662</v>
      </c>
      <c r="P310" s="4">
        <v>-0.95</v>
      </c>
      <c r="Q310" s="3" t="s">
        <v>1617</v>
      </c>
      <c r="R310" s="3" t="s">
        <v>1618</v>
      </c>
      <c r="S310" s="3" t="s">
        <v>1619</v>
      </c>
      <c r="T310" s="3"/>
    </row>
    <row r="311" spans="1:20">
      <c r="A311" s="3" t="s">
        <v>1600</v>
      </c>
      <c r="B311" s="3" t="s">
        <v>1601</v>
      </c>
      <c r="C311" s="3" t="s">
        <v>1596</v>
      </c>
      <c r="D311" s="3" t="s">
        <v>999</v>
      </c>
      <c r="E311" s="3" t="s">
        <v>1000</v>
      </c>
      <c r="F311" s="2">
        <v>1</v>
      </c>
      <c r="G311" s="4">
        <v>1.0127924333523985</v>
      </c>
      <c r="H311" s="2">
        <v>25</v>
      </c>
      <c r="I311" s="2">
        <v>5</v>
      </c>
      <c r="J311" s="2">
        <v>16</v>
      </c>
      <c r="K311" s="4">
        <v>1</v>
      </c>
      <c r="L311" s="4">
        <v>-0.19405089622097285</v>
      </c>
      <c r="M311" s="4">
        <v>0.19405089622097285</v>
      </c>
      <c r="N311" s="10">
        <v>0.19400000000000001</v>
      </c>
      <c r="O311" s="4">
        <v>0.9744484918300097</v>
      </c>
      <c r="P311" s="4">
        <v>-0.97</v>
      </c>
      <c r="Q311" s="3" t="s">
        <v>1617</v>
      </c>
      <c r="R311" s="3" t="s">
        <v>1618</v>
      </c>
      <c r="S311" s="3" t="s">
        <v>1619</v>
      </c>
      <c r="T311" s="3"/>
    </row>
    <row r="312" spans="1:20">
      <c r="A312" s="3" t="s">
        <v>1600</v>
      </c>
      <c r="B312" s="3" t="s">
        <v>1601</v>
      </c>
      <c r="C312" s="3" t="s">
        <v>1616</v>
      </c>
      <c r="D312" s="3" t="s">
        <v>999</v>
      </c>
      <c r="E312" s="3" t="s">
        <v>1000</v>
      </c>
      <c r="F312" s="2">
        <v>1</v>
      </c>
      <c r="G312" s="4">
        <v>1.0127924333523985</v>
      </c>
      <c r="H312" s="2">
        <v>25</v>
      </c>
      <c r="I312" s="2">
        <v>5</v>
      </c>
      <c r="J312" s="2">
        <v>16</v>
      </c>
      <c r="K312" s="4">
        <v>1</v>
      </c>
      <c r="L312" s="4">
        <v>-0.20194681720519153</v>
      </c>
      <c r="M312" s="4">
        <v>0.20194681720519153</v>
      </c>
      <c r="N312" s="10">
        <v>0.20200000000000001</v>
      </c>
      <c r="O312" s="4">
        <v>1.0151935630615725</v>
      </c>
      <c r="P312" s="4">
        <v>-1.02</v>
      </c>
      <c r="Q312" s="3" t="s">
        <v>1617</v>
      </c>
      <c r="R312" s="3" t="s">
        <v>1618</v>
      </c>
      <c r="S312" s="3" t="s">
        <v>1619</v>
      </c>
      <c r="T312" s="3"/>
    </row>
    <row r="313" spans="1:20">
      <c r="A313" s="3" t="s">
        <v>1600</v>
      </c>
      <c r="B313" s="3" t="s">
        <v>1601</v>
      </c>
      <c r="C313" s="3" t="s">
        <v>1616</v>
      </c>
      <c r="D313" s="3" t="s">
        <v>999</v>
      </c>
      <c r="E313" s="3" t="s">
        <v>1000</v>
      </c>
      <c r="F313" s="2">
        <v>1</v>
      </c>
      <c r="G313" s="4">
        <v>1.0127924333523985</v>
      </c>
      <c r="H313" s="2">
        <v>25</v>
      </c>
      <c r="I313" s="2">
        <v>5</v>
      </c>
      <c r="J313" s="2">
        <v>1</v>
      </c>
      <c r="K313" s="4">
        <v>1</v>
      </c>
      <c r="L313" s="4">
        <v>-0.21042760176935468</v>
      </c>
      <c r="M313" s="4">
        <v>0.21042760176935468</v>
      </c>
      <c r="N313" s="10">
        <v>0.21</v>
      </c>
      <c r="O313" s="4">
        <v>1.0591080050174257</v>
      </c>
      <c r="P313" s="4">
        <v>-1.06</v>
      </c>
      <c r="Q313" s="3" t="s">
        <v>1617</v>
      </c>
      <c r="R313" s="3" t="s">
        <v>1618</v>
      </c>
      <c r="S313" s="3" t="s">
        <v>1619</v>
      </c>
      <c r="T313" s="3"/>
    </row>
    <row r="314" spans="1:20">
      <c r="A314" s="3" t="s">
        <v>1604</v>
      </c>
      <c r="B314" s="3" t="s">
        <v>1601</v>
      </c>
      <c r="C314" s="3" t="s">
        <v>1616</v>
      </c>
      <c r="D314" s="3" t="s">
        <v>999</v>
      </c>
      <c r="E314" s="3" t="s">
        <v>1000</v>
      </c>
      <c r="F314" s="2">
        <v>1</v>
      </c>
      <c r="G314" s="4">
        <v>1.0127924333523985</v>
      </c>
      <c r="H314" s="2">
        <v>25</v>
      </c>
      <c r="I314" s="2">
        <v>30</v>
      </c>
      <c r="J314" s="2">
        <v>16</v>
      </c>
      <c r="K314" s="4">
        <v>1</v>
      </c>
      <c r="L314" s="4">
        <v>-0.22374714794072703</v>
      </c>
      <c r="M314" s="4">
        <v>0.22374714794072703</v>
      </c>
      <c r="N314" s="10">
        <v>0.224</v>
      </c>
      <c r="O314" s="4">
        <v>1.1284128174122552</v>
      </c>
      <c r="P314" s="4">
        <v>-1.1299999999999999</v>
      </c>
      <c r="Q314" s="3" t="s">
        <v>1617</v>
      </c>
      <c r="R314" s="3" t="s">
        <v>1618</v>
      </c>
      <c r="S314" s="3" t="s">
        <v>1619</v>
      </c>
      <c r="T314" s="3"/>
    </row>
    <row r="315" spans="1:20">
      <c r="A315" s="3" t="s">
        <v>1600</v>
      </c>
      <c r="B315" s="3" t="s">
        <v>1609</v>
      </c>
      <c r="C315" s="3" t="s">
        <v>1616</v>
      </c>
      <c r="D315" s="3" t="s">
        <v>999</v>
      </c>
      <c r="E315" s="3" t="s">
        <v>1000</v>
      </c>
      <c r="F315" s="2">
        <v>1</v>
      </c>
      <c r="G315" s="4">
        <v>1.0127924333523985</v>
      </c>
      <c r="H315" s="2">
        <v>25</v>
      </c>
      <c r="I315" s="2">
        <v>5</v>
      </c>
      <c r="J315" s="2">
        <v>1</v>
      </c>
      <c r="K315" s="4">
        <v>0.98985752393271365</v>
      </c>
      <c r="L315" s="4">
        <v>-0.25575627029585035</v>
      </c>
      <c r="M315" s="4">
        <v>0.25575627029585035</v>
      </c>
      <c r="N315" s="10">
        <v>0.25600000000000001</v>
      </c>
      <c r="O315" s="4">
        <v>1.2968094853625807</v>
      </c>
      <c r="P315" s="4">
        <v>-1.3</v>
      </c>
      <c r="Q315" s="3" t="s">
        <v>1617</v>
      </c>
      <c r="R315" s="3" t="s">
        <v>1623</v>
      </c>
      <c r="S315" s="3" t="s">
        <v>1624</v>
      </c>
      <c r="T315" s="3"/>
    </row>
    <row r="316" spans="1:20">
      <c r="A316" s="3" t="s">
        <v>1600</v>
      </c>
      <c r="B316" s="3" t="s">
        <v>1609</v>
      </c>
      <c r="C316" s="3" t="s">
        <v>1616</v>
      </c>
      <c r="D316" s="3" t="s">
        <v>999</v>
      </c>
      <c r="E316" s="3" t="s">
        <v>1000</v>
      </c>
      <c r="F316" s="2">
        <v>1</v>
      </c>
      <c r="G316" s="4">
        <v>1.0127924333523985</v>
      </c>
      <c r="H316" s="2">
        <v>25</v>
      </c>
      <c r="I316" s="2">
        <v>5</v>
      </c>
      <c r="J316" s="2">
        <v>16</v>
      </c>
      <c r="K316" s="4">
        <v>1</v>
      </c>
      <c r="L316" s="4">
        <v>-0.26114580099373169</v>
      </c>
      <c r="M316" s="4">
        <v>0.26114580099373169</v>
      </c>
      <c r="N316" s="10">
        <v>0.26100000000000001</v>
      </c>
      <c r="O316" s="4">
        <v>1.3254431669208755</v>
      </c>
      <c r="P316" s="4">
        <v>-1.32</v>
      </c>
      <c r="Q316" s="3" t="s">
        <v>1617</v>
      </c>
      <c r="R316" s="3" t="s">
        <v>1623</v>
      </c>
      <c r="S316" s="3" t="s">
        <v>1624</v>
      </c>
      <c r="T316" s="3"/>
    </row>
    <row r="317" spans="1:20">
      <c r="A317" s="3" t="s">
        <v>1600</v>
      </c>
      <c r="B317" s="3" t="s">
        <v>1609</v>
      </c>
      <c r="C317" s="3" t="s">
        <v>1596</v>
      </c>
      <c r="D317" s="3" t="s">
        <v>999</v>
      </c>
      <c r="E317" s="3" t="s">
        <v>1000</v>
      </c>
      <c r="F317" s="2">
        <v>1</v>
      </c>
      <c r="G317" s="4">
        <v>1.0127924333523985</v>
      </c>
      <c r="H317" s="2">
        <v>25</v>
      </c>
      <c r="I317" s="2">
        <v>5</v>
      </c>
      <c r="J317" s="2">
        <v>1</v>
      </c>
      <c r="K317" s="4">
        <v>1</v>
      </c>
      <c r="L317" s="4">
        <v>-0.49151965405275994</v>
      </c>
      <c r="M317" s="4">
        <v>0.49151965405275994</v>
      </c>
      <c r="N317" s="10">
        <v>0.49199999999999999</v>
      </c>
      <c r="O317" s="4">
        <v>2.6676776876230779</v>
      </c>
      <c r="P317" s="4">
        <v>-2.67</v>
      </c>
      <c r="Q317" s="3" t="s">
        <v>1617</v>
      </c>
      <c r="R317" s="3" t="s">
        <v>1623</v>
      </c>
      <c r="S317" s="3" t="s">
        <v>1624</v>
      </c>
      <c r="T317" s="3"/>
    </row>
    <row r="318" spans="1:20">
      <c r="A318" s="3" t="s">
        <v>1600</v>
      </c>
      <c r="B318" s="3" t="s">
        <v>1609</v>
      </c>
      <c r="C318" s="3" t="s">
        <v>1596</v>
      </c>
      <c r="D318" s="3" t="s">
        <v>999</v>
      </c>
      <c r="E318" s="3" t="s">
        <v>1000</v>
      </c>
      <c r="F318" s="2">
        <v>1</v>
      </c>
      <c r="G318" s="4">
        <v>1.0127924333523985</v>
      </c>
      <c r="H318" s="2">
        <v>25</v>
      </c>
      <c r="I318" s="2">
        <v>5</v>
      </c>
      <c r="J318" s="2">
        <v>16</v>
      </c>
      <c r="K318" s="4">
        <v>1</v>
      </c>
      <c r="L318" s="4">
        <v>-0.50406031603030965</v>
      </c>
      <c r="M318" s="4">
        <v>0.50406031603030965</v>
      </c>
      <c r="N318" s="10">
        <v>0.504</v>
      </c>
      <c r="O318" s="4">
        <v>2.7503390685327949</v>
      </c>
      <c r="P318" s="4">
        <v>-2.75</v>
      </c>
      <c r="Q318" s="3" t="s">
        <v>1617</v>
      </c>
      <c r="R318" s="3" t="s">
        <v>1623</v>
      </c>
      <c r="S318" s="3" t="s">
        <v>1624</v>
      </c>
      <c r="T318" s="3"/>
    </row>
    <row r="319" spans="1:20">
      <c r="A319" s="3" t="s">
        <v>1600</v>
      </c>
      <c r="B319" s="3" t="s">
        <v>1606</v>
      </c>
      <c r="C319" s="3" t="s">
        <v>1596</v>
      </c>
      <c r="D319" s="3" t="s">
        <v>173</v>
      </c>
      <c r="E319" s="3" t="s">
        <v>174</v>
      </c>
      <c r="F319" s="2">
        <v>1</v>
      </c>
      <c r="G319" s="4">
        <v>1.014386871979319</v>
      </c>
      <c r="H319" s="2">
        <v>25</v>
      </c>
      <c r="I319" s="2">
        <v>5</v>
      </c>
      <c r="J319" s="2">
        <v>1</v>
      </c>
      <c r="K319" s="11">
        <v>0</v>
      </c>
      <c r="L319" s="11">
        <v>0</v>
      </c>
      <c r="M319" s="4">
        <v>0</v>
      </c>
      <c r="N319" s="10">
        <v>0</v>
      </c>
      <c r="O319" s="4">
        <v>0</v>
      </c>
      <c r="P319" s="4">
        <v>0</v>
      </c>
      <c r="Q319" s="3" t="s">
        <v>1617</v>
      </c>
      <c r="R319" s="3" t="s">
        <v>1621</v>
      </c>
      <c r="S319" s="3" t="s">
        <v>1622</v>
      </c>
      <c r="T319" s="3"/>
    </row>
    <row r="320" spans="1:20">
      <c r="A320" s="3" t="s">
        <v>1594</v>
      </c>
      <c r="B320" s="3" t="s">
        <v>1612</v>
      </c>
      <c r="C320" s="3" t="s">
        <v>1596</v>
      </c>
      <c r="D320" s="3" t="s">
        <v>173</v>
      </c>
      <c r="E320" s="3" t="s">
        <v>174</v>
      </c>
      <c r="F320" s="2">
        <v>1</v>
      </c>
      <c r="G320" s="4">
        <v>1.014386871979319</v>
      </c>
      <c r="H320" s="2">
        <v>50</v>
      </c>
      <c r="I320" s="2">
        <v>5</v>
      </c>
      <c r="J320" s="2">
        <v>16</v>
      </c>
      <c r="K320" s="4">
        <v>1</v>
      </c>
      <c r="L320" s="14">
        <v>-0.18550446485434344</v>
      </c>
      <c r="M320" s="4">
        <v>0.18550446485434344</v>
      </c>
      <c r="N320" s="10">
        <v>0.186</v>
      </c>
      <c r="O320" s="4">
        <v>1.0085145902207118</v>
      </c>
      <c r="P320" s="4">
        <v>-1.01</v>
      </c>
      <c r="Q320" s="3" t="s">
        <v>1617</v>
      </c>
      <c r="R320" s="3" t="s">
        <v>1627</v>
      </c>
      <c r="S320" s="3" t="s">
        <v>1628</v>
      </c>
      <c r="T320" s="3"/>
    </row>
    <row r="321" spans="1:20">
      <c r="A321" s="3" t="s">
        <v>1604</v>
      </c>
      <c r="B321" s="3" t="s">
        <v>1601</v>
      </c>
      <c r="C321" s="3" t="s">
        <v>1596</v>
      </c>
      <c r="D321" s="3" t="s">
        <v>173</v>
      </c>
      <c r="E321" s="3" t="s">
        <v>174</v>
      </c>
      <c r="F321" s="2">
        <v>1</v>
      </c>
      <c r="G321" s="4">
        <v>1.014386871979319</v>
      </c>
      <c r="H321" s="2">
        <v>25</v>
      </c>
      <c r="I321" s="2">
        <v>30</v>
      </c>
      <c r="J321" s="2">
        <v>16</v>
      </c>
      <c r="K321" s="4">
        <v>1</v>
      </c>
      <c r="L321" s="4">
        <v>-0.34552046244686691</v>
      </c>
      <c r="M321" s="4">
        <v>0.34552046244686691</v>
      </c>
      <c r="N321" s="10">
        <v>0.34599999999999997</v>
      </c>
      <c r="O321" s="4">
        <v>1.7865820945830011</v>
      </c>
      <c r="P321" s="4">
        <v>-1.79</v>
      </c>
      <c r="Q321" s="3" t="s">
        <v>1617</v>
      </c>
      <c r="R321" s="3" t="s">
        <v>1618</v>
      </c>
      <c r="S321" s="3" t="s">
        <v>1619</v>
      </c>
      <c r="T321" s="3"/>
    </row>
    <row r="322" spans="1:20">
      <c r="A322" s="12" t="s">
        <v>1605</v>
      </c>
      <c r="B322" s="3" t="s">
        <v>1601</v>
      </c>
      <c r="C322" s="3" t="s">
        <v>1596</v>
      </c>
      <c r="D322" s="3" t="s">
        <v>173</v>
      </c>
      <c r="E322" s="3" t="s">
        <v>174</v>
      </c>
      <c r="F322" s="2">
        <v>1</v>
      </c>
      <c r="G322" s="4">
        <v>1.014386871979319</v>
      </c>
      <c r="H322" s="2">
        <v>25</v>
      </c>
      <c r="I322" s="2">
        <v>5</v>
      </c>
      <c r="J322" s="2">
        <v>16</v>
      </c>
      <c r="K322" s="11">
        <v>1</v>
      </c>
      <c r="L322" s="11">
        <v>-0.39237620865935668</v>
      </c>
      <c r="M322" s="4">
        <v>0.39237620865935668</v>
      </c>
      <c r="N322" s="10">
        <v>0.39200000000000002</v>
      </c>
      <c r="O322" s="4">
        <v>2.055588033878871</v>
      </c>
      <c r="P322" s="4">
        <v>-2.0499999999999998</v>
      </c>
      <c r="Q322" s="3" t="s">
        <v>1617</v>
      </c>
      <c r="R322" s="3" t="s">
        <v>1618</v>
      </c>
      <c r="S322" s="3" t="s">
        <v>1619</v>
      </c>
      <c r="T322" s="3"/>
    </row>
    <row r="323" spans="1:20">
      <c r="A323" s="3" t="s">
        <v>1600</v>
      </c>
      <c r="B323" s="3" t="s">
        <v>1606</v>
      </c>
      <c r="C323" s="3" t="s">
        <v>1596</v>
      </c>
      <c r="D323" s="3" t="s">
        <v>173</v>
      </c>
      <c r="E323" s="3" t="s">
        <v>174</v>
      </c>
      <c r="F323" s="2">
        <v>1</v>
      </c>
      <c r="G323" s="4">
        <v>1.014386871979319</v>
      </c>
      <c r="H323" s="2">
        <v>25</v>
      </c>
      <c r="I323" s="2">
        <v>5</v>
      </c>
      <c r="J323" s="2">
        <v>16</v>
      </c>
      <c r="K323" s="11">
        <v>0.84598506328280565</v>
      </c>
      <c r="L323" s="11">
        <v>-0.39554226796220704</v>
      </c>
      <c r="M323" s="4">
        <v>0.39554226796220704</v>
      </c>
      <c r="N323" s="10">
        <v>0.39600000000000002</v>
      </c>
      <c r="O323" s="4">
        <v>2.0741690229323666</v>
      </c>
      <c r="P323" s="4">
        <v>-2.08</v>
      </c>
      <c r="Q323" s="3" t="s">
        <v>1617</v>
      </c>
      <c r="R323" s="3" t="s">
        <v>1621</v>
      </c>
      <c r="S323" s="3" t="s">
        <v>1622</v>
      </c>
      <c r="T323" s="3"/>
    </row>
    <row r="324" spans="1:20">
      <c r="A324" s="3" t="s">
        <v>1600</v>
      </c>
      <c r="B324" s="3" t="s">
        <v>1606</v>
      </c>
      <c r="C324" s="3" t="s">
        <v>1616</v>
      </c>
      <c r="D324" s="3" t="s">
        <v>173</v>
      </c>
      <c r="E324" s="3" t="s">
        <v>174</v>
      </c>
      <c r="F324" s="2">
        <v>1</v>
      </c>
      <c r="G324" s="4">
        <v>1.014386871979319</v>
      </c>
      <c r="H324" s="2">
        <v>25</v>
      </c>
      <c r="I324" s="2">
        <v>5</v>
      </c>
      <c r="J324" s="2">
        <v>16</v>
      </c>
      <c r="K324" s="11">
        <v>0.98039020867103488</v>
      </c>
      <c r="L324" s="11">
        <v>-0.42208296118423944</v>
      </c>
      <c r="M324" s="4">
        <v>0.42208296118423944</v>
      </c>
      <c r="N324" s="10">
        <v>0.42199999999999999</v>
      </c>
      <c r="O324" s="4">
        <v>2.2321810005468432</v>
      </c>
      <c r="P324" s="4">
        <v>-2.23</v>
      </c>
      <c r="Q324" s="3" t="s">
        <v>1617</v>
      </c>
      <c r="R324" s="3" t="s">
        <v>1621</v>
      </c>
      <c r="S324" s="3" t="s">
        <v>1622</v>
      </c>
      <c r="T324" s="3"/>
    </row>
    <row r="325" spans="1:20">
      <c r="A325" s="3" t="s">
        <v>1594</v>
      </c>
      <c r="B325" s="3" t="s">
        <v>1595</v>
      </c>
      <c r="C325" s="3" t="s">
        <v>1596</v>
      </c>
      <c r="D325" s="3" t="s">
        <v>173</v>
      </c>
      <c r="E325" s="3" t="s">
        <v>174</v>
      </c>
      <c r="F325" s="2">
        <v>1</v>
      </c>
      <c r="G325" s="4">
        <v>1.014386871979319</v>
      </c>
      <c r="H325" s="2">
        <v>50</v>
      </c>
      <c r="I325" s="2">
        <v>5</v>
      </c>
      <c r="J325" s="2">
        <v>16</v>
      </c>
      <c r="K325" s="4">
        <v>1</v>
      </c>
      <c r="L325" s="14">
        <v>-0.49249891031315568</v>
      </c>
      <c r="M325" s="4">
        <v>0.49249891031315568</v>
      </c>
      <c r="N325" s="10">
        <v>0.49199999999999999</v>
      </c>
      <c r="O325" s="4">
        <v>2.898306434493545</v>
      </c>
      <c r="P325" s="4">
        <v>-2.89</v>
      </c>
      <c r="Q325" s="3" t="s">
        <v>1617</v>
      </c>
      <c r="R325" s="3" t="s">
        <v>1625</v>
      </c>
      <c r="S325" s="3" t="s">
        <v>1626</v>
      </c>
      <c r="T325" s="3"/>
    </row>
    <row r="326" spans="1:20">
      <c r="A326" s="3" t="s">
        <v>1600</v>
      </c>
      <c r="B326" s="3" t="s">
        <v>1609</v>
      </c>
      <c r="C326" s="3" t="s">
        <v>1596</v>
      </c>
      <c r="D326" s="3" t="s">
        <v>173</v>
      </c>
      <c r="E326" s="3" t="s">
        <v>174</v>
      </c>
      <c r="F326" s="2">
        <v>1</v>
      </c>
      <c r="G326" s="4">
        <v>1.014386871979319</v>
      </c>
      <c r="H326" s="2">
        <v>25</v>
      </c>
      <c r="I326" s="2">
        <v>5</v>
      </c>
      <c r="J326" s="2">
        <v>16</v>
      </c>
      <c r="K326" s="4">
        <v>0.88579447184930726</v>
      </c>
      <c r="L326" s="4">
        <v>-0.50256918119018434</v>
      </c>
      <c r="M326" s="4">
        <v>0.50256918119018434</v>
      </c>
      <c r="N326" s="10">
        <v>0.503</v>
      </c>
      <c r="O326" s="4">
        <v>2.7404378889836676</v>
      </c>
      <c r="P326" s="4">
        <v>-2.74</v>
      </c>
      <c r="Q326" s="3" t="s">
        <v>1617</v>
      </c>
      <c r="R326" s="3" t="s">
        <v>1623</v>
      </c>
      <c r="S326" s="3" t="s">
        <v>1624</v>
      </c>
      <c r="T326" s="3"/>
    </row>
    <row r="327" spans="1:20">
      <c r="A327" s="3" t="s">
        <v>1600</v>
      </c>
      <c r="B327" s="3" t="s">
        <v>1601</v>
      </c>
      <c r="C327" s="3" t="s">
        <v>1596</v>
      </c>
      <c r="D327" s="3" t="s">
        <v>173</v>
      </c>
      <c r="E327" s="3" t="s">
        <v>174</v>
      </c>
      <c r="F327" s="2">
        <v>1</v>
      </c>
      <c r="G327" s="4">
        <v>1.014386871979319</v>
      </c>
      <c r="H327" s="2">
        <v>25</v>
      </c>
      <c r="I327" s="2">
        <v>5</v>
      </c>
      <c r="J327" s="2">
        <v>1</v>
      </c>
      <c r="K327" s="4">
        <v>1</v>
      </c>
      <c r="L327" s="4">
        <v>-0.50284405682608369</v>
      </c>
      <c r="M327" s="4">
        <v>0.50284405682608369</v>
      </c>
      <c r="N327" s="10">
        <v>0.503</v>
      </c>
      <c r="O327" s="4">
        <v>2.7422615760770861</v>
      </c>
      <c r="P327" s="4">
        <v>-2.74</v>
      </c>
      <c r="Q327" s="3" t="s">
        <v>1617</v>
      </c>
      <c r="R327" s="3" t="s">
        <v>1618</v>
      </c>
      <c r="S327" s="3" t="s">
        <v>1619</v>
      </c>
      <c r="T327" s="3"/>
    </row>
    <row r="328" spans="1:20">
      <c r="A328" s="3" t="s">
        <v>1600</v>
      </c>
      <c r="B328" s="3" t="s">
        <v>1601</v>
      </c>
      <c r="C328" s="3" t="s">
        <v>1596</v>
      </c>
      <c r="D328" s="3" t="s">
        <v>173</v>
      </c>
      <c r="E328" s="3" t="s">
        <v>174</v>
      </c>
      <c r="F328" s="2">
        <v>1</v>
      </c>
      <c r="G328" s="4">
        <v>1.014386871979319</v>
      </c>
      <c r="H328" s="2">
        <v>25</v>
      </c>
      <c r="I328" s="2">
        <v>5</v>
      </c>
      <c r="J328" s="2">
        <v>16</v>
      </c>
      <c r="K328" s="4">
        <v>1</v>
      </c>
      <c r="L328" s="4">
        <v>-0.52392884734128553</v>
      </c>
      <c r="M328" s="4">
        <v>0.52392884734128553</v>
      </c>
      <c r="N328" s="10">
        <v>0.52400000000000002</v>
      </c>
      <c r="O328" s="4">
        <v>2.8842292071231954</v>
      </c>
      <c r="P328" s="4">
        <v>-2.88</v>
      </c>
      <c r="Q328" s="3" t="s">
        <v>1617</v>
      </c>
      <c r="R328" s="3" t="s">
        <v>1618</v>
      </c>
      <c r="S328" s="3" t="s">
        <v>1619</v>
      </c>
      <c r="T328" s="3"/>
    </row>
    <row r="329" spans="1:20">
      <c r="A329" s="3" t="s">
        <v>1600</v>
      </c>
      <c r="B329" s="3" t="s">
        <v>1601</v>
      </c>
      <c r="C329" s="3" t="s">
        <v>1616</v>
      </c>
      <c r="D329" s="3" t="s">
        <v>173</v>
      </c>
      <c r="E329" s="3" t="s">
        <v>174</v>
      </c>
      <c r="F329" s="2">
        <v>1</v>
      </c>
      <c r="G329" s="4">
        <v>1.014386871979319</v>
      </c>
      <c r="H329" s="2">
        <v>25</v>
      </c>
      <c r="I329" s="2">
        <v>5</v>
      </c>
      <c r="J329" s="2">
        <v>16</v>
      </c>
      <c r="K329" s="4">
        <v>1</v>
      </c>
      <c r="L329" s="4">
        <v>-0.52959592352238127</v>
      </c>
      <c r="M329" s="4">
        <v>0.52959592352238127</v>
      </c>
      <c r="N329" s="10">
        <v>0.53</v>
      </c>
      <c r="O329" s="4">
        <v>2.9231170066677858</v>
      </c>
      <c r="P329" s="4">
        <v>-2.93</v>
      </c>
      <c r="Q329" s="3" t="s">
        <v>1617</v>
      </c>
      <c r="R329" s="3" t="s">
        <v>1618</v>
      </c>
      <c r="S329" s="3" t="s">
        <v>1619</v>
      </c>
      <c r="T329" s="3"/>
    </row>
    <row r="330" spans="1:20">
      <c r="A330" s="3" t="s">
        <v>1600</v>
      </c>
      <c r="B330" s="3" t="s">
        <v>1601</v>
      </c>
      <c r="C330" s="3" t="s">
        <v>1616</v>
      </c>
      <c r="D330" s="3" t="s">
        <v>173</v>
      </c>
      <c r="E330" s="3" t="s">
        <v>174</v>
      </c>
      <c r="F330" s="2">
        <v>1</v>
      </c>
      <c r="G330" s="4">
        <v>1.014386871979319</v>
      </c>
      <c r="H330" s="2">
        <v>25</v>
      </c>
      <c r="I330" s="2">
        <v>5</v>
      </c>
      <c r="J330" s="2">
        <v>1</v>
      </c>
      <c r="K330" s="4">
        <v>1</v>
      </c>
      <c r="L330" s="4">
        <v>-0.52986997132183333</v>
      </c>
      <c r="M330" s="4">
        <v>0.52986997132183333</v>
      </c>
      <c r="N330" s="10">
        <v>0.53</v>
      </c>
      <c r="O330" s="4">
        <v>2.9250057245947674</v>
      </c>
      <c r="P330" s="4">
        <v>-2.93</v>
      </c>
      <c r="Q330" s="3" t="s">
        <v>1617</v>
      </c>
      <c r="R330" s="3" t="s">
        <v>1618</v>
      </c>
      <c r="S330" s="3" t="s">
        <v>1619</v>
      </c>
      <c r="T330" s="3"/>
    </row>
    <row r="331" spans="1:20">
      <c r="A331" s="3" t="s">
        <v>1604</v>
      </c>
      <c r="B331" s="3" t="s">
        <v>1601</v>
      </c>
      <c r="C331" s="3" t="s">
        <v>1616</v>
      </c>
      <c r="D331" s="3" t="s">
        <v>173</v>
      </c>
      <c r="E331" s="3" t="s">
        <v>174</v>
      </c>
      <c r="F331" s="2">
        <v>1</v>
      </c>
      <c r="G331" s="4">
        <v>1.014386871979319</v>
      </c>
      <c r="H331" s="2">
        <v>25</v>
      </c>
      <c r="I331" s="2">
        <v>30</v>
      </c>
      <c r="J331" s="2">
        <v>16</v>
      </c>
      <c r="K331" s="4">
        <v>1</v>
      </c>
      <c r="L331" s="4">
        <v>-0.53302776654147022</v>
      </c>
      <c r="M331" s="4">
        <v>0.53302776654147022</v>
      </c>
      <c r="N331" s="10">
        <v>0.53300000000000003</v>
      </c>
      <c r="O331" s="4">
        <v>2.9468243161673486</v>
      </c>
      <c r="P331" s="4">
        <v>-2.95</v>
      </c>
      <c r="Q331" s="3" t="s">
        <v>1617</v>
      </c>
      <c r="R331" s="3" t="s">
        <v>1618</v>
      </c>
      <c r="S331" s="3" t="s">
        <v>1619</v>
      </c>
      <c r="T331" s="3"/>
    </row>
    <row r="332" spans="1:20">
      <c r="A332" s="3" t="s">
        <v>1600</v>
      </c>
      <c r="B332" s="3" t="s">
        <v>1609</v>
      </c>
      <c r="C332" s="3" t="s">
        <v>1616</v>
      </c>
      <c r="D332" s="3" t="s">
        <v>173</v>
      </c>
      <c r="E332" s="3" t="s">
        <v>174</v>
      </c>
      <c r="F332" s="2">
        <v>1</v>
      </c>
      <c r="G332" s="4">
        <v>1.014386871979319</v>
      </c>
      <c r="H332" s="2">
        <v>25</v>
      </c>
      <c r="I332" s="2">
        <v>5</v>
      </c>
      <c r="J332" s="2">
        <v>16</v>
      </c>
      <c r="K332" s="11">
        <v>0.594357247989582</v>
      </c>
      <c r="L332" s="11">
        <v>-0.54579903550901854</v>
      </c>
      <c r="M332" s="4">
        <v>0.54579903550901854</v>
      </c>
      <c r="N332" s="10">
        <v>0.54600000000000004</v>
      </c>
      <c r="O332" s="4">
        <v>3.036132330012276</v>
      </c>
      <c r="P332" s="4">
        <v>-3.04</v>
      </c>
      <c r="Q332" s="3" t="s">
        <v>1617</v>
      </c>
      <c r="R332" s="3" t="s">
        <v>1623</v>
      </c>
      <c r="S332" s="3" t="s">
        <v>1624</v>
      </c>
      <c r="T332" s="3"/>
    </row>
    <row r="333" spans="1:20">
      <c r="A333" s="3" t="s">
        <v>1600</v>
      </c>
      <c r="B333" s="3" t="s">
        <v>1609</v>
      </c>
      <c r="C333" s="3" t="s">
        <v>1596</v>
      </c>
      <c r="D333" s="3" t="s">
        <v>173</v>
      </c>
      <c r="E333" s="3" t="s">
        <v>174</v>
      </c>
      <c r="F333" s="2">
        <v>1</v>
      </c>
      <c r="G333" s="4">
        <v>1.014386871979319</v>
      </c>
      <c r="H333" s="2">
        <v>25</v>
      </c>
      <c r="I333" s="2">
        <v>5</v>
      </c>
      <c r="J333" s="2">
        <v>1</v>
      </c>
      <c r="K333" s="11">
        <v>0.25651515217354448</v>
      </c>
      <c r="L333" s="11">
        <v>-0.58408141154620019</v>
      </c>
      <c r="M333" s="4">
        <v>0.58408141154620019</v>
      </c>
      <c r="N333" s="10">
        <v>0.58399999999999996</v>
      </c>
      <c r="O333" s="4">
        <v>3.3150508297892265</v>
      </c>
      <c r="P333" s="4">
        <v>-3.31</v>
      </c>
      <c r="Q333" s="3" t="s">
        <v>1617</v>
      </c>
      <c r="R333" s="3" t="s">
        <v>1623</v>
      </c>
      <c r="S333" s="3" t="s">
        <v>1624</v>
      </c>
      <c r="T333" s="3"/>
    </row>
    <row r="334" spans="1:20">
      <c r="A334" s="3" t="s">
        <v>1600</v>
      </c>
      <c r="B334" s="3" t="s">
        <v>1606</v>
      </c>
      <c r="C334" s="3" t="s">
        <v>1616</v>
      </c>
      <c r="D334" s="3" t="s">
        <v>173</v>
      </c>
      <c r="E334" s="3" t="s">
        <v>174</v>
      </c>
      <c r="F334" s="2">
        <v>1</v>
      </c>
      <c r="G334" s="4">
        <v>1.014386871979319</v>
      </c>
      <c r="H334" s="2">
        <v>25</v>
      </c>
      <c r="I334" s="2">
        <v>5</v>
      </c>
      <c r="J334" s="2">
        <v>1</v>
      </c>
      <c r="K334" s="4">
        <v>0.99770315799701093</v>
      </c>
      <c r="L334" s="4">
        <v>-0.65237556147975018</v>
      </c>
      <c r="M334" s="4">
        <v>0.65237556147975018</v>
      </c>
      <c r="N334" s="10">
        <v>0.65200000000000002</v>
      </c>
      <c r="O334" s="4">
        <v>3.8643310326138809</v>
      </c>
      <c r="P334" s="4">
        <v>-3.86</v>
      </c>
      <c r="Q334" s="3" t="s">
        <v>1617</v>
      </c>
      <c r="R334" s="3" t="s">
        <v>1621</v>
      </c>
      <c r="S334" s="3" t="s">
        <v>1622</v>
      </c>
      <c r="T334" s="3"/>
    </row>
    <row r="335" spans="1:20">
      <c r="A335" s="3" t="s">
        <v>1600</v>
      </c>
      <c r="B335" s="3" t="s">
        <v>1609</v>
      </c>
      <c r="C335" s="3" t="s">
        <v>1616</v>
      </c>
      <c r="D335" s="3" t="s">
        <v>173</v>
      </c>
      <c r="E335" s="3" t="s">
        <v>174</v>
      </c>
      <c r="F335" s="2">
        <v>1</v>
      </c>
      <c r="G335" s="4">
        <v>1.014386871979319</v>
      </c>
      <c r="H335" s="2">
        <v>25</v>
      </c>
      <c r="I335" s="2">
        <v>5</v>
      </c>
      <c r="J335" s="2">
        <v>1</v>
      </c>
      <c r="K335" s="4">
        <v>0.21634557811312716</v>
      </c>
      <c r="L335" s="4">
        <v>-0.66608526345677999</v>
      </c>
      <c r="M335" s="4">
        <v>0.66608526345677999</v>
      </c>
      <c r="N335" s="10">
        <v>0.66600000000000004</v>
      </c>
      <c r="O335" s="4">
        <v>3.9845603719616571</v>
      </c>
      <c r="P335" s="4">
        <v>-3.98</v>
      </c>
      <c r="Q335" s="3" t="s">
        <v>1617</v>
      </c>
      <c r="R335" s="3" t="s">
        <v>1623</v>
      </c>
      <c r="S335" s="3" t="s">
        <v>1624</v>
      </c>
      <c r="T335" s="3"/>
    </row>
    <row r="336" spans="1:20">
      <c r="A336" s="3" t="s">
        <v>1594</v>
      </c>
      <c r="B336" s="3" t="s">
        <v>1595</v>
      </c>
      <c r="C336" s="3" t="s">
        <v>1596</v>
      </c>
      <c r="D336" s="3" t="s">
        <v>13</v>
      </c>
      <c r="E336" s="3" t="s">
        <v>14</v>
      </c>
      <c r="F336" s="2">
        <v>1</v>
      </c>
      <c r="G336" s="4">
        <v>1.0146737433655948</v>
      </c>
      <c r="H336" s="2">
        <v>50</v>
      </c>
      <c r="I336" s="2">
        <v>5</v>
      </c>
      <c r="J336" s="2">
        <v>16</v>
      </c>
      <c r="K336" s="4">
        <v>1</v>
      </c>
      <c r="L336" s="14">
        <v>0.60765763098913184</v>
      </c>
      <c r="M336" s="4">
        <v>0.60765763098913184</v>
      </c>
      <c r="N336" s="10">
        <v>0.60799999999999998</v>
      </c>
      <c r="O336" s="4">
        <v>3.7895023892464552</v>
      </c>
      <c r="P336" s="4">
        <v>3.79</v>
      </c>
      <c r="Q336" s="3" t="s">
        <v>1597</v>
      </c>
      <c r="R336" s="3" t="s">
        <v>1598</v>
      </c>
      <c r="S336" s="3" t="s">
        <v>1599</v>
      </c>
      <c r="T336" s="3"/>
    </row>
    <row r="337" spans="1:20">
      <c r="A337" s="3" t="s">
        <v>1600</v>
      </c>
      <c r="B337" s="3" t="s">
        <v>1601</v>
      </c>
      <c r="C337" s="3" t="s">
        <v>1616</v>
      </c>
      <c r="D337" s="3" t="s">
        <v>13</v>
      </c>
      <c r="E337" s="3" t="s">
        <v>14</v>
      </c>
      <c r="F337" s="2">
        <v>1</v>
      </c>
      <c r="G337" s="4">
        <v>1.0146737433655948</v>
      </c>
      <c r="H337" s="2">
        <v>25</v>
      </c>
      <c r="I337" s="2">
        <v>5</v>
      </c>
      <c r="J337" s="2">
        <v>1</v>
      </c>
      <c r="K337" s="4">
        <v>1</v>
      </c>
      <c r="L337" s="4">
        <v>0.55183730416136234</v>
      </c>
      <c r="M337" s="4">
        <v>0.55183730416136234</v>
      </c>
      <c r="N337" s="10">
        <v>0.55200000000000005</v>
      </c>
      <c r="O337" s="4">
        <v>3.0789740093448237</v>
      </c>
      <c r="P337" s="4">
        <v>3.08</v>
      </c>
      <c r="Q337" s="3" t="s">
        <v>1597</v>
      </c>
      <c r="R337" s="3" t="s">
        <v>1602</v>
      </c>
      <c r="S337" s="3" t="s">
        <v>1603</v>
      </c>
      <c r="T337" s="3"/>
    </row>
    <row r="338" spans="1:20">
      <c r="A338" s="3" t="s">
        <v>1600</v>
      </c>
      <c r="B338" s="3" t="s">
        <v>1601</v>
      </c>
      <c r="C338" s="3" t="s">
        <v>1616</v>
      </c>
      <c r="D338" s="3" t="s">
        <v>13</v>
      </c>
      <c r="E338" s="3" t="s">
        <v>14</v>
      </c>
      <c r="F338" s="2">
        <v>1</v>
      </c>
      <c r="G338" s="4">
        <v>1.0146737433655948</v>
      </c>
      <c r="H338" s="2">
        <v>25</v>
      </c>
      <c r="I338" s="2">
        <v>5</v>
      </c>
      <c r="J338" s="2">
        <v>16</v>
      </c>
      <c r="K338" s="4">
        <v>1</v>
      </c>
      <c r="L338" s="4">
        <v>0.53042280551138798</v>
      </c>
      <c r="M338" s="4">
        <v>0.53042280551138798</v>
      </c>
      <c r="N338" s="10">
        <v>0.53</v>
      </c>
      <c r="O338" s="4">
        <v>2.9288181409954919</v>
      </c>
      <c r="P338" s="4">
        <v>2.93</v>
      </c>
      <c r="Q338" s="3" t="s">
        <v>1597</v>
      </c>
      <c r="R338" s="3" t="s">
        <v>1602</v>
      </c>
      <c r="S338" s="3" t="s">
        <v>1603</v>
      </c>
      <c r="T338" s="3"/>
    </row>
    <row r="339" spans="1:20">
      <c r="A339" s="3" t="s">
        <v>1600</v>
      </c>
      <c r="B339" s="3" t="s">
        <v>1609</v>
      </c>
      <c r="C339" s="3" t="s">
        <v>1596</v>
      </c>
      <c r="D339" s="3" t="s">
        <v>13</v>
      </c>
      <c r="E339" s="3" t="s">
        <v>14</v>
      </c>
      <c r="F339" s="2">
        <v>1</v>
      </c>
      <c r="G339" s="4">
        <v>1.0146737433655948</v>
      </c>
      <c r="H339" s="2">
        <v>25</v>
      </c>
      <c r="I339" s="2">
        <v>5</v>
      </c>
      <c r="J339" s="2">
        <v>1</v>
      </c>
      <c r="K339" s="11">
        <v>1</v>
      </c>
      <c r="L339" s="11">
        <v>0.42612949081309209</v>
      </c>
      <c r="M339" s="4">
        <v>0.42612949081309209</v>
      </c>
      <c r="N339" s="10">
        <v>0.42599999999999999</v>
      </c>
      <c r="O339" s="4">
        <v>2.256643467930576</v>
      </c>
      <c r="P339" s="4">
        <v>2.2599999999999998</v>
      </c>
      <c r="Q339" s="3" t="s">
        <v>1597</v>
      </c>
      <c r="R339" s="3" t="s">
        <v>1610</v>
      </c>
      <c r="S339" s="3" t="s">
        <v>1611</v>
      </c>
      <c r="T339" s="3"/>
    </row>
    <row r="340" spans="1:20">
      <c r="A340" s="12" t="s">
        <v>1605</v>
      </c>
      <c r="B340" s="3" t="s">
        <v>1601</v>
      </c>
      <c r="C340" s="3" t="s">
        <v>1596</v>
      </c>
      <c r="D340" s="3" t="s">
        <v>13</v>
      </c>
      <c r="E340" s="3" t="s">
        <v>14</v>
      </c>
      <c r="F340" s="2">
        <v>1</v>
      </c>
      <c r="G340" s="4">
        <v>1.0146737433655948</v>
      </c>
      <c r="H340" s="2">
        <v>25</v>
      </c>
      <c r="I340" s="2">
        <v>5</v>
      </c>
      <c r="J340" s="2">
        <v>16</v>
      </c>
      <c r="K340" s="11">
        <v>1</v>
      </c>
      <c r="L340" s="11">
        <v>0.38769955463367806</v>
      </c>
      <c r="M340" s="4">
        <v>0.38769955463367806</v>
      </c>
      <c r="N340" s="10">
        <v>0.38800000000000001</v>
      </c>
      <c r="O340" s="4">
        <v>2.0282411218822363</v>
      </c>
      <c r="P340" s="4">
        <v>2.0299999999999998</v>
      </c>
      <c r="Q340" s="3" t="s">
        <v>1597</v>
      </c>
      <c r="R340" s="3" t="s">
        <v>1602</v>
      </c>
      <c r="S340" s="3" t="s">
        <v>1603</v>
      </c>
      <c r="T340" s="3"/>
    </row>
    <row r="341" spans="1:20">
      <c r="A341" s="3" t="s">
        <v>1600</v>
      </c>
      <c r="B341" s="3" t="s">
        <v>1601</v>
      </c>
      <c r="C341" s="3" t="s">
        <v>1596</v>
      </c>
      <c r="D341" s="3" t="s">
        <v>13</v>
      </c>
      <c r="E341" s="3" t="s">
        <v>14</v>
      </c>
      <c r="F341" s="2">
        <v>1</v>
      </c>
      <c r="G341" s="4">
        <v>1.0146737433655948</v>
      </c>
      <c r="H341" s="2">
        <v>25</v>
      </c>
      <c r="I341" s="2">
        <v>5</v>
      </c>
      <c r="J341" s="2">
        <v>16</v>
      </c>
      <c r="K341" s="4">
        <v>1</v>
      </c>
      <c r="L341" s="4">
        <v>0.35834848449836637</v>
      </c>
      <c r="M341" s="4">
        <v>0.35834848449836637</v>
      </c>
      <c r="N341" s="10">
        <v>0.35799999999999998</v>
      </c>
      <c r="O341" s="4">
        <v>1.8591754254602573</v>
      </c>
      <c r="P341" s="4">
        <v>1.86</v>
      </c>
      <c r="Q341" s="3" t="s">
        <v>1597</v>
      </c>
      <c r="R341" s="3" t="s">
        <v>1602</v>
      </c>
      <c r="S341" s="3" t="s">
        <v>1603</v>
      </c>
      <c r="T341" s="3"/>
    </row>
    <row r="342" spans="1:20">
      <c r="A342" s="3" t="s">
        <v>1600</v>
      </c>
      <c r="B342" s="3" t="s">
        <v>1601</v>
      </c>
      <c r="C342" s="3" t="s">
        <v>1596</v>
      </c>
      <c r="D342" s="3" t="s">
        <v>13</v>
      </c>
      <c r="E342" s="3" t="s">
        <v>14</v>
      </c>
      <c r="F342" s="2">
        <v>1</v>
      </c>
      <c r="G342" s="4">
        <v>1.0146737433655948</v>
      </c>
      <c r="H342" s="2">
        <v>25</v>
      </c>
      <c r="I342" s="2">
        <v>5</v>
      </c>
      <c r="J342" s="2">
        <v>1</v>
      </c>
      <c r="K342" s="4">
        <v>1</v>
      </c>
      <c r="L342" s="4">
        <v>0.34686857848498687</v>
      </c>
      <c r="M342" s="4">
        <v>0.34686857848498687</v>
      </c>
      <c r="N342" s="10">
        <v>0.34699999999999998</v>
      </c>
      <c r="O342" s="4">
        <v>1.7941761185467997</v>
      </c>
      <c r="P342" s="4">
        <v>1.79</v>
      </c>
      <c r="Q342" s="3" t="s">
        <v>1597</v>
      </c>
      <c r="R342" s="3" t="s">
        <v>1602</v>
      </c>
      <c r="S342" s="3" t="s">
        <v>1603</v>
      </c>
      <c r="T342" s="3"/>
    </row>
    <row r="343" spans="1:20">
      <c r="A343" s="3" t="s">
        <v>1600</v>
      </c>
      <c r="B343" s="3" t="s">
        <v>1609</v>
      </c>
      <c r="C343" s="3" t="s">
        <v>1596</v>
      </c>
      <c r="D343" s="3" t="s">
        <v>13</v>
      </c>
      <c r="E343" s="3" t="s">
        <v>14</v>
      </c>
      <c r="F343" s="2">
        <v>1</v>
      </c>
      <c r="G343" s="4">
        <v>1.0146737433655948</v>
      </c>
      <c r="H343" s="2">
        <v>25</v>
      </c>
      <c r="I343" s="2">
        <v>5</v>
      </c>
      <c r="J343" s="2">
        <v>16</v>
      </c>
      <c r="K343" s="4">
        <v>1</v>
      </c>
      <c r="L343" s="4">
        <v>0.31719967545776367</v>
      </c>
      <c r="M343" s="4">
        <v>0.31719967545776367</v>
      </c>
      <c r="N343" s="10">
        <v>0.317</v>
      </c>
      <c r="O343" s="4">
        <v>1.6288329061512929</v>
      </c>
      <c r="P343" s="4">
        <v>1.63</v>
      </c>
      <c r="Q343" s="3" t="s">
        <v>1597</v>
      </c>
      <c r="R343" s="3" t="s">
        <v>1610</v>
      </c>
      <c r="S343" s="3" t="s">
        <v>1611</v>
      </c>
      <c r="T343" s="3"/>
    </row>
    <row r="344" spans="1:20">
      <c r="A344" s="3" t="s">
        <v>1594</v>
      </c>
      <c r="B344" s="3" t="s">
        <v>1612</v>
      </c>
      <c r="C344" s="3" t="s">
        <v>1596</v>
      </c>
      <c r="D344" s="3" t="s">
        <v>13</v>
      </c>
      <c r="E344" s="3" t="s">
        <v>14</v>
      </c>
      <c r="F344" s="2">
        <v>1</v>
      </c>
      <c r="G344" s="4">
        <v>1.0146737433655948</v>
      </c>
      <c r="H344" s="2">
        <v>50</v>
      </c>
      <c r="I344" s="2">
        <v>5</v>
      </c>
      <c r="J344" s="2">
        <v>16</v>
      </c>
      <c r="K344" s="4">
        <v>1</v>
      </c>
      <c r="L344" s="14">
        <v>0.28874282341578578</v>
      </c>
      <c r="M344" s="4">
        <v>0.28874282341578578</v>
      </c>
      <c r="N344" s="10">
        <v>0.28899999999999998</v>
      </c>
      <c r="O344" s="4">
        <v>1.5970209623015177</v>
      </c>
      <c r="P344" s="4">
        <v>1.6</v>
      </c>
      <c r="Q344" s="3" t="s">
        <v>1597</v>
      </c>
      <c r="R344" s="3" t="s">
        <v>1613</v>
      </c>
      <c r="S344" s="3" t="s">
        <v>1614</v>
      </c>
      <c r="T344" s="3"/>
    </row>
    <row r="345" spans="1:20">
      <c r="A345" s="3" t="s">
        <v>1600</v>
      </c>
      <c r="B345" s="3" t="s">
        <v>1609</v>
      </c>
      <c r="C345" s="3" t="s">
        <v>1616</v>
      </c>
      <c r="D345" s="3" t="s">
        <v>13</v>
      </c>
      <c r="E345" s="3" t="s">
        <v>14</v>
      </c>
      <c r="F345" s="2">
        <v>1</v>
      </c>
      <c r="G345" s="4">
        <v>1.0146737433655948</v>
      </c>
      <c r="H345" s="2">
        <v>25</v>
      </c>
      <c r="I345" s="2">
        <v>5</v>
      </c>
      <c r="J345" s="2">
        <v>1</v>
      </c>
      <c r="K345" s="4">
        <v>1</v>
      </c>
      <c r="L345" s="4">
        <v>0.22336630279207878</v>
      </c>
      <c r="M345" s="4">
        <v>0.22336630279207878</v>
      </c>
      <c r="N345" s="10">
        <v>0.223</v>
      </c>
      <c r="O345" s="4">
        <v>1.1264252789562377</v>
      </c>
      <c r="P345" s="4">
        <v>1.1200000000000001</v>
      </c>
      <c r="Q345" s="3" t="s">
        <v>1597</v>
      </c>
      <c r="R345" s="3" t="s">
        <v>1610</v>
      </c>
      <c r="S345" s="3" t="s">
        <v>1611</v>
      </c>
      <c r="T345" s="3"/>
    </row>
    <row r="346" spans="1:20">
      <c r="A346" s="3" t="s">
        <v>1600</v>
      </c>
      <c r="B346" s="3" t="s">
        <v>1609</v>
      </c>
      <c r="C346" s="3" t="s">
        <v>1616</v>
      </c>
      <c r="D346" s="3" t="s">
        <v>13</v>
      </c>
      <c r="E346" s="3" t="s">
        <v>14</v>
      </c>
      <c r="F346" s="2">
        <v>1</v>
      </c>
      <c r="G346" s="4">
        <v>1.0146737433655948</v>
      </c>
      <c r="H346" s="2">
        <v>25</v>
      </c>
      <c r="I346" s="2">
        <v>5</v>
      </c>
      <c r="J346" s="2">
        <v>16</v>
      </c>
      <c r="K346" s="11">
        <v>0.80662879902945817</v>
      </c>
      <c r="L346" s="11">
        <v>0.14599135167282951</v>
      </c>
      <c r="M346" s="4">
        <v>0.14599135167282951</v>
      </c>
      <c r="N346" s="10">
        <v>0.14599999999999999</v>
      </c>
      <c r="O346" s="4">
        <v>0.72902495146504742</v>
      </c>
      <c r="P346" s="4">
        <v>0.73</v>
      </c>
      <c r="Q346" s="3" t="s">
        <v>1597</v>
      </c>
      <c r="R346" s="3" t="s">
        <v>1610</v>
      </c>
      <c r="S346" s="3" t="s">
        <v>1611</v>
      </c>
      <c r="T346" s="3"/>
    </row>
    <row r="347" spans="1:20">
      <c r="A347" s="3" t="s">
        <v>1604</v>
      </c>
      <c r="B347" s="3" t="s">
        <v>1601</v>
      </c>
      <c r="C347" s="3" t="s">
        <v>1616</v>
      </c>
      <c r="D347" s="3" t="s">
        <v>13</v>
      </c>
      <c r="E347" s="3" t="s">
        <v>14</v>
      </c>
      <c r="F347" s="2">
        <v>1</v>
      </c>
      <c r="G347" s="4">
        <v>1.0146737433655948</v>
      </c>
      <c r="H347" s="2">
        <v>25</v>
      </c>
      <c r="I347" s="2">
        <v>30</v>
      </c>
      <c r="J347" s="2">
        <v>16</v>
      </c>
      <c r="K347" s="4">
        <v>1</v>
      </c>
      <c r="L347" s="4">
        <v>0.13974937406598101</v>
      </c>
      <c r="M347" s="4">
        <v>0.13974937406598101</v>
      </c>
      <c r="N347" s="10">
        <v>0.14000000000000001</v>
      </c>
      <c r="O347" s="4">
        <v>0.69743265253783937</v>
      </c>
      <c r="P347" s="4">
        <v>0.7</v>
      </c>
      <c r="Q347" s="3" t="s">
        <v>1597</v>
      </c>
      <c r="R347" s="3" t="s">
        <v>1602</v>
      </c>
      <c r="S347" s="3" t="s">
        <v>1603</v>
      </c>
      <c r="T347" s="3"/>
    </row>
    <row r="348" spans="1:20">
      <c r="A348" s="3" t="s">
        <v>1600</v>
      </c>
      <c r="B348" s="3" t="s">
        <v>1606</v>
      </c>
      <c r="C348" s="3" t="s">
        <v>1616</v>
      </c>
      <c r="D348" s="3" t="s">
        <v>13</v>
      </c>
      <c r="E348" s="3" t="s">
        <v>14</v>
      </c>
      <c r="F348" s="2">
        <v>1</v>
      </c>
      <c r="G348" s="4">
        <v>1.0146737433655948</v>
      </c>
      <c r="H348" s="2">
        <v>25</v>
      </c>
      <c r="I348" s="2">
        <v>5</v>
      </c>
      <c r="J348" s="2">
        <v>16</v>
      </c>
      <c r="K348" s="11">
        <v>1</v>
      </c>
      <c r="L348" s="11">
        <v>7.2587120603822067E-2</v>
      </c>
      <c r="M348" s="4">
        <v>7.2587120603822067E-2</v>
      </c>
      <c r="N348" s="10">
        <v>7.2999999999999995E-2</v>
      </c>
      <c r="O348" s="4">
        <v>0.36051638962269034</v>
      </c>
      <c r="P348" s="4">
        <v>0.36</v>
      </c>
      <c r="Q348" s="3" t="s">
        <v>1597</v>
      </c>
      <c r="R348" s="3" t="s">
        <v>1607</v>
      </c>
      <c r="S348" s="3" t="s">
        <v>1608</v>
      </c>
      <c r="T348" s="3"/>
    </row>
    <row r="349" spans="1:20">
      <c r="A349" s="3" t="s">
        <v>1604</v>
      </c>
      <c r="B349" s="3" t="s">
        <v>1601</v>
      </c>
      <c r="C349" s="3" t="s">
        <v>1596</v>
      </c>
      <c r="D349" s="3" t="s">
        <v>13</v>
      </c>
      <c r="E349" s="3" t="s">
        <v>14</v>
      </c>
      <c r="F349" s="2">
        <v>1</v>
      </c>
      <c r="G349" s="4">
        <v>1.0146737433655948</v>
      </c>
      <c r="H349" s="2">
        <v>25</v>
      </c>
      <c r="I349" s="2">
        <v>30</v>
      </c>
      <c r="J349" s="2">
        <v>16</v>
      </c>
      <c r="K349" s="4">
        <v>1</v>
      </c>
      <c r="L349" s="4">
        <v>5.9046064074960131E-2</v>
      </c>
      <c r="M349" s="4">
        <v>5.9046064074960131E-2</v>
      </c>
      <c r="N349" s="10">
        <v>5.8999999999999997E-2</v>
      </c>
      <c r="O349" s="4">
        <v>0.29308755515144813</v>
      </c>
      <c r="P349" s="4">
        <v>0.28999999999999998</v>
      </c>
      <c r="Q349" s="3" t="s">
        <v>1597</v>
      </c>
      <c r="R349" s="3" t="s">
        <v>1602</v>
      </c>
      <c r="S349" s="3" t="s">
        <v>1603</v>
      </c>
      <c r="T349" s="3"/>
    </row>
    <row r="350" spans="1:20">
      <c r="A350" s="3" t="s">
        <v>1600</v>
      </c>
      <c r="B350" s="3" t="s">
        <v>1606</v>
      </c>
      <c r="C350" s="3" t="s">
        <v>1596</v>
      </c>
      <c r="D350" s="3" t="s">
        <v>13</v>
      </c>
      <c r="E350" s="3" t="s">
        <v>14</v>
      </c>
      <c r="F350" s="2">
        <v>1</v>
      </c>
      <c r="G350" s="4">
        <v>1.0146737433655948</v>
      </c>
      <c r="H350" s="2">
        <v>25</v>
      </c>
      <c r="I350" s="2">
        <v>5</v>
      </c>
      <c r="J350" s="2">
        <v>16</v>
      </c>
      <c r="K350" s="11">
        <v>1</v>
      </c>
      <c r="L350" s="11">
        <v>1.4509902606963875E-3</v>
      </c>
      <c r="M350" s="4">
        <v>1.4509902606963875E-3</v>
      </c>
      <c r="N350" s="10">
        <v>1E-3</v>
      </c>
      <c r="O350" s="4">
        <v>7.1939224056345539E-3</v>
      </c>
      <c r="P350" s="4">
        <v>0</v>
      </c>
      <c r="Q350" s="3" t="s">
        <v>1597</v>
      </c>
      <c r="R350" s="3" t="s">
        <v>1607</v>
      </c>
      <c r="S350" s="3" t="s">
        <v>1608</v>
      </c>
      <c r="T350" s="3"/>
    </row>
    <row r="351" spans="1:20">
      <c r="A351" s="3" t="s">
        <v>1600</v>
      </c>
      <c r="B351" s="3" t="s">
        <v>1606</v>
      </c>
      <c r="C351" s="3" t="s">
        <v>1616</v>
      </c>
      <c r="D351" s="3" t="s">
        <v>13</v>
      </c>
      <c r="E351" s="3" t="s">
        <v>14</v>
      </c>
      <c r="F351" s="2">
        <v>1</v>
      </c>
      <c r="G351" s="4">
        <v>1.0146737433655948</v>
      </c>
      <c r="H351" s="2">
        <v>25</v>
      </c>
      <c r="I351" s="2">
        <v>5</v>
      </c>
      <c r="J351" s="2">
        <v>1</v>
      </c>
      <c r="K351" s="4">
        <v>1</v>
      </c>
      <c r="L351" s="4">
        <v>-5.8636682045460258E-3</v>
      </c>
      <c r="M351" s="4">
        <v>5.8636682045460258E-3</v>
      </c>
      <c r="N351" s="10">
        <v>6.0000000000000001E-3</v>
      </c>
      <c r="O351" s="4">
        <v>2.9072026929383772E-2</v>
      </c>
      <c r="P351" s="4">
        <v>-0.03</v>
      </c>
      <c r="Q351" s="3" t="s">
        <v>1617</v>
      </c>
      <c r="R351" s="3" t="s">
        <v>1621</v>
      </c>
      <c r="S351" s="3" t="s">
        <v>1622</v>
      </c>
      <c r="T351" s="3"/>
    </row>
    <row r="352" spans="1:20">
      <c r="A352" s="3" t="s">
        <v>1600</v>
      </c>
      <c r="B352" s="3" t="s">
        <v>1606</v>
      </c>
      <c r="C352" s="3" t="s">
        <v>1596</v>
      </c>
      <c r="D352" s="3" t="s">
        <v>13</v>
      </c>
      <c r="E352" s="3" t="s">
        <v>14</v>
      </c>
      <c r="F352" s="2">
        <v>1</v>
      </c>
      <c r="G352" s="4">
        <v>1.0146737433655948</v>
      </c>
      <c r="H352" s="2">
        <v>25</v>
      </c>
      <c r="I352" s="2">
        <v>5</v>
      </c>
      <c r="J352" s="2">
        <v>1</v>
      </c>
      <c r="K352" s="11">
        <v>0.95592381136242977</v>
      </c>
      <c r="L352" s="11">
        <v>-2.5381193088332213E-2</v>
      </c>
      <c r="M352" s="4">
        <v>2.5381193088332213E-2</v>
      </c>
      <c r="N352" s="10">
        <v>2.5000000000000001E-2</v>
      </c>
      <c r="O352" s="4">
        <v>0.12586537216273444</v>
      </c>
      <c r="P352" s="4">
        <v>-0.12</v>
      </c>
      <c r="Q352" s="3" t="s">
        <v>1617</v>
      </c>
      <c r="R352" s="3" t="s">
        <v>1621</v>
      </c>
      <c r="S352" s="3" t="s">
        <v>1622</v>
      </c>
      <c r="T352" s="3"/>
    </row>
    <row r="353" spans="1:20">
      <c r="A353" s="3" t="s">
        <v>1594</v>
      </c>
      <c r="B353" s="3" t="s">
        <v>1612</v>
      </c>
      <c r="C353" s="3" t="s">
        <v>1596</v>
      </c>
      <c r="D353" s="3" t="s">
        <v>1187</v>
      </c>
      <c r="E353" s="3" t="s">
        <v>1188</v>
      </c>
      <c r="F353" s="2">
        <v>1</v>
      </c>
      <c r="G353" s="4">
        <v>1.0151367363895814</v>
      </c>
      <c r="H353" s="2">
        <v>50</v>
      </c>
      <c r="I353" s="2">
        <v>5</v>
      </c>
      <c r="J353" s="2">
        <v>16</v>
      </c>
      <c r="K353" s="4">
        <v>0.99881802515659934</v>
      </c>
      <c r="L353" s="4">
        <v>0.37930300399490408</v>
      </c>
      <c r="M353" s="4">
        <v>0.37930300399490408</v>
      </c>
      <c r="N353" s="10">
        <v>0.379</v>
      </c>
      <c r="O353" s="4">
        <v>2.14540889610997</v>
      </c>
      <c r="P353" s="4">
        <v>2.14</v>
      </c>
      <c r="Q353" s="3" t="s">
        <v>1597</v>
      </c>
      <c r="R353" s="3" t="s">
        <v>1613</v>
      </c>
      <c r="S353" s="3" t="s">
        <v>1614</v>
      </c>
      <c r="T353" s="3"/>
    </row>
    <row r="354" spans="1:20">
      <c r="A354" s="3" t="s">
        <v>1594</v>
      </c>
      <c r="B354" s="3" t="s">
        <v>1595</v>
      </c>
      <c r="C354" s="3" t="s">
        <v>1596</v>
      </c>
      <c r="D354" s="3" t="s">
        <v>1187</v>
      </c>
      <c r="E354" s="3" t="s">
        <v>1188</v>
      </c>
      <c r="F354" s="2">
        <v>1</v>
      </c>
      <c r="G354" s="4">
        <v>1.0151367363895814</v>
      </c>
      <c r="H354" s="2">
        <v>50</v>
      </c>
      <c r="I354" s="2">
        <v>5</v>
      </c>
      <c r="J354" s="2">
        <v>16</v>
      </c>
      <c r="K354" s="4">
        <v>1</v>
      </c>
      <c r="L354" s="4">
        <v>0.23158586585168278</v>
      </c>
      <c r="M354" s="4">
        <v>0.23158586585168278</v>
      </c>
      <c r="N354" s="10">
        <v>0.23200000000000001</v>
      </c>
      <c r="O354" s="4">
        <v>1.267456255805226</v>
      </c>
      <c r="P354" s="4">
        <v>1.27</v>
      </c>
      <c r="Q354" s="3" t="s">
        <v>1597</v>
      </c>
      <c r="R354" s="3" t="s">
        <v>1598</v>
      </c>
      <c r="S354" s="3" t="s">
        <v>1599</v>
      </c>
      <c r="T354" s="3"/>
    </row>
    <row r="355" spans="1:20">
      <c r="A355" s="3" t="s">
        <v>1594</v>
      </c>
      <c r="B355" s="3" t="s">
        <v>1595</v>
      </c>
      <c r="C355" s="3" t="s">
        <v>1596</v>
      </c>
      <c r="D355" s="3" t="s">
        <v>1187</v>
      </c>
      <c r="E355" s="3" t="s">
        <v>1188</v>
      </c>
      <c r="F355" s="2">
        <v>1</v>
      </c>
      <c r="G355" s="4">
        <v>1.0151367363895814</v>
      </c>
      <c r="H355" s="2">
        <v>25</v>
      </c>
      <c r="I355" s="2">
        <v>5</v>
      </c>
      <c r="J355" s="2">
        <v>16</v>
      </c>
      <c r="K355" s="4">
        <v>0.61533979457288068</v>
      </c>
      <c r="L355" s="4">
        <v>0.22064954952735202</v>
      </c>
      <c r="M355" s="4">
        <v>0.22064954952735202</v>
      </c>
      <c r="N355" s="10">
        <v>0.221</v>
      </c>
      <c r="O355" s="4">
        <v>1.112257483161583</v>
      </c>
      <c r="P355" s="4">
        <v>1.1100000000000001</v>
      </c>
      <c r="Q355" s="3" t="s">
        <v>1597</v>
      </c>
      <c r="R355" s="3" t="s">
        <v>1598</v>
      </c>
      <c r="S355" s="3" t="s">
        <v>1599</v>
      </c>
      <c r="T355" s="3"/>
    </row>
    <row r="356" spans="1:20">
      <c r="A356" s="3" t="s">
        <v>1600</v>
      </c>
      <c r="B356" s="3" t="s">
        <v>1606</v>
      </c>
      <c r="C356" s="3" t="s">
        <v>1616</v>
      </c>
      <c r="D356" s="3" t="s">
        <v>1187</v>
      </c>
      <c r="E356" s="3" t="s">
        <v>1188</v>
      </c>
      <c r="F356" s="2">
        <v>1</v>
      </c>
      <c r="G356" s="4">
        <v>1.0151367363895814</v>
      </c>
      <c r="H356" s="2">
        <v>25</v>
      </c>
      <c r="I356" s="2">
        <v>5</v>
      </c>
      <c r="J356" s="2">
        <v>16</v>
      </c>
      <c r="K356" s="4">
        <v>1</v>
      </c>
      <c r="L356" s="4">
        <v>-0.23421260620787782</v>
      </c>
      <c r="M356" s="4">
        <v>0.23421260620787782</v>
      </c>
      <c r="N356" s="10">
        <v>0.23400000000000001</v>
      </c>
      <c r="O356" s="4">
        <v>1.183171604706948</v>
      </c>
      <c r="P356" s="4">
        <v>-1.18</v>
      </c>
      <c r="Q356" s="3" t="s">
        <v>1617</v>
      </c>
      <c r="R356" s="3" t="s">
        <v>1621</v>
      </c>
      <c r="S356" s="3" t="s">
        <v>1622</v>
      </c>
      <c r="T356" s="3"/>
    </row>
    <row r="357" spans="1:20">
      <c r="A357" s="3" t="s">
        <v>1600</v>
      </c>
      <c r="B357" s="3" t="s">
        <v>1606</v>
      </c>
      <c r="C357" s="3" t="s">
        <v>1616</v>
      </c>
      <c r="D357" s="3" t="s">
        <v>1187</v>
      </c>
      <c r="E357" s="3" t="s">
        <v>1188</v>
      </c>
      <c r="F357" s="2">
        <v>1</v>
      </c>
      <c r="G357" s="4">
        <v>1.0151367363895814</v>
      </c>
      <c r="H357" s="2">
        <v>25</v>
      </c>
      <c r="I357" s="2">
        <v>5</v>
      </c>
      <c r="J357" s="2">
        <v>1</v>
      </c>
      <c r="K357" s="4">
        <v>1</v>
      </c>
      <c r="L357" s="4">
        <v>-0.27045420541347825</v>
      </c>
      <c r="M357" s="4">
        <v>0.27045420541347825</v>
      </c>
      <c r="N357" s="10">
        <v>0.27</v>
      </c>
      <c r="O357" s="4">
        <v>1.3751025271688331</v>
      </c>
      <c r="P357" s="4">
        <v>-1.37</v>
      </c>
      <c r="Q357" s="3" t="s">
        <v>1617</v>
      </c>
      <c r="R357" s="3" t="s">
        <v>1621</v>
      </c>
      <c r="S357" s="3" t="s">
        <v>1622</v>
      </c>
      <c r="T357" s="3"/>
    </row>
    <row r="358" spans="1:20">
      <c r="A358" s="3" t="s">
        <v>1600</v>
      </c>
      <c r="B358" s="3" t="s">
        <v>1606</v>
      </c>
      <c r="C358" s="3" t="s">
        <v>1596</v>
      </c>
      <c r="D358" s="3" t="s">
        <v>1187</v>
      </c>
      <c r="E358" s="3" t="s">
        <v>1188</v>
      </c>
      <c r="F358" s="2">
        <v>1</v>
      </c>
      <c r="G358" s="4">
        <v>1.0151367363895814</v>
      </c>
      <c r="H358" s="2">
        <v>25</v>
      </c>
      <c r="I358" s="2">
        <v>5</v>
      </c>
      <c r="J358" s="2">
        <v>16</v>
      </c>
      <c r="K358" s="4">
        <v>1</v>
      </c>
      <c r="L358" s="4">
        <v>-0.51</v>
      </c>
      <c r="M358" s="4">
        <v>0.51</v>
      </c>
      <c r="N358" s="10">
        <v>0.51</v>
      </c>
      <c r="O358" s="4">
        <v>2.7899783786981351</v>
      </c>
      <c r="P358" s="4">
        <v>-2.79</v>
      </c>
      <c r="Q358" s="3" t="s">
        <v>1617</v>
      </c>
      <c r="R358" s="3" t="s">
        <v>1621</v>
      </c>
      <c r="S358" s="3" t="s">
        <v>1622</v>
      </c>
      <c r="T358" s="3"/>
    </row>
    <row r="359" spans="1:20">
      <c r="A359" s="3" t="s">
        <v>1600</v>
      </c>
      <c r="B359" s="3" t="s">
        <v>1606</v>
      </c>
      <c r="C359" s="3" t="s">
        <v>1596</v>
      </c>
      <c r="D359" s="3" t="s">
        <v>1187</v>
      </c>
      <c r="E359" s="3" t="s">
        <v>1188</v>
      </c>
      <c r="F359" s="2">
        <v>1</v>
      </c>
      <c r="G359" s="4">
        <v>1.0151367363895814</v>
      </c>
      <c r="H359" s="2">
        <v>25</v>
      </c>
      <c r="I359" s="2">
        <v>5</v>
      </c>
      <c r="J359" s="2">
        <v>1</v>
      </c>
      <c r="K359" s="4">
        <v>1</v>
      </c>
      <c r="L359" s="4">
        <v>-0.55216798961822289</v>
      </c>
      <c r="M359" s="4">
        <v>0.55216798961822289</v>
      </c>
      <c r="N359" s="10">
        <v>0.55200000000000005</v>
      </c>
      <c r="O359" s="4">
        <v>3.0813320329731706</v>
      </c>
      <c r="P359" s="4">
        <v>-3.08</v>
      </c>
      <c r="Q359" s="3" t="s">
        <v>1617</v>
      </c>
      <c r="R359" s="3" t="s">
        <v>1621</v>
      </c>
      <c r="S359" s="3" t="s">
        <v>1622</v>
      </c>
      <c r="T359" s="3"/>
    </row>
    <row r="360" spans="1:20">
      <c r="A360" s="3" t="s">
        <v>1600</v>
      </c>
      <c r="B360" s="3" t="s">
        <v>1609</v>
      </c>
      <c r="C360" s="3" t="s">
        <v>1616</v>
      </c>
      <c r="D360" s="3" t="s">
        <v>1187</v>
      </c>
      <c r="E360" s="3" t="s">
        <v>1188</v>
      </c>
      <c r="F360" s="2">
        <v>1</v>
      </c>
      <c r="G360" s="4">
        <v>1.0151367363895814</v>
      </c>
      <c r="H360" s="2">
        <v>25</v>
      </c>
      <c r="I360" s="2">
        <v>5</v>
      </c>
      <c r="J360" s="2">
        <v>1</v>
      </c>
      <c r="K360" s="4">
        <v>0.98816966489093172</v>
      </c>
      <c r="L360" s="4">
        <v>-0.58534285410317233</v>
      </c>
      <c r="M360" s="4">
        <v>0.58534285410317233</v>
      </c>
      <c r="N360" s="10">
        <v>0.58499999999999996</v>
      </c>
      <c r="O360" s="4">
        <v>3.3245540122716397</v>
      </c>
      <c r="P360" s="4">
        <v>-3.32</v>
      </c>
      <c r="Q360" s="3" t="s">
        <v>1617</v>
      </c>
      <c r="R360" s="3" t="s">
        <v>1623</v>
      </c>
      <c r="S360" s="3" t="s">
        <v>1624</v>
      </c>
      <c r="T360" s="3"/>
    </row>
    <row r="361" spans="1:20">
      <c r="A361" s="3" t="s">
        <v>1604</v>
      </c>
      <c r="B361" s="3" t="s">
        <v>1601</v>
      </c>
      <c r="C361" s="3" t="s">
        <v>1616</v>
      </c>
      <c r="D361" s="3" t="s">
        <v>1187</v>
      </c>
      <c r="E361" s="3" t="s">
        <v>1188</v>
      </c>
      <c r="F361" s="2">
        <v>1</v>
      </c>
      <c r="G361" s="4">
        <v>1.0151367363895814</v>
      </c>
      <c r="H361" s="2">
        <v>25</v>
      </c>
      <c r="I361" s="2">
        <v>30</v>
      </c>
      <c r="J361" s="2">
        <v>16</v>
      </c>
      <c r="K361" s="4">
        <v>1</v>
      </c>
      <c r="L361" s="4">
        <v>-0.64895738429309202</v>
      </c>
      <c r="M361" s="4">
        <v>0.64895738429309202</v>
      </c>
      <c r="N361" s="10">
        <v>0.64900000000000002</v>
      </c>
      <c r="O361" s="4">
        <v>3.8349410853944446</v>
      </c>
      <c r="P361" s="4">
        <v>-3.84</v>
      </c>
      <c r="Q361" s="3" t="s">
        <v>1617</v>
      </c>
      <c r="R361" s="3" t="s">
        <v>1618</v>
      </c>
      <c r="S361" s="3" t="s">
        <v>1619</v>
      </c>
      <c r="T361" s="3"/>
    </row>
    <row r="362" spans="1:20">
      <c r="A362" s="3" t="s">
        <v>1600</v>
      </c>
      <c r="B362" s="3" t="s">
        <v>1609</v>
      </c>
      <c r="C362" s="3" t="s">
        <v>1616</v>
      </c>
      <c r="D362" s="3" t="s">
        <v>1187</v>
      </c>
      <c r="E362" s="3" t="s">
        <v>1188</v>
      </c>
      <c r="F362" s="2">
        <v>1</v>
      </c>
      <c r="G362" s="4">
        <v>1.0151367363895814</v>
      </c>
      <c r="H362" s="2">
        <v>25</v>
      </c>
      <c r="I362" s="2">
        <v>5</v>
      </c>
      <c r="J362" s="2">
        <v>16</v>
      </c>
      <c r="K362" s="4">
        <v>0.98605479401085216</v>
      </c>
      <c r="L362" s="4">
        <v>-0.70469994058090735</v>
      </c>
      <c r="M362" s="4">
        <v>0.70469994058090735</v>
      </c>
      <c r="N362" s="10">
        <v>0.70499999999999996</v>
      </c>
      <c r="O362" s="4">
        <v>4.3460089964393385</v>
      </c>
      <c r="P362" s="4">
        <v>-4.3499999999999996</v>
      </c>
      <c r="Q362" s="3" t="s">
        <v>1617</v>
      </c>
      <c r="R362" s="3" t="s">
        <v>1623</v>
      </c>
      <c r="S362" s="3" t="s">
        <v>1624</v>
      </c>
      <c r="T362" s="3"/>
    </row>
    <row r="363" spans="1:20">
      <c r="A363" s="3" t="s">
        <v>1604</v>
      </c>
      <c r="B363" s="3" t="s">
        <v>1601</v>
      </c>
      <c r="C363" s="3" t="s">
        <v>1596</v>
      </c>
      <c r="D363" s="3" t="s">
        <v>1187</v>
      </c>
      <c r="E363" s="3" t="s">
        <v>1188</v>
      </c>
      <c r="F363" s="2">
        <v>1</v>
      </c>
      <c r="G363" s="4">
        <v>1.0151367363895814</v>
      </c>
      <c r="H363" s="2">
        <v>25</v>
      </c>
      <c r="I363" s="2">
        <v>30</v>
      </c>
      <c r="J363" s="2">
        <v>16</v>
      </c>
      <c r="K363" s="4">
        <v>1</v>
      </c>
      <c r="L363" s="4">
        <v>-0.71733784119309607</v>
      </c>
      <c r="M363" s="4">
        <v>0.71733784119309607</v>
      </c>
      <c r="N363" s="10">
        <v>0.71699999999999997</v>
      </c>
      <c r="O363" s="4">
        <v>4.4727482481770346</v>
      </c>
      <c r="P363" s="4">
        <v>-4.47</v>
      </c>
      <c r="Q363" s="3" t="s">
        <v>1617</v>
      </c>
      <c r="R363" s="3" t="s">
        <v>1618</v>
      </c>
      <c r="S363" s="3" t="s">
        <v>1619</v>
      </c>
      <c r="T363" s="3"/>
    </row>
    <row r="364" spans="1:20">
      <c r="A364" s="3" t="s">
        <v>1600</v>
      </c>
      <c r="B364" s="3" t="s">
        <v>1601</v>
      </c>
      <c r="C364" s="3" t="s">
        <v>1616</v>
      </c>
      <c r="D364" s="3" t="s">
        <v>1187</v>
      </c>
      <c r="E364" s="3" t="s">
        <v>1188</v>
      </c>
      <c r="F364" s="2">
        <v>1</v>
      </c>
      <c r="G364" s="4">
        <v>1.0151367363895814</v>
      </c>
      <c r="H364" s="2">
        <v>25</v>
      </c>
      <c r="I364" s="2">
        <v>5</v>
      </c>
      <c r="J364" s="2">
        <v>1</v>
      </c>
      <c r="K364" s="4">
        <v>1</v>
      </c>
      <c r="L364" s="4">
        <v>-0.87160463401633392</v>
      </c>
      <c r="M364" s="4">
        <v>0.87160463401633392</v>
      </c>
      <c r="N364" s="10">
        <v>0.872</v>
      </c>
      <c r="O364" s="4">
        <v>6.6422393841305523</v>
      </c>
      <c r="P364" s="4">
        <v>-6.65</v>
      </c>
      <c r="Q364" s="3" t="s">
        <v>1617</v>
      </c>
      <c r="R364" s="3" t="s">
        <v>1618</v>
      </c>
      <c r="S364" s="3" t="s">
        <v>1619</v>
      </c>
      <c r="T364" s="3"/>
    </row>
    <row r="365" spans="1:20">
      <c r="A365" s="3" t="s">
        <v>1600</v>
      </c>
      <c r="B365" s="3" t="s">
        <v>1601</v>
      </c>
      <c r="C365" s="3" t="s">
        <v>1616</v>
      </c>
      <c r="D365" s="3" t="s">
        <v>1187</v>
      </c>
      <c r="E365" s="3" t="s">
        <v>1188</v>
      </c>
      <c r="F365" s="2">
        <v>1</v>
      </c>
      <c r="G365" s="4">
        <v>1.0151367363895814</v>
      </c>
      <c r="H365" s="2">
        <v>25</v>
      </c>
      <c r="I365" s="2">
        <v>5</v>
      </c>
      <c r="J365" s="2">
        <v>16</v>
      </c>
      <c r="K365" s="4">
        <v>1</v>
      </c>
      <c r="L365" s="4">
        <v>-0.88493205395785601</v>
      </c>
      <c r="M365" s="4">
        <v>0.88493205395785601</v>
      </c>
      <c r="N365" s="10">
        <v>0.88500000000000001</v>
      </c>
      <c r="O365" s="4">
        <v>6.9315030651617313</v>
      </c>
      <c r="P365" s="4">
        <v>-6.93</v>
      </c>
      <c r="Q365" s="3" t="s">
        <v>1617</v>
      </c>
      <c r="R365" s="3" t="s">
        <v>1618</v>
      </c>
      <c r="S365" s="3" t="s">
        <v>1619</v>
      </c>
      <c r="T365" s="3"/>
    </row>
    <row r="366" spans="1:20">
      <c r="A366" s="3" t="s">
        <v>1600</v>
      </c>
      <c r="B366" s="3" t="s">
        <v>1601</v>
      </c>
      <c r="C366" s="3" t="s">
        <v>1596</v>
      </c>
      <c r="D366" s="3" t="s">
        <v>1187</v>
      </c>
      <c r="E366" s="3" t="s">
        <v>1188</v>
      </c>
      <c r="F366" s="2">
        <v>1</v>
      </c>
      <c r="G366" s="4">
        <v>1.0151367363895814</v>
      </c>
      <c r="H366" s="2">
        <v>25</v>
      </c>
      <c r="I366" s="2">
        <v>5</v>
      </c>
      <c r="J366" s="2">
        <v>1</v>
      </c>
      <c r="K366" s="4">
        <v>1</v>
      </c>
      <c r="L366" s="4">
        <v>-0.88876972513334518</v>
      </c>
      <c r="M366" s="4">
        <v>0.88876972513334518</v>
      </c>
      <c r="N366" s="10">
        <v>0.88900000000000001</v>
      </c>
      <c r="O366" s="4">
        <v>7.020632114278154</v>
      </c>
      <c r="P366" s="4">
        <v>-7.03</v>
      </c>
      <c r="Q366" s="3" t="s">
        <v>1617</v>
      </c>
      <c r="R366" s="3" t="s">
        <v>1618</v>
      </c>
      <c r="S366" s="3" t="s">
        <v>1619</v>
      </c>
      <c r="T366" s="3"/>
    </row>
    <row r="367" spans="1:20">
      <c r="A367" s="3" t="s">
        <v>1600</v>
      </c>
      <c r="B367" s="3" t="s">
        <v>1601</v>
      </c>
      <c r="C367" s="3" t="s">
        <v>1596</v>
      </c>
      <c r="D367" s="3" t="s">
        <v>1187</v>
      </c>
      <c r="E367" s="3" t="s">
        <v>1188</v>
      </c>
      <c r="F367" s="2">
        <v>1</v>
      </c>
      <c r="G367" s="4">
        <v>1.0151367363895814</v>
      </c>
      <c r="H367" s="2">
        <v>25</v>
      </c>
      <c r="I367" s="2">
        <v>5</v>
      </c>
      <c r="J367" s="2">
        <v>16</v>
      </c>
      <c r="K367" s="4">
        <v>1</v>
      </c>
      <c r="L367" s="4">
        <v>-0.89020615349778798</v>
      </c>
      <c r="M367" s="4">
        <v>0.89020615349778798</v>
      </c>
      <c r="N367" s="10">
        <v>0.89</v>
      </c>
      <c r="O367" s="4">
        <v>7.0547385939629157</v>
      </c>
      <c r="P367" s="4">
        <v>-7.05</v>
      </c>
      <c r="Q367" s="3" t="s">
        <v>1617</v>
      </c>
      <c r="R367" s="3" t="s">
        <v>1618</v>
      </c>
      <c r="S367" s="3" t="s">
        <v>1619</v>
      </c>
      <c r="T367" s="3"/>
    </row>
    <row r="368" spans="1:20">
      <c r="A368" s="3" t="s">
        <v>1605</v>
      </c>
      <c r="B368" s="3" t="s">
        <v>1601</v>
      </c>
      <c r="C368" s="3" t="s">
        <v>1596</v>
      </c>
      <c r="D368" s="3" t="s">
        <v>1187</v>
      </c>
      <c r="E368" s="3" t="s">
        <v>1188</v>
      </c>
      <c r="F368" s="2">
        <v>1</v>
      </c>
      <c r="G368" s="4">
        <v>1.0151367363895814</v>
      </c>
      <c r="H368" s="2">
        <v>25</v>
      </c>
      <c r="I368" s="2">
        <v>5</v>
      </c>
      <c r="J368" s="2">
        <v>16</v>
      </c>
      <c r="K368" s="4">
        <v>1</v>
      </c>
      <c r="L368" s="4">
        <v>-0.8988576581307679</v>
      </c>
      <c r="M368" s="4">
        <v>0.8988576581307679</v>
      </c>
      <c r="N368" s="10">
        <v>0.89900000000000002</v>
      </c>
      <c r="O368" s="4">
        <v>7.2695218710909915</v>
      </c>
      <c r="P368" s="4">
        <v>-7.27</v>
      </c>
      <c r="Q368" s="3" t="s">
        <v>1617</v>
      </c>
      <c r="R368" s="3" t="s">
        <v>1618</v>
      </c>
      <c r="S368" s="3" t="s">
        <v>1619</v>
      </c>
      <c r="T368" s="3"/>
    </row>
    <row r="369" spans="1:20">
      <c r="A369" s="3" t="s">
        <v>1600</v>
      </c>
      <c r="B369" s="3" t="s">
        <v>1609</v>
      </c>
      <c r="C369" s="3" t="s">
        <v>1596</v>
      </c>
      <c r="D369" s="3" t="s">
        <v>1187</v>
      </c>
      <c r="E369" s="3" t="s">
        <v>1188</v>
      </c>
      <c r="F369" s="2">
        <v>1</v>
      </c>
      <c r="G369" s="4">
        <v>1.0151367363895814</v>
      </c>
      <c r="H369" s="2">
        <v>25</v>
      </c>
      <c r="I369" s="2">
        <v>5</v>
      </c>
      <c r="J369" s="2">
        <v>1</v>
      </c>
      <c r="K369" s="4">
        <v>1</v>
      </c>
      <c r="L369" s="4">
        <v>-0.91878355946777934</v>
      </c>
      <c r="M369" s="4">
        <v>0.91878355946777934</v>
      </c>
      <c r="N369" s="10">
        <v>0.91900000000000004</v>
      </c>
      <c r="O369" s="4">
        <v>7.8393129627128593</v>
      </c>
      <c r="P369" s="4">
        <v>-7.85</v>
      </c>
      <c r="Q369" s="3" t="s">
        <v>1617</v>
      </c>
      <c r="R369" s="3" t="s">
        <v>1623</v>
      </c>
      <c r="S369" s="3" t="s">
        <v>1624</v>
      </c>
      <c r="T369" s="3"/>
    </row>
    <row r="370" spans="1:20">
      <c r="A370" s="3" t="s">
        <v>1600</v>
      </c>
      <c r="B370" s="3" t="s">
        <v>1609</v>
      </c>
      <c r="C370" s="3" t="s">
        <v>1596</v>
      </c>
      <c r="D370" s="3" t="s">
        <v>1187</v>
      </c>
      <c r="E370" s="3" t="s">
        <v>1188</v>
      </c>
      <c r="F370" s="2">
        <v>1</v>
      </c>
      <c r="G370" s="4">
        <v>1.0151367363895814</v>
      </c>
      <c r="H370" s="2">
        <v>25</v>
      </c>
      <c r="I370" s="2">
        <v>5</v>
      </c>
      <c r="J370" s="2">
        <v>16</v>
      </c>
      <c r="K370" s="4">
        <v>0.98623579570762754</v>
      </c>
      <c r="L370" s="4">
        <v>-0.9500672823134243</v>
      </c>
      <c r="M370" s="4">
        <v>0.9500672823134243</v>
      </c>
      <c r="N370" s="10">
        <v>0.95</v>
      </c>
      <c r="O370" s="4">
        <v>9.0852763208326568</v>
      </c>
      <c r="P370" s="4">
        <v>-9.08</v>
      </c>
      <c r="Q370" s="3" t="s">
        <v>1617</v>
      </c>
      <c r="R370" s="3" t="s">
        <v>1623</v>
      </c>
      <c r="S370" s="3" t="s">
        <v>1624</v>
      </c>
      <c r="T370" s="3"/>
    </row>
    <row r="371" spans="1:20">
      <c r="A371" s="3" t="s">
        <v>1594</v>
      </c>
      <c r="B371" s="3" t="s">
        <v>1612</v>
      </c>
      <c r="C371" s="3" t="s">
        <v>1596</v>
      </c>
      <c r="D371" s="3" t="s">
        <v>843</v>
      </c>
      <c r="E371" s="3" t="s">
        <v>844</v>
      </c>
      <c r="F371" s="2">
        <v>1</v>
      </c>
      <c r="G371" s="4">
        <v>1.0158802092184518</v>
      </c>
      <c r="H371" s="2">
        <v>50</v>
      </c>
      <c r="I371" s="2">
        <v>5</v>
      </c>
      <c r="J371" s="2">
        <v>16</v>
      </c>
      <c r="K371" s="4">
        <v>0.30374742932202869</v>
      </c>
      <c r="L371" s="4">
        <v>-2.4351046361317821E-2</v>
      </c>
      <c r="M371" s="4">
        <v>2.4351046361317821E-2</v>
      </c>
      <c r="N371" s="10">
        <v>2.4E-2</v>
      </c>
      <c r="O371" s="4">
        <v>0.13088015024091734</v>
      </c>
      <c r="P371" s="4">
        <v>-0.13</v>
      </c>
      <c r="Q371" s="3" t="s">
        <v>1617</v>
      </c>
      <c r="R371" s="3" t="s">
        <v>1627</v>
      </c>
      <c r="S371" s="3" t="s">
        <v>1628</v>
      </c>
      <c r="T371" s="3"/>
    </row>
    <row r="372" spans="1:20">
      <c r="A372" s="3" t="s">
        <v>1594</v>
      </c>
      <c r="B372" s="3" t="s">
        <v>1595</v>
      </c>
      <c r="C372" s="3" t="s">
        <v>1596</v>
      </c>
      <c r="D372" s="3" t="s">
        <v>843</v>
      </c>
      <c r="E372" s="3" t="s">
        <v>844</v>
      </c>
      <c r="F372" s="2">
        <v>1</v>
      </c>
      <c r="G372" s="4">
        <v>1.0158802092184518</v>
      </c>
      <c r="H372" s="2">
        <v>50</v>
      </c>
      <c r="I372" s="2">
        <v>5</v>
      </c>
      <c r="J372" s="2">
        <v>16</v>
      </c>
      <c r="K372" s="4">
        <v>1</v>
      </c>
      <c r="L372" s="4">
        <v>-0.23952908030758707</v>
      </c>
      <c r="M372" s="4">
        <v>0.23952908030758707</v>
      </c>
      <c r="N372" s="10">
        <v>0.24</v>
      </c>
      <c r="O372" s="4">
        <v>1.3126482781198436</v>
      </c>
      <c r="P372" s="4">
        <v>-1.32</v>
      </c>
      <c r="Q372" s="3" t="s">
        <v>1617</v>
      </c>
      <c r="R372" s="3" t="s">
        <v>1625</v>
      </c>
      <c r="S372" s="3" t="s">
        <v>1626</v>
      </c>
      <c r="T372" s="3"/>
    </row>
    <row r="373" spans="1:20">
      <c r="A373" s="3" t="s">
        <v>1594</v>
      </c>
      <c r="B373" s="3" t="s">
        <v>1595</v>
      </c>
      <c r="C373" s="3" t="s">
        <v>1596</v>
      </c>
      <c r="D373" s="3" t="s">
        <v>843</v>
      </c>
      <c r="E373" s="3" t="s">
        <v>844</v>
      </c>
      <c r="F373" s="2">
        <v>1</v>
      </c>
      <c r="G373" s="4">
        <v>1.0158802092184518</v>
      </c>
      <c r="H373" s="2">
        <v>25</v>
      </c>
      <c r="I373" s="2">
        <v>5</v>
      </c>
      <c r="J373" s="2">
        <v>16</v>
      </c>
      <c r="K373" s="4">
        <v>0.67659329486330277</v>
      </c>
      <c r="L373" s="4">
        <v>-0.33953074803429534</v>
      </c>
      <c r="M373" s="4">
        <v>0.33953074803429534</v>
      </c>
      <c r="N373" s="10">
        <v>0.34</v>
      </c>
      <c r="O373" s="4">
        <v>1.7529380736494669</v>
      </c>
      <c r="P373" s="4">
        <v>-1.76</v>
      </c>
      <c r="Q373" s="3" t="s">
        <v>1617</v>
      </c>
      <c r="R373" s="3" t="s">
        <v>1625</v>
      </c>
      <c r="S373" s="3" t="s">
        <v>1626</v>
      </c>
      <c r="T373" s="3"/>
    </row>
    <row r="374" spans="1:20">
      <c r="A374" s="3" t="s">
        <v>1604</v>
      </c>
      <c r="B374" s="3" t="s">
        <v>1601</v>
      </c>
      <c r="C374" s="3" t="s">
        <v>1616</v>
      </c>
      <c r="D374" s="3" t="s">
        <v>843</v>
      </c>
      <c r="E374" s="3" t="s">
        <v>844</v>
      </c>
      <c r="F374" s="2">
        <v>1</v>
      </c>
      <c r="G374" s="4">
        <v>1.0158802092184518</v>
      </c>
      <c r="H374" s="2">
        <v>25</v>
      </c>
      <c r="I374" s="2">
        <v>30</v>
      </c>
      <c r="J374" s="2">
        <v>16</v>
      </c>
      <c r="K374" s="4">
        <v>1</v>
      </c>
      <c r="L374" s="4">
        <v>-0.68677247047655288</v>
      </c>
      <c r="M374" s="4">
        <v>0.68677247047655288</v>
      </c>
      <c r="N374" s="10">
        <v>0.68700000000000006</v>
      </c>
      <c r="O374" s="4">
        <v>4.1736957872203408</v>
      </c>
      <c r="P374" s="4">
        <v>-4.18</v>
      </c>
      <c r="Q374" s="3" t="s">
        <v>1617</v>
      </c>
      <c r="R374" s="3" t="s">
        <v>1618</v>
      </c>
      <c r="S374" s="3" t="s">
        <v>1619</v>
      </c>
      <c r="T374" s="3"/>
    </row>
    <row r="375" spans="1:20">
      <c r="A375" s="3" t="s">
        <v>1600</v>
      </c>
      <c r="B375" s="3" t="s">
        <v>1606</v>
      </c>
      <c r="C375" s="3" t="s">
        <v>1616</v>
      </c>
      <c r="D375" s="3" t="s">
        <v>843</v>
      </c>
      <c r="E375" s="3" t="s">
        <v>844</v>
      </c>
      <c r="F375" s="2">
        <v>1</v>
      </c>
      <c r="G375" s="4">
        <v>1.0158802092184518</v>
      </c>
      <c r="H375" s="2">
        <v>25</v>
      </c>
      <c r="I375" s="2">
        <v>5</v>
      </c>
      <c r="J375" s="2">
        <v>16</v>
      </c>
      <c r="K375" s="4">
        <v>1</v>
      </c>
      <c r="L375" s="4">
        <v>-0.80340446328897641</v>
      </c>
      <c r="M375" s="4">
        <v>0.80340446328897641</v>
      </c>
      <c r="N375" s="10">
        <v>0.80300000000000005</v>
      </c>
      <c r="O375" s="4">
        <v>5.4940950756608116</v>
      </c>
      <c r="P375" s="4">
        <v>-5.49</v>
      </c>
      <c r="Q375" s="3" t="s">
        <v>1617</v>
      </c>
      <c r="R375" s="3" t="s">
        <v>1621</v>
      </c>
      <c r="S375" s="3" t="s">
        <v>1622</v>
      </c>
      <c r="T375" s="3"/>
    </row>
    <row r="376" spans="1:20">
      <c r="A376" s="3" t="s">
        <v>1600</v>
      </c>
      <c r="B376" s="3" t="s">
        <v>1606</v>
      </c>
      <c r="C376" s="3" t="s">
        <v>1616</v>
      </c>
      <c r="D376" s="3" t="s">
        <v>843</v>
      </c>
      <c r="E376" s="3" t="s">
        <v>844</v>
      </c>
      <c r="F376" s="2">
        <v>1</v>
      </c>
      <c r="G376" s="4">
        <v>1.0158802092184518</v>
      </c>
      <c r="H376" s="2">
        <v>25</v>
      </c>
      <c r="I376" s="2">
        <v>5</v>
      </c>
      <c r="J376" s="2">
        <v>1</v>
      </c>
      <c r="K376" s="4">
        <v>1</v>
      </c>
      <c r="L376" s="4">
        <v>-0.80349526209793032</v>
      </c>
      <c r="M376" s="4">
        <v>0.80349526209793032</v>
      </c>
      <c r="N376" s="10">
        <v>0.80300000000000005</v>
      </c>
      <c r="O376" s="4">
        <v>5.4953650755441377</v>
      </c>
      <c r="P376" s="4">
        <v>-5.49</v>
      </c>
      <c r="Q376" s="3" t="s">
        <v>1617</v>
      </c>
      <c r="R376" s="3" t="s">
        <v>1621</v>
      </c>
      <c r="S376" s="3" t="s">
        <v>1622</v>
      </c>
      <c r="T376" s="3"/>
    </row>
    <row r="377" spans="1:20">
      <c r="A377" s="3" t="s">
        <v>1600</v>
      </c>
      <c r="B377" s="3" t="s">
        <v>1601</v>
      </c>
      <c r="C377" s="3" t="s">
        <v>1616</v>
      </c>
      <c r="D377" s="3" t="s">
        <v>843</v>
      </c>
      <c r="E377" s="3" t="s">
        <v>844</v>
      </c>
      <c r="F377" s="2">
        <v>1</v>
      </c>
      <c r="G377" s="4">
        <v>1.0158802092184518</v>
      </c>
      <c r="H377" s="2">
        <v>25</v>
      </c>
      <c r="I377" s="2">
        <v>5</v>
      </c>
      <c r="J377" s="2">
        <v>1</v>
      </c>
      <c r="K377" s="4">
        <v>1</v>
      </c>
      <c r="L377" s="4">
        <v>-0.82886894166498293</v>
      </c>
      <c r="M377" s="4">
        <v>0.82886894166498293</v>
      </c>
      <c r="N377" s="10">
        <v>0.82899999999999996</v>
      </c>
      <c r="O377" s="4">
        <v>5.8727333767679015</v>
      </c>
      <c r="P377" s="4">
        <v>-5.87</v>
      </c>
      <c r="Q377" s="3" t="s">
        <v>1617</v>
      </c>
      <c r="R377" s="3" t="s">
        <v>1618</v>
      </c>
      <c r="S377" s="3" t="s">
        <v>1619</v>
      </c>
      <c r="T377" s="3"/>
    </row>
    <row r="378" spans="1:20">
      <c r="A378" s="3" t="s">
        <v>1604</v>
      </c>
      <c r="B378" s="3" t="s">
        <v>1601</v>
      </c>
      <c r="C378" s="3" t="s">
        <v>1596</v>
      </c>
      <c r="D378" s="3" t="s">
        <v>843</v>
      </c>
      <c r="E378" s="3" t="s">
        <v>844</v>
      </c>
      <c r="F378" s="2">
        <v>1</v>
      </c>
      <c r="G378" s="4">
        <v>1.0158802092184518</v>
      </c>
      <c r="H378" s="2">
        <v>25</v>
      </c>
      <c r="I378" s="2">
        <v>30</v>
      </c>
      <c r="J378" s="2">
        <v>16</v>
      </c>
      <c r="K378" s="4">
        <v>1</v>
      </c>
      <c r="L378" s="4">
        <v>-0.83414128730649129</v>
      </c>
      <c r="M378" s="4">
        <v>0.83414128730649129</v>
      </c>
      <c r="N378" s="10">
        <v>0.83399999999999996</v>
      </c>
      <c r="O378" s="4">
        <v>5.9574448902410504</v>
      </c>
      <c r="P378" s="4">
        <v>-5.96</v>
      </c>
      <c r="Q378" s="3" t="s">
        <v>1617</v>
      </c>
      <c r="R378" s="3" t="s">
        <v>1618</v>
      </c>
      <c r="S378" s="3" t="s">
        <v>1619</v>
      </c>
      <c r="T378" s="3"/>
    </row>
    <row r="379" spans="1:20">
      <c r="A379" s="3" t="s">
        <v>1600</v>
      </c>
      <c r="B379" s="3" t="s">
        <v>1601</v>
      </c>
      <c r="C379" s="3" t="s">
        <v>1616</v>
      </c>
      <c r="D379" s="3" t="s">
        <v>843</v>
      </c>
      <c r="E379" s="3" t="s">
        <v>844</v>
      </c>
      <c r="F379" s="2">
        <v>1</v>
      </c>
      <c r="G379" s="4">
        <v>1.0158802092184518</v>
      </c>
      <c r="H379" s="2">
        <v>25</v>
      </c>
      <c r="I379" s="2">
        <v>5</v>
      </c>
      <c r="J379" s="2">
        <v>16</v>
      </c>
      <c r="K379" s="4">
        <v>1</v>
      </c>
      <c r="L379" s="4">
        <v>-0.8378712153269452</v>
      </c>
      <c r="M379" s="4">
        <v>0.8378712153269452</v>
      </c>
      <c r="N379" s="10">
        <v>0.83799999999999997</v>
      </c>
      <c r="O379" s="4">
        <v>6.0188659278625147</v>
      </c>
      <c r="P379" s="4">
        <v>-6.02</v>
      </c>
      <c r="Q379" s="3" t="s">
        <v>1617</v>
      </c>
      <c r="R379" s="3" t="s">
        <v>1618</v>
      </c>
      <c r="S379" s="3" t="s">
        <v>1619</v>
      </c>
      <c r="T379" s="3"/>
    </row>
    <row r="380" spans="1:20">
      <c r="A380" s="3" t="s">
        <v>1605</v>
      </c>
      <c r="B380" s="3" t="s">
        <v>1601</v>
      </c>
      <c r="C380" s="3" t="s">
        <v>1596</v>
      </c>
      <c r="D380" s="3" t="s">
        <v>843</v>
      </c>
      <c r="E380" s="3" t="s">
        <v>844</v>
      </c>
      <c r="F380" s="2">
        <v>1</v>
      </c>
      <c r="G380" s="4">
        <v>1.0158802092184518</v>
      </c>
      <c r="H380" s="2">
        <v>25</v>
      </c>
      <c r="I380" s="2">
        <v>5</v>
      </c>
      <c r="J380" s="2">
        <v>16</v>
      </c>
      <c r="K380" s="4">
        <v>1</v>
      </c>
      <c r="L380" s="4">
        <v>-0.86259517836968447</v>
      </c>
      <c r="M380" s="4">
        <v>0.86259517836968447</v>
      </c>
      <c r="N380" s="10">
        <v>0.86299999999999999</v>
      </c>
      <c r="O380" s="4">
        <v>6.4621608034059026</v>
      </c>
      <c r="P380" s="4">
        <v>-6.47</v>
      </c>
      <c r="Q380" s="3" t="s">
        <v>1617</v>
      </c>
      <c r="R380" s="3" t="s">
        <v>1618</v>
      </c>
      <c r="S380" s="3" t="s">
        <v>1619</v>
      </c>
      <c r="T380" s="3"/>
    </row>
    <row r="381" spans="1:20">
      <c r="A381" s="3" t="s">
        <v>1600</v>
      </c>
      <c r="B381" s="3" t="s">
        <v>1606</v>
      </c>
      <c r="C381" s="3" t="s">
        <v>1596</v>
      </c>
      <c r="D381" s="3" t="s">
        <v>843</v>
      </c>
      <c r="E381" s="3" t="s">
        <v>844</v>
      </c>
      <c r="F381" s="2">
        <v>1</v>
      </c>
      <c r="G381" s="4">
        <v>1.0158802092184518</v>
      </c>
      <c r="H381" s="2">
        <v>25</v>
      </c>
      <c r="I381" s="2">
        <v>5</v>
      </c>
      <c r="J381" s="2">
        <v>1</v>
      </c>
      <c r="K381" s="4">
        <v>0.99697531030083497</v>
      </c>
      <c r="L381" s="4">
        <v>-0.87130321758354656</v>
      </c>
      <c r="M381" s="4">
        <v>0.87130321758354656</v>
      </c>
      <c r="N381" s="10">
        <v>0.871</v>
      </c>
      <c r="O381" s="4">
        <v>6.636027403374352</v>
      </c>
      <c r="P381" s="4">
        <v>-6.63</v>
      </c>
      <c r="Q381" s="3" t="s">
        <v>1617</v>
      </c>
      <c r="R381" s="3" t="s">
        <v>1621</v>
      </c>
      <c r="S381" s="3" t="s">
        <v>1622</v>
      </c>
      <c r="T381" s="3"/>
    </row>
    <row r="382" spans="1:20">
      <c r="A382" s="3" t="s">
        <v>1600</v>
      </c>
      <c r="B382" s="3" t="s">
        <v>1601</v>
      </c>
      <c r="C382" s="3" t="s">
        <v>1596</v>
      </c>
      <c r="D382" s="3" t="s">
        <v>843</v>
      </c>
      <c r="E382" s="3" t="s">
        <v>844</v>
      </c>
      <c r="F382" s="2">
        <v>1</v>
      </c>
      <c r="G382" s="4">
        <v>1.0158802092184518</v>
      </c>
      <c r="H382" s="2">
        <v>25</v>
      </c>
      <c r="I382" s="2">
        <v>5</v>
      </c>
      <c r="J382" s="2">
        <v>16</v>
      </c>
      <c r="K382" s="4">
        <v>1</v>
      </c>
      <c r="L382" s="4">
        <v>-0.87203557059578707</v>
      </c>
      <c r="M382" s="4">
        <v>0.87203557059578707</v>
      </c>
      <c r="N382" s="10">
        <v>0.872</v>
      </c>
      <c r="O382" s="4">
        <v>6.6511443172581046</v>
      </c>
      <c r="P382" s="4">
        <v>-6.65</v>
      </c>
      <c r="Q382" s="3" t="s">
        <v>1617</v>
      </c>
      <c r="R382" s="3" t="s">
        <v>1618</v>
      </c>
      <c r="S382" s="3" t="s">
        <v>1619</v>
      </c>
      <c r="T382" s="3"/>
    </row>
    <row r="383" spans="1:20">
      <c r="A383" s="3" t="s">
        <v>1600</v>
      </c>
      <c r="B383" s="3" t="s">
        <v>1601</v>
      </c>
      <c r="C383" s="3" t="s">
        <v>1596</v>
      </c>
      <c r="D383" s="3" t="s">
        <v>843</v>
      </c>
      <c r="E383" s="3" t="s">
        <v>844</v>
      </c>
      <c r="F383" s="2">
        <v>1</v>
      </c>
      <c r="G383" s="4">
        <v>1.0158802092184518</v>
      </c>
      <c r="H383" s="2">
        <v>25</v>
      </c>
      <c r="I383" s="2">
        <v>5</v>
      </c>
      <c r="J383" s="2">
        <v>1</v>
      </c>
      <c r="K383" s="4">
        <v>1</v>
      </c>
      <c r="L383" s="4">
        <v>-0.87729728712667887</v>
      </c>
      <c r="M383" s="4">
        <v>0.87729728712667887</v>
      </c>
      <c r="N383" s="10">
        <v>0.877</v>
      </c>
      <c r="O383" s="4">
        <v>6.7621887515085044</v>
      </c>
      <c r="P383" s="4">
        <v>-6.76</v>
      </c>
      <c r="Q383" s="3" t="s">
        <v>1617</v>
      </c>
      <c r="R383" s="3" t="s">
        <v>1618</v>
      </c>
      <c r="S383" s="3" t="s">
        <v>1619</v>
      </c>
      <c r="T383" s="3"/>
    </row>
    <row r="384" spans="1:20">
      <c r="A384" s="3" t="s">
        <v>1600</v>
      </c>
      <c r="B384" s="3" t="s">
        <v>1606</v>
      </c>
      <c r="C384" s="3" t="s">
        <v>1596</v>
      </c>
      <c r="D384" s="3" t="s">
        <v>843</v>
      </c>
      <c r="E384" s="3" t="s">
        <v>844</v>
      </c>
      <c r="F384" s="2">
        <v>1</v>
      </c>
      <c r="G384" s="4">
        <v>1.0158802092184518</v>
      </c>
      <c r="H384" s="2">
        <v>25</v>
      </c>
      <c r="I384" s="2">
        <v>5</v>
      </c>
      <c r="J384" s="2">
        <v>16</v>
      </c>
      <c r="K384" s="4">
        <v>1</v>
      </c>
      <c r="L384" s="4">
        <v>-0.88052275290687476</v>
      </c>
      <c r="M384" s="4">
        <v>0.88052275290687476</v>
      </c>
      <c r="N384" s="10">
        <v>0.88100000000000001</v>
      </c>
      <c r="O384" s="4">
        <v>6.8324803351784711</v>
      </c>
      <c r="P384" s="4">
        <v>-6.84</v>
      </c>
      <c r="Q384" s="3" t="s">
        <v>1617</v>
      </c>
      <c r="R384" s="3" t="s">
        <v>1621</v>
      </c>
      <c r="S384" s="3" t="s">
        <v>1622</v>
      </c>
      <c r="T384" s="3"/>
    </row>
    <row r="385" spans="1:20">
      <c r="A385" s="3" t="s">
        <v>1600</v>
      </c>
      <c r="B385" s="3" t="s">
        <v>1609</v>
      </c>
      <c r="C385" s="3" t="s">
        <v>1596</v>
      </c>
      <c r="D385" s="3" t="s">
        <v>843</v>
      </c>
      <c r="E385" s="3" t="s">
        <v>844</v>
      </c>
      <c r="F385" s="2">
        <v>1</v>
      </c>
      <c r="G385" s="4">
        <v>1.0158802092184518</v>
      </c>
      <c r="H385" s="2">
        <v>25</v>
      </c>
      <c r="I385" s="2">
        <v>5</v>
      </c>
      <c r="J385" s="2">
        <v>1</v>
      </c>
      <c r="K385" s="4">
        <v>1</v>
      </c>
      <c r="L385" s="4">
        <v>-0.93061708662202891</v>
      </c>
      <c r="M385" s="4">
        <v>0.93061708662202891</v>
      </c>
      <c r="N385" s="10">
        <v>0.93100000000000005</v>
      </c>
      <c r="O385" s="4">
        <v>8.2449349418327937</v>
      </c>
      <c r="P385" s="4">
        <v>-8.26</v>
      </c>
      <c r="Q385" s="3" t="s">
        <v>1617</v>
      </c>
      <c r="R385" s="3" t="s">
        <v>1623</v>
      </c>
      <c r="S385" s="3" t="s">
        <v>1624</v>
      </c>
      <c r="T385" s="3"/>
    </row>
    <row r="386" spans="1:20">
      <c r="A386" s="3" t="s">
        <v>1600</v>
      </c>
      <c r="B386" s="3" t="s">
        <v>1609</v>
      </c>
      <c r="C386" s="3" t="s">
        <v>1596</v>
      </c>
      <c r="D386" s="3" t="s">
        <v>843</v>
      </c>
      <c r="E386" s="3" t="s">
        <v>844</v>
      </c>
      <c r="F386" s="2">
        <v>1</v>
      </c>
      <c r="G386" s="4">
        <v>1.0158802092184518</v>
      </c>
      <c r="H386" s="2">
        <v>25</v>
      </c>
      <c r="I386" s="2">
        <v>5</v>
      </c>
      <c r="J386" s="2">
        <v>16</v>
      </c>
      <c r="K386" s="4">
        <v>1</v>
      </c>
      <c r="L386" s="4">
        <v>-0.9463826011719132</v>
      </c>
      <c r="M386" s="4">
        <v>0.9463826011719132</v>
      </c>
      <c r="N386" s="10">
        <v>0.94599999999999995</v>
      </c>
      <c r="O386" s="4">
        <v>8.9040923304789121</v>
      </c>
      <c r="P386" s="4">
        <v>-8.89</v>
      </c>
      <c r="Q386" s="3" t="s">
        <v>1617</v>
      </c>
      <c r="R386" s="3" t="s">
        <v>1623</v>
      </c>
      <c r="S386" s="3" t="s">
        <v>1624</v>
      </c>
      <c r="T386" s="3"/>
    </row>
    <row r="387" spans="1:20">
      <c r="A387" s="3" t="s">
        <v>1600</v>
      </c>
      <c r="B387" s="3" t="s">
        <v>1609</v>
      </c>
      <c r="C387" s="3" t="s">
        <v>1616</v>
      </c>
      <c r="D387" s="3" t="s">
        <v>843</v>
      </c>
      <c r="E387" s="3" t="s">
        <v>844</v>
      </c>
      <c r="F387" s="2">
        <v>1</v>
      </c>
      <c r="G387" s="4">
        <v>1.0158802092184518</v>
      </c>
      <c r="H387" s="2">
        <v>25</v>
      </c>
      <c r="I387" s="2">
        <v>5</v>
      </c>
      <c r="J387" s="2">
        <v>16</v>
      </c>
      <c r="K387" s="4">
        <v>0.99250857651873048</v>
      </c>
      <c r="L387" s="4">
        <v>-0.97420733784948754</v>
      </c>
      <c r="M387" s="4">
        <v>0.97420733784948754</v>
      </c>
      <c r="N387" s="10">
        <v>0.97399999999999998</v>
      </c>
      <c r="O387" s="4">
        <v>10.753347997440665</v>
      </c>
      <c r="P387" s="4">
        <v>-10.73</v>
      </c>
      <c r="Q387" s="3" t="s">
        <v>1617</v>
      </c>
      <c r="R387" s="3" t="s">
        <v>1623</v>
      </c>
      <c r="S387" s="3" t="s">
        <v>1624</v>
      </c>
      <c r="T387" s="3"/>
    </row>
    <row r="388" spans="1:20">
      <c r="A388" s="3" t="s">
        <v>1600</v>
      </c>
      <c r="B388" s="3" t="s">
        <v>1609</v>
      </c>
      <c r="C388" s="3" t="s">
        <v>1616</v>
      </c>
      <c r="D388" s="3" t="s">
        <v>843</v>
      </c>
      <c r="E388" s="3" t="s">
        <v>844</v>
      </c>
      <c r="F388" s="2">
        <v>1</v>
      </c>
      <c r="G388" s="4">
        <v>1.0158802092184518</v>
      </c>
      <c r="H388" s="2">
        <v>25</v>
      </c>
      <c r="I388" s="2">
        <v>5</v>
      </c>
      <c r="J388" s="2">
        <v>1</v>
      </c>
      <c r="K388" s="4">
        <v>0.99193342873941459</v>
      </c>
      <c r="L388" s="4">
        <v>-0.97643223528987111</v>
      </c>
      <c r="M388" s="4">
        <v>0.97643223528987111</v>
      </c>
      <c r="N388" s="10">
        <v>0.97599999999999998</v>
      </c>
      <c r="O388" s="4">
        <v>10.979768300367818</v>
      </c>
      <c r="P388" s="4">
        <v>-10.93</v>
      </c>
      <c r="Q388" s="3" t="s">
        <v>1617</v>
      </c>
      <c r="R388" s="3" t="s">
        <v>1623</v>
      </c>
      <c r="S388" s="3" t="s">
        <v>1624</v>
      </c>
      <c r="T388" s="3"/>
    </row>
    <row r="389" spans="1:20">
      <c r="A389" s="3" t="s">
        <v>1600</v>
      </c>
      <c r="B389" s="3" t="s">
        <v>1606</v>
      </c>
      <c r="C389" s="3" t="s">
        <v>1596</v>
      </c>
      <c r="D389" s="3" t="s">
        <v>1480</v>
      </c>
      <c r="E389" s="3" t="s">
        <v>1481</v>
      </c>
      <c r="F389" s="2">
        <v>1</v>
      </c>
      <c r="G389" s="4">
        <v>1.0158819329845628</v>
      </c>
      <c r="H389" s="2">
        <v>25</v>
      </c>
      <c r="I389" s="2">
        <v>5</v>
      </c>
      <c r="J389" s="2">
        <v>16</v>
      </c>
      <c r="K389" s="4">
        <v>1</v>
      </c>
      <c r="L389" s="4">
        <v>0.6430874756382754</v>
      </c>
      <c r="M389" s="4">
        <v>0.6430874756382754</v>
      </c>
      <c r="N389" s="10">
        <v>0.64300000000000002</v>
      </c>
      <c r="O389" s="4">
        <v>3.7849918240952376</v>
      </c>
      <c r="P389" s="4">
        <v>3.78</v>
      </c>
      <c r="Q389" s="3" t="s">
        <v>1597</v>
      </c>
      <c r="R389" s="3" t="s">
        <v>1607</v>
      </c>
      <c r="S389" s="3" t="s">
        <v>1608</v>
      </c>
      <c r="T389" s="3"/>
    </row>
    <row r="390" spans="1:20">
      <c r="A390" s="3" t="s">
        <v>1600</v>
      </c>
      <c r="B390" s="3" t="s">
        <v>1606</v>
      </c>
      <c r="C390" s="3" t="s">
        <v>1596</v>
      </c>
      <c r="D390" s="3" t="s">
        <v>1480</v>
      </c>
      <c r="E390" s="3" t="s">
        <v>1481</v>
      </c>
      <c r="F390" s="2">
        <v>1</v>
      </c>
      <c r="G390" s="4">
        <v>1.0158819329845628</v>
      </c>
      <c r="H390" s="2">
        <v>25</v>
      </c>
      <c r="I390" s="2">
        <v>5</v>
      </c>
      <c r="J390" s="2">
        <v>1</v>
      </c>
      <c r="K390" s="4">
        <v>0.99444700088917759</v>
      </c>
      <c r="L390" s="4">
        <v>0.62914700111509569</v>
      </c>
      <c r="M390" s="4">
        <v>0.62914700111509569</v>
      </c>
      <c r="N390" s="10">
        <v>0.629</v>
      </c>
      <c r="O390" s="4">
        <v>3.6688879958140239</v>
      </c>
      <c r="P390" s="4">
        <v>3.67</v>
      </c>
      <c r="Q390" s="3" t="s">
        <v>1597</v>
      </c>
      <c r="R390" s="3" t="s">
        <v>1607</v>
      </c>
      <c r="S390" s="3" t="s">
        <v>1608</v>
      </c>
      <c r="T390" s="3"/>
    </row>
    <row r="391" spans="1:20">
      <c r="A391" s="3" t="s">
        <v>1600</v>
      </c>
      <c r="B391" s="3" t="s">
        <v>1601</v>
      </c>
      <c r="C391" s="3" t="s">
        <v>1596</v>
      </c>
      <c r="D391" s="3" t="s">
        <v>1480</v>
      </c>
      <c r="E391" s="3" t="s">
        <v>1481</v>
      </c>
      <c r="F391" s="2">
        <v>1</v>
      </c>
      <c r="G391" s="4">
        <v>1.0158819329845628</v>
      </c>
      <c r="H391" s="2">
        <v>25</v>
      </c>
      <c r="I391" s="2">
        <v>5</v>
      </c>
      <c r="J391" s="2">
        <v>16</v>
      </c>
      <c r="K391" s="4">
        <v>1</v>
      </c>
      <c r="L391" s="4">
        <v>0.59086367309159438</v>
      </c>
      <c r="M391" s="4">
        <v>0.59086367309159438</v>
      </c>
      <c r="N391" s="10">
        <v>0.59099999999999997</v>
      </c>
      <c r="O391" s="4">
        <v>3.3663989204218492</v>
      </c>
      <c r="P391" s="4">
        <v>3.37</v>
      </c>
      <c r="Q391" s="3" t="s">
        <v>1597</v>
      </c>
      <c r="R391" s="3" t="s">
        <v>1602</v>
      </c>
      <c r="S391" s="3" t="s">
        <v>1603</v>
      </c>
      <c r="T391" s="3"/>
    </row>
    <row r="392" spans="1:20">
      <c r="A392" s="3" t="s">
        <v>1605</v>
      </c>
      <c r="B392" s="3" t="s">
        <v>1601</v>
      </c>
      <c r="C392" s="3" t="s">
        <v>1596</v>
      </c>
      <c r="D392" s="3" t="s">
        <v>1480</v>
      </c>
      <c r="E392" s="3" t="s">
        <v>1481</v>
      </c>
      <c r="F392" s="2">
        <v>1</v>
      </c>
      <c r="G392" s="4">
        <v>1.0158819329845628</v>
      </c>
      <c r="H392" s="2">
        <v>25</v>
      </c>
      <c r="I392" s="2">
        <v>5</v>
      </c>
      <c r="J392" s="2">
        <v>16</v>
      </c>
      <c r="K392" s="4">
        <v>1</v>
      </c>
      <c r="L392" s="4">
        <v>0.58277429972489658</v>
      </c>
      <c r="M392" s="4">
        <v>0.58277429972489658</v>
      </c>
      <c r="N392" s="10">
        <v>0.58299999999999996</v>
      </c>
      <c r="O392" s="4">
        <v>3.3052259901638283</v>
      </c>
      <c r="P392" s="4">
        <v>3.31</v>
      </c>
      <c r="Q392" s="3" t="s">
        <v>1597</v>
      </c>
      <c r="R392" s="3" t="s">
        <v>1602</v>
      </c>
      <c r="S392" s="3" t="s">
        <v>1603</v>
      </c>
      <c r="T392" s="3"/>
    </row>
    <row r="393" spans="1:20">
      <c r="A393" s="3" t="s">
        <v>1600</v>
      </c>
      <c r="B393" s="3" t="s">
        <v>1601</v>
      </c>
      <c r="C393" s="3" t="s">
        <v>1596</v>
      </c>
      <c r="D393" s="3" t="s">
        <v>1480</v>
      </c>
      <c r="E393" s="3" t="s">
        <v>1481</v>
      </c>
      <c r="F393" s="2">
        <v>1</v>
      </c>
      <c r="G393" s="4">
        <v>1.0158819329845628</v>
      </c>
      <c r="H393" s="2">
        <v>25</v>
      </c>
      <c r="I393" s="2">
        <v>5</v>
      </c>
      <c r="J393" s="2">
        <v>1</v>
      </c>
      <c r="K393" s="4">
        <v>0.93930657793889971</v>
      </c>
      <c r="L393" s="4">
        <v>0.57787829833547422</v>
      </c>
      <c r="M393" s="4">
        <v>0.57787829833547422</v>
      </c>
      <c r="N393" s="10">
        <v>0.57799999999999996</v>
      </c>
      <c r="O393" s="4">
        <v>3.2686254139994992</v>
      </c>
      <c r="P393" s="4">
        <v>3.27</v>
      </c>
      <c r="Q393" s="3" t="s">
        <v>1597</v>
      </c>
      <c r="R393" s="3" t="s">
        <v>1602</v>
      </c>
      <c r="S393" s="3" t="s">
        <v>1603</v>
      </c>
      <c r="T393" s="3"/>
    </row>
    <row r="394" spans="1:20">
      <c r="A394" s="3" t="s">
        <v>1604</v>
      </c>
      <c r="B394" s="3" t="s">
        <v>1601</v>
      </c>
      <c r="C394" s="3" t="s">
        <v>1596</v>
      </c>
      <c r="D394" s="3" t="s">
        <v>1480</v>
      </c>
      <c r="E394" s="3" t="s">
        <v>1481</v>
      </c>
      <c r="F394" s="2">
        <v>1</v>
      </c>
      <c r="G394" s="4">
        <v>1.0158819329845628</v>
      </c>
      <c r="H394" s="2">
        <v>25</v>
      </c>
      <c r="I394" s="2">
        <v>30</v>
      </c>
      <c r="J394" s="2">
        <v>16</v>
      </c>
      <c r="K394" s="4">
        <v>1</v>
      </c>
      <c r="L394" s="4">
        <v>0.36687142230198444</v>
      </c>
      <c r="M394" s="4">
        <v>0.36687142230198444</v>
      </c>
      <c r="N394" s="10">
        <v>0.36699999999999999</v>
      </c>
      <c r="O394" s="4">
        <v>1.9078293964601398</v>
      </c>
      <c r="P394" s="4">
        <v>1.91</v>
      </c>
      <c r="Q394" s="3" t="s">
        <v>1597</v>
      </c>
      <c r="R394" s="3" t="s">
        <v>1602</v>
      </c>
      <c r="S394" s="3" t="s">
        <v>1603</v>
      </c>
      <c r="T394" s="3"/>
    </row>
    <row r="395" spans="1:20">
      <c r="A395" s="3" t="s">
        <v>1600</v>
      </c>
      <c r="B395" s="3" t="s">
        <v>1606</v>
      </c>
      <c r="C395" s="3" t="s">
        <v>1616</v>
      </c>
      <c r="D395" s="3" t="s">
        <v>1480</v>
      </c>
      <c r="E395" s="3" t="s">
        <v>1481</v>
      </c>
      <c r="F395" s="2">
        <v>1</v>
      </c>
      <c r="G395" s="4">
        <v>1.0158819329845628</v>
      </c>
      <c r="H395" s="2">
        <v>25</v>
      </c>
      <c r="I395" s="2">
        <v>5</v>
      </c>
      <c r="J395" s="2">
        <v>1</v>
      </c>
      <c r="K395" s="4">
        <v>1</v>
      </c>
      <c r="L395" s="4">
        <v>0.34515529190451799</v>
      </c>
      <c r="M395" s="4">
        <v>0.34515529190451799</v>
      </c>
      <c r="N395" s="10">
        <v>0.34499999999999997</v>
      </c>
      <c r="O395" s="4">
        <v>1.784526449622525</v>
      </c>
      <c r="P395" s="4">
        <v>1.78</v>
      </c>
      <c r="Q395" s="3" t="s">
        <v>1597</v>
      </c>
      <c r="R395" s="3" t="s">
        <v>1607</v>
      </c>
      <c r="S395" s="3" t="s">
        <v>1608</v>
      </c>
      <c r="T395" s="3"/>
    </row>
    <row r="396" spans="1:20">
      <c r="A396" s="3" t="s">
        <v>1600</v>
      </c>
      <c r="B396" s="3" t="s">
        <v>1606</v>
      </c>
      <c r="C396" s="3" t="s">
        <v>1616</v>
      </c>
      <c r="D396" s="3" t="s">
        <v>1480</v>
      </c>
      <c r="E396" s="3" t="s">
        <v>1481</v>
      </c>
      <c r="F396" s="2">
        <v>1</v>
      </c>
      <c r="G396" s="4">
        <v>1.0158819329845628</v>
      </c>
      <c r="H396" s="2">
        <v>25</v>
      </c>
      <c r="I396" s="2">
        <v>5</v>
      </c>
      <c r="J396" s="2">
        <v>16</v>
      </c>
      <c r="K396" s="4">
        <v>1</v>
      </c>
      <c r="L396" s="4">
        <v>0.34257705183580855</v>
      </c>
      <c r="M396" s="4">
        <v>0.34257705183580855</v>
      </c>
      <c r="N396" s="10">
        <v>0.34300000000000003</v>
      </c>
      <c r="O396" s="4">
        <v>1.7700295120522782</v>
      </c>
      <c r="P396" s="4">
        <v>1.77</v>
      </c>
      <c r="Q396" s="3" t="s">
        <v>1597</v>
      </c>
      <c r="R396" s="3" t="s">
        <v>1607</v>
      </c>
      <c r="S396" s="3" t="s">
        <v>1608</v>
      </c>
      <c r="T396" s="3"/>
    </row>
    <row r="397" spans="1:20">
      <c r="A397" s="3" t="s">
        <v>1600</v>
      </c>
      <c r="B397" s="3" t="s">
        <v>1601</v>
      </c>
      <c r="C397" s="3" t="s">
        <v>1616</v>
      </c>
      <c r="D397" s="3" t="s">
        <v>1480</v>
      </c>
      <c r="E397" s="3" t="s">
        <v>1481</v>
      </c>
      <c r="F397" s="2">
        <v>1</v>
      </c>
      <c r="G397" s="4">
        <v>1.0158819329845628</v>
      </c>
      <c r="H397" s="2">
        <v>25</v>
      </c>
      <c r="I397" s="2">
        <v>5</v>
      </c>
      <c r="J397" s="2">
        <v>16</v>
      </c>
      <c r="K397" s="4">
        <v>1</v>
      </c>
      <c r="L397" s="4">
        <v>0.23452336880816499</v>
      </c>
      <c r="M397" s="4">
        <v>0.23452336880816499</v>
      </c>
      <c r="N397" s="10">
        <v>0.23499999999999999</v>
      </c>
      <c r="O397" s="4">
        <v>1.1848018950814108</v>
      </c>
      <c r="P397" s="4">
        <v>1.19</v>
      </c>
      <c r="Q397" s="3" t="s">
        <v>1597</v>
      </c>
      <c r="R397" s="3" t="s">
        <v>1602</v>
      </c>
      <c r="S397" s="3" t="s">
        <v>1603</v>
      </c>
      <c r="T397" s="3"/>
    </row>
    <row r="398" spans="1:20">
      <c r="A398" s="3" t="s">
        <v>1604</v>
      </c>
      <c r="B398" s="3" t="s">
        <v>1601</v>
      </c>
      <c r="C398" s="3" t="s">
        <v>1616</v>
      </c>
      <c r="D398" s="3" t="s">
        <v>1480</v>
      </c>
      <c r="E398" s="3" t="s">
        <v>1481</v>
      </c>
      <c r="F398" s="2">
        <v>1</v>
      </c>
      <c r="G398" s="4">
        <v>1.0158819329845628</v>
      </c>
      <c r="H398" s="2">
        <v>25</v>
      </c>
      <c r="I398" s="2">
        <v>30</v>
      </c>
      <c r="J398" s="2">
        <v>16</v>
      </c>
      <c r="K398" s="4">
        <v>1</v>
      </c>
      <c r="L398" s="4">
        <v>0.2322519317975256</v>
      </c>
      <c r="M398" s="4">
        <v>0.2322519317975256</v>
      </c>
      <c r="N398" s="10">
        <v>0.23200000000000001</v>
      </c>
      <c r="O398" s="4">
        <v>1.172891491408538</v>
      </c>
      <c r="P398" s="4">
        <v>1.17</v>
      </c>
      <c r="Q398" s="3" t="s">
        <v>1597</v>
      </c>
      <c r="R398" s="3" t="s">
        <v>1602</v>
      </c>
      <c r="S398" s="3" t="s">
        <v>1603</v>
      </c>
      <c r="T398" s="3"/>
    </row>
    <row r="399" spans="1:20">
      <c r="A399" s="3" t="s">
        <v>1600</v>
      </c>
      <c r="B399" s="3" t="s">
        <v>1601</v>
      </c>
      <c r="C399" s="3" t="s">
        <v>1616</v>
      </c>
      <c r="D399" s="3" t="s">
        <v>1480</v>
      </c>
      <c r="E399" s="3" t="s">
        <v>1481</v>
      </c>
      <c r="F399" s="2">
        <v>1</v>
      </c>
      <c r="G399" s="4">
        <v>1.0158819329845628</v>
      </c>
      <c r="H399" s="2">
        <v>25</v>
      </c>
      <c r="I399" s="2">
        <v>5</v>
      </c>
      <c r="J399" s="2">
        <v>1</v>
      </c>
      <c r="K399" s="4">
        <v>1</v>
      </c>
      <c r="L399" s="4">
        <v>0.22654830293753389</v>
      </c>
      <c r="M399" s="4">
        <v>0.22654830293753389</v>
      </c>
      <c r="N399" s="10">
        <v>0.22700000000000001</v>
      </c>
      <c r="O399" s="4">
        <v>1.1430423712026474</v>
      </c>
      <c r="P399" s="4">
        <v>1.1499999999999999</v>
      </c>
      <c r="Q399" s="3" t="s">
        <v>1597</v>
      </c>
      <c r="R399" s="3" t="s">
        <v>1602</v>
      </c>
      <c r="S399" s="3" t="s">
        <v>1603</v>
      </c>
      <c r="T399" s="3"/>
    </row>
    <row r="400" spans="1:20">
      <c r="A400" s="3" t="s">
        <v>1600</v>
      </c>
      <c r="B400" s="3" t="s">
        <v>1609</v>
      </c>
      <c r="C400" s="3" t="s">
        <v>1596</v>
      </c>
      <c r="D400" s="3" t="s">
        <v>1480</v>
      </c>
      <c r="E400" s="3" t="s">
        <v>1481</v>
      </c>
      <c r="F400" s="2">
        <v>1</v>
      </c>
      <c r="G400" s="4">
        <v>1.0158819329845628</v>
      </c>
      <c r="H400" s="2">
        <v>25</v>
      </c>
      <c r="I400" s="2">
        <v>5</v>
      </c>
      <c r="J400" s="2">
        <v>1</v>
      </c>
      <c r="K400" s="4">
        <v>1</v>
      </c>
      <c r="L400" s="4">
        <v>0.15788069840327476</v>
      </c>
      <c r="M400" s="4">
        <v>0.15788069840327476</v>
      </c>
      <c r="N400" s="10">
        <v>0.158</v>
      </c>
      <c r="O400" s="4">
        <v>0.78936528354037627</v>
      </c>
      <c r="P400" s="4">
        <v>0.79</v>
      </c>
      <c r="Q400" s="3" t="s">
        <v>1597</v>
      </c>
      <c r="R400" s="3" t="s">
        <v>1610</v>
      </c>
      <c r="S400" s="3" t="s">
        <v>1611</v>
      </c>
      <c r="T400" s="3"/>
    </row>
    <row r="401" spans="1:20">
      <c r="A401" s="3" t="s">
        <v>1600</v>
      </c>
      <c r="B401" s="3" t="s">
        <v>1609</v>
      </c>
      <c r="C401" s="3" t="s">
        <v>1596</v>
      </c>
      <c r="D401" s="3" t="s">
        <v>1480</v>
      </c>
      <c r="E401" s="3" t="s">
        <v>1481</v>
      </c>
      <c r="F401" s="2">
        <v>1</v>
      </c>
      <c r="G401" s="4">
        <v>1.0158819329845628</v>
      </c>
      <c r="H401" s="2">
        <v>25</v>
      </c>
      <c r="I401" s="2">
        <v>5</v>
      </c>
      <c r="J401" s="2">
        <v>16</v>
      </c>
      <c r="K401" s="4">
        <v>1</v>
      </c>
      <c r="L401" s="4">
        <v>0.13005280360998261</v>
      </c>
      <c r="M401" s="4">
        <v>0.13005280360998261</v>
      </c>
      <c r="N401" s="10">
        <v>0.13</v>
      </c>
      <c r="O401" s="4">
        <v>0.64846615407418307</v>
      </c>
      <c r="P401" s="4">
        <v>0.65</v>
      </c>
      <c r="Q401" s="3" t="s">
        <v>1597</v>
      </c>
      <c r="R401" s="3" t="s">
        <v>1610</v>
      </c>
      <c r="S401" s="3" t="s">
        <v>1611</v>
      </c>
      <c r="T401" s="3"/>
    </row>
    <row r="402" spans="1:20">
      <c r="A402" s="3" t="s">
        <v>1594</v>
      </c>
      <c r="B402" s="3" t="s">
        <v>1612</v>
      </c>
      <c r="C402" s="3" t="s">
        <v>1596</v>
      </c>
      <c r="D402" s="3" t="s">
        <v>1480</v>
      </c>
      <c r="E402" s="3" t="s">
        <v>1481</v>
      </c>
      <c r="F402" s="2">
        <v>1</v>
      </c>
      <c r="G402" s="4">
        <v>1.0158819329845628</v>
      </c>
      <c r="H402" s="2">
        <v>50</v>
      </c>
      <c r="I402" s="2">
        <v>5</v>
      </c>
      <c r="J402" s="2">
        <v>16</v>
      </c>
      <c r="K402" s="4">
        <v>0.44272520334139043</v>
      </c>
      <c r="L402" s="4">
        <v>7.4602747104767039E-2</v>
      </c>
      <c r="M402" s="4">
        <v>7.4602747104767039E-2</v>
      </c>
      <c r="N402" s="10">
        <v>7.4999999999999997E-2</v>
      </c>
      <c r="O402" s="4">
        <v>0.40163611910984914</v>
      </c>
      <c r="P402" s="4">
        <v>0.4</v>
      </c>
      <c r="Q402" s="3" t="s">
        <v>1597</v>
      </c>
      <c r="R402" s="3" t="s">
        <v>1613</v>
      </c>
      <c r="S402" s="3" t="s">
        <v>1614</v>
      </c>
      <c r="T402" s="3"/>
    </row>
    <row r="403" spans="1:20">
      <c r="A403" s="3" t="s">
        <v>1594</v>
      </c>
      <c r="B403" s="3" t="s">
        <v>1595</v>
      </c>
      <c r="C403" s="3" t="s">
        <v>1596</v>
      </c>
      <c r="D403" s="3" t="s">
        <v>1480</v>
      </c>
      <c r="E403" s="3" t="s">
        <v>1481</v>
      </c>
      <c r="F403" s="2">
        <v>1</v>
      </c>
      <c r="G403" s="4">
        <v>1.0158819329845628</v>
      </c>
      <c r="H403" s="2">
        <v>25</v>
      </c>
      <c r="I403" s="2">
        <v>5</v>
      </c>
      <c r="J403" s="2">
        <v>16</v>
      </c>
      <c r="K403" s="4">
        <v>0.11113865462142525</v>
      </c>
      <c r="L403" s="4">
        <v>-0.10085341181063079</v>
      </c>
      <c r="M403" s="4">
        <v>0.10085341181063079</v>
      </c>
      <c r="N403" s="10">
        <v>0.10100000000000001</v>
      </c>
      <c r="O403" s="4">
        <v>0.50173053766228559</v>
      </c>
      <c r="P403" s="4">
        <v>-0.5</v>
      </c>
      <c r="Q403" s="3" t="s">
        <v>1617</v>
      </c>
      <c r="R403" s="3" t="s">
        <v>1625</v>
      </c>
      <c r="S403" s="3" t="s">
        <v>1626</v>
      </c>
      <c r="T403" s="3"/>
    </row>
    <row r="404" spans="1:20">
      <c r="A404" s="3" t="s">
        <v>1594</v>
      </c>
      <c r="B404" s="3" t="s">
        <v>1595</v>
      </c>
      <c r="C404" s="3" t="s">
        <v>1596</v>
      </c>
      <c r="D404" s="3" t="s">
        <v>1480</v>
      </c>
      <c r="E404" s="3" t="s">
        <v>1481</v>
      </c>
      <c r="F404" s="2">
        <v>1</v>
      </c>
      <c r="G404" s="4">
        <v>1.0158819329845628</v>
      </c>
      <c r="H404" s="2">
        <v>50</v>
      </c>
      <c r="I404" s="2">
        <v>5</v>
      </c>
      <c r="J404" s="2">
        <v>16</v>
      </c>
      <c r="K404" s="4">
        <v>0.73883451994361127</v>
      </c>
      <c r="L404" s="4">
        <v>-0.11453864215633948</v>
      </c>
      <c r="M404" s="4">
        <v>0.11453864215633948</v>
      </c>
      <c r="N404" s="10">
        <v>0.115</v>
      </c>
      <c r="O404" s="4">
        <v>0.618204828174722</v>
      </c>
      <c r="P404" s="4">
        <v>-0.62</v>
      </c>
      <c r="Q404" s="3" t="s">
        <v>1617</v>
      </c>
      <c r="R404" s="3" t="s">
        <v>1625</v>
      </c>
      <c r="S404" s="3" t="s">
        <v>1626</v>
      </c>
      <c r="T404" s="3"/>
    </row>
    <row r="405" spans="1:20">
      <c r="A405" s="3" t="s">
        <v>1600</v>
      </c>
      <c r="B405" s="3" t="s">
        <v>1609</v>
      </c>
      <c r="C405" s="3" t="s">
        <v>1616</v>
      </c>
      <c r="D405" s="3" t="s">
        <v>1480</v>
      </c>
      <c r="E405" s="3" t="s">
        <v>1481</v>
      </c>
      <c r="F405" s="2">
        <v>1</v>
      </c>
      <c r="G405" s="4">
        <v>1.0158819329845628</v>
      </c>
      <c r="H405" s="2">
        <v>25</v>
      </c>
      <c r="I405" s="2">
        <v>5</v>
      </c>
      <c r="J405" s="2">
        <v>16</v>
      </c>
      <c r="K405" s="4">
        <v>0.99293510890750836</v>
      </c>
      <c r="L405" s="4">
        <v>-0.32040379968114246</v>
      </c>
      <c r="M405" s="4">
        <v>0.32040379968114246</v>
      </c>
      <c r="N405" s="10">
        <v>0.32</v>
      </c>
      <c r="O405" s="4">
        <v>1.6465159836717949</v>
      </c>
      <c r="P405" s="4">
        <v>-1.64</v>
      </c>
      <c r="Q405" s="3" t="s">
        <v>1617</v>
      </c>
      <c r="R405" s="3" t="s">
        <v>1623</v>
      </c>
      <c r="S405" s="3" t="s">
        <v>1624</v>
      </c>
      <c r="T405" s="3"/>
    </row>
    <row r="406" spans="1:20">
      <c r="A406" s="3" t="s">
        <v>1600</v>
      </c>
      <c r="B406" s="3" t="s">
        <v>1609</v>
      </c>
      <c r="C406" s="3" t="s">
        <v>1616</v>
      </c>
      <c r="D406" s="3" t="s">
        <v>1480</v>
      </c>
      <c r="E406" s="3" t="s">
        <v>1481</v>
      </c>
      <c r="F406" s="2">
        <v>1</v>
      </c>
      <c r="G406" s="4">
        <v>1.0158819329845628</v>
      </c>
      <c r="H406" s="2">
        <v>25</v>
      </c>
      <c r="I406" s="2">
        <v>5</v>
      </c>
      <c r="J406" s="2">
        <v>1</v>
      </c>
      <c r="K406" s="4">
        <v>0.4003088044137969</v>
      </c>
      <c r="L406" s="4">
        <v>-0.33210111106521834</v>
      </c>
      <c r="M406" s="4">
        <v>0.33210111106521834</v>
      </c>
      <c r="N406" s="10">
        <v>0.33200000000000002</v>
      </c>
      <c r="O406" s="4">
        <v>1.7114200316855446</v>
      </c>
      <c r="P406" s="4">
        <v>-1.71</v>
      </c>
      <c r="Q406" s="3" t="s">
        <v>1617</v>
      </c>
      <c r="R406" s="3" t="s">
        <v>1623</v>
      </c>
      <c r="S406" s="3" t="s">
        <v>1624</v>
      </c>
      <c r="T406" s="3"/>
    </row>
    <row r="407" spans="1:20">
      <c r="A407" s="3" t="s">
        <v>1594</v>
      </c>
      <c r="B407" s="3" t="s">
        <v>1612</v>
      </c>
      <c r="C407" s="3" t="s">
        <v>1596</v>
      </c>
      <c r="D407" s="3" t="s">
        <v>1528</v>
      </c>
      <c r="E407" s="3" t="s">
        <v>1529</v>
      </c>
      <c r="F407" s="2">
        <v>1</v>
      </c>
      <c r="G407" s="4">
        <v>1.016979660406792</v>
      </c>
      <c r="H407" s="2">
        <v>50</v>
      </c>
      <c r="I407" s="2">
        <v>5</v>
      </c>
      <c r="J407" s="2">
        <v>16</v>
      </c>
      <c r="K407" s="4">
        <v>0.55530520509155679</v>
      </c>
      <c r="L407" s="4">
        <v>1.1625227955217294E-2</v>
      </c>
      <c r="M407" s="4">
        <v>1.1625227955217294E-2</v>
      </c>
      <c r="N407" s="10">
        <v>1.2E-2</v>
      </c>
      <c r="O407" s="4">
        <v>6.2472852566472212E-2</v>
      </c>
      <c r="P407" s="4">
        <v>0.06</v>
      </c>
      <c r="Q407" s="3" t="s">
        <v>1597</v>
      </c>
      <c r="R407" s="3" t="s">
        <v>1613</v>
      </c>
      <c r="S407" s="3" t="s">
        <v>1614</v>
      </c>
      <c r="T407" s="3"/>
    </row>
    <row r="408" spans="1:20">
      <c r="A408" s="3" t="s">
        <v>1594</v>
      </c>
      <c r="B408" s="3" t="s">
        <v>1595</v>
      </c>
      <c r="C408" s="3" t="s">
        <v>1596</v>
      </c>
      <c r="D408" s="3" t="s">
        <v>1528</v>
      </c>
      <c r="E408" s="3" t="s">
        <v>1529</v>
      </c>
      <c r="F408" s="2">
        <v>1</v>
      </c>
      <c r="G408" s="4">
        <v>1.016979660406792</v>
      </c>
      <c r="H408" s="2">
        <v>50</v>
      </c>
      <c r="I408" s="2">
        <v>5</v>
      </c>
      <c r="J408" s="2">
        <v>16</v>
      </c>
      <c r="K408" s="4">
        <v>0.71122759415989867</v>
      </c>
      <c r="L408" s="4">
        <v>-0.15396064833000184</v>
      </c>
      <c r="M408" s="4">
        <v>0.15396064833000184</v>
      </c>
      <c r="N408" s="10">
        <v>0.154</v>
      </c>
      <c r="O408" s="4">
        <v>0.83396395658677125</v>
      </c>
      <c r="P408" s="4">
        <v>-0.83</v>
      </c>
      <c r="Q408" s="3" t="s">
        <v>1617</v>
      </c>
      <c r="R408" s="3" t="s">
        <v>1625</v>
      </c>
      <c r="S408" s="3" t="s">
        <v>1626</v>
      </c>
      <c r="T408" s="3"/>
    </row>
    <row r="409" spans="1:20">
      <c r="A409" s="3" t="s">
        <v>1594</v>
      </c>
      <c r="B409" s="3" t="s">
        <v>1595</v>
      </c>
      <c r="C409" s="3" t="s">
        <v>1596</v>
      </c>
      <c r="D409" s="3" t="s">
        <v>1528</v>
      </c>
      <c r="E409" s="3" t="s">
        <v>1529</v>
      </c>
      <c r="F409" s="2">
        <v>1</v>
      </c>
      <c r="G409" s="4">
        <v>1.016979660406792</v>
      </c>
      <c r="H409" s="2">
        <v>25</v>
      </c>
      <c r="I409" s="2">
        <v>5</v>
      </c>
      <c r="J409" s="2">
        <v>16</v>
      </c>
      <c r="K409" s="4">
        <v>8.6965515074396649E-2</v>
      </c>
      <c r="L409" s="4">
        <v>-0.19347255928132673</v>
      </c>
      <c r="M409" s="4">
        <v>0.19347255928132673</v>
      </c>
      <c r="N409" s="10">
        <v>0.193</v>
      </c>
      <c r="O409" s="4">
        <v>0.97146928378184294</v>
      </c>
      <c r="P409" s="4">
        <v>-0.97</v>
      </c>
      <c r="Q409" s="3" t="s">
        <v>1617</v>
      </c>
      <c r="R409" s="3" t="s">
        <v>1625</v>
      </c>
      <c r="S409" s="3" t="s">
        <v>1626</v>
      </c>
      <c r="T409" s="3"/>
    </row>
    <row r="410" spans="1:20">
      <c r="A410" s="3" t="s">
        <v>1604</v>
      </c>
      <c r="B410" s="3" t="s">
        <v>1601</v>
      </c>
      <c r="C410" s="3" t="s">
        <v>1596</v>
      </c>
      <c r="D410" s="3" t="s">
        <v>1528</v>
      </c>
      <c r="E410" s="3" t="s">
        <v>1529</v>
      </c>
      <c r="F410" s="2">
        <v>1</v>
      </c>
      <c r="G410" s="4">
        <v>1.016979660406792</v>
      </c>
      <c r="H410" s="2">
        <v>25</v>
      </c>
      <c r="I410" s="2">
        <v>30</v>
      </c>
      <c r="J410" s="2">
        <v>16</v>
      </c>
      <c r="K410" s="4">
        <v>1</v>
      </c>
      <c r="L410" s="4">
        <v>-0.70637035641260026</v>
      </c>
      <c r="M410" s="4">
        <v>0.70637035641260026</v>
      </c>
      <c r="N410" s="10">
        <v>0.70599999999999996</v>
      </c>
      <c r="O410" s="4">
        <v>4.3624994425878842</v>
      </c>
      <c r="P410" s="4">
        <v>-4.3600000000000003</v>
      </c>
      <c r="Q410" s="3" t="s">
        <v>1617</v>
      </c>
      <c r="R410" s="3" t="s">
        <v>1618</v>
      </c>
      <c r="S410" s="3" t="s">
        <v>1619</v>
      </c>
      <c r="T410" s="3"/>
    </row>
    <row r="411" spans="1:20">
      <c r="A411" s="3" t="s">
        <v>1605</v>
      </c>
      <c r="B411" s="3" t="s">
        <v>1601</v>
      </c>
      <c r="C411" s="3" t="s">
        <v>1596</v>
      </c>
      <c r="D411" s="3" t="s">
        <v>1528</v>
      </c>
      <c r="E411" s="3" t="s">
        <v>1529</v>
      </c>
      <c r="F411" s="2">
        <v>1</v>
      </c>
      <c r="G411" s="4">
        <v>1.016979660406792</v>
      </c>
      <c r="H411" s="2">
        <v>25</v>
      </c>
      <c r="I411" s="2">
        <v>5</v>
      </c>
      <c r="J411" s="2">
        <v>16</v>
      </c>
      <c r="K411" s="4">
        <v>1</v>
      </c>
      <c r="L411" s="4">
        <v>-0.7947785789299322</v>
      </c>
      <c r="M411" s="4">
        <v>0.7947785789299322</v>
      </c>
      <c r="N411" s="10">
        <v>0.79500000000000004</v>
      </c>
      <c r="O411" s="4">
        <v>5.3757600895620108</v>
      </c>
      <c r="P411" s="4">
        <v>-5.38</v>
      </c>
      <c r="Q411" s="3" t="s">
        <v>1617</v>
      </c>
      <c r="R411" s="3" t="s">
        <v>1618</v>
      </c>
      <c r="S411" s="3" t="s">
        <v>1619</v>
      </c>
      <c r="T411" s="3"/>
    </row>
    <row r="412" spans="1:20">
      <c r="A412" s="3" t="s">
        <v>1600</v>
      </c>
      <c r="B412" s="3" t="s">
        <v>1601</v>
      </c>
      <c r="C412" s="3" t="s">
        <v>1596</v>
      </c>
      <c r="D412" s="3" t="s">
        <v>1528</v>
      </c>
      <c r="E412" s="3" t="s">
        <v>1529</v>
      </c>
      <c r="F412" s="2">
        <v>1</v>
      </c>
      <c r="G412" s="4">
        <v>1.016979660406792</v>
      </c>
      <c r="H412" s="2">
        <v>25</v>
      </c>
      <c r="I412" s="2">
        <v>5</v>
      </c>
      <c r="J412" s="2">
        <v>16</v>
      </c>
      <c r="K412" s="4">
        <v>1</v>
      </c>
      <c r="L412" s="4">
        <v>-0.80295008108366195</v>
      </c>
      <c r="M412" s="4">
        <v>0.80295008108366195</v>
      </c>
      <c r="N412" s="10">
        <v>0.80300000000000005</v>
      </c>
      <c r="O412" s="4">
        <v>5.4877474871572298</v>
      </c>
      <c r="P412" s="4">
        <v>-5.49</v>
      </c>
      <c r="Q412" s="3" t="s">
        <v>1617</v>
      </c>
      <c r="R412" s="3" t="s">
        <v>1618</v>
      </c>
      <c r="S412" s="3" t="s">
        <v>1619</v>
      </c>
      <c r="T412" s="3"/>
    </row>
    <row r="413" spans="1:20">
      <c r="A413" s="3" t="s">
        <v>1600</v>
      </c>
      <c r="B413" s="3" t="s">
        <v>1606</v>
      </c>
      <c r="C413" s="3" t="s">
        <v>1616</v>
      </c>
      <c r="D413" s="3" t="s">
        <v>1528</v>
      </c>
      <c r="E413" s="3" t="s">
        <v>1529</v>
      </c>
      <c r="F413" s="2">
        <v>1</v>
      </c>
      <c r="G413" s="4">
        <v>1.016979660406792</v>
      </c>
      <c r="H413" s="2">
        <v>25</v>
      </c>
      <c r="I413" s="2">
        <v>5</v>
      </c>
      <c r="J413" s="2">
        <v>1</v>
      </c>
      <c r="K413" s="4">
        <v>1</v>
      </c>
      <c r="L413" s="4">
        <v>-0.80495621816516916</v>
      </c>
      <c r="M413" s="4">
        <v>0.80495621816516916</v>
      </c>
      <c r="N413" s="10">
        <v>0.80500000000000005</v>
      </c>
      <c r="O413" s="4">
        <v>5.5158716660264071</v>
      </c>
      <c r="P413" s="4">
        <v>-5.52</v>
      </c>
      <c r="Q413" s="3" t="s">
        <v>1617</v>
      </c>
      <c r="R413" s="3" t="s">
        <v>1621</v>
      </c>
      <c r="S413" s="3" t="s">
        <v>1622</v>
      </c>
      <c r="T413" s="3"/>
    </row>
    <row r="414" spans="1:20">
      <c r="A414" s="3" t="s">
        <v>1600</v>
      </c>
      <c r="B414" s="3" t="s">
        <v>1609</v>
      </c>
      <c r="C414" s="3" t="s">
        <v>1596</v>
      </c>
      <c r="D414" s="3" t="s">
        <v>1528</v>
      </c>
      <c r="E414" s="3" t="s">
        <v>1529</v>
      </c>
      <c r="F414" s="2">
        <v>1</v>
      </c>
      <c r="G414" s="4">
        <v>1.016979660406792</v>
      </c>
      <c r="H414" s="2">
        <v>25</v>
      </c>
      <c r="I414" s="2">
        <v>5</v>
      </c>
      <c r="J414" s="2">
        <v>16</v>
      </c>
      <c r="K414" s="4">
        <v>0.98048946382339841</v>
      </c>
      <c r="L414" s="4">
        <v>-0.80706617960287574</v>
      </c>
      <c r="M414" s="4">
        <v>0.80706617960287574</v>
      </c>
      <c r="N414" s="10">
        <v>0.80700000000000005</v>
      </c>
      <c r="O414" s="4">
        <v>5.5457311458793948</v>
      </c>
      <c r="P414" s="4">
        <v>-5.54</v>
      </c>
      <c r="Q414" s="3" t="s">
        <v>1617</v>
      </c>
      <c r="R414" s="3" t="s">
        <v>1623</v>
      </c>
      <c r="S414" s="3" t="s">
        <v>1624</v>
      </c>
      <c r="T414" s="3"/>
    </row>
    <row r="415" spans="1:20">
      <c r="A415" s="3" t="s">
        <v>1600</v>
      </c>
      <c r="B415" s="3" t="s">
        <v>1601</v>
      </c>
      <c r="C415" s="3" t="s">
        <v>1596</v>
      </c>
      <c r="D415" s="3" t="s">
        <v>1528</v>
      </c>
      <c r="E415" s="3" t="s">
        <v>1529</v>
      </c>
      <c r="F415" s="2">
        <v>1</v>
      </c>
      <c r="G415" s="4">
        <v>1.016979660406792</v>
      </c>
      <c r="H415" s="2">
        <v>25</v>
      </c>
      <c r="I415" s="2">
        <v>5</v>
      </c>
      <c r="J415" s="2">
        <v>1</v>
      </c>
      <c r="K415" s="4">
        <v>1</v>
      </c>
      <c r="L415" s="4">
        <v>-0.81033823162997043</v>
      </c>
      <c r="M415" s="4">
        <v>0.81033823162997043</v>
      </c>
      <c r="N415" s="10">
        <v>0.81</v>
      </c>
      <c r="O415" s="4">
        <v>5.592618281675799</v>
      </c>
      <c r="P415" s="4">
        <v>-5.59</v>
      </c>
      <c r="Q415" s="3" t="s">
        <v>1617</v>
      </c>
      <c r="R415" s="3" t="s">
        <v>1618</v>
      </c>
      <c r="S415" s="3" t="s">
        <v>1619</v>
      </c>
      <c r="T415" s="3"/>
    </row>
    <row r="416" spans="1:20">
      <c r="A416" s="3" t="s">
        <v>1600</v>
      </c>
      <c r="B416" s="3" t="s">
        <v>1609</v>
      </c>
      <c r="C416" s="3" t="s">
        <v>1596</v>
      </c>
      <c r="D416" s="3" t="s">
        <v>1528</v>
      </c>
      <c r="E416" s="3" t="s">
        <v>1529</v>
      </c>
      <c r="F416" s="2">
        <v>1</v>
      </c>
      <c r="G416" s="4">
        <v>1.016979660406792</v>
      </c>
      <c r="H416" s="2">
        <v>25</v>
      </c>
      <c r="I416" s="2">
        <v>5</v>
      </c>
      <c r="J416" s="2">
        <v>1</v>
      </c>
      <c r="K416" s="4">
        <v>0.98496336229989279</v>
      </c>
      <c r="L416" s="4">
        <v>-0.81104103107948389</v>
      </c>
      <c r="M416" s="4">
        <v>0.81104103107948389</v>
      </c>
      <c r="N416" s="10">
        <v>0.81100000000000005</v>
      </c>
      <c r="O416" s="4">
        <v>5.6027834458194317</v>
      </c>
      <c r="P416" s="4">
        <v>-5.6</v>
      </c>
      <c r="Q416" s="3" t="s">
        <v>1617</v>
      </c>
      <c r="R416" s="3" t="s">
        <v>1623</v>
      </c>
      <c r="S416" s="3" t="s">
        <v>1624</v>
      </c>
      <c r="T416" s="3"/>
    </row>
    <row r="417" spans="1:20">
      <c r="A417" s="3" t="s">
        <v>1600</v>
      </c>
      <c r="B417" s="3" t="s">
        <v>1601</v>
      </c>
      <c r="C417" s="3" t="s">
        <v>1616</v>
      </c>
      <c r="D417" s="3" t="s">
        <v>1528</v>
      </c>
      <c r="E417" s="3" t="s">
        <v>1529</v>
      </c>
      <c r="F417" s="2">
        <v>1</v>
      </c>
      <c r="G417" s="4">
        <v>1.016979660406792</v>
      </c>
      <c r="H417" s="2">
        <v>25</v>
      </c>
      <c r="I417" s="2">
        <v>5</v>
      </c>
      <c r="J417" s="2">
        <v>1</v>
      </c>
      <c r="K417" s="4">
        <v>1</v>
      </c>
      <c r="L417" s="4">
        <v>-0.81356359425600899</v>
      </c>
      <c r="M417" s="4">
        <v>0.81356359425600899</v>
      </c>
      <c r="N417" s="10">
        <v>0.81399999999999995</v>
      </c>
      <c r="O417" s="4">
        <v>5.6395505446583467</v>
      </c>
      <c r="P417" s="4">
        <v>-5.65</v>
      </c>
      <c r="Q417" s="3" t="s">
        <v>1617</v>
      </c>
      <c r="R417" s="3" t="s">
        <v>1618</v>
      </c>
      <c r="S417" s="3" t="s">
        <v>1619</v>
      </c>
      <c r="T417" s="3"/>
    </row>
    <row r="418" spans="1:20">
      <c r="A418" s="3" t="s">
        <v>1604</v>
      </c>
      <c r="B418" s="3" t="s">
        <v>1601</v>
      </c>
      <c r="C418" s="3" t="s">
        <v>1616</v>
      </c>
      <c r="D418" s="3" t="s">
        <v>1528</v>
      </c>
      <c r="E418" s="3" t="s">
        <v>1529</v>
      </c>
      <c r="F418" s="2">
        <v>1</v>
      </c>
      <c r="G418" s="4">
        <v>1.016979660406792</v>
      </c>
      <c r="H418" s="2">
        <v>25</v>
      </c>
      <c r="I418" s="2">
        <v>30</v>
      </c>
      <c r="J418" s="2">
        <v>16</v>
      </c>
      <c r="K418" s="4">
        <v>1</v>
      </c>
      <c r="L418" s="4">
        <v>-0.81368933341425387</v>
      </c>
      <c r="M418" s="4">
        <v>0.81368933341425387</v>
      </c>
      <c r="N418" s="10">
        <v>0.81399999999999995</v>
      </c>
      <c r="O418" s="4">
        <v>5.6413948780149319</v>
      </c>
      <c r="P418" s="4">
        <v>-5.65</v>
      </c>
      <c r="Q418" s="3" t="s">
        <v>1617</v>
      </c>
      <c r="R418" s="3" t="s">
        <v>1618</v>
      </c>
      <c r="S418" s="3" t="s">
        <v>1619</v>
      </c>
      <c r="T418" s="3"/>
    </row>
    <row r="419" spans="1:20">
      <c r="A419" s="3" t="s">
        <v>1600</v>
      </c>
      <c r="B419" s="3" t="s">
        <v>1601</v>
      </c>
      <c r="C419" s="3" t="s">
        <v>1616</v>
      </c>
      <c r="D419" s="3" t="s">
        <v>1528</v>
      </c>
      <c r="E419" s="3" t="s">
        <v>1529</v>
      </c>
      <c r="F419" s="2">
        <v>1</v>
      </c>
      <c r="G419" s="4">
        <v>1.016979660406792</v>
      </c>
      <c r="H419" s="2">
        <v>25</v>
      </c>
      <c r="I419" s="2">
        <v>5</v>
      </c>
      <c r="J419" s="2">
        <v>16</v>
      </c>
      <c r="K419" s="4">
        <v>1</v>
      </c>
      <c r="L419" s="4">
        <v>-0.81373813673863804</v>
      </c>
      <c r="M419" s="4">
        <v>0.81373813673863804</v>
      </c>
      <c r="N419" s="10">
        <v>0.81399999999999995</v>
      </c>
      <c r="O419" s="4">
        <v>5.6421110227089457</v>
      </c>
      <c r="P419" s="4">
        <v>-5.65</v>
      </c>
      <c r="Q419" s="3" t="s">
        <v>1617</v>
      </c>
      <c r="R419" s="3" t="s">
        <v>1618</v>
      </c>
      <c r="S419" s="3" t="s">
        <v>1619</v>
      </c>
      <c r="T419" s="3"/>
    </row>
    <row r="420" spans="1:20">
      <c r="A420" s="3" t="s">
        <v>1600</v>
      </c>
      <c r="B420" s="3" t="s">
        <v>1606</v>
      </c>
      <c r="C420" s="3" t="s">
        <v>1616</v>
      </c>
      <c r="D420" s="3" t="s">
        <v>1528</v>
      </c>
      <c r="E420" s="3" t="s">
        <v>1529</v>
      </c>
      <c r="F420" s="2">
        <v>1</v>
      </c>
      <c r="G420" s="4">
        <v>1.016979660406792</v>
      </c>
      <c r="H420" s="2">
        <v>25</v>
      </c>
      <c r="I420" s="2">
        <v>5</v>
      </c>
      <c r="J420" s="2">
        <v>16</v>
      </c>
      <c r="K420" s="4">
        <v>1</v>
      </c>
      <c r="L420" s="4">
        <v>-0.81547069717315357</v>
      </c>
      <c r="M420" s="4">
        <v>0.81547069717315357</v>
      </c>
      <c r="N420" s="10">
        <v>0.81499999999999995</v>
      </c>
      <c r="O420" s="4">
        <v>5.6676445529135631</v>
      </c>
      <c r="P420" s="4">
        <v>-5.66</v>
      </c>
      <c r="Q420" s="3" t="s">
        <v>1617</v>
      </c>
      <c r="R420" s="3" t="s">
        <v>1621</v>
      </c>
      <c r="S420" s="3" t="s">
        <v>1622</v>
      </c>
      <c r="T420" s="3"/>
    </row>
    <row r="421" spans="1:20">
      <c r="A421" s="3" t="s">
        <v>1600</v>
      </c>
      <c r="B421" s="3" t="s">
        <v>1606</v>
      </c>
      <c r="C421" s="3" t="s">
        <v>1596</v>
      </c>
      <c r="D421" s="3" t="s">
        <v>1528</v>
      </c>
      <c r="E421" s="3" t="s">
        <v>1529</v>
      </c>
      <c r="F421" s="2">
        <v>1</v>
      </c>
      <c r="G421" s="4">
        <v>1.016979660406792</v>
      </c>
      <c r="H421" s="2">
        <v>25</v>
      </c>
      <c r="I421" s="2">
        <v>5</v>
      </c>
      <c r="J421" s="2">
        <v>1</v>
      </c>
      <c r="K421" s="4">
        <v>1</v>
      </c>
      <c r="L421" s="4">
        <v>-0.82902657541238978</v>
      </c>
      <c r="M421" s="4">
        <v>0.82902657541238978</v>
      </c>
      <c r="N421" s="10">
        <v>0.82899999999999996</v>
      </c>
      <c r="O421" s="4">
        <v>5.875231535932893</v>
      </c>
      <c r="P421" s="4">
        <v>-5.87</v>
      </c>
      <c r="Q421" s="3" t="s">
        <v>1617</v>
      </c>
      <c r="R421" s="3" t="s">
        <v>1621</v>
      </c>
      <c r="S421" s="3" t="s">
        <v>1622</v>
      </c>
      <c r="T421" s="3"/>
    </row>
    <row r="422" spans="1:20">
      <c r="A422" s="3" t="s">
        <v>1600</v>
      </c>
      <c r="B422" s="3" t="s">
        <v>1606</v>
      </c>
      <c r="C422" s="3" t="s">
        <v>1596</v>
      </c>
      <c r="D422" s="3" t="s">
        <v>1528</v>
      </c>
      <c r="E422" s="3" t="s">
        <v>1529</v>
      </c>
      <c r="F422" s="2">
        <v>1</v>
      </c>
      <c r="G422" s="4">
        <v>1.016979660406792</v>
      </c>
      <c r="H422" s="2">
        <v>25</v>
      </c>
      <c r="I422" s="2">
        <v>5</v>
      </c>
      <c r="J422" s="2">
        <v>16</v>
      </c>
      <c r="K422" s="4">
        <v>1</v>
      </c>
      <c r="L422" s="4">
        <v>-0.83476228531389274</v>
      </c>
      <c r="M422" s="4">
        <v>0.83476228531389274</v>
      </c>
      <c r="N422" s="10">
        <v>0.83499999999999996</v>
      </c>
      <c r="O422" s="4">
        <v>5.9675830894406499</v>
      </c>
      <c r="P422" s="4">
        <v>-5.97</v>
      </c>
      <c r="Q422" s="3" t="s">
        <v>1617</v>
      </c>
      <c r="R422" s="3" t="s">
        <v>1621</v>
      </c>
      <c r="S422" s="3" t="s">
        <v>1622</v>
      </c>
      <c r="T422" s="3"/>
    </row>
    <row r="423" spans="1:20">
      <c r="A423" s="3" t="s">
        <v>1600</v>
      </c>
      <c r="B423" s="3" t="s">
        <v>1609</v>
      </c>
      <c r="C423" s="3" t="s">
        <v>1616</v>
      </c>
      <c r="D423" s="3" t="s">
        <v>1528</v>
      </c>
      <c r="E423" s="3" t="s">
        <v>1529</v>
      </c>
      <c r="F423" s="2">
        <v>1</v>
      </c>
      <c r="G423" s="4">
        <v>1.016979660406792</v>
      </c>
      <c r="H423" s="2">
        <v>25</v>
      </c>
      <c r="I423" s="2">
        <v>5</v>
      </c>
      <c r="J423" s="2">
        <v>16</v>
      </c>
      <c r="K423" s="4">
        <v>0.96828256346084107</v>
      </c>
      <c r="L423" s="4">
        <v>-0.84447311860875951</v>
      </c>
      <c r="M423" s="4">
        <v>0.84447311860875951</v>
      </c>
      <c r="N423" s="10">
        <v>0.84399999999999997</v>
      </c>
      <c r="O423" s="4">
        <v>6.130811444553351</v>
      </c>
      <c r="P423" s="4">
        <v>-6.12</v>
      </c>
      <c r="Q423" s="3" t="s">
        <v>1617</v>
      </c>
      <c r="R423" s="3" t="s">
        <v>1623</v>
      </c>
      <c r="S423" s="3" t="s">
        <v>1624</v>
      </c>
      <c r="T423" s="3"/>
    </row>
    <row r="424" spans="1:20">
      <c r="A424" s="3" t="s">
        <v>1600</v>
      </c>
      <c r="B424" s="3" t="s">
        <v>1609</v>
      </c>
      <c r="C424" s="3" t="s">
        <v>1616</v>
      </c>
      <c r="D424" s="3" t="s">
        <v>1528</v>
      </c>
      <c r="E424" s="3" t="s">
        <v>1529</v>
      </c>
      <c r="F424" s="2">
        <v>1</v>
      </c>
      <c r="G424" s="4">
        <v>1.016979660406792</v>
      </c>
      <c r="H424" s="2">
        <v>25</v>
      </c>
      <c r="I424" s="2">
        <v>5</v>
      </c>
      <c r="J424" s="2">
        <v>1</v>
      </c>
      <c r="K424" s="4">
        <v>0.84226763372210001</v>
      </c>
      <c r="L424" s="4">
        <v>-0.84592366393279128</v>
      </c>
      <c r="M424" s="4">
        <v>0.84592366393279128</v>
      </c>
      <c r="N424" s="10">
        <v>0.84599999999999997</v>
      </c>
      <c r="O424" s="4">
        <v>6.1559891789017884</v>
      </c>
      <c r="P424" s="4">
        <v>-6.16</v>
      </c>
      <c r="Q424" s="3" t="s">
        <v>1617</v>
      </c>
      <c r="R424" s="3" t="s">
        <v>1623</v>
      </c>
      <c r="S424" s="3" t="s">
        <v>1624</v>
      </c>
      <c r="T424" s="3"/>
    </row>
    <row r="425" spans="1:20">
      <c r="A425" s="3" t="s">
        <v>1594</v>
      </c>
      <c r="B425" s="3" t="s">
        <v>1595</v>
      </c>
      <c r="C425" s="3" t="s">
        <v>1596</v>
      </c>
      <c r="D425" s="3" t="s">
        <v>272</v>
      </c>
      <c r="E425" s="3" t="s">
        <v>273</v>
      </c>
      <c r="F425" s="2">
        <v>1</v>
      </c>
      <c r="G425" s="4">
        <v>1.0171910476808304</v>
      </c>
      <c r="H425" s="2">
        <v>50</v>
      </c>
      <c r="I425" s="2">
        <v>5</v>
      </c>
      <c r="J425" s="2">
        <v>16</v>
      </c>
      <c r="K425" s="4">
        <v>1</v>
      </c>
      <c r="L425" s="14">
        <v>-0.11195104352907732</v>
      </c>
      <c r="M425" s="4">
        <v>0.11195104352907732</v>
      </c>
      <c r="N425" s="10">
        <v>0.112</v>
      </c>
      <c r="O425" s="4">
        <v>0.60411930284172144</v>
      </c>
      <c r="P425" s="4">
        <v>-0.6</v>
      </c>
      <c r="Q425" s="3" t="s">
        <v>1617</v>
      </c>
      <c r="R425" s="3" t="s">
        <v>1625</v>
      </c>
      <c r="S425" s="3" t="s">
        <v>1626</v>
      </c>
      <c r="T425" s="3"/>
    </row>
    <row r="426" spans="1:20">
      <c r="A426" s="3" t="s">
        <v>1604</v>
      </c>
      <c r="B426" s="3" t="s">
        <v>1601</v>
      </c>
      <c r="C426" s="3" t="s">
        <v>1596</v>
      </c>
      <c r="D426" s="3" t="s">
        <v>272</v>
      </c>
      <c r="E426" s="3" t="s">
        <v>273</v>
      </c>
      <c r="F426" s="2">
        <v>1</v>
      </c>
      <c r="G426" s="4">
        <v>1.0171910476808304</v>
      </c>
      <c r="H426" s="2">
        <v>25</v>
      </c>
      <c r="I426" s="2">
        <v>30</v>
      </c>
      <c r="J426" s="2">
        <v>16</v>
      </c>
      <c r="K426" s="4">
        <v>1</v>
      </c>
      <c r="L426" s="4">
        <v>-0.58750923989401627</v>
      </c>
      <c r="M426" s="4">
        <v>0.58750923989401627</v>
      </c>
      <c r="N426" s="10">
        <v>0.58799999999999997</v>
      </c>
      <c r="O426" s="4">
        <v>3.340924609985132</v>
      </c>
      <c r="P426" s="4">
        <v>-3.34</v>
      </c>
      <c r="Q426" s="3" t="s">
        <v>1617</v>
      </c>
      <c r="R426" s="3" t="s">
        <v>1618</v>
      </c>
      <c r="S426" s="3" t="s">
        <v>1619</v>
      </c>
      <c r="T426" s="3"/>
    </row>
    <row r="427" spans="1:20">
      <c r="A427" s="3" t="s">
        <v>1594</v>
      </c>
      <c r="B427" s="3" t="s">
        <v>1612</v>
      </c>
      <c r="C427" s="3" t="s">
        <v>1596</v>
      </c>
      <c r="D427" s="3" t="s">
        <v>272</v>
      </c>
      <c r="E427" s="3" t="s">
        <v>273</v>
      </c>
      <c r="F427" s="2">
        <v>1</v>
      </c>
      <c r="G427" s="4">
        <v>1.0171910476808304</v>
      </c>
      <c r="H427" s="2">
        <v>50</v>
      </c>
      <c r="I427" s="2">
        <v>5</v>
      </c>
      <c r="J427" s="2">
        <v>16</v>
      </c>
      <c r="K427" s="4">
        <v>1</v>
      </c>
      <c r="L427" s="14">
        <v>-0.65272445497561371</v>
      </c>
      <c r="M427" s="4">
        <v>0.65272445497561371</v>
      </c>
      <c r="N427" s="10">
        <v>0.65300000000000002</v>
      </c>
      <c r="O427" s="4">
        <v>4.1916220262429595</v>
      </c>
      <c r="P427" s="4">
        <v>-4.1900000000000004</v>
      </c>
      <c r="Q427" s="3" t="s">
        <v>1617</v>
      </c>
      <c r="R427" s="3" t="s">
        <v>1627</v>
      </c>
      <c r="S427" s="3" t="s">
        <v>1628</v>
      </c>
      <c r="T427" s="3"/>
    </row>
    <row r="428" spans="1:20">
      <c r="A428" s="3" t="s">
        <v>1600</v>
      </c>
      <c r="B428" s="3" t="s">
        <v>1609</v>
      </c>
      <c r="C428" s="3" t="s">
        <v>1596</v>
      </c>
      <c r="D428" s="3" t="s">
        <v>272</v>
      </c>
      <c r="E428" s="3" t="s">
        <v>273</v>
      </c>
      <c r="F428" s="2">
        <v>1</v>
      </c>
      <c r="G428" s="4">
        <v>1.0171910476808304</v>
      </c>
      <c r="H428" s="2">
        <v>25</v>
      </c>
      <c r="I428" s="2">
        <v>5</v>
      </c>
      <c r="J428" s="2">
        <v>16</v>
      </c>
      <c r="K428" s="4">
        <v>1</v>
      </c>
      <c r="L428" s="4">
        <v>-0.73976546625773443</v>
      </c>
      <c r="M428" s="4">
        <v>0.73976546625773443</v>
      </c>
      <c r="N428" s="10">
        <v>0.74</v>
      </c>
      <c r="O428" s="4">
        <v>4.709846957207362</v>
      </c>
      <c r="P428" s="4">
        <v>-4.71</v>
      </c>
      <c r="Q428" s="3" t="s">
        <v>1617</v>
      </c>
      <c r="R428" s="3" t="s">
        <v>1623</v>
      </c>
      <c r="S428" s="3" t="s">
        <v>1624</v>
      </c>
      <c r="T428" s="3"/>
    </row>
    <row r="429" spans="1:20">
      <c r="A429" s="3" t="s">
        <v>1600</v>
      </c>
      <c r="B429" s="3" t="s">
        <v>1609</v>
      </c>
      <c r="C429" s="3" t="s">
        <v>1596</v>
      </c>
      <c r="D429" s="3" t="s">
        <v>272</v>
      </c>
      <c r="E429" s="3" t="s">
        <v>273</v>
      </c>
      <c r="F429" s="2">
        <v>1</v>
      </c>
      <c r="G429" s="4">
        <v>1.0171910476808304</v>
      </c>
      <c r="H429" s="2">
        <v>25</v>
      </c>
      <c r="I429" s="2">
        <v>5</v>
      </c>
      <c r="J429" s="2">
        <v>1</v>
      </c>
      <c r="K429" s="11">
        <v>1</v>
      </c>
      <c r="L429" s="11">
        <v>-0.80567042804798283</v>
      </c>
      <c r="M429" s="4">
        <v>0.80567042804798283</v>
      </c>
      <c r="N429" s="10">
        <v>0.80600000000000005</v>
      </c>
      <c r="O429" s="4">
        <v>5.5259465121828821</v>
      </c>
      <c r="P429" s="4">
        <v>-5.53</v>
      </c>
      <c r="Q429" s="3" t="s">
        <v>1617</v>
      </c>
      <c r="R429" s="3" t="s">
        <v>1623</v>
      </c>
      <c r="S429" s="3" t="s">
        <v>1624</v>
      </c>
      <c r="T429" s="3"/>
    </row>
    <row r="430" spans="1:20">
      <c r="A430" s="3" t="s">
        <v>1600</v>
      </c>
      <c r="B430" s="3" t="s">
        <v>1609</v>
      </c>
      <c r="C430" s="3" t="s">
        <v>1616</v>
      </c>
      <c r="D430" s="3" t="s">
        <v>272</v>
      </c>
      <c r="E430" s="3" t="s">
        <v>273</v>
      </c>
      <c r="F430" s="2">
        <v>1</v>
      </c>
      <c r="G430" s="4">
        <v>1.0171910476808304</v>
      </c>
      <c r="H430" s="2">
        <v>25</v>
      </c>
      <c r="I430" s="2">
        <v>5</v>
      </c>
      <c r="J430" s="2">
        <v>1</v>
      </c>
      <c r="K430" s="4">
        <v>0.98279083347824669</v>
      </c>
      <c r="L430" s="4">
        <v>-0.82532474791105481</v>
      </c>
      <c r="M430" s="4">
        <v>0.82532474791105481</v>
      </c>
      <c r="N430" s="10">
        <v>0.82499999999999996</v>
      </c>
      <c r="O430" s="4">
        <v>5.8171086589179213</v>
      </c>
      <c r="P430" s="4">
        <v>-5.81</v>
      </c>
      <c r="Q430" s="3" t="s">
        <v>1617</v>
      </c>
      <c r="R430" s="3" t="s">
        <v>1623</v>
      </c>
      <c r="S430" s="3" t="s">
        <v>1624</v>
      </c>
      <c r="T430" s="3"/>
    </row>
    <row r="431" spans="1:20">
      <c r="A431" s="3" t="s">
        <v>1604</v>
      </c>
      <c r="B431" s="3" t="s">
        <v>1601</v>
      </c>
      <c r="C431" s="3" t="s">
        <v>1616</v>
      </c>
      <c r="D431" s="3" t="s">
        <v>272</v>
      </c>
      <c r="E431" s="3" t="s">
        <v>273</v>
      </c>
      <c r="F431" s="2">
        <v>1</v>
      </c>
      <c r="G431" s="4">
        <v>1.0171910476808304</v>
      </c>
      <c r="H431" s="2">
        <v>25</v>
      </c>
      <c r="I431" s="2">
        <v>30</v>
      </c>
      <c r="J431" s="2">
        <v>16</v>
      </c>
      <c r="K431" s="4">
        <v>1</v>
      </c>
      <c r="L431" s="4">
        <v>-0.83127931401758215</v>
      </c>
      <c r="M431" s="4">
        <v>0.83127931401758215</v>
      </c>
      <c r="N431" s="10">
        <v>0.83099999999999996</v>
      </c>
      <c r="O431" s="4">
        <v>5.9111627732464358</v>
      </c>
      <c r="P431" s="4">
        <v>-5.91</v>
      </c>
      <c r="Q431" s="3" t="s">
        <v>1617</v>
      </c>
      <c r="R431" s="3" t="s">
        <v>1618</v>
      </c>
      <c r="S431" s="3" t="s">
        <v>1619</v>
      </c>
      <c r="T431" s="3"/>
    </row>
    <row r="432" spans="1:20">
      <c r="A432" s="3" t="s">
        <v>1600</v>
      </c>
      <c r="B432" s="3" t="s">
        <v>1601</v>
      </c>
      <c r="C432" s="3" t="s">
        <v>1596</v>
      </c>
      <c r="D432" s="3" t="s">
        <v>272</v>
      </c>
      <c r="E432" s="3" t="s">
        <v>273</v>
      </c>
      <c r="F432" s="2">
        <v>1</v>
      </c>
      <c r="G432" s="4">
        <v>1.0171910476808304</v>
      </c>
      <c r="H432" s="2">
        <v>25</v>
      </c>
      <c r="I432" s="2">
        <v>5</v>
      </c>
      <c r="J432" s="2">
        <v>16</v>
      </c>
      <c r="K432" s="4">
        <v>1</v>
      </c>
      <c r="L432" s="4">
        <v>-0.84545159623278632</v>
      </c>
      <c r="M432" s="4">
        <v>0.84545159623278632</v>
      </c>
      <c r="N432" s="10">
        <v>0.84499999999999997</v>
      </c>
      <c r="O432" s="4">
        <v>6.1477715485271212</v>
      </c>
      <c r="P432" s="4">
        <v>-6.14</v>
      </c>
      <c r="Q432" s="3" t="s">
        <v>1617</v>
      </c>
      <c r="R432" s="3" t="s">
        <v>1618</v>
      </c>
      <c r="S432" s="3" t="s">
        <v>1619</v>
      </c>
      <c r="T432" s="3"/>
    </row>
    <row r="433" spans="1:20">
      <c r="A433" s="3" t="s">
        <v>1600</v>
      </c>
      <c r="B433" s="3" t="s">
        <v>1609</v>
      </c>
      <c r="C433" s="3" t="s">
        <v>1616</v>
      </c>
      <c r="D433" s="3" t="s">
        <v>272</v>
      </c>
      <c r="E433" s="3" t="s">
        <v>273</v>
      </c>
      <c r="F433" s="2">
        <v>1</v>
      </c>
      <c r="G433" s="4">
        <v>1.0171910476808304</v>
      </c>
      <c r="H433" s="2">
        <v>25</v>
      </c>
      <c r="I433" s="2">
        <v>5</v>
      </c>
      <c r="J433" s="2">
        <v>16</v>
      </c>
      <c r="K433" s="11">
        <v>1</v>
      </c>
      <c r="L433" s="11">
        <v>-0.85248430037653522</v>
      </c>
      <c r="M433" s="4">
        <v>0.85248430037653522</v>
      </c>
      <c r="N433" s="10">
        <v>0.85199999999999998</v>
      </c>
      <c r="O433" s="4">
        <v>6.2726528430681707</v>
      </c>
      <c r="P433" s="4">
        <v>-6.26</v>
      </c>
      <c r="Q433" s="3" t="s">
        <v>1617</v>
      </c>
      <c r="R433" s="3" t="s">
        <v>1623</v>
      </c>
      <c r="S433" s="3" t="s">
        <v>1624</v>
      </c>
      <c r="T433" s="3"/>
    </row>
    <row r="434" spans="1:20">
      <c r="A434" s="3" t="s">
        <v>1600</v>
      </c>
      <c r="B434" s="3" t="s">
        <v>1601</v>
      </c>
      <c r="C434" s="3" t="s">
        <v>1596</v>
      </c>
      <c r="D434" s="3" t="s">
        <v>272</v>
      </c>
      <c r="E434" s="3" t="s">
        <v>273</v>
      </c>
      <c r="F434" s="2">
        <v>1</v>
      </c>
      <c r="G434" s="4">
        <v>1.0171910476808304</v>
      </c>
      <c r="H434" s="2">
        <v>25</v>
      </c>
      <c r="I434" s="2">
        <v>5</v>
      </c>
      <c r="J434" s="2">
        <v>1</v>
      </c>
      <c r="K434" s="4">
        <v>1</v>
      </c>
      <c r="L434" s="4">
        <v>-0.85333538194216874</v>
      </c>
      <c r="M434" s="4">
        <v>0.85333538194216874</v>
      </c>
      <c r="N434" s="10">
        <v>0.85299999999999998</v>
      </c>
      <c r="O434" s="4">
        <v>6.2881351384523576</v>
      </c>
      <c r="P434" s="4">
        <v>-6.28</v>
      </c>
      <c r="Q434" s="3" t="s">
        <v>1617</v>
      </c>
      <c r="R434" s="3" t="s">
        <v>1618</v>
      </c>
      <c r="S434" s="3" t="s">
        <v>1619</v>
      </c>
      <c r="T434" s="3"/>
    </row>
    <row r="435" spans="1:20">
      <c r="A435" s="12" t="s">
        <v>1605</v>
      </c>
      <c r="B435" s="3" t="s">
        <v>1601</v>
      </c>
      <c r="C435" s="3" t="s">
        <v>1596</v>
      </c>
      <c r="D435" s="3" t="s">
        <v>272</v>
      </c>
      <c r="E435" s="3" t="s">
        <v>273</v>
      </c>
      <c r="F435" s="2">
        <v>1</v>
      </c>
      <c r="G435" s="4">
        <v>1.0171910476808304</v>
      </c>
      <c r="H435" s="2">
        <v>25</v>
      </c>
      <c r="I435" s="2">
        <v>5</v>
      </c>
      <c r="J435" s="2">
        <v>16</v>
      </c>
      <c r="K435" s="11">
        <v>1</v>
      </c>
      <c r="L435" s="11">
        <v>-0.86117470815167685</v>
      </c>
      <c r="M435" s="4">
        <v>0.86117470815167685</v>
      </c>
      <c r="N435" s="10">
        <v>0.86099999999999999</v>
      </c>
      <c r="O435" s="4">
        <v>6.4347739095367551</v>
      </c>
      <c r="P435" s="4">
        <v>-6.43</v>
      </c>
      <c r="Q435" s="3" t="s">
        <v>1617</v>
      </c>
      <c r="R435" s="3" t="s">
        <v>1618</v>
      </c>
      <c r="S435" s="3" t="s">
        <v>1619</v>
      </c>
      <c r="T435" s="3"/>
    </row>
    <row r="436" spans="1:20">
      <c r="A436" s="3" t="s">
        <v>1600</v>
      </c>
      <c r="B436" s="3" t="s">
        <v>1601</v>
      </c>
      <c r="C436" s="3" t="s">
        <v>1616</v>
      </c>
      <c r="D436" s="3" t="s">
        <v>272</v>
      </c>
      <c r="E436" s="3" t="s">
        <v>273</v>
      </c>
      <c r="F436" s="2">
        <v>1</v>
      </c>
      <c r="G436" s="4">
        <v>1.0171910476808304</v>
      </c>
      <c r="H436" s="2">
        <v>25</v>
      </c>
      <c r="I436" s="2">
        <v>5</v>
      </c>
      <c r="J436" s="2">
        <v>1</v>
      </c>
      <c r="K436" s="4">
        <v>0.99647509958503211</v>
      </c>
      <c r="L436" s="4">
        <v>-0.93044879874126629</v>
      </c>
      <c r="M436" s="4">
        <v>0.93044879874126629</v>
      </c>
      <c r="N436" s="10">
        <v>0.93</v>
      </c>
      <c r="O436" s="4">
        <v>8.2387134021659261</v>
      </c>
      <c r="P436" s="4">
        <v>-8.2200000000000006</v>
      </c>
      <c r="Q436" s="3" t="s">
        <v>1617</v>
      </c>
      <c r="R436" s="3" t="s">
        <v>1618</v>
      </c>
      <c r="S436" s="3" t="s">
        <v>1619</v>
      </c>
      <c r="T436" s="3"/>
    </row>
    <row r="437" spans="1:20">
      <c r="A437" s="3" t="s">
        <v>1600</v>
      </c>
      <c r="B437" s="3" t="s">
        <v>1601</v>
      </c>
      <c r="C437" s="3" t="s">
        <v>1616</v>
      </c>
      <c r="D437" s="3" t="s">
        <v>272</v>
      </c>
      <c r="E437" s="3" t="s">
        <v>273</v>
      </c>
      <c r="F437" s="2">
        <v>1</v>
      </c>
      <c r="G437" s="4">
        <v>1.0171910476808304</v>
      </c>
      <c r="H437" s="2">
        <v>25</v>
      </c>
      <c r="I437" s="2">
        <v>5</v>
      </c>
      <c r="J437" s="2">
        <v>16</v>
      </c>
      <c r="K437" s="4">
        <v>1</v>
      </c>
      <c r="L437" s="4">
        <v>-0.95143468420538979</v>
      </c>
      <c r="M437" s="4">
        <v>0.95143468420538979</v>
      </c>
      <c r="N437" s="10">
        <v>0.95099999999999996</v>
      </c>
      <c r="O437" s="4">
        <v>9.1558471045086893</v>
      </c>
      <c r="P437" s="4">
        <v>-9.1300000000000008</v>
      </c>
      <c r="Q437" s="3" t="s">
        <v>1617</v>
      </c>
      <c r="R437" s="3" t="s">
        <v>1618</v>
      </c>
      <c r="S437" s="3" t="s">
        <v>1619</v>
      </c>
      <c r="T437" s="3"/>
    </row>
    <row r="438" spans="1:20">
      <c r="A438" s="3" t="s">
        <v>1600</v>
      </c>
      <c r="B438" s="3" t="s">
        <v>1606</v>
      </c>
      <c r="C438" s="3" t="s">
        <v>1616</v>
      </c>
      <c r="D438" s="3" t="s">
        <v>272</v>
      </c>
      <c r="E438" s="3" t="s">
        <v>273</v>
      </c>
      <c r="F438" s="2">
        <v>1</v>
      </c>
      <c r="G438" s="4">
        <v>1.0171910476808304</v>
      </c>
      <c r="H438" s="2">
        <v>25</v>
      </c>
      <c r="I438" s="2">
        <v>5</v>
      </c>
      <c r="J438" s="2">
        <v>1</v>
      </c>
      <c r="K438" s="4">
        <v>1</v>
      </c>
      <c r="L438" s="4">
        <v>-1</v>
      </c>
      <c r="M438" s="4">
        <v>1</v>
      </c>
      <c r="N438" s="10">
        <v>0.995</v>
      </c>
      <c r="O438" s="4">
        <v>14.85</v>
      </c>
      <c r="P438" s="4">
        <v>-14.85</v>
      </c>
      <c r="Q438" s="3" t="s">
        <v>1617</v>
      </c>
      <c r="R438" s="3" t="s">
        <v>1621</v>
      </c>
      <c r="S438" s="3" t="s">
        <v>1622</v>
      </c>
      <c r="T438" s="3"/>
    </row>
    <row r="439" spans="1:20">
      <c r="A439" s="3" t="s">
        <v>1600</v>
      </c>
      <c r="B439" s="3" t="s">
        <v>1606</v>
      </c>
      <c r="C439" s="3" t="s">
        <v>1616</v>
      </c>
      <c r="D439" s="3" t="s">
        <v>272</v>
      </c>
      <c r="E439" s="3" t="s">
        <v>273</v>
      </c>
      <c r="F439" s="2">
        <v>1</v>
      </c>
      <c r="G439" s="4">
        <v>1.0171910476808304</v>
      </c>
      <c r="H439" s="2">
        <v>25</v>
      </c>
      <c r="I439" s="2">
        <v>5</v>
      </c>
      <c r="J439" s="2">
        <v>16</v>
      </c>
      <c r="K439" s="11">
        <v>1</v>
      </c>
      <c r="L439" s="11">
        <v>-1</v>
      </c>
      <c r="M439" s="4">
        <v>1</v>
      </c>
      <c r="N439" s="10">
        <v>0.995</v>
      </c>
      <c r="O439" s="4">
        <v>14.85</v>
      </c>
      <c r="P439" s="4">
        <v>-14.85</v>
      </c>
      <c r="Q439" s="3" t="s">
        <v>1617</v>
      </c>
      <c r="R439" s="3" t="s">
        <v>1621</v>
      </c>
      <c r="S439" s="3" t="s">
        <v>1622</v>
      </c>
      <c r="T439" s="3"/>
    </row>
    <row r="440" spans="1:20">
      <c r="A440" s="3" t="s">
        <v>1600</v>
      </c>
      <c r="B440" s="3" t="s">
        <v>1606</v>
      </c>
      <c r="C440" s="3" t="s">
        <v>1596</v>
      </c>
      <c r="D440" s="3" t="s">
        <v>272</v>
      </c>
      <c r="E440" s="3" t="s">
        <v>273</v>
      </c>
      <c r="F440" s="2">
        <v>1</v>
      </c>
      <c r="G440" s="4">
        <v>1.0171910476808304</v>
      </c>
      <c r="H440" s="2">
        <v>25</v>
      </c>
      <c r="I440" s="2">
        <v>5</v>
      </c>
      <c r="J440" s="2">
        <v>1</v>
      </c>
      <c r="K440" s="11">
        <v>1</v>
      </c>
      <c r="L440" s="11">
        <v>-1</v>
      </c>
      <c r="M440" s="4">
        <v>1</v>
      </c>
      <c r="N440" s="10">
        <v>0.995</v>
      </c>
      <c r="O440" s="4">
        <v>14.85</v>
      </c>
      <c r="P440" s="4">
        <v>-14.85</v>
      </c>
      <c r="Q440" s="3" t="s">
        <v>1617</v>
      </c>
      <c r="R440" s="3" t="s">
        <v>1621</v>
      </c>
      <c r="S440" s="3" t="s">
        <v>1622</v>
      </c>
      <c r="T440" s="3"/>
    </row>
    <row r="441" spans="1:20">
      <c r="A441" s="3" t="s">
        <v>1600</v>
      </c>
      <c r="B441" s="3" t="s">
        <v>1606</v>
      </c>
      <c r="C441" s="3" t="s">
        <v>1596</v>
      </c>
      <c r="D441" s="3" t="s">
        <v>272</v>
      </c>
      <c r="E441" s="3" t="s">
        <v>273</v>
      </c>
      <c r="F441" s="2">
        <v>1</v>
      </c>
      <c r="G441" s="4">
        <v>1.0171910476808304</v>
      </c>
      <c r="H441" s="2">
        <v>25</v>
      </c>
      <c r="I441" s="2">
        <v>5</v>
      </c>
      <c r="J441" s="2">
        <v>16</v>
      </c>
      <c r="K441" s="11">
        <v>1</v>
      </c>
      <c r="L441" s="11">
        <v>-1</v>
      </c>
      <c r="M441" s="4">
        <v>1</v>
      </c>
      <c r="N441" s="10">
        <v>0.995</v>
      </c>
      <c r="O441" s="4">
        <v>14.85</v>
      </c>
      <c r="P441" s="4">
        <v>-14.85</v>
      </c>
      <c r="Q441" s="3" t="s">
        <v>1617</v>
      </c>
      <c r="R441" s="3" t="s">
        <v>1621</v>
      </c>
      <c r="S441" s="3" t="s">
        <v>1622</v>
      </c>
      <c r="T441" s="3"/>
    </row>
    <row r="442" spans="1:20">
      <c r="A442" s="3" t="s">
        <v>1600</v>
      </c>
      <c r="B442" s="3" t="s">
        <v>1606</v>
      </c>
      <c r="C442" s="3" t="s">
        <v>1596</v>
      </c>
      <c r="D442" s="3" t="s">
        <v>1066</v>
      </c>
      <c r="E442" s="3" t="s">
        <v>1067</v>
      </c>
      <c r="F442" s="2">
        <v>1</v>
      </c>
      <c r="G442" s="4">
        <v>1.0183263256870154</v>
      </c>
      <c r="H442" s="2">
        <v>25</v>
      </c>
      <c r="I442" s="2">
        <v>5</v>
      </c>
      <c r="J442" s="2">
        <v>16</v>
      </c>
      <c r="K442" s="4">
        <v>4.9834462949343794E-2</v>
      </c>
      <c r="L442" s="4">
        <v>1</v>
      </c>
      <c r="M442" s="4">
        <v>1</v>
      </c>
      <c r="N442" s="10">
        <v>0.995</v>
      </c>
      <c r="O442" s="4">
        <v>14.85</v>
      </c>
      <c r="P442" s="4">
        <v>14.85</v>
      </c>
      <c r="Q442" s="3" t="s">
        <v>1597</v>
      </c>
      <c r="R442" s="3" t="s">
        <v>1607</v>
      </c>
      <c r="S442" s="3" t="s">
        <v>1608</v>
      </c>
      <c r="T442" s="3"/>
    </row>
    <row r="443" spans="1:20">
      <c r="A443" s="3" t="s">
        <v>1600</v>
      </c>
      <c r="B443" s="3" t="s">
        <v>1606</v>
      </c>
      <c r="C443" s="3" t="s">
        <v>1616</v>
      </c>
      <c r="D443" s="3" t="s">
        <v>1066</v>
      </c>
      <c r="E443" s="3" t="s">
        <v>1067</v>
      </c>
      <c r="F443" s="2">
        <v>1</v>
      </c>
      <c r="G443" s="4">
        <v>1.0183263256870154</v>
      </c>
      <c r="H443" s="2">
        <v>25</v>
      </c>
      <c r="I443" s="2">
        <v>5</v>
      </c>
      <c r="J443" s="2">
        <v>16</v>
      </c>
      <c r="K443" s="4">
        <v>6.5795208480742273E-2</v>
      </c>
      <c r="L443" s="4">
        <v>1</v>
      </c>
      <c r="M443" s="4">
        <v>1</v>
      </c>
      <c r="N443" s="10">
        <v>0.995</v>
      </c>
      <c r="O443" s="4">
        <v>14.85</v>
      </c>
      <c r="P443" s="4">
        <v>14.85</v>
      </c>
      <c r="Q443" s="3" t="s">
        <v>1597</v>
      </c>
      <c r="R443" s="3" t="s">
        <v>1607</v>
      </c>
      <c r="S443" s="3" t="s">
        <v>1608</v>
      </c>
      <c r="T443" s="3"/>
    </row>
    <row r="444" spans="1:20">
      <c r="A444" s="3" t="s">
        <v>1594</v>
      </c>
      <c r="B444" s="3" t="s">
        <v>1612</v>
      </c>
      <c r="C444" s="3" t="s">
        <v>1596</v>
      </c>
      <c r="D444" s="3" t="s">
        <v>1066</v>
      </c>
      <c r="E444" s="3" t="s">
        <v>1067</v>
      </c>
      <c r="F444" s="2">
        <v>1</v>
      </c>
      <c r="G444" s="4">
        <v>1.0183263256870154</v>
      </c>
      <c r="H444" s="2">
        <v>50</v>
      </c>
      <c r="I444" s="2">
        <v>5</v>
      </c>
      <c r="J444" s="2">
        <v>16</v>
      </c>
      <c r="K444" s="4">
        <v>0.72980414168308072</v>
      </c>
      <c r="L444" s="4">
        <v>0.31574439397455878</v>
      </c>
      <c r="M444" s="4">
        <v>0.31574439397455878</v>
      </c>
      <c r="N444" s="10">
        <v>0.316</v>
      </c>
      <c r="O444" s="4">
        <v>1.7567206199025651</v>
      </c>
      <c r="P444" s="4">
        <v>1.76</v>
      </c>
      <c r="Q444" s="3" t="s">
        <v>1597</v>
      </c>
      <c r="R444" s="3" t="s">
        <v>1613</v>
      </c>
      <c r="S444" s="3" t="s">
        <v>1614</v>
      </c>
      <c r="T444" s="3"/>
    </row>
    <row r="445" spans="1:20">
      <c r="A445" s="3" t="s">
        <v>1604</v>
      </c>
      <c r="B445" s="3" t="s">
        <v>1601</v>
      </c>
      <c r="C445" s="3" t="s">
        <v>1596</v>
      </c>
      <c r="D445" s="3" t="s">
        <v>1066</v>
      </c>
      <c r="E445" s="3" t="s">
        <v>1067</v>
      </c>
      <c r="F445" s="2">
        <v>1</v>
      </c>
      <c r="G445" s="4">
        <v>1.0183263256870154</v>
      </c>
      <c r="H445" s="2">
        <v>25</v>
      </c>
      <c r="I445" s="2">
        <v>30</v>
      </c>
      <c r="J445" s="2">
        <v>16</v>
      </c>
      <c r="K445" s="4">
        <v>1.7597152879735845E-2</v>
      </c>
      <c r="L445" s="4">
        <v>0.22579908675799087</v>
      </c>
      <c r="M445" s="4">
        <v>0.22579908675799087</v>
      </c>
      <c r="N445" s="10">
        <v>0.22600000000000001</v>
      </c>
      <c r="O445" s="4">
        <v>1.1391275436456676</v>
      </c>
      <c r="P445" s="4">
        <v>1.1399999999999999</v>
      </c>
      <c r="Q445" s="3" t="s">
        <v>1597</v>
      </c>
      <c r="R445" s="3" t="s">
        <v>1602</v>
      </c>
      <c r="S445" s="3" t="s">
        <v>1603</v>
      </c>
      <c r="T445" s="3"/>
    </row>
    <row r="446" spans="1:20">
      <c r="A446" s="3" t="s">
        <v>1605</v>
      </c>
      <c r="B446" s="3" t="s">
        <v>1601</v>
      </c>
      <c r="C446" s="3" t="s">
        <v>1596</v>
      </c>
      <c r="D446" s="3" t="s">
        <v>1066</v>
      </c>
      <c r="E446" s="3" t="s">
        <v>1067</v>
      </c>
      <c r="F446" s="2">
        <v>1</v>
      </c>
      <c r="G446" s="4">
        <v>1.0183263256870154</v>
      </c>
      <c r="H446" s="2">
        <v>25</v>
      </c>
      <c r="I446" s="2">
        <v>5</v>
      </c>
      <c r="J446" s="2">
        <v>16</v>
      </c>
      <c r="K446" s="4">
        <v>6.8485362284701479E-3</v>
      </c>
      <c r="L446" s="4">
        <v>0.22312069481880803</v>
      </c>
      <c r="M446" s="4">
        <v>0.22312069481880803</v>
      </c>
      <c r="N446" s="10">
        <v>0.223</v>
      </c>
      <c r="O446" s="4">
        <v>1.1251436993200525</v>
      </c>
      <c r="P446" s="4">
        <v>1.1200000000000001</v>
      </c>
      <c r="Q446" s="3" t="s">
        <v>1597</v>
      </c>
      <c r="R446" s="3" t="s">
        <v>1602</v>
      </c>
      <c r="S446" s="3" t="s">
        <v>1603</v>
      </c>
      <c r="T446" s="3"/>
    </row>
    <row r="447" spans="1:20">
      <c r="A447" s="3" t="s">
        <v>1600</v>
      </c>
      <c r="B447" s="3" t="s">
        <v>1601</v>
      </c>
      <c r="C447" s="3" t="s">
        <v>1616</v>
      </c>
      <c r="D447" s="3" t="s">
        <v>1066</v>
      </c>
      <c r="E447" s="3" t="s">
        <v>1067</v>
      </c>
      <c r="F447" s="2">
        <v>1</v>
      </c>
      <c r="G447" s="4">
        <v>1.0183263256870154</v>
      </c>
      <c r="H447" s="2">
        <v>25</v>
      </c>
      <c r="I447" s="2">
        <v>5</v>
      </c>
      <c r="J447" s="2">
        <v>1</v>
      </c>
      <c r="K447" s="4">
        <v>0</v>
      </c>
      <c r="L447" s="4">
        <v>0</v>
      </c>
      <c r="M447" s="4">
        <v>0</v>
      </c>
      <c r="N447" s="10">
        <v>0</v>
      </c>
      <c r="O447" s="4">
        <v>0</v>
      </c>
      <c r="P447" s="4">
        <v>0</v>
      </c>
      <c r="Q447" s="3" t="s">
        <v>1617</v>
      </c>
      <c r="R447" s="3" t="s">
        <v>1618</v>
      </c>
      <c r="S447" s="3" t="s">
        <v>1619</v>
      </c>
      <c r="T447" s="3"/>
    </row>
    <row r="448" spans="1:20">
      <c r="A448" s="3" t="s">
        <v>1600</v>
      </c>
      <c r="B448" s="3" t="s">
        <v>1601</v>
      </c>
      <c r="C448" s="3" t="s">
        <v>1616</v>
      </c>
      <c r="D448" s="3" t="s">
        <v>1066</v>
      </c>
      <c r="E448" s="3" t="s">
        <v>1067</v>
      </c>
      <c r="F448" s="2">
        <v>1</v>
      </c>
      <c r="G448" s="4">
        <v>1.0183263256870154</v>
      </c>
      <c r="H448" s="2">
        <v>25</v>
      </c>
      <c r="I448" s="2">
        <v>5</v>
      </c>
      <c r="J448" s="2">
        <v>16</v>
      </c>
      <c r="K448" s="4">
        <v>0</v>
      </c>
      <c r="L448" s="4">
        <v>0</v>
      </c>
      <c r="M448" s="4">
        <v>0</v>
      </c>
      <c r="N448" s="10">
        <v>0</v>
      </c>
      <c r="O448" s="4">
        <v>0</v>
      </c>
      <c r="P448" s="4">
        <v>0</v>
      </c>
      <c r="Q448" s="3" t="s">
        <v>1617</v>
      </c>
      <c r="R448" s="3" t="s">
        <v>1618</v>
      </c>
      <c r="S448" s="3" t="s">
        <v>1619</v>
      </c>
      <c r="T448" s="3"/>
    </row>
    <row r="449" spans="1:20">
      <c r="A449" s="3" t="s">
        <v>1600</v>
      </c>
      <c r="B449" s="3" t="s">
        <v>1601</v>
      </c>
      <c r="C449" s="3" t="s">
        <v>1596</v>
      </c>
      <c r="D449" s="3" t="s">
        <v>1066</v>
      </c>
      <c r="E449" s="3" t="s">
        <v>1067</v>
      </c>
      <c r="F449" s="2">
        <v>1</v>
      </c>
      <c r="G449" s="4">
        <v>1.0183263256870154</v>
      </c>
      <c r="H449" s="2">
        <v>25</v>
      </c>
      <c r="I449" s="2">
        <v>5</v>
      </c>
      <c r="J449" s="2">
        <v>1</v>
      </c>
      <c r="K449" s="4">
        <v>0</v>
      </c>
      <c r="L449" s="4">
        <v>0</v>
      </c>
      <c r="M449" s="4">
        <v>0</v>
      </c>
      <c r="N449" s="10">
        <v>0</v>
      </c>
      <c r="O449" s="4">
        <v>0</v>
      </c>
      <c r="P449" s="4">
        <v>0</v>
      </c>
      <c r="Q449" s="3" t="s">
        <v>1617</v>
      </c>
      <c r="R449" s="3" t="s">
        <v>1618</v>
      </c>
      <c r="S449" s="3" t="s">
        <v>1619</v>
      </c>
      <c r="T449" s="3"/>
    </row>
    <row r="450" spans="1:20">
      <c r="A450" s="3" t="s">
        <v>1600</v>
      </c>
      <c r="B450" s="3" t="s">
        <v>1601</v>
      </c>
      <c r="C450" s="3" t="s">
        <v>1596</v>
      </c>
      <c r="D450" s="3" t="s">
        <v>1066</v>
      </c>
      <c r="E450" s="3" t="s">
        <v>1067</v>
      </c>
      <c r="F450" s="2">
        <v>1</v>
      </c>
      <c r="G450" s="4">
        <v>1.0183263256870154</v>
      </c>
      <c r="H450" s="2">
        <v>25</v>
      </c>
      <c r="I450" s="2">
        <v>5</v>
      </c>
      <c r="J450" s="2">
        <v>16</v>
      </c>
      <c r="K450" s="4">
        <v>0</v>
      </c>
      <c r="L450" s="4">
        <v>0</v>
      </c>
      <c r="M450" s="4">
        <v>0</v>
      </c>
      <c r="N450" s="10">
        <v>0</v>
      </c>
      <c r="O450" s="4">
        <v>0</v>
      </c>
      <c r="P450" s="4">
        <v>0</v>
      </c>
      <c r="Q450" s="3" t="s">
        <v>1617</v>
      </c>
      <c r="R450" s="3" t="s">
        <v>1618</v>
      </c>
      <c r="S450" s="3" t="s">
        <v>1619</v>
      </c>
      <c r="T450" s="3"/>
    </row>
    <row r="451" spans="1:20">
      <c r="A451" s="3" t="s">
        <v>1600</v>
      </c>
      <c r="B451" s="3" t="s">
        <v>1606</v>
      </c>
      <c r="C451" s="3" t="s">
        <v>1596</v>
      </c>
      <c r="D451" s="3" t="s">
        <v>1066</v>
      </c>
      <c r="E451" s="3" t="s">
        <v>1067</v>
      </c>
      <c r="F451" s="2">
        <v>1</v>
      </c>
      <c r="G451" s="4">
        <v>1.0183263256870154</v>
      </c>
      <c r="H451" s="2">
        <v>25</v>
      </c>
      <c r="I451" s="2">
        <v>5</v>
      </c>
      <c r="J451" s="2">
        <v>1</v>
      </c>
      <c r="K451" s="4">
        <v>0</v>
      </c>
      <c r="L451" s="4">
        <v>0</v>
      </c>
      <c r="M451" s="4">
        <v>0</v>
      </c>
      <c r="N451" s="10">
        <v>0</v>
      </c>
      <c r="O451" s="4">
        <v>0</v>
      </c>
      <c r="P451" s="4">
        <v>0</v>
      </c>
      <c r="Q451" s="3" t="s">
        <v>1617</v>
      </c>
      <c r="R451" s="3" t="s">
        <v>1621</v>
      </c>
      <c r="S451" s="3" t="s">
        <v>1622</v>
      </c>
      <c r="T451" s="3"/>
    </row>
    <row r="452" spans="1:20">
      <c r="A452" s="3" t="s">
        <v>1600</v>
      </c>
      <c r="B452" s="3" t="s">
        <v>1609</v>
      </c>
      <c r="C452" s="3" t="s">
        <v>1596</v>
      </c>
      <c r="D452" s="3" t="s">
        <v>1066</v>
      </c>
      <c r="E452" s="3" t="s">
        <v>1067</v>
      </c>
      <c r="F452" s="2">
        <v>1</v>
      </c>
      <c r="G452" s="4">
        <v>1.0183263256870154</v>
      </c>
      <c r="H452" s="2">
        <v>25</v>
      </c>
      <c r="I452" s="2">
        <v>5</v>
      </c>
      <c r="J452" s="2">
        <v>1</v>
      </c>
      <c r="K452" s="4">
        <v>0</v>
      </c>
      <c r="L452" s="4">
        <v>0</v>
      </c>
      <c r="M452" s="4">
        <v>0</v>
      </c>
      <c r="N452" s="10">
        <v>0</v>
      </c>
      <c r="O452" s="4">
        <v>0</v>
      </c>
      <c r="P452" s="4">
        <v>0</v>
      </c>
      <c r="Q452" s="3" t="s">
        <v>1617</v>
      </c>
      <c r="R452" s="3" t="s">
        <v>1623</v>
      </c>
      <c r="S452" s="3" t="s">
        <v>1624</v>
      </c>
      <c r="T452" s="3"/>
    </row>
    <row r="453" spans="1:20">
      <c r="A453" s="3" t="s">
        <v>1600</v>
      </c>
      <c r="B453" s="3" t="s">
        <v>1606</v>
      </c>
      <c r="C453" s="3" t="s">
        <v>1616</v>
      </c>
      <c r="D453" s="3" t="s">
        <v>1066</v>
      </c>
      <c r="E453" s="3" t="s">
        <v>1067</v>
      </c>
      <c r="F453" s="2">
        <v>1</v>
      </c>
      <c r="G453" s="4">
        <v>1.0183263256870154</v>
      </c>
      <c r="H453" s="2">
        <v>25</v>
      </c>
      <c r="I453" s="2">
        <v>5</v>
      </c>
      <c r="J453" s="2">
        <v>1</v>
      </c>
      <c r="K453" s="4">
        <v>0</v>
      </c>
      <c r="L453" s="4">
        <v>0</v>
      </c>
      <c r="M453" s="4">
        <v>0</v>
      </c>
      <c r="N453" s="10">
        <v>0</v>
      </c>
      <c r="O453" s="4">
        <v>0</v>
      </c>
      <c r="P453" s="4">
        <v>0</v>
      </c>
      <c r="Q453" s="3" t="s">
        <v>1617</v>
      </c>
      <c r="R453" s="3" t="s">
        <v>1621</v>
      </c>
      <c r="S453" s="3" t="s">
        <v>1622</v>
      </c>
      <c r="T453" s="3"/>
    </row>
    <row r="454" spans="1:20">
      <c r="A454" s="3" t="s">
        <v>1604</v>
      </c>
      <c r="B454" s="3" t="s">
        <v>1601</v>
      </c>
      <c r="C454" s="3" t="s">
        <v>1616</v>
      </c>
      <c r="D454" s="3" t="s">
        <v>1066</v>
      </c>
      <c r="E454" s="3" t="s">
        <v>1067</v>
      </c>
      <c r="F454" s="2">
        <v>1</v>
      </c>
      <c r="G454" s="4">
        <v>1.0183263256870154</v>
      </c>
      <c r="H454" s="2">
        <v>25</v>
      </c>
      <c r="I454" s="2">
        <v>30</v>
      </c>
      <c r="J454" s="2">
        <v>16</v>
      </c>
      <c r="K454" s="4">
        <v>1.3413935337287741E-2</v>
      </c>
      <c r="L454" s="4">
        <v>-7.6175602984556653E-2</v>
      </c>
      <c r="M454" s="4">
        <v>7.6175602984556653E-2</v>
      </c>
      <c r="N454" s="10">
        <v>7.5999999999999998E-2</v>
      </c>
      <c r="O454" s="4">
        <v>0.37840685705219301</v>
      </c>
      <c r="P454" s="4">
        <v>-0.38</v>
      </c>
      <c r="Q454" s="3" t="s">
        <v>1617</v>
      </c>
      <c r="R454" s="3" t="s">
        <v>1618</v>
      </c>
      <c r="S454" s="3" t="s">
        <v>1619</v>
      </c>
      <c r="T454" s="3"/>
    </row>
    <row r="455" spans="1:20">
      <c r="A455" s="3" t="s">
        <v>1594</v>
      </c>
      <c r="B455" s="3" t="s">
        <v>1595</v>
      </c>
      <c r="C455" s="3" t="s">
        <v>1596</v>
      </c>
      <c r="D455" s="3" t="s">
        <v>1066</v>
      </c>
      <c r="E455" s="3" t="s">
        <v>1067</v>
      </c>
      <c r="F455" s="2">
        <v>1</v>
      </c>
      <c r="G455" s="4">
        <v>1.0183263256870154</v>
      </c>
      <c r="H455" s="2">
        <v>25</v>
      </c>
      <c r="I455" s="2">
        <v>5</v>
      </c>
      <c r="J455" s="2">
        <v>16</v>
      </c>
      <c r="K455" s="4">
        <v>7.87242954070968E-2</v>
      </c>
      <c r="L455" s="4">
        <v>-8.0089285245495301E-2</v>
      </c>
      <c r="M455" s="4">
        <v>8.0089285245495301E-2</v>
      </c>
      <c r="N455" s="10">
        <v>0.08</v>
      </c>
      <c r="O455" s="4">
        <v>0.39792985173988116</v>
      </c>
      <c r="P455" s="4">
        <v>-0.4</v>
      </c>
      <c r="Q455" s="3" t="s">
        <v>1617</v>
      </c>
      <c r="R455" s="3" t="s">
        <v>1625</v>
      </c>
      <c r="S455" s="3" t="s">
        <v>1626</v>
      </c>
      <c r="T455" s="3"/>
    </row>
    <row r="456" spans="1:20">
      <c r="A456" s="3" t="s">
        <v>1594</v>
      </c>
      <c r="B456" s="3" t="s">
        <v>1595</v>
      </c>
      <c r="C456" s="3" t="s">
        <v>1596</v>
      </c>
      <c r="D456" s="3" t="s">
        <v>1066</v>
      </c>
      <c r="E456" s="3" t="s">
        <v>1067</v>
      </c>
      <c r="F456" s="2">
        <v>1</v>
      </c>
      <c r="G456" s="4">
        <v>1.0183263256870154</v>
      </c>
      <c r="H456" s="2">
        <v>50</v>
      </c>
      <c r="I456" s="2">
        <v>5</v>
      </c>
      <c r="J456" s="2">
        <v>16</v>
      </c>
      <c r="K456" s="4">
        <v>0.22203462132142193</v>
      </c>
      <c r="L456" s="4">
        <v>-0.13034034598799182</v>
      </c>
      <c r="M456" s="4">
        <v>0.13034034598799182</v>
      </c>
      <c r="N456" s="10">
        <v>0.13</v>
      </c>
      <c r="O456" s="4">
        <v>0.70441210670201571</v>
      </c>
      <c r="P456" s="4">
        <v>-0.7</v>
      </c>
      <c r="Q456" s="3" t="s">
        <v>1617</v>
      </c>
      <c r="R456" s="3" t="s">
        <v>1625</v>
      </c>
      <c r="S456" s="3" t="s">
        <v>1626</v>
      </c>
      <c r="T456" s="3"/>
    </row>
    <row r="457" spans="1:20">
      <c r="A457" s="3" t="s">
        <v>1600</v>
      </c>
      <c r="B457" s="3" t="s">
        <v>1609</v>
      </c>
      <c r="C457" s="3" t="s">
        <v>1596</v>
      </c>
      <c r="D457" s="3" t="s">
        <v>1066</v>
      </c>
      <c r="E457" s="3" t="s">
        <v>1067</v>
      </c>
      <c r="F457" s="2">
        <v>1</v>
      </c>
      <c r="G457" s="4">
        <v>1.0183263256870154</v>
      </c>
      <c r="H457" s="2">
        <v>25</v>
      </c>
      <c r="I457" s="2">
        <v>5</v>
      </c>
      <c r="J457" s="2">
        <v>16</v>
      </c>
      <c r="K457" s="4">
        <v>4.4811694786685119E-2</v>
      </c>
      <c r="L457" s="4">
        <v>-0.23516535280344694</v>
      </c>
      <c r="M457" s="4">
        <v>0.23516535280344694</v>
      </c>
      <c r="N457" s="10">
        <v>0.23499999999999999</v>
      </c>
      <c r="O457" s="4">
        <v>1.1881706014806592</v>
      </c>
      <c r="P457" s="4">
        <v>-1.19</v>
      </c>
      <c r="Q457" s="3" t="s">
        <v>1617</v>
      </c>
      <c r="R457" s="3" t="s">
        <v>1623</v>
      </c>
      <c r="S457" s="3" t="s">
        <v>1624</v>
      </c>
      <c r="T457" s="3"/>
    </row>
    <row r="458" spans="1:20">
      <c r="A458" s="3" t="s">
        <v>1600</v>
      </c>
      <c r="B458" s="3" t="s">
        <v>1609</v>
      </c>
      <c r="C458" s="3" t="s">
        <v>1616</v>
      </c>
      <c r="D458" s="3" t="s">
        <v>1066</v>
      </c>
      <c r="E458" s="3" t="s">
        <v>1067</v>
      </c>
      <c r="F458" s="2">
        <v>1</v>
      </c>
      <c r="G458" s="4">
        <v>1.0183263256870154</v>
      </c>
      <c r="H458" s="2">
        <v>25</v>
      </c>
      <c r="I458" s="2">
        <v>5</v>
      </c>
      <c r="J458" s="2">
        <v>16</v>
      </c>
      <c r="K458" s="4">
        <v>1.5424845281205246E-2</v>
      </c>
      <c r="L458" s="4">
        <v>-0.36194331983805667</v>
      </c>
      <c r="M458" s="4">
        <v>0.36194331983805667</v>
      </c>
      <c r="N458" s="10">
        <v>0.36199999999999999</v>
      </c>
      <c r="O458" s="4">
        <v>1.8796546899114699</v>
      </c>
      <c r="P458" s="4">
        <v>-1.88</v>
      </c>
      <c r="Q458" s="3" t="s">
        <v>1617</v>
      </c>
      <c r="R458" s="3" t="s">
        <v>1623</v>
      </c>
      <c r="S458" s="3" t="s">
        <v>1624</v>
      </c>
      <c r="T458" s="3"/>
    </row>
    <row r="459" spans="1:20">
      <c r="A459" s="3" t="s">
        <v>1600</v>
      </c>
      <c r="B459" s="3" t="s">
        <v>1609</v>
      </c>
      <c r="C459" s="3" t="s">
        <v>1616</v>
      </c>
      <c r="D459" s="3" t="s">
        <v>1066</v>
      </c>
      <c r="E459" s="3" t="s">
        <v>1067</v>
      </c>
      <c r="F459" s="2">
        <v>1</v>
      </c>
      <c r="G459" s="4">
        <v>1.0183263256870154</v>
      </c>
      <c r="H459" s="2">
        <v>25</v>
      </c>
      <c r="I459" s="2">
        <v>5</v>
      </c>
      <c r="J459" s="2">
        <v>1</v>
      </c>
      <c r="K459" s="4">
        <v>1.1946580254816319E-2</v>
      </c>
      <c r="L459" s="4">
        <v>-1</v>
      </c>
      <c r="M459" s="4">
        <v>1</v>
      </c>
      <c r="N459" s="10">
        <v>0.995</v>
      </c>
      <c r="O459" s="4">
        <v>14.85</v>
      </c>
      <c r="P459" s="4">
        <v>-14.85</v>
      </c>
      <c r="Q459" s="3" t="s">
        <v>1617</v>
      </c>
      <c r="R459" s="3" t="s">
        <v>1623</v>
      </c>
      <c r="S459" s="3" t="s">
        <v>1624</v>
      </c>
      <c r="T459" s="3"/>
    </row>
    <row r="460" spans="1:20">
      <c r="A460" s="3" t="s">
        <v>1594</v>
      </c>
      <c r="B460" s="3" t="s">
        <v>1595</v>
      </c>
      <c r="C460" s="3" t="s">
        <v>1596</v>
      </c>
      <c r="D460" s="3" t="s">
        <v>1435</v>
      </c>
      <c r="E460" s="3" t="s">
        <v>1436</v>
      </c>
      <c r="F460" s="2">
        <v>1</v>
      </c>
      <c r="G460" s="4">
        <v>1.0192418884212506</v>
      </c>
      <c r="H460" s="2">
        <v>25</v>
      </c>
      <c r="I460" s="2">
        <v>5</v>
      </c>
      <c r="J460" s="2">
        <v>16</v>
      </c>
      <c r="K460" s="4">
        <v>0.16138175047946968</v>
      </c>
      <c r="L460" s="4">
        <v>1.6095834717000962E-2</v>
      </c>
      <c r="M460" s="4">
        <v>1.6095834717000962E-2</v>
      </c>
      <c r="N460" s="10">
        <v>1.6E-2</v>
      </c>
      <c r="O460" s="4">
        <v>7.9809016700719382E-2</v>
      </c>
      <c r="P460" s="4">
        <v>0.08</v>
      </c>
      <c r="Q460" s="3" t="s">
        <v>1597</v>
      </c>
      <c r="R460" s="3" t="s">
        <v>1598</v>
      </c>
      <c r="S460" s="3" t="s">
        <v>1599</v>
      </c>
      <c r="T460" s="3"/>
    </row>
    <row r="461" spans="1:20">
      <c r="A461" s="3" t="s">
        <v>1600</v>
      </c>
      <c r="B461" s="3" t="s">
        <v>1601</v>
      </c>
      <c r="C461" s="3" t="s">
        <v>1616</v>
      </c>
      <c r="D461" s="3" t="s">
        <v>1435</v>
      </c>
      <c r="E461" s="3" t="s">
        <v>1436</v>
      </c>
      <c r="F461" s="2">
        <v>1</v>
      </c>
      <c r="G461" s="4">
        <v>1.0192418884212506</v>
      </c>
      <c r="H461" s="2">
        <v>25</v>
      </c>
      <c r="I461" s="2">
        <v>5</v>
      </c>
      <c r="J461" s="2">
        <v>1</v>
      </c>
      <c r="K461" s="4">
        <v>0</v>
      </c>
      <c r="L461" s="4">
        <v>0</v>
      </c>
      <c r="M461" s="4">
        <v>0</v>
      </c>
      <c r="N461" s="10">
        <v>0</v>
      </c>
      <c r="O461" s="4">
        <v>0</v>
      </c>
      <c r="P461" s="4">
        <v>0</v>
      </c>
      <c r="Q461" s="3" t="s">
        <v>1617</v>
      </c>
      <c r="R461" s="3" t="s">
        <v>1618</v>
      </c>
      <c r="S461" s="3" t="s">
        <v>1619</v>
      </c>
      <c r="T461" s="3"/>
    </row>
    <row r="462" spans="1:20">
      <c r="A462" s="3" t="s">
        <v>1600</v>
      </c>
      <c r="B462" s="3" t="s">
        <v>1601</v>
      </c>
      <c r="C462" s="3" t="s">
        <v>1596</v>
      </c>
      <c r="D462" s="3" t="s">
        <v>1435</v>
      </c>
      <c r="E462" s="3" t="s">
        <v>1436</v>
      </c>
      <c r="F462" s="2">
        <v>1</v>
      </c>
      <c r="G462" s="4">
        <v>1.0192418884212506</v>
      </c>
      <c r="H462" s="2">
        <v>25</v>
      </c>
      <c r="I462" s="2">
        <v>5</v>
      </c>
      <c r="J462" s="2">
        <v>1</v>
      </c>
      <c r="K462" s="4">
        <v>0</v>
      </c>
      <c r="L462" s="4">
        <v>0</v>
      </c>
      <c r="M462" s="4">
        <v>0</v>
      </c>
      <c r="N462" s="10">
        <v>0</v>
      </c>
      <c r="O462" s="4">
        <v>0</v>
      </c>
      <c r="P462" s="4">
        <v>0</v>
      </c>
      <c r="Q462" s="3" t="s">
        <v>1617</v>
      </c>
      <c r="R462" s="3" t="s">
        <v>1618</v>
      </c>
      <c r="S462" s="3" t="s">
        <v>1619</v>
      </c>
      <c r="T462" s="3"/>
    </row>
    <row r="463" spans="1:20">
      <c r="A463" s="3" t="s">
        <v>1600</v>
      </c>
      <c r="B463" s="3" t="s">
        <v>1606</v>
      </c>
      <c r="C463" s="3" t="s">
        <v>1596</v>
      </c>
      <c r="D463" s="3" t="s">
        <v>1435</v>
      </c>
      <c r="E463" s="3" t="s">
        <v>1436</v>
      </c>
      <c r="F463" s="2">
        <v>1</v>
      </c>
      <c r="G463" s="4">
        <v>1.0192418884212506</v>
      </c>
      <c r="H463" s="2">
        <v>25</v>
      </c>
      <c r="I463" s="2">
        <v>5</v>
      </c>
      <c r="J463" s="2">
        <v>1</v>
      </c>
      <c r="K463" s="4">
        <v>0</v>
      </c>
      <c r="L463" s="4">
        <v>0</v>
      </c>
      <c r="M463" s="4">
        <v>0</v>
      </c>
      <c r="N463" s="10">
        <v>0</v>
      </c>
      <c r="O463" s="4">
        <v>0</v>
      </c>
      <c r="P463" s="4">
        <v>0</v>
      </c>
      <c r="Q463" s="3" t="s">
        <v>1617</v>
      </c>
      <c r="R463" s="3" t="s">
        <v>1621</v>
      </c>
      <c r="S463" s="3" t="s">
        <v>1622</v>
      </c>
      <c r="T463" s="3"/>
    </row>
    <row r="464" spans="1:20">
      <c r="A464" s="3" t="s">
        <v>1600</v>
      </c>
      <c r="B464" s="3" t="s">
        <v>1606</v>
      </c>
      <c r="C464" s="3" t="s">
        <v>1596</v>
      </c>
      <c r="D464" s="3" t="s">
        <v>1435</v>
      </c>
      <c r="E464" s="3" t="s">
        <v>1436</v>
      </c>
      <c r="F464" s="2">
        <v>1</v>
      </c>
      <c r="G464" s="4">
        <v>1.0192418884212506</v>
      </c>
      <c r="H464" s="2">
        <v>25</v>
      </c>
      <c r="I464" s="2">
        <v>5</v>
      </c>
      <c r="J464" s="2">
        <v>16</v>
      </c>
      <c r="K464" s="4">
        <v>0</v>
      </c>
      <c r="L464" s="4">
        <v>0</v>
      </c>
      <c r="M464" s="4">
        <v>0</v>
      </c>
      <c r="N464" s="10">
        <v>0</v>
      </c>
      <c r="O464" s="4">
        <v>0</v>
      </c>
      <c r="P464" s="4">
        <v>0</v>
      </c>
      <c r="Q464" s="3" t="s">
        <v>1617</v>
      </c>
      <c r="R464" s="3" t="s">
        <v>1621</v>
      </c>
      <c r="S464" s="3" t="s">
        <v>1622</v>
      </c>
      <c r="T464" s="3"/>
    </row>
    <row r="465" spans="1:20">
      <c r="A465" s="3" t="s">
        <v>1600</v>
      </c>
      <c r="B465" s="3" t="s">
        <v>1606</v>
      </c>
      <c r="C465" s="3" t="s">
        <v>1616</v>
      </c>
      <c r="D465" s="3" t="s">
        <v>1435</v>
      </c>
      <c r="E465" s="3" t="s">
        <v>1436</v>
      </c>
      <c r="F465" s="2">
        <v>1</v>
      </c>
      <c r="G465" s="4">
        <v>1.0192418884212506</v>
      </c>
      <c r="H465" s="2">
        <v>25</v>
      </c>
      <c r="I465" s="2">
        <v>5</v>
      </c>
      <c r="J465" s="2">
        <v>1</v>
      </c>
      <c r="K465" s="4">
        <v>0</v>
      </c>
      <c r="L465" s="4">
        <v>0</v>
      </c>
      <c r="M465" s="4">
        <v>0</v>
      </c>
      <c r="N465" s="10">
        <v>0</v>
      </c>
      <c r="O465" s="4">
        <v>0</v>
      </c>
      <c r="P465" s="4">
        <v>0</v>
      </c>
      <c r="Q465" s="3" t="s">
        <v>1617</v>
      </c>
      <c r="R465" s="3" t="s">
        <v>1621</v>
      </c>
      <c r="S465" s="3" t="s">
        <v>1622</v>
      </c>
      <c r="T465" s="3"/>
    </row>
    <row r="466" spans="1:20">
      <c r="A466" s="3" t="s">
        <v>1600</v>
      </c>
      <c r="B466" s="3" t="s">
        <v>1606</v>
      </c>
      <c r="C466" s="3" t="s">
        <v>1616</v>
      </c>
      <c r="D466" s="3" t="s">
        <v>1435</v>
      </c>
      <c r="E466" s="3" t="s">
        <v>1436</v>
      </c>
      <c r="F466" s="2">
        <v>1</v>
      </c>
      <c r="G466" s="4">
        <v>1.0192418884212506</v>
      </c>
      <c r="H466" s="2">
        <v>25</v>
      </c>
      <c r="I466" s="2">
        <v>5</v>
      </c>
      <c r="J466" s="2">
        <v>16</v>
      </c>
      <c r="K466" s="4">
        <v>0</v>
      </c>
      <c r="L466" s="4">
        <v>0</v>
      </c>
      <c r="M466" s="4">
        <v>0</v>
      </c>
      <c r="N466" s="10">
        <v>0</v>
      </c>
      <c r="O466" s="4">
        <v>0</v>
      </c>
      <c r="P466" s="4">
        <v>0</v>
      </c>
      <c r="Q466" s="3" t="s">
        <v>1617</v>
      </c>
      <c r="R466" s="3" t="s">
        <v>1621</v>
      </c>
      <c r="S466" s="3" t="s">
        <v>1622</v>
      </c>
      <c r="T466" s="3"/>
    </row>
    <row r="467" spans="1:20">
      <c r="A467" s="3" t="s">
        <v>1600</v>
      </c>
      <c r="B467" s="3" t="s">
        <v>1609</v>
      </c>
      <c r="C467" s="3" t="s">
        <v>1616</v>
      </c>
      <c r="D467" s="3" t="s">
        <v>1435</v>
      </c>
      <c r="E467" s="3" t="s">
        <v>1436</v>
      </c>
      <c r="F467" s="2">
        <v>1</v>
      </c>
      <c r="G467" s="4">
        <v>1.0192418884212506</v>
      </c>
      <c r="H467" s="2">
        <v>25</v>
      </c>
      <c r="I467" s="2">
        <v>5</v>
      </c>
      <c r="J467" s="2">
        <v>1</v>
      </c>
      <c r="K467" s="4">
        <v>0</v>
      </c>
      <c r="L467" s="4">
        <v>0</v>
      </c>
      <c r="M467" s="4">
        <v>0</v>
      </c>
      <c r="N467" s="10">
        <v>0</v>
      </c>
      <c r="O467" s="4">
        <v>0</v>
      </c>
      <c r="P467" s="4">
        <v>0</v>
      </c>
      <c r="Q467" s="3" t="s">
        <v>1617</v>
      </c>
      <c r="R467" s="3" t="s">
        <v>1623</v>
      </c>
      <c r="S467" s="3" t="s">
        <v>1624</v>
      </c>
      <c r="T467" s="3"/>
    </row>
    <row r="468" spans="1:20">
      <c r="A468" s="3" t="s">
        <v>1594</v>
      </c>
      <c r="B468" s="3" t="s">
        <v>1595</v>
      </c>
      <c r="C468" s="3" t="s">
        <v>1596</v>
      </c>
      <c r="D468" s="3" t="s">
        <v>1435</v>
      </c>
      <c r="E468" s="3" t="s">
        <v>1436</v>
      </c>
      <c r="F468" s="2">
        <v>1</v>
      </c>
      <c r="G468" s="4">
        <v>1.0192418884212506</v>
      </c>
      <c r="H468" s="2">
        <v>50</v>
      </c>
      <c r="I468" s="2">
        <v>5</v>
      </c>
      <c r="J468" s="2">
        <v>16</v>
      </c>
      <c r="K468" s="4">
        <v>1</v>
      </c>
      <c r="L468" s="4">
        <v>-5.5627509232450981E-2</v>
      </c>
      <c r="M468" s="4">
        <v>5.5627509232450981E-2</v>
      </c>
      <c r="N468" s="10">
        <v>5.6000000000000001E-2</v>
      </c>
      <c r="O468" s="4">
        <v>0.29923230158227115</v>
      </c>
      <c r="P468" s="4">
        <v>-0.3</v>
      </c>
      <c r="Q468" s="3" t="s">
        <v>1617</v>
      </c>
      <c r="R468" s="3" t="s">
        <v>1625</v>
      </c>
      <c r="S468" s="3" t="s">
        <v>1626</v>
      </c>
      <c r="T468" s="3"/>
    </row>
    <row r="469" spans="1:20">
      <c r="A469" s="3" t="s">
        <v>1594</v>
      </c>
      <c r="B469" s="3" t="s">
        <v>1612</v>
      </c>
      <c r="C469" s="3" t="s">
        <v>1596</v>
      </c>
      <c r="D469" s="3" t="s">
        <v>1435</v>
      </c>
      <c r="E469" s="3" t="s">
        <v>1436</v>
      </c>
      <c r="F469" s="2">
        <v>1</v>
      </c>
      <c r="G469" s="4">
        <v>1.0192418884212506</v>
      </c>
      <c r="H469" s="2">
        <v>50</v>
      </c>
      <c r="I469" s="2">
        <v>5</v>
      </c>
      <c r="J469" s="2">
        <v>16</v>
      </c>
      <c r="K469" s="4">
        <v>1</v>
      </c>
      <c r="L469" s="4">
        <v>-6.2205151755521229E-2</v>
      </c>
      <c r="M469" s="4">
        <v>6.2205151755521229E-2</v>
      </c>
      <c r="N469" s="10">
        <v>6.2E-2</v>
      </c>
      <c r="O469" s="4">
        <v>0.33470157324218236</v>
      </c>
      <c r="P469" s="4">
        <v>-0.33</v>
      </c>
      <c r="Q469" s="3" t="s">
        <v>1617</v>
      </c>
      <c r="R469" s="3" t="s">
        <v>1627</v>
      </c>
      <c r="S469" s="3" t="s">
        <v>1628</v>
      </c>
      <c r="T469" s="3"/>
    </row>
    <row r="470" spans="1:20">
      <c r="A470" s="3" t="s">
        <v>1600</v>
      </c>
      <c r="B470" s="3" t="s">
        <v>1609</v>
      </c>
      <c r="C470" s="3" t="s">
        <v>1616</v>
      </c>
      <c r="D470" s="3" t="s">
        <v>1435</v>
      </c>
      <c r="E470" s="3" t="s">
        <v>1436</v>
      </c>
      <c r="F470" s="2">
        <v>1</v>
      </c>
      <c r="G470" s="4">
        <v>1.0192418884212506</v>
      </c>
      <c r="H470" s="2">
        <v>25</v>
      </c>
      <c r="I470" s="2">
        <v>5</v>
      </c>
      <c r="J470" s="2">
        <v>16</v>
      </c>
      <c r="K470" s="4">
        <v>3.5118273712551384E-2</v>
      </c>
      <c r="L470" s="4">
        <v>-0.30222936632280034</v>
      </c>
      <c r="M470" s="4">
        <v>0.30222936632280034</v>
      </c>
      <c r="N470" s="10">
        <v>0.30199999999999999</v>
      </c>
      <c r="O470" s="4">
        <v>1.546733670315088</v>
      </c>
      <c r="P470" s="4">
        <v>-1.55</v>
      </c>
      <c r="Q470" s="3" t="s">
        <v>1617</v>
      </c>
      <c r="R470" s="3" t="s">
        <v>1623</v>
      </c>
      <c r="S470" s="3" t="s">
        <v>1624</v>
      </c>
      <c r="T470" s="3"/>
    </row>
    <row r="471" spans="1:20">
      <c r="A471" s="3" t="s">
        <v>1604</v>
      </c>
      <c r="B471" s="3" t="s">
        <v>1601</v>
      </c>
      <c r="C471" s="3" t="s">
        <v>1616</v>
      </c>
      <c r="D471" s="3" t="s">
        <v>1435</v>
      </c>
      <c r="E471" s="3" t="s">
        <v>1436</v>
      </c>
      <c r="F471" s="2">
        <v>1</v>
      </c>
      <c r="G471" s="4">
        <v>1.0192418884212506</v>
      </c>
      <c r="H471" s="2">
        <v>25</v>
      </c>
      <c r="I471" s="2">
        <v>30</v>
      </c>
      <c r="J471" s="2">
        <v>16</v>
      </c>
      <c r="K471" s="4">
        <v>0.43923779306617461</v>
      </c>
      <c r="L471" s="4">
        <v>-0.50172748452882809</v>
      </c>
      <c r="M471" s="4">
        <v>0.50172748452882809</v>
      </c>
      <c r="N471" s="10">
        <v>0.502</v>
      </c>
      <c r="O471" s="4">
        <v>2.7348577650309429</v>
      </c>
      <c r="P471" s="4">
        <v>-2.74</v>
      </c>
      <c r="Q471" s="3" t="s">
        <v>1617</v>
      </c>
      <c r="R471" s="3" t="s">
        <v>1618</v>
      </c>
      <c r="S471" s="3" t="s">
        <v>1619</v>
      </c>
      <c r="T471" s="3"/>
    </row>
    <row r="472" spans="1:20">
      <c r="A472" s="3" t="s">
        <v>1604</v>
      </c>
      <c r="B472" s="3" t="s">
        <v>1601</v>
      </c>
      <c r="C472" s="3" t="s">
        <v>1596</v>
      </c>
      <c r="D472" s="3" t="s">
        <v>1435</v>
      </c>
      <c r="E472" s="3" t="s">
        <v>1436</v>
      </c>
      <c r="F472" s="2">
        <v>1</v>
      </c>
      <c r="G472" s="4">
        <v>1.0192418884212506</v>
      </c>
      <c r="H472" s="2">
        <v>25</v>
      </c>
      <c r="I472" s="2">
        <v>30</v>
      </c>
      <c r="J472" s="2">
        <v>16</v>
      </c>
      <c r="K472" s="4">
        <v>0.93447208819076666</v>
      </c>
      <c r="L472" s="4">
        <v>-0.61627412946045845</v>
      </c>
      <c r="M472" s="4">
        <v>0.61627412946045845</v>
      </c>
      <c r="N472" s="10">
        <v>0.61599999999999999</v>
      </c>
      <c r="O472" s="4">
        <v>3.564633379004114</v>
      </c>
      <c r="P472" s="4">
        <v>-3.56</v>
      </c>
      <c r="Q472" s="3" t="s">
        <v>1617</v>
      </c>
      <c r="R472" s="3" t="s">
        <v>1618</v>
      </c>
      <c r="S472" s="3" t="s">
        <v>1619</v>
      </c>
      <c r="T472" s="3"/>
    </row>
    <row r="473" spans="1:20">
      <c r="A473" s="3" t="s">
        <v>1600</v>
      </c>
      <c r="B473" s="3" t="s">
        <v>1609</v>
      </c>
      <c r="C473" s="3" t="s">
        <v>1596</v>
      </c>
      <c r="D473" s="3" t="s">
        <v>1435</v>
      </c>
      <c r="E473" s="3" t="s">
        <v>1436</v>
      </c>
      <c r="F473" s="2">
        <v>1</v>
      </c>
      <c r="G473" s="4">
        <v>1.0192418884212506</v>
      </c>
      <c r="H473" s="2">
        <v>25</v>
      </c>
      <c r="I473" s="2">
        <v>5</v>
      </c>
      <c r="J473" s="2">
        <v>1</v>
      </c>
      <c r="K473" s="4">
        <v>3.1089985037745849E-2</v>
      </c>
      <c r="L473" s="4">
        <v>-0.65067919738583269</v>
      </c>
      <c r="M473" s="4">
        <v>0.65067919738583269</v>
      </c>
      <c r="N473" s="10">
        <v>0.65100000000000002</v>
      </c>
      <c r="O473" s="4">
        <v>3.8497171271371715</v>
      </c>
      <c r="P473" s="4">
        <v>-3.85</v>
      </c>
      <c r="Q473" s="3" t="s">
        <v>1617</v>
      </c>
      <c r="R473" s="3" t="s">
        <v>1623</v>
      </c>
      <c r="S473" s="3" t="s">
        <v>1624</v>
      </c>
      <c r="T473" s="3"/>
    </row>
    <row r="474" spans="1:20">
      <c r="A474" s="3" t="s">
        <v>1600</v>
      </c>
      <c r="B474" s="3" t="s">
        <v>1601</v>
      </c>
      <c r="C474" s="3" t="s">
        <v>1616</v>
      </c>
      <c r="D474" s="3" t="s">
        <v>1435</v>
      </c>
      <c r="E474" s="3" t="s">
        <v>1436</v>
      </c>
      <c r="F474" s="2">
        <v>1</v>
      </c>
      <c r="G474" s="4">
        <v>1.0192418884212506</v>
      </c>
      <c r="H474" s="2">
        <v>25</v>
      </c>
      <c r="I474" s="2">
        <v>5</v>
      </c>
      <c r="J474" s="2">
        <v>16</v>
      </c>
      <c r="K474" s="4">
        <v>0.11265889925387929</v>
      </c>
      <c r="L474" s="4">
        <v>-0.683328382908304</v>
      </c>
      <c r="M474" s="4">
        <v>0.683328382908304</v>
      </c>
      <c r="N474" s="10">
        <v>0.68300000000000005</v>
      </c>
      <c r="O474" s="4">
        <v>4.1415203189691212</v>
      </c>
      <c r="P474" s="4">
        <v>-4.1399999999999997</v>
      </c>
      <c r="Q474" s="3" t="s">
        <v>1617</v>
      </c>
      <c r="R474" s="3" t="s">
        <v>1618</v>
      </c>
      <c r="S474" s="3" t="s">
        <v>1619</v>
      </c>
      <c r="T474" s="3"/>
    </row>
    <row r="475" spans="1:20">
      <c r="A475" s="3" t="s">
        <v>1600</v>
      </c>
      <c r="B475" s="3" t="s">
        <v>1609</v>
      </c>
      <c r="C475" s="3" t="s">
        <v>1596</v>
      </c>
      <c r="D475" s="3" t="s">
        <v>1435</v>
      </c>
      <c r="E475" s="3" t="s">
        <v>1436</v>
      </c>
      <c r="F475" s="2">
        <v>1</v>
      </c>
      <c r="G475" s="4">
        <v>1.0192418884212506</v>
      </c>
      <c r="H475" s="2">
        <v>25</v>
      </c>
      <c r="I475" s="2">
        <v>5</v>
      </c>
      <c r="J475" s="2">
        <v>16</v>
      </c>
      <c r="K475" s="4">
        <v>0.93462936176247524</v>
      </c>
      <c r="L475" s="4">
        <v>-0.77975106545985129</v>
      </c>
      <c r="M475" s="4">
        <v>0.77975106545985129</v>
      </c>
      <c r="N475" s="10">
        <v>0.78</v>
      </c>
      <c r="O475" s="4">
        <v>5.179730513489857</v>
      </c>
      <c r="P475" s="4">
        <v>-5.18</v>
      </c>
      <c r="Q475" s="3" t="s">
        <v>1617</v>
      </c>
      <c r="R475" s="3" t="s">
        <v>1623</v>
      </c>
      <c r="S475" s="3" t="s">
        <v>1624</v>
      </c>
      <c r="T475" s="3"/>
    </row>
    <row r="476" spans="1:20">
      <c r="A476" s="3" t="s">
        <v>1600</v>
      </c>
      <c r="B476" s="3" t="s">
        <v>1601</v>
      </c>
      <c r="C476" s="3" t="s">
        <v>1596</v>
      </c>
      <c r="D476" s="3" t="s">
        <v>1435</v>
      </c>
      <c r="E476" s="3" t="s">
        <v>1436</v>
      </c>
      <c r="F476" s="2">
        <v>1</v>
      </c>
      <c r="G476" s="4">
        <v>1.0192418884212506</v>
      </c>
      <c r="H476" s="2">
        <v>25</v>
      </c>
      <c r="I476" s="2">
        <v>5</v>
      </c>
      <c r="J476" s="2">
        <v>16</v>
      </c>
      <c r="K476" s="4">
        <v>0.324424295667749</v>
      </c>
      <c r="L476" s="4">
        <v>-0.82251238119824188</v>
      </c>
      <c r="M476" s="4">
        <v>0.82251238119824188</v>
      </c>
      <c r="N476" s="10">
        <v>0.82299999999999995</v>
      </c>
      <c r="O476" s="4">
        <v>5.7736914091753384</v>
      </c>
      <c r="P476" s="4">
        <v>-5.78</v>
      </c>
      <c r="Q476" s="3" t="s">
        <v>1617</v>
      </c>
      <c r="R476" s="3" t="s">
        <v>1618</v>
      </c>
      <c r="S476" s="3" t="s">
        <v>1619</v>
      </c>
      <c r="T476" s="3"/>
    </row>
    <row r="477" spans="1:20">
      <c r="A477" s="3" t="s">
        <v>1605</v>
      </c>
      <c r="B477" s="3" t="s">
        <v>1601</v>
      </c>
      <c r="C477" s="3" t="s">
        <v>1596</v>
      </c>
      <c r="D477" s="3" t="s">
        <v>1435</v>
      </c>
      <c r="E477" s="3" t="s">
        <v>1436</v>
      </c>
      <c r="F477" s="2">
        <v>1</v>
      </c>
      <c r="G477" s="4">
        <v>1.0192418884212506</v>
      </c>
      <c r="H477" s="2">
        <v>25</v>
      </c>
      <c r="I477" s="2">
        <v>5</v>
      </c>
      <c r="J477" s="2">
        <v>16</v>
      </c>
      <c r="K477" s="4">
        <v>0.93473741373763475</v>
      </c>
      <c r="L477" s="4">
        <v>-0.88115121672536745</v>
      </c>
      <c r="M477" s="4">
        <v>0.88115121672536745</v>
      </c>
      <c r="N477" s="10">
        <v>0.88100000000000001</v>
      </c>
      <c r="O477" s="4">
        <v>6.8463827273049596</v>
      </c>
      <c r="P477" s="4">
        <v>-6.84</v>
      </c>
      <c r="Q477" s="3" t="s">
        <v>1617</v>
      </c>
      <c r="R477" s="3" t="s">
        <v>1618</v>
      </c>
      <c r="S477" s="3" t="s">
        <v>1619</v>
      </c>
      <c r="T477" s="3"/>
    </row>
    <row r="478" spans="1:20">
      <c r="A478" s="3" t="s">
        <v>1600</v>
      </c>
      <c r="B478" s="3" t="s">
        <v>1606</v>
      </c>
      <c r="C478" s="3" t="s">
        <v>1596</v>
      </c>
      <c r="D478" s="3" t="s">
        <v>806</v>
      </c>
      <c r="E478" s="3" t="s">
        <v>807</v>
      </c>
      <c r="F478" s="2">
        <v>1</v>
      </c>
      <c r="G478" s="4">
        <v>1.0194884531415866</v>
      </c>
      <c r="H478" s="2">
        <v>25</v>
      </c>
      <c r="I478" s="2">
        <v>5</v>
      </c>
      <c r="J478" s="2">
        <v>16</v>
      </c>
      <c r="K478" s="11">
        <v>1</v>
      </c>
      <c r="L478" s="11">
        <v>0.28424994773313295</v>
      </c>
      <c r="M478" s="4">
        <v>0.28424994773313295</v>
      </c>
      <c r="N478" s="10">
        <v>0.28399999999999997</v>
      </c>
      <c r="O478" s="4">
        <v>1.44920259290589</v>
      </c>
      <c r="P478" s="4">
        <v>1.45</v>
      </c>
      <c r="Q478" s="3" t="s">
        <v>1597</v>
      </c>
      <c r="R478" s="3" t="s">
        <v>1607</v>
      </c>
      <c r="S478" s="3" t="s">
        <v>1608</v>
      </c>
      <c r="T478" s="3"/>
    </row>
    <row r="479" spans="1:20">
      <c r="A479" s="3" t="s">
        <v>1594</v>
      </c>
      <c r="B479" s="3" t="s">
        <v>1612</v>
      </c>
      <c r="C479" s="3" t="s">
        <v>1596</v>
      </c>
      <c r="D479" s="3" t="s">
        <v>806</v>
      </c>
      <c r="E479" s="3" t="s">
        <v>807</v>
      </c>
      <c r="F479" s="2">
        <v>1</v>
      </c>
      <c r="G479" s="4">
        <v>1.0194884531415866</v>
      </c>
      <c r="H479" s="2">
        <v>50</v>
      </c>
      <c r="I479" s="2">
        <v>5</v>
      </c>
      <c r="J479" s="2">
        <v>16</v>
      </c>
      <c r="K479" s="4">
        <v>3.5741858716261038E-2</v>
      </c>
      <c r="L479" s="14">
        <v>7.9196014430510192E-2</v>
      </c>
      <c r="M479" s="4">
        <v>7.9196014430510192E-2</v>
      </c>
      <c r="N479" s="10">
        <v>7.9000000000000001E-2</v>
      </c>
      <c r="O479" s="4">
        <v>0.42646565673923226</v>
      </c>
      <c r="P479" s="4">
        <v>0.43</v>
      </c>
      <c r="Q479" s="3" t="s">
        <v>1597</v>
      </c>
      <c r="R479" s="3" t="s">
        <v>1613</v>
      </c>
      <c r="S479" s="3" t="s">
        <v>1614</v>
      </c>
      <c r="T479" s="3"/>
    </row>
    <row r="480" spans="1:20">
      <c r="A480" s="3" t="s">
        <v>1604</v>
      </c>
      <c r="B480" s="3" t="s">
        <v>1601</v>
      </c>
      <c r="C480" s="3" t="s">
        <v>1596</v>
      </c>
      <c r="D480" s="3" t="s">
        <v>806</v>
      </c>
      <c r="E480" s="3" t="s">
        <v>807</v>
      </c>
      <c r="F480" s="2">
        <v>1</v>
      </c>
      <c r="G480" s="4">
        <v>1.0194884531415866</v>
      </c>
      <c r="H480" s="2">
        <v>25</v>
      </c>
      <c r="I480" s="2">
        <v>30</v>
      </c>
      <c r="J480" s="2">
        <v>16</v>
      </c>
      <c r="K480" s="4">
        <v>1</v>
      </c>
      <c r="L480" s="4">
        <v>-3.9917096071860419E-4</v>
      </c>
      <c r="M480" s="4">
        <v>3.9917096071860419E-4</v>
      </c>
      <c r="N480" s="10">
        <v>0</v>
      </c>
      <c r="O480" s="4">
        <v>1.9790643211240249E-3</v>
      </c>
      <c r="P480" s="4">
        <v>0</v>
      </c>
      <c r="Q480" s="3" t="s">
        <v>1617</v>
      </c>
      <c r="R480" s="3" t="s">
        <v>1618</v>
      </c>
      <c r="S480" s="3" t="s">
        <v>1619</v>
      </c>
      <c r="T480" s="3"/>
    </row>
    <row r="481" spans="1:20">
      <c r="A481" s="12" t="s">
        <v>1605</v>
      </c>
      <c r="B481" s="3" t="s">
        <v>1601</v>
      </c>
      <c r="C481" s="3" t="s">
        <v>1596</v>
      </c>
      <c r="D481" s="3" t="s">
        <v>806</v>
      </c>
      <c r="E481" s="3" t="s">
        <v>807</v>
      </c>
      <c r="F481" s="2">
        <v>1</v>
      </c>
      <c r="G481" s="4">
        <v>1.0194884531415866</v>
      </c>
      <c r="H481" s="2">
        <v>25</v>
      </c>
      <c r="I481" s="2">
        <v>5</v>
      </c>
      <c r="J481" s="2">
        <v>16</v>
      </c>
      <c r="K481" s="11">
        <v>0.97425252475397472</v>
      </c>
      <c r="L481" s="11">
        <v>-1.9729479096806755E-2</v>
      </c>
      <c r="M481" s="4">
        <v>1.9729479096806755E-2</v>
      </c>
      <c r="N481" s="10">
        <v>0.02</v>
      </c>
      <c r="O481" s="4">
        <v>9.7830196442963299E-2</v>
      </c>
      <c r="P481" s="4">
        <v>-0.1</v>
      </c>
      <c r="Q481" s="3" t="s">
        <v>1617</v>
      </c>
      <c r="R481" s="3" t="s">
        <v>1618</v>
      </c>
      <c r="S481" s="3" t="s">
        <v>1619</v>
      </c>
      <c r="T481" s="3"/>
    </row>
    <row r="482" spans="1:20">
      <c r="A482" s="3" t="s">
        <v>1600</v>
      </c>
      <c r="B482" s="3" t="s">
        <v>1606</v>
      </c>
      <c r="C482" s="3" t="s">
        <v>1596</v>
      </c>
      <c r="D482" s="3" t="s">
        <v>806</v>
      </c>
      <c r="E482" s="3" t="s">
        <v>807</v>
      </c>
      <c r="F482" s="2">
        <v>1</v>
      </c>
      <c r="G482" s="4">
        <v>1.0194884531415866</v>
      </c>
      <c r="H482" s="2">
        <v>25</v>
      </c>
      <c r="I482" s="2">
        <v>5</v>
      </c>
      <c r="J482" s="2">
        <v>1</v>
      </c>
      <c r="K482" s="11">
        <v>0.13922731074243888</v>
      </c>
      <c r="L482" s="11">
        <v>-3.4492123845736015E-2</v>
      </c>
      <c r="M482" s="4">
        <v>3.4492123845736015E-2</v>
      </c>
      <c r="N482" s="10">
        <v>3.4000000000000002E-2</v>
      </c>
      <c r="O482" s="4">
        <v>0.17107762019914879</v>
      </c>
      <c r="P482" s="4">
        <v>-0.17</v>
      </c>
      <c r="Q482" s="3" t="s">
        <v>1617</v>
      </c>
      <c r="R482" s="3" t="s">
        <v>1621</v>
      </c>
      <c r="S482" s="3" t="s">
        <v>1622</v>
      </c>
      <c r="T482" s="3"/>
    </row>
    <row r="483" spans="1:20">
      <c r="A483" s="3" t="s">
        <v>1594</v>
      </c>
      <c r="B483" s="3" t="s">
        <v>1595</v>
      </c>
      <c r="C483" s="3" t="s">
        <v>1596</v>
      </c>
      <c r="D483" s="3" t="s">
        <v>806</v>
      </c>
      <c r="E483" s="3" t="s">
        <v>807</v>
      </c>
      <c r="F483" s="2">
        <v>1</v>
      </c>
      <c r="G483" s="4">
        <v>1.0194884531415866</v>
      </c>
      <c r="H483" s="2">
        <v>50</v>
      </c>
      <c r="I483" s="2">
        <v>5</v>
      </c>
      <c r="J483" s="2">
        <v>16</v>
      </c>
      <c r="K483" s="4">
        <v>0.38194630905388327</v>
      </c>
      <c r="L483" s="14">
        <v>-4.343462983441268E-2</v>
      </c>
      <c r="M483" s="4">
        <v>4.343462983441268E-2</v>
      </c>
      <c r="N483" s="10">
        <v>4.2999999999999997E-2</v>
      </c>
      <c r="O483" s="4">
        <v>0.23354993475875657</v>
      </c>
      <c r="P483" s="4">
        <v>-0.23</v>
      </c>
      <c r="Q483" s="3" t="s">
        <v>1617</v>
      </c>
      <c r="R483" s="3" t="s">
        <v>1625</v>
      </c>
      <c r="S483" s="3" t="s">
        <v>1626</v>
      </c>
      <c r="T483" s="3"/>
    </row>
    <row r="484" spans="1:20">
      <c r="A484" s="3" t="s">
        <v>1600</v>
      </c>
      <c r="B484" s="3" t="s">
        <v>1609</v>
      </c>
      <c r="C484" s="3" t="s">
        <v>1596</v>
      </c>
      <c r="D484" s="3" t="s">
        <v>806</v>
      </c>
      <c r="E484" s="3" t="s">
        <v>807</v>
      </c>
      <c r="F484" s="2">
        <v>1</v>
      </c>
      <c r="G484" s="4">
        <v>1.0194884531415866</v>
      </c>
      <c r="H484" s="2">
        <v>25</v>
      </c>
      <c r="I484" s="2">
        <v>5</v>
      </c>
      <c r="J484" s="2">
        <v>1</v>
      </c>
      <c r="K484" s="11">
        <v>4.4801677278903496E-2</v>
      </c>
      <c r="L484" s="11">
        <v>-5.4638832470024545E-2</v>
      </c>
      <c r="M484" s="4">
        <v>5.4638832470024545E-2</v>
      </c>
      <c r="N484" s="10">
        <v>5.5E-2</v>
      </c>
      <c r="O484" s="4">
        <v>0.27116591521107541</v>
      </c>
      <c r="P484" s="4">
        <v>-0.27</v>
      </c>
      <c r="Q484" s="3" t="s">
        <v>1617</v>
      </c>
      <c r="R484" s="3" t="s">
        <v>1623</v>
      </c>
      <c r="S484" s="3" t="s">
        <v>1624</v>
      </c>
      <c r="T484" s="3"/>
    </row>
    <row r="485" spans="1:20">
      <c r="A485" s="3" t="s">
        <v>1600</v>
      </c>
      <c r="B485" s="3" t="s">
        <v>1609</v>
      </c>
      <c r="C485" s="3" t="s">
        <v>1596</v>
      </c>
      <c r="D485" s="3" t="s">
        <v>806</v>
      </c>
      <c r="E485" s="3" t="s">
        <v>807</v>
      </c>
      <c r="F485" s="2">
        <v>1</v>
      </c>
      <c r="G485" s="4">
        <v>1.0194884531415866</v>
      </c>
      <c r="H485" s="2">
        <v>25</v>
      </c>
      <c r="I485" s="2">
        <v>5</v>
      </c>
      <c r="J485" s="2">
        <v>16</v>
      </c>
      <c r="K485" s="4">
        <v>0.41626157790566165</v>
      </c>
      <c r="L485" s="4">
        <v>-5.6086878654684716E-2</v>
      </c>
      <c r="M485" s="4">
        <v>5.6086878654684716E-2</v>
      </c>
      <c r="N485" s="10">
        <v>5.6000000000000001E-2</v>
      </c>
      <c r="O485" s="4">
        <v>0.27836730990468928</v>
      </c>
      <c r="P485" s="4">
        <v>-0.28000000000000003</v>
      </c>
      <c r="Q485" s="3" t="s">
        <v>1617</v>
      </c>
      <c r="R485" s="3" t="s">
        <v>1623</v>
      </c>
      <c r="S485" s="3" t="s">
        <v>1624</v>
      </c>
      <c r="T485" s="3"/>
    </row>
    <row r="486" spans="1:20">
      <c r="A486" s="3" t="s">
        <v>1600</v>
      </c>
      <c r="B486" s="3" t="s">
        <v>1601</v>
      </c>
      <c r="C486" s="3" t="s">
        <v>1596</v>
      </c>
      <c r="D486" s="3" t="s">
        <v>806</v>
      </c>
      <c r="E486" s="3" t="s">
        <v>807</v>
      </c>
      <c r="F486" s="2">
        <v>1</v>
      </c>
      <c r="G486" s="4">
        <v>1.0194884531415866</v>
      </c>
      <c r="H486" s="2">
        <v>25</v>
      </c>
      <c r="I486" s="2">
        <v>5</v>
      </c>
      <c r="J486" s="2">
        <v>16</v>
      </c>
      <c r="K486" s="4">
        <v>1</v>
      </c>
      <c r="L486" s="4">
        <v>-0.13308935277116499</v>
      </c>
      <c r="M486" s="4">
        <v>0.13308935277116499</v>
      </c>
      <c r="N486" s="10">
        <v>0.13300000000000001</v>
      </c>
      <c r="O486" s="4">
        <v>0.6637863919917012</v>
      </c>
      <c r="P486" s="4">
        <v>-0.66</v>
      </c>
      <c r="Q486" s="3" t="s">
        <v>1617</v>
      </c>
      <c r="R486" s="3" t="s">
        <v>1618</v>
      </c>
      <c r="S486" s="3" t="s">
        <v>1619</v>
      </c>
      <c r="T486" s="3"/>
    </row>
    <row r="487" spans="1:20">
      <c r="A487" s="3" t="s">
        <v>1600</v>
      </c>
      <c r="B487" s="3" t="s">
        <v>1601</v>
      </c>
      <c r="C487" s="3" t="s">
        <v>1596</v>
      </c>
      <c r="D487" s="3" t="s">
        <v>806</v>
      </c>
      <c r="E487" s="3" t="s">
        <v>807</v>
      </c>
      <c r="F487" s="2">
        <v>1</v>
      </c>
      <c r="G487" s="4">
        <v>1.0194884531415866</v>
      </c>
      <c r="H487" s="2">
        <v>25</v>
      </c>
      <c r="I487" s="2">
        <v>5</v>
      </c>
      <c r="J487" s="2">
        <v>1</v>
      </c>
      <c r="K487" s="4">
        <v>8.9779711459696987E-2</v>
      </c>
      <c r="L487" s="4">
        <v>-0.15874895011310261</v>
      </c>
      <c r="M487" s="4">
        <v>0.15874895011310261</v>
      </c>
      <c r="N487" s="10">
        <v>0.159</v>
      </c>
      <c r="O487" s="4">
        <v>0.79378068637743371</v>
      </c>
      <c r="P487" s="4">
        <v>-0.8</v>
      </c>
      <c r="Q487" s="3" t="s">
        <v>1617</v>
      </c>
      <c r="R487" s="3" t="s">
        <v>1618</v>
      </c>
      <c r="S487" s="3" t="s">
        <v>1619</v>
      </c>
      <c r="T487" s="3"/>
    </row>
    <row r="488" spans="1:20">
      <c r="A488" s="3" t="s">
        <v>1600</v>
      </c>
      <c r="B488" s="3" t="s">
        <v>1601</v>
      </c>
      <c r="C488" s="3" t="s">
        <v>1616</v>
      </c>
      <c r="D488" s="3" t="s">
        <v>806</v>
      </c>
      <c r="E488" s="3" t="s">
        <v>807</v>
      </c>
      <c r="F488" s="2">
        <v>1</v>
      </c>
      <c r="G488" s="4">
        <v>1.0194884531415866</v>
      </c>
      <c r="H488" s="2">
        <v>25</v>
      </c>
      <c r="I488" s="2">
        <v>5</v>
      </c>
      <c r="J488" s="2">
        <v>16</v>
      </c>
      <c r="K488" s="4">
        <v>1</v>
      </c>
      <c r="L488" s="4">
        <v>-0.57614470441718113</v>
      </c>
      <c r="M488" s="4">
        <v>0.57614470441718113</v>
      </c>
      <c r="N488" s="10">
        <v>0.57599999999999996</v>
      </c>
      <c r="O488" s="4">
        <v>3.2557403852803817</v>
      </c>
      <c r="P488" s="4">
        <v>-3.25</v>
      </c>
      <c r="Q488" s="3" t="s">
        <v>1617</v>
      </c>
      <c r="R488" s="3" t="s">
        <v>1618</v>
      </c>
      <c r="S488" s="3" t="s">
        <v>1619</v>
      </c>
      <c r="T488" s="3"/>
    </row>
    <row r="489" spans="1:20">
      <c r="A489" s="3" t="s">
        <v>1600</v>
      </c>
      <c r="B489" s="3" t="s">
        <v>1609</v>
      </c>
      <c r="C489" s="3" t="s">
        <v>1616</v>
      </c>
      <c r="D489" s="3" t="s">
        <v>806</v>
      </c>
      <c r="E489" s="3" t="s">
        <v>807</v>
      </c>
      <c r="F489" s="2">
        <v>1</v>
      </c>
      <c r="G489" s="4">
        <v>1.0194884531415866</v>
      </c>
      <c r="H489" s="2">
        <v>25</v>
      </c>
      <c r="I489" s="2">
        <v>5</v>
      </c>
      <c r="J489" s="2">
        <v>16</v>
      </c>
      <c r="K489" s="11">
        <v>0.65616202088325037</v>
      </c>
      <c r="L489" s="11">
        <v>-0.67552882151725313</v>
      </c>
      <c r="M489" s="4">
        <v>0.67552882151725313</v>
      </c>
      <c r="N489" s="10">
        <v>0.67600000000000005</v>
      </c>
      <c r="O489" s="4">
        <v>4.069690805022625</v>
      </c>
      <c r="P489" s="4">
        <v>-4.07</v>
      </c>
      <c r="Q489" s="3" t="s">
        <v>1617</v>
      </c>
      <c r="R489" s="3" t="s">
        <v>1623</v>
      </c>
      <c r="S489" s="3" t="s">
        <v>1624</v>
      </c>
      <c r="T489" s="3"/>
    </row>
    <row r="490" spans="1:20">
      <c r="A490" s="3" t="s">
        <v>1600</v>
      </c>
      <c r="B490" s="3" t="s">
        <v>1609</v>
      </c>
      <c r="C490" s="3" t="s">
        <v>1616</v>
      </c>
      <c r="D490" s="3" t="s">
        <v>806</v>
      </c>
      <c r="E490" s="3" t="s">
        <v>807</v>
      </c>
      <c r="F490" s="2">
        <v>1</v>
      </c>
      <c r="G490" s="4">
        <v>1.0194884531415866</v>
      </c>
      <c r="H490" s="2">
        <v>25</v>
      </c>
      <c r="I490" s="2">
        <v>5</v>
      </c>
      <c r="J490" s="2">
        <v>1</v>
      </c>
      <c r="K490" s="4">
        <v>0.49967346664527601</v>
      </c>
      <c r="L490" s="4">
        <v>-0.7893957678176492</v>
      </c>
      <c r="M490" s="4">
        <v>0.7893957678176492</v>
      </c>
      <c r="N490" s="10">
        <v>0.78900000000000003</v>
      </c>
      <c r="O490" s="4">
        <v>5.3041306678361231</v>
      </c>
      <c r="P490" s="4">
        <v>-5.3</v>
      </c>
      <c r="Q490" s="3" t="s">
        <v>1617</v>
      </c>
      <c r="R490" s="3" t="s">
        <v>1623</v>
      </c>
      <c r="S490" s="3" t="s">
        <v>1624</v>
      </c>
      <c r="T490" s="3"/>
    </row>
    <row r="491" spans="1:20">
      <c r="A491" s="3" t="s">
        <v>1600</v>
      </c>
      <c r="B491" s="3" t="s">
        <v>1606</v>
      </c>
      <c r="C491" s="3" t="s">
        <v>1616</v>
      </c>
      <c r="D491" s="3" t="s">
        <v>806</v>
      </c>
      <c r="E491" s="3" t="s">
        <v>807</v>
      </c>
      <c r="F491" s="2">
        <v>1</v>
      </c>
      <c r="G491" s="4">
        <v>1.0194884531415866</v>
      </c>
      <c r="H491" s="2">
        <v>25</v>
      </c>
      <c r="I491" s="2">
        <v>5</v>
      </c>
      <c r="J491" s="2">
        <v>16</v>
      </c>
      <c r="K491" s="11">
        <v>1</v>
      </c>
      <c r="L491" s="11">
        <v>-0.79946344735077124</v>
      </c>
      <c r="M491" s="4">
        <v>0.79946344735077124</v>
      </c>
      <c r="N491" s="10">
        <v>0.79900000000000004</v>
      </c>
      <c r="O491" s="4">
        <v>5.4394691678500182</v>
      </c>
      <c r="P491" s="4">
        <v>-5.43</v>
      </c>
      <c r="Q491" s="3" t="s">
        <v>1617</v>
      </c>
      <c r="R491" s="3" t="s">
        <v>1621</v>
      </c>
      <c r="S491" s="3" t="s">
        <v>1622</v>
      </c>
      <c r="T491" s="3"/>
    </row>
    <row r="492" spans="1:20">
      <c r="A492" s="3" t="s">
        <v>1604</v>
      </c>
      <c r="B492" s="3" t="s">
        <v>1601</v>
      </c>
      <c r="C492" s="3" t="s">
        <v>1616</v>
      </c>
      <c r="D492" s="3" t="s">
        <v>806</v>
      </c>
      <c r="E492" s="3" t="s">
        <v>807</v>
      </c>
      <c r="F492" s="2">
        <v>1</v>
      </c>
      <c r="G492" s="4">
        <v>1.0194884531415866</v>
      </c>
      <c r="H492" s="2">
        <v>25</v>
      </c>
      <c r="I492" s="2">
        <v>30</v>
      </c>
      <c r="J492" s="2">
        <v>16</v>
      </c>
      <c r="K492" s="4">
        <v>1</v>
      </c>
      <c r="L492" s="4">
        <v>-0.80917696811302131</v>
      </c>
      <c r="M492" s="4">
        <v>0.80917696811302131</v>
      </c>
      <c r="N492" s="10">
        <v>0.80900000000000005</v>
      </c>
      <c r="O492" s="4">
        <v>5.5758956268594426</v>
      </c>
      <c r="P492" s="4">
        <v>-5.57</v>
      </c>
      <c r="Q492" s="3" t="s">
        <v>1617</v>
      </c>
      <c r="R492" s="3" t="s">
        <v>1618</v>
      </c>
      <c r="S492" s="3" t="s">
        <v>1619</v>
      </c>
      <c r="T492" s="3"/>
    </row>
    <row r="493" spans="1:20">
      <c r="A493" s="3" t="s">
        <v>1600</v>
      </c>
      <c r="B493" s="3" t="s">
        <v>1601</v>
      </c>
      <c r="C493" s="3" t="s">
        <v>1616</v>
      </c>
      <c r="D493" s="3" t="s">
        <v>806</v>
      </c>
      <c r="E493" s="3" t="s">
        <v>807</v>
      </c>
      <c r="F493" s="2">
        <v>1</v>
      </c>
      <c r="G493" s="4">
        <v>1.0194884531415866</v>
      </c>
      <c r="H493" s="2">
        <v>25</v>
      </c>
      <c r="I493" s="2">
        <v>5</v>
      </c>
      <c r="J493" s="2">
        <v>1</v>
      </c>
      <c r="K493" s="4">
        <v>0.96443046310758584</v>
      </c>
      <c r="L493" s="4">
        <v>-0.85531984184014809</v>
      </c>
      <c r="M493" s="4">
        <v>0.85531984184014809</v>
      </c>
      <c r="N493" s="10">
        <v>0.85499999999999998</v>
      </c>
      <c r="O493" s="4">
        <v>6.3245589842915928</v>
      </c>
      <c r="P493" s="4">
        <v>-6.32</v>
      </c>
      <c r="Q493" s="3" t="s">
        <v>1617</v>
      </c>
      <c r="R493" s="3" t="s">
        <v>1618</v>
      </c>
      <c r="S493" s="3" t="s">
        <v>1619</v>
      </c>
      <c r="T493" s="3"/>
    </row>
    <row r="494" spans="1:20">
      <c r="A494" s="3" t="s">
        <v>1600</v>
      </c>
      <c r="B494" s="3" t="s">
        <v>1606</v>
      </c>
      <c r="C494" s="3" t="s">
        <v>1616</v>
      </c>
      <c r="D494" s="3" t="s">
        <v>806</v>
      </c>
      <c r="E494" s="3" t="s">
        <v>807</v>
      </c>
      <c r="F494" s="2">
        <v>1</v>
      </c>
      <c r="G494" s="4">
        <v>1.0194884531415866</v>
      </c>
      <c r="H494" s="2">
        <v>25</v>
      </c>
      <c r="I494" s="2">
        <v>5</v>
      </c>
      <c r="J494" s="2">
        <v>1</v>
      </c>
      <c r="K494" s="4">
        <v>1</v>
      </c>
      <c r="L494" s="4">
        <v>-0.86355217492942049</v>
      </c>
      <c r="M494" s="4">
        <v>0.86355217492942049</v>
      </c>
      <c r="N494" s="10">
        <v>0.86399999999999999</v>
      </c>
      <c r="O494" s="4">
        <v>6.4807600774903538</v>
      </c>
      <c r="P494" s="4">
        <v>-6.49</v>
      </c>
      <c r="Q494" s="3" t="s">
        <v>1617</v>
      </c>
      <c r="R494" s="3" t="s">
        <v>1621</v>
      </c>
      <c r="S494" s="3" t="s">
        <v>1622</v>
      </c>
      <c r="T494" s="3"/>
    </row>
    <row r="495" spans="1:20">
      <c r="A495" s="3" t="s">
        <v>1600</v>
      </c>
      <c r="B495" s="3" t="s">
        <v>1609</v>
      </c>
      <c r="C495" s="3" t="s">
        <v>1616</v>
      </c>
      <c r="D495" s="3" t="s">
        <v>191</v>
      </c>
      <c r="E495" s="3" t="s">
        <v>192</v>
      </c>
      <c r="F495" s="2">
        <v>1</v>
      </c>
      <c r="G495" s="4">
        <v>1.0199670269280088</v>
      </c>
      <c r="H495" s="2">
        <v>25</v>
      </c>
      <c r="I495" s="2">
        <v>5</v>
      </c>
      <c r="J495" s="2">
        <v>16</v>
      </c>
      <c r="K495" s="11">
        <v>1.3651103026930511E-2</v>
      </c>
      <c r="L495" s="11">
        <v>0.20254429804634258</v>
      </c>
      <c r="M495" s="4">
        <v>0.20254429804634258</v>
      </c>
      <c r="N495" s="10">
        <v>0.20300000000000001</v>
      </c>
      <c r="O495" s="4">
        <v>1.0182821692282036</v>
      </c>
      <c r="P495" s="4">
        <v>1.02</v>
      </c>
      <c r="Q495" s="3" t="s">
        <v>1597</v>
      </c>
      <c r="R495" s="3" t="s">
        <v>1610</v>
      </c>
      <c r="S495" s="3" t="s">
        <v>1611</v>
      </c>
      <c r="T495" s="3"/>
    </row>
    <row r="496" spans="1:20">
      <c r="A496" s="3" t="s">
        <v>1600</v>
      </c>
      <c r="B496" s="3" t="s">
        <v>1609</v>
      </c>
      <c r="C496" s="3" t="s">
        <v>1596</v>
      </c>
      <c r="D496" s="3" t="s">
        <v>191</v>
      </c>
      <c r="E496" s="3" t="s">
        <v>192</v>
      </c>
      <c r="F496" s="2">
        <v>1</v>
      </c>
      <c r="G496" s="4">
        <v>1.0199670269280088</v>
      </c>
      <c r="H496" s="2">
        <v>25</v>
      </c>
      <c r="I496" s="2">
        <v>5</v>
      </c>
      <c r="J496" s="2">
        <v>1</v>
      </c>
      <c r="K496" s="11">
        <v>0</v>
      </c>
      <c r="L496" s="11">
        <v>0</v>
      </c>
      <c r="M496" s="4">
        <v>0</v>
      </c>
      <c r="N496" s="10">
        <v>0</v>
      </c>
      <c r="O496" s="4">
        <v>0</v>
      </c>
      <c r="P496" s="4">
        <v>0</v>
      </c>
      <c r="Q496" s="3" t="s">
        <v>1617</v>
      </c>
      <c r="R496" s="3" t="s">
        <v>1623</v>
      </c>
      <c r="S496" s="3" t="s">
        <v>1624</v>
      </c>
      <c r="T496" s="3"/>
    </row>
    <row r="497" spans="1:20">
      <c r="A497" s="3" t="s">
        <v>1600</v>
      </c>
      <c r="B497" s="3" t="s">
        <v>1609</v>
      </c>
      <c r="C497" s="3" t="s">
        <v>1616</v>
      </c>
      <c r="D497" s="3" t="s">
        <v>191</v>
      </c>
      <c r="E497" s="3" t="s">
        <v>192</v>
      </c>
      <c r="F497" s="2">
        <v>1</v>
      </c>
      <c r="G497" s="4">
        <v>1.0199670269280088</v>
      </c>
      <c r="H497" s="2">
        <v>25</v>
      </c>
      <c r="I497" s="2">
        <v>5</v>
      </c>
      <c r="J497" s="2">
        <v>1</v>
      </c>
      <c r="K497" s="4">
        <v>0</v>
      </c>
      <c r="L497" s="4">
        <v>0</v>
      </c>
      <c r="M497" s="4">
        <v>0</v>
      </c>
      <c r="N497" s="10">
        <v>0</v>
      </c>
      <c r="O497" s="4">
        <v>0</v>
      </c>
      <c r="P497" s="4">
        <v>0</v>
      </c>
      <c r="Q497" s="3" t="s">
        <v>1617</v>
      </c>
      <c r="R497" s="3" t="s">
        <v>1623</v>
      </c>
      <c r="S497" s="3" t="s">
        <v>1624</v>
      </c>
      <c r="T497" s="3"/>
    </row>
    <row r="498" spans="1:20">
      <c r="A498" s="3" t="s">
        <v>1594</v>
      </c>
      <c r="B498" s="3" t="s">
        <v>1595</v>
      </c>
      <c r="C498" s="3" t="s">
        <v>1596</v>
      </c>
      <c r="D498" s="3" t="s">
        <v>191</v>
      </c>
      <c r="E498" s="3" t="s">
        <v>192</v>
      </c>
      <c r="F498" s="2">
        <v>1</v>
      </c>
      <c r="G498" s="4">
        <v>1.0199670269280088</v>
      </c>
      <c r="H498" s="2">
        <v>50</v>
      </c>
      <c r="I498" s="2">
        <v>5</v>
      </c>
      <c r="J498" s="2">
        <v>16</v>
      </c>
      <c r="K498" s="4">
        <v>0.1453929295162949</v>
      </c>
      <c r="L498" s="14">
        <v>-7.9913572049582396E-2</v>
      </c>
      <c r="M498" s="4">
        <v>7.9913572049582396E-2</v>
      </c>
      <c r="N498" s="10">
        <v>0.08</v>
      </c>
      <c r="O498" s="4">
        <v>0.43034612792076793</v>
      </c>
      <c r="P498" s="4">
        <v>-0.43</v>
      </c>
      <c r="Q498" s="3" t="s">
        <v>1617</v>
      </c>
      <c r="R498" s="3" t="s">
        <v>1625</v>
      </c>
      <c r="S498" s="3" t="s">
        <v>1626</v>
      </c>
      <c r="T498" s="3"/>
    </row>
    <row r="499" spans="1:20">
      <c r="A499" s="3" t="s">
        <v>1604</v>
      </c>
      <c r="B499" s="3" t="s">
        <v>1601</v>
      </c>
      <c r="C499" s="3" t="s">
        <v>1596</v>
      </c>
      <c r="D499" s="3" t="s">
        <v>191</v>
      </c>
      <c r="E499" s="3" t="s">
        <v>192</v>
      </c>
      <c r="F499" s="2">
        <v>1</v>
      </c>
      <c r="G499" s="4">
        <v>1.0199670269280088</v>
      </c>
      <c r="H499" s="2">
        <v>25</v>
      </c>
      <c r="I499" s="2">
        <v>30</v>
      </c>
      <c r="J499" s="2">
        <v>16</v>
      </c>
      <c r="K499" s="4">
        <v>0.29096352874326481</v>
      </c>
      <c r="L499" s="4">
        <v>-8.0284285211762355E-2</v>
      </c>
      <c r="M499" s="4">
        <v>8.0284285211762355E-2</v>
      </c>
      <c r="N499" s="10">
        <v>0.08</v>
      </c>
      <c r="O499" s="4">
        <v>0.39890290582447985</v>
      </c>
      <c r="P499" s="4">
        <v>-0.4</v>
      </c>
      <c r="Q499" s="3" t="s">
        <v>1617</v>
      </c>
      <c r="R499" s="3" t="s">
        <v>1618</v>
      </c>
      <c r="S499" s="3" t="s">
        <v>1619</v>
      </c>
      <c r="T499" s="3"/>
    </row>
    <row r="500" spans="1:20">
      <c r="A500" s="3" t="s">
        <v>1594</v>
      </c>
      <c r="B500" s="3" t="s">
        <v>1612</v>
      </c>
      <c r="C500" s="3" t="s">
        <v>1596</v>
      </c>
      <c r="D500" s="3" t="s">
        <v>191</v>
      </c>
      <c r="E500" s="3" t="s">
        <v>192</v>
      </c>
      <c r="F500" s="2">
        <v>1</v>
      </c>
      <c r="G500" s="4">
        <v>1.0199670269280088</v>
      </c>
      <c r="H500" s="2">
        <v>50</v>
      </c>
      <c r="I500" s="2">
        <v>5</v>
      </c>
      <c r="J500" s="2">
        <v>16</v>
      </c>
      <c r="K500" s="4">
        <v>0.63043434732912207</v>
      </c>
      <c r="L500" s="14">
        <v>-0.16509112291691339</v>
      </c>
      <c r="M500" s="4">
        <v>0.16509112291691339</v>
      </c>
      <c r="N500" s="10">
        <v>0.16500000000000001</v>
      </c>
      <c r="O500" s="4">
        <v>0.89533793365249026</v>
      </c>
      <c r="P500" s="4">
        <v>-0.89</v>
      </c>
      <c r="Q500" s="3" t="s">
        <v>1617</v>
      </c>
      <c r="R500" s="3" t="s">
        <v>1627</v>
      </c>
      <c r="S500" s="3" t="s">
        <v>1628</v>
      </c>
      <c r="T500" s="3"/>
    </row>
    <row r="501" spans="1:20">
      <c r="A501" s="3" t="s">
        <v>1600</v>
      </c>
      <c r="B501" s="3" t="s">
        <v>1601</v>
      </c>
      <c r="C501" s="3" t="s">
        <v>1616</v>
      </c>
      <c r="D501" s="3" t="s">
        <v>191</v>
      </c>
      <c r="E501" s="3" t="s">
        <v>192</v>
      </c>
      <c r="F501" s="2">
        <v>1</v>
      </c>
      <c r="G501" s="4">
        <v>1.0199670269280088</v>
      </c>
      <c r="H501" s="2">
        <v>25</v>
      </c>
      <c r="I501" s="2">
        <v>5</v>
      </c>
      <c r="J501" s="2">
        <v>16</v>
      </c>
      <c r="K501" s="4">
        <v>0.11821916899990803</v>
      </c>
      <c r="L501" s="4">
        <v>-0.22591818748802855</v>
      </c>
      <c r="M501" s="4">
        <v>0.22591818748802855</v>
      </c>
      <c r="N501" s="10">
        <v>0.22600000000000001</v>
      </c>
      <c r="O501" s="4">
        <v>1.1397497790340951</v>
      </c>
      <c r="P501" s="4">
        <v>-1.1399999999999999</v>
      </c>
      <c r="Q501" s="3" t="s">
        <v>1617</v>
      </c>
      <c r="R501" s="3" t="s">
        <v>1618</v>
      </c>
      <c r="S501" s="3" t="s">
        <v>1619</v>
      </c>
      <c r="T501" s="3"/>
    </row>
    <row r="502" spans="1:20">
      <c r="A502" s="3" t="s">
        <v>1600</v>
      </c>
      <c r="B502" s="3" t="s">
        <v>1609</v>
      </c>
      <c r="C502" s="3" t="s">
        <v>1596</v>
      </c>
      <c r="D502" s="3" t="s">
        <v>191</v>
      </c>
      <c r="E502" s="3" t="s">
        <v>192</v>
      </c>
      <c r="F502" s="2">
        <v>1</v>
      </c>
      <c r="G502" s="4">
        <v>1.0199670269280088</v>
      </c>
      <c r="H502" s="2">
        <v>25</v>
      </c>
      <c r="I502" s="2">
        <v>5</v>
      </c>
      <c r="J502" s="2">
        <v>16</v>
      </c>
      <c r="K502" s="4">
        <v>3.517774028966647E-2</v>
      </c>
      <c r="L502" s="4">
        <v>-0.24864508939877425</v>
      </c>
      <c r="M502" s="4">
        <v>0.24864508939877425</v>
      </c>
      <c r="N502" s="10">
        <v>0.249</v>
      </c>
      <c r="O502" s="4">
        <v>1.2591576494093375</v>
      </c>
      <c r="P502" s="4">
        <v>-1.26</v>
      </c>
      <c r="Q502" s="3" t="s">
        <v>1617</v>
      </c>
      <c r="R502" s="3" t="s">
        <v>1623</v>
      </c>
      <c r="S502" s="3" t="s">
        <v>1624</v>
      </c>
      <c r="T502" s="3"/>
    </row>
    <row r="503" spans="1:20">
      <c r="A503" s="3" t="s">
        <v>1600</v>
      </c>
      <c r="B503" s="3" t="s">
        <v>1601</v>
      </c>
      <c r="C503" s="3" t="s">
        <v>1616</v>
      </c>
      <c r="D503" s="3" t="s">
        <v>191</v>
      </c>
      <c r="E503" s="3" t="s">
        <v>192</v>
      </c>
      <c r="F503" s="2">
        <v>1</v>
      </c>
      <c r="G503" s="4">
        <v>1.0199670269280088</v>
      </c>
      <c r="H503" s="2">
        <v>25</v>
      </c>
      <c r="I503" s="2">
        <v>5</v>
      </c>
      <c r="J503" s="2">
        <v>1</v>
      </c>
      <c r="K503" s="4">
        <v>3.3347017212401076E-2</v>
      </c>
      <c r="L503" s="4">
        <v>-0.26791574044670263</v>
      </c>
      <c r="M503" s="4">
        <v>0.26791574044670263</v>
      </c>
      <c r="N503" s="10">
        <v>0.26800000000000002</v>
      </c>
      <c r="O503" s="4">
        <v>1.361533770292469</v>
      </c>
      <c r="P503" s="4">
        <v>-1.36</v>
      </c>
      <c r="Q503" s="3" t="s">
        <v>1617</v>
      </c>
      <c r="R503" s="3" t="s">
        <v>1618</v>
      </c>
      <c r="S503" s="3" t="s">
        <v>1619</v>
      </c>
      <c r="T503" s="3"/>
    </row>
    <row r="504" spans="1:20">
      <c r="A504" s="3" t="s">
        <v>1604</v>
      </c>
      <c r="B504" s="3" t="s">
        <v>1601</v>
      </c>
      <c r="C504" s="3" t="s">
        <v>1616</v>
      </c>
      <c r="D504" s="3" t="s">
        <v>191</v>
      </c>
      <c r="E504" s="3" t="s">
        <v>192</v>
      </c>
      <c r="F504" s="2">
        <v>1</v>
      </c>
      <c r="G504" s="4">
        <v>1.0199670269280088</v>
      </c>
      <c r="H504" s="2">
        <v>25</v>
      </c>
      <c r="I504" s="2">
        <v>30</v>
      </c>
      <c r="J504" s="2">
        <v>16</v>
      </c>
      <c r="K504" s="4">
        <v>0.2830495235870113</v>
      </c>
      <c r="L504" s="4">
        <v>-0.34280603235876256</v>
      </c>
      <c r="M504" s="4">
        <v>0.34280603235876256</v>
      </c>
      <c r="N504" s="10">
        <v>0.34300000000000003</v>
      </c>
      <c r="O504" s="4">
        <v>1.7713158468533097</v>
      </c>
      <c r="P504" s="4">
        <v>-1.77</v>
      </c>
      <c r="Q504" s="3" t="s">
        <v>1617</v>
      </c>
      <c r="R504" s="3" t="s">
        <v>1618</v>
      </c>
      <c r="S504" s="3" t="s">
        <v>1619</v>
      </c>
      <c r="T504" s="3"/>
    </row>
    <row r="505" spans="1:20">
      <c r="A505" s="12" t="s">
        <v>1605</v>
      </c>
      <c r="B505" s="3" t="s">
        <v>1601</v>
      </c>
      <c r="C505" s="3" t="s">
        <v>1596</v>
      </c>
      <c r="D505" s="3" t="s">
        <v>191</v>
      </c>
      <c r="E505" s="3" t="s">
        <v>192</v>
      </c>
      <c r="F505" s="2">
        <v>1</v>
      </c>
      <c r="G505" s="4">
        <v>1.0199670269280088</v>
      </c>
      <c r="H505" s="2">
        <v>25</v>
      </c>
      <c r="I505" s="2">
        <v>5</v>
      </c>
      <c r="J505" s="2">
        <v>16</v>
      </c>
      <c r="K505" s="11">
        <v>0.30788760439565843</v>
      </c>
      <c r="L505" s="11">
        <v>-0.40842619276293884</v>
      </c>
      <c r="M505" s="4">
        <v>0.40842619276293884</v>
      </c>
      <c r="N505" s="10">
        <v>0.40799999999999997</v>
      </c>
      <c r="O505" s="4">
        <v>2.150360440427689</v>
      </c>
      <c r="P505" s="4">
        <v>-2.15</v>
      </c>
      <c r="Q505" s="3" t="s">
        <v>1617</v>
      </c>
      <c r="R505" s="3" t="s">
        <v>1618</v>
      </c>
      <c r="S505" s="3" t="s">
        <v>1619</v>
      </c>
      <c r="T505" s="3"/>
    </row>
    <row r="506" spans="1:20">
      <c r="A506" s="3" t="s">
        <v>1600</v>
      </c>
      <c r="B506" s="3" t="s">
        <v>1601</v>
      </c>
      <c r="C506" s="3" t="s">
        <v>1596</v>
      </c>
      <c r="D506" s="3" t="s">
        <v>191</v>
      </c>
      <c r="E506" s="3" t="s">
        <v>192</v>
      </c>
      <c r="F506" s="2">
        <v>1</v>
      </c>
      <c r="G506" s="4">
        <v>1.0199670269280088</v>
      </c>
      <c r="H506" s="2">
        <v>25</v>
      </c>
      <c r="I506" s="2">
        <v>5</v>
      </c>
      <c r="J506" s="2">
        <v>1</v>
      </c>
      <c r="K506" s="4">
        <v>1.4427291475751725E-2</v>
      </c>
      <c r="L506" s="4">
        <v>-0.42052117263843647</v>
      </c>
      <c r="M506" s="4">
        <v>0.42052117263843647</v>
      </c>
      <c r="N506" s="10">
        <v>0.42099999999999999</v>
      </c>
      <c r="O506" s="4">
        <v>2.2227667649729934</v>
      </c>
      <c r="P506" s="4">
        <v>-2.23</v>
      </c>
      <c r="Q506" s="3" t="s">
        <v>1617</v>
      </c>
      <c r="R506" s="3" t="s">
        <v>1618</v>
      </c>
      <c r="S506" s="3" t="s">
        <v>1619</v>
      </c>
      <c r="T506" s="3"/>
    </row>
    <row r="507" spans="1:20">
      <c r="A507" s="3" t="s">
        <v>1600</v>
      </c>
      <c r="B507" s="3" t="s">
        <v>1601</v>
      </c>
      <c r="C507" s="3" t="s">
        <v>1596</v>
      </c>
      <c r="D507" s="3" t="s">
        <v>191</v>
      </c>
      <c r="E507" s="3" t="s">
        <v>192</v>
      </c>
      <c r="F507" s="2">
        <v>1</v>
      </c>
      <c r="G507" s="4">
        <v>1.0199670269280088</v>
      </c>
      <c r="H507" s="2">
        <v>25</v>
      </c>
      <c r="I507" s="2">
        <v>5</v>
      </c>
      <c r="J507" s="2">
        <v>16</v>
      </c>
      <c r="K507" s="4">
        <v>1</v>
      </c>
      <c r="L507" s="4">
        <v>-0.42675576193850479</v>
      </c>
      <c r="M507" s="4">
        <v>0.42675576193850479</v>
      </c>
      <c r="N507" s="10">
        <v>0.42699999999999999</v>
      </c>
      <c r="O507" s="4">
        <v>2.2604386463057344</v>
      </c>
      <c r="P507" s="4">
        <v>-2.2599999999999998</v>
      </c>
      <c r="Q507" s="3" t="s">
        <v>1617</v>
      </c>
      <c r="R507" s="3" t="s">
        <v>1618</v>
      </c>
      <c r="S507" s="3" t="s">
        <v>1619</v>
      </c>
      <c r="T507" s="3"/>
    </row>
    <row r="508" spans="1:20">
      <c r="A508" s="3" t="s">
        <v>1600</v>
      </c>
      <c r="B508" s="3" t="s">
        <v>1606</v>
      </c>
      <c r="C508" s="3" t="s">
        <v>1616</v>
      </c>
      <c r="D508" s="3" t="s">
        <v>191</v>
      </c>
      <c r="E508" s="3" t="s">
        <v>192</v>
      </c>
      <c r="F508" s="2">
        <v>1</v>
      </c>
      <c r="G508" s="4">
        <v>1.0199670269280088</v>
      </c>
      <c r="H508" s="2">
        <v>25</v>
      </c>
      <c r="I508" s="2">
        <v>5</v>
      </c>
      <c r="J508" s="2">
        <v>16</v>
      </c>
      <c r="K508" s="11">
        <v>0.90607129479176685</v>
      </c>
      <c r="L508" s="11">
        <v>-0.44849428100011918</v>
      </c>
      <c r="M508" s="4">
        <v>0.44849428100011918</v>
      </c>
      <c r="N508" s="10">
        <v>0.44800000000000001</v>
      </c>
      <c r="O508" s="4">
        <v>2.3937602391293464</v>
      </c>
      <c r="P508" s="4">
        <v>-2.39</v>
      </c>
      <c r="Q508" s="3" t="s">
        <v>1617</v>
      </c>
      <c r="R508" s="3" t="s">
        <v>1621</v>
      </c>
      <c r="S508" s="3" t="s">
        <v>1622</v>
      </c>
      <c r="T508" s="3"/>
    </row>
    <row r="509" spans="1:20">
      <c r="A509" s="3" t="s">
        <v>1600</v>
      </c>
      <c r="B509" s="3" t="s">
        <v>1606</v>
      </c>
      <c r="C509" s="3" t="s">
        <v>1596</v>
      </c>
      <c r="D509" s="3" t="s">
        <v>191</v>
      </c>
      <c r="E509" s="3" t="s">
        <v>192</v>
      </c>
      <c r="F509" s="2">
        <v>1</v>
      </c>
      <c r="G509" s="4">
        <v>1.0199670269280088</v>
      </c>
      <c r="H509" s="2">
        <v>25</v>
      </c>
      <c r="I509" s="2">
        <v>5</v>
      </c>
      <c r="J509" s="2">
        <v>16</v>
      </c>
      <c r="K509" s="11">
        <v>1</v>
      </c>
      <c r="L509" s="11">
        <v>-0.61751446039607505</v>
      </c>
      <c r="M509" s="4">
        <v>0.61751446039607505</v>
      </c>
      <c r="N509" s="10">
        <v>0.61799999999999999</v>
      </c>
      <c r="O509" s="4">
        <v>3.5745608490526282</v>
      </c>
      <c r="P509" s="4">
        <v>-3.58</v>
      </c>
      <c r="Q509" s="3" t="s">
        <v>1617</v>
      </c>
      <c r="R509" s="3" t="s">
        <v>1621</v>
      </c>
      <c r="S509" s="3" t="s">
        <v>1622</v>
      </c>
      <c r="T509" s="3"/>
    </row>
    <row r="510" spans="1:20">
      <c r="A510" s="3" t="s">
        <v>1600</v>
      </c>
      <c r="B510" s="3" t="s">
        <v>1606</v>
      </c>
      <c r="C510" s="3" t="s">
        <v>1616</v>
      </c>
      <c r="D510" s="3" t="s">
        <v>191</v>
      </c>
      <c r="E510" s="3" t="s">
        <v>192</v>
      </c>
      <c r="F510" s="2">
        <v>1</v>
      </c>
      <c r="G510" s="4">
        <v>1.0199670269280088</v>
      </c>
      <c r="H510" s="2">
        <v>25</v>
      </c>
      <c r="I510" s="2">
        <v>5</v>
      </c>
      <c r="J510" s="2">
        <v>1</v>
      </c>
      <c r="K510" s="4">
        <v>0.19155265146930367</v>
      </c>
      <c r="L510" s="4">
        <v>-0.61927566596827299</v>
      </c>
      <c r="M510" s="4">
        <v>0.61927566596827299</v>
      </c>
      <c r="N510" s="10">
        <v>0.61899999999999999</v>
      </c>
      <c r="O510" s="4">
        <v>3.5886996669285653</v>
      </c>
      <c r="P510" s="4">
        <v>-3.59</v>
      </c>
      <c r="Q510" s="3" t="s">
        <v>1617</v>
      </c>
      <c r="R510" s="3" t="s">
        <v>1621</v>
      </c>
      <c r="S510" s="3" t="s">
        <v>1622</v>
      </c>
      <c r="T510" s="3"/>
    </row>
    <row r="511" spans="1:20">
      <c r="A511" s="3" t="s">
        <v>1600</v>
      </c>
      <c r="B511" s="3" t="s">
        <v>1606</v>
      </c>
      <c r="C511" s="3" t="s">
        <v>1596</v>
      </c>
      <c r="D511" s="3" t="s">
        <v>191</v>
      </c>
      <c r="E511" s="3" t="s">
        <v>192</v>
      </c>
      <c r="F511" s="2">
        <v>1</v>
      </c>
      <c r="G511" s="4">
        <v>1.0199670269280088</v>
      </c>
      <c r="H511" s="2">
        <v>25</v>
      </c>
      <c r="I511" s="2">
        <v>5</v>
      </c>
      <c r="J511" s="2">
        <v>1</v>
      </c>
      <c r="K511" s="11">
        <v>4.1748024113322346E-2</v>
      </c>
      <c r="L511" s="11">
        <v>-1</v>
      </c>
      <c r="M511" s="4">
        <v>1</v>
      </c>
      <c r="N511" s="10">
        <v>0.995</v>
      </c>
      <c r="O511" s="4">
        <v>14.85</v>
      </c>
      <c r="P511" s="4">
        <v>-14.85</v>
      </c>
      <c r="Q511" s="3" t="s">
        <v>1617</v>
      </c>
      <c r="R511" s="3" t="s">
        <v>1621</v>
      </c>
      <c r="S511" s="3" t="s">
        <v>1622</v>
      </c>
      <c r="T511" s="3"/>
    </row>
    <row r="512" spans="1:20">
      <c r="A512" s="3" t="s">
        <v>1600</v>
      </c>
      <c r="B512" s="3" t="s">
        <v>1606</v>
      </c>
      <c r="C512" s="3" t="s">
        <v>1616</v>
      </c>
      <c r="D512" s="3" t="s">
        <v>156</v>
      </c>
      <c r="E512" s="3" t="s">
        <v>157</v>
      </c>
      <c r="F512" s="2">
        <v>1</v>
      </c>
      <c r="G512" s="4">
        <v>1.0203768959705835</v>
      </c>
      <c r="H512" s="2">
        <v>25</v>
      </c>
      <c r="I512" s="2">
        <v>5</v>
      </c>
      <c r="J512" s="2">
        <v>1</v>
      </c>
      <c r="K512" s="4">
        <v>0.27079102815974243</v>
      </c>
      <c r="L512" s="4">
        <v>0.64865238424326188</v>
      </c>
      <c r="M512" s="4">
        <v>0.64865238424326188</v>
      </c>
      <c r="N512" s="10">
        <v>0.64900000000000002</v>
      </c>
      <c r="O512" s="4">
        <v>3.832329626781434</v>
      </c>
      <c r="P512" s="4">
        <v>3.84</v>
      </c>
      <c r="Q512" s="3" t="s">
        <v>1597</v>
      </c>
      <c r="R512" s="3" t="s">
        <v>1607</v>
      </c>
      <c r="S512" s="3" t="s">
        <v>1608</v>
      </c>
      <c r="T512" s="3"/>
    </row>
    <row r="513" spans="1:20">
      <c r="A513" s="3" t="s">
        <v>1594</v>
      </c>
      <c r="B513" s="3" t="s">
        <v>1612</v>
      </c>
      <c r="C513" s="3" t="s">
        <v>1596</v>
      </c>
      <c r="D513" s="3" t="s">
        <v>156</v>
      </c>
      <c r="E513" s="3" t="s">
        <v>157</v>
      </c>
      <c r="F513" s="2">
        <v>1</v>
      </c>
      <c r="G513" s="4">
        <v>1.0203768959705835</v>
      </c>
      <c r="H513" s="2">
        <v>50</v>
      </c>
      <c r="I513" s="2">
        <v>5</v>
      </c>
      <c r="J513" s="2">
        <v>16</v>
      </c>
      <c r="K513" s="4">
        <v>6.9776132388873369E-2</v>
      </c>
      <c r="L513" s="14">
        <v>0.18615199618762615</v>
      </c>
      <c r="M513" s="4">
        <v>0.18615199618762615</v>
      </c>
      <c r="N513" s="10">
        <v>0.186</v>
      </c>
      <c r="O513" s="4">
        <v>1.012118660698023</v>
      </c>
      <c r="P513" s="4">
        <v>1.01</v>
      </c>
      <c r="Q513" s="3" t="s">
        <v>1597</v>
      </c>
      <c r="R513" s="3" t="s">
        <v>1613</v>
      </c>
      <c r="S513" s="3" t="s">
        <v>1614</v>
      </c>
      <c r="T513" s="3"/>
    </row>
    <row r="514" spans="1:20">
      <c r="A514" s="3" t="s">
        <v>1600</v>
      </c>
      <c r="B514" s="3" t="s">
        <v>1601</v>
      </c>
      <c r="C514" s="3" t="s">
        <v>1596</v>
      </c>
      <c r="D514" s="3" t="s">
        <v>156</v>
      </c>
      <c r="E514" s="3" t="s">
        <v>157</v>
      </c>
      <c r="F514" s="2">
        <v>1</v>
      </c>
      <c r="G514" s="4">
        <v>1.0203768959705835</v>
      </c>
      <c r="H514" s="2">
        <v>25</v>
      </c>
      <c r="I514" s="2">
        <v>5</v>
      </c>
      <c r="J514" s="2">
        <v>16</v>
      </c>
      <c r="K514" s="4">
        <v>1</v>
      </c>
      <c r="L514" s="4">
        <v>0.18413679062648977</v>
      </c>
      <c r="M514" s="4">
        <v>0.18413679062648977</v>
      </c>
      <c r="N514" s="10">
        <v>0.184</v>
      </c>
      <c r="O514" s="4">
        <v>0.92347175924566849</v>
      </c>
      <c r="P514" s="4">
        <v>0.92</v>
      </c>
      <c r="Q514" s="3" t="s">
        <v>1597</v>
      </c>
      <c r="R514" s="3" t="s">
        <v>1602</v>
      </c>
      <c r="S514" s="3" t="s">
        <v>1603</v>
      </c>
      <c r="T514" s="3"/>
    </row>
    <row r="515" spans="1:20">
      <c r="A515" s="3" t="s">
        <v>1600</v>
      </c>
      <c r="B515" s="3" t="s">
        <v>1606</v>
      </c>
      <c r="C515" s="3" t="s">
        <v>1616</v>
      </c>
      <c r="D515" s="3" t="s">
        <v>156</v>
      </c>
      <c r="E515" s="3" t="s">
        <v>157</v>
      </c>
      <c r="F515" s="2">
        <v>1</v>
      </c>
      <c r="G515" s="4">
        <v>1.0203768959705835</v>
      </c>
      <c r="H515" s="2">
        <v>25</v>
      </c>
      <c r="I515" s="2">
        <v>5</v>
      </c>
      <c r="J515" s="2">
        <v>16</v>
      </c>
      <c r="K515" s="11">
        <v>0.50190219702008554</v>
      </c>
      <c r="L515" s="11">
        <v>0.15476120021305556</v>
      </c>
      <c r="M515" s="4">
        <v>0.15476120021305556</v>
      </c>
      <c r="N515" s="10">
        <v>0.155</v>
      </c>
      <c r="O515" s="4">
        <v>0.77351159130937253</v>
      </c>
      <c r="P515" s="4">
        <v>0.77</v>
      </c>
      <c r="Q515" s="3" t="s">
        <v>1597</v>
      </c>
      <c r="R515" s="3" t="s">
        <v>1607</v>
      </c>
      <c r="S515" s="3" t="s">
        <v>1608</v>
      </c>
      <c r="T515" s="3"/>
    </row>
    <row r="516" spans="1:20">
      <c r="A516" s="3" t="s">
        <v>1600</v>
      </c>
      <c r="B516" s="3" t="s">
        <v>1609</v>
      </c>
      <c r="C516" s="3" t="s">
        <v>1616</v>
      </c>
      <c r="D516" s="3" t="s">
        <v>156</v>
      </c>
      <c r="E516" s="3" t="s">
        <v>157</v>
      </c>
      <c r="F516" s="2">
        <v>1</v>
      </c>
      <c r="G516" s="4">
        <v>1.0203768959705835</v>
      </c>
      <c r="H516" s="2">
        <v>25</v>
      </c>
      <c r="I516" s="2">
        <v>5</v>
      </c>
      <c r="J516" s="2">
        <v>16</v>
      </c>
      <c r="K516" s="11">
        <v>1.8096417405632281E-2</v>
      </c>
      <c r="L516" s="11">
        <v>0.13144412423951329</v>
      </c>
      <c r="M516" s="4">
        <v>0.13144412423951329</v>
      </c>
      <c r="N516" s="10">
        <v>0.13100000000000001</v>
      </c>
      <c r="O516" s="4">
        <v>0.65548420918954409</v>
      </c>
      <c r="P516" s="4">
        <v>0.65</v>
      </c>
      <c r="Q516" s="3" t="s">
        <v>1597</v>
      </c>
      <c r="R516" s="3" t="s">
        <v>1610</v>
      </c>
      <c r="S516" s="3" t="s">
        <v>1611</v>
      </c>
      <c r="T516" s="3"/>
    </row>
    <row r="517" spans="1:20">
      <c r="A517" s="3" t="s">
        <v>1600</v>
      </c>
      <c r="B517" s="3" t="s">
        <v>1601</v>
      </c>
      <c r="C517" s="3" t="s">
        <v>1596</v>
      </c>
      <c r="D517" s="3" t="s">
        <v>156</v>
      </c>
      <c r="E517" s="3" t="s">
        <v>157</v>
      </c>
      <c r="F517" s="2">
        <v>1</v>
      </c>
      <c r="G517" s="4">
        <v>1.0203768959705835</v>
      </c>
      <c r="H517" s="2">
        <v>25</v>
      </c>
      <c r="I517" s="2">
        <v>5</v>
      </c>
      <c r="J517" s="2">
        <v>1</v>
      </c>
      <c r="K517" s="4">
        <v>6.8114148963647203E-2</v>
      </c>
      <c r="L517" s="4">
        <v>0.11631011788894338</v>
      </c>
      <c r="M517" s="4">
        <v>0.11631011788894338</v>
      </c>
      <c r="N517" s="10">
        <v>0.11600000000000001</v>
      </c>
      <c r="O517" s="4">
        <v>0.57927982631701025</v>
      </c>
      <c r="P517" s="4">
        <v>0.57999999999999996</v>
      </c>
      <c r="Q517" s="3" t="s">
        <v>1597</v>
      </c>
      <c r="R517" s="3" t="s">
        <v>1602</v>
      </c>
      <c r="S517" s="3" t="s">
        <v>1603</v>
      </c>
      <c r="T517" s="3"/>
    </row>
    <row r="518" spans="1:20">
      <c r="A518" s="3" t="s">
        <v>1600</v>
      </c>
      <c r="B518" s="3" t="s">
        <v>1601</v>
      </c>
      <c r="C518" s="3" t="s">
        <v>1616</v>
      </c>
      <c r="D518" s="3" t="s">
        <v>156</v>
      </c>
      <c r="E518" s="3" t="s">
        <v>157</v>
      </c>
      <c r="F518" s="2">
        <v>1</v>
      </c>
      <c r="G518" s="4">
        <v>1.0203768959705835</v>
      </c>
      <c r="H518" s="2">
        <v>25</v>
      </c>
      <c r="I518" s="2">
        <v>5</v>
      </c>
      <c r="J518" s="2">
        <v>1</v>
      </c>
      <c r="K518" s="4">
        <v>0.21997565674019715</v>
      </c>
      <c r="L518" s="4">
        <v>0.10892849168916842</v>
      </c>
      <c r="M518" s="4">
        <v>0.10892849168916842</v>
      </c>
      <c r="N518" s="10">
        <v>0.109</v>
      </c>
      <c r="O518" s="4">
        <v>0.54221187973226981</v>
      </c>
      <c r="P518" s="4">
        <v>0.54</v>
      </c>
      <c r="Q518" s="3" t="s">
        <v>1597</v>
      </c>
      <c r="R518" s="3" t="s">
        <v>1602</v>
      </c>
      <c r="S518" s="3" t="s">
        <v>1603</v>
      </c>
      <c r="T518" s="3"/>
    </row>
    <row r="519" spans="1:20">
      <c r="A519" s="3" t="s">
        <v>1604</v>
      </c>
      <c r="B519" s="3" t="s">
        <v>1601</v>
      </c>
      <c r="C519" s="3" t="s">
        <v>1616</v>
      </c>
      <c r="D519" s="3" t="s">
        <v>156</v>
      </c>
      <c r="E519" s="3" t="s">
        <v>157</v>
      </c>
      <c r="F519" s="2">
        <v>1</v>
      </c>
      <c r="G519" s="4">
        <v>1.0203768959705835</v>
      </c>
      <c r="H519" s="2">
        <v>25</v>
      </c>
      <c r="I519" s="2">
        <v>30</v>
      </c>
      <c r="J519" s="2">
        <v>16</v>
      </c>
      <c r="K519" s="4">
        <v>0.44985502274085465</v>
      </c>
      <c r="L519" s="4">
        <v>9.1965335784828003E-2</v>
      </c>
      <c r="M519" s="4">
        <v>9.1965335784828003E-2</v>
      </c>
      <c r="N519" s="10">
        <v>9.1999999999999998E-2</v>
      </c>
      <c r="O519" s="4">
        <v>0.45725028504107096</v>
      </c>
      <c r="P519" s="4">
        <v>0.46</v>
      </c>
      <c r="Q519" s="3" t="s">
        <v>1597</v>
      </c>
      <c r="R519" s="3" t="s">
        <v>1602</v>
      </c>
      <c r="S519" s="3" t="s">
        <v>1603</v>
      </c>
      <c r="T519" s="3"/>
    </row>
    <row r="520" spans="1:20">
      <c r="A520" s="3" t="s">
        <v>1600</v>
      </c>
      <c r="B520" s="3" t="s">
        <v>1609</v>
      </c>
      <c r="C520" s="3" t="s">
        <v>1596</v>
      </c>
      <c r="D520" s="3" t="s">
        <v>156</v>
      </c>
      <c r="E520" s="3" t="s">
        <v>157</v>
      </c>
      <c r="F520" s="2">
        <v>1</v>
      </c>
      <c r="G520" s="4">
        <v>1.0203768959705835</v>
      </c>
      <c r="H520" s="2">
        <v>25</v>
      </c>
      <c r="I520" s="2">
        <v>5</v>
      </c>
      <c r="J520" s="2">
        <v>1</v>
      </c>
      <c r="K520" s="11">
        <v>0.10750920503908201</v>
      </c>
      <c r="L520" s="11">
        <v>6.9057436445612061E-2</v>
      </c>
      <c r="M520" s="4">
        <v>6.9057436445612061E-2</v>
      </c>
      <c r="N520" s="10">
        <v>6.9000000000000006E-2</v>
      </c>
      <c r="O520" s="4">
        <v>0.3429282028604006</v>
      </c>
      <c r="P520" s="4">
        <v>0.34</v>
      </c>
      <c r="Q520" s="3" t="s">
        <v>1597</v>
      </c>
      <c r="R520" s="3" t="s">
        <v>1610</v>
      </c>
      <c r="S520" s="3" t="s">
        <v>1611</v>
      </c>
      <c r="T520" s="3"/>
    </row>
    <row r="521" spans="1:20">
      <c r="A521" s="3" t="s">
        <v>1600</v>
      </c>
      <c r="B521" s="3" t="s">
        <v>1601</v>
      </c>
      <c r="C521" s="3" t="s">
        <v>1616</v>
      </c>
      <c r="D521" s="3" t="s">
        <v>156</v>
      </c>
      <c r="E521" s="3" t="s">
        <v>157</v>
      </c>
      <c r="F521" s="2">
        <v>1</v>
      </c>
      <c r="G521" s="4">
        <v>1.0203768959705835</v>
      </c>
      <c r="H521" s="2">
        <v>25</v>
      </c>
      <c r="I521" s="2">
        <v>5</v>
      </c>
      <c r="J521" s="2">
        <v>16</v>
      </c>
      <c r="K521" s="4">
        <v>0.22378480434045211</v>
      </c>
      <c r="L521" s="4">
        <v>5.2316210471140094E-2</v>
      </c>
      <c r="M521" s="4">
        <v>5.2316210471140094E-2</v>
      </c>
      <c r="N521" s="10">
        <v>5.1999999999999998E-2</v>
      </c>
      <c r="O521" s="4">
        <v>0.25961747116088901</v>
      </c>
      <c r="P521" s="4">
        <v>0.26</v>
      </c>
      <c r="Q521" s="3" t="s">
        <v>1597</v>
      </c>
      <c r="R521" s="3" t="s">
        <v>1602</v>
      </c>
      <c r="S521" s="3" t="s">
        <v>1603</v>
      </c>
      <c r="T521" s="3"/>
    </row>
    <row r="522" spans="1:20">
      <c r="A522" s="12" t="s">
        <v>1605</v>
      </c>
      <c r="B522" s="3" t="s">
        <v>1601</v>
      </c>
      <c r="C522" s="3" t="s">
        <v>1596</v>
      </c>
      <c r="D522" s="3" t="s">
        <v>156</v>
      </c>
      <c r="E522" s="3" t="s">
        <v>157</v>
      </c>
      <c r="F522" s="2">
        <v>1</v>
      </c>
      <c r="G522" s="4">
        <v>1.0203768959705835</v>
      </c>
      <c r="H522" s="2">
        <v>25</v>
      </c>
      <c r="I522" s="2">
        <v>5</v>
      </c>
      <c r="J522" s="2">
        <v>16</v>
      </c>
      <c r="K522" s="11">
        <v>0.45864952923254954</v>
      </c>
      <c r="L522" s="11">
        <v>4.9234905347331277E-2</v>
      </c>
      <c r="M522" s="4">
        <v>4.9234905347331277E-2</v>
      </c>
      <c r="N522" s="10">
        <v>4.9000000000000002E-2</v>
      </c>
      <c r="O522" s="4">
        <v>0.24430105611143388</v>
      </c>
      <c r="P522" s="4">
        <v>0.24</v>
      </c>
      <c r="Q522" s="3" t="s">
        <v>1597</v>
      </c>
      <c r="R522" s="3" t="s">
        <v>1602</v>
      </c>
      <c r="S522" s="3" t="s">
        <v>1603</v>
      </c>
      <c r="T522" s="3"/>
    </row>
    <row r="523" spans="1:20">
      <c r="A523" s="3" t="s">
        <v>1604</v>
      </c>
      <c r="B523" s="3" t="s">
        <v>1601</v>
      </c>
      <c r="C523" s="3" t="s">
        <v>1596</v>
      </c>
      <c r="D523" s="3" t="s">
        <v>156</v>
      </c>
      <c r="E523" s="3" t="s">
        <v>157</v>
      </c>
      <c r="F523" s="2">
        <v>1</v>
      </c>
      <c r="G523" s="4">
        <v>1.0203768959705835</v>
      </c>
      <c r="H523" s="2">
        <v>25</v>
      </c>
      <c r="I523" s="2">
        <v>30</v>
      </c>
      <c r="J523" s="2">
        <v>16</v>
      </c>
      <c r="K523" s="4">
        <v>0.96688699656366295</v>
      </c>
      <c r="L523" s="4">
        <v>9.7652656594049512E-3</v>
      </c>
      <c r="M523" s="4">
        <v>9.7652656594049512E-3</v>
      </c>
      <c r="N523" s="10">
        <v>0.01</v>
      </c>
      <c r="O523" s="4">
        <v>4.8417104644346995E-2</v>
      </c>
      <c r="P523" s="4">
        <v>0.05</v>
      </c>
      <c r="Q523" s="3" t="s">
        <v>1597</v>
      </c>
      <c r="R523" s="3" t="s">
        <v>1602</v>
      </c>
      <c r="S523" s="3" t="s">
        <v>1603</v>
      </c>
      <c r="T523" s="3"/>
    </row>
    <row r="524" spans="1:20">
      <c r="A524" s="3" t="s">
        <v>1600</v>
      </c>
      <c r="B524" s="3" t="s">
        <v>1606</v>
      </c>
      <c r="C524" s="3" t="s">
        <v>1596</v>
      </c>
      <c r="D524" s="3" t="s">
        <v>156</v>
      </c>
      <c r="E524" s="3" t="s">
        <v>157</v>
      </c>
      <c r="F524" s="2">
        <v>1</v>
      </c>
      <c r="G524" s="4">
        <v>1.0203768959705835</v>
      </c>
      <c r="H524" s="2">
        <v>25</v>
      </c>
      <c r="I524" s="2">
        <v>5</v>
      </c>
      <c r="J524" s="2">
        <v>1</v>
      </c>
      <c r="K524" s="11">
        <v>0</v>
      </c>
      <c r="L524" s="11">
        <v>0</v>
      </c>
      <c r="M524" s="4">
        <v>0</v>
      </c>
      <c r="N524" s="10">
        <v>0</v>
      </c>
      <c r="O524" s="4">
        <v>0</v>
      </c>
      <c r="P524" s="4">
        <v>0</v>
      </c>
      <c r="Q524" s="3" t="s">
        <v>1617</v>
      </c>
      <c r="R524" s="3" t="s">
        <v>1621</v>
      </c>
      <c r="S524" s="3" t="s">
        <v>1622</v>
      </c>
      <c r="T524" s="3"/>
    </row>
    <row r="525" spans="1:20">
      <c r="A525" s="3" t="s">
        <v>1600</v>
      </c>
      <c r="B525" s="3" t="s">
        <v>1609</v>
      </c>
      <c r="C525" s="3" t="s">
        <v>1616</v>
      </c>
      <c r="D525" s="3" t="s">
        <v>156</v>
      </c>
      <c r="E525" s="3" t="s">
        <v>157</v>
      </c>
      <c r="F525" s="2">
        <v>1</v>
      </c>
      <c r="G525" s="4">
        <v>1.0203768959705835</v>
      </c>
      <c r="H525" s="2">
        <v>25</v>
      </c>
      <c r="I525" s="2">
        <v>5</v>
      </c>
      <c r="J525" s="2">
        <v>1</v>
      </c>
      <c r="K525" s="4">
        <v>0</v>
      </c>
      <c r="L525" s="4">
        <v>0</v>
      </c>
      <c r="M525" s="4">
        <v>0</v>
      </c>
      <c r="N525" s="10">
        <v>0</v>
      </c>
      <c r="O525" s="4">
        <v>0</v>
      </c>
      <c r="P525" s="4">
        <v>0</v>
      </c>
      <c r="Q525" s="3" t="s">
        <v>1617</v>
      </c>
      <c r="R525" s="3" t="s">
        <v>1623</v>
      </c>
      <c r="S525" s="3" t="s">
        <v>1624</v>
      </c>
      <c r="T525" s="3"/>
    </row>
    <row r="526" spans="1:20">
      <c r="A526" s="3" t="s">
        <v>1600</v>
      </c>
      <c r="B526" s="3" t="s">
        <v>1609</v>
      </c>
      <c r="C526" s="3" t="s">
        <v>1596</v>
      </c>
      <c r="D526" s="3" t="s">
        <v>156</v>
      </c>
      <c r="E526" s="3" t="s">
        <v>157</v>
      </c>
      <c r="F526" s="2">
        <v>1</v>
      </c>
      <c r="G526" s="4">
        <v>1.0203768959705835</v>
      </c>
      <c r="H526" s="2">
        <v>25</v>
      </c>
      <c r="I526" s="2">
        <v>5</v>
      </c>
      <c r="J526" s="2">
        <v>16</v>
      </c>
      <c r="K526" s="4">
        <v>1</v>
      </c>
      <c r="L526" s="4">
        <v>-1.0444824821381113E-2</v>
      </c>
      <c r="M526" s="4">
        <v>1.0444824821381113E-2</v>
      </c>
      <c r="N526" s="10">
        <v>0.01</v>
      </c>
      <c r="O526" s="4">
        <v>5.178665991703249E-2</v>
      </c>
      <c r="P526" s="4">
        <v>-0.05</v>
      </c>
      <c r="Q526" s="3" t="s">
        <v>1617</v>
      </c>
      <c r="R526" s="3" t="s">
        <v>1623</v>
      </c>
      <c r="S526" s="3" t="s">
        <v>1624</v>
      </c>
      <c r="T526" s="3"/>
    </row>
    <row r="527" spans="1:20">
      <c r="A527" s="3" t="s">
        <v>1600</v>
      </c>
      <c r="B527" s="3" t="s">
        <v>1606</v>
      </c>
      <c r="C527" s="3" t="s">
        <v>1596</v>
      </c>
      <c r="D527" s="3" t="s">
        <v>156</v>
      </c>
      <c r="E527" s="3" t="s">
        <v>157</v>
      </c>
      <c r="F527" s="2">
        <v>1</v>
      </c>
      <c r="G527" s="4">
        <v>1.0203768959705835</v>
      </c>
      <c r="H527" s="2">
        <v>25</v>
      </c>
      <c r="I527" s="2">
        <v>5</v>
      </c>
      <c r="J527" s="2">
        <v>16</v>
      </c>
      <c r="K527" s="11">
        <v>0.53767933361524456</v>
      </c>
      <c r="L527" s="11">
        <v>-6.0615438435973681E-2</v>
      </c>
      <c r="M527" s="4">
        <v>6.0615438435973681E-2</v>
      </c>
      <c r="N527" s="10">
        <v>6.0999999999999999E-2</v>
      </c>
      <c r="O527" s="4">
        <v>0.30089636832370936</v>
      </c>
      <c r="P527" s="4">
        <v>-0.3</v>
      </c>
      <c r="Q527" s="3" t="s">
        <v>1617</v>
      </c>
      <c r="R527" s="3" t="s">
        <v>1621</v>
      </c>
      <c r="S527" s="3" t="s">
        <v>1622</v>
      </c>
      <c r="T527" s="3"/>
    </row>
    <row r="528" spans="1:20">
      <c r="A528" s="3" t="s">
        <v>1594</v>
      </c>
      <c r="B528" s="3" t="s">
        <v>1595</v>
      </c>
      <c r="C528" s="3" t="s">
        <v>1596</v>
      </c>
      <c r="D528" s="3" t="s">
        <v>156</v>
      </c>
      <c r="E528" s="3" t="s">
        <v>157</v>
      </c>
      <c r="F528" s="2">
        <v>1</v>
      </c>
      <c r="G528" s="4">
        <v>1.0203768959705835</v>
      </c>
      <c r="H528" s="2">
        <v>50</v>
      </c>
      <c r="I528" s="2">
        <v>5</v>
      </c>
      <c r="J528" s="2">
        <v>16</v>
      </c>
      <c r="K528" s="4">
        <v>0.84268701153703018</v>
      </c>
      <c r="L528" s="14">
        <v>-6.8337451410179856E-2</v>
      </c>
      <c r="M528" s="4">
        <v>6.8337451410179856E-2</v>
      </c>
      <c r="N528" s="10">
        <v>6.8000000000000005E-2</v>
      </c>
      <c r="O528" s="4">
        <v>0.36779557214710984</v>
      </c>
      <c r="P528" s="4">
        <v>-0.37</v>
      </c>
      <c r="Q528" s="3" t="s">
        <v>1617</v>
      </c>
      <c r="R528" s="3" t="s">
        <v>1625</v>
      </c>
      <c r="S528" s="3" t="s">
        <v>1626</v>
      </c>
      <c r="T528" s="3"/>
    </row>
    <row r="529" spans="1:20">
      <c r="A529" s="3" t="s">
        <v>1600</v>
      </c>
      <c r="B529" s="3" t="s">
        <v>1601</v>
      </c>
      <c r="C529" s="3" t="s">
        <v>1596</v>
      </c>
      <c r="D529" s="3" t="s">
        <v>1334</v>
      </c>
      <c r="E529" s="3" t="s">
        <v>1335</v>
      </c>
      <c r="F529" s="2">
        <v>1</v>
      </c>
      <c r="G529" s="4">
        <v>1.0209226115452481</v>
      </c>
      <c r="H529" s="2">
        <v>25</v>
      </c>
      <c r="I529" s="2">
        <v>5</v>
      </c>
      <c r="J529" s="2">
        <v>1</v>
      </c>
      <c r="K529" s="4">
        <v>4.2607542022568778E-2</v>
      </c>
      <c r="L529" s="4">
        <v>9.9374241150649106E-2</v>
      </c>
      <c r="M529" s="4">
        <v>9.9374241150649106E-2</v>
      </c>
      <c r="N529" s="10">
        <v>9.9000000000000005E-2</v>
      </c>
      <c r="O529" s="4">
        <v>0.49432265470574543</v>
      </c>
      <c r="P529" s="4">
        <v>0.49</v>
      </c>
      <c r="Q529" s="3" t="s">
        <v>1597</v>
      </c>
      <c r="R529" s="3" t="s">
        <v>1602</v>
      </c>
      <c r="S529" s="3" t="s">
        <v>1603</v>
      </c>
      <c r="T529" s="3"/>
    </row>
    <row r="530" spans="1:20">
      <c r="A530" s="3" t="s">
        <v>1594</v>
      </c>
      <c r="B530" s="3" t="s">
        <v>1612</v>
      </c>
      <c r="C530" s="3" t="s">
        <v>1596</v>
      </c>
      <c r="D530" s="3" t="s">
        <v>1334</v>
      </c>
      <c r="E530" s="3" t="s">
        <v>1335</v>
      </c>
      <c r="F530" s="2">
        <v>1</v>
      </c>
      <c r="G530" s="4">
        <v>1.0209226115452481</v>
      </c>
      <c r="H530" s="2">
        <v>50</v>
      </c>
      <c r="I530" s="2">
        <v>5</v>
      </c>
      <c r="J530" s="2">
        <v>16</v>
      </c>
      <c r="K530" s="4">
        <v>0.8917011808656421</v>
      </c>
      <c r="L530" s="4">
        <v>7.0874861572535988E-2</v>
      </c>
      <c r="M530" s="4">
        <v>7.0874861572535988E-2</v>
      </c>
      <c r="N530" s="10">
        <v>7.0999999999999994E-2</v>
      </c>
      <c r="O530" s="4">
        <v>0.38149714692324904</v>
      </c>
      <c r="P530" s="4">
        <v>0.38</v>
      </c>
      <c r="Q530" s="3" t="s">
        <v>1597</v>
      </c>
      <c r="R530" s="3" t="s">
        <v>1613</v>
      </c>
      <c r="S530" s="3" t="s">
        <v>1614</v>
      </c>
      <c r="T530" s="3"/>
    </row>
    <row r="531" spans="1:20">
      <c r="A531" s="3" t="s">
        <v>1604</v>
      </c>
      <c r="B531" s="3" t="s">
        <v>1601</v>
      </c>
      <c r="C531" s="3" t="s">
        <v>1616</v>
      </c>
      <c r="D531" s="3" t="s">
        <v>1334</v>
      </c>
      <c r="E531" s="3" t="s">
        <v>1335</v>
      </c>
      <c r="F531" s="2">
        <v>1</v>
      </c>
      <c r="G531" s="4">
        <v>1.0209226115452481</v>
      </c>
      <c r="H531" s="2">
        <v>25</v>
      </c>
      <c r="I531" s="2">
        <v>30</v>
      </c>
      <c r="J531" s="2">
        <v>16</v>
      </c>
      <c r="K531" s="4">
        <v>6.6424759644868492E-2</v>
      </c>
      <c r="L531" s="4">
        <v>2.3709046978361546E-2</v>
      </c>
      <c r="M531" s="4">
        <v>2.3709046978361546E-2</v>
      </c>
      <c r="N531" s="10">
        <v>2.4E-2</v>
      </c>
      <c r="O531" s="4">
        <v>0.11756997857704071</v>
      </c>
      <c r="P531" s="4">
        <v>0.12</v>
      </c>
      <c r="Q531" s="3" t="s">
        <v>1597</v>
      </c>
      <c r="R531" s="3" t="s">
        <v>1602</v>
      </c>
      <c r="S531" s="3" t="s">
        <v>1603</v>
      </c>
      <c r="T531" s="3"/>
    </row>
    <row r="532" spans="1:20">
      <c r="A532" s="3" t="s">
        <v>1594</v>
      </c>
      <c r="B532" s="3" t="s">
        <v>1595</v>
      </c>
      <c r="C532" s="3" t="s">
        <v>1596</v>
      </c>
      <c r="D532" s="3" t="s">
        <v>1334</v>
      </c>
      <c r="E532" s="3" t="s">
        <v>1335</v>
      </c>
      <c r="F532" s="2">
        <v>1</v>
      </c>
      <c r="G532" s="4">
        <v>1.0209226115452481</v>
      </c>
      <c r="H532" s="2">
        <v>25</v>
      </c>
      <c r="I532" s="2">
        <v>5</v>
      </c>
      <c r="J532" s="2">
        <v>16</v>
      </c>
      <c r="K532" s="4">
        <v>1</v>
      </c>
      <c r="L532" s="4">
        <v>1.3305505175722624E-2</v>
      </c>
      <c r="M532" s="4">
        <v>1.3305505175722624E-2</v>
      </c>
      <c r="N532" s="10">
        <v>1.2999999999999999E-2</v>
      </c>
      <c r="O532" s="4">
        <v>6.5971741084315555E-2</v>
      </c>
      <c r="P532" s="4">
        <v>0.06</v>
      </c>
      <c r="Q532" s="3" t="s">
        <v>1597</v>
      </c>
      <c r="R532" s="3" t="s">
        <v>1598</v>
      </c>
      <c r="S532" s="3" t="s">
        <v>1599</v>
      </c>
      <c r="T532" s="3"/>
    </row>
    <row r="533" spans="1:20">
      <c r="A533" s="3" t="s">
        <v>1594</v>
      </c>
      <c r="B533" s="3" t="s">
        <v>1595</v>
      </c>
      <c r="C533" s="3" t="s">
        <v>1596</v>
      </c>
      <c r="D533" s="3" t="s">
        <v>1334</v>
      </c>
      <c r="E533" s="3" t="s">
        <v>1335</v>
      </c>
      <c r="F533" s="2">
        <v>1</v>
      </c>
      <c r="G533" s="4">
        <v>1.0209226115452481</v>
      </c>
      <c r="H533" s="2">
        <v>50</v>
      </c>
      <c r="I533" s="2">
        <v>5</v>
      </c>
      <c r="J533" s="2">
        <v>16</v>
      </c>
      <c r="K533" s="4">
        <v>1</v>
      </c>
      <c r="L533" s="4">
        <v>5.7438418448983305E-3</v>
      </c>
      <c r="M533" s="4">
        <v>5.7438418448983305E-3</v>
      </c>
      <c r="N533" s="10">
        <v>6.0000000000000001E-3</v>
      </c>
      <c r="O533" s="4">
        <v>3.0865800364034506E-2</v>
      </c>
      <c r="P533" s="4">
        <v>0.03</v>
      </c>
      <c r="Q533" s="3" t="s">
        <v>1597</v>
      </c>
      <c r="R533" s="3" t="s">
        <v>1598</v>
      </c>
      <c r="S533" s="3" t="s">
        <v>1599</v>
      </c>
      <c r="T533" s="3"/>
    </row>
    <row r="534" spans="1:20">
      <c r="A534" s="3" t="s">
        <v>1600</v>
      </c>
      <c r="B534" s="3" t="s">
        <v>1601</v>
      </c>
      <c r="C534" s="3" t="s">
        <v>1616</v>
      </c>
      <c r="D534" s="3" t="s">
        <v>1334</v>
      </c>
      <c r="E534" s="3" t="s">
        <v>1335</v>
      </c>
      <c r="F534" s="2">
        <v>1</v>
      </c>
      <c r="G534" s="4">
        <v>1.0209226115452481</v>
      </c>
      <c r="H534" s="2">
        <v>25</v>
      </c>
      <c r="I534" s="2">
        <v>5</v>
      </c>
      <c r="J534" s="2">
        <v>1</v>
      </c>
      <c r="K534" s="4">
        <v>0</v>
      </c>
      <c r="L534" s="4">
        <v>0</v>
      </c>
      <c r="M534" s="4">
        <v>0</v>
      </c>
      <c r="N534" s="10">
        <v>0</v>
      </c>
      <c r="O534" s="4">
        <v>0</v>
      </c>
      <c r="P534" s="4">
        <v>0</v>
      </c>
      <c r="Q534" s="3" t="s">
        <v>1617</v>
      </c>
      <c r="R534" s="3" t="s">
        <v>1618</v>
      </c>
      <c r="S534" s="3" t="s">
        <v>1619</v>
      </c>
      <c r="T534" s="3"/>
    </row>
    <row r="535" spans="1:20">
      <c r="A535" s="3" t="s">
        <v>1600</v>
      </c>
      <c r="B535" s="3" t="s">
        <v>1606</v>
      </c>
      <c r="C535" s="3" t="s">
        <v>1616</v>
      </c>
      <c r="D535" s="3" t="s">
        <v>1334</v>
      </c>
      <c r="E535" s="3" t="s">
        <v>1335</v>
      </c>
      <c r="F535" s="2">
        <v>1</v>
      </c>
      <c r="G535" s="4">
        <v>1.0209226115452481</v>
      </c>
      <c r="H535" s="2">
        <v>25</v>
      </c>
      <c r="I535" s="2">
        <v>5</v>
      </c>
      <c r="J535" s="2">
        <v>1</v>
      </c>
      <c r="K535" s="4">
        <v>0</v>
      </c>
      <c r="L535" s="4">
        <v>0</v>
      </c>
      <c r="M535" s="4">
        <v>0</v>
      </c>
      <c r="N535" s="10">
        <v>0</v>
      </c>
      <c r="O535" s="4">
        <v>0</v>
      </c>
      <c r="P535" s="4">
        <v>0</v>
      </c>
      <c r="Q535" s="3" t="s">
        <v>1617</v>
      </c>
      <c r="R535" s="3" t="s">
        <v>1621</v>
      </c>
      <c r="S535" s="3" t="s">
        <v>1622</v>
      </c>
      <c r="T535" s="3"/>
    </row>
    <row r="536" spans="1:20">
      <c r="A536" s="3" t="s">
        <v>1604</v>
      </c>
      <c r="B536" s="3" t="s">
        <v>1601</v>
      </c>
      <c r="C536" s="3" t="s">
        <v>1596</v>
      </c>
      <c r="D536" s="3" t="s">
        <v>1334</v>
      </c>
      <c r="E536" s="3" t="s">
        <v>1335</v>
      </c>
      <c r="F536" s="2">
        <v>1</v>
      </c>
      <c r="G536" s="4">
        <v>1.0209226115452481</v>
      </c>
      <c r="H536" s="2">
        <v>25</v>
      </c>
      <c r="I536" s="2">
        <v>30</v>
      </c>
      <c r="J536" s="2">
        <v>16</v>
      </c>
      <c r="K536" s="4">
        <v>0.86888926949954737</v>
      </c>
      <c r="L536" s="4">
        <v>-8.889710380277166E-3</v>
      </c>
      <c r="M536" s="4">
        <v>8.889710380277166E-3</v>
      </c>
      <c r="N536" s="10">
        <v>8.9999999999999993E-3</v>
      </c>
      <c r="O536" s="4">
        <v>4.4075779317962999E-2</v>
      </c>
      <c r="P536" s="4">
        <v>-0.04</v>
      </c>
      <c r="Q536" s="3" t="s">
        <v>1617</v>
      </c>
      <c r="R536" s="3" t="s">
        <v>1618</v>
      </c>
      <c r="S536" s="3" t="s">
        <v>1619</v>
      </c>
      <c r="T536" s="3"/>
    </row>
    <row r="537" spans="1:20">
      <c r="A537" s="3" t="s">
        <v>1600</v>
      </c>
      <c r="B537" s="3" t="s">
        <v>1606</v>
      </c>
      <c r="C537" s="3" t="s">
        <v>1616</v>
      </c>
      <c r="D537" s="3" t="s">
        <v>1334</v>
      </c>
      <c r="E537" s="3" t="s">
        <v>1335</v>
      </c>
      <c r="F537" s="2">
        <v>1</v>
      </c>
      <c r="G537" s="4">
        <v>1.0209226115452481</v>
      </c>
      <c r="H537" s="2">
        <v>25</v>
      </c>
      <c r="I537" s="2">
        <v>5</v>
      </c>
      <c r="J537" s="2">
        <v>16</v>
      </c>
      <c r="K537" s="4">
        <v>0.4644337765715516</v>
      </c>
      <c r="L537" s="4">
        <v>-2.0789320268918748E-2</v>
      </c>
      <c r="M537" s="4">
        <v>2.0789320268918748E-2</v>
      </c>
      <c r="N537" s="10">
        <v>2.1000000000000001E-2</v>
      </c>
      <c r="O537" s="4">
        <v>0.10308697961958002</v>
      </c>
      <c r="P537" s="4">
        <v>-0.1</v>
      </c>
      <c r="Q537" s="3" t="s">
        <v>1617</v>
      </c>
      <c r="R537" s="3" t="s">
        <v>1621</v>
      </c>
      <c r="S537" s="3" t="s">
        <v>1622</v>
      </c>
      <c r="T537" s="3"/>
    </row>
    <row r="538" spans="1:20">
      <c r="A538" s="3" t="s">
        <v>1600</v>
      </c>
      <c r="B538" s="3" t="s">
        <v>1609</v>
      </c>
      <c r="C538" s="3" t="s">
        <v>1596</v>
      </c>
      <c r="D538" s="3" t="s">
        <v>1334</v>
      </c>
      <c r="E538" s="3" t="s">
        <v>1335</v>
      </c>
      <c r="F538" s="2">
        <v>1</v>
      </c>
      <c r="G538" s="4">
        <v>1.0209226115452481</v>
      </c>
      <c r="H538" s="2">
        <v>25</v>
      </c>
      <c r="I538" s="2">
        <v>5</v>
      </c>
      <c r="J538" s="2">
        <v>1</v>
      </c>
      <c r="K538" s="4">
        <v>8.5065351744433415E-2</v>
      </c>
      <c r="L538" s="4">
        <v>-2.2235729119181483E-2</v>
      </c>
      <c r="M538" s="4">
        <v>2.2235729119181483E-2</v>
      </c>
      <c r="N538" s="10">
        <v>2.1999999999999999E-2</v>
      </c>
      <c r="O538" s="4">
        <v>0.1102615041774217</v>
      </c>
      <c r="P538" s="4">
        <v>-0.11</v>
      </c>
      <c r="Q538" s="3" t="s">
        <v>1617</v>
      </c>
      <c r="R538" s="3" t="s">
        <v>1623</v>
      </c>
      <c r="S538" s="3" t="s">
        <v>1624</v>
      </c>
      <c r="T538" s="3"/>
    </row>
    <row r="539" spans="1:20">
      <c r="A539" s="3" t="s">
        <v>1600</v>
      </c>
      <c r="B539" s="3" t="s">
        <v>1606</v>
      </c>
      <c r="C539" s="3" t="s">
        <v>1596</v>
      </c>
      <c r="D539" s="3" t="s">
        <v>1334</v>
      </c>
      <c r="E539" s="3" t="s">
        <v>1335</v>
      </c>
      <c r="F539" s="2">
        <v>1</v>
      </c>
      <c r="G539" s="4">
        <v>1.0209226115452481</v>
      </c>
      <c r="H539" s="2">
        <v>25</v>
      </c>
      <c r="I539" s="2">
        <v>5</v>
      </c>
      <c r="J539" s="2">
        <v>1</v>
      </c>
      <c r="K539" s="4">
        <v>0.97838063766835126</v>
      </c>
      <c r="L539" s="4">
        <v>-3.1187658611640232E-2</v>
      </c>
      <c r="M539" s="4">
        <v>3.1187658611640232E-2</v>
      </c>
      <c r="N539" s="10">
        <v>3.1E-2</v>
      </c>
      <c r="O539" s="4">
        <v>0.15467658907831283</v>
      </c>
      <c r="P539" s="4">
        <v>-0.15</v>
      </c>
      <c r="Q539" s="3" t="s">
        <v>1617</v>
      </c>
      <c r="R539" s="3" t="s">
        <v>1621</v>
      </c>
      <c r="S539" s="3" t="s">
        <v>1622</v>
      </c>
      <c r="T539" s="3"/>
    </row>
    <row r="540" spans="1:20">
      <c r="A540" s="3" t="s">
        <v>1600</v>
      </c>
      <c r="B540" s="3" t="s">
        <v>1601</v>
      </c>
      <c r="C540" s="3" t="s">
        <v>1596</v>
      </c>
      <c r="D540" s="3" t="s">
        <v>1334</v>
      </c>
      <c r="E540" s="3" t="s">
        <v>1335</v>
      </c>
      <c r="F540" s="2">
        <v>1</v>
      </c>
      <c r="G540" s="4">
        <v>1.0209226115452481</v>
      </c>
      <c r="H540" s="2">
        <v>25</v>
      </c>
      <c r="I540" s="2">
        <v>5</v>
      </c>
      <c r="J540" s="2">
        <v>16</v>
      </c>
      <c r="K540" s="4">
        <v>0.27895372885260861</v>
      </c>
      <c r="L540" s="4">
        <v>-3.2101455947620969E-2</v>
      </c>
      <c r="M540" s="4">
        <v>3.2101455947620969E-2</v>
      </c>
      <c r="N540" s="10">
        <v>3.2000000000000001E-2</v>
      </c>
      <c r="O540" s="4">
        <v>0.15921167976381151</v>
      </c>
      <c r="P540" s="4">
        <v>-0.16</v>
      </c>
      <c r="Q540" s="3" t="s">
        <v>1617</v>
      </c>
      <c r="R540" s="3" t="s">
        <v>1618</v>
      </c>
      <c r="S540" s="3" t="s">
        <v>1619</v>
      </c>
      <c r="T540" s="3"/>
    </row>
    <row r="541" spans="1:20">
      <c r="A541" s="3" t="s">
        <v>1600</v>
      </c>
      <c r="B541" s="3" t="s">
        <v>1606</v>
      </c>
      <c r="C541" s="3" t="s">
        <v>1596</v>
      </c>
      <c r="D541" s="3" t="s">
        <v>1334</v>
      </c>
      <c r="E541" s="3" t="s">
        <v>1335</v>
      </c>
      <c r="F541" s="2">
        <v>1</v>
      </c>
      <c r="G541" s="4">
        <v>1.0209226115452481</v>
      </c>
      <c r="H541" s="2">
        <v>25</v>
      </c>
      <c r="I541" s="2">
        <v>5</v>
      </c>
      <c r="J541" s="2">
        <v>16</v>
      </c>
      <c r="K541" s="4">
        <v>1</v>
      </c>
      <c r="L541" s="4">
        <v>-3.9589718577365922E-2</v>
      </c>
      <c r="M541" s="4">
        <v>3.9589718577365922E-2</v>
      </c>
      <c r="N541" s="10">
        <v>0.04</v>
      </c>
      <c r="O541" s="4">
        <v>0.19638594930486034</v>
      </c>
      <c r="P541" s="4">
        <v>-0.2</v>
      </c>
      <c r="Q541" s="3" t="s">
        <v>1617</v>
      </c>
      <c r="R541" s="3" t="s">
        <v>1621</v>
      </c>
      <c r="S541" s="3" t="s">
        <v>1622</v>
      </c>
      <c r="T541" s="3"/>
    </row>
    <row r="542" spans="1:20">
      <c r="A542" s="3" t="s">
        <v>1600</v>
      </c>
      <c r="B542" s="3" t="s">
        <v>1601</v>
      </c>
      <c r="C542" s="3" t="s">
        <v>1616</v>
      </c>
      <c r="D542" s="3" t="s">
        <v>1334</v>
      </c>
      <c r="E542" s="3" t="s">
        <v>1335</v>
      </c>
      <c r="F542" s="2">
        <v>1</v>
      </c>
      <c r="G542" s="4">
        <v>1.0209226115452481</v>
      </c>
      <c r="H542" s="2">
        <v>25</v>
      </c>
      <c r="I542" s="2">
        <v>5</v>
      </c>
      <c r="J542" s="2">
        <v>16</v>
      </c>
      <c r="K542" s="4">
        <v>5.6381501063617279E-2</v>
      </c>
      <c r="L542" s="4">
        <v>-4.8117977197943834E-2</v>
      </c>
      <c r="M542" s="4">
        <v>4.8117977197943834E-2</v>
      </c>
      <c r="N542" s="10">
        <v>4.8000000000000001E-2</v>
      </c>
      <c r="O542" s="4">
        <v>0.23875024478691051</v>
      </c>
      <c r="P542" s="4">
        <v>-0.24</v>
      </c>
      <c r="Q542" s="3" t="s">
        <v>1617</v>
      </c>
      <c r="R542" s="3" t="s">
        <v>1618</v>
      </c>
      <c r="S542" s="3" t="s">
        <v>1619</v>
      </c>
      <c r="T542" s="3"/>
    </row>
    <row r="543" spans="1:20">
      <c r="A543" s="3" t="s">
        <v>1605</v>
      </c>
      <c r="B543" s="3" t="s">
        <v>1601</v>
      </c>
      <c r="C543" s="3" t="s">
        <v>1596</v>
      </c>
      <c r="D543" s="3" t="s">
        <v>1334</v>
      </c>
      <c r="E543" s="3" t="s">
        <v>1335</v>
      </c>
      <c r="F543" s="2">
        <v>1</v>
      </c>
      <c r="G543" s="4">
        <v>1.0209226115452481</v>
      </c>
      <c r="H543" s="2">
        <v>25</v>
      </c>
      <c r="I543" s="2">
        <v>5</v>
      </c>
      <c r="J543" s="2">
        <v>16</v>
      </c>
      <c r="K543" s="4">
        <v>0.34070657819249472</v>
      </c>
      <c r="L543" s="4">
        <v>-5.2809418602504536E-2</v>
      </c>
      <c r="M543" s="4">
        <v>5.2809418602504536E-2</v>
      </c>
      <c r="N543" s="10">
        <v>5.2999999999999999E-2</v>
      </c>
      <c r="O543" s="4">
        <v>0.26206954043204456</v>
      </c>
      <c r="P543" s="4">
        <v>-0.26</v>
      </c>
      <c r="Q543" s="3" t="s">
        <v>1617</v>
      </c>
      <c r="R543" s="3" t="s">
        <v>1618</v>
      </c>
      <c r="S543" s="3" t="s">
        <v>1619</v>
      </c>
      <c r="T543" s="3"/>
    </row>
    <row r="544" spans="1:20">
      <c r="A544" s="3" t="s">
        <v>1600</v>
      </c>
      <c r="B544" s="3" t="s">
        <v>1609</v>
      </c>
      <c r="C544" s="3" t="s">
        <v>1616</v>
      </c>
      <c r="D544" s="3" t="s">
        <v>1334</v>
      </c>
      <c r="E544" s="3" t="s">
        <v>1335</v>
      </c>
      <c r="F544" s="2">
        <v>1</v>
      </c>
      <c r="G544" s="4">
        <v>1.0209226115452481</v>
      </c>
      <c r="H544" s="2">
        <v>25</v>
      </c>
      <c r="I544" s="2">
        <v>5</v>
      </c>
      <c r="J544" s="2">
        <v>1</v>
      </c>
      <c r="K544" s="4">
        <v>1.3026291072433804E-2</v>
      </c>
      <c r="L544" s="4">
        <v>-6.0600117670131397E-2</v>
      </c>
      <c r="M544" s="4">
        <v>6.0600117670131397E-2</v>
      </c>
      <c r="N544" s="10">
        <v>6.0999999999999999E-2</v>
      </c>
      <c r="O544" s="4">
        <v>0.30082012889131143</v>
      </c>
      <c r="P544" s="4">
        <v>-0.3</v>
      </c>
      <c r="Q544" s="3" t="s">
        <v>1617</v>
      </c>
      <c r="R544" s="3" t="s">
        <v>1623</v>
      </c>
      <c r="S544" s="3" t="s">
        <v>1624</v>
      </c>
      <c r="T544" s="3"/>
    </row>
    <row r="545" spans="1:20">
      <c r="A545" s="3" t="s">
        <v>1600</v>
      </c>
      <c r="B545" s="3" t="s">
        <v>1609</v>
      </c>
      <c r="C545" s="3" t="s">
        <v>1596</v>
      </c>
      <c r="D545" s="3" t="s">
        <v>1334</v>
      </c>
      <c r="E545" s="3" t="s">
        <v>1335</v>
      </c>
      <c r="F545" s="2">
        <v>1</v>
      </c>
      <c r="G545" s="4">
        <v>1.0209226115452481</v>
      </c>
      <c r="H545" s="2">
        <v>25</v>
      </c>
      <c r="I545" s="2">
        <v>5</v>
      </c>
      <c r="J545" s="2">
        <v>16</v>
      </c>
      <c r="K545" s="4">
        <v>0.2928367321157862</v>
      </c>
      <c r="L545" s="4">
        <v>-0.18230046088390053</v>
      </c>
      <c r="M545" s="4">
        <v>0.18230046088390053</v>
      </c>
      <c r="N545" s="10">
        <v>0.182</v>
      </c>
      <c r="O545" s="4">
        <v>0.91405110778979326</v>
      </c>
      <c r="P545" s="4">
        <v>-0.91</v>
      </c>
      <c r="Q545" s="3" t="s">
        <v>1617</v>
      </c>
      <c r="R545" s="3" t="s">
        <v>1623</v>
      </c>
      <c r="S545" s="3" t="s">
        <v>1624</v>
      </c>
      <c r="T545" s="3"/>
    </row>
    <row r="546" spans="1:20">
      <c r="A546" s="3" t="s">
        <v>1600</v>
      </c>
      <c r="B546" s="3" t="s">
        <v>1609</v>
      </c>
      <c r="C546" s="3" t="s">
        <v>1616</v>
      </c>
      <c r="D546" s="3" t="s">
        <v>1334</v>
      </c>
      <c r="E546" s="3" t="s">
        <v>1335</v>
      </c>
      <c r="F546" s="2">
        <v>1</v>
      </c>
      <c r="G546" s="4">
        <v>1.0209226115452481</v>
      </c>
      <c r="H546" s="2">
        <v>25</v>
      </c>
      <c r="I546" s="2">
        <v>5</v>
      </c>
      <c r="J546" s="2">
        <v>16</v>
      </c>
      <c r="K546" s="4">
        <v>1.4624387705105213E-2</v>
      </c>
      <c r="L546" s="4">
        <v>-0.21718377088305491</v>
      </c>
      <c r="M546" s="4">
        <v>0.21718377088305491</v>
      </c>
      <c r="N546" s="10">
        <v>0.217</v>
      </c>
      <c r="O546" s="4">
        <v>1.094209406408291</v>
      </c>
      <c r="P546" s="4">
        <v>-1.0900000000000001</v>
      </c>
      <c r="Q546" s="3" t="s">
        <v>1617</v>
      </c>
      <c r="R546" s="3" t="s">
        <v>1623</v>
      </c>
      <c r="S546" s="3" t="s">
        <v>1624</v>
      </c>
      <c r="T546" s="3"/>
    </row>
    <row r="547" spans="1:20">
      <c r="A547" s="3" t="s">
        <v>1600</v>
      </c>
      <c r="B547" s="3" t="s">
        <v>1601</v>
      </c>
      <c r="C547" s="3" t="s">
        <v>1616</v>
      </c>
      <c r="D547" s="3" t="s">
        <v>1074</v>
      </c>
      <c r="E547" s="3" t="s">
        <v>1075</v>
      </c>
      <c r="F547" s="2">
        <v>1</v>
      </c>
      <c r="G547" s="4">
        <v>1.0218423551756883</v>
      </c>
      <c r="H547" s="2">
        <v>25</v>
      </c>
      <c r="I547" s="2">
        <v>5</v>
      </c>
      <c r="J547" s="2">
        <v>16</v>
      </c>
      <c r="K547" s="4">
        <v>1</v>
      </c>
      <c r="L547" s="4">
        <v>2.7853020619161381E-2</v>
      </c>
      <c r="M547" s="4">
        <v>2.7853020619161381E-2</v>
      </c>
      <c r="N547" s="10">
        <v>2.8000000000000001E-2</v>
      </c>
      <c r="O547" s="4">
        <v>0.13812923057114465</v>
      </c>
      <c r="P547" s="4">
        <v>0.14000000000000001</v>
      </c>
      <c r="Q547" s="3" t="s">
        <v>1597</v>
      </c>
      <c r="R547" s="3" t="s">
        <v>1602</v>
      </c>
      <c r="S547" s="3" t="s">
        <v>1603</v>
      </c>
      <c r="T547" s="3"/>
    </row>
    <row r="548" spans="1:20">
      <c r="A548" s="3" t="s">
        <v>1600</v>
      </c>
      <c r="B548" s="3" t="s">
        <v>1601</v>
      </c>
      <c r="C548" s="3" t="s">
        <v>1616</v>
      </c>
      <c r="D548" s="3" t="s">
        <v>1074</v>
      </c>
      <c r="E548" s="3" t="s">
        <v>1075</v>
      </c>
      <c r="F548" s="2">
        <v>1</v>
      </c>
      <c r="G548" s="4">
        <v>1.0218423551756883</v>
      </c>
      <c r="H548" s="2">
        <v>25</v>
      </c>
      <c r="I548" s="2">
        <v>5</v>
      </c>
      <c r="J548" s="2">
        <v>1</v>
      </c>
      <c r="K548" s="4">
        <v>1</v>
      </c>
      <c r="L548" s="4">
        <v>2.1411018822467126E-2</v>
      </c>
      <c r="M548" s="4">
        <v>2.1411018822467126E-2</v>
      </c>
      <c r="N548" s="10">
        <v>2.1000000000000001E-2</v>
      </c>
      <c r="O548" s="4">
        <v>0.10617069449922593</v>
      </c>
      <c r="P548" s="4">
        <v>0.1</v>
      </c>
      <c r="Q548" s="3" t="s">
        <v>1597</v>
      </c>
      <c r="R548" s="3" t="s">
        <v>1602</v>
      </c>
      <c r="S548" s="3" t="s">
        <v>1603</v>
      </c>
      <c r="T548" s="3"/>
    </row>
    <row r="549" spans="1:20">
      <c r="A549" s="3" t="s">
        <v>1604</v>
      </c>
      <c r="B549" s="3" t="s">
        <v>1601</v>
      </c>
      <c r="C549" s="3" t="s">
        <v>1616</v>
      </c>
      <c r="D549" s="3" t="s">
        <v>1074</v>
      </c>
      <c r="E549" s="3" t="s">
        <v>1075</v>
      </c>
      <c r="F549" s="2">
        <v>1</v>
      </c>
      <c r="G549" s="4">
        <v>1.0218423551756883</v>
      </c>
      <c r="H549" s="2">
        <v>25</v>
      </c>
      <c r="I549" s="2">
        <v>30</v>
      </c>
      <c r="J549" s="2">
        <v>16</v>
      </c>
      <c r="K549" s="4">
        <v>1</v>
      </c>
      <c r="L549" s="4">
        <v>-3.5758075943304597E-3</v>
      </c>
      <c r="M549" s="4">
        <v>3.5758075943304597E-3</v>
      </c>
      <c r="N549" s="10">
        <v>4.0000000000000001E-3</v>
      </c>
      <c r="O549" s="4">
        <v>1.7728702014885904E-2</v>
      </c>
      <c r="P549" s="4">
        <v>-0.02</v>
      </c>
      <c r="Q549" s="3" t="s">
        <v>1617</v>
      </c>
      <c r="R549" s="3" t="s">
        <v>1618</v>
      </c>
      <c r="S549" s="3" t="s">
        <v>1619</v>
      </c>
      <c r="T549" s="3"/>
    </row>
    <row r="550" spans="1:20">
      <c r="A550" s="3" t="s">
        <v>1600</v>
      </c>
      <c r="B550" s="3" t="s">
        <v>1601</v>
      </c>
      <c r="C550" s="3" t="s">
        <v>1596</v>
      </c>
      <c r="D550" s="3" t="s">
        <v>1074</v>
      </c>
      <c r="E550" s="3" t="s">
        <v>1075</v>
      </c>
      <c r="F550" s="2">
        <v>1</v>
      </c>
      <c r="G550" s="4">
        <v>1.0218423551756883</v>
      </c>
      <c r="H550" s="2">
        <v>25</v>
      </c>
      <c r="I550" s="2">
        <v>5</v>
      </c>
      <c r="J550" s="2">
        <v>16</v>
      </c>
      <c r="K550" s="4">
        <v>1</v>
      </c>
      <c r="L550" s="4">
        <v>-7.7160755949838575E-3</v>
      </c>
      <c r="M550" s="4">
        <v>7.7160755949838575E-3</v>
      </c>
      <c r="N550" s="10">
        <v>8.0000000000000002E-3</v>
      </c>
      <c r="O550" s="4">
        <v>3.8256570921417384E-2</v>
      </c>
      <c r="P550" s="4">
        <v>-0.04</v>
      </c>
      <c r="Q550" s="3" t="s">
        <v>1617</v>
      </c>
      <c r="R550" s="3" t="s">
        <v>1618</v>
      </c>
      <c r="S550" s="3" t="s">
        <v>1619</v>
      </c>
      <c r="T550" s="3"/>
    </row>
    <row r="551" spans="1:20">
      <c r="A551" s="3" t="s">
        <v>1600</v>
      </c>
      <c r="B551" s="3" t="s">
        <v>1601</v>
      </c>
      <c r="C551" s="3" t="s">
        <v>1596</v>
      </c>
      <c r="D551" s="3" t="s">
        <v>1074</v>
      </c>
      <c r="E551" s="3" t="s">
        <v>1075</v>
      </c>
      <c r="F551" s="2">
        <v>1</v>
      </c>
      <c r="G551" s="4">
        <v>1.0218423551756883</v>
      </c>
      <c r="H551" s="2">
        <v>25</v>
      </c>
      <c r="I551" s="2">
        <v>5</v>
      </c>
      <c r="J551" s="2">
        <v>1</v>
      </c>
      <c r="K551" s="4">
        <v>1</v>
      </c>
      <c r="L551" s="4">
        <v>-1.708527103252596E-2</v>
      </c>
      <c r="M551" s="4">
        <v>1.708527103252596E-2</v>
      </c>
      <c r="N551" s="10">
        <v>1.7000000000000001E-2</v>
      </c>
      <c r="O551" s="4">
        <v>8.4715929986664315E-2</v>
      </c>
      <c r="P551" s="4">
        <v>-0.08</v>
      </c>
      <c r="Q551" s="3" t="s">
        <v>1617</v>
      </c>
      <c r="R551" s="3" t="s">
        <v>1618</v>
      </c>
      <c r="S551" s="3" t="s">
        <v>1619</v>
      </c>
      <c r="T551" s="3"/>
    </row>
    <row r="552" spans="1:20">
      <c r="A552" s="3" t="s">
        <v>1605</v>
      </c>
      <c r="B552" s="3" t="s">
        <v>1601</v>
      </c>
      <c r="C552" s="3" t="s">
        <v>1596</v>
      </c>
      <c r="D552" s="3" t="s">
        <v>1074</v>
      </c>
      <c r="E552" s="3" t="s">
        <v>1075</v>
      </c>
      <c r="F552" s="2">
        <v>1</v>
      </c>
      <c r="G552" s="4">
        <v>1.0218423551756883</v>
      </c>
      <c r="H552" s="2">
        <v>25</v>
      </c>
      <c r="I552" s="2">
        <v>5</v>
      </c>
      <c r="J552" s="2">
        <v>16</v>
      </c>
      <c r="K552" s="4">
        <v>1</v>
      </c>
      <c r="L552" s="4">
        <v>-1.792445411199255E-2</v>
      </c>
      <c r="M552" s="4">
        <v>1.792445411199255E-2</v>
      </c>
      <c r="N552" s="10">
        <v>1.7999999999999999E-2</v>
      </c>
      <c r="O552" s="4">
        <v>8.8877821812982011E-2</v>
      </c>
      <c r="P552" s="4">
        <v>-0.09</v>
      </c>
      <c r="Q552" s="3" t="s">
        <v>1617</v>
      </c>
      <c r="R552" s="3" t="s">
        <v>1618</v>
      </c>
      <c r="S552" s="3" t="s">
        <v>1619</v>
      </c>
      <c r="T552" s="3"/>
    </row>
    <row r="553" spans="1:20">
      <c r="A553" s="3" t="s">
        <v>1604</v>
      </c>
      <c r="B553" s="3" t="s">
        <v>1601</v>
      </c>
      <c r="C553" s="3" t="s">
        <v>1596</v>
      </c>
      <c r="D553" s="3" t="s">
        <v>1074</v>
      </c>
      <c r="E553" s="3" t="s">
        <v>1075</v>
      </c>
      <c r="F553" s="2">
        <v>1</v>
      </c>
      <c r="G553" s="4">
        <v>1.0218423551756883</v>
      </c>
      <c r="H553" s="2">
        <v>25</v>
      </c>
      <c r="I553" s="2">
        <v>30</v>
      </c>
      <c r="J553" s="2">
        <v>16</v>
      </c>
      <c r="K553" s="4">
        <v>1</v>
      </c>
      <c r="L553" s="4">
        <v>-1.9318755210301183E-2</v>
      </c>
      <c r="M553" s="4">
        <v>1.9318755210301183E-2</v>
      </c>
      <c r="N553" s="10">
        <v>1.9E-2</v>
      </c>
      <c r="O553" s="4">
        <v>9.5793076995656326E-2</v>
      </c>
      <c r="P553" s="4">
        <v>-0.09</v>
      </c>
      <c r="Q553" s="3" t="s">
        <v>1617</v>
      </c>
      <c r="R553" s="3" t="s">
        <v>1618</v>
      </c>
      <c r="S553" s="3" t="s">
        <v>1619</v>
      </c>
      <c r="T553" s="3"/>
    </row>
    <row r="554" spans="1:20">
      <c r="A554" s="3" t="s">
        <v>1600</v>
      </c>
      <c r="B554" s="3" t="s">
        <v>1609</v>
      </c>
      <c r="C554" s="3" t="s">
        <v>1596</v>
      </c>
      <c r="D554" s="3" t="s">
        <v>1074</v>
      </c>
      <c r="E554" s="3" t="s">
        <v>1075</v>
      </c>
      <c r="F554" s="2">
        <v>1</v>
      </c>
      <c r="G554" s="4">
        <v>1.0218423551756883</v>
      </c>
      <c r="H554" s="2">
        <v>25</v>
      </c>
      <c r="I554" s="2">
        <v>5</v>
      </c>
      <c r="J554" s="2">
        <v>1</v>
      </c>
      <c r="K554" s="4">
        <v>0.988544112013239</v>
      </c>
      <c r="L554" s="4">
        <v>-0.14617179501008237</v>
      </c>
      <c r="M554" s="4">
        <v>0.14617179501008237</v>
      </c>
      <c r="N554" s="10">
        <v>0.14599999999999999</v>
      </c>
      <c r="O554" s="4">
        <v>0.72993908551015274</v>
      </c>
      <c r="P554" s="4">
        <v>-0.73</v>
      </c>
      <c r="Q554" s="3" t="s">
        <v>1617</v>
      </c>
      <c r="R554" s="3" t="s">
        <v>1623</v>
      </c>
      <c r="S554" s="3" t="s">
        <v>1624</v>
      </c>
      <c r="T554" s="3"/>
    </row>
    <row r="555" spans="1:20">
      <c r="A555" s="3" t="s">
        <v>1600</v>
      </c>
      <c r="B555" s="3" t="s">
        <v>1609</v>
      </c>
      <c r="C555" s="3" t="s">
        <v>1596</v>
      </c>
      <c r="D555" s="3" t="s">
        <v>1074</v>
      </c>
      <c r="E555" s="3" t="s">
        <v>1075</v>
      </c>
      <c r="F555" s="2">
        <v>1</v>
      </c>
      <c r="G555" s="4">
        <v>1.0218423551756883</v>
      </c>
      <c r="H555" s="2">
        <v>25</v>
      </c>
      <c r="I555" s="2">
        <v>5</v>
      </c>
      <c r="J555" s="2">
        <v>16</v>
      </c>
      <c r="K555" s="4">
        <v>0.99722997651078249</v>
      </c>
      <c r="L555" s="4">
        <v>-0.16780514214624706</v>
      </c>
      <c r="M555" s="4">
        <v>0.16780514214624706</v>
      </c>
      <c r="N555" s="10">
        <v>0.16800000000000001</v>
      </c>
      <c r="O555" s="4">
        <v>0.83991086240264312</v>
      </c>
      <c r="P555" s="4">
        <v>-0.84</v>
      </c>
      <c r="Q555" s="3" t="s">
        <v>1617</v>
      </c>
      <c r="R555" s="3" t="s">
        <v>1623</v>
      </c>
      <c r="S555" s="3" t="s">
        <v>1624</v>
      </c>
      <c r="T555" s="3"/>
    </row>
    <row r="556" spans="1:20">
      <c r="A556" s="3" t="s">
        <v>1600</v>
      </c>
      <c r="B556" s="3" t="s">
        <v>1609</v>
      </c>
      <c r="C556" s="3" t="s">
        <v>1616</v>
      </c>
      <c r="D556" s="3" t="s">
        <v>1074</v>
      </c>
      <c r="E556" s="3" t="s">
        <v>1075</v>
      </c>
      <c r="F556" s="2">
        <v>1</v>
      </c>
      <c r="G556" s="4">
        <v>1.0218423551756883</v>
      </c>
      <c r="H556" s="2">
        <v>25</v>
      </c>
      <c r="I556" s="2">
        <v>5</v>
      </c>
      <c r="J556" s="2">
        <v>1</v>
      </c>
      <c r="K556" s="4">
        <v>0.98740329250858427</v>
      </c>
      <c r="L556" s="4">
        <v>-0.18078654005468164</v>
      </c>
      <c r="M556" s="4">
        <v>0.18078654005468164</v>
      </c>
      <c r="N556" s="10">
        <v>0.18099999999999999</v>
      </c>
      <c r="O556" s="4">
        <v>0.90628937135525689</v>
      </c>
      <c r="P556" s="4">
        <v>-0.91</v>
      </c>
      <c r="Q556" s="3" t="s">
        <v>1617</v>
      </c>
      <c r="R556" s="3" t="s">
        <v>1623</v>
      </c>
      <c r="S556" s="3" t="s">
        <v>1624</v>
      </c>
      <c r="T556" s="3"/>
    </row>
    <row r="557" spans="1:20">
      <c r="A557" s="3" t="s">
        <v>1600</v>
      </c>
      <c r="B557" s="3" t="s">
        <v>1609</v>
      </c>
      <c r="C557" s="3" t="s">
        <v>1616</v>
      </c>
      <c r="D557" s="3" t="s">
        <v>1074</v>
      </c>
      <c r="E557" s="3" t="s">
        <v>1075</v>
      </c>
      <c r="F557" s="2">
        <v>1</v>
      </c>
      <c r="G557" s="4">
        <v>1.0218423551756883</v>
      </c>
      <c r="H557" s="2">
        <v>25</v>
      </c>
      <c r="I557" s="2">
        <v>5</v>
      </c>
      <c r="J557" s="2">
        <v>16</v>
      </c>
      <c r="K557" s="4">
        <v>0.98335748517770172</v>
      </c>
      <c r="L557" s="4">
        <v>-0.21827690998340829</v>
      </c>
      <c r="M557" s="4">
        <v>0.21827690998340829</v>
      </c>
      <c r="N557" s="10">
        <v>0.218</v>
      </c>
      <c r="O557" s="4">
        <v>1.099898837175028</v>
      </c>
      <c r="P557" s="4">
        <v>-1.1000000000000001</v>
      </c>
      <c r="Q557" s="3" t="s">
        <v>1617</v>
      </c>
      <c r="R557" s="3" t="s">
        <v>1623</v>
      </c>
      <c r="S557" s="3" t="s">
        <v>1624</v>
      </c>
      <c r="T557" s="3"/>
    </row>
    <row r="558" spans="1:20">
      <c r="A558" s="3" t="s">
        <v>1594</v>
      </c>
      <c r="B558" s="3" t="s">
        <v>1595</v>
      </c>
      <c r="C558" s="3" t="s">
        <v>1596</v>
      </c>
      <c r="D558" s="3" t="s">
        <v>1074</v>
      </c>
      <c r="E558" s="3" t="s">
        <v>1075</v>
      </c>
      <c r="F558" s="2">
        <v>1</v>
      </c>
      <c r="G558" s="4">
        <v>1.0218423551756883</v>
      </c>
      <c r="H558" s="2">
        <v>25</v>
      </c>
      <c r="I558" s="2">
        <v>5</v>
      </c>
      <c r="J558" s="2">
        <v>16</v>
      </c>
      <c r="K558" s="4">
        <v>1</v>
      </c>
      <c r="L558" s="4">
        <v>-0.43086616587974219</v>
      </c>
      <c r="M558" s="4">
        <v>0.43086616587974219</v>
      </c>
      <c r="N558" s="10">
        <v>0.43099999999999999</v>
      </c>
      <c r="O558" s="4">
        <v>2.2854094337630344</v>
      </c>
      <c r="P558" s="4">
        <v>-2.29</v>
      </c>
      <c r="Q558" s="3" t="s">
        <v>1617</v>
      </c>
      <c r="R558" s="3" t="s">
        <v>1625</v>
      </c>
      <c r="S558" s="3" t="s">
        <v>1626</v>
      </c>
      <c r="T558" s="3"/>
    </row>
    <row r="559" spans="1:20">
      <c r="A559" s="3" t="s">
        <v>1594</v>
      </c>
      <c r="B559" s="3" t="s">
        <v>1595</v>
      </c>
      <c r="C559" s="3" t="s">
        <v>1596</v>
      </c>
      <c r="D559" s="3" t="s">
        <v>1074</v>
      </c>
      <c r="E559" s="3" t="s">
        <v>1075</v>
      </c>
      <c r="F559" s="2">
        <v>1</v>
      </c>
      <c r="G559" s="4">
        <v>1.0218423551756883</v>
      </c>
      <c r="H559" s="2">
        <v>50</v>
      </c>
      <c r="I559" s="2">
        <v>5</v>
      </c>
      <c r="J559" s="2">
        <v>16</v>
      </c>
      <c r="K559" s="4">
        <v>1</v>
      </c>
      <c r="L559" s="4">
        <v>-0.44865800636613307</v>
      </c>
      <c r="M559" s="4">
        <v>0.44865800636613307</v>
      </c>
      <c r="N559" s="10">
        <v>0.44900000000000001</v>
      </c>
      <c r="O559" s="4">
        <v>2.5955794549996387</v>
      </c>
      <c r="P559" s="4">
        <v>-2.6</v>
      </c>
      <c r="Q559" s="3" t="s">
        <v>1617</v>
      </c>
      <c r="R559" s="3" t="s">
        <v>1625</v>
      </c>
      <c r="S559" s="3" t="s">
        <v>1626</v>
      </c>
      <c r="T559" s="3"/>
    </row>
    <row r="560" spans="1:20">
      <c r="A560" s="3" t="s">
        <v>1600</v>
      </c>
      <c r="B560" s="3" t="s">
        <v>1606</v>
      </c>
      <c r="C560" s="3" t="s">
        <v>1616</v>
      </c>
      <c r="D560" s="3" t="s">
        <v>1074</v>
      </c>
      <c r="E560" s="3" t="s">
        <v>1075</v>
      </c>
      <c r="F560" s="2">
        <v>1</v>
      </c>
      <c r="G560" s="4">
        <v>1.0218423551756883</v>
      </c>
      <c r="H560" s="2">
        <v>25</v>
      </c>
      <c r="I560" s="2">
        <v>5</v>
      </c>
      <c r="J560" s="2">
        <v>1</v>
      </c>
      <c r="K560" s="4">
        <v>0.81237828538983226</v>
      </c>
      <c r="L560" s="4">
        <v>-0.61495850087381143</v>
      </c>
      <c r="M560" s="4">
        <v>0.61495850087381143</v>
      </c>
      <c r="N560" s="10">
        <v>0.61499999999999999</v>
      </c>
      <c r="O560" s="4">
        <v>3.5541299423729553</v>
      </c>
      <c r="P560" s="4">
        <v>-3.55</v>
      </c>
      <c r="Q560" s="3" t="s">
        <v>1617</v>
      </c>
      <c r="R560" s="3" t="s">
        <v>1621</v>
      </c>
      <c r="S560" s="3" t="s">
        <v>1622</v>
      </c>
      <c r="T560" s="3"/>
    </row>
    <row r="561" spans="1:20">
      <c r="A561" s="3" t="s">
        <v>1594</v>
      </c>
      <c r="B561" s="3" t="s">
        <v>1612</v>
      </c>
      <c r="C561" s="3" t="s">
        <v>1596</v>
      </c>
      <c r="D561" s="3" t="s">
        <v>1074</v>
      </c>
      <c r="E561" s="3" t="s">
        <v>1075</v>
      </c>
      <c r="F561" s="2">
        <v>1</v>
      </c>
      <c r="G561" s="4">
        <v>1.0218423551756883</v>
      </c>
      <c r="H561" s="2">
        <v>50</v>
      </c>
      <c r="I561" s="2">
        <v>5</v>
      </c>
      <c r="J561" s="2">
        <v>16</v>
      </c>
      <c r="K561" s="4">
        <v>1</v>
      </c>
      <c r="L561" s="4">
        <v>-0.62713224493221975</v>
      </c>
      <c r="M561" s="4">
        <v>0.62713224493221975</v>
      </c>
      <c r="N561" s="10">
        <v>0.627</v>
      </c>
      <c r="O561" s="4">
        <v>3.9586435136245886</v>
      </c>
      <c r="P561" s="4">
        <v>-3.96</v>
      </c>
      <c r="Q561" s="3" t="s">
        <v>1617</v>
      </c>
      <c r="R561" s="3" t="s">
        <v>1627</v>
      </c>
      <c r="S561" s="3" t="s">
        <v>1628</v>
      </c>
      <c r="T561" s="3"/>
    </row>
    <row r="562" spans="1:20">
      <c r="A562" s="3" t="s">
        <v>1600</v>
      </c>
      <c r="B562" s="3" t="s">
        <v>1606</v>
      </c>
      <c r="C562" s="3" t="s">
        <v>1616</v>
      </c>
      <c r="D562" s="3" t="s">
        <v>1074</v>
      </c>
      <c r="E562" s="3" t="s">
        <v>1075</v>
      </c>
      <c r="F562" s="2">
        <v>1</v>
      </c>
      <c r="G562" s="4">
        <v>1.0218423551756883</v>
      </c>
      <c r="H562" s="2">
        <v>25</v>
      </c>
      <c r="I562" s="2">
        <v>5</v>
      </c>
      <c r="J562" s="2">
        <v>16</v>
      </c>
      <c r="K562" s="4">
        <v>1</v>
      </c>
      <c r="L562" s="4">
        <v>-0.62762987376898938</v>
      </c>
      <c r="M562" s="4">
        <v>0.62762987376898938</v>
      </c>
      <c r="N562" s="10">
        <v>0.628</v>
      </c>
      <c r="O562" s="4">
        <v>3.6564578491738753</v>
      </c>
      <c r="P562" s="4">
        <v>-3.66</v>
      </c>
      <c r="Q562" s="3" t="s">
        <v>1617</v>
      </c>
      <c r="R562" s="3" t="s">
        <v>1621</v>
      </c>
      <c r="S562" s="3" t="s">
        <v>1622</v>
      </c>
      <c r="T562" s="3"/>
    </row>
    <row r="563" spans="1:20">
      <c r="A563" s="3" t="s">
        <v>1600</v>
      </c>
      <c r="B563" s="3" t="s">
        <v>1606</v>
      </c>
      <c r="C563" s="3" t="s">
        <v>1596</v>
      </c>
      <c r="D563" s="3" t="s">
        <v>1074</v>
      </c>
      <c r="E563" s="3" t="s">
        <v>1075</v>
      </c>
      <c r="F563" s="2">
        <v>1</v>
      </c>
      <c r="G563" s="4">
        <v>1.0218423551756883</v>
      </c>
      <c r="H563" s="2">
        <v>25</v>
      </c>
      <c r="I563" s="2">
        <v>5</v>
      </c>
      <c r="J563" s="2">
        <v>16</v>
      </c>
      <c r="K563" s="4">
        <v>1</v>
      </c>
      <c r="L563" s="4">
        <v>-0.65129990683377659</v>
      </c>
      <c r="M563" s="4">
        <v>0.65129990683377659</v>
      </c>
      <c r="N563" s="10">
        <v>0.65100000000000002</v>
      </c>
      <c r="O563" s="4">
        <v>3.855057931198778</v>
      </c>
      <c r="P563" s="4">
        <v>-3.85</v>
      </c>
      <c r="Q563" s="3" t="s">
        <v>1617</v>
      </c>
      <c r="R563" s="3" t="s">
        <v>1621</v>
      </c>
      <c r="S563" s="3" t="s">
        <v>1622</v>
      </c>
      <c r="T563" s="3"/>
    </row>
    <row r="564" spans="1:20">
      <c r="A564" s="3" t="s">
        <v>1600</v>
      </c>
      <c r="B564" s="3" t="s">
        <v>1606</v>
      </c>
      <c r="C564" s="3" t="s">
        <v>1596</v>
      </c>
      <c r="D564" s="3" t="s">
        <v>1074</v>
      </c>
      <c r="E564" s="3" t="s">
        <v>1075</v>
      </c>
      <c r="F564" s="2">
        <v>1</v>
      </c>
      <c r="G564" s="4">
        <v>1.0218423551756883</v>
      </c>
      <c r="H564" s="2">
        <v>25</v>
      </c>
      <c r="I564" s="2">
        <v>5</v>
      </c>
      <c r="J564" s="2">
        <v>1</v>
      </c>
      <c r="K564" s="4">
        <v>1</v>
      </c>
      <c r="L564" s="4">
        <v>-0.68329713820003823</v>
      </c>
      <c r="M564" s="4">
        <v>0.68329713820003823</v>
      </c>
      <c r="N564" s="10">
        <v>0.68300000000000005</v>
      </c>
      <c r="O564" s="4">
        <v>4.1412297280481951</v>
      </c>
      <c r="P564" s="4">
        <v>-4.1399999999999997</v>
      </c>
      <c r="Q564" s="3" t="s">
        <v>1617</v>
      </c>
      <c r="R564" s="3" t="s">
        <v>1621</v>
      </c>
      <c r="S564" s="3" t="s">
        <v>1622</v>
      </c>
      <c r="T564" s="3"/>
    </row>
    <row r="565" spans="1:20">
      <c r="A565" s="3" t="s">
        <v>1594</v>
      </c>
      <c r="B565" s="3" t="s">
        <v>1595</v>
      </c>
      <c r="C565" s="3" t="s">
        <v>1596</v>
      </c>
      <c r="D565" s="3" t="s">
        <v>378</v>
      </c>
      <c r="E565" s="3" t="s">
        <v>379</v>
      </c>
      <c r="F565" s="2">
        <v>1</v>
      </c>
      <c r="G565" s="4">
        <v>1.0224274406332454</v>
      </c>
      <c r="H565" s="2">
        <v>50</v>
      </c>
      <c r="I565" s="2">
        <v>5</v>
      </c>
      <c r="J565" s="2">
        <v>16</v>
      </c>
      <c r="K565" s="4">
        <v>0.631480917589331</v>
      </c>
      <c r="L565" s="14">
        <v>-0.10783001967234565</v>
      </c>
      <c r="M565" s="4">
        <v>0.10783001967234565</v>
      </c>
      <c r="N565" s="10">
        <v>0.108</v>
      </c>
      <c r="O565" s="4">
        <v>0.58170359241960812</v>
      </c>
      <c r="P565" s="4">
        <v>-0.57999999999999996</v>
      </c>
      <c r="Q565" s="3" t="s">
        <v>1617</v>
      </c>
      <c r="R565" s="3" t="s">
        <v>1625</v>
      </c>
      <c r="S565" s="3" t="s">
        <v>1626</v>
      </c>
      <c r="T565" s="3"/>
    </row>
    <row r="566" spans="1:20">
      <c r="A566" s="3" t="s">
        <v>1594</v>
      </c>
      <c r="B566" s="3" t="s">
        <v>1612</v>
      </c>
      <c r="C566" s="3" t="s">
        <v>1596</v>
      </c>
      <c r="D566" s="3" t="s">
        <v>378</v>
      </c>
      <c r="E566" s="3" t="s">
        <v>379</v>
      </c>
      <c r="F566" s="2">
        <v>1</v>
      </c>
      <c r="G566" s="4">
        <v>1.0224274406332454</v>
      </c>
      <c r="H566" s="2">
        <v>50</v>
      </c>
      <c r="I566" s="2">
        <v>5</v>
      </c>
      <c r="J566" s="2">
        <v>16</v>
      </c>
      <c r="K566" s="4">
        <v>0.941777518196527</v>
      </c>
      <c r="L566" s="14">
        <v>-0.3318639353913973</v>
      </c>
      <c r="M566" s="4">
        <v>0.3318639353913973</v>
      </c>
      <c r="N566" s="10">
        <v>0.33200000000000002</v>
      </c>
      <c r="O566" s="4">
        <v>1.8534909382274092</v>
      </c>
      <c r="P566" s="4">
        <v>-1.85</v>
      </c>
      <c r="Q566" s="3" t="s">
        <v>1617</v>
      </c>
      <c r="R566" s="3" t="s">
        <v>1627</v>
      </c>
      <c r="S566" s="3" t="s">
        <v>1628</v>
      </c>
      <c r="T566" s="3"/>
    </row>
    <row r="567" spans="1:20">
      <c r="A567" s="3" t="s">
        <v>1600</v>
      </c>
      <c r="B567" s="3" t="s">
        <v>1609</v>
      </c>
      <c r="C567" s="3" t="s">
        <v>1596</v>
      </c>
      <c r="D567" s="3" t="s">
        <v>378</v>
      </c>
      <c r="E567" s="3" t="s">
        <v>379</v>
      </c>
      <c r="F567" s="2">
        <v>1</v>
      </c>
      <c r="G567" s="4">
        <v>1.0224274406332454</v>
      </c>
      <c r="H567" s="2">
        <v>25</v>
      </c>
      <c r="I567" s="2">
        <v>5</v>
      </c>
      <c r="J567" s="2">
        <v>16</v>
      </c>
      <c r="K567" s="4">
        <v>0.47799535318516906</v>
      </c>
      <c r="L567" s="4">
        <v>-0.43471808500562903</v>
      </c>
      <c r="M567" s="4">
        <v>0.43471808500562903</v>
      </c>
      <c r="N567" s="10">
        <v>0.435</v>
      </c>
      <c r="O567" s="4">
        <v>2.3089086804068617</v>
      </c>
      <c r="P567" s="4">
        <v>-2.31</v>
      </c>
      <c r="Q567" s="3" t="s">
        <v>1617</v>
      </c>
      <c r="R567" s="3" t="s">
        <v>1623</v>
      </c>
      <c r="S567" s="3" t="s">
        <v>1624</v>
      </c>
      <c r="T567" s="3"/>
    </row>
    <row r="568" spans="1:20">
      <c r="A568" s="3" t="s">
        <v>1600</v>
      </c>
      <c r="B568" s="3" t="s">
        <v>1601</v>
      </c>
      <c r="C568" s="3" t="s">
        <v>1596</v>
      </c>
      <c r="D568" s="3" t="s">
        <v>378</v>
      </c>
      <c r="E568" s="3" t="s">
        <v>379</v>
      </c>
      <c r="F568" s="2">
        <v>1</v>
      </c>
      <c r="G568" s="4">
        <v>1.0224274406332454</v>
      </c>
      <c r="H568" s="2">
        <v>25</v>
      </c>
      <c r="I568" s="2">
        <v>5</v>
      </c>
      <c r="J568" s="2">
        <v>16</v>
      </c>
      <c r="K568" s="4">
        <v>0.10744540789734225</v>
      </c>
      <c r="L568" s="4">
        <v>-0.59009481999463853</v>
      </c>
      <c r="M568" s="4">
        <v>0.59009481999463853</v>
      </c>
      <c r="N568" s="10">
        <v>0.59</v>
      </c>
      <c r="O568" s="4">
        <v>3.3605464329044104</v>
      </c>
      <c r="P568" s="4">
        <v>-3.36</v>
      </c>
      <c r="Q568" s="3" t="s">
        <v>1617</v>
      </c>
      <c r="R568" s="3" t="s">
        <v>1618</v>
      </c>
      <c r="S568" s="3" t="s">
        <v>1619</v>
      </c>
      <c r="T568" s="3"/>
    </row>
    <row r="569" spans="1:20">
      <c r="A569" s="3" t="s">
        <v>1600</v>
      </c>
      <c r="B569" s="3" t="s">
        <v>1609</v>
      </c>
      <c r="C569" s="3" t="s">
        <v>1616</v>
      </c>
      <c r="D569" s="3" t="s">
        <v>378</v>
      </c>
      <c r="E569" s="3" t="s">
        <v>379</v>
      </c>
      <c r="F569" s="2">
        <v>1</v>
      </c>
      <c r="G569" s="4">
        <v>1.0224274406332454</v>
      </c>
      <c r="H569" s="2">
        <v>25</v>
      </c>
      <c r="I569" s="2">
        <v>5</v>
      </c>
      <c r="J569" s="2">
        <v>16</v>
      </c>
      <c r="K569" s="11">
        <v>0.52417642725001445</v>
      </c>
      <c r="L569" s="11">
        <v>-0.76771313510047834</v>
      </c>
      <c r="M569" s="4">
        <v>0.76771313510047834</v>
      </c>
      <c r="N569" s="10">
        <v>0.76800000000000002</v>
      </c>
      <c r="O569" s="4">
        <v>5.030988769759241</v>
      </c>
      <c r="P569" s="4">
        <v>-5.03</v>
      </c>
      <c r="Q569" s="3" t="s">
        <v>1617</v>
      </c>
      <c r="R569" s="3" t="s">
        <v>1623</v>
      </c>
      <c r="S569" s="3" t="s">
        <v>1624</v>
      </c>
      <c r="T569" s="3"/>
    </row>
    <row r="570" spans="1:20">
      <c r="A570" s="3" t="s">
        <v>1600</v>
      </c>
      <c r="B570" s="3" t="s">
        <v>1609</v>
      </c>
      <c r="C570" s="3" t="s">
        <v>1616</v>
      </c>
      <c r="D570" s="3" t="s">
        <v>378</v>
      </c>
      <c r="E570" s="3" t="s">
        <v>379</v>
      </c>
      <c r="F570" s="2">
        <v>1</v>
      </c>
      <c r="G570" s="4">
        <v>1.0224274406332454</v>
      </c>
      <c r="H570" s="2">
        <v>25</v>
      </c>
      <c r="I570" s="2">
        <v>5</v>
      </c>
      <c r="J570" s="2">
        <v>1</v>
      </c>
      <c r="K570" s="4">
        <v>0.32076338051177256</v>
      </c>
      <c r="L570" s="4">
        <v>-0.77426954065567699</v>
      </c>
      <c r="M570" s="4">
        <v>0.77426954065567699</v>
      </c>
      <c r="N570" s="10">
        <v>0.77400000000000002</v>
      </c>
      <c r="O570" s="4">
        <v>5.1111426841951353</v>
      </c>
      <c r="P570" s="4">
        <v>-5.1100000000000003</v>
      </c>
      <c r="Q570" s="3" t="s">
        <v>1617</v>
      </c>
      <c r="R570" s="3" t="s">
        <v>1623</v>
      </c>
      <c r="S570" s="3" t="s">
        <v>1624</v>
      </c>
      <c r="T570" s="3"/>
    </row>
    <row r="571" spans="1:20">
      <c r="A571" s="3" t="s">
        <v>1604</v>
      </c>
      <c r="B571" s="3" t="s">
        <v>1601</v>
      </c>
      <c r="C571" s="3" t="s">
        <v>1616</v>
      </c>
      <c r="D571" s="3" t="s">
        <v>378</v>
      </c>
      <c r="E571" s="3" t="s">
        <v>379</v>
      </c>
      <c r="F571" s="2">
        <v>1</v>
      </c>
      <c r="G571" s="4">
        <v>1.0224274406332454</v>
      </c>
      <c r="H571" s="2">
        <v>25</v>
      </c>
      <c r="I571" s="2">
        <v>30</v>
      </c>
      <c r="J571" s="2">
        <v>16</v>
      </c>
      <c r="K571" s="4">
        <v>0.84661578140056126</v>
      </c>
      <c r="L571" s="4">
        <v>-0.82085884001800735</v>
      </c>
      <c r="M571" s="4">
        <v>0.82085884001800735</v>
      </c>
      <c r="N571" s="10">
        <v>0.82099999999999995</v>
      </c>
      <c r="O571" s="4">
        <v>5.7484531741146663</v>
      </c>
      <c r="P571" s="4">
        <v>-5.75</v>
      </c>
      <c r="Q571" s="3" t="s">
        <v>1617</v>
      </c>
      <c r="R571" s="3" t="s">
        <v>1618</v>
      </c>
      <c r="S571" s="3" t="s">
        <v>1619</v>
      </c>
      <c r="T571" s="3"/>
    </row>
    <row r="572" spans="1:20">
      <c r="A572" s="3" t="s">
        <v>1600</v>
      </c>
      <c r="B572" s="3" t="s">
        <v>1609</v>
      </c>
      <c r="C572" s="3" t="s">
        <v>1596</v>
      </c>
      <c r="D572" s="3" t="s">
        <v>378</v>
      </c>
      <c r="E572" s="3" t="s">
        <v>379</v>
      </c>
      <c r="F572" s="2">
        <v>1</v>
      </c>
      <c r="G572" s="4">
        <v>1.0224274406332454</v>
      </c>
      <c r="H572" s="2">
        <v>25</v>
      </c>
      <c r="I572" s="2">
        <v>5</v>
      </c>
      <c r="J572" s="2">
        <v>1</v>
      </c>
      <c r="K572" s="11">
        <v>0.60725325791946527</v>
      </c>
      <c r="L572" s="11">
        <v>-0.86047130266108063</v>
      </c>
      <c r="M572" s="4">
        <v>0.86047130266108063</v>
      </c>
      <c r="N572" s="10">
        <v>0.86</v>
      </c>
      <c r="O572" s="4">
        <v>6.4213080202095325</v>
      </c>
      <c r="P572" s="4">
        <v>-6.41</v>
      </c>
      <c r="Q572" s="3" t="s">
        <v>1617</v>
      </c>
      <c r="R572" s="3" t="s">
        <v>1623</v>
      </c>
      <c r="S572" s="3" t="s">
        <v>1624</v>
      </c>
      <c r="T572" s="3"/>
    </row>
    <row r="573" spans="1:20">
      <c r="A573" s="3" t="s">
        <v>1600</v>
      </c>
      <c r="B573" s="3" t="s">
        <v>1601</v>
      </c>
      <c r="C573" s="3" t="s">
        <v>1616</v>
      </c>
      <c r="D573" s="3" t="s">
        <v>378</v>
      </c>
      <c r="E573" s="3" t="s">
        <v>379</v>
      </c>
      <c r="F573" s="2">
        <v>1</v>
      </c>
      <c r="G573" s="4">
        <v>1.0224274406332454</v>
      </c>
      <c r="H573" s="2">
        <v>25</v>
      </c>
      <c r="I573" s="2">
        <v>5</v>
      </c>
      <c r="J573" s="2">
        <v>16</v>
      </c>
      <c r="K573" s="4">
        <v>0.93292842517929464</v>
      </c>
      <c r="L573" s="4">
        <v>-0.87891729626013937</v>
      </c>
      <c r="M573" s="4">
        <v>0.87891729626013937</v>
      </c>
      <c r="N573" s="10">
        <v>0.879</v>
      </c>
      <c r="O573" s="4">
        <v>6.7972741399746326</v>
      </c>
      <c r="P573" s="4">
        <v>-6.8</v>
      </c>
      <c r="Q573" s="3" t="s">
        <v>1617</v>
      </c>
      <c r="R573" s="3" t="s">
        <v>1618</v>
      </c>
      <c r="S573" s="3" t="s">
        <v>1619</v>
      </c>
      <c r="T573" s="3"/>
    </row>
    <row r="574" spans="1:20">
      <c r="A574" s="3" t="s">
        <v>1600</v>
      </c>
      <c r="B574" s="3" t="s">
        <v>1601</v>
      </c>
      <c r="C574" s="3" t="s">
        <v>1616</v>
      </c>
      <c r="D574" s="3" t="s">
        <v>378</v>
      </c>
      <c r="E574" s="3" t="s">
        <v>379</v>
      </c>
      <c r="F574" s="2">
        <v>1</v>
      </c>
      <c r="G574" s="4">
        <v>1.0224274406332454</v>
      </c>
      <c r="H574" s="2">
        <v>25</v>
      </c>
      <c r="I574" s="2">
        <v>5</v>
      </c>
      <c r="J574" s="2">
        <v>1</v>
      </c>
      <c r="K574" s="4">
        <v>0.75095827320222985</v>
      </c>
      <c r="L574" s="4">
        <v>-0.88999077090625545</v>
      </c>
      <c r="M574" s="4">
        <v>0.88999077090625545</v>
      </c>
      <c r="N574" s="10">
        <v>0.89</v>
      </c>
      <c r="O574" s="4">
        <v>7.0495978795415342</v>
      </c>
      <c r="P574" s="4">
        <v>-7.05</v>
      </c>
      <c r="Q574" s="3" t="s">
        <v>1617</v>
      </c>
      <c r="R574" s="3" t="s">
        <v>1618</v>
      </c>
      <c r="S574" s="3" t="s">
        <v>1619</v>
      </c>
      <c r="T574" s="3"/>
    </row>
    <row r="575" spans="1:20">
      <c r="A575" s="3" t="s">
        <v>1604</v>
      </c>
      <c r="B575" s="3" t="s">
        <v>1601</v>
      </c>
      <c r="C575" s="3" t="s">
        <v>1596</v>
      </c>
      <c r="D575" s="3" t="s">
        <v>378</v>
      </c>
      <c r="E575" s="3" t="s">
        <v>379</v>
      </c>
      <c r="F575" s="2">
        <v>1</v>
      </c>
      <c r="G575" s="4">
        <v>1.0224274406332454</v>
      </c>
      <c r="H575" s="2">
        <v>25</v>
      </c>
      <c r="I575" s="2">
        <v>30</v>
      </c>
      <c r="J575" s="2">
        <v>16</v>
      </c>
      <c r="K575" s="4">
        <v>1</v>
      </c>
      <c r="L575" s="4">
        <v>-0.9165979484929937</v>
      </c>
      <c r="M575" s="4">
        <v>0.9165979484929937</v>
      </c>
      <c r="N575" s="10">
        <v>0.91700000000000004</v>
      </c>
      <c r="O575" s="4">
        <v>7.7706581346373156</v>
      </c>
      <c r="P575" s="4">
        <v>-7.78</v>
      </c>
      <c r="Q575" s="3" t="s">
        <v>1617</v>
      </c>
      <c r="R575" s="3" t="s">
        <v>1618</v>
      </c>
      <c r="S575" s="3" t="s">
        <v>1619</v>
      </c>
      <c r="T575" s="3"/>
    </row>
    <row r="576" spans="1:20">
      <c r="A576" s="12" t="s">
        <v>1605</v>
      </c>
      <c r="B576" s="3" t="s">
        <v>1601</v>
      </c>
      <c r="C576" s="3" t="s">
        <v>1596</v>
      </c>
      <c r="D576" s="3" t="s">
        <v>378</v>
      </c>
      <c r="E576" s="3" t="s">
        <v>379</v>
      </c>
      <c r="F576" s="2">
        <v>1</v>
      </c>
      <c r="G576" s="4">
        <v>1.0224274406332454</v>
      </c>
      <c r="H576" s="2">
        <v>25</v>
      </c>
      <c r="I576" s="2">
        <v>5</v>
      </c>
      <c r="J576" s="2">
        <v>16</v>
      </c>
      <c r="K576" s="11">
        <v>1</v>
      </c>
      <c r="L576" s="11">
        <v>-0.93081877141893654</v>
      </c>
      <c r="M576" s="4">
        <v>0.93081877141893654</v>
      </c>
      <c r="N576" s="10">
        <v>0.93100000000000005</v>
      </c>
      <c r="O576" s="4">
        <v>8.2524103466234173</v>
      </c>
      <c r="P576" s="4">
        <v>-8.26</v>
      </c>
      <c r="Q576" s="3" t="s">
        <v>1617</v>
      </c>
      <c r="R576" s="3" t="s">
        <v>1618</v>
      </c>
      <c r="S576" s="3" t="s">
        <v>1619</v>
      </c>
      <c r="T576" s="3"/>
    </row>
    <row r="577" spans="1:20">
      <c r="A577" s="3" t="s">
        <v>1600</v>
      </c>
      <c r="B577" s="3" t="s">
        <v>1606</v>
      </c>
      <c r="C577" s="3" t="s">
        <v>1596</v>
      </c>
      <c r="D577" s="3" t="s">
        <v>378</v>
      </c>
      <c r="E577" s="3" t="s">
        <v>379</v>
      </c>
      <c r="F577" s="2">
        <v>1</v>
      </c>
      <c r="G577" s="4">
        <v>1.0224274406332454</v>
      </c>
      <c r="H577" s="2">
        <v>25</v>
      </c>
      <c r="I577" s="2">
        <v>5</v>
      </c>
      <c r="J577" s="2">
        <v>1</v>
      </c>
      <c r="K577" s="11">
        <v>1</v>
      </c>
      <c r="L577" s="11">
        <v>-0.95229708349502973</v>
      </c>
      <c r="M577" s="4">
        <v>0.95229708349502973</v>
      </c>
      <c r="N577" s="10">
        <v>0.95199999999999996</v>
      </c>
      <c r="O577" s="4">
        <v>9.2013582431026677</v>
      </c>
      <c r="P577" s="4">
        <v>-9.19</v>
      </c>
      <c r="Q577" s="3" t="s">
        <v>1617</v>
      </c>
      <c r="R577" s="3" t="s">
        <v>1621</v>
      </c>
      <c r="S577" s="3" t="s">
        <v>1622</v>
      </c>
      <c r="T577" s="3"/>
    </row>
    <row r="578" spans="1:20">
      <c r="A578" s="3" t="s">
        <v>1600</v>
      </c>
      <c r="B578" s="3" t="s">
        <v>1606</v>
      </c>
      <c r="C578" s="3" t="s">
        <v>1596</v>
      </c>
      <c r="D578" s="3" t="s">
        <v>378</v>
      </c>
      <c r="E578" s="3" t="s">
        <v>379</v>
      </c>
      <c r="F578" s="2">
        <v>1</v>
      </c>
      <c r="G578" s="4">
        <v>1.0224274406332454</v>
      </c>
      <c r="H578" s="2">
        <v>25</v>
      </c>
      <c r="I578" s="2">
        <v>5</v>
      </c>
      <c r="J578" s="2">
        <v>16</v>
      </c>
      <c r="K578" s="11">
        <v>1</v>
      </c>
      <c r="L578" s="11">
        <v>-0.96878656681488418</v>
      </c>
      <c r="M578" s="4">
        <v>0.96878656681488418</v>
      </c>
      <c r="N578" s="10">
        <v>0.96899999999999997</v>
      </c>
      <c r="O578" s="4">
        <v>10.273647607954702</v>
      </c>
      <c r="P578" s="4">
        <v>-10.29</v>
      </c>
      <c r="Q578" s="3" t="s">
        <v>1617</v>
      </c>
      <c r="R578" s="3" t="s">
        <v>1621</v>
      </c>
      <c r="S578" s="3" t="s">
        <v>1622</v>
      </c>
      <c r="T578" s="3"/>
    </row>
    <row r="579" spans="1:20">
      <c r="A579" s="3" t="s">
        <v>1600</v>
      </c>
      <c r="B579" s="3" t="s">
        <v>1606</v>
      </c>
      <c r="C579" s="3" t="s">
        <v>1616</v>
      </c>
      <c r="D579" s="3" t="s">
        <v>378</v>
      </c>
      <c r="E579" s="3" t="s">
        <v>379</v>
      </c>
      <c r="F579" s="2">
        <v>1</v>
      </c>
      <c r="G579" s="4">
        <v>1.0224274406332454</v>
      </c>
      <c r="H579" s="2">
        <v>25</v>
      </c>
      <c r="I579" s="2">
        <v>5</v>
      </c>
      <c r="J579" s="2">
        <v>1</v>
      </c>
      <c r="K579" s="4">
        <v>1</v>
      </c>
      <c r="L579" s="4">
        <v>-1</v>
      </c>
      <c r="M579" s="4">
        <v>1</v>
      </c>
      <c r="N579" s="10">
        <v>0.995</v>
      </c>
      <c r="O579" s="4">
        <v>14.85</v>
      </c>
      <c r="P579" s="4">
        <v>-14.85</v>
      </c>
      <c r="Q579" s="3" t="s">
        <v>1617</v>
      </c>
      <c r="R579" s="3" t="s">
        <v>1621</v>
      </c>
      <c r="S579" s="3" t="s">
        <v>1622</v>
      </c>
      <c r="T579" s="3"/>
    </row>
    <row r="580" spans="1:20">
      <c r="A580" s="3" t="s">
        <v>1600</v>
      </c>
      <c r="B580" s="3" t="s">
        <v>1606</v>
      </c>
      <c r="C580" s="3" t="s">
        <v>1616</v>
      </c>
      <c r="D580" s="3" t="s">
        <v>378</v>
      </c>
      <c r="E580" s="3" t="s">
        <v>379</v>
      </c>
      <c r="F580" s="2">
        <v>1</v>
      </c>
      <c r="G580" s="4">
        <v>1.0224274406332454</v>
      </c>
      <c r="H580" s="2">
        <v>25</v>
      </c>
      <c r="I580" s="2">
        <v>5</v>
      </c>
      <c r="J580" s="2">
        <v>16</v>
      </c>
      <c r="K580" s="11">
        <v>1</v>
      </c>
      <c r="L580" s="11">
        <v>-1</v>
      </c>
      <c r="M580" s="4">
        <v>1</v>
      </c>
      <c r="N580" s="10">
        <v>0.995</v>
      </c>
      <c r="O580" s="4">
        <v>14.85</v>
      </c>
      <c r="P580" s="4">
        <v>-14.85</v>
      </c>
      <c r="Q580" s="3" t="s">
        <v>1617</v>
      </c>
      <c r="R580" s="3" t="s">
        <v>1621</v>
      </c>
      <c r="S580" s="3" t="s">
        <v>1622</v>
      </c>
      <c r="T580" s="3"/>
    </row>
    <row r="581" spans="1:20">
      <c r="A581" s="3" t="s">
        <v>1600</v>
      </c>
      <c r="B581" s="3" t="s">
        <v>1601</v>
      </c>
      <c r="C581" s="3" t="s">
        <v>1596</v>
      </c>
      <c r="D581" s="3" t="s">
        <v>378</v>
      </c>
      <c r="E581" s="3" t="s">
        <v>379</v>
      </c>
      <c r="F581" s="2">
        <v>1</v>
      </c>
      <c r="G581" s="4">
        <v>1.0224274406332454</v>
      </c>
      <c r="H581" s="2">
        <v>25</v>
      </c>
      <c r="I581" s="2">
        <v>5</v>
      </c>
      <c r="J581" s="2">
        <v>1</v>
      </c>
      <c r="K581" s="4">
        <v>0.15090756175237374</v>
      </c>
      <c r="L581" s="4">
        <v>-1</v>
      </c>
      <c r="M581" s="4">
        <v>1</v>
      </c>
      <c r="N581" s="10">
        <v>0.995</v>
      </c>
      <c r="O581" s="4">
        <v>14.85</v>
      </c>
      <c r="P581" s="4">
        <v>-14.85</v>
      </c>
      <c r="Q581" s="3" t="s">
        <v>1617</v>
      </c>
      <c r="R581" s="3" t="s">
        <v>1618</v>
      </c>
      <c r="S581" s="3" t="s">
        <v>1619</v>
      </c>
      <c r="T581" s="3"/>
    </row>
    <row r="582" spans="1:20">
      <c r="A582" s="3" t="s">
        <v>1594</v>
      </c>
      <c r="B582" s="3" t="s">
        <v>1612</v>
      </c>
      <c r="C582" s="3" t="s">
        <v>1596</v>
      </c>
      <c r="D582" s="3" t="s">
        <v>1169</v>
      </c>
      <c r="E582" s="3" t="s">
        <v>1170</v>
      </c>
      <c r="F582" s="2">
        <v>1</v>
      </c>
      <c r="G582" s="4">
        <v>1.0234670704012112</v>
      </c>
      <c r="H582" s="2">
        <v>50</v>
      </c>
      <c r="I582" s="2">
        <v>5</v>
      </c>
      <c r="J582" s="2">
        <v>16</v>
      </c>
      <c r="K582" s="4">
        <v>1</v>
      </c>
      <c r="L582" s="4">
        <v>-0.17390137230253511</v>
      </c>
      <c r="M582" s="4">
        <v>0.17390137230253511</v>
      </c>
      <c r="N582" s="10">
        <v>0.17399999999999999</v>
      </c>
      <c r="O582" s="4">
        <v>0.94408194859159078</v>
      </c>
      <c r="P582" s="4">
        <v>-0.94</v>
      </c>
      <c r="Q582" s="3" t="s">
        <v>1617</v>
      </c>
      <c r="R582" s="3" t="s">
        <v>1627</v>
      </c>
      <c r="S582" s="3" t="s">
        <v>1628</v>
      </c>
      <c r="T582" s="3"/>
    </row>
    <row r="583" spans="1:20">
      <c r="A583" s="3" t="s">
        <v>1594</v>
      </c>
      <c r="B583" s="3" t="s">
        <v>1595</v>
      </c>
      <c r="C583" s="3" t="s">
        <v>1596</v>
      </c>
      <c r="D583" s="3" t="s">
        <v>1169</v>
      </c>
      <c r="E583" s="3" t="s">
        <v>1170</v>
      </c>
      <c r="F583" s="2">
        <v>1</v>
      </c>
      <c r="G583" s="4">
        <v>1.0234670704012112</v>
      </c>
      <c r="H583" s="2">
        <v>25</v>
      </c>
      <c r="I583" s="2">
        <v>5</v>
      </c>
      <c r="J583" s="2">
        <v>16</v>
      </c>
      <c r="K583" s="4">
        <v>1</v>
      </c>
      <c r="L583" s="4">
        <v>-0.20759413272602154</v>
      </c>
      <c r="M583" s="4">
        <v>0.20759413272602154</v>
      </c>
      <c r="N583" s="10">
        <v>0.20799999999999999</v>
      </c>
      <c r="O583" s="4">
        <v>1.0444180976524096</v>
      </c>
      <c r="P583" s="4">
        <v>-1.05</v>
      </c>
      <c r="Q583" s="3" t="s">
        <v>1617</v>
      </c>
      <c r="R583" s="3" t="s">
        <v>1625</v>
      </c>
      <c r="S583" s="3" t="s">
        <v>1626</v>
      </c>
      <c r="T583" s="3"/>
    </row>
    <row r="584" spans="1:20">
      <c r="A584" s="3" t="s">
        <v>1594</v>
      </c>
      <c r="B584" s="3" t="s">
        <v>1595</v>
      </c>
      <c r="C584" s="3" t="s">
        <v>1596</v>
      </c>
      <c r="D584" s="3" t="s">
        <v>1169</v>
      </c>
      <c r="E584" s="3" t="s">
        <v>1170</v>
      </c>
      <c r="F584" s="2">
        <v>1</v>
      </c>
      <c r="G584" s="4">
        <v>1.0234670704012112</v>
      </c>
      <c r="H584" s="2">
        <v>50</v>
      </c>
      <c r="I584" s="2">
        <v>5</v>
      </c>
      <c r="J584" s="2">
        <v>16</v>
      </c>
      <c r="K584" s="4">
        <v>1</v>
      </c>
      <c r="L584" s="4">
        <v>-0.2401107271729056</v>
      </c>
      <c r="M584" s="4">
        <v>0.2401107271729056</v>
      </c>
      <c r="N584" s="10">
        <v>0.24</v>
      </c>
      <c r="O584" s="4">
        <v>1.3159645841696306</v>
      </c>
      <c r="P584" s="4">
        <v>-1.32</v>
      </c>
      <c r="Q584" s="3" t="s">
        <v>1617</v>
      </c>
      <c r="R584" s="3" t="s">
        <v>1625</v>
      </c>
      <c r="S584" s="3" t="s">
        <v>1626</v>
      </c>
      <c r="T584" s="3"/>
    </row>
    <row r="585" spans="1:20">
      <c r="A585" s="3" t="s">
        <v>1604</v>
      </c>
      <c r="B585" s="3" t="s">
        <v>1601</v>
      </c>
      <c r="C585" s="3" t="s">
        <v>1596</v>
      </c>
      <c r="D585" s="3" t="s">
        <v>1169</v>
      </c>
      <c r="E585" s="3" t="s">
        <v>1170</v>
      </c>
      <c r="F585" s="2">
        <v>1</v>
      </c>
      <c r="G585" s="4">
        <v>1.0234670704012112</v>
      </c>
      <c r="H585" s="2">
        <v>25</v>
      </c>
      <c r="I585" s="2">
        <v>30</v>
      </c>
      <c r="J585" s="2">
        <v>16</v>
      </c>
      <c r="K585" s="4">
        <v>1</v>
      </c>
      <c r="L585" s="4">
        <v>-0.86868405501732515</v>
      </c>
      <c r="M585" s="4">
        <v>0.86868405501732515</v>
      </c>
      <c r="N585" s="10">
        <v>0.86899999999999999</v>
      </c>
      <c r="O585" s="4">
        <v>6.5826112756245703</v>
      </c>
      <c r="P585" s="4">
        <v>-6.59</v>
      </c>
      <c r="Q585" s="3" t="s">
        <v>1617</v>
      </c>
      <c r="R585" s="3" t="s">
        <v>1618</v>
      </c>
      <c r="S585" s="3" t="s">
        <v>1619</v>
      </c>
      <c r="T585" s="3"/>
    </row>
    <row r="586" spans="1:20">
      <c r="A586" s="3" t="s">
        <v>1604</v>
      </c>
      <c r="B586" s="3" t="s">
        <v>1601</v>
      </c>
      <c r="C586" s="3" t="s">
        <v>1616</v>
      </c>
      <c r="D586" s="3" t="s">
        <v>1169</v>
      </c>
      <c r="E586" s="3" t="s">
        <v>1170</v>
      </c>
      <c r="F586" s="2">
        <v>1</v>
      </c>
      <c r="G586" s="4">
        <v>1.0234670704012112</v>
      </c>
      <c r="H586" s="2">
        <v>25</v>
      </c>
      <c r="I586" s="2">
        <v>30</v>
      </c>
      <c r="J586" s="2">
        <v>16</v>
      </c>
      <c r="K586" s="4">
        <v>1</v>
      </c>
      <c r="L586" s="4">
        <v>-0.90376195364275413</v>
      </c>
      <c r="M586" s="4">
        <v>0.90376195364275413</v>
      </c>
      <c r="N586" s="10">
        <v>0.90400000000000003</v>
      </c>
      <c r="O586" s="4">
        <v>7.399131027855252</v>
      </c>
      <c r="P586" s="4">
        <v>-7.41</v>
      </c>
      <c r="Q586" s="3" t="s">
        <v>1617</v>
      </c>
      <c r="R586" s="3" t="s">
        <v>1618</v>
      </c>
      <c r="S586" s="3" t="s">
        <v>1619</v>
      </c>
      <c r="T586" s="3"/>
    </row>
    <row r="587" spans="1:20">
      <c r="A587" s="3" t="s">
        <v>1600</v>
      </c>
      <c r="B587" s="3" t="s">
        <v>1609</v>
      </c>
      <c r="C587" s="3" t="s">
        <v>1596</v>
      </c>
      <c r="D587" s="3" t="s">
        <v>1169</v>
      </c>
      <c r="E587" s="3" t="s">
        <v>1170</v>
      </c>
      <c r="F587" s="2">
        <v>1</v>
      </c>
      <c r="G587" s="4">
        <v>1.0234670704012112</v>
      </c>
      <c r="H587" s="2">
        <v>25</v>
      </c>
      <c r="I587" s="2">
        <v>5</v>
      </c>
      <c r="J587" s="2">
        <v>16</v>
      </c>
      <c r="K587" s="4">
        <v>0.98620012980694038</v>
      </c>
      <c r="L587" s="4">
        <v>-0.94842228538510731</v>
      </c>
      <c r="M587" s="4">
        <v>0.94842228538510731</v>
      </c>
      <c r="N587" s="10">
        <v>0.94799999999999995</v>
      </c>
      <c r="O587" s="4">
        <v>9.0028328945178604</v>
      </c>
      <c r="P587" s="4">
        <v>-8.98</v>
      </c>
      <c r="Q587" s="3" t="s">
        <v>1617</v>
      </c>
      <c r="R587" s="3" t="s">
        <v>1623</v>
      </c>
      <c r="S587" s="3" t="s">
        <v>1624</v>
      </c>
      <c r="T587" s="3"/>
    </row>
    <row r="588" spans="1:20">
      <c r="A588" s="3" t="s">
        <v>1600</v>
      </c>
      <c r="B588" s="3" t="s">
        <v>1609</v>
      </c>
      <c r="C588" s="3" t="s">
        <v>1596</v>
      </c>
      <c r="D588" s="3" t="s">
        <v>1169</v>
      </c>
      <c r="E588" s="3" t="s">
        <v>1170</v>
      </c>
      <c r="F588" s="2">
        <v>1</v>
      </c>
      <c r="G588" s="4">
        <v>1.0234670704012112</v>
      </c>
      <c r="H588" s="2">
        <v>25</v>
      </c>
      <c r="I588" s="2">
        <v>5</v>
      </c>
      <c r="J588" s="2">
        <v>1</v>
      </c>
      <c r="K588" s="4">
        <v>0.98991234563401898</v>
      </c>
      <c r="L588" s="4">
        <v>-0.9521717720645011</v>
      </c>
      <c r="M588" s="4">
        <v>0.9521717720645011</v>
      </c>
      <c r="N588" s="10">
        <v>0.95199999999999996</v>
      </c>
      <c r="O588" s="4">
        <v>9.1946956249185003</v>
      </c>
      <c r="P588" s="4">
        <v>-9.19</v>
      </c>
      <c r="Q588" s="3" t="s">
        <v>1617</v>
      </c>
      <c r="R588" s="3" t="s">
        <v>1623</v>
      </c>
      <c r="S588" s="3" t="s">
        <v>1624</v>
      </c>
      <c r="T588" s="3"/>
    </row>
    <row r="589" spans="1:20">
      <c r="A589" s="3" t="s">
        <v>1600</v>
      </c>
      <c r="B589" s="3" t="s">
        <v>1601</v>
      </c>
      <c r="C589" s="3" t="s">
        <v>1596</v>
      </c>
      <c r="D589" s="3" t="s">
        <v>1169</v>
      </c>
      <c r="E589" s="3" t="s">
        <v>1170</v>
      </c>
      <c r="F589" s="2">
        <v>1</v>
      </c>
      <c r="G589" s="4">
        <v>1.0234670704012112</v>
      </c>
      <c r="H589" s="2">
        <v>25</v>
      </c>
      <c r="I589" s="2">
        <v>5</v>
      </c>
      <c r="J589" s="2">
        <v>1</v>
      </c>
      <c r="K589" s="4">
        <v>0.28848572692744623</v>
      </c>
      <c r="L589" s="4">
        <v>-0.95718205150898306</v>
      </c>
      <c r="M589" s="4">
        <v>0.95718205150898306</v>
      </c>
      <c r="N589" s="10">
        <v>0.95699999999999996</v>
      </c>
      <c r="O589" s="4">
        <v>9.475369021556908</v>
      </c>
      <c r="P589" s="4">
        <v>-9.4600000000000009</v>
      </c>
      <c r="Q589" s="3" t="s">
        <v>1617</v>
      </c>
      <c r="R589" s="3" t="s">
        <v>1618</v>
      </c>
      <c r="S589" s="3" t="s">
        <v>1619</v>
      </c>
      <c r="T589" s="3"/>
    </row>
    <row r="590" spans="1:20">
      <c r="A590" s="3" t="s">
        <v>1600</v>
      </c>
      <c r="B590" s="3" t="s">
        <v>1609</v>
      </c>
      <c r="C590" s="3" t="s">
        <v>1616</v>
      </c>
      <c r="D590" s="3" t="s">
        <v>1169</v>
      </c>
      <c r="E590" s="3" t="s">
        <v>1170</v>
      </c>
      <c r="F590" s="2">
        <v>1</v>
      </c>
      <c r="G590" s="4">
        <v>1.0234670704012112</v>
      </c>
      <c r="H590" s="2">
        <v>25</v>
      </c>
      <c r="I590" s="2">
        <v>5</v>
      </c>
      <c r="J590" s="2">
        <v>1</v>
      </c>
      <c r="K590" s="4">
        <v>0.95981232239484937</v>
      </c>
      <c r="L590" s="4">
        <v>-0.9578873007731985</v>
      </c>
      <c r="M590" s="4">
        <v>0.9578873007731985</v>
      </c>
      <c r="N590" s="10">
        <v>0.95799999999999996</v>
      </c>
      <c r="O590" s="4">
        <v>9.5174329136527103</v>
      </c>
      <c r="P590" s="4">
        <v>-9.52</v>
      </c>
      <c r="Q590" s="3" t="s">
        <v>1617</v>
      </c>
      <c r="R590" s="3" t="s">
        <v>1623</v>
      </c>
      <c r="S590" s="3" t="s">
        <v>1624</v>
      </c>
      <c r="T590" s="3"/>
    </row>
    <row r="591" spans="1:20">
      <c r="A591" s="3" t="s">
        <v>1600</v>
      </c>
      <c r="B591" s="3" t="s">
        <v>1609</v>
      </c>
      <c r="C591" s="3" t="s">
        <v>1616</v>
      </c>
      <c r="D591" s="3" t="s">
        <v>1169</v>
      </c>
      <c r="E591" s="3" t="s">
        <v>1170</v>
      </c>
      <c r="F591" s="2">
        <v>1</v>
      </c>
      <c r="G591" s="4">
        <v>1.0234670704012112</v>
      </c>
      <c r="H591" s="2">
        <v>25</v>
      </c>
      <c r="I591" s="2">
        <v>5</v>
      </c>
      <c r="J591" s="2">
        <v>16</v>
      </c>
      <c r="K591" s="4">
        <v>0.97475181501649766</v>
      </c>
      <c r="L591" s="4">
        <v>-0.96510586137793686</v>
      </c>
      <c r="M591" s="4">
        <v>0.96510586137793686</v>
      </c>
      <c r="N591" s="10">
        <v>0.96499999999999997</v>
      </c>
      <c r="O591" s="4">
        <v>9.9926774034100188</v>
      </c>
      <c r="P591" s="4">
        <v>-9.99</v>
      </c>
      <c r="Q591" s="3" t="s">
        <v>1617</v>
      </c>
      <c r="R591" s="3" t="s">
        <v>1623</v>
      </c>
      <c r="S591" s="3" t="s">
        <v>1624</v>
      </c>
      <c r="T591" s="3"/>
    </row>
    <row r="592" spans="1:20">
      <c r="A592" s="3" t="s">
        <v>1600</v>
      </c>
      <c r="B592" s="3" t="s">
        <v>1606</v>
      </c>
      <c r="C592" s="3" t="s">
        <v>1596</v>
      </c>
      <c r="D592" s="3" t="s">
        <v>1169</v>
      </c>
      <c r="E592" s="3" t="s">
        <v>1170</v>
      </c>
      <c r="F592" s="2">
        <v>1</v>
      </c>
      <c r="G592" s="4">
        <v>1.0234670704012112</v>
      </c>
      <c r="H592" s="2">
        <v>25</v>
      </c>
      <c r="I592" s="2">
        <v>5</v>
      </c>
      <c r="J592" s="2">
        <v>1</v>
      </c>
      <c r="K592" s="4">
        <v>1</v>
      </c>
      <c r="L592" s="4">
        <v>-0.97475513578252382</v>
      </c>
      <c r="M592" s="4">
        <v>0.97475513578252382</v>
      </c>
      <c r="N592" s="10">
        <v>0.97499999999999998</v>
      </c>
      <c r="O592" s="4">
        <v>10.807252515664576</v>
      </c>
      <c r="P592" s="4">
        <v>-10.83</v>
      </c>
      <c r="Q592" s="3" t="s">
        <v>1617</v>
      </c>
      <c r="R592" s="3" t="s">
        <v>1621</v>
      </c>
      <c r="S592" s="3" t="s">
        <v>1622</v>
      </c>
      <c r="T592" s="3"/>
    </row>
    <row r="593" spans="1:20">
      <c r="A593" s="3" t="s">
        <v>1600</v>
      </c>
      <c r="B593" s="3" t="s">
        <v>1606</v>
      </c>
      <c r="C593" s="3" t="s">
        <v>1596</v>
      </c>
      <c r="D593" s="3" t="s">
        <v>1169</v>
      </c>
      <c r="E593" s="3" t="s">
        <v>1170</v>
      </c>
      <c r="F593" s="2">
        <v>1</v>
      </c>
      <c r="G593" s="4">
        <v>1.0234670704012112</v>
      </c>
      <c r="H593" s="2">
        <v>25</v>
      </c>
      <c r="I593" s="2">
        <v>5</v>
      </c>
      <c r="J593" s="2">
        <v>16</v>
      </c>
      <c r="K593" s="4">
        <v>1</v>
      </c>
      <c r="L593" s="4">
        <v>-0.97610571125834655</v>
      </c>
      <c r="M593" s="4">
        <v>0.97610571125834655</v>
      </c>
      <c r="N593" s="10">
        <v>0.97599999999999998</v>
      </c>
      <c r="O593" s="4">
        <v>10.945249134978075</v>
      </c>
      <c r="P593" s="4">
        <v>-10.93</v>
      </c>
      <c r="Q593" s="3" t="s">
        <v>1617</v>
      </c>
      <c r="R593" s="3" t="s">
        <v>1621</v>
      </c>
      <c r="S593" s="3" t="s">
        <v>1622</v>
      </c>
      <c r="T593" s="3"/>
    </row>
    <row r="594" spans="1:20">
      <c r="A594" s="3" t="s">
        <v>1605</v>
      </c>
      <c r="B594" s="3" t="s">
        <v>1601</v>
      </c>
      <c r="C594" s="3" t="s">
        <v>1596</v>
      </c>
      <c r="D594" s="3" t="s">
        <v>1169</v>
      </c>
      <c r="E594" s="3" t="s">
        <v>1170</v>
      </c>
      <c r="F594" s="2">
        <v>1</v>
      </c>
      <c r="G594" s="4">
        <v>1.0234670704012112</v>
      </c>
      <c r="H594" s="2">
        <v>25</v>
      </c>
      <c r="I594" s="2">
        <v>5</v>
      </c>
      <c r="J594" s="2">
        <v>16</v>
      </c>
      <c r="K594" s="4">
        <v>1</v>
      </c>
      <c r="L594" s="4">
        <v>-0.97681471262989006</v>
      </c>
      <c r="M594" s="4">
        <v>0.97681471262989006</v>
      </c>
      <c r="N594" s="10">
        <v>0.97699999999999998</v>
      </c>
      <c r="O594" s="4">
        <v>11.020808769128772</v>
      </c>
      <c r="P594" s="4">
        <v>-11.04</v>
      </c>
      <c r="Q594" s="3" t="s">
        <v>1617</v>
      </c>
      <c r="R594" s="3" t="s">
        <v>1618</v>
      </c>
      <c r="S594" s="3" t="s">
        <v>1619</v>
      </c>
      <c r="T594" s="3"/>
    </row>
    <row r="595" spans="1:20">
      <c r="A595" s="3" t="s">
        <v>1600</v>
      </c>
      <c r="B595" s="3" t="s">
        <v>1606</v>
      </c>
      <c r="C595" s="3" t="s">
        <v>1616</v>
      </c>
      <c r="D595" s="3" t="s">
        <v>1169</v>
      </c>
      <c r="E595" s="3" t="s">
        <v>1170</v>
      </c>
      <c r="F595" s="2">
        <v>1</v>
      </c>
      <c r="G595" s="4">
        <v>1.0234670704012112</v>
      </c>
      <c r="H595" s="2">
        <v>25</v>
      </c>
      <c r="I595" s="2">
        <v>5</v>
      </c>
      <c r="J595" s="2">
        <v>1</v>
      </c>
      <c r="K595" s="4">
        <v>1</v>
      </c>
      <c r="L595" s="4">
        <v>-0.97867989095606622</v>
      </c>
      <c r="M595" s="4">
        <v>0.97867989095606622</v>
      </c>
      <c r="N595" s="10">
        <v>0.97899999999999998</v>
      </c>
      <c r="O595" s="4">
        <v>11.231050756151031</v>
      </c>
      <c r="P595" s="4">
        <v>-11.27</v>
      </c>
      <c r="Q595" s="3" t="s">
        <v>1617</v>
      </c>
      <c r="R595" s="3" t="s">
        <v>1621</v>
      </c>
      <c r="S595" s="3" t="s">
        <v>1622</v>
      </c>
      <c r="T595" s="3"/>
    </row>
    <row r="596" spans="1:20">
      <c r="A596" s="3" t="s">
        <v>1600</v>
      </c>
      <c r="B596" s="3" t="s">
        <v>1601</v>
      </c>
      <c r="C596" s="3" t="s">
        <v>1596</v>
      </c>
      <c r="D596" s="3" t="s">
        <v>1169</v>
      </c>
      <c r="E596" s="3" t="s">
        <v>1170</v>
      </c>
      <c r="F596" s="2">
        <v>1</v>
      </c>
      <c r="G596" s="4">
        <v>1.0234670704012112</v>
      </c>
      <c r="H596" s="2">
        <v>25</v>
      </c>
      <c r="I596" s="2">
        <v>5</v>
      </c>
      <c r="J596" s="2">
        <v>16</v>
      </c>
      <c r="K596" s="4">
        <v>1</v>
      </c>
      <c r="L596" s="4">
        <v>-0.98046379713046383</v>
      </c>
      <c r="M596" s="4">
        <v>0.98046379713046383</v>
      </c>
      <c r="N596" s="10">
        <v>0.98</v>
      </c>
      <c r="O596" s="4">
        <v>11.449900437212413</v>
      </c>
      <c r="P596" s="4">
        <v>-11.39</v>
      </c>
      <c r="Q596" s="3" t="s">
        <v>1617</v>
      </c>
      <c r="R596" s="3" t="s">
        <v>1618</v>
      </c>
      <c r="S596" s="3" t="s">
        <v>1619</v>
      </c>
      <c r="T596" s="3"/>
    </row>
    <row r="597" spans="1:20">
      <c r="A597" s="3" t="s">
        <v>1600</v>
      </c>
      <c r="B597" s="3" t="s">
        <v>1606</v>
      </c>
      <c r="C597" s="3" t="s">
        <v>1616</v>
      </c>
      <c r="D597" s="3" t="s">
        <v>1169</v>
      </c>
      <c r="E597" s="3" t="s">
        <v>1170</v>
      </c>
      <c r="F597" s="2">
        <v>1</v>
      </c>
      <c r="G597" s="4">
        <v>1.0234670704012112</v>
      </c>
      <c r="H597" s="2">
        <v>25</v>
      </c>
      <c r="I597" s="2">
        <v>5</v>
      </c>
      <c r="J597" s="2">
        <v>16</v>
      </c>
      <c r="K597" s="4">
        <v>1</v>
      </c>
      <c r="L597" s="4">
        <v>-0.98087783908770065</v>
      </c>
      <c r="M597" s="4">
        <v>0.98087783908770065</v>
      </c>
      <c r="N597" s="10">
        <v>0.98099999999999998</v>
      </c>
      <c r="O597" s="4">
        <v>11.50352156824478</v>
      </c>
      <c r="P597" s="4">
        <v>-11.52</v>
      </c>
      <c r="Q597" s="3" t="s">
        <v>1617</v>
      </c>
      <c r="R597" s="3" t="s">
        <v>1621</v>
      </c>
      <c r="S597" s="3" t="s">
        <v>1622</v>
      </c>
      <c r="T597" s="3"/>
    </row>
    <row r="598" spans="1:20">
      <c r="A598" s="3" t="s">
        <v>1600</v>
      </c>
      <c r="B598" s="3" t="s">
        <v>1601</v>
      </c>
      <c r="C598" s="3" t="s">
        <v>1616</v>
      </c>
      <c r="D598" s="3" t="s">
        <v>1169</v>
      </c>
      <c r="E598" s="3" t="s">
        <v>1170</v>
      </c>
      <c r="F598" s="2">
        <v>1</v>
      </c>
      <c r="G598" s="4">
        <v>1.0234670704012112</v>
      </c>
      <c r="H598" s="2">
        <v>25</v>
      </c>
      <c r="I598" s="2">
        <v>5</v>
      </c>
      <c r="J598" s="2">
        <v>16</v>
      </c>
      <c r="K598" s="4">
        <v>1</v>
      </c>
      <c r="L598" s="4">
        <v>-0.98778115488217699</v>
      </c>
      <c r="M598" s="4">
        <v>0.98778115488217699</v>
      </c>
      <c r="N598" s="10">
        <v>0.98799999999999999</v>
      </c>
      <c r="O598" s="4">
        <v>12.622397402558711</v>
      </c>
      <c r="P598" s="4">
        <v>-12.67</v>
      </c>
      <c r="Q598" s="3" t="s">
        <v>1617</v>
      </c>
      <c r="R598" s="3" t="s">
        <v>1618</v>
      </c>
      <c r="S598" s="3" t="s">
        <v>1619</v>
      </c>
      <c r="T598" s="3"/>
    </row>
    <row r="599" spans="1:20">
      <c r="A599" s="3" t="s">
        <v>1600</v>
      </c>
      <c r="B599" s="3" t="s">
        <v>1601</v>
      </c>
      <c r="C599" s="3" t="s">
        <v>1616</v>
      </c>
      <c r="D599" s="3" t="s">
        <v>1169</v>
      </c>
      <c r="E599" s="3" t="s">
        <v>1170</v>
      </c>
      <c r="F599" s="2">
        <v>1</v>
      </c>
      <c r="G599" s="4">
        <v>1.0234670704012112</v>
      </c>
      <c r="H599" s="2">
        <v>25</v>
      </c>
      <c r="I599" s="2">
        <v>5</v>
      </c>
      <c r="J599" s="2">
        <v>1</v>
      </c>
      <c r="K599" s="4">
        <v>1</v>
      </c>
      <c r="L599" s="4">
        <v>-1</v>
      </c>
      <c r="M599" s="4">
        <v>1</v>
      </c>
      <c r="N599" s="10">
        <v>0.995</v>
      </c>
      <c r="O599" s="4">
        <v>14.85</v>
      </c>
      <c r="P599" s="4">
        <v>-14.85</v>
      </c>
      <c r="Q599" s="3" t="s">
        <v>1617</v>
      </c>
      <c r="R599" s="3" t="s">
        <v>1618</v>
      </c>
      <c r="S599" s="3" t="s">
        <v>1619</v>
      </c>
      <c r="T599" s="3"/>
    </row>
    <row r="600" spans="1:20">
      <c r="A600" s="3" t="s">
        <v>1600</v>
      </c>
      <c r="B600" s="3" t="s">
        <v>1606</v>
      </c>
      <c r="C600" s="3" t="s">
        <v>1596</v>
      </c>
      <c r="D600" s="3" t="s">
        <v>254</v>
      </c>
      <c r="E600" s="3" t="s">
        <v>255</v>
      </c>
      <c r="F600" s="2">
        <v>1</v>
      </c>
      <c r="G600" s="4">
        <v>1.0241907746398136</v>
      </c>
      <c r="H600" s="2">
        <v>25</v>
      </c>
      <c r="I600" s="2">
        <v>5</v>
      </c>
      <c r="J600" s="2">
        <v>1</v>
      </c>
      <c r="K600" s="11">
        <v>0.27226844978049325</v>
      </c>
      <c r="L600" s="11">
        <v>1</v>
      </c>
      <c r="M600" s="4">
        <v>1</v>
      </c>
      <c r="N600" s="10">
        <v>0.995</v>
      </c>
      <c r="O600" s="4">
        <v>14.85</v>
      </c>
      <c r="P600" s="4">
        <v>14.85</v>
      </c>
      <c r="Q600" s="3" t="s">
        <v>1597</v>
      </c>
      <c r="R600" s="3" t="s">
        <v>1607</v>
      </c>
      <c r="S600" s="3" t="s">
        <v>1608</v>
      </c>
      <c r="T600" s="3"/>
    </row>
    <row r="601" spans="1:20">
      <c r="A601" s="3" t="s">
        <v>1600</v>
      </c>
      <c r="B601" s="3" t="s">
        <v>1606</v>
      </c>
      <c r="C601" s="3" t="s">
        <v>1596</v>
      </c>
      <c r="D601" s="3" t="s">
        <v>254</v>
      </c>
      <c r="E601" s="3" t="s">
        <v>255</v>
      </c>
      <c r="F601" s="2">
        <v>1</v>
      </c>
      <c r="G601" s="4">
        <v>1.0241907746398136</v>
      </c>
      <c r="H601" s="2">
        <v>25</v>
      </c>
      <c r="I601" s="2">
        <v>5</v>
      </c>
      <c r="J601" s="2">
        <v>16</v>
      </c>
      <c r="K601" s="11">
        <v>1</v>
      </c>
      <c r="L601" s="11">
        <v>0.92649327902806544</v>
      </c>
      <c r="M601" s="4">
        <v>0.92649327902806544</v>
      </c>
      <c r="N601" s="10">
        <v>0.92600000000000005</v>
      </c>
      <c r="O601" s="4">
        <v>8.0965079593755185</v>
      </c>
      <c r="P601" s="4">
        <v>8.08</v>
      </c>
      <c r="Q601" s="3" t="s">
        <v>1597</v>
      </c>
      <c r="R601" s="3" t="s">
        <v>1607</v>
      </c>
      <c r="S601" s="3" t="s">
        <v>1608</v>
      </c>
      <c r="T601" s="3"/>
    </row>
    <row r="602" spans="1:20">
      <c r="A602" s="3" t="s">
        <v>1600</v>
      </c>
      <c r="B602" s="3" t="s">
        <v>1606</v>
      </c>
      <c r="C602" s="3" t="s">
        <v>1616</v>
      </c>
      <c r="D602" s="3" t="s">
        <v>254</v>
      </c>
      <c r="E602" s="3" t="s">
        <v>255</v>
      </c>
      <c r="F602" s="2">
        <v>1</v>
      </c>
      <c r="G602" s="4">
        <v>1.0241907746398136</v>
      </c>
      <c r="H602" s="2">
        <v>25</v>
      </c>
      <c r="I602" s="2">
        <v>5</v>
      </c>
      <c r="J602" s="2">
        <v>16</v>
      </c>
      <c r="K602" s="11">
        <v>1</v>
      </c>
      <c r="L602" s="11">
        <v>0.90564985023785749</v>
      </c>
      <c r="M602" s="4">
        <v>0.90564985023785749</v>
      </c>
      <c r="N602" s="10">
        <v>0.90600000000000003</v>
      </c>
      <c r="O602" s="4">
        <v>7.4507012199138689</v>
      </c>
      <c r="P602" s="4">
        <v>7.46</v>
      </c>
      <c r="Q602" s="3" t="s">
        <v>1597</v>
      </c>
      <c r="R602" s="3" t="s">
        <v>1607</v>
      </c>
      <c r="S602" s="3" t="s">
        <v>1608</v>
      </c>
      <c r="T602" s="3"/>
    </row>
    <row r="603" spans="1:20">
      <c r="A603" s="3" t="s">
        <v>1600</v>
      </c>
      <c r="B603" s="3" t="s">
        <v>1606</v>
      </c>
      <c r="C603" s="3" t="s">
        <v>1616</v>
      </c>
      <c r="D603" s="3" t="s">
        <v>254</v>
      </c>
      <c r="E603" s="3" t="s">
        <v>255</v>
      </c>
      <c r="F603" s="2">
        <v>1</v>
      </c>
      <c r="G603" s="4">
        <v>1.0241907746398136</v>
      </c>
      <c r="H603" s="2">
        <v>25</v>
      </c>
      <c r="I603" s="2">
        <v>5</v>
      </c>
      <c r="J603" s="2">
        <v>1</v>
      </c>
      <c r="K603" s="4">
        <v>1</v>
      </c>
      <c r="L603" s="4">
        <v>0.8863016350740095</v>
      </c>
      <c r="M603" s="4">
        <v>0.8863016350740095</v>
      </c>
      <c r="N603" s="10">
        <v>0.88600000000000001</v>
      </c>
      <c r="O603" s="4">
        <v>6.9629862077978304</v>
      </c>
      <c r="P603" s="4">
        <v>6.96</v>
      </c>
      <c r="Q603" s="3" t="s">
        <v>1597</v>
      </c>
      <c r="R603" s="3" t="s">
        <v>1607</v>
      </c>
      <c r="S603" s="3" t="s">
        <v>1608</v>
      </c>
      <c r="T603" s="3"/>
    </row>
    <row r="604" spans="1:20">
      <c r="A604" s="3" t="s">
        <v>1594</v>
      </c>
      <c r="B604" s="3" t="s">
        <v>1612</v>
      </c>
      <c r="C604" s="3" t="s">
        <v>1596</v>
      </c>
      <c r="D604" s="3" t="s">
        <v>254</v>
      </c>
      <c r="E604" s="3" t="s">
        <v>255</v>
      </c>
      <c r="F604" s="2">
        <v>1</v>
      </c>
      <c r="G604" s="4">
        <v>1.0241907746398136</v>
      </c>
      <c r="H604" s="2">
        <v>50</v>
      </c>
      <c r="I604" s="2">
        <v>5</v>
      </c>
      <c r="J604" s="2">
        <v>16</v>
      </c>
      <c r="K604" s="4">
        <v>1</v>
      </c>
      <c r="L604" s="14">
        <v>0.78396495282826062</v>
      </c>
      <c r="M604" s="4">
        <v>0.78396495282826062</v>
      </c>
      <c r="N604" s="10">
        <v>0.78400000000000003</v>
      </c>
      <c r="O604" s="4">
        <v>5.6723106876408673</v>
      </c>
      <c r="P604" s="4">
        <v>5.67</v>
      </c>
      <c r="Q604" s="3" t="s">
        <v>1597</v>
      </c>
      <c r="R604" s="3" t="s">
        <v>1613</v>
      </c>
      <c r="S604" s="3" t="s">
        <v>1614</v>
      </c>
      <c r="T604" s="3"/>
    </row>
    <row r="605" spans="1:20">
      <c r="A605" s="3" t="s">
        <v>1600</v>
      </c>
      <c r="B605" s="3" t="s">
        <v>1609</v>
      </c>
      <c r="C605" s="3" t="s">
        <v>1616</v>
      </c>
      <c r="D605" s="3" t="s">
        <v>254</v>
      </c>
      <c r="E605" s="3" t="s">
        <v>255</v>
      </c>
      <c r="F605" s="2">
        <v>1</v>
      </c>
      <c r="G605" s="4">
        <v>1.0241907746398136</v>
      </c>
      <c r="H605" s="2">
        <v>25</v>
      </c>
      <c r="I605" s="2">
        <v>5</v>
      </c>
      <c r="J605" s="2">
        <v>1</v>
      </c>
      <c r="K605" s="4">
        <v>1</v>
      </c>
      <c r="L605" s="4">
        <v>0.74633357374959586</v>
      </c>
      <c r="M605" s="4">
        <v>0.74633357374959586</v>
      </c>
      <c r="N605" s="10">
        <v>0.746</v>
      </c>
      <c r="O605" s="4">
        <v>4.7825583923677124</v>
      </c>
      <c r="P605" s="4">
        <v>4.78</v>
      </c>
      <c r="Q605" s="3" t="s">
        <v>1597</v>
      </c>
      <c r="R605" s="3" t="s">
        <v>1610</v>
      </c>
      <c r="S605" s="3" t="s">
        <v>1611</v>
      </c>
      <c r="T605" s="3"/>
    </row>
    <row r="606" spans="1:20">
      <c r="A606" s="3" t="s">
        <v>1600</v>
      </c>
      <c r="B606" s="3" t="s">
        <v>1609</v>
      </c>
      <c r="C606" s="3" t="s">
        <v>1616</v>
      </c>
      <c r="D606" s="3" t="s">
        <v>254</v>
      </c>
      <c r="E606" s="3" t="s">
        <v>255</v>
      </c>
      <c r="F606" s="2">
        <v>1</v>
      </c>
      <c r="G606" s="4">
        <v>1.0241907746398136</v>
      </c>
      <c r="H606" s="2">
        <v>25</v>
      </c>
      <c r="I606" s="2">
        <v>5</v>
      </c>
      <c r="J606" s="2">
        <v>16</v>
      </c>
      <c r="K606" s="11">
        <v>1</v>
      </c>
      <c r="L606" s="11">
        <v>0.72051993949064486</v>
      </c>
      <c r="M606" s="4">
        <v>0.72051993949064486</v>
      </c>
      <c r="N606" s="10">
        <v>0.72099999999999997</v>
      </c>
      <c r="O606" s="4">
        <v>4.5054028523185279</v>
      </c>
      <c r="P606" s="4">
        <v>4.51</v>
      </c>
      <c r="Q606" s="3" t="s">
        <v>1597</v>
      </c>
      <c r="R606" s="3" t="s">
        <v>1610</v>
      </c>
      <c r="S606" s="3" t="s">
        <v>1611</v>
      </c>
      <c r="T606" s="3"/>
    </row>
    <row r="607" spans="1:20">
      <c r="A607" s="3" t="s">
        <v>1600</v>
      </c>
      <c r="B607" s="3" t="s">
        <v>1609</v>
      </c>
      <c r="C607" s="3" t="s">
        <v>1596</v>
      </c>
      <c r="D607" s="3" t="s">
        <v>254</v>
      </c>
      <c r="E607" s="3" t="s">
        <v>255</v>
      </c>
      <c r="F607" s="2">
        <v>1</v>
      </c>
      <c r="G607" s="4">
        <v>1.0241907746398136</v>
      </c>
      <c r="H607" s="2">
        <v>25</v>
      </c>
      <c r="I607" s="2">
        <v>5</v>
      </c>
      <c r="J607" s="2">
        <v>1</v>
      </c>
      <c r="K607" s="11">
        <v>0.55441712984294589</v>
      </c>
      <c r="L607" s="11">
        <v>0.56902080782950604</v>
      </c>
      <c r="M607" s="4">
        <v>0.56902080782950604</v>
      </c>
      <c r="N607" s="10">
        <v>0.56899999999999995</v>
      </c>
      <c r="O607" s="4">
        <v>3.2031917950778883</v>
      </c>
      <c r="P607" s="4">
        <v>3.2</v>
      </c>
      <c r="Q607" s="3" t="s">
        <v>1597</v>
      </c>
      <c r="R607" s="3" t="s">
        <v>1610</v>
      </c>
      <c r="S607" s="3" t="s">
        <v>1611</v>
      </c>
      <c r="T607" s="3"/>
    </row>
    <row r="608" spans="1:20">
      <c r="A608" s="3" t="s">
        <v>1600</v>
      </c>
      <c r="B608" s="3" t="s">
        <v>1601</v>
      </c>
      <c r="C608" s="3" t="s">
        <v>1616</v>
      </c>
      <c r="D608" s="3" t="s">
        <v>254</v>
      </c>
      <c r="E608" s="3" t="s">
        <v>255</v>
      </c>
      <c r="F608" s="2">
        <v>1</v>
      </c>
      <c r="G608" s="4">
        <v>1.0241907746398136</v>
      </c>
      <c r="H608" s="2">
        <v>25</v>
      </c>
      <c r="I608" s="2">
        <v>5</v>
      </c>
      <c r="J608" s="2">
        <v>1</v>
      </c>
      <c r="K608" s="4">
        <v>0.99662270790645135</v>
      </c>
      <c r="L608" s="4">
        <v>0.54599943626194469</v>
      </c>
      <c r="M608" s="4">
        <v>0.54599943626194469</v>
      </c>
      <c r="N608" s="10">
        <v>0.54600000000000004</v>
      </c>
      <c r="O608" s="4">
        <v>3.0375476899098586</v>
      </c>
      <c r="P608" s="4">
        <v>3.04</v>
      </c>
      <c r="Q608" s="3" t="s">
        <v>1597</v>
      </c>
      <c r="R608" s="3" t="s">
        <v>1602</v>
      </c>
      <c r="S608" s="3" t="s">
        <v>1603</v>
      </c>
      <c r="T608" s="3"/>
    </row>
    <row r="609" spans="1:20">
      <c r="A609" s="3" t="s">
        <v>1600</v>
      </c>
      <c r="B609" s="3" t="s">
        <v>1601</v>
      </c>
      <c r="C609" s="3" t="s">
        <v>1616</v>
      </c>
      <c r="D609" s="3" t="s">
        <v>254</v>
      </c>
      <c r="E609" s="3" t="s">
        <v>255</v>
      </c>
      <c r="F609" s="2">
        <v>1</v>
      </c>
      <c r="G609" s="4">
        <v>1.0241907746398136</v>
      </c>
      <c r="H609" s="2">
        <v>25</v>
      </c>
      <c r="I609" s="2">
        <v>5</v>
      </c>
      <c r="J609" s="2">
        <v>16</v>
      </c>
      <c r="K609" s="4">
        <v>1</v>
      </c>
      <c r="L609" s="4">
        <v>0.53608285466013694</v>
      </c>
      <c r="M609" s="4">
        <v>0.53608285466013694</v>
      </c>
      <c r="N609" s="10">
        <v>0.53600000000000003</v>
      </c>
      <c r="O609" s="4">
        <v>2.9680311235601842</v>
      </c>
      <c r="P609" s="4">
        <v>2.97</v>
      </c>
      <c r="Q609" s="3" t="s">
        <v>1597</v>
      </c>
      <c r="R609" s="3" t="s">
        <v>1602</v>
      </c>
      <c r="S609" s="3" t="s">
        <v>1603</v>
      </c>
      <c r="T609" s="3"/>
    </row>
    <row r="610" spans="1:20">
      <c r="A610" s="3" t="s">
        <v>1604</v>
      </c>
      <c r="B610" s="3" t="s">
        <v>1601</v>
      </c>
      <c r="C610" s="3" t="s">
        <v>1616</v>
      </c>
      <c r="D610" s="3" t="s">
        <v>254</v>
      </c>
      <c r="E610" s="3" t="s">
        <v>255</v>
      </c>
      <c r="F610" s="2">
        <v>1</v>
      </c>
      <c r="G610" s="4">
        <v>1.0241907746398136</v>
      </c>
      <c r="H610" s="2">
        <v>25</v>
      </c>
      <c r="I610" s="2">
        <v>30</v>
      </c>
      <c r="J610" s="2">
        <v>16</v>
      </c>
      <c r="K610" s="4">
        <v>1</v>
      </c>
      <c r="L610" s="4">
        <v>0.3984432134873922</v>
      </c>
      <c r="M610" s="4">
        <v>0.3984432134873922</v>
      </c>
      <c r="N610" s="10">
        <v>0.39800000000000002</v>
      </c>
      <c r="O610" s="4">
        <v>2.0912425977852025</v>
      </c>
      <c r="P610" s="4">
        <v>2.09</v>
      </c>
      <c r="Q610" s="3" t="s">
        <v>1597</v>
      </c>
      <c r="R610" s="3" t="s">
        <v>1602</v>
      </c>
      <c r="S610" s="3" t="s">
        <v>1603</v>
      </c>
      <c r="T610" s="3"/>
    </row>
    <row r="611" spans="1:20">
      <c r="A611" s="3" t="s">
        <v>1600</v>
      </c>
      <c r="B611" s="3" t="s">
        <v>1609</v>
      </c>
      <c r="C611" s="3" t="s">
        <v>1596</v>
      </c>
      <c r="D611" s="3" t="s">
        <v>254</v>
      </c>
      <c r="E611" s="3" t="s">
        <v>255</v>
      </c>
      <c r="F611" s="2">
        <v>1</v>
      </c>
      <c r="G611" s="4">
        <v>1.0241907746398136</v>
      </c>
      <c r="H611" s="2">
        <v>25</v>
      </c>
      <c r="I611" s="2">
        <v>5</v>
      </c>
      <c r="J611" s="2">
        <v>16</v>
      </c>
      <c r="K611" s="4">
        <v>0.67944892485726194</v>
      </c>
      <c r="L611" s="4">
        <v>0.32936882751532459</v>
      </c>
      <c r="M611" s="4">
        <v>0.32936882751532459</v>
      </c>
      <c r="N611" s="10">
        <v>0.32900000000000001</v>
      </c>
      <c r="O611" s="4">
        <v>1.6962097427606015</v>
      </c>
      <c r="P611" s="4">
        <v>1.69</v>
      </c>
      <c r="Q611" s="3" t="s">
        <v>1597</v>
      </c>
      <c r="R611" s="3" t="s">
        <v>1610</v>
      </c>
      <c r="S611" s="3" t="s">
        <v>1611</v>
      </c>
      <c r="T611" s="3"/>
    </row>
    <row r="612" spans="1:20">
      <c r="A612" s="3" t="s">
        <v>1600</v>
      </c>
      <c r="B612" s="3" t="s">
        <v>1601</v>
      </c>
      <c r="C612" s="3" t="s">
        <v>1596</v>
      </c>
      <c r="D612" s="3" t="s">
        <v>254</v>
      </c>
      <c r="E612" s="3" t="s">
        <v>255</v>
      </c>
      <c r="F612" s="2">
        <v>1</v>
      </c>
      <c r="G612" s="4">
        <v>1.0241907746398136</v>
      </c>
      <c r="H612" s="2">
        <v>25</v>
      </c>
      <c r="I612" s="2">
        <v>5</v>
      </c>
      <c r="J612" s="2">
        <v>1</v>
      </c>
      <c r="K612" s="4">
        <v>0.38573768214270188</v>
      </c>
      <c r="L612" s="4">
        <v>0.3236252387251552</v>
      </c>
      <c r="M612" s="4">
        <v>0.3236252387251552</v>
      </c>
      <c r="N612" s="10">
        <v>0.32400000000000001</v>
      </c>
      <c r="O612" s="4">
        <v>1.6643354568260098</v>
      </c>
      <c r="P612" s="4">
        <v>1.67</v>
      </c>
      <c r="Q612" s="3" t="s">
        <v>1597</v>
      </c>
      <c r="R612" s="3" t="s">
        <v>1602</v>
      </c>
      <c r="S612" s="3" t="s">
        <v>1603</v>
      </c>
      <c r="T612" s="3"/>
    </row>
    <row r="613" spans="1:20">
      <c r="A613" s="3" t="s">
        <v>1604</v>
      </c>
      <c r="B613" s="3" t="s">
        <v>1601</v>
      </c>
      <c r="C613" s="3" t="s">
        <v>1596</v>
      </c>
      <c r="D613" s="3" t="s">
        <v>254</v>
      </c>
      <c r="E613" s="3" t="s">
        <v>255</v>
      </c>
      <c r="F613" s="2">
        <v>1</v>
      </c>
      <c r="G613" s="4">
        <v>1.0241907746398136</v>
      </c>
      <c r="H613" s="2">
        <v>25</v>
      </c>
      <c r="I613" s="2">
        <v>30</v>
      </c>
      <c r="J613" s="2">
        <v>16</v>
      </c>
      <c r="K613" s="4">
        <v>1</v>
      </c>
      <c r="L613" s="4">
        <v>0.30313680736943988</v>
      </c>
      <c r="M613" s="4">
        <v>0.30313680736943988</v>
      </c>
      <c r="N613" s="10">
        <v>0.30299999999999999</v>
      </c>
      <c r="O613" s="4">
        <v>1.5516864663058705</v>
      </c>
      <c r="P613" s="4">
        <v>1.55</v>
      </c>
      <c r="Q613" s="3" t="s">
        <v>1597</v>
      </c>
      <c r="R613" s="3" t="s">
        <v>1602</v>
      </c>
      <c r="S613" s="3" t="s">
        <v>1603</v>
      </c>
      <c r="T613" s="3"/>
    </row>
    <row r="614" spans="1:20">
      <c r="A614" s="12" t="s">
        <v>1605</v>
      </c>
      <c r="B614" s="3" t="s">
        <v>1601</v>
      </c>
      <c r="C614" s="3" t="s">
        <v>1596</v>
      </c>
      <c r="D614" s="3" t="s">
        <v>254</v>
      </c>
      <c r="E614" s="3" t="s">
        <v>255</v>
      </c>
      <c r="F614" s="2">
        <v>1</v>
      </c>
      <c r="G614" s="4">
        <v>1.0241907746398136</v>
      </c>
      <c r="H614" s="2">
        <v>25</v>
      </c>
      <c r="I614" s="2">
        <v>5</v>
      </c>
      <c r="J614" s="2">
        <v>16</v>
      </c>
      <c r="K614" s="11">
        <v>1</v>
      </c>
      <c r="L614" s="11">
        <v>0.28735980244103859</v>
      </c>
      <c r="M614" s="4">
        <v>0.28735980244103859</v>
      </c>
      <c r="N614" s="10">
        <v>0.28699999999999998</v>
      </c>
      <c r="O614" s="4">
        <v>1.4659925510561289</v>
      </c>
      <c r="P614" s="4">
        <v>1.46</v>
      </c>
      <c r="Q614" s="3" t="s">
        <v>1597</v>
      </c>
      <c r="R614" s="3" t="s">
        <v>1602</v>
      </c>
      <c r="S614" s="3" t="s">
        <v>1603</v>
      </c>
      <c r="T614" s="3"/>
    </row>
    <row r="615" spans="1:20">
      <c r="A615" s="3" t="s">
        <v>1600</v>
      </c>
      <c r="B615" s="3" t="s">
        <v>1601</v>
      </c>
      <c r="C615" s="3" t="s">
        <v>1596</v>
      </c>
      <c r="D615" s="3" t="s">
        <v>254</v>
      </c>
      <c r="E615" s="3" t="s">
        <v>255</v>
      </c>
      <c r="F615" s="2">
        <v>1</v>
      </c>
      <c r="G615" s="4">
        <v>1.0241907746398136</v>
      </c>
      <c r="H615" s="2">
        <v>25</v>
      </c>
      <c r="I615" s="2">
        <v>5</v>
      </c>
      <c r="J615" s="2">
        <v>16</v>
      </c>
      <c r="K615" s="4">
        <v>0.56066771119937686</v>
      </c>
      <c r="L615" s="4">
        <v>0.11764037005015945</v>
      </c>
      <c r="M615" s="4">
        <v>0.11764037005015945</v>
      </c>
      <c r="N615" s="10">
        <v>0.11799999999999999</v>
      </c>
      <c r="O615" s="4">
        <v>0.58596662982379677</v>
      </c>
      <c r="P615" s="4">
        <v>0.59</v>
      </c>
      <c r="Q615" s="3" t="s">
        <v>1597</v>
      </c>
      <c r="R615" s="3" t="s">
        <v>1602</v>
      </c>
      <c r="S615" s="3" t="s">
        <v>1603</v>
      </c>
      <c r="T615" s="3"/>
    </row>
    <row r="616" spans="1:20">
      <c r="A616" s="3" t="s">
        <v>1594</v>
      </c>
      <c r="B616" s="3" t="s">
        <v>1595</v>
      </c>
      <c r="C616" s="3" t="s">
        <v>1596</v>
      </c>
      <c r="D616" s="3" t="s">
        <v>254</v>
      </c>
      <c r="E616" s="3" t="s">
        <v>255</v>
      </c>
      <c r="F616" s="2">
        <v>1</v>
      </c>
      <c r="G616" s="4">
        <v>1.0241907746398136</v>
      </c>
      <c r="H616" s="2">
        <v>50</v>
      </c>
      <c r="I616" s="2">
        <v>5</v>
      </c>
      <c r="J616" s="2">
        <v>16</v>
      </c>
      <c r="K616" s="4">
        <v>1</v>
      </c>
      <c r="L616" s="14">
        <v>-0.48568569652159871</v>
      </c>
      <c r="M616" s="4">
        <v>0.48568569652159871</v>
      </c>
      <c r="N616" s="10">
        <v>0.48599999999999999</v>
      </c>
      <c r="O616" s="4">
        <v>2.8501822667468257</v>
      </c>
      <c r="P616" s="4">
        <v>-2.85</v>
      </c>
      <c r="Q616" s="3" t="s">
        <v>1617</v>
      </c>
      <c r="R616" s="3" t="s">
        <v>1625</v>
      </c>
      <c r="S616" s="3" t="s">
        <v>1626</v>
      </c>
      <c r="T616" s="3"/>
    </row>
    <row r="617" spans="1:20">
      <c r="A617" s="3" t="s">
        <v>1594</v>
      </c>
      <c r="B617" s="3" t="s">
        <v>1595</v>
      </c>
      <c r="C617" s="3" t="s">
        <v>1596</v>
      </c>
      <c r="D617" s="3" t="s">
        <v>434</v>
      </c>
      <c r="E617" s="3" t="s">
        <v>435</v>
      </c>
      <c r="F617" s="2">
        <v>1</v>
      </c>
      <c r="G617" s="4">
        <v>1.0250823284720332</v>
      </c>
      <c r="H617" s="2">
        <v>50</v>
      </c>
      <c r="I617" s="2">
        <v>5</v>
      </c>
      <c r="J617" s="2">
        <v>16</v>
      </c>
      <c r="K617" s="4">
        <v>0.2912046977698961</v>
      </c>
      <c r="L617" s="14">
        <v>0.13853206754688727</v>
      </c>
      <c r="M617" s="4">
        <v>0.13853206754688727</v>
      </c>
      <c r="N617" s="10">
        <v>0.13900000000000001</v>
      </c>
      <c r="O617" s="4">
        <v>0.74924213060383305</v>
      </c>
      <c r="P617" s="4">
        <v>0.75</v>
      </c>
      <c r="Q617" s="3" t="s">
        <v>1597</v>
      </c>
      <c r="R617" s="3" t="s">
        <v>1598</v>
      </c>
      <c r="S617" s="3" t="s">
        <v>1599</v>
      </c>
      <c r="T617" s="3"/>
    </row>
    <row r="618" spans="1:20">
      <c r="A618" s="3" t="s">
        <v>1594</v>
      </c>
      <c r="B618" s="3" t="s">
        <v>1612</v>
      </c>
      <c r="C618" s="3" t="s">
        <v>1596</v>
      </c>
      <c r="D618" s="3" t="s">
        <v>434</v>
      </c>
      <c r="E618" s="3" t="s">
        <v>435</v>
      </c>
      <c r="F618" s="2">
        <v>1</v>
      </c>
      <c r="G618" s="4">
        <v>1.0250823284720332</v>
      </c>
      <c r="H618" s="2">
        <v>50</v>
      </c>
      <c r="I618" s="2">
        <v>5</v>
      </c>
      <c r="J618" s="2">
        <v>16</v>
      </c>
      <c r="K618" s="4">
        <v>0.47844214393937823</v>
      </c>
      <c r="L618" s="14">
        <v>-0.19592102199584752</v>
      </c>
      <c r="M618" s="4">
        <v>0.19592102199584752</v>
      </c>
      <c r="N618" s="10">
        <v>0.19600000000000001</v>
      </c>
      <c r="O618" s="4">
        <v>1.0666029991577044</v>
      </c>
      <c r="P618" s="4">
        <v>-1.07</v>
      </c>
      <c r="Q618" s="3" t="s">
        <v>1617</v>
      </c>
      <c r="R618" s="3" t="s">
        <v>1627</v>
      </c>
      <c r="S618" s="3" t="s">
        <v>1628</v>
      </c>
      <c r="T618" s="3"/>
    </row>
    <row r="619" spans="1:20">
      <c r="A619" s="3" t="s">
        <v>1600</v>
      </c>
      <c r="B619" s="3" t="s">
        <v>1609</v>
      </c>
      <c r="C619" s="3" t="s">
        <v>1596</v>
      </c>
      <c r="D619" s="3" t="s">
        <v>434</v>
      </c>
      <c r="E619" s="3" t="s">
        <v>435</v>
      </c>
      <c r="F619" s="2">
        <v>1</v>
      </c>
      <c r="G619" s="4">
        <v>1.0250823284720332</v>
      </c>
      <c r="H619" s="2">
        <v>25</v>
      </c>
      <c r="I619" s="2">
        <v>5</v>
      </c>
      <c r="J619" s="2">
        <v>16</v>
      </c>
      <c r="K619" s="4">
        <v>0.34155590435836292</v>
      </c>
      <c r="L619" s="4">
        <v>-0.23802631875424776</v>
      </c>
      <c r="M619" s="4">
        <v>0.23802631875424776</v>
      </c>
      <c r="N619" s="10">
        <v>0.23799999999999999</v>
      </c>
      <c r="O619" s="4">
        <v>1.2031961979132439</v>
      </c>
      <c r="P619" s="4">
        <v>-1.2</v>
      </c>
      <c r="Q619" s="3" t="s">
        <v>1617</v>
      </c>
      <c r="R619" s="3" t="s">
        <v>1623</v>
      </c>
      <c r="S619" s="3" t="s">
        <v>1624</v>
      </c>
      <c r="T619" s="3"/>
    </row>
    <row r="620" spans="1:20">
      <c r="A620" s="3" t="s">
        <v>1600</v>
      </c>
      <c r="B620" s="3" t="s">
        <v>1601</v>
      </c>
      <c r="C620" s="3" t="s">
        <v>1596</v>
      </c>
      <c r="D620" s="3" t="s">
        <v>434</v>
      </c>
      <c r="E620" s="3" t="s">
        <v>435</v>
      </c>
      <c r="F620" s="2">
        <v>1</v>
      </c>
      <c r="G620" s="4">
        <v>1.0250823284720332</v>
      </c>
      <c r="H620" s="2">
        <v>25</v>
      </c>
      <c r="I620" s="2">
        <v>5</v>
      </c>
      <c r="J620" s="2">
        <v>16</v>
      </c>
      <c r="K620" s="4">
        <v>0.11761645925982678</v>
      </c>
      <c r="L620" s="4">
        <v>-0.26357177112999136</v>
      </c>
      <c r="M620" s="4">
        <v>0.26357177112999136</v>
      </c>
      <c r="N620" s="10">
        <v>0.26400000000000001</v>
      </c>
      <c r="O620" s="4">
        <v>1.3383600792759445</v>
      </c>
      <c r="P620" s="4">
        <v>-1.34</v>
      </c>
      <c r="Q620" s="3" t="s">
        <v>1617</v>
      </c>
      <c r="R620" s="3" t="s">
        <v>1618</v>
      </c>
      <c r="S620" s="3" t="s">
        <v>1619</v>
      </c>
      <c r="T620" s="3"/>
    </row>
    <row r="621" spans="1:20">
      <c r="A621" s="3" t="s">
        <v>1600</v>
      </c>
      <c r="B621" s="3" t="s">
        <v>1609</v>
      </c>
      <c r="C621" s="3" t="s">
        <v>1616</v>
      </c>
      <c r="D621" s="3" t="s">
        <v>434</v>
      </c>
      <c r="E621" s="3" t="s">
        <v>435</v>
      </c>
      <c r="F621" s="2">
        <v>1</v>
      </c>
      <c r="G621" s="4">
        <v>1.0250823284720332</v>
      </c>
      <c r="H621" s="2">
        <v>25</v>
      </c>
      <c r="I621" s="2">
        <v>5</v>
      </c>
      <c r="J621" s="2">
        <v>1</v>
      </c>
      <c r="K621" s="4">
        <v>0.15438673102402589</v>
      </c>
      <c r="L621" s="4">
        <v>-0.41677133222931051</v>
      </c>
      <c r="M621" s="4">
        <v>0.41677133222931051</v>
      </c>
      <c r="N621" s="10">
        <v>0.41699999999999998</v>
      </c>
      <c r="O621" s="4">
        <v>2.2002243582226102</v>
      </c>
      <c r="P621" s="4">
        <v>-2.2000000000000002</v>
      </c>
      <c r="Q621" s="3" t="s">
        <v>1617</v>
      </c>
      <c r="R621" s="3" t="s">
        <v>1623</v>
      </c>
      <c r="S621" s="3" t="s">
        <v>1624</v>
      </c>
      <c r="T621" s="3"/>
    </row>
    <row r="622" spans="1:20">
      <c r="A622" s="3" t="s">
        <v>1600</v>
      </c>
      <c r="B622" s="3" t="s">
        <v>1609</v>
      </c>
      <c r="C622" s="3" t="s">
        <v>1616</v>
      </c>
      <c r="D622" s="3" t="s">
        <v>434</v>
      </c>
      <c r="E622" s="3" t="s">
        <v>435</v>
      </c>
      <c r="F622" s="2">
        <v>1</v>
      </c>
      <c r="G622" s="4">
        <v>1.0250823284720332</v>
      </c>
      <c r="H622" s="2">
        <v>25</v>
      </c>
      <c r="I622" s="2">
        <v>5</v>
      </c>
      <c r="J622" s="2">
        <v>16</v>
      </c>
      <c r="K622" s="11">
        <v>0.17880920488881824</v>
      </c>
      <c r="L622" s="11">
        <v>-0.43909817730328166</v>
      </c>
      <c r="M622" s="4">
        <v>0.43909817730328166</v>
      </c>
      <c r="N622" s="10">
        <v>0.439</v>
      </c>
      <c r="O622" s="4">
        <v>2.3357483780214623</v>
      </c>
      <c r="P622" s="4">
        <v>-2.34</v>
      </c>
      <c r="Q622" s="3" t="s">
        <v>1617</v>
      </c>
      <c r="R622" s="3" t="s">
        <v>1623</v>
      </c>
      <c r="S622" s="3" t="s">
        <v>1624</v>
      </c>
      <c r="T622" s="3"/>
    </row>
    <row r="623" spans="1:20">
      <c r="A623" s="3" t="s">
        <v>1600</v>
      </c>
      <c r="B623" s="3" t="s">
        <v>1601</v>
      </c>
      <c r="C623" s="3" t="s">
        <v>1596</v>
      </c>
      <c r="D623" s="3" t="s">
        <v>434</v>
      </c>
      <c r="E623" s="3" t="s">
        <v>435</v>
      </c>
      <c r="F623" s="2">
        <v>1</v>
      </c>
      <c r="G623" s="4">
        <v>1.0250823284720332</v>
      </c>
      <c r="H623" s="2">
        <v>25</v>
      </c>
      <c r="I623" s="2">
        <v>5</v>
      </c>
      <c r="J623" s="2">
        <v>1</v>
      </c>
      <c r="K623" s="4">
        <v>0.22072940315678735</v>
      </c>
      <c r="L623" s="4">
        <v>-0.67392799402177339</v>
      </c>
      <c r="M623" s="4">
        <v>0.67392799402177339</v>
      </c>
      <c r="N623" s="10">
        <v>0.67400000000000004</v>
      </c>
      <c r="O623" s="4">
        <v>4.0551209342873689</v>
      </c>
      <c r="P623" s="4">
        <v>-4.0599999999999996</v>
      </c>
      <c r="Q623" s="3" t="s">
        <v>1617</v>
      </c>
      <c r="R623" s="3" t="s">
        <v>1618</v>
      </c>
      <c r="S623" s="3" t="s">
        <v>1619</v>
      </c>
      <c r="T623" s="3"/>
    </row>
    <row r="624" spans="1:20">
      <c r="A624" s="3" t="s">
        <v>1600</v>
      </c>
      <c r="B624" s="3" t="s">
        <v>1601</v>
      </c>
      <c r="C624" s="3" t="s">
        <v>1616</v>
      </c>
      <c r="D624" s="3" t="s">
        <v>434</v>
      </c>
      <c r="E624" s="3" t="s">
        <v>435</v>
      </c>
      <c r="F624" s="2">
        <v>1</v>
      </c>
      <c r="G624" s="4">
        <v>1.0250823284720332</v>
      </c>
      <c r="H624" s="2">
        <v>25</v>
      </c>
      <c r="I624" s="2">
        <v>5</v>
      </c>
      <c r="J624" s="2">
        <v>16</v>
      </c>
      <c r="K624" s="4">
        <v>0.91657443696648999</v>
      </c>
      <c r="L624" s="4">
        <v>-0.68266623873124754</v>
      </c>
      <c r="M624" s="4">
        <v>0.68266623873124754</v>
      </c>
      <c r="N624" s="10">
        <v>0.68300000000000005</v>
      </c>
      <c r="O624" s="4">
        <v>4.1353670304860195</v>
      </c>
      <c r="P624" s="4">
        <v>-4.1399999999999997</v>
      </c>
      <c r="Q624" s="3" t="s">
        <v>1617</v>
      </c>
      <c r="R624" s="3" t="s">
        <v>1618</v>
      </c>
      <c r="S624" s="3" t="s">
        <v>1619</v>
      </c>
      <c r="T624" s="3"/>
    </row>
    <row r="625" spans="1:20">
      <c r="A625" s="3" t="s">
        <v>1600</v>
      </c>
      <c r="B625" s="3" t="s">
        <v>1601</v>
      </c>
      <c r="C625" s="3" t="s">
        <v>1616</v>
      </c>
      <c r="D625" s="3" t="s">
        <v>434</v>
      </c>
      <c r="E625" s="3" t="s">
        <v>435</v>
      </c>
      <c r="F625" s="2">
        <v>1</v>
      </c>
      <c r="G625" s="4">
        <v>1.0250823284720332</v>
      </c>
      <c r="H625" s="2">
        <v>25</v>
      </c>
      <c r="I625" s="2">
        <v>5</v>
      </c>
      <c r="J625" s="2">
        <v>1</v>
      </c>
      <c r="K625" s="4">
        <v>0.77714888362455015</v>
      </c>
      <c r="L625" s="4">
        <v>-0.72162855772487455</v>
      </c>
      <c r="M625" s="4">
        <v>0.72162855772487455</v>
      </c>
      <c r="N625" s="10">
        <v>0.72199999999999998</v>
      </c>
      <c r="O625" s="4">
        <v>4.5168525821799248</v>
      </c>
      <c r="P625" s="4">
        <v>-4.5199999999999996</v>
      </c>
      <c r="Q625" s="3" t="s">
        <v>1617</v>
      </c>
      <c r="R625" s="3" t="s">
        <v>1618</v>
      </c>
      <c r="S625" s="3" t="s">
        <v>1619</v>
      </c>
      <c r="T625" s="3"/>
    </row>
    <row r="626" spans="1:20">
      <c r="A626" s="3" t="s">
        <v>1604</v>
      </c>
      <c r="B626" s="3" t="s">
        <v>1601</v>
      </c>
      <c r="C626" s="3" t="s">
        <v>1616</v>
      </c>
      <c r="D626" s="3" t="s">
        <v>434</v>
      </c>
      <c r="E626" s="3" t="s">
        <v>435</v>
      </c>
      <c r="F626" s="2">
        <v>1</v>
      </c>
      <c r="G626" s="4">
        <v>1.0250823284720332</v>
      </c>
      <c r="H626" s="2">
        <v>25</v>
      </c>
      <c r="I626" s="2">
        <v>30</v>
      </c>
      <c r="J626" s="2">
        <v>16</v>
      </c>
      <c r="K626" s="4">
        <v>0.99047916145563575</v>
      </c>
      <c r="L626" s="4">
        <v>-0.72401673106905162</v>
      </c>
      <c r="M626" s="4">
        <v>0.72401673106905162</v>
      </c>
      <c r="N626" s="10">
        <v>0.72399999999999998</v>
      </c>
      <c r="O626" s="4">
        <v>4.5416479639330474</v>
      </c>
      <c r="P626" s="4">
        <v>-4.54</v>
      </c>
      <c r="Q626" s="3" t="s">
        <v>1617</v>
      </c>
      <c r="R626" s="3" t="s">
        <v>1618</v>
      </c>
      <c r="S626" s="3" t="s">
        <v>1619</v>
      </c>
      <c r="T626" s="3"/>
    </row>
    <row r="627" spans="1:20">
      <c r="A627" s="3" t="s">
        <v>1600</v>
      </c>
      <c r="B627" s="3" t="s">
        <v>1609</v>
      </c>
      <c r="C627" s="3" t="s">
        <v>1596</v>
      </c>
      <c r="D627" s="3" t="s">
        <v>434</v>
      </c>
      <c r="E627" s="3" t="s">
        <v>435</v>
      </c>
      <c r="F627" s="2">
        <v>1</v>
      </c>
      <c r="G627" s="4">
        <v>1.0250823284720332</v>
      </c>
      <c r="H627" s="2">
        <v>25</v>
      </c>
      <c r="I627" s="2">
        <v>5</v>
      </c>
      <c r="J627" s="2">
        <v>1</v>
      </c>
      <c r="K627" s="11">
        <v>1</v>
      </c>
      <c r="L627" s="11">
        <v>-0.73086370528072042</v>
      </c>
      <c r="M627" s="4">
        <v>0.73086370528072042</v>
      </c>
      <c r="N627" s="10">
        <v>0.73099999999999998</v>
      </c>
      <c r="O627" s="4">
        <v>4.6137511814521766</v>
      </c>
      <c r="P627" s="4">
        <v>-4.62</v>
      </c>
      <c r="Q627" s="3" t="s">
        <v>1617</v>
      </c>
      <c r="R627" s="3" t="s">
        <v>1623</v>
      </c>
      <c r="S627" s="3" t="s">
        <v>1624</v>
      </c>
      <c r="T627" s="3"/>
    </row>
    <row r="628" spans="1:20">
      <c r="A628" s="3" t="s">
        <v>1600</v>
      </c>
      <c r="B628" s="3" t="s">
        <v>1606</v>
      </c>
      <c r="C628" s="3" t="s">
        <v>1616</v>
      </c>
      <c r="D628" s="3" t="s">
        <v>434</v>
      </c>
      <c r="E628" s="3" t="s">
        <v>435</v>
      </c>
      <c r="F628" s="2">
        <v>1</v>
      </c>
      <c r="G628" s="4">
        <v>1.0250823284720332</v>
      </c>
      <c r="H628" s="2">
        <v>25</v>
      </c>
      <c r="I628" s="2">
        <v>5</v>
      </c>
      <c r="J628" s="2">
        <v>1</v>
      </c>
      <c r="K628" s="4">
        <v>1</v>
      </c>
      <c r="L628" s="4">
        <v>-0.85705819604124689</v>
      </c>
      <c r="M628" s="4">
        <v>0.85705819604124689</v>
      </c>
      <c r="N628" s="10">
        <v>0.85699999999999998</v>
      </c>
      <c r="O628" s="4">
        <v>6.3568461468713275</v>
      </c>
      <c r="P628" s="4">
        <v>-6.36</v>
      </c>
      <c r="Q628" s="3" t="s">
        <v>1617</v>
      </c>
      <c r="R628" s="3" t="s">
        <v>1621</v>
      </c>
      <c r="S628" s="3" t="s">
        <v>1622</v>
      </c>
      <c r="T628" s="3"/>
    </row>
    <row r="629" spans="1:20">
      <c r="A629" s="3" t="s">
        <v>1600</v>
      </c>
      <c r="B629" s="3" t="s">
        <v>1606</v>
      </c>
      <c r="C629" s="3" t="s">
        <v>1616</v>
      </c>
      <c r="D629" s="3" t="s">
        <v>434</v>
      </c>
      <c r="E629" s="3" t="s">
        <v>435</v>
      </c>
      <c r="F629" s="2">
        <v>1</v>
      </c>
      <c r="G629" s="4">
        <v>1.0250823284720332</v>
      </c>
      <c r="H629" s="2">
        <v>25</v>
      </c>
      <c r="I629" s="2">
        <v>5</v>
      </c>
      <c r="J629" s="2">
        <v>16</v>
      </c>
      <c r="K629" s="11">
        <v>1</v>
      </c>
      <c r="L629" s="11">
        <v>-0.86300946602623518</v>
      </c>
      <c r="M629" s="4">
        <v>0.86300946602623518</v>
      </c>
      <c r="N629" s="10">
        <v>0.86299999999999999</v>
      </c>
      <c r="O629" s="4">
        <v>6.4701977247349696</v>
      </c>
      <c r="P629" s="4">
        <v>-6.47</v>
      </c>
      <c r="Q629" s="3" t="s">
        <v>1617</v>
      </c>
      <c r="R629" s="3" t="s">
        <v>1621</v>
      </c>
      <c r="S629" s="3" t="s">
        <v>1622</v>
      </c>
      <c r="T629" s="3"/>
    </row>
    <row r="630" spans="1:20">
      <c r="A630" s="3" t="s">
        <v>1604</v>
      </c>
      <c r="B630" s="3" t="s">
        <v>1601</v>
      </c>
      <c r="C630" s="3" t="s">
        <v>1596</v>
      </c>
      <c r="D630" s="3" t="s">
        <v>434</v>
      </c>
      <c r="E630" s="3" t="s">
        <v>435</v>
      </c>
      <c r="F630" s="2">
        <v>1</v>
      </c>
      <c r="G630" s="4">
        <v>1.0250823284720332</v>
      </c>
      <c r="H630" s="2">
        <v>25</v>
      </c>
      <c r="I630" s="2">
        <v>30</v>
      </c>
      <c r="J630" s="2">
        <v>16</v>
      </c>
      <c r="K630" s="4">
        <v>1</v>
      </c>
      <c r="L630" s="4">
        <v>-0.90546999653760307</v>
      </c>
      <c r="M630" s="4">
        <v>0.90546999653760307</v>
      </c>
      <c r="N630" s="10">
        <v>0.90500000000000003</v>
      </c>
      <c r="O630" s="4">
        <v>7.4457462444505742</v>
      </c>
      <c r="P630" s="4">
        <v>-7.43</v>
      </c>
      <c r="Q630" s="3" t="s">
        <v>1617</v>
      </c>
      <c r="R630" s="3" t="s">
        <v>1618</v>
      </c>
      <c r="S630" s="3" t="s">
        <v>1619</v>
      </c>
      <c r="T630" s="3"/>
    </row>
    <row r="631" spans="1:20">
      <c r="A631" s="12" t="s">
        <v>1605</v>
      </c>
      <c r="B631" s="3" t="s">
        <v>1601</v>
      </c>
      <c r="C631" s="3" t="s">
        <v>1596</v>
      </c>
      <c r="D631" s="3" t="s">
        <v>434</v>
      </c>
      <c r="E631" s="3" t="s">
        <v>435</v>
      </c>
      <c r="F631" s="2">
        <v>1</v>
      </c>
      <c r="G631" s="4">
        <v>1.0250823284720332</v>
      </c>
      <c r="H631" s="2">
        <v>25</v>
      </c>
      <c r="I631" s="2">
        <v>5</v>
      </c>
      <c r="J631" s="2">
        <v>16</v>
      </c>
      <c r="K631" s="11">
        <v>1</v>
      </c>
      <c r="L631" s="11">
        <v>-0.90939891807800222</v>
      </c>
      <c r="M631" s="4">
        <v>0.90939891807800222</v>
      </c>
      <c r="N631" s="10">
        <v>0.90900000000000003</v>
      </c>
      <c r="O631" s="4">
        <v>7.5560874005637793</v>
      </c>
      <c r="P631" s="4">
        <v>-7.54</v>
      </c>
      <c r="Q631" s="3" t="s">
        <v>1617</v>
      </c>
      <c r="R631" s="3" t="s">
        <v>1618</v>
      </c>
      <c r="S631" s="3" t="s">
        <v>1619</v>
      </c>
      <c r="T631" s="3"/>
    </row>
    <row r="632" spans="1:20">
      <c r="A632" s="3" t="s">
        <v>1600</v>
      </c>
      <c r="B632" s="3" t="s">
        <v>1606</v>
      </c>
      <c r="C632" s="3" t="s">
        <v>1596</v>
      </c>
      <c r="D632" s="3" t="s">
        <v>434</v>
      </c>
      <c r="E632" s="3" t="s">
        <v>435</v>
      </c>
      <c r="F632" s="2">
        <v>1</v>
      </c>
      <c r="G632" s="4">
        <v>1.0250823284720332</v>
      </c>
      <c r="H632" s="2">
        <v>25</v>
      </c>
      <c r="I632" s="2">
        <v>5</v>
      </c>
      <c r="J632" s="2">
        <v>1</v>
      </c>
      <c r="K632" s="11">
        <v>1</v>
      </c>
      <c r="L632" s="11">
        <v>-1</v>
      </c>
      <c r="M632" s="4">
        <v>1</v>
      </c>
      <c r="N632" s="10">
        <v>0.995</v>
      </c>
      <c r="O632" s="4">
        <v>14.85</v>
      </c>
      <c r="P632" s="4">
        <v>-14.85</v>
      </c>
      <c r="Q632" s="3" t="s">
        <v>1617</v>
      </c>
      <c r="R632" s="3" t="s">
        <v>1621</v>
      </c>
      <c r="S632" s="3" t="s">
        <v>1622</v>
      </c>
      <c r="T632" s="3"/>
    </row>
    <row r="633" spans="1:20">
      <c r="A633" s="3" t="s">
        <v>1600</v>
      </c>
      <c r="B633" s="3" t="s">
        <v>1606</v>
      </c>
      <c r="C633" s="3" t="s">
        <v>1596</v>
      </c>
      <c r="D633" s="3" t="s">
        <v>434</v>
      </c>
      <c r="E633" s="3" t="s">
        <v>435</v>
      </c>
      <c r="F633" s="2">
        <v>1</v>
      </c>
      <c r="G633" s="4">
        <v>1.0250823284720332</v>
      </c>
      <c r="H633" s="2">
        <v>25</v>
      </c>
      <c r="I633" s="2">
        <v>5</v>
      </c>
      <c r="J633" s="2">
        <v>16</v>
      </c>
      <c r="K633" s="11">
        <v>1</v>
      </c>
      <c r="L633" s="11">
        <v>-1</v>
      </c>
      <c r="M633" s="4">
        <v>1</v>
      </c>
      <c r="N633" s="10">
        <v>0.995</v>
      </c>
      <c r="O633" s="4">
        <v>14.85</v>
      </c>
      <c r="P633" s="4">
        <v>-14.85</v>
      </c>
      <c r="Q633" s="3" t="s">
        <v>1617</v>
      </c>
      <c r="R633" s="3" t="s">
        <v>1621</v>
      </c>
      <c r="S633" s="3" t="s">
        <v>1622</v>
      </c>
      <c r="T633" s="3"/>
    </row>
    <row r="634" spans="1:20">
      <c r="A634" s="3" t="s">
        <v>1604</v>
      </c>
      <c r="B634" s="3" t="s">
        <v>1601</v>
      </c>
      <c r="C634" s="3" t="s">
        <v>1596</v>
      </c>
      <c r="D634" s="3" t="s">
        <v>1251</v>
      </c>
      <c r="E634" s="3" t="s">
        <v>1252</v>
      </c>
      <c r="F634" s="2">
        <v>1</v>
      </c>
      <c r="G634" s="4">
        <v>1.0254960938288551</v>
      </c>
      <c r="H634" s="2">
        <v>25</v>
      </c>
      <c r="I634" s="2">
        <v>30</v>
      </c>
      <c r="J634" s="2">
        <v>16</v>
      </c>
      <c r="K634" s="4">
        <v>1.8164066511556665E-2</v>
      </c>
      <c r="L634" s="4">
        <v>1</v>
      </c>
      <c r="M634" s="4">
        <v>1</v>
      </c>
      <c r="N634" s="10">
        <v>0.995</v>
      </c>
      <c r="O634" s="4">
        <v>14.85</v>
      </c>
      <c r="P634" s="4">
        <v>14.85</v>
      </c>
      <c r="Q634" s="3" t="s">
        <v>1597</v>
      </c>
      <c r="R634" s="3" t="s">
        <v>1602</v>
      </c>
      <c r="S634" s="3" t="s">
        <v>1603</v>
      </c>
      <c r="T634" s="3"/>
    </row>
    <row r="635" spans="1:20">
      <c r="A635" s="3" t="s">
        <v>1600</v>
      </c>
      <c r="B635" s="3" t="s">
        <v>1606</v>
      </c>
      <c r="C635" s="3" t="s">
        <v>1596</v>
      </c>
      <c r="D635" s="3" t="s">
        <v>1251</v>
      </c>
      <c r="E635" s="3" t="s">
        <v>1252</v>
      </c>
      <c r="F635" s="2">
        <v>1</v>
      </c>
      <c r="G635" s="4">
        <v>1.0254960938288551</v>
      </c>
      <c r="H635" s="2">
        <v>25</v>
      </c>
      <c r="I635" s="2">
        <v>5</v>
      </c>
      <c r="J635" s="2">
        <v>16</v>
      </c>
      <c r="K635" s="4">
        <v>5.7822488462901944E-2</v>
      </c>
      <c r="L635" s="4">
        <v>1</v>
      </c>
      <c r="M635" s="4">
        <v>1</v>
      </c>
      <c r="N635" s="10">
        <v>0.995</v>
      </c>
      <c r="O635" s="4">
        <v>14.85</v>
      </c>
      <c r="P635" s="4">
        <v>14.85</v>
      </c>
      <c r="Q635" s="3" t="s">
        <v>1597</v>
      </c>
      <c r="R635" s="3" t="s">
        <v>1607</v>
      </c>
      <c r="S635" s="3" t="s">
        <v>1608</v>
      </c>
      <c r="T635" s="3"/>
    </row>
    <row r="636" spans="1:20">
      <c r="A636" s="3" t="s">
        <v>1600</v>
      </c>
      <c r="B636" s="3" t="s">
        <v>1606</v>
      </c>
      <c r="C636" s="3" t="s">
        <v>1616</v>
      </c>
      <c r="D636" s="3" t="s">
        <v>1251</v>
      </c>
      <c r="E636" s="3" t="s">
        <v>1252</v>
      </c>
      <c r="F636" s="2">
        <v>1</v>
      </c>
      <c r="G636" s="4">
        <v>1.0254960938288551</v>
      </c>
      <c r="H636" s="2">
        <v>25</v>
      </c>
      <c r="I636" s="2">
        <v>5</v>
      </c>
      <c r="J636" s="2">
        <v>16</v>
      </c>
      <c r="K636" s="4">
        <v>3.5737382505426241E-2</v>
      </c>
      <c r="L636" s="4">
        <v>1</v>
      </c>
      <c r="M636" s="4">
        <v>1</v>
      </c>
      <c r="N636" s="10">
        <v>0.995</v>
      </c>
      <c r="O636" s="4">
        <v>14.85</v>
      </c>
      <c r="P636" s="4">
        <v>14.85</v>
      </c>
      <c r="Q636" s="3" t="s">
        <v>1597</v>
      </c>
      <c r="R636" s="3" t="s">
        <v>1607</v>
      </c>
      <c r="S636" s="3" t="s">
        <v>1608</v>
      </c>
      <c r="T636" s="3"/>
    </row>
    <row r="637" spans="1:20">
      <c r="A637" s="3" t="s">
        <v>1604</v>
      </c>
      <c r="B637" s="3" t="s">
        <v>1601</v>
      </c>
      <c r="C637" s="3" t="s">
        <v>1616</v>
      </c>
      <c r="D637" s="3" t="s">
        <v>1251</v>
      </c>
      <c r="E637" s="3" t="s">
        <v>1252</v>
      </c>
      <c r="F637" s="2">
        <v>1</v>
      </c>
      <c r="G637" s="4">
        <v>1.0254960938288551</v>
      </c>
      <c r="H637" s="2">
        <v>25</v>
      </c>
      <c r="I637" s="2">
        <v>30</v>
      </c>
      <c r="J637" s="2">
        <v>16</v>
      </c>
      <c r="K637" s="4">
        <v>2.1732707756396907E-2</v>
      </c>
      <c r="L637" s="4">
        <v>0.69545154911008567</v>
      </c>
      <c r="M637" s="4">
        <v>0.69545154911008567</v>
      </c>
      <c r="N637" s="10">
        <v>0.69499999999999995</v>
      </c>
      <c r="O637" s="4">
        <v>4.2560764880884037</v>
      </c>
      <c r="P637" s="4">
        <v>4.25</v>
      </c>
      <c r="Q637" s="3" t="s">
        <v>1597</v>
      </c>
      <c r="R637" s="3" t="s">
        <v>1602</v>
      </c>
      <c r="S637" s="3" t="s">
        <v>1603</v>
      </c>
      <c r="T637" s="3"/>
    </row>
    <row r="638" spans="1:20">
      <c r="A638" s="3" t="s">
        <v>1600</v>
      </c>
      <c r="B638" s="3" t="s">
        <v>1601</v>
      </c>
      <c r="C638" s="3" t="s">
        <v>1616</v>
      </c>
      <c r="D638" s="3" t="s">
        <v>1251</v>
      </c>
      <c r="E638" s="3" t="s">
        <v>1252</v>
      </c>
      <c r="F638" s="2">
        <v>1</v>
      </c>
      <c r="G638" s="4">
        <v>1.0254960938288551</v>
      </c>
      <c r="H638" s="2">
        <v>25</v>
      </c>
      <c r="I638" s="2">
        <v>5</v>
      </c>
      <c r="J638" s="2">
        <v>1</v>
      </c>
      <c r="K638" s="4">
        <v>0</v>
      </c>
      <c r="L638" s="4">
        <v>0</v>
      </c>
      <c r="M638" s="4">
        <v>0</v>
      </c>
      <c r="N638" s="10">
        <v>0</v>
      </c>
      <c r="O638" s="4">
        <v>0</v>
      </c>
      <c r="P638" s="4">
        <v>0</v>
      </c>
      <c r="Q638" s="3" t="s">
        <v>1617</v>
      </c>
      <c r="R638" s="3" t="s">
        <v>1618</v>
      </c>
      <c r="S638" s="3" t="s">
        <v>1619</v>
      </c>
      <c r="T638" s="3"/>
    </row>
    <row r="639" spans="1:20">
      <c r="A639" s="3" t="s">
        <v>1600</v>
      </c>
      <c r="B639" s="3" t="s">
        <v>1601</v>
      </c>
      <c r="C639" s="3" t="s">
        <v>1616</v>
      </c>
      <c r="D639" s="3" t="s">
        <v>1251</v>
      </c>
      <c r="E639" s="3" t="s">
        <v>1252</v>
      </c>
      <c r="F639" s="2">
        <v>1</v>
      </c>
      <c r="G639" s="4">
        <v>1.0254960938288551</v>
      </c>
      <c r="H639" s="2">
        <v>25</v>
      </c>
      <c r="I639" s="2">
        <v>5</v>
      </c>
      <c r="J639" s="2">
        <v>16</v>
      </c>
      <c r="K639" s="4">
        <v>0</v>
      </c>
      <c r="L639" s="4">
        <v>0</v>
      </c>
      <c r="M639" s="4">
        <v>0</v>
      </c>
      <c r="N639" s="10">
        <v>0</v>
      </c>
      <c r="O639" s="4">
        <v>0</v>
      </c>
      <c r="P639" s="4">
        <v>0</v>
      </c>
      <c r="Q639" s="3" t="s">
        <v>1617</v>
      </c>
      <c r="R639" s="3" t="s">
        <v>1618</v>
      </c>
      <c r="S639" s="3" t="s">
        <v>1619</v>
      </c>
      <c r="T639" s="3"/>
    </row>
    <row r="640" spans="1:20">
      <c r="A640" s="3" t="s">
        <v>1600</v>
      </c>
      <c r="B640" s="3" t="s">
        <v>1601</v>
      </c>
      <c r="C640" s="3" t="s">
        <v>1596</v>
      </c>
      <c r="D640" s="3" t="s">
        <v>1251</v>
      </c>
      <c r="E640" s="3" t="s">
        <v>1252</v>
      </c>
      <c r="F640" s="2">
        <v>1</v>
      </c>
      <c r="G640" s="4">
        <v>1.0254960938288551</v>
      </c>
      <c r="H640" s="2">
        <v>25</v>
      </c>
      <c r="I640" s="2">
        <v>5</v>
      </c>
      <c r="J640" s="2">
        <v>1</v>
      </c>
      <c r="K640" s="4">
        <v>0</v>
      </c>
      <c r="L640" s="4">
        <v>0</v>
      </c>
      <c r="M640" s="4">
        <v>0</v>
      </c>
      <c r="N640" s="10">
        <v>0</v>
      </c>
      <c r="O640" s="4">
        <v>0</v>
      </c>
      <c r="P640" s="4">
        <v>0</v>
      </c>
      <c r="Q640" s="3" t="s">
        <v>1617</v>
      </c>
      <c r="R640" s="3" t="s">
        <v>1618</v>
      </c>
      <c r="S640" s="3" t="s">
        <v>1619</v>
      </c>
      <c r="T640" s="3"/>
    </row>
    <row r="641" spans="1:20">
      <c r="A641" s="3" t="s">
        <v>1600</v>
      </c>
      <c r="B641" s="3" t="s">
        <v>1601</v>
      </c>
      <c r="C641" s="3" t="s">
        <v>1596</v>
      </c>
      <c r="D641" s="3" t="s">
        <v>1251</v>
      </c>
      <c r="E641" s="3" t="s">
        <v>1252</v>
      </c>
      <c r="F641" s="2">
        <v>1</v>
      </c>
      <c r="G641" s="4">
        <v>1.0254960938288551</v>
      </c>
      <c r="H641" s="2">
        <v>25</v>
      </c>
      <c r="I641" s="2">
        <v>5</v>
      </c>
      <c r="J641" s="2">
        <v>16</v>
      </c>
      <c r="K641" s="4">
        <v>0</v>
      </c>
      <c r="L641" s="4">
        <v>0</v>
      </c>
      <c r="M641" s="4">
        <v>0</v>
      </c>
      <c r="N641" s="10">
        <v>0</v>
      </c>
      <c r="O641" s="4">
        <v>0</v>
      </c>
      <c r="P641" s="4">
        <v>0</v>
      </c>
      <c r="Q641" s="3" t="s">
        <v>1617</v>
      </c>
      <c r="R641" s="3" t="s">
        <v>1618</v>
      </c>
      <c r="S641" s="3" t="s">
        <v>1619</v>
      </c>
      <c r="T641" s="3"/>
    </row>
    <row r="642" spans="1:20">
      <c r="A642" s="3" t="s">
        <v>1605</v>
      </c>
      <c r="B642" s="3" t="s">
        <v>1601</v>
      </c>
      <c r="C642" s="3" t="s">
        <v>1596</v>
      </c>
      <c r="D642" s="3" t="s">
        <v>1251</v>
      </c>
      <c r="E642" s="3" t="s">
        <v>1252</v>
      </c>
      <c r="F642" s="2">
        <v>1</v>
      </c>
      <c r="G642" s="4">
        <v>1.0254960938288551</v>
      </c>
      <c r="H642" s="2">
        <v>25</v>
      </c>
      <c r="I642" s="2">
        <v>5</v>
      </c>
      <c r="J642" s="2">
        <v>16</v>
      </c>
      <c r="K642" s="4">
        <v>0</v>
      </c>
      <c r="L642" s="4">
        <v>0</v>
      </c>
      <c r="M642" s="4">
        <v>0</v>
      </c>
      <c r="N642" s="10">
        <v>0</v>
      </c>
      <c r="O642" s="4">
        <v>0</v>
      </c>
      <c r="P642" s="4">
        <v>0</v>
      </c>
      <c r="Q642" s="3" t="s">
        <v>1617</v>
      </c>
      <c r="R642" s="3" t="s">
        <v>1618</v>
      </c>
      <c r="S642" s="3" t="s">
        <v>1619</v>
      </c>
      <c r="T642" s="3"/>
    </row>
    <row r="643" spans="1:20">
      <c r="A643" s="3" t="s">
        <v>1600</v>
      </c>
      <c r="B643" s="3" t="s">
        <v>1606</v>
      </c>
      <c r="C643" s="3" t="s">
        <v>1596</v>
      </c>
      <c r="D643" s="3" t="s">
        <v>1251</v>
      </c>
      <c r="E643" s="3" t="s">
        <v>1252</v>
      </c>
      <c r="F643" s="2">
        <v>1</v>
      </c>
      <c r="G643" s="4">
        <v>1.0254960938288551</v>
      </c>
      <c r="H643" s="2">
        <v>25</v>
      </c>
      <c r="I643" s="2">
        <v>5</v>
      </c>
      <c r="J643" s="2">
        <v>1</v>
      </c>
      <c r="K643" s="4">
        <v>0</v>
      </c>
      <c r="L643" s="4">
        <v>0</v>
      </c>
      <c r="M643" s="4">
        <v>0</v>
      </c>
      <c r="N643" s="10">
        <v>0</v>
      </c>
      <c r="O643" s="4">
        <v>0</v>
      </c>
      <c r="P643" s="4">
        <v>0</v>
      </c>
      <c r="Q643" s="3" t="s">
        <v>1617</v>
      </c>
      <c r="R643" s="3" t="s">
        <v>1621</v>
      </c>
      <c r="S643" s="3" t="s">
        <v>1622</v>
      </c>
      <c r="T643" s="3"/>
    </row>
    <row r="644" spans="1:20">
      <c r="A644" s="3" t="s">
        <v>1600</v>
      </c>
      <c r="B644" s="3" t="s">
        <v>1609</v>
      </c>
      <c r="C644" s="3" t="s">
        <v>1596</v>
      </c>
      <c r="D644" s="3" t="s">
        <v>1251</v>
      </c>
      <c r="E644" s="3" t="s">
        <v>1252</v>
      </c>
      <c r="F644" s="2">
        <v>1</v>
      </c>
      <c r="G644" s="4">
        <v>1.0254960938288551</v>
      </c>
      <c r="H644" s="2">
        <v>25</v>
      </c>
      <c r="I644" s="2">
        <v>5</v>
      </c>
      <c r="J644" s="2">
        <v>1</v>
      </c>
      <c r="K644" s="4">
        <v>0</v>
      </c>
      <c r="L644" s="4">
        <v>0</v>
      </c>
      <c r="M644" s="4">
        <v>0</v>
      </c>
      <c r="N644" s="10">
        <v>0</v>
      </c>
      <c r="O644" s="4">
        <v>0</v>
      </c>
      <c r="P644" s="4">
        <v>0</v>
      </c>
      <c r="Q644" s="3" t="s">
        <v>1617</v>
      </c>
      <c r="R644" s="3" t="s">
        <v>1623</v>
      </c>
      <c r="S644" s="3" t="s">
        <v>1624</v>
      </c>
      <c r="T644" s="3"/>
    </row>
    <row r="645" spans="1:20">
      <c r="A645" s="3" t="s">
        <v>1600</v>
      </c>
      <c r="B645" s="3" t="s">
        <v>1606</v>
      </c>
      <c r="C645" s="3" t="s">
        <v>1616</v>
      </c>
      <c r="D645" s="3" t="s">
        <v>1251</v>
      </c>
      <c r="E645" s="3" t="s">
        <v>1252</v>
      </c>
      <c r="F645" s="2">
        <v>1</v>
      </c>
      <c r="G645" s="4">
        <v>1.0254960938288551</v>
      </c>
      <c r="H645" s="2">
        <v>25</v>
      </c>
      <c r="I645" s="2">
        <v>5</v>
      </c>
      <c r="J645" s="2">
        <v>1</v>
      </c>
      <c r="K645" s="4">
        <v>0</v>
      </c>
      <c r="L645" s="4">
        <v>0</v>
      </c>
      <c r="M645" s="4">
        <v>0</v>
      </c>
      <c r="N645" s="10">
        <v>0</v>
      </c>
      <c r="O645" s="4">
        <v>0</v>
      </c>
      <c r="P645" s="4">
        <v>0</v>
      </c>
      <c r="Q645" s="3" t="s">
        <v>1617</v>
      </c>
      <c r="R645" s="3" t="s">
        <v>1621</v>
      </c>
      <c r="S645" s="3" t="s">
        <v>1622</v>
      </c>
      <c r="T645" s="3"/>
    </row>
    <row r="646" spans="1:20">
      <c r="A646" s="3" t="s">
        <v>1600</v>
      </c>
      <c r="B646" s="3" t="s">
        <v>1609</v>
      </c>
      <c r="C646" s="3" t="s">
        <v>1616</v>
      </c>
      <c r="D646" s="3" t="s">
        <v>1251</v>
      </c>
      <c r="E646" s="3" t="s">
        <v>1252</v>
      </c>
      <c r="F646" s="2">
        <v>1</v>
      </c>
      <c r="G646" s="4">
        <v>1.0254960938288551</v>
      </c>
      <c r="H646" s="2">
        <v>25</v>
      </c>
      <c r="I646" s="2">
        <v>5</v>
      </c>
      <c r="J646" s="2">
        <v>1</v>
      </c>
      <c r="K646" s="4">
        <v>0</v>
      </c>
      <c r="L646" s="4">
        <v>0</v>
      </c>
      <c r="M646" s="4">
        <v>0</v>
      </c>
      <c r="N646" s="10">
        <v>0</v>
      </c>
      <c r="O646" s="4">
        <v>0</v>
      </c>
      <c r="P646" s="4">
        <v>0</v>
      </c>
      <c r="Q646" s="3" t="s">
        <v>1617</v>
      </c>
      <c r="R646" s="3" t="s">
        <v>1623</v>
      </c>
      <c r="S646" s="3" t="s">
        <v>1624</v>
      </c>
      <c r="T646" s="3"/>
    </row>
    <row r="647" spans="1:20">
      <c r="A647" s="3" t="s">
        <v>1594</v>
      </c>
      <c r="B647" s="3" t="s">
        <v>1595</v>
      </c>
      <c r="C647" s="3" t="s">
        <v>1596</v>
      </c>
      <c r="D647" s="3" t="s">
        <v>1251</v>
      </c>
      <c r="E647" s="3" t="s">
        <v>1252</v>
      </c>
      <c r="F647" s="2">
        <v>1</v>
      </c>
      <c r="G647" s="4">
        <v>1.0254960938288551</v>
      </c>
      <c r="H647" s="2">
        <v>50</v>
      </c>
      <c r="I647" s="2">
        <v>5</v>
      </c>
      <c r="J647" s="2">
        <v>16</v>
      </c>
      <c r="K647" s="4">
        <v>0.31034086306632402</v>
      </c>
      <c r="L647" s="4">
        <v>-2.0746325338406008E-2</v>
      </c>
      <c r="M647" s="4">
        <v>2.0746325338406008E-2</v>
      </c>
      <c r="N647" s="10">
        <v>2.1000000000000001E-2</v>
      </c>
      <c r="O647" s="4">
        <v>0.11149972532814025</v>
      </c>
      <c r="P647" s="4">
        <v>-0.11</v>
      </c>
      <c r="Q647" s="3" t="s">
        <v>1617</v>
      </c>
      <c r="R647" s="3" t="s">
        <v>1625</v>
      </c>
      <c r="S647" s="3" t="s">
        <v>1626</v>
      </c>
      <c r="T647" s="3"/>
    </row>
    <row r="648" spans="1:20">
      <c r="A648" s="3" t="s">
        <v>1594</v>
      </c>
      <c r="B648" s="3" t="s">
        <v>1595</v>
      </c>
      <c r="C648" s="3" t="s">
        <v>1596</v>
      </c>
      <c r="D648" s="3" t="s">
        <v>1251</v>
      </c>
      <c r="E648" s="3" t="s">
        <v>1252</v>
      </c>
      <c r="F648" s="2">
        <v>1</v>
      </c>
      <c r="G648" s="4">
        <v>1.0254960938288551</v>
      </c>
      <c r="H648" s="2">
        <v>25</v>
      </c>
      <c r="I648" s="2">
        <v>5</v>
      </c>
      <c r="J648" s="2">
        <v>16</v>
      </c>
      <c r="K648" s="4">
        <v>3.9404572828389162E-2</v>
      </c>
      <c r="L648" s="4">
        <v>-5.7285486203228791E-2</v>
      </c>
      <c r="M648" s="4">
        <v>5.7285486203228791E-2</v>
      </c>
      <c r="N648" s="10">
        <v>5.7000000000000002E-2</v>
      </c>
      <c r="O648" s="4">
        <v>0.28432908768126819</v>
      </c>
      <c r="P648" s="4">
        <v>-0.28000000000000003</v>
      </c>
      <c r="Q648" s="3" t="s">
        <v>1617</v>
      </c>
      <c r="R648" s="3" t="s">
        <v>1625</v>
      </c>
      <c r="S648" s="3" t="s">
        <v>1626</v>
      </c>
      <c r="T648" s="3"/>
    </row>
    <row r="649" spans="1:20">
      <c r="A649" s="3" t="s">
        <v>1600</v>
      </c>
      <c r="B649" s="3" t="s">
        <v>1609</v>
      </c>
      <c r="C649" s="3" t="s">
        <v>1596</v>
      </c>
      <c r="D649" s="3" t="s">
        <v>1251</v>
      </c>
      <c r="E649" s="3" t="s">
        <v>1252</v>
      </c>
      <c r="F649" s="2">
        <v>1</v>
      </c>
      <c r="G649" s="4">
        <v>1.0254960938288551</v>
      </c>
      <c r="H649" s="2">
        <v>25</v>
      </c>
      <c r="I649" s="2">
        <v>5</v>
      </c>
      <c r="J649" s="2">
        <v>16</v>
      </c>
      <c r="K649" s="4">
        <v>4.3178398847404376E-2</v>
      </c>
      <c r="L649" s="4">
        <v>-0.10894600743263294</v>
      </c>
      <c r="M649" s="4">
        <v>0.10894600743263294</v>
      </c>
      <c r="N649" s="10">
        <v>0.109</v>
      </c>
      <c r="O649" s="4">
        <v>0.54229976463210339</v>
      </c>
      <c r="P649" s="4">
        <v>-0.54</v>
      </c>
      <c r="Q649" s="3" t="s">
        <v>1617</v>
      </c>
      <c r="R649" s="3" t="s">
        <v>1623</v>
      </c>
      <c r="S649" s="3" t="s">
        <v>1624</v>
      </c>
      <c r="T649" s="3"/>
    </row>
    <row r="650" spans="1:20">
      <c r="A650" s="3" t="s">
        <v>1600</v>
      </c>
      <c r="B650" s="3" t="s">
        <v>1609</v>
      </c>
      <c r="C650" s="3" t="s">
        <v>1616</v>
      </c>
      <c r="D650" s="3" t="s">
        <v>1251</v>
      </c>
      <c r="E650" s="3" t="s">
        <v>1252</v>
      </c>
      <c r="F650" s="2">
        <v>1</v>
      </c>
      <c r="G650" s="4">
        <v>1.0254960938288551</v>
      </c>
      <c r="H650" s="2">
        <v>25</v>
      </c>
      <c r="I650" s="2">
        <v>5</v>
      </c>
      <c r="J650" s="2">
        <v>16</v>
      </c>
      <c r="K650" s="4">
        <v>2.0714944285383341E-2</v>
      </c>
      <c r="L650" s="4">
        <v>-0.12926091316608243</v>
      </c>
      <c r="M650" s="4">
        <v>0.12926091316608243</v>
      </c>
      <c r="N650" s="10">
        <v>0.129</v>
      </c>
      <c r="O650" s="4">
        <v>0.64447288091474408</v>
      </c>
      <c r="P650" s="4">
        <v>-0.64</v>
      </c>
      <c r="Q650" s="3" t="s">
        <v>1617</v>
      </c>
      <c r="R650" s="3" t="s">
        <v>1623</v>
      </c>
      <c r="S650" s="3" t="s">
        <v>1624</v>
      </c>
      <c r="T650" s="3"/>
    </row>
    <row r="651" spans="1:20">
      <c r="A651" s="3" t="s">
        <v>1594</v>
      </c>
      <c r="B651" s="3" t="s">
        <v>1612</v>
      </c>
      <c r="C651" s="3" t="s">
        <v>1596</v>
      </c>
      <c r="D651" s="3" t="s">
        <v>1251</v>
      </c>
      <c r="E651" s="3" t="s">
        <v>1252</v>
      </c>
      <c r="F651" s="2">
        <v>1</v>
      </c>
      <c r="G651" s="4">
        <v>1.0254960938288551</v>
      </c>
      <c r="H651" s="2">
        <v>50</v>
      </c>
      <c r="I651" s="2">
        <v>5</v>
      </c>
      <c r="J651" s="2">
        <v>16</v>
      </c>
      <c r="K651" s="4">
        <v>0.55714544698084811</v>
      </c>
      <c r="L651" s="4">
        <v>-0.26522515862748719</v>
      </c>
      <c r="M651" s="4">
        <v>0.26522515862748719</v>
      </c>
      <c r="N651" s="10">
        <v>0.26500000000000001</v>
      </c>
      <c r="O651" s="4">
        <v>1.4601346536620363</v>
      </c>
      <c r="P651" s="4">
        <v>-1.46</v>
      </c>
      <c r="Q651" s="3" t="s">
        <v>1617</v>
      </c>
      <c r="R651" s="3" t="s">
        <v>1627</v>
      </c>
      <c r="S651" s="3" t="s">
        <v>1628</v>
      </c>
      <c r="T651" s="3"/>
    </row>
    <row r="652" spans="1:20">
      <c r="A652" s="3" t="s">
        <v>1600</v>
      </c>
      <c r="B652" s="3" t="s">
        <v>1606</v>
      </c>
      <c r="C652" s="3" t="s">
        <v>1596</v>
      </c>
      <c r="D652" s="3" t="s">
        <v>1147</v>
      </c>
      <c r="E652" s="3" t="s">
        <v>1148</v>
      </c>
      <c r="F652" s="2">
        <v>1</v>
      </c>
      <c r="G652" s="4">
        <v>1.0258477803162656</v>
      </c>
      <c r="H652" s="2">
        <v>25</v>
      </c>
      <c r="I652" s="2">
        <v>5</v>
      </c>
      <c r="J652" s="2">
        <v>16</v>
      </c>
      <c r="K652" s="4">
        <v>1</v>
      </c>
      <c r="L652" s="4">
        <v>0.96702788610276103</v>
      </c>
      <c r="M652" s="4">
        <v>0.96702788610276103</v>
      </c>
      <c r="N652" s="10">
        <v>0.96699999999999997</v>
      </c>
      <c r="O652" s="4">
        <v>10.135550987587315</v>
      </c>
      <c r="P652" s="4">
        <v>10.130000000000001</v>
      </c>
      <c r="Q652" s="3" t="s">
        <v>1597</v>
      </c>
      <c r="R652" s="3" t="s">
        <v>1607</v>
      </c>
      <c r="S652" s="3" t="s">
        <v>1608</v>
      </c>
      <c r="T652" s="3"/>
    </row>
    <row r="653" spans="1:20">
      <c r="A653" s="3" t="s">
        <v>1600</v>
      </c>
      <c r="B653" s="3" t="s">
        <v>1606</v>
      </c>
      <c r="C653" s="3" t="s">
        <v>1596</v>
      </c>
      <c r="D653" s="3" t="s">
        <v>1147</v>
      </c>
      <c r="E653" s="3" t="s">
        <v>1148</v>
      </c>
      <c r="F653" s="2">
        <v>1</v>
      </c>
      <c r="G653" s="4">
        <v>1.0258477803162656</v>
      </c>
      <c r="H653" s="2">
        <v>25</v>
      </c>
      <c r="I653" s="2">
        <v>5</v>
      </c>
      <c r="J653" s="2">
        <v>1</v>
      </c>
      <c r="K653" s="4">
        <v>1</v>
      </c>
      <c r="L653" s="4">
        <v>0.95156027319382896</v>
      </c>
      <c r="M653" s="4">
        <v>0.95156027319382896</v>
      </c>
      <c r="N653" s="10">
        <v>0.95199999999999996</v>
      </c>
      <c r="O653" s="4">
        <v>9.1624255069223057</v>
      </c>
      <c r="P653" s="4">
        <v>9.19</v>
      </c>
      <c r="Q653" s="3" t="s">
        <v>1597</v>
      </c>
      <c r="R653" s="3" t="s">
        <v>1607</v>
      </c>
      <c r="S653" s="3" t="s">
        <v>1608</v>
      </c>
      <c r="T653" s="3"/>
    </row>
    <row r="654" spans="1:20">
      <c r="A654" s="3" t="s">
        <v>1600</v>
      </c>
      <c r="B654" s="3" t="s">
        <v>1601</v>
      </c>
      <c r="C654" s="3" t="s">
        <v>1596</v>
      </c>
      <c r="D654" s="3" t="s">
        <v>1147</v>
      </c>
      <c r="E654" s="3" t="s">
        <v>1148</v>
      </c>
      <c r="F654" s="2">
        <v>1</v>
      </c>
      <c r="G654" s="4">
        <v>1.0258477803162656</v>
      </c>
      <c r="H654" s="2">
        <v>25</v>
      </c>
      <c r="I654" s="2">
        <v>5</v>
      </c>
      <c r="J654" s="2">
        <v>16</v>
      </c>
      <c r="K654" s="4">
        <v>1</v>
      </c>
      <c r="L654" s="4">
        <v>0.94918654718227924</v>
      </c>
      <c r="M654" s="4">
        <v>0.94918654718227924</v>
      </c>
      <c r="N654" s="10">
        <v>0.94899999999999995</v>
      </c>
      <c r="O654" s="4">
        <v>9.0408124784975179</v>
      </c>
      <c r="P654" s="4">
        <v>9.0299999999999994</v>
      </c>
      <c r="Q654" s="3" t="s">
        <v>1597</v>
      </c>
      <c r="R654" s="3" t="s">
        <v>1602</v>
      </c>
      <c r="S654" s="3" t="s">
        <v>1603</v>
      </c>
      <c r="T654" s="3"/>
    </row>
    <row r="655" spans="1:20">
      <c r="A655" s="3" t="s">
        <v>1605</v>
      </c>
      <c r="B655" s="3" t="s">
        <v>1601</v>
      </c>
      <c r="C655" s="3" t="s">
        <v>1596</v>
      </c>
      <c r="D655" s="3" t="s">
        <v>1147</v>
      </c>
      <c r="E655" s="3" t="s">
        <v>1148</v>
      </c>
      <c r="F655" s="2">
        <v>1</v>
      </c>
      <c r="G655" s="4">
        <v>1.0258477803162656</v>
      </c>
      <c r="H655" s="2">
        <v>25</v>
      </c>
      <c r="I655" s="2">
        <v>5</v>
      </c>
      <c r="J655" s="2">
        <v>16</v>
      </c>
      <c r="K655" s="4">
        <v>1</v>
      </c>
      <c r="L655" s="4">
        <v>0.94573620976394346</v>
      </c>
      <c r="M655" s="4">
        <v>0.94573620976394346</v>
      </c>
      <c r="N655" s="10">
        <v>0.94599999999999995</v>
      </c>
      <c r="O655" s="4">
        <v>8.8735621229223884</v>
      </c>
      <c r="P655" s="4">
        <v>8.89</v>
      </c>
      <c r="Q655" s="3" t="s">
        <v>1597</v>
      </c>
      <c r="R655" s="3" t="s">
        <v>1602</v>
      </c>
      <c r="S655" s="3" t="s">
        <v>1603</v>
      </c>
      <c r="T655" s="3"/>
    </row>
    <row r="656" spans="1:20">
      <c r="A656" s="3" t="s">
        <v>1600</v>
      </c>
      <c r="B656" s="3" t="s">
        <v>1606</v>
      </c>
      <c r="C656" s="3" t="s">
        <v>1616</v>
      </c>
      <c r="D656" s="3" t="s">
        <v>1147</v>
      </c>
      <c r="E656" s="3" t="s">
        <v>1148</v>
      </c>
      <c r="F656" s="2">
        <v>1</v>
      </c>
      <c r="G656" s="4">
        <v>1.0258477803162656</v>
      </c>
      <c r="H656" s="2">
        <v>25</v>
      </c>
      <c r="I656" s="2">
        <v>5</v>
      </c>
      <c r="J656" s="2">
        <v>1</v>
      </c>
      <c r="K656" s="4">
        <v>1</v>
      </c>
      <c r="L656" s="4">
        <v>0.91999851426799406</v>
      </c>
      <c r="M656" s="4">
        <v>0.91999851426799406</v>
      </c>
      <c r="N656" s="10">
        <v>0.92</v>
      </c>
      <c r="O656" s="4">
        <v>7.8782463474946107</v>
      </c>
      <c r="P656" s="4">
        <v>7.88</v>
      </c>
      <c r="Q656" s="3" t="s">
        <v>1597</v>
      </c>
      <c r="R656" s="3" t="s">
        <v>1607</v>
      </c>
      <c r="S656" s="3" t="s">
        <v>1608</v>
      </c>
      <c r="T656" s="3"/>
    </row>
    <row r="657" spans="1:20">
      <c r="A657" s="3" t="s">
        <v>1600</v>
      </c>
      <c r="B657" s="3" t="s">
        <v>1606</v>
      </c>
      <c r="C657" s="3" t="s">
        <v>1616</v>
      </c>
      <c r="D657" s="3" t="s">
        <v>1147</v>
      </c>
      <c r="E657" s="3" t="s">
        <v>1148</v>
      </c>
      <c r="F657" s="2">
        <v>1</v>
      </c>
      <c r="G657" s="4">
        <v>1.0258477803162656</v>
      </c>
      <c r="H657" s="2">
        <v>25</v>
      </c>
      <c r="I657" s="2">
        <v>5</v>
      </c>
      <c r="J657" s="2">
        <v>16</v>
      </c>
      <c r="K657" s="4">
        <v>0.99715367306776481</v>
      </c>
      <c r="L657" s="4">
        <v>0.90806468735624046</v>
      </c>
      <c r="M657" s="4">
        <v>0.90806468735624046</v>
      </c>
      <c r="N657" s="10">
        <v>0.90800000000000003</v>
      </c>
      <c r="O657" s="4">
        <v>7.5181144028010145</v>
      </c>
      <c r="P657" s="4">
        <v>7.52</v>
      </c>
      <c r="Q657" s="3" t="s">
        <v>1597</v>
      </c>
      <c r="R657" s="3" t="s">
        <v>1607</v>
      </c>
      <c r="S657" s="3" t="s">
        <v>1608</v>
      </c>
      <c r="T657" s="3"/>
    </row>
    <row r="658" spans="1:20">
      <c r="A658" s="3" t="s">
        <v>1600</v>
      </c>
      <c r="B658" s="3" t="s">
        <v>1601</v>
      </c>
      <c r="C658" s="3" t="s">
        <v>1616</v>
      </c>
      <c r="D658" s="3" t="s">
        <v>1147</v>
      </c>
      <c r="E658" s="3" t="s">
        <v>1148</v>
      </c>
      <c r="F658" s="2">
        <v>1</v>
      </c>
      <c r="G658" s="4">
        <v>1.0258477803162656</v>
      </c>
      <c r="H658" s="2">
        <v>25</v>
      </c>
      <c r="I658" s="2">
        <v>5</v>
      </c>
      <c r="J658" s="2">
        <v>1</v>
      </c>
      <c r="K658" s="4">
        <v>1</v>
      </c>
      <c r="L658" s="4">
        <v>0.90169120175058692</v>
      </c>
      <c r="M658" s="4">
        <v>0.90169120175058692</v>
      </c>
      <c r="N658" s="10">
        <v>0.90200000000000002</v>
      </c>
      <c r="O658" s="4">
        <v>7.3436590003196613</v>
      </c>
      <c r="P658" s="4">
        <v>7.35</v>
      </c>
      <c r="Q658" s="3" t="s">
        <v>1597</v>
      </c>
      <c r="R658" s="3" t="s">
        <v>1602</v>
      </c>
      <c r="S658" s="3" t="s">
        <v>1603</v>
      </c>
      <c r="T658" s="3"/>
    </row>
    <row r="659" spans="1:20">
      <c r="A659" s="3" t="s">
        <v>1600</v>
      </c>
      <c r="B659" s="3" t="s">
        <v>1609</v>
      </c>
      <c r="C659" s="3" t="s">
        <v>1596</v>
      </c>
      <c r="D659" s="3" t="s">
        <v>1147</v>
      </c>
      <c r="E659" s="3" t="s">
        <v>1148</v>
      </c>
      <c r="F659" s="2">
        <v>1</v>
      </c>
      <c r="G659" s="4">
        <v>1.0258477803162656</v>
      </c>
      <c r="H659" s="2">
        <v>25</v>
      </c>
      <c r="I659" s="2">
        <v>5</v>
      </c>
      <c r="J659" s="2">
        <v>1</v>
      </c>
      <c r="K659" s="4">
        <v>0.99039132433119392</v>
      </c>
      <c r="L659" s="4">
        <v>0.89722620935021546</v>
      </c>
      <c r="M659" s="4">
        <v>0.89722620935021546</v>
      </c>
      <c r="N659" s="10">
        <v>0.89700000000000002</v>
      </c>
      <c r="O659" s="4">
        <v>7.2277238430496702</v>
      </c>
      <c r="P659" s="4">
        <v>7.22</v>
      </c>
      <c r="Q659" s="3" t="s">
        <v>1597</v>
      </c>
      <c r="R659" s="3" t="s">
        <v>1610</v>
      </c>
      <c r="S659" s="3" t="s">
        <v>1611</v>
      </c>
      <c r="T659" s="3"/>
    </row>
    <row r="660" spans="1:20">
      <c r="A660" s="3" t="s">
        <v>1600</v>
      </c>
      <c r="B660" s="3" t="s">
        <v>1601</v>
      </c>
      <c r="C660" s="3" t="s">
        <v>1596</v>
      </c>
      <c r="D660" s="3" t="s">
        <v>1147</v>
      </c>
      <c r="E660" s="3" t="s">
        <v>1148</v>
      </c>
      <c r="F660" s="2">
        <v>1</v>
      </c>
      <c r="G660" s="4">
        <v>1.0258477803162656</v>
      </c>
      <c r="H660" s="2">
        <v>25</v>
      </c>
      <c r="I660" s="2">
        <v>5</v>
      </c>
      <c r="J660" s="2">
        <v>1</v>
      </c>
      <c r="K660" s="4">
        <v>0.70635547912532592</v>
      </c>
      <c r="L660" s="4">
        <v>0.89593427356105682</v>
      </c>
      <c r="M660" s="4">
        <v>0.89593427356105682</v>
      </c>
      <c r="N660" s="10">
        <v>0.89600000000000002</v>
      </c>
      <c r="O660" s="4">
        <v>7.1950671283850509</v>
      </c>
      <c r="P660" s="4">
        <v>7.2</v>
      </c>
      <c r="Q660" s="3" t="s">
        <v>1597</v>
      </c>
      <c r="R660" s="3" t="s">
        <v>1602</v>
      </c>
      <c r="S660" s="3" t="s">
        <v>1603</v>
      </c>
      <c r="T660" s="3"/>
    </row>
    <row r="661" spans="1:20">
      <c r="A661" s="3" t="s">
        <v>1600</v>
      </c>
      <c r="B661" s="3" t="s">
        <v>1601</v>
      </c>
      <c r="C661" s="3" t="s">
        <v>1616</v>
      </c>
      <c r="D661" s="3" t="s">
        <v>1147</v>
      </c>
      <c r="E661" s="3" t="s">
        <v>1148</v>
      </c>
      <c r="F661" s="2">
        <v>1</v>
      </c>
      <c r="G661" s="4">
        <v>1.0258477803162656</v>
      </c>
      <c r="H661" s="2">
        <v>25</v>
      </c>
      <c r="I661" s="2">
        <v>5</v>
      </c>
      <c r="J661" s="2">
        <v>16</v>
      </c>
      <c r="K661" s="4">
        <v>1</v>
      </c>
      <c r="L661" s="4">
        <v>0.89295276747762198</v>
      </c>
      <c r="M661" s="4">
        <v>0.89295276747762198</v>
      </c>
      <c r="N661" s="10">
        <v>0.89300000000000002</v>
      </c>
      <c r="O661" s="4">
        <v>7.1211410881029646</v>
      </c>
      <c r="P661" s="4">
        <v>7.12</v>
      </c>
      <c r="Q661" s="3" t="s">
        <v>1597</v>
      </c>
      <c r="R661" s="3" t="s">
        <v>1602</v>
      </c>
      <c r="S661" s="3" t="s">
        <v>1603</v>
      </c>
      <c r="T661" s="3"/>
    </row>
    <row r="662" spans="1:20">
      <c r="A662" s="3" t="s">
        <v>1600</v>
      </c>
      <c r="B662" s="3" t="s">
        <v>1609</v>
      </c>
      <c r="C662" s="3" t="s">
        <v>1596</v>
      </c>
      <c r="D662" s="3" t="s">
        <v>1147</v>
      </c>
      <c r="E662" s="3" t="s">
        <v>1148</v>
      </c>
      <c r="F662" s="2">
        <v>1</v>
      </c>
      <c r="G662" s="4">
        <v>1.0258477803162656</v>
      </c>
      <c r="H662" s="2">
        <v>25</v>
      </c>
      <c r="I662" s="2">
        <v>5</v>
      </c>
      <c r="J662" s="2">
        <v>16</v>
      </c>
      <c r="K662" s="4">
        <v>0.96709869265043802</v>
      </c>
      <c r="L662" s="4">
        <v>0.88224173847608034</v>
      </c>
      <c r="M662" s="4">
        <v>0.88224173847608034</v>
      </c>
      <c r="N662" s="10">
        <v>0.88200000000000001</v>
      </c>
      <c r="O662" s="4">
        <v>6.8706706809648512</v>
      </c>
      <c r="P662" s="4">
        <v>6.87</v>
      </c>
      <c r="Q662" s="3" t="s">
        <v>1597</v>
      </c>
      <c r="R662" s="3" t="s">
        <v>1610</v>
      </c>
      <c r="S662" s="3" t="s">
        <v>1611</v>
      </c>
      <c r="T662" s="3"/>
    </row>
    <row r="663" spans="1:20">
      <c r="A663" s="3" t="s">
        <v>1604</v>
      </c>
      <c r="B663" s="3" t="s">
        <v>1601</v>
      </c>
      <c r="C663" s="3" t="s">
        <v>1616</v>
      </c>
      <c r="D663" s="3" t="s">
        <v>1147</v>
      </c>
      <c r="E663" s="3" t="s">
        <v>1148</v>
      </c>
      <c r="F663" s="2">
        <v>1</v>
      </c>
      <c r="G663" s="4">
        <v>1.0258477803162656</v>
      </c>
      <c r="H663" s="2">
        <v>25</v>
      </c>
      <c r="I663" s="2">
        <v>30</v>
      </c>
      <c r="J663" s="2">
        <v>16</v>
      </c>
      <c r="K663" s="4">
        <v>1</v>
      </c>
      <c r="L663" s="4">
        <v>0.82767234528906308</v>
      </c>
      <c r="M663" s="4">
        <v>0.82767234528906308</v>
      </c>
      <c r="N663" s="10">
        <v>0.82799999999999996</v>
      </c>
      <c r="O663" s="4">
        <v>5.8538375799978644</v>
      </c>
      <c r="P663" s="4">
        <v>5.86</v>
      </c>
      <c r="Q663" s="3" t="s">
        <v>1597</v>
      </c>
      <c r="R663" s="3" t="s">
        <v>1602</v>
      </c>
      <c r="S663" s="3" t="s">
        <v>1603</v>
      </c>
      <c r="T663" s="3"/>
    </row>
    <row r="664" spans="1:20">
      <c r="A664" s="3" t="s">
        <v>1604</v>
      </c>
      <c r="B664" s="3" t="s">
        <v>1601</v>
      </c>
      <c r="C664" s="3" t="s">
        <v>1596</v>
      </c>
      <c r="D664" s="3" t="s">
        <v>1147</v>
      </c>
      <c r="E664" s="3" t="s">
        <v>1148</v>
      </c>
      <c r="F664" s="2">
        <v>1</v>
      </c>
      <c r="G664" s="4">
        <v>1.0258477803162656</v>
      </c>
      <c r="H664" s="2">
        <v>25</v>
      </c>
      <c r="I664" s="2">
        <v>30</v>
      </c>
      <c r="J664" s="2">
        <v>16</v>
      </c>
      <c r="K664" s="4">
        <v>1</v>
      </c>
      <c r="L664" s="4">
        <v>0.80330521420835366</v>
      </c>
      <c r="M664" s="4">
        <v>0.80330521420835366</v>
      </c>
      <c r="N664" s="10">
        <v>0.80300000000000005</v>
      </c>
      <c r="O664" s="4">
        <v>5.492707479805774</v>
      </c>
      <c r="P664" s="4">
        <v>5.49</v>
      </c>
      <c r="Q664" s="3" t="s">
        <v>1597</v>
      </c>
      <c r="R664" s="3" t="s">
        <v>1602</v>
      </c>
      <c r="S664" s="3" t="s">
        <v>1603</v>
      </c>
      <c r="T664" s="3"/>
    </row>
    <row r="665" spans="1:20">
      <c r="A665" s="3" t="s">
        <v>1600</v>
      </c>
      <c r="B665" s="3" t="s">
        <v>1609</v>
      </c>
      <c r="C665" s="3" t="s">
        <v>1616</v>
      </c>
      <c r="D665" s="3" t="s">
        <v>1147</v>
      </c>
      <c r="E665" s="3" t="s">
        <v>1148</v>
      </c>
      <c r="F665" s="2">
        <v>1</v>
      </c>
      <c r="G665" s="4">
        <v>1.0258477803162656</v>
      </c>
      <c r="H665" s="2">
        <v>25</v>
      </c>
      <c r="I665" s="2">
        <v>5</v>
      </c>
      <c r="J665" s="2">
        <v>1</v>
      </c>
      <c r="K665" s="4">
        <v>0.97229452406582328</v>
      </c>
      <c r="L665" s="4">
        <v>0.58284572103214083</v>
      </c>
      <c r="M665" s="4">
        <v>0.58284572103214083</v>
      </c>
      <c r="N665" s="10">
        <v>0.58299999999999996</v>
      </c>
      <c r="O665" s="4">
        <v>3.3057622386453791</v>
      </c>
      <c r="P665" s="4">
        <v>3.31</v>
      </c>
      <c r="Q665" s="3" t="s">
        <v>1597</v>
      </c>
      <c r="R665" s="3" t="s">
        <v>1610</v>
      </c>
      <c r="S665" s="3" t="s">
        <v>1611</v>
      </c>
      <c r="T665" s="3"/>
    </row>
    <row r="666" spans="1:20">
      <c r="A666" s="3" t="s">
        <v>1600</v>
      </c>
      <c r="B666" s="3" t="s">
        <v>1609</v>
      </c>
      <c r="C666" s="3" t="s">
        <v>1616</v>
      </c>
      <c r="D666" s="3" t="s">
        <v>1147</v>
      </c>
      <c r="E666" s="3" t="s">
        <v>1148</v>
      </c>
      <c r="F666" s="2">
        <v>1</v>
      </c>
      <c r="G666" s="4">
        <v>1.0258477803162656</v>
      </c>
      <c r="H666" s="2">
        <v>25</v>
      </c>
      <c r="I666" s="2">
        <v>5</v>
      </c>
      <c r="J666" s="2">
        <v>16</v>
      </c>
      <c r="K666" s="4">
        <v>0.98572353963029569</v>
      </c>
      <c r="L666" s="4">
        <v>0.56659449509116411</v>
      </c>
      <c r="M666" s="4">
        <v>0.56659449509116411</v>
      </c>
      <c r="N666" s="10">
        <v>0.56699999999999995</v>
      </c>
      <c r="O666" s="4">
        <v>3.1854385076420808</v>
      </c>
      <c r="P666" s="4">
        <v>3.19</v>
      </c>
      <c r="Q666" s="3" t="s">
        <v>1597</v>
      </c>
      <c r="R666" s="3" t="s">
        <v>1610</v>
      </c>
      <c r="S666" s="3" t="s">
        <v>1611</v>
      </c>
      <c r="T666" s="3"/>
    </row>
    <row r="667" spans="1:20">
      <c r="A667" s="3" t="s">
        <v>1594</v>
      </c>
      <c r="B667" s="3" t="s">
        <v>1612</v>
      </c>
      <c r="C667" s="3" t="s">
        <v>1596</v>
      </c>
      <c r="D667" s="3" t="s">
        <v>1147</v>
      </c>
      <c r="E667" s="3" t="s">
        <v>1148</v>
      </c>
      <c r="F667" s="2">
        <v>1</v>
      </c>
      <c r="G667" s="4">
        <v>1.0258477803162656</v>
      </c>
      <c r="H667" s="2">
        <v>50</v>
      </c>
      <c r="I667" s="2">
        <v>5</v>
      </c>
      <c r="J667" s="2">
        <v>16</v>
      </c>
      <c r="K667" s="4">
        <v>0.99908035506099058</v>
      </c>
      <c r="L667" s="4">
        <v>-0.3099616028986204</v>
      </c>
      <c r="M667" s="4">
        <v>0.3099616028986204</v>
      </c>
      <c r="N667" s="10">
        <v>0.31</v>
      </c>
      <c r="O667" s="4">
        <v>1.7222742101497901</v>
      </c>
      <c r="P667" s="4">
        <v>-1.72</v>
      </c>
      <c r="Q667" s="3" t="s">
        <v>1617</v>
      </c>
      <c r="R667" s="3" t="s">
        <v>1627</v>
      </c>
      <c r="S667" s="3" t="s">
        <v>1628</v>
      </c>
      <c r="T667" s="3"/>
    </row>
    <row r="668" spans="1:20">
      <c r="A668" s="3" t="s">
        <v>1594</v>
      </c>
      <c r="B668" s="3" t="s">
        <v>1595</v>
      </c>
      <c r="C668" s="3" t="s">
        <v>1596</v>
      </c>
      <c r="D668" s="3" t="s">
        <v>1147</v>
      </c>
      <c r="E668" s="3" t="s">
        <v>1148</v>
      </c>
      <c r="F668" s="2">
        <v>1</v>
      </c>
      <c r="G668" s="4">
        <v>1.0258477803162656</v>
      </c>
      <c r="H668" s="2">
        <v>25</v>
      </c>
      <c r="I668" s="2">
        <v>5</v>
      </c>
      <c r="J668" s="2">
        <v>16</v>
      </c>
      <c r="K668" s="4">
        <v>0.46485796311373107</v>
      </c>
      <c r="L668" s="4">
        <v>-0.3743102678880782</v>
      </c>
      <c r="M668" s="4">
        <v>0.3743102678880782</v>
      </c>
      <c r="N668" s="10">
        <v>0.374</v>
      </c>
      <c r="O668" s="4">
        <v>1.9505826734590626</v>
      </c>
      <c r="P668" s="4">
        <v>-1.95</v>
      </c>
      <c r="Q668" s="3" t="s">
        <v>1617</v>
      </c>
      <c r="R668" s="3" t="s">
        <v>1625</v>
      </c>
      <c r="S668" s="3" t="s">
        <v>1626</v>
      </c>
      <c r="T668" s="3"/>
    </row>
    <row r="669" spans="1:20">
      <c r="A669" s="3" t="s">
        <v>1594</v>
      </c>
      <c r="B669" s="3" t="s">
        <v>1595</v>
      </c>
      <c r="C669" s="3" t="s">
        <v>1596</v>
      </c>
      <c r="D669" s="3" t="s">
        <v>1147</v>
      </c>
      <c r="E669" s="3" t="s">
        <v>1148</v>
      </c>
      <c r="F669" s="2">
        <v>1</v>
      </c>
      <c r="G669" s="4">
        <v>1.0258477803162656</v>
      </c>
      <c r="H669" s="2">
        <v>50</v>
      </c>
      <c r="I669" s="2">
        <v>5</v>
      </c>
      <c r="J669" s="2">
        <v>16</v>
      </c>
      <c r="K669" s="4">
        <v>1</v>
      </c>
      <c r="L669" s="4">
        <v>-0.38206699791053372</v>
      </c>
      <c r="M669" s="4">
        <v>0.38206699791053372</v>
      </c>
      <c r="N669" s="10">
        <v>0.38200000000000001</v>
      </c>
      <c r="O669" s="4">
        <v>2.1627789719116861</v>
      </c>
      <c r="P669" s="4">
        <v>-2.16</v>
      </c>
      <c r="Q669" s="3" t="s">
        <v>1617</v>
      </c>
      <c r="R669" s="3" t="s">
        <v>1625</v>
      </c>
      <c r="S669" s="3" t="s">
        <v>1626</v>
      </c>
      <c r="T669" s="3"/>
    </row>
    <row r="670" spans="1:20">
      <c r="A670" s="3" t="s">
        <v>1600</v>
      </c>
      <c r="B670" s="3" t="s">
        <v>1606</v>
      </c>
      <c r="C670" s="3" t="s">
        <v>1596</v>
      </c>
      <c r="D670" s="3" t="s">
        <v>103</v>
      </c>
      <c r="E670" s="3" t="s">
        <v>104</v>
      </c>
      <c r="F670" s="2">
        <v>1</v>
      </c>
      <c r="G670" s="4">
        <v>1.0264040934695797</v>
      </c>
      <c r="H670" s="2">
        <v>25</v>
      </c>
      <c r="I670" s="2">
        <v>5</v>
      </c>
      <c r="J670" s="2">
        <v>16</v>
      </c>
      <c r="K670" s="11">
        <v>1</v>
      </c>
      <c r="L670" s="11">
        <v>0.55544079870766139</v>
      </c>
      <c r="M670" s="4">
        <v>0.55544079870766139</v>
      </c>
      <c r="N670" s="10">
        <v>0.55500000000000005</v>
      </c>
      <c r="O670" s="4">
        <v>3.1047366497189475</v>
      </c>
      <c r="P670" s="4">
        <v>3.1</v>
      </c>
      <c r="Q670" s="3" t="s">
        <v>1597</v>
      </c>
      <c r="R670" s="3" t="s">
        <v>1607</v>
      </c>
      <c r="S670" s="3" t="s">
        <v>1608</v>
      </c>
      <c r="T670" s="3"/>
    </row>
    <row r="671" spans="1:20">
      <c r="A671" s="3" t="s">
        <v>1600</v>
      </c>
      <c r="B671" s="3" t="s">
        <v>1606</v>
      </c>
      <c r="C671" s="3" t="s">
        <v>1596</v>
      </c>
      <c r="D671" s="3" t="s">
        <v>103</v>
      </c>
      <c r="E671" s="3" t="s">
        <v>104</v>
      </c>
      <c r="F671" s="2">
        <v>1</v>
      </c>
      <c r="G671" s="4">
        <v>1.0264040934695797</v>
      </c>
      <c r="H671" s="2">
        <v>25</v>
      </c>
      <c r="I671" s="2">
        <v>5</v>
      </c>
      <c r="J671" s="2">
        <v>1</v>
      </c>
      <c r="K671" s="11">
        <v>0.78042049472854291</v>
      </c>
      <c r="L671" s="11">
        <v>0.53527531070343515</v>
      </c>
      <c r="M671" s="4">
        <v>0.53527531070343515</v>
      </c>
      <c r="N671" s="10">
        <v>0.53500000000000003</v>
      </c>
      <c r="O671" s="4">
        <v>2.9624161400239197</v>
      </c>
      <c r="P671" s="4">
        <v>2.96</v>
      </c>
      <c r="Q671" s="3" t="s">
        <v>1597</v>
      </c>
      <c r="R671" s="3" t="s">
        <v>1607</v>
      </c>
      <c r="S671" s="3" t="s">
        <v>1608</v>
      </c>
      <c r="T671" s="3"/>
    </row>
    <row r="672" spans="1:20">
      <c r="A672" s="3" t="s">
        <v>1600</v>
      </c>
      <c r="B672" s="3" t="s">
        <v>1606</v>
      </c>
      <c r="C672" s="3" t="s">
        <v>1616</v>
      </c>
      <c r="D672" s="3" t="s">
        <v>103</v>
      </c>
      <c r="E672" s="3" t="s">
        <v>104</v>
      </c>
      <c r="F672" s="2">
        <v>1</v>
      </c>
      <c r="G672" s="4">
        <v>1.0264040934695797</v>
      </c>
      <c r="H672" s="2">
        <v>25</v>
      </c>
      <c r="I672" s="2">
        <v>5</v>
      </c>
      <c r="J672" s="2">
        <v>16</v>
      </c>
      <c r="K672" s="11">
        <v>1</v>
      </c>
      <c r="L672" s="11">
        <v>0.35902711691772898</v>
      </c>
      <c r="M672" s="4">
        <v>0.35902711691772898</v>
      </c>
      <c r="N672" s="10">
        <v>0.35899999999999999</v>
      </c>
      <c r="O672" s="4">
        <v>1.8630368397804669</v>
      </c>
      <c r="P672" s="4">
        <v>1.86</v>
      </c>
      <c r="Q672" s="3" t="s">
        <v>1597</v>
      </c>
      <c r="R672" s="3" t="s">
        <v>1607</v>
      </c>
      <c r="S672" s="3" t="s">
        <v>1608</v>
      </c>
      <c r="T672" s="3"/>
    </row>
    <row r="673" spans="1:20">
      <c r="A673" s="3" t="s">
        <v>1600</v>
      </c>
      <c r="B673" s="3" t="s">
        <v>1606</v>
      </c>
      <c r="C673" s="3" t="s">
        <v>1616</v>
      </c>
      <c r="D673" s="3" t="s">
        <v>103</v>
      </c>
      <c r="E673" s="3" t="s">
        <v>104</v>
      </c>
      <c r="F673" s="2">
        <v>1</v>
      </c>
      <c r="G673" s="4">
        <v>1.0264040934695797</v>
      </c>
      <c r="H673" s="2">
        <v>25</v>
      </c>
      <c r="I673" s="2">
        <v>5</v>
      </c>
      <c r="J673" s="2">
        <v>1</v>
      </c>
      <c r="K673" s="4">
        <v>1</v>
      </c>
      <c r="L673" s="4">
        <v>0.32517751426374059</v>
      </c>
      <c r="M673" s="4">
        <v>0.32517751426374059</v>
      </c>
      <c r="N673" s="10">
        <v>0.32500000000000001</v>
      </c>
      <c r="O673" s="4">
        <v>1.6729367059088103</v>
      </c>
      <c r="P673" s="4">
        <v>1.67</v>
      </c>
      <c r="Q673" s="3" t="s">
        <v>1597</v>
      </c>
      <c r="R673" s="3" t="s">
        <v>1607</v>
      </c>
      <c r="S673" s="3" t="s">
        <v>1608</v>
      </c>
      <c r="T673" s="3"/>
    </row>
    <row r="674" spans="1:20">
      <c r="A674" s="3" t="s">
        <v>1594</v>
      </c>
      <c r="B674" s="3" t="s">
        <v>1612</v>
      </c>
      <c r="C674" s="3" t="s">
        <v>1596</v>
      </c>
      <c r="D674" s="3" t="s">
        <v>103</v>
      </c>
      <c r="E674" s="3" t="s">
        <v>104</v>
      </c>
      <c r="F674" s="2">
        <v>1</v>
      </c>
      <c r="G674" s="4">
        <v>1.0264040934695797</v>
      </c>
      <c r="H674" s="2">
        <v>50</v>
      </c>
      <c r="I674" s="2">
        <v>5</v>
      </c>
      <c r="J674" s="2">
        <v>16</v>
      </c>
      <c r="K674" s="4">
        <v>1</v>
      </c>
      <c r="L674" s="14">
        <v>0.27345750552151354</v>
      </c>
      <c r="M674" s="4">
        <v>0.27345750552151354</v>
      </c>
      <c r="N674" s="10">
        <v>0.27300000000000002</v>
      </c>
      <c r="O674" s="4">
        <v>1.5078331255238651</v>
      </c>
      <c r="P674" s="4">
        <v>1.51</v>
      </c>
      <c r="Q674" s="3" t="s">
        <v>1597</v>
      </c>
      <c r="R674" s="3" t="s">
        <v>1613</v>
      </c>
      <c r="S674" s="3" t="s">
        <v>1614</v>
      </c>
      <c r="T674" s="3"/>
    </row>
    <row r="675" spans="1:20">
      <c r="A675" s="3" t="s">
        <v>1600</v>
      </c>
      <c r="B675" s="3" t="s">
        <v>1609</v>
      </c>
      <c r="C675" s="3" t="s">
        <v>1616</v>
      </c>
      <c r="D675" s="3" t="s">
        <v>103</v>
      </c>
      <c r="E675" s="3" t="s">
        <v>104</v>
      </c>
      <c r="F675" s="2">
        <v>1</v>
      </c>
      <c r="G675" s="4">
        <v>1.0264040934695797</v>
      </c>
      <c r="H675" s="2">
        <v>25</v>
      </c>
      <c r="I675" s="2">
        <v>5</v>
      </c>
      <c r="J675" s="2">
        <v>1</v>
      </c>
      <c r="K675" s="4">
        <v>0.84678441843811925</v>
      </c>
      <c r="L675" s="4">
        <v>8.4381266762706839E-2</v>
      </c>
      <c r="M675" s="4">
        <v>8.4381266762706839E-2</v>
      </c>
      <c r="N675" s="10">
        <v>8.4000000000000005E-2</v>
      </c>
      <c r="O675" s="4">
        <v>0.41935414147359601</v>
      </c>
      <c r="P675" s="4">
        <v>0.42</v>
      </c>
      <c r="Q675" s="3" t="s">
        <v>1597</v>
      </c>
      <c r="R675" s="3" t="s">
        <v>1610</v>
      </c>
      <c r="S675" s="3" t="s">
        <v>1611</v>
      </c>
      <c r="T675" s="3"/>
    </row>
    <row r="676" spans="1:20">
      <c r="A676" s="3" t="s">
        <v>1600</v>
      </c>
      <c r="B676" s="3" t="s">
        <v>1609</v>
      </c>
      <c r="C676" s="3" t="s">
        <v>1616</v>
      </c>
      <c r="D676" s="3" t="s">
        <v>103</v>
      </c>
      <c r="E676" s="3" t="s">
        <v>104</v>
      </c>
      <c r="F676" s="2">
        <v>1</v>
      </c>
      <c r="G676" s="4">
        <v>1.0264040934695797</v>
      </c>
      <c r="H676" s="2">
        <v>25</v>
      </c>
      <c r="I676" s="2">
        <v>5</v>
      </c>
      <c r="J676" s="2">
        <v>16</v>
      </c>
      <c r="K676" s="11">
        <v>1</v>
      </c>
      <c r="L676" s="11">
        <v>5.6235143992195279E-2</v>
      </c>
      <c r="M676" s="4">
        <v>5.6235143992195279E-2</v>
      </c>
      <c r="N676" s="10">
        <v>5.6000000000000001E-2</v>
      </c>
      <c r="O676" s="4">
        <v>0.27910472586593749</v>
      </c>
      <c r="P676" s="4">
        <v>0.28000000000000003</v>
      </c>
      <c r="Q676" s="3" t="s">
        <v>1597</v>
      </c>
      <c r="R676" s="3" t="s">
        <v>1610</v>
      </c>
      <c r="S676" s="3" t="s">
        <v>1611</v>
      </c>
      <c r="T676" s="3"/>
    </row>
    <row r="677" spans="1:20">
      <c r="A677" s="3" t="s">
        <v>1600</v>
      </c>
      <c r="B677" s="3" t="s">
        <v>1609</v>
      </c>
      <c r="C677" s="3" t="s">
        <v>1596</v>
      </c>
      <c r="D677" s="3" t="s">
        <v>103</v>
      </c>
      <c r="E677" s="3" t="s">
        <v>104</v>
      </c>
      <c r="F677" s="2">
        <v>1</v>
      </c>
      <c r="G677" s="4">
        <v>1.0264040934695797</v>
      </c>
      <c r="H677" s="2">
        <v>25</v>
      </c>
      <c r="I677" s="2">
        <v>5</v>
      </c>
      <c r="J677" s="2">
        <v>16</v>
      </c>
      <c r="K677" s="4">
        <v>1</v>
      </c>
      <c r="L677" s="4">
        <v>-2.1621751008415437E-2</v>
      </c>
      <c r="M677" s="4">
        <v>2.1621751008415437E-2</v>
      </c>
      <c r="N677" s="10">
        <v>2.1999999999999999E-2</v>
      </c>
      <c r="O677" s="4">
        <v>0.10721597518566091</v>
      </c>
      <c r="P677" s="4">
        <v>-0.11</v>
      </c>
      <c r="Q677" s="3" t="s">
        <v>1617</v>
      </c>
      <c r="R677" s="3" t="s">
        <v>1623</v>
      </c>
      <c r="S677" s="3" t="s">
        <v>1624</v>
      </c>
      <c r="T677" s="3"/>
    </row>
    <row r="678" spans="1:20">
      <c r="A678" s="3" t="s">
        <v>1600</v>
      </c>
      <c r="B678" s="3" t="s">
        <v>1609</v>
      </c>
      <c r="C678" s="3" t="s">
        <v>1596</v>
      </c>
      <c r="D678" s="3" t="s">
        <v>103</v>
      </c>
      <c r="E678" s="3" t="s">
        <v>104</v>
      </c>
      <c r="F678" s="2">
        <v>1</v>
      </c>
      <c r="G678" s="4">
        <v>1.0264040934695797</v>
      </c>
      <c r="H678" s="2">
        <v>25</v>
      </c>
      <c r="I678" s="2">
        <v>5</v>
      </c>
      <c r="J678" s="2">
        <v>1</v>
      </c>
      <c r="K678" s="11">
        <v>1</v>
      </c>
      <c r="L678" s="11">
        <v>-5.1803630518540859E-2</v>
      </c>
      <c r="M678" s="4">
        <v>5.1803630518540859E-2</v>
      </c>
      <c r="N678" s="10">
        <v>5.1999999999999998E-2</v>
      </c>
      <c r="O678" s="4">
        <v>0.25706922598112042</v>
      </c>
      <c r="P678" s="4">
        <v>-0.26</v>
      </c>
      <c r="Q678" s="3" t="s">
        <v>1617</v>
      </c>
      <c r="R678" s="3" t="s">
        <v>1623</v>
      </c>
      <c r="S678" s="3" t="s">
        <v>1624</v>
      </c>
      <c r="T678" s="3"/>
    </row>
    <row r="679" spans="1:20">
      <c r="A679" s="3" t="s">
        <v>1604</v>
      </c>
      <c r="B679" s="3" t="s">
        <v>1601</v>
      </c>
      <c r="C679" s="3" t="s">
        <v>1616</v>
      </c>
      <c r="D679" s="3" t="s">
        <v>103</v>
      </c>
      <c r="E679" s="3" t="s">
        <v>104</v>
      </c>
      <c r="F679" s="2">
        <v>1</v>
      </c>
      <c r="G679" s="4">
        <v>1.0264040934695797</v>
      </c>
      <c r="H679" s="2">
        <v>25</v>
      </c>
      <c r="I679" s="2">
        <v>30</v>
      </c>
      <c r="J679" s="2">
        <v>16</v>
      </c>
      <c r="K679" s="4">
        <v>1</v>
      </c>
      <c r="L679" s="4">
        <v>-0.11153218120006742</v>
      </c>
      <c r="M679" s="4">
        <v>0.11153218120006742</v>
      </c>
      <c r="N679" s="10">
        <v>0.112</v>
      </c>
      <c r="O679" s="4">
        <v>0.55527959660931647</v>
      </c>
      <c r="P679" s="4">
        <v>-0.56000000000000005</v>
      </c>
      <c r="Q679" s="3" t="s">
        <v>1617</v>
      </c>
      <c r="R679" s="3" t="s">
        <v>1618</v>
      </c>
      <c r="S679" s="3" t="s">
        <v>1619</v>
      </c>
      <c r="T679" s="3"/>
    </row>
    <row r="680" spans="1:20">
      <c r="A680" s="3" t="s">
        <v>1600</v>
      </c>
      <c r="B680" s="3" t="s">
        <v>1601</v>
      </c>
      <c r="C680" s="3" t="s">
        <v>1616</v>
      </c>
      <c r="D680" s="3" t="s">
        <v>103</v>
      </c>
      <c r="E680" s="3" t="s">
        <v>104</v>
      </c>
      <c r="F680" s="2">
        <v>1</v>
      </c>
      <c r="G680" s="4">
        <v>1.0264040934695797</v>
      </c>
      <c r="H680" s="2">
        <v>25</v>
      </c>
      <c r="I680" s="2">
        <v>5</v>
      </c>
      <c r="J680" s="2">
        <v>1</v>
      </c>
      <c r="K680" s="4">
        <v>1</v>
      </c>
      <c r="L680" s="4">
        <v>-0.12622579909182366</v>
      </c>
      <c r="M680" s="4">
        <v>0.12622579909182366</v>
      </c>
      <c r="N680" s="10">
        <v>0.126</v>
      </c>
      <c r="O680" s="4">
        <v>0.62917533505961187</v>
      </c>
      <c r="P680" s="4">
        <v>-0.63</v>
      </c>
      <c r="Q680" s="3" t="s">
        <v>1617</v>
      </c>
      <c r="R680" s="3" t="s">
        <v>1618</v>
      </c>
      <c r="S680" s="3" t="s">
        <v>1619</v>
      </c>
      <c r="T680" s="3"/>
    </row>
    <row r="681" spans="1:20">
      <c r="A681" s="3" t="s">
        <v>1600</v>
      </c>
      <c r="B681" s="3" t="s">
        <v>1601</v>
      </c>
      <c r="C681" s="3" t="s">
        <v>1616</v>
      </c>
      <c r="D681" s="3" t="s">
        <v>103</v>
      </c>
      <c r="E681" s="3" t="s">
        <v>104</v>
      </c>
      <c r="F681" s="2">
        <v>1</v>
      </c>
      <c r="G681" s="4">
        <v>1.0264040934695797</v>
      </c>
      <c r="H681" s="2">
        <v>25</v>
      </c>
      <c r="I681" s="2">
        <v>5</v>
      </c>
      <c r="J681" s="2">
        <v>16</v>
      </c>
      <c r="K681" s="4">
        <v>1</v>
      </c>
      <c r="L681" s="4">
        <v>-0.13099967037519331</v>
      </c>
      <c r="M681" s="4">
        <v>0.13099967037519331</v>
      </c>
      <c r="N681" s="10">
        <v>0.13100000000000001</v>
      </c>
      <c r="O681" s="4">
        <v>0.65324202662079367</v>
      </c>
      <c r="P681" s="4">
        <v>-0.65</v>
      </c>
      <c r="Q681" s="3" t="s">
        <v>1617</v>
      </c>
      <c r="R681" s="3" t="s">
        <v>1618</v>
      </c>
      <c r="S681" s="3" t="s">
        <v>1619</v>
      </c>
      <c r="T681" s="3"/>
    </row>
    <row r="682" spans="1:20">
      <c r="A682" s="3" t="s">
        <v>1600</v>
      </c>
      <c r="B682" s="3" t="s">
        <v>1601</v>
      </c>
      <c r="C682" s="3" t="s">
        <v>1596</v>
      </c>
      <c r="D682" s="3" t="s">
        <v>103</v>
      </c>
      <c r="E682" s="3" t="s">
        <v>104</v>
      </c>
      <c r="F682" s="2">
        <v>1</v>
      </c>
      <c r="G682" s="4">
        <v>1.0264040934695797</v>
      </c>
      <c r="H682" s="2">
        <v>25</v>
      </c>
      <c r="I682" s="2">
        <v>5</v>
      </c>
      <c r="J682" s="2">
        <v>16</v>
      </c>
      <c r="K682" s="4">
        <v>1</v>
      </c>
      <c r="L682" s="4">
        <v>-0.14822728455594705</v>
      </c>
      <c r="M682" s="4">
        <v>0.14822728455594705</v>
      </c>
      <c r="N682" s="10">
        <v>0.14799999999999999</v>
      </c>
      <c r="O682" s="4">
        <v>0.74035578173492445</v>
      </c>
      <c r="P682" s="4">
        <v>-0.74</v>
      </c>
      <c r="Q682" s="3" t="s">
        <v>1617</v>
      </c>
      <c r="R682" s="3" t="s">
        <v>1618</v>
      </c>
      <c r="S682" s="3" t="s">
        <v>1619</v>
      </c>
      <c r="T682" s="3"/>
    </row>
    <row r="683" spans="1:20">
      <c r="A683" s="3" t="s">
        <v>1600</v>
      </c>
      <c r="B683" s="3" t="s">
        <v>1601</v>
      </c>
      <c r="C683" s="3" t="s">
        <v>1596</v>
      </c>
      <c r="D683" s="3" t="s">
        <v>103</v>
      </c>
      <c r="E683" s="3" t="s">
        <v>104</v>
      </c>
      <c r="F683" s="2">
        <v>1</v>
      </c>
      <c r="G683" s="4">
        <v>1.0264040934695797</v>
      </c>
      <c r="H683" s="2">
        <v>25</v>
      </c>
      <c r="I683" s="2">
        <v>5</v>
      </c>
      <c r="J683" s="2">
        <v>1</v>
      </c>
      <c r="K683" s="4">
        <v>1</v>
      </c>
      <c r="L683" s="4">
        <v>-0.14962707547105047</v>
      </c>
      <c r="M683" s="4">
        <v>0.14962707547105047</v>
      </c>
      <c r="N683" s="10">
        <v>0.15</v>
      </c>
      <c r="O683" s="4">
        <v>0.74745327472066225</v>
      </c>
      <c r="P683" s="4">
        <v>-0.75</v>
      </c>
      <c r="Q683" s="3" t="s">
        <v>1617</v>
      </c>
      <c r="R683" s="3" t="s">
        <v>1618</v>
      </c>
      <c r="S683" s="3" t="s">
        <v>1619</v>
      </c>
      <c r="T683" s="3"/>
    </row>
    <row r="684" spans="1:20">
      <c r="A684" s="12" t="s">
        <v>1605</v>
      </c>
      <c r="B684" s="3" t="s">
        <v>1601</v>
      </c>
      <c r="C684" s="3" t="s">
        <v>1596</v>
      </c>
      <c r="D684" s="3" t="s">
        <v>103</v>
      </c>
      <c r="E684" s="3" t="s">
        <v>104</v>
      </c>
      <c r="F684" s="2">
        <v>1</v>
      </c>
      <c r="G684" s="4">
        <v>1.0264040934695797</v>
      </c>
      <c r="H684" s="2">
        <v>25</v>
      </c>
      <c r="I684" s="2">
        <v>5</v>
      </c>
      <c r="J684" s="2">
        <v>16</v>
      </c>
      <c r="K684" s="11">
        <v>1</v>
      </c>
      <c r="L684" s="11">
        <v>-0.15083129117749172</v>
      </c>
      <c r="M684" s="4">
        <v>0.15083129117749172</v>
      </c>
      <c r="N684" s="10">
        <v>0.151</v>
      </c>
      <c r="O684" s="4">
        <v>0.75356155699821026</v>
      </c>
      <c r="P684" s="4">
        <v>-0.75</v>
      </c>
      <c r="Q684" s="3" t="s">
        <v>1617</v>
      </c>
      <c r="R684" s="3" t="s">
        <v>1618</v>
      </c>
      <c r="S684" s="3" t="s">
        <v>1619</v>
      </c>
      <c r="T684" s="3"/>
    </row>
    <row r="685" spans="1:20">
      <c r="A685" s="3" t="s">
        <v>1604</v>
      </c>
      <c r="B685" s="3" t="s">
        <v>1601</v>
      </c>
      <c r="C685" s="3" t="s">
        <v>1596</v>
      </c>
      <c r="D685" s="3" t="s">
        <v>103</v>
      </c>
      <c r="E685" s="3" t="s">
        <v>104</v>
      </c>
      <c r="F685" s="2">
        <v>1</v>
      </c>
      <c r="G685" s="4">
        <v>1.0264040934695797</v>
      </c>
      <c r="H685" s="2">
        <v>25</v>
      </c>
      <c r="I685" s="2">
        <v>30</v>
      </c>
      <c r="J685" s="2">
        <v>16</v>
      </c>
      <c r="K685" s="4">
        <v>1</v>
      </c>
      <c r="L685" s="4">
        <v>-0.15149036190192153</v>
      </c>
      <c r="M685" s="4">
        <v>0.15149036190192153</v>
      </c>
      <c r="N685" s="10">
        <v>0.151</v>
      </c>
      <c r="O685" s="4">
        <v>0.75690559781232292</v>
      </c>
      <c r="P685" s="4">
        <v>-0.75</v>
      </c>
      <c r="Q685" s="3" t="s">
        <v>1617</v>
      </c>
      <c r="R685" s="3" t="s">
        <v>1618</v>
      </c>
      <c r="S685" s="3" t="s">
        <v>1619</v>
      </c>
      <c r="T685" s="3"/>
    </row>
    <row r="686" spans="1:20">
      <c r="A686" s="3" t="s">
        <v>1594</v>
      </c>
      <c r="B686" s="3" t="s">
        <v>1595</v>
      </c>
      <c r="C686" s="3" t="s">
        <v>1596</v>
      </c>
      <c r="D686" s="3" t="s">
        <v>103</v>
      </c>
      <c r="E686" s="3" t="s">
        <v>104</v>
      </c>
      <c r="F686" s="2">
        <v>1</v>
      </c>
      <c r="G686" s="4">
        <v>1.0264040934695797</v>
      </c>
      <c r="H686" s="2">
        <v>50</v>
      </c>
      <c r="I686" s="2">
        <v>5</v>
      </c>
      <c r="J686" s="2">
        <v>16</v>
      </c>
      <c r="K686" s="4">
        <v>1</v>
      </c>
      <c r="L686" s="14">
        <v>-0.25097848587404642</v>
      </c>
      <c r="M686" s="4">
        <v>0.25097848587404642</v>
      </c>
      <c r="N686" s="10">
        <v>0.251</v>
      </c>
      <c r="O686" s="4">
        <v>1.3781120098815698</v>
      </c>
      <c r="P686" s="4">
        <v>-1.38</v>
      </c>
      <c r="Q686" s="3" t="s">
        <v>1617</v>
      </c>
      <c r="R686" s="3" t="s">
        <v>1625</v>
      </c>
      <c r="S686" s="3" t="s">
        <v>1626</v>
      </c>
      <c r="T686" s="3"/>
    </row>
    <row r="687" spans="1:20">
      <c r="A687" s="3" t="s">
        <v>1600</v>
      </c>
      <c r="B687" s="3" t="s">
        <v>1601</v>
      </c>
      <c r="C687" s="3" t="s">
        <v>1616</v>
      </c>
      <c r="D687" s="3" t="s">
        <v>867</v>
      </c>
      <c r="E687" s="3" t="s">
        <v>868</v>
      </c>
      <c r="F687" s="2">
        <v>1</v>
      </c>
      <c r="G687" s="4">
        <v>1.0266692016523495</v>
      </c>
      <c r="H687" s="2">
        <v>25</v>
      </c>
      <c r="I687" s="2">
        <v>5</v>
      </c>
      <c r="J687" s="2">
        <v>1</v>
      </c>
      <c r="K687" s="4">
        <v>0.55403191471837832</v>
      </c>
      <c r="L687" s="4">
        <v>0.91379700760737748</v>
      </c>
      <c r="M687" s="4">
        <v>0.91379700760737748</v>
      </c>
      <c r="N687" s="10">
        <v>0.91400000000000003</v>
      </c>
      <c r="O687" s="4">
        <v>7.6851474514711713</v>
      </c>
      <c r="P687" s="4">
        <v>7.69</v>
      </c>
      <c r="Q687" s="3" t="s">
        <v>1597</v>
      </c>
      <c r="R687" s="3" t="s">
        <v>1602</v>
      </c>
      <c r="S687" s="3" t="s">
        <v>1603</v>
      </c>
      <c r="T687" s="3"/>
    </row>
    <row r="688" spans="1:20">
      <c r="A688" s="3" t="s">
        <v>1600</v>
      </c>
      <c r="B688" s="3" t="s">
        <v>1601</v>
      </c>
      <c r="C688" s="3" t="s">
        <v>1616</v>
      </c>
      <c r="D688" s="3" t="s">
        <v>867</v>
      </c>
      <c r="E688" s="3" t="s">
        <v>868</v>
      </c>
      <c r="F688" s="2">
        <v>1</v>
      </c>
      <c r="G688" s="4">
        <v>1.0266692016523495</v>
      </c>
      <c r="H688" s="2">
        <v>25</v>
      </c>
      <c r="I688" s="2">
        <v>5</v>
      </c>
      <c r="J688" s="2">
        <v>16</v>
      </c>
      <c r="K688" s="4">
        <v>0.81065553512647981</v>
      </c>
      <c r="L688" s="4">
        <v>0.65362190929905928</v>
      </c>
      <c r="M688" s="4">
        <v>0.65362190929905928</v>
      </c>
      <c r="N688" s="10">
        <v>0.65400000000000003</v>
      </c>
      <c r="O688" s="4">
        <v>3.8751040414424538</v>
      </c>
      <c r="P688" s="4">
        <v>3.88</v>
      </c>
      <c r="Q688" s="3" t="s">
        <v>1597</v>
      </c>
      <c r="R688" s="3" t="s">
        <v>1602</v>
      </c>
      <c r="S688" s="3" t="s">
        <v>1603</v>
      </c>
      <c r="T688" s="3"/>
    </row>
    <row r="689" spans="1:20">
      <c r="A689" s="3" t="s">
        <v>1604</v>
      </c>
      <c r="B689" s="3" t="s">
        <v>1601</v>
      </c>
      <c r="C689" s="3" t="s">
        <v>1616</v>
      </c>
      <c r="D689" s="3" t="s">
        <v>867</v>
      </c>
      <c r="E689" s="3" t="s">
        <v>868</v>
      </c>
      <c r="F689" s="2">
        <v>1</v>
      </c>
      <c r="G689" s="4">
        <v>1.0266692016523495</v>
      </c>
      <c r="H689" s="2">
        <v>25</v>
      </c>
      <c r="I689" s="2">
        <v>30</v>
      </c>
      <c r="J689" s="2">
        <v>16</v>
      </c>
      <c r="K689" s="4">
        <v>0.99151110844573753</v>
      </c>
      <c r="L689" s="4">
        <v>0.45361900377379821</v>
      </c>
      <c r="M689" s="4">
        <v>0.45361900377379821</v>
      </c>
      <c r="N689" s="10">
        <v>0.45400000000000001</v>
      </c>
      <c r="O689" s="4">
        <v>2.4256581203330652</v>
      </c>
      <c r="P689" s="4">
        <v>2.4300000000000002</v>
      </c>
      <c r="Q689" s="3" t="s">
        <v>1597</v>
      </c>
      <c r="R689" s="3" t="s">
        <v>1602</v>
      </c>
      <c r="S689" s="3" t="s">
        <v>1603</v>
      </c>
      <c r="T689" s="3"/>
    </row>
    <row r="690" spans="1:20">
      <c r="A690" s="3" t="s">
        <v>1600</v>
      </c>
      <c r="B690" s="3" t="s">
        <v>1601</v>
      </c>
      <c r="C690" s="3" t="s">
        <v>1596</v>
      </c>
      <c r="D690" s="3" t="s">
        <v>867</v>
      </c>
      <c r="E690" s="3" t="s">
        <v>868</v>
      </c>
      <c r="F690" s="2">
        <v>1</v>
      </c>
      <c r="G690" s="4">
        <v>1.0266692016523495</v>
      </c>
      <c r="H690" s="2">
        <v>25</v>
      </c>
      <c r="I690" s="2">
        <v>5</v>
      </c>
      <c r="J690" s="2">
        <v>16</v>
      </c>
      <c r="K690" s="4">
        <v>0.3870352952175905</v>
      </c>
      <c r="L690" s="4">
        <v>0.13173958417201337</v>
      </c>
      <c r="M690" s="4">
        <v>0.13173958417201337</v>
      </c>
      <c r="N690" s="10">
        <v>0.13200000000000001</v>
      </c>
      <c r="O690" s="4">
        <v>0.65697489405994358</v>
      </c>
      <c r="P690" s="4">
        <v>0.66</v>
      </c>
      <c r="Q690" s="3" t="s">
        <v>1597</v>
      </c>
      <c r="R690" s="3" t="s">
        <v>1602</v>
      </c>
      <c r="S690" s="3" t="s">
        <v>1603</v>
      </c>
      <c r="T690" s="3"/>
    </row>
    <row r="691" spans="1:20">
      <c r="A691" s="3" t="s">
        <v>1605</v>
      </c>
      <c r="B691" s="3" t="s">
        <v>1601</v>
      </c>
      <c r="C691" s="3" t="s">
        <v>1596</v>
      </c>
      <c r="D691" s="3" t="s">
        <v>867</v>
      </c>
      <c r="E691" s="3" t="s">
        <v>868</v>
      </c>
      <c r="F691" s="2">
        <v>1</v>
      </c>
      <c r="G691" s="4">
        <v>1.0266692016523495</v>
      </c>
      <c r="H691" s="2">
        <v>25</v>
      </c>
      <c r="I691" s="2">
        <v>5</v>
      </c>
      <c r="J691" s="2">
        <v>16</v>
      </c>
      <c r="K691" s="4">
        <v>0.62271560658206304</v>
      </c>
      <c r="L691" s="4">
        <v>9.8310138751255993E-2</v>
      </c>
      <c r="M691" s="4">
        <v>9.8310138751255993E-2</v>
      </c>
      <c r="N691" s="10">
        <v>9.8000000000000004E-2</v>
      </c>
      <c r="O691" s="4">
        <v>0.4889948507525122</v>
      </c>
      <c r="P691" s="4">
        <v>0.49</v>
      </c>
      <c r="Q691" s="3" t="s">
        <v>1597</v>
      </c>
      <c r="R691" s="3" t="s">
        <v>1602</v>
      </c>
      <c r="S691" s="3" t="s">
        <v>1603</v>
      </c>
      <c r="T691" s="3"/>
    </row>
    <row r="692" spans="1:20">
      <c r="A692" s="3" t="s">
        <v>1604</v>
      </c>
      <c r="B692" s="3" t="s">
        <v>1601</v>
      </c>
      <c r="C692" s="3" t="s">
        <v>1596</v>
      </c>
      <c r="D692" s="3" t="s">
        <v>867</v>
      </c>
      <c r="E692" s="3" t="s">
        <v>868</v>
      </c>
      <c r="F692" s="2">
        <v>1</v>
      </c>
      <c r="G692" s="4">
        <v>1.0266692016523495</v>
      </c>
      <c r="H692" s="2">
        <v>25</v>
      </c>
      <c r="I692" s="2">
        <v>30</v>
      </c>
      <c r="J692" s="2">
        <v>16</v>
      </c>
      <c r="K692" s="4">
        <v>0.63352554220383728</v>
      </c>
      <c r="L692" s="4">
        <v>7.303077292343961E-2</v>
      </c>
      <c r="M692" s="4">
        <v>7.303077292343961E-2</v>
      </c>
      <c r="N692" s="10">
        <v>7.2999999999999995E-2</v>
      </c>
      <c r="O692" s="4">
        <v>0.36272771215830879</v>
      </c>
      <c r="P692" s="4">
        <v>0.36</v>
      </c>
      <c r="Q692" s="3" t="s">
        <v>1597</v>
      </c>
      <c r="R692" s="3" t="s">
        <v>1602</v>
      </c>
      <c r="S692" s="3" t="s">
        <v>1603</v>
      </c>
      <c r="T692" s="3"/>
    </row>
    <row r="693" spans="1:20">
      <c r="A693" s="3" t="s">
        <v>1594</v>
      </c>
      <c r="B693" s="3" t="s">
        <v>1612</v>
      </c>
      <c r="C693" s="3" t="s">
        <v>1596</v>
      </c>
      <c r="D693" s="3" t="s">
        <v>867</v>
      </c>
      <c r="E693" s="3" t="s">
        <v>868</v>
      </c>
      <c r="F693" s="2">
        <v>1</v>
      </c>
      <c r="G693" s="4">
        <v>1.0266692016523495</v>
      </c>
      <c r="H693" s="2">
        <v>50</v>
      </c>
      <c r="I693" s="2">
        <v>5</v>
      </c>
      <c r="J693" s="2">
        <v>16</v>
      </c>
      <c r="K693" s="4">
        <v>1</v>
      </c>
      <c r="L693" s="4">
        <v>5.0311271410705523E-2</v>
      </c>
      <c r="M693" s="4">
        <v>5.0311271410705523E-2</v>
      </c>
      <c r="N693" s="10">
        <v>0.05</v>
      </c>
      <c r="O693" s="4">
        <v>0.27058419202646927</v>
      </c>
      <c r="P693" s="4">
        <v>0.27</v>
      </c>
      <c r="Q693" s="3" t="s">
        <v>1597</v>
      </c>
      <c r="R693" s="3" t="s">
        <v>1613</v>
      </c>
      <c r="S693" s="3" t="s">
        <v>1614</v>
      </c>
      <c r="T693" s="3"/>
    </row>
    <row r="694" spans="1:20">
      <c r="A694" s="3" t="s">
        <v>1594</v>
      </c>
      <c r="B694" s="3" t="s">
        <v>1595</v>
      </c>
      <c r="C694" s="3" t="s">
        <v>1596</v>
      </c>
      <c r="D694" s="3" t="s">
        <v>867</v>
      </c>
      <c r="E694" s="3" t="s">
        <v>868</v>
      </c>
      <c r="F694" s="2">
        <v>1</v>
      </c>
      <c r="G694" s="4">
        <v>1.0266692016523495</v>
      </c>
      <c r="H694" s="2">
        <v>50</v>
      </c>
      <c r="I694" s="2">
        <v>5</v>
      </c>
      <c r="J694" s="2">
        <v>16</v>
      </c>
      <c r="K694" s="4">
        <v>1</v>
      </c>
      <c r="L694" s="4">
        <v>1.7453501966237222E-2</v>
      </c>
      <c r="M694" s="4">
        <v>1.7453501966237222E-2</v>
      </c>
      <c r="N694" s="10">
        <v>1.7000000000000001E-2</v>
      </c>
      <c r="O694" s="4">
        <v>9.3798734183330859E-2</v>
      </c>
      <c r="P694" s="4">
        <v>0.09</v>
      </c>
      <c r="Q694" s="3" t="s">
        <v>1597</v>
      </c>
      <c r="R694" s="3" t="s">
        <v>1598</v>
      </c>
      <c r="S694" s="3" t="s">
        <v>1599</v>
      </c>
      <c r="T694" s="3"/>
    </row>
    <row r="695" spans="1:20">
      <c r="A695" s="3" t="s">
        <v>1600</v>
      </c>
      <c r="B695" s="3" t="s">
        <v>1606</v>
      </c>
      <c r="C695" s="3" t="s">
        <v>1616</v>
      </c>
      <c r="D695" s="3" t="s">
        <v>867</v>
      </c>
      <c r="E695" s="3" t="s">
        <v>868</v>
      </c>
      <c r="F695" s="2">
        <v>1</v>
      </c>
      <c r="G695" s="4">
        <v>1.0266692016523495</v>
      </c>
      <c r="H695" s="2">
        <v>25</v>
      </c>
      <c r="I695" s="2">
        <v>5</v>
      </c>
      <c r="J695" s="2">
        <v>16</v>
      </c>
      <c r="K695" s="4">
        <v>0.45735298823232395</v>
      </c>
      <c r="L695" s="4">
        <v>8.0614466126956025E-3</v>
      </c>
      <c r="M695" s="4">
        <v>8.0614466126956025E-3</v>
      </c>
      <c r="N695" s="10">
        <v>8.0000000000000002E-3</v>
      </c>
      <c r="O695" s="4">
        <v>3.9969005030536901E-2</v>
      </c>
      <c r="P695" s="4">
        <v>0.04</v>
      </c>
      <c r="Q695" s="3" t="s">
        <v>1597</v>
      </c>
      <c r="R695" s="3" t="s">
        <v>1607</v>
      </c>
      <c r="S695" s="3" t="s">
        <v>1608</v>
      </c>
      <c r="T695" s="3"/>
    </row>
    <row r="696" spans="1:20">
      <c r="A696" s="3" t="s">
        <v>1600</v>
      </c>
      <c r="B696" s="3" t="s">
        <v>1606</v>
      </c>
      <c r="C696" s="3" t="s">
        <v>1616</v>
      </c>
      <c r="D696" s="3" t="s">
        <v>867</v>
      </c>
      <c r="E696" s="3" t="s">
        <v>868</v>
      </c>
      <c r="F696" s="2">
        <v>1</v>
      </c>
      <c r="G696" s="4">
        <v>1.0266692016523495</v>
      </c>
      <c r="H696" s="2">
        <v>25</v>
      </c>
      <c r="I696" s="2">
        <v>5</v>
      </c>
      <c r="J696" s="2">
        <v>1</v>
      </c>
      <c r="K696" s="4">
        <v>0</v>
      </c>
      <c r="L696" s="4">
        <v>0</v>
      </c>
      <c r="M696" s="4">
        <v>0</v>
      </c>
      <c r="N696" s="10">
        <v>0</v>
      </c>
      <c r="O696" s="4">
        <v>0</v>
      </c>
      <c r="P696" s="4">
        <v>0</v>
      </c>
      <c r="Q696" s="3" t="s">
        <v>1617</v>
      </c>
      <c r="R696" s="3" t="s">
        <v>1621</v>
      </c>
      <c r="S696" s="3" t="s">
        <v>1622</v>
      </c>
      <c r="T696" s="3"/>
    </row>
    <row r="697" spans="1:20">
      <c r="A697" s="3" t="s">
        <v>1594</v>
      </c>
      <c r="B697" s="3" t="s">
        <v>1595</v>
      </c>
      <c r="C697" s="3" t="s">
        <v>1596</v>
      </c>
      <c r="D697" s="3" t="s">
        <v>867</v>
      </c>
      <c r="E697" s="3" t="s">
        <v>868</v>
      </c>
      <c r="F697" s="2">
        <v>1</v>
      </c>
      <c r="G697" s="4">
        <v>1.0266692016523495</v>
      </c>
      <c r="H697" s="2">
        <v>25</v>
      </c>
      <c r="I697" s="2">
        <v>5</v>
      </c>
      <c r="J697" s="2">
        <v>16</v>
      </c>
      <c r="K697" s="4">
        <v>1</v>
      </c>
      <c r="L697" s="4">
        <v>-5.5254335218678499E-3</v>
      </c>
      <c r="M697" s="4">
        <v>5.5254335218678499E-3</v>
      </c>
      <c r="N697" s="10">
        <v>6.0000000000000001E-3</v>
      </c>
      <c r="O697" s="4">
        <v>2.7395026503694742E-2</v>
      </c>
      <c r="P697" s="4">
        <v>-0.03</v>
      </c>
      <c r="Q697" s="3" t="s">
        <v>1617</v>
      </c>
      <c r="R697" s="3" t="s">
        <v>1625</v>
      </c>
      <c r="S697" s="3" t="s">
        <v>1626</v>
      </c>
      <c r="T697" s="3"/>
    </row>
    <row r="698" spans="1:20">
      <c r="A698" s="3" t="s">
        <v>1600</v>
      </c>
      <c r="B698" s="3" t="s">
        <v>1609</v>
      </c>
      <c r="C698" s="3" t="s">
        <v>1616</v>
      </c>
      <c r="D698" s="3" t="s">
        <v>867</v>
      </c>
      <c r="E698" s="3" t="s">
        <v>868</v>
      </c>
      <c r="F698" s="2">
        <v>1</v>
      </c>
      <c r="G698" s="4">
        <v>1.0266692016523495</v>
      </c>
      <c r="H698" s="2">
        <v>25</v>
      </c>
      <c r="I698" s="2">
        <v>5</v>
      </c>
      <c r="J698" s="2">
        <v>16</v>
      </c>
      <c r="K698" s="4">
        <v>3.3232170628489155E-2</v>
      </c>
      <c r="L698" s="4">
        <v>-2.2006657729443092E-2</v>
      </c>
      <c r="M698" s="4">
        <v>2.2006657729443092E-2</v>
      </c>
      <c r="N698" s="10">
        <v>2.1999999999999999E-2</v>
      </c>
      <c r="O698" s="4">
        <v>0.10912522676834727</v>
      </c>
      <c r="P698" s="4">
        <v>-0.11</v>
      </c>
      <c r="Q698" s="3" t="s">
        <v>1617</v>
      </c>
      <c r="R698" s="3" t="s">
        <v>1623</v>
      </c>
      <c r="S698" s="3" t="s">
        <v>1624</v>
      </c>
      <c r="T698" s="3"/>
    </row>
    <row r="699" spans="1:20">
      <c r="A699" s="3" t="s">
        <v>1600</v>
      </c>
      <c r="B699" s="3" t="s">
        <v>1606</v>
      </c>
      <c r="C699" s="3" t="s">
        <v>1596</v>
      </c>
      <c r="D699" s="3" t="s">
        <v>867</v>
      </c>
      <c r="E699" s="3" t="s">
        <v>868</v>
      </c>
      <c r="F699" s="2">
        <v>1</v>
      </c>
      <c r="G699" s="4">
        <v>1.0266692016523495</v>
      </c>
      <c r="H699" s="2">
        <v>25</v>
      </c>
      <c r="I699" s="2">
        <v>5</v>
      </c>
      <c r="J699" s="2">
        <v>1</v>
      </c>
      <c r="K699" s="4">
        <v>1</v>
      </c>
      <c r="L699" s="4">
        <v>-2.7183764668329783E-2</v>
      </c>
      <c r="M699" s="4">
        <v>2.7183764668329783E-2</v>
      </c>
      <c r="N699" s="10">
        <v>2.7E-2</v>
      </c>
      <c r="O699" s="4">
        <v>0.13480858744410787</v>
      </c>
      <c r="P699" s="4">
        <v>-0.13</v>
      </c>
      <c r="Q699" s="3" t="s">
        <v>1617</v>
      </c>
      <c r="R699" s="3" t="s">
        <v>1621</v>
      </c>
      <c r="S699" s="3" t="s">
        <v>1622</v>
      </c>
      <c r="T699" s="3"/>
    </row>
    <row r="700" spans="1:20">
      <c r="A700" s="3" t="s">
        <v>1600</v>
      </c>
      <c r="B700" s="3" t="s">
        <v>1606</v>
      </c>
      <c r="C700" s="3" t="s">
        <v>1596</v>
      </c>
      <c r="D700" s="3" t="s">
        <v>867</v>
      </c>
      <c r="E700" s="3" t="s">
        <v>868</v>
      </c>
      <c r="F700" s="2">
        <v>1</v>
      </c>
      <c r="G700" s="4">
        <v>1.0266692016523495</v>
      </c>
      <c r="H700" s="2">
        <v>25</v>
      </c>
      <c r="I700" s="2">
        <v>5</v>
      </c>
      <c r="J700" s="2">
        <v>16</v>
      </c>
      <c r="K700" s="4">
        <v>1</v>
      </c>
      <c r="L700" s="4">
        <v>-4.5959705635722277E-2</v>
      </c>
      <c r="M700" s="4">
        <v>4.5959705635722277E-2</v>
      </c>
      <c r="N700" s="10">
        <v>4.5999999999999999E-2</v>
      </c>
      <c r="O700" s="4">
        <v>0.22802593839108423</v>
      </c>
      <c r="P700" s="4">
        <v>-0.23</v>
      </c>
      <c r="Q700" s="3" t="s">
        <v>1617</v>
      </c>
      <c r="R700" s="3" t="s">
        <v>1621</v>
      </c>
      <c r="S700" s="3" t="s">
        <v>1622</v>
      </c>
      <c r="T700" s="3"/>
    </row>
    <row r="701" spans="1:20">
      <c r="A701" s="3" t="s">
        <v>1600</v>
      </c>
      <c r="B701" s="3" t="s">
        <v>1601</v>
      </c>
      <c r="C701" s="3" t="s">
        <v>1596</v>
      </c>
      <c r="D701" s="3" t="s">
        <v>867</v>
      </c>
      <c r="E701" s="3" t="s">
        <v>868</v>
      </c>
      <c r="F701" s="2">
        <v>1</v>
      </c>
      <c r="G701" s="4">
        <v>1.0266692016523495</v>
      </c>
      <c r="H701" s="2">
        <v>25</v>
      </c>
      <c r="I701" s="2">
        <v>5</v>
      </c>
      <c r="J701" s="2">
        <v>1</v>
      </c>
      <c r="K701" s="4">
        <v>2.2799642820490629E-2</v>
      </c>
      <c r="L701" s="4">
        <v>-8.6051353226925739E-2</v>
      </c>
      <c r="M701" s="4">
        <v>8.6051353226925739E-2</v>
      </c>
      <c r="N701" s="10">
        <v>8.5999999999999993E-2</v>
      </c>
      <c r="O701" s="4">
        <v>0.42769489490338697</v>
      </c>
      <c r="P701" s="4">
        <v>-0.43</v>
      </c>
      <c r="Q701" s="3" t="s">
        <v>1617</v>
      </c>
      <c r="R701" s="3" t="s">
        <v>1618</v>
      </c>
      <c r="S701" s="3" t="s">
        <v>1619</v>
      </c>
      <c r="T701" s="3"/>
    </row>
    <row r="702" spans="1:20">
      <c r="A702" s="3" t="s">
        <v>1600</v>
      </c>
      <c r="B702" s="3" t="s">
        <v>1609</v>
      </c>
      <c r="C702" s="3" t="s">
        <v>1596</v>
      </c>
      <c r="D702" s="3" t="s">
        <v>867</v>
      </c>
      <c r="E702" s="3" t="s">
        <v>868</v>
      </c>
      <c r="F702" s="2">
        <v>1</v>
      </c>
      <c r="G702" s="4">
        <v>1.0266692016523495</v>
      </c>
      <c r="H702" s="2">
        <v>25</v>
      </c>
      <c r="I702" s="2">
        <v>5</v>
      </c>
      <c r="J702" s="2">
        <v>1</v>
      </c>
      <c r="K702" s="4">
        <v>0.13026406821464687</v>
      </c>
      <c r="L702" s="4">
        <v>-0.15379529335750433</v>
      </c>
      <c r="M702" s="4">
        <v>0.15379529335750433</v>
      </c>
      <c r="N702" s="10">
        <v>0.154</v>
      </c>
      <c r="O702" s="4">
        <v>0.76860592254483251</v>
      </c>
      <c r="P702" s="4">
        <v>-0.77</v>
      </c>
      <c r="Q702" s="3" t="s">
        <v>1617</v>
      </c>
      <c r="R702" s="3" t="s">
        <v>1623</v>
      </c>
      <c r="S702" s="3" t="s">
        <v>1624</v>
      </c>
      <c r="T702" s="3"/>
    </row>
    <row r="703" spans="1:20">
      <c r="A703" s="3" t="s">
        <v>1600</v>
      </c>
      <c r="B703" s="3" t="s">
        <v>1609</v>
      </c>
      <c r="C703" s="3" t="s">
        <v>1596</v>
      </c>
      <c r="D703" s="3" t="s">
        <v>867</v>
      </c>
      <c r="E703" s="3" t="s">
        <v>868</v>
      </c>
      <c r="F703" s="2">
        <v>1</v>
      </c>
      <c r="G703" s="4">
        <v>1.0266692016523495</v>
      </c>
      <c r="H703" s="2">
        <v>25</v>
      </c>
      <c r="I703" s="2">
        <v>5</v>
      </c>
      <c r="J703" s="2">
        <v>16</v>
      </c>
      <c r="K703" s="4">
        <v>0.31374041775088135</v>
      </c>
      <c r="L703" s="4">
        <v>-0.20441122529887348</v>
      </c>
      <c r="M703" s="4">
        <v>0.20441122529887348</v>
      </c>
      <c r="N703" s="10">
        <v>0.20399999999999999</v>
      </c>
      <c r="O703" s="4">
        <v>1.0279380639405153</v>
      </c>
      <c r="P703" s="4">
        <v>-1.03</v>
      </c>
      <c r="Q703" s="3" t="s">
        <v>1617</v>
      </c>
      <c r="R703" s="3" t="s">
        <v>1623</v>
      </c>
      <c r="S703" s="3" t="s">
        <v>1624</v>
      </c>
      <c r="T703" s="3"/>
    </row>
    <row r="704" spans="1:20">
      <c r="A704" s="3" t="s">
        <v>1600</v>
      </c>
      <c r="B704" s="3" t="s">
        <v>1609</v>
      </c>
      <c r="C704" s="3" t="s">
        <v>1616</v>
      </c>
      <c r="D704" s="3" t="s">
        <v>867</v>
      </c>
      <c r="E704" s="3" t="s">
        <v>868</v>
      </c>
      <c r="F704" s="2">
        <v>1</v>
      </c>
      <c r="G704" s="4">
        <v>1.0266692016523495</v>
      </c>
      <c r="H704" s="2">
        <v>25</v>
      </c>
      <c r="I704" s="2">
        <v>5</v>
      </c>
      <c r="J704" s="2">
        <v>1</v>
      </c>
      <c r="K704" s="4">
        <v>1.160483344149843E-2</v>
      </c>
      <c r="L704" s="4">
        <v>-1</v>
      </c>
      <c r="M704" s="4">
        <v>1</v>
      </c>
      <c r="N704" s="10">
        <v>0.995</v>
      </c>
      <c r="O704" s="4">
        <v>14.85</v>
      </c>
      <c r="P704" s="4">
        <v>-14.85</v>
      </c>
      <c r="Q704" s="3" t="s">
        <v>1617</v>
      </c>
      <c r="R704" s="3" t="s">
        <v>1623</v>
      </c>
      <c r="S704" s="3" t="s">
        <v>1624</v>
      </c>
      <c r="T704" s="3"/>
    </row>
    <row r="705" spans="1:20">
      <c r="A705" s="3" t="s">
        <v>1600</v>
      </c>
      <c r="B705" s="3" t="s">
        <v>1606</v>
      </c>
      <c r="C705" s="3" t="s">
        <v>1616</v>
      </c>
      <c r="D705" s="3" t="s">
        <v>49</v>
      </c>
      <c r="E705" s="3" t="s">
        <v>50</v>
      </c>
      <c r="F705" s="2">
        <v>1</v>
      </c>
      <c r="G705" s="4">
        <v>1.0273436276505779</v>
      </c>
      <c r="H705" s="2">
        <v>25</v>
      </c>
      <c r="I705" s="2">
        <v>5</v>
      </c>
      <c r="J705" s="2">
        <v>16</v>
      </c>
      <c r="K705" s="11">
        <v>1</v>
      </c>
      <c r="L705" s="11">
        <v>0.40057188061374166</v>
      </c>
      <c r="M705" s="4">
        <v>0.40057188061374166</v>
      </c>
      <c r="N705" s="10">
        <v>0.40100000000000002</v>
      </c>
      <c r="O705" s="4">
        <v>2.1038007645323651</v>
      </c>
      <c r="P705" s="4">
        <v>2.11</v>
      </c>
      <c r="Q705" s="3" t="s">
        <v>1597</v>
      </c>
      <c r="R705" s="3" t="s">
        <v>1607</v>
      </c>
      <c r="S705" s="3" t="s">
        <v>1608</v>
      </c>
      <c r="T705" s="3"/>
    </row>
    <row r="706" spans="1:20">
      <c r="A706" s="3" t="s">
        <v>1600</v>
      </c>
      <c r="B706" s="3" t="s">
        <v>1606</v>
      </c>
      <c r="C706" s="3" t="s">
        <v>1616</v>
      </c>
      <c r="D706" s="3" t="s">
        <v>49</v>
      </c>
      <c r="E706" s="3" t="s">
        <v>50</v>
      </c>
      <c r="F706" s="2">
        <v>1</v>
      </c>
      <c r="G706" s="4">
        <v>1.0273436276505779</v>
      </c>
      <c r="H706" s="2">
        <v>25</v>
      </c>
      <c r="I706" s="2">
        <v>5</v>
      </c>
      <c r="J706" s="2">
        <v>1</v>
      </c>
      <c r="K706" s="4">
        <v>1</v>
      </c>
      <c r="L706" s="4">
        <v>0.3900637716787454</v>
      </c>
      <c r="M706" s="4">
        <v>0.3900637716787454</v>
      </c>
      <c r="N706" s="10">
        <v>0.39</v>
      </c>
      <c r="O706" s="4">
        <v>2.0420512637524109</v>
      </c>
      <c r="P706" s="4">
        <v>2.04</v>
      </c>
      <c r="Q706" s="3" t="s">
        <v>1597</v>
      </c>
      <c r="R706" s="3" t="s">
        <v>1607</v>
      </c>
      <c r="S706" s="3" t="s">
        <v>1608</v>
      </c>
      <c r="T706" s="3"/>
    </row>
    <row r="707" spans="1:20">
      <c r="A707" s="3" t="s">
        <v>1600</v>
      </c>
      <c r="B707" s="3" t="s">
        <v>1606</v>
      </c>
      <c r="C707" s="3" t="s">
        <v>1596</v>
      </c>
      <c r="D707" s="3" t="s">
        <v>49</v>
      </c>
      <c r="E707" s="3" t="s">
        <v>50</v>
      </c>
      <c r="F707" s="2">
        <v>1</v>
      </c>
      <c r="G707" s="4">
        <v>1.0273436276505779</v>
      </c>
      <c r="H707" s="2">
        <v>25</v>
      </c>
      <c r="I707" s="2">
        <v>5</v>
      </c>
      <c r="J707" s="2">
        <v>16</v>
      </c>
      <c r="K707" s="11">
        <v>1</v>
      </c>
      <c r="L707" s="11">
        <v>0.19589173111562694</v>
      </c>
      <c r="M707" s="4">
        <v>0.19589173111562694</v>
      </c>
      <c r="N707" s="10">
        <v>0.19600000000000001</v>
      </c>
      <c r="O707" s="4">
        <v>0.98393588932694298</v>
      </c>
      <c r="P707" s="4">
        <v>0.98</v>
      </c>
      <c r="Q707" s="3" t="s">
        <v>1597</v>
      </c>
      <c r="R707" s="3" t="s">
        <v>1607</v>
      </c>
      <c r="S707" s="3" t="s">
        <v>1608</v>
      </c>
      <c r="T707" s="3"/>
    </row>
    <row r="708" spans="1:20">
      <c r="A708" s="3" t="s">
        <v>1600</v>
      </c>
      <c r="B708" s="3" t="s">
        <v>1606</v>
      </c>
      <c r="C708" s="3" t="s">
        <v>1596</v>
      </c>
      <c r="D708" s="3" t="s">
        <v>49</v>
      </c>
      <c r="E708" s="3" t="s">
        <v>50</v>
      </c>
      <c r="F708" s="2">
        <v>1</v>
      </c>
      <c r="G708" s="4">
        <v>1.0273436276505779</v>
      </c>
      <c r="H708" s="2">
        <v>25</v>
      </c>
      <c r="I708" s="2">
        <v>5</v>
      </c>
      <c r="J708" s="2">
        <v>1</v>
      </c>
      <c r="K708" s="11">
        <v>0.99332318292831978</v>
      </c>
      <c r="L708" s="11">
        <v>0.18498323353982252</v>
      </c>
      <c r="M708" s="4">
        <v>0.18498323353982252</v>
      </c>
      <c r="N708" s="10">
        <v>0.185</v>
      </c>
      <c r="O708" s="4">
        <v>0.92781635704967758</v>
      </c>
      <c r="P708" s="4">
        <v>0.93</v>
      </c>
      <c r="Q708" s="3" t="s">
        <v>1597</v>
      </c>
      <c r="R708" s="3" t="s">
        <v>1607</v>
      </c>
      <c r="S708" s="3" t="s">
        <v>1608</v>
      </c>
      <c r="T708" s="3"/>
    </row>
    <row r="709" spans="1:20">
      <c r="A709" s="3" t="s">
        <v>1600</v>
      </c>
      <c r="B709" s="3" t="s">
        <v>1601</v>
      </c>
      <c r="C709" s="3" t="s">
        <v>1616</v>
      </c>
      <c r="D709" s="3" t="s">
        <v>49</v>
      </c>
      <c r="E709" s="3" t="s">
        <v>50</v>
      </c>
      <c r="F709" s="2">
        <v>1</v>
      </c>
      <c r="G709" s="4">
        <v>1.0273436276505779</v>
      </c>
      <c r="H709" s="2">
        <v>25</v>
      </c>
      <c r="I709" s="2">
        <v>5</v>
      </c>
      <c r="J709" s="2">
        <v>1</v>
      </c>
      <c r="K709" s="4">
        <v>1</v>
      </c>
      <c r="L709" s="4">
        <v>0.15536698815849992</v>
      </c>
      <c r="M709" s="4">
        <v>0.15536698815849992</v>
      </c>
      <c r="N709" s="10">
        <v>0.155</v>
      </c>
      <c r="O709" s="4">
        <v>0.77658904650823135</v>
      </c>
      <c r="P709" s="4">
        <v>0.77</v>
      </c>
      <c r="Q709" s="3" t="s">
        <v>1597</v>
      </c>
      <c r="R709" s="3" t="s">
        <v>1602</v>
      </c>
      <c r="S709" s="3" t="s">
        <v>1603</v>
      </c>
      <c r="T709" s="3"/>
    </row>
    <row r="710" spans="1:20">
      <c r="A710" s="3" t="s">
        <v>1600</v>
      </c>
      <c r="B710" s="3" t="s">
        <v>1601</v>
      </c>
      <c r="C710" s="3" t="s">
        <v>1616</v>
      </c>
      <c r="D710" s="3" t="s">
        <v>49</v>
      </c>
      <c r="E710" s="3" t="s">
        <v>50</v>
      </c>
      <c r="F710" s="2">
        <v>1</v>
      </c>
      <c r="G710" s="4">
        <v>1.0273436276505779</v>
      </c>
      <c r="H710" s="2">
        <v>25</v>
      </c>
      <c r="I710" s="2">
        <v>5</v>
      </c>
      <c r="J710" s="2">
        <v>16</v>
      </c>
      <c r="K710" s="4">
        <v>1</v>
      </c>
      <c r="L710" s="4">
        <v>0.14898922903262776</v>
      </c>
      <c r="M710" s="4">
        <v>0.14898922903262776</v>
      </c>
      <c r="N710" s="10">
        <v>0.14899999999999999</v>
      </c>
      <c r="O710" s="4">
        <v>0.74421876589779423</v>
      </c>
      <c r="P710" s="4">
        <v>0.74</v>
      </c>
      <c r="Q710" s="3" t="s">
        <v>1597</v>
      </c>
      <c r="R710" s="3" t="s">
        <v>1602</v>
      </c>
      <c r="S710" s="3" t="s">
        <v>1603</v>
      </c>
      <c r="T710" s="3"/>
    </row>
    <row r="711" spans="1:20">
      <c r="A711" s="3" t="s">
        <v>1600</v>
      </c>
      <c r="B711" s="3" t="s">
        <v>1601</v>
      </c>
      <c r="C711" s="3" t="s">
        <v>1596</v>
      </c>
      <c r="D711" s="3" t="s">
        <v>49</v>
      </c>
      <c r="E711" s="3" t="s">
        <v>50</v>
      </c>
      <c r="F711" s="2">
        <v>1</v>
      </c>
      <c r="G711" s="4">
        <v>1.0273436276505779</v>
      </c>
      <c r="H711" s="2">
        <v>25</v>
      </c>
      <c r="I711" s="2">
        <v>5</v>
      </c>
      <c r="J711" s="2">
        <v>1</v>
      </c>
      <c r="K711" s="4">
        <v>0.27049069917237711</v>
      </c>
      <c r="L711" s="4">
        <v>9.3647304259120628E-2</v>
      </c>
      <c r="M711" s="4">
        <v>9.3647304259120628E-2</v>
      </c>
      <c r="N711" s="10">
        <v>9.4E-2</v>
      </c>
      <c r="O711" s="4">
        <v>0.46566182846442611</v>
      </c>
      <c r="P711" s="4">
        <v>0.47</v>
      </c>
      <c r="Q711" s="3" t="s">
        <v>1597</v>
      </c>
      <c r="R711" s="3" t="s">
        <v>1602</v>
      </c>
      <c r="S711" s="3" t="s">
        <v>1603</v>
      </c>
      <c r="T711" s="3"/>
    </row>
    <row r="712" spans="1:20">
      <c r="A712" s="12" t="s">
        <v>1605</v>
      </c>
      <c r="B712" s="3" t="s">
        <v>1601</v>
      </c>
      <c r="C712" s="3" t="s">
        <v>1596</v>
      </c>
      <c r="D712" s="3" t="s">
        <v>49</v>
      </c>
      <c r="E712" s="3" t="s">
        <v>50</v>
      </c>
      <c r="F712" s="2">
        <v>1</v>
      </c>
      <c r="G712" s="4">
        <v>1.0273436276505779</v>
      </c>
      <c r="H712" s="2">
        <v>25</v>
      </c>
      <c r="I712" s="2">
        <v>5</v>
      </c>
      <c r="J712" s="2">
        <v>16</v>
      </c>
      <c r="K712" s="11">
        <v>1</v>
      </c>
      <c r="L712" s="11">
        <v>8.9791387750412122E-2</v>
      </c>
      <c r="M712" s="4">
        <v>8.9791387750412122E-2</v>
      </c>
      <c r="N712" s="10">
        <v>0.09</v>
      </c>
      <c r="O712" s="4">
        <v>0.44638222668212468</v>
      </c>
      <c r="P712" s="4">
        <v>0.45</v>
      </c>
      <c r="Q712" s="3" t="s">
        <v>1597</v>
      </c>
      <c r="R712" s="3" t="s">
        <v>1602</v>
      </c>
      <c r="S712" s="3" t="s">
        <v>1603</v>
      </c>
      <c r="T712" s="3"/>
    </row>
    <row r="713" spans="1:20">
      <c r="A713" s="3" t="s">
        <v>1600</v>
      </c>
      <c r="B713" s="3" t="s">
        <v>1601</v>
      </c>
      <c r="C713" s="3" t="s">
        <v>1596</v>
      </c>
      <c r="D713" s="3" t="s">
        <v>49</v>
      </c>
      <c r="E713" s="3" t="s">
        <v>50</v>
      </c>
      <c r="F713" s="2">
        <v>1</v>
      </c>
      <c r="G713" s="4">
        <v>1.0273436276505779</v>
      </c>
      <c r="H713" s="2">
        <v>25</v>
      </c>
      <c r="I713" s="2">
        <v>5</v>
      </c>
      <c r="J713" s="2">
        <v>16</v>
      </c>
      <c r="K713" s="4">
        <v>1</v>
      </c>
      <c r="L713" s="4">
        <v>5.4819872077781467E-2</v>
      </c>
      <c r="M713" s="4">
        <v>5.4819872077781467E-2</v>
      </c>
      <c r="N713" s="10">
        <v>5.5E-2</v>
      </c>
      <c r="O713" s="4">
        <v>0.27206619467452919</v>
      </c>
      <c r="P713" s="4">
        <v>0.27</v>
      </c>
      <c r="Q713" s="3" t="s">
        <v>1597</v>
      </c>
      <c r="R713" s="3" t="s">
        <v>1602</v>
      </c>
      <c r="S713" s="3" t="s">
        <v>1603</v>
      </c>
      <c r="T713" s="3"/>
    </row>
    <row r="714" spans="1:20">
      <c r="A714" s="3" t="s">
        <v>1604</v>
      </c>
      <c r="B714" s="3" t="s">
        <v>1601</v>
      </c>
      <c r="C714" s="3" t="s">
        <v>1616</v>
      </c>
      <c r="D714" s="3" t="s">
        <v>49</v>
      </c>
      <c r="E714" s="3" t="s">
        <v>50</v>
      </c>
      <c r="F714" s="2">
        <v>1</v>
      </c>
      <c r="G714" s="4">
        <v>1.0273436276505779</v>
      </c>
      <c r="H714" s="2">
        <v>25</v>
      </c>
      <c r="I714" s="2">
        <v>30</v>
      </c>
      <c r="J714" s="2">
        <v>16</v>
      </c>
      <c r="K714" s="4">
        <v>1</v>
      </c>
      <c r="L714" s="4">
        <v>2.8657690906855493E-2</v>
      </c>
      <c r="M714" s="4">
        <v>2.8657690906855493E-2</v>
      </c>
      <c r="N714" s="10">
        <v>2.9000000000000001E-2</v>
      </c>
      <c r="O714" s="4">
        <v>0.14212192248238764</v>
      </c>
      <c r="P714" s="4">
        <v>0.14000000000000001</v>
      </c>
      <c r="Q714" s="3" t="s">
        <v>1597</v>
      </c>
      <c r="R714" s="3" t="s">
        <v>1602</v>
      </c>
      <c r="S714" s="3" t="s">
        <v>1603</v>
      </c>
      <c r="T714" s="3"/>
    </row>
    <row r="715" spans="1:20">
      <c r="A715" s="3" t="s">
        <v>1604</v>
      </c>
      <c r="B715" s="3" t="s">
        <v>1601</v>
      </c>
      <c r="C715" s="3" t="s">
        <v>1596</v>
      </c>
      <c r="D715" s="3" t="s">
        <v>49</v>
      </c>
      <c r="E715" s="3" t="s">
        <v>50</v>
      </c>
      <c r="F715" s="2">
        <v>1</v>
      </c>
      <c r="G715" s="4">
        <v>1.0273436276505779</v>
      </c>
      <c r="H715" s="2">
        <v>25</v>
      </c>
      <c r="I715" s="2">
        <v>30</v>
      </c>
      <c r="J715" s="2">
        <v>16</v>
      </c>
      <c r="K715" s="4">
        <v>1</v>
      </c>
      <c r="L715" s="4">
        <v>-4.8351782327738048E-2</v>
      </c>
      <c r="M715" s="4">
        <v>4.8351782327738048E-2</v>
      </c>
      <c r="N715" s="10">
        <v>4.8000000000000001E-2</v>
      </c>
      <c r="O715" s="4">
        <v>0.2399121390113915</v>
      </c>
      <c r="P715" s="4">
        <v>-0.24</v>
      </c>
      <c r="Q715" s="3" t="s">
        <v>1617</v>
      </c>
      <c r="R715" s="3" t="s">
        <v>1618</v>
      </c>
      <c r="S715" s="3" t="s">
        <v>1619</v>
      </c>
      <c r="T715" s="3"/>
    </row>
    <row r="716" spans="1:20">
      <c r="A716" s="3" t="s">
        <v>1594</v>
      </c>
      <c r="B716" s="3" t="s">
        <v>1595</v>
      </c>
      <c r="C716" s="3" t="s">
        <v>1596</v>
      </c>
      <c r="D716" s="3" t="s">
        <v>49</v>
      </c>
      <c r="E716" s="3" t="s">
        <v>50</v>
      </c>
      <c r="F716" s="2">
        <v>1</v>
      </c>
      <c r="G716" s="4">
        <v>1.0273436276505779</v>
      </c>
      <c r="H716" s="2">
        <v>50</v>
      </c>
      <c r="I716" s="2">
        <v>5</v>
      </c>
      <c r="J716" s="2">
        <v>16</v>
      </c>
      <c r="K716" s="4">
        <v>0.90690338953604399</v>
      </c>
      <c r="L716" s="14">
        <v>-0.10669722503439673</v>
      </c>
      <c r="M716" s="4">
        <v>0.10669722503439673</v>
      </c>
      <c r="N716" s="10">
        <v>0.107</v>
      </c>
      <c r="O716" s="4">
        <v>0.57554548495591296</v>
      </c>
      <c r="P716" s="4">
        <v>-0.57999999999999996</v>
      </c>
      <c r="Q716" s="3" t="s">
        <v>1617</v>
      </c>
      <c r="R716" s="3" t="s">
        <v>1625</v>
      </c>
      <c r="S716" s="3" t="s">
        <v>1626</v>
      </c>
      <c r="T716" s="3"/>
    </row>
    <row r="717" spans="1:20">
      <c r="A717" s="3" t="s">
        <v>1594</v>
      </c>
      <c r="B717" s="3" t="s">
        <v>1612</v>
      </c>
      <c r="C717" s="3" t="s">
        <v>1596</v>
      </c>
      <c r="D717" s="3" t="s">
        <v>49</v>
      </c>
      <c r="E717" s="3" t="s">
        <v>50</v>
      </c>
      <c r="F717" s="2">
        <v>1</v>
      </c>
      <c r="G717" s="4">
        <v>1.0273436276505779</v>
      </c>
      <c r="H717" s="2">
        <v>50</v>
      </c>
      <c r="I717" s="2">
        <v>5</v>
      </c>
      <c r="J717" s="2">
        <v>16</v>
      </c>
      <c r="K717" s="4">
        <v>0.27838170803090262</v>
      </c>
      <c r="L717" s="14">
        <v>-0.11060981214351626</v>
      </c>
      <c r="M717" s="4">
        <v>0.11060981214351626</v>
      </c>
      <c r="N717" s="10">
        <v>0.111</v>
      </c>
      <c r="O717" s="4">
        <v>0.59682160865307954</v>
      </c>
      <c r="P717" s="4">
        <v>-0.6</v>
      </c>
      <c r="Q717" s="3" t="s">
        <v>1617</v>
      </c>
      <c r="R717" s="3" t="s">
        <v>1627</v>
      </c>
      <c r="S717" s="3" t="s">
        <v>1628</v>
      </c>
      <c r="T717" s="3"/>
    </row>
    <row r="718" spans="1:20">
      <c r="A718" s="3" t="s">
        <v>1600</v>
      </c>
      <c r="B718" s="3" t="s">
        <v>1609</v>
      </c>
      <c r="C718" s="3" t="s">
        <v>1616</v>
      </c>
      <c r="D718" s="3" t="s">
        <v>49</v>
      </c>
      <c r="E718" s="3" t="s">
        <v>50</v>
      </c>
      <c r="F718" s="2">
        <v>1</v>
      </c>
      <c r="G718" s="4">
        <v>1.0273436276505779</v>
      </c>
      <c r="H718" s="2">
        <v>25</v>
      </c>
      <c r="I718" s="2">
        <v>5</v>
      </c>
      <c r="J718" s="2">
        <v>16</v>
      </c>
      <c r="K718" s="11">
        <v>1</v>
      </c>
      <c r="L718" s="11">
        <v>-0.12038015880643226</v>
      </c>
      <c r="M718" s="4">
        <v>0.12038015880643226</v>
      </c>
      <c r="N718" s="10">
        <v>0.12</v>
      </c>
      <c r="O718" s="4">
        <v>0.5997454933531039</v>
      </c>
      <c r="P718" s="4">
        <v>-0.6</v>
      </c>
      <c r="Q718" s="3" t="s">
        <v>1617</v>
      </c>
      <c r="R718" s="3" t="s">
        <v>1623</v>
      </c>
      <c r="S718" s="3" t="s">
        <v>1624</v>
      </c>
      <c r="T718" s="3"/>
    </row>
    <row r="719" spans="1:20">
      <c r="A719" s="3" t="s">
        <v>1600</v>
      </c>
      <c r="B719" s="3" t="s">
        <v>1609</v>
      </c>
      <c r="C719" s="3" t="s">
        <v>1616</v>
      </c>
      <c r="D719" s="3" t="s">
        <v>49</v>
      </c>
      <c r="E719" s="3" t="s">
        <v>50</v>
      </c>
      <c r="F719" s="2">
        <v>1</v>
      </c>
      <c r="G719" s="4">
        <v>1.0273436276505779</v>
      </c>
      <c r="H719" s="2">
        <v>25</v>
      </c>
      <c r="I719" s="2">
        <v>5</v>
      </c>
      <c r="J719" s="2">
        <v>1</v>
      </c>
      <c r="K719" s="4">
        <v>0.94300700277727012</v>
      </c>
      <c r="L719" s="4">
        <v>-0.15339146520626001</v>
      </c>
      <c r="M719" s="4">
        <v>0.15339146520626001</v>
      </c>
      <c r="N719" s="10">
        <v>0.153</v>
      </c>
      <c r="O719" s="4">
        <v>0.76655539438567544</v>
      </c>
      <c r="P719" s="4">
        <v>-0.76</v>
      </c>
      <c r="Q719" s="3" t="s">
        <v>1617</v>
      </c>
      <c r="R719" s="3" t="s">
        <v>1623</v>
      </c>
      <c r="S719" s="3" t="s">
        <v>1624</v>
      </c>
      <c r="T719" s="3"/>
    </row>
    <row r="720" spans="1:20">
      <c r="A720" s="3" t="s">
        <v>1600</v>
      </c>
      <c r="B720" s="3" t="s">
        <v>1609</v>
      </c>
      <c r="C720" s="3" t="s">
        <v>1596</v>
      </c>
      <c r="D720" s="3" t="s">
        <v>49</v>
      </c>
      <c r="E720" s="3" t="s">
        <v>50</v>
      </c>
      <c r="F720" s="2">
        <v>1</v>
      </c>
      <c r="G720" s="4">
        <v>1.0273436276505779</v>
      </c>
      <c r="H720" s="2">
        <v>25</v>
      </c>
      <c r="I720" s="2">
        <v>5</v>
      </c>
      <c r="J720" s="2">
        <v>16</v>
      </c>
      <c r="K720" s="4">
        <v>1</v>
      </c>
      <c r="L720" s="4">
        <v>-0.49021996074952934</v>
      </c>
      <c r="M720" s="4">
        <v>0.49021996074952934</v>
      </c>
      <c r="N720" s="10">
        <v>0.49</v>
      </c>
      <c r="O720" s="4">
        <v>2.6591883571744863</v>
      </c>
      <c r="P720" s="4">
        <v>-2.66</v>
      </c>
      <c r="Q720" s="3" t="s">
        <v>1617</v>
      </c>
      <c r="R720" s="3" t="s">
        <v>1623</v>
      </c>
      <c r="S720" s="3" t="s">
        <v>1624</v>
      </c>
      <c r="T720" s="3"/>
    </row>
    <row r="721" spans="1:20">
      <c r="A721" s="3" t="s">
        <v>1600</v>
      </c>
      <c r="B721" s="3" t="s">
        <v>1609</v>
      </c>
      <c r="C721" s="3" t="s">
        <v>1596</v>
      </c>
      <c r="D721" s="3" t="s">
        <v>49</v>
      </c>
      <c r="E721" s="3" t="s">
        <v>50</v>
      </c>
      <c r="F721" s="2">
        <v>1</v>
      </c>
      <c r="G721" s="4">
        <v>1.0273436276505779</v>
      </c>
      <c r="H721" s="2">
        <v>25</v>
      </c>
      <c r="I721" s="2">
        <v>5</v>
      </c>
      <c r="J721" s="2">
        <v>1</v>
      </c>
      <c r="K721" s="11">
        <v>1</v>
      </c>
      <c r="L721" s="11">
        <v>-0.53192751120646042</v>
      </c>
      <c r="M721" s="4">
        <v>0.53192751120646042</v>
      </c>
      <c r="N721" s="10">
        <v>0.53200000000000003</v>
      </c>
      <c r="O721" s="4">
        <v>2.9392105759550016</v>
      </c>
      <c r="P721" s="4">
        <v>-2.94</v>
      </c>
      <c r="Q721" s="3" t="s">
        <v>1617</v>
      </c>
      <c r="R721" s="3" t="s">
        <v>1623</v>
      </c>
      <c r="S721" s="3" t="s">
        <v>1624</v>
      </c>
      <c r="T721" s="3"/>
    </row>
    <row r="722" spans="1:20">
      <c r="A722" s="3" t="s">
        <v>1600</v>
      </c>
      <c r="B722" s="3" t="s">
        <v>1609</v>
      </c>
      <c r="C722" s="3" t="s">
        <v>1596</v>
      </c>
      <c r="D722" s="3" t="s">
        <v>792</v>
      </c>
      <c r="E722" s="3" t="s">
        <v>793</v>
      </c>
      <c r="F722" s="2">
        <v>1</v>
      </c>
      <c r="G722" s="4">
        <v>1.0274453090430296</v>
      </c>
      <c r="H722" s="2">
        <v>25</v>
      </c>
      <c r="I722" s="2">
        <v>5</v>
      </c>
      <c r="J722" s="2">
        <v>1</v>
      </c>
      <c r="K722" s="11">
        <v>4.2385972797413296E-2</v>
      </c>
      <c r="L722" s="11">
        <v>0.34431746668733981</v>
      </c>
      <c r="M722" s="4">
        <v>0.34431746668733981</v>
      </c>
      <c r="N722" s="10">
        <v>0.34399999999999997</v>
      </c>
      <c r="O722" s="4">
        <v>1.7798123233875587</v>
      </c>
      <c r="P722" s="4">
        <v>1.78</v>
      </c>
      <c r="Q722" s="3" t="s">
        <v>1597</v>
      </c>
      <c r="R722" s="3" t="s">
        <v>1610</v>
      </c>
      <c r="S722" s="3" t="s">
        <v>1611</v>
      </c>
      <c r="T722" s="3"/>
    </row>
    <row r="723" spans="1:20">
      <c r="A723" s="3" t="s">
        <v>1594</v>
      </c>
      <c r="B723" s="3" t="s">
        <v>1612</v>
      </c>
      <c r="C723" s="3" t="s">
        <v>1596</v>
      </c>
      <c r="D723" s="3" t="s">
        <v>792</v>
      </c>
      <c r="E723" s="3" t="s">
        <v>793</v>
      </c>
      <c r="F723" s="2">
        <v>1</v>
      </c>
      <c r="G723" s="4">
        <v>1.0274453090430296</v>
      </c>
      <c r="H723" s="2">
        <v>50</v>
      </c>
      <c r="I723" s="2">
        <v>5</v>
      </c>
      <c r="J723" s="2">
        <v>16</v>
      </c>
      <c r="K723" s="4">
        <v>1.3914972260174251E-2</v>
      </c>
      <c r="L723" s="14">
        <v>0.26240765450580922</v>
      </c>
      <c r="M723" s="4">
        <v>0.26240765450580922</v>
      </c>
      <c r="N723" s="10">
        <v>0.26200000000000001</v>
      </c>
      <c r="O723" s="4">
        <v>1.4438617470803434</v>
      </c>
      <c r="P723" s="4">
        <v>1.44</v>
      </c>
      <c r="Q723" s="3" t="s">
        <v>1597</v>
      </c>
      <c r="R723" s="3" t="s">
        <v>1613</v>
      </c>
      <c r="S723" s="3" t="s">
        <v>1614</v>
      </c>
      <c r="T723" s="3"/>
    </row>
    <row r="724" spans="1:20">
      <c r="A724" s="12" t="s">
        <v>1605</v>
      </c>
      <c r="B724" s="3" t="s">
        <v>1601</v>
      </c>
      <c r="C724" s="3" t="s">
        <v>1596</v>
      </c>
      <c r="D724" s="3" t="s">
        <v>792</v>
      </c>
      <c r="E724" s="3" t="s">
        <v>793</v>
      </c>
      <c r="F724" s="2">
        <v>1</v>
      </c>
      <c r="G724" s="4">
        <v>1.0274453090430296</v>
      </c>
      <c r="H724" s="2">
        <v>25</v>
      </c>
      <c r="I724" s="2">
        <v>5</v>
      </c>
      <c r="J724" s="2">
        <v>16</v>
      </c>
      <c r="K724" s="11">
        <v>0.90259897088123031</v>
      </c>
      <c r="L724" s="11">
        <v>0.10096523486188688</v>
      </c>
      <c r="M724" s="4">
        <v>0.10096523486188688</v>
      </c>
      <c r="N724" s="10">
        <v>0.10100000000000001</v>
      </c>
      <c r="O724" s="4">
        <v>0.50229065271226259</v>
      </c>
      <c r="P724" s="4">
        <v>0.5</v>
      </c>
      <c r="Q724" s="3" t="s">
        <v>1597</v>
      </c>
      <c r="R724" s="3" t="s">
        <v>1602</v>
      </c>
      <c r="S724" s="3" t="s">
        <v>1603</v>
      </c>
      <c r="T724" s="3"/>
    </row>
    <row r="725" spans="1:20">
      <c r="A725" s="3" t="s">
        <v>1594</v>
      </c>
      <c r="B725" s="3" t="s">
        <v>1595</v>
      </c>
      <c r="C725" s="3" t="s">
        <v>1596</v>
      </c>
      <c r="D725" s="3" t="s">
        <v>792</v>
      </c>
      <c r="E725" s="3" t="s">
        <v>793</v>
      </c>
      <c r="F725" s="2">
        <v>1</v>
      </c>
      <c r="G725" s="4">
        <v>1.0274453090430296</v>
      </c>
      <c r="H725" s="2">
        <v>50</v>
      </c>
      <c r="I725" s="2">
        <v>5</v>
      </c>
      <c r="J725" s="2">
        <v>16</v>
      </c>
      <c r="K725" s="4">
        <v>0.2248785887503196</v>
      </c>
      <c r="L725" s="14">
        <v>3.6295608747526908E-2</v>
      </c>
      <c r="M725" s="4">
        <v>3.6295608747526908E-2</v>
      </c>
      <c r="N725" s="10">
        <v>3.5999999999999997E-2</v>
      </c>
      <c r="O725" s="4">
        <v>0.19512602449224289</v>
      </c>
      <c r="P725" s="4">
        <v>0.19</v>
      </c>
      <c r="Q725" s="3" t="s">
        <v>1597</v>
      </c>
      <c r="R725" s="3" t="s">
        <v>1598</v>
      </c>
      <c r="S725" s="3" t="s">
        <v>1599</v>
      </c>
      <c r="T725" s="3"/>
    </row>
    <row r="726" spans="1:20">
      <c r="A726" s="3" t="s">
        <v>1600</v>
      </c>
      <c r="B726" s="3" t="s">
        <v>1609</v>
      </c>
      <c r="C726" s="3" t="s">
        <v>1596</v>
      </c>
      <c r="D726" s="3" t="s">
        <v>792</v>
      </c>
      <c r="E726" s="3" t="s">
        <v>793</v>
      </c>
      <c r="F726" s="2">
        <v>1</v>
      </c>
      <c r="G726" s="4">
        <v>1.0274453090430296</v>
      </c>
      <c r="H726" s="2">
        <v>25</v>
      </c>
      <c r="I726" s="2">
        <v>5</v>
      </c>
      <c r="J726" s="2">
        <v>16</v>
      </c>
      <c r="K726" s="4">
        <v>0.5780911215568787</v>
      </c>
      <c r="L726" s="4">
        <v>1.0743715249122678E-2</v>
      </c>
      <c r="M726" s="4">
        <v>1.0743715249122678E-2</v>
      </c>
      <c r="N726" s="10">
        <v>1.0999999999999999E-2</v>
      </c>
      <c r="O726" s="4">
        <v>5.3268705987151097E-2</v>
      </c>
      <c r="P726" s="4">
        <v>0.05</v>
      </c>
      <c r="Q726" s="3" t="s">
        <v>1597</v>
      </c>
      <c r="R726" s="3" t="s">
        <v>1610</v>
      </c>
      <c r="S726" s="3" t="s">
        <v>1611</v>
      </c>
      <c r="T726" s="3"/>
    </row>
    <row r="727" spans="1:20">
      <c r="A727" s="3" t="s">
        <v>1600</v>
      </c>
      <c r="B727" s="3" t="s">
        <v>1601</v>
      </c>
      <c r="C727" s="3" t="s">
        <v>1596</v>
      </c>
      <c r="D727" s="3" t="s">
        <v>792</v>
      </c>
      <c r="E727" s="3" t="s">
        <v>793</v>
      </c>
      <c r="F727" s="2">
        <v>1</v>
      </c>
      <c r="G727" s="4">
        <v>1.0274453090430296</v>
      </c>
      <c r="H727" s="2">
        <v>25</v>
      </c>
      <c r="I727" s="2">
        <v>5</v>
      </c>
      <c r="J727" s="2">
        <v>16</v>
      </c>
      <c r="K727" s="4">
        <v>0.88529529097177051</v>
      </c>
      <c r="L727" s="4">
        <v>-2.2125781977076209E-3</v>
      </c>
      <c r="M727" s="4">
        <v>2.2125781977076209E-3</v>
      </c>
      <c r="N727" s="10">
        <v>2E-3</v>
      </c>
      <c r="O727" s="4">
        <v>1.0969839774613875E-2</v>
      </c>
      <c r="P727" s="4">
        <v>-0.01</v>
      </c>
      <c r="Q727" s="3" t="s">
        <v>1617</v>
      </c>
      <c r="R727" s="3" t="s">
        <v>1618</v>
      </c>
      <c r="S727" s="3" t="s">
        <v>1619</v>
      </c>
      <c r="T727" s="3"/>
    </row>
    <row r="728" spans="1:20">
      <c r="A728" s="3" t="s">
        <v>1600</v>
      </c>
      <c r="B728" s="3" t="s">
        <v>1606</v>
      </c>
      <c r="C728" s="3" t="s">
        <v>1596</v>
      </c>
      <c r="D728" s="3" t="s">
        <v>792</v>
      </c>
      <c r="E728" s="3" t="s">
        <v>793</v>
      </c>
      <c r="F728" s="2">
        <v>1</v>
      </c>
      <c r="G728" s="4">
        <v>1.0274453090430296</v>
      </c>
      <c r="H728" s="2">
        <v>25</v>
      </c>
      <c r="I728" s="2">
        <v>5</v>
      </c>
      <c r="J728" s="2">
        <v>16</v>
      </c>
      <c r="K728" s="11">
        <v>1</v>
      </c>
      <c r="L728" s="11">
        <v>-0.10462382750772564</v>
      </c>
      <c r="M728" s="4">
        <v>0.10462382750772564</v>
      </c>
      <c r="N728" s="10">
        <v>0.105</v>
      </c>
      <c r="O728" s="4">
        <v>0.52062346107655799</v>
      </c>
      <c r="P728" s="4">
        <v>-0.52</v>
      </c>
      <c r="Q728" s="3" t="s">
        <v>1617</v>
      </c>
      <c r="R728" s="3" t="s">
        <v>1621</v>
      </c>
      <c r="S728" s="3" t="s">
        <v>1622</v>
      </c>
      <c r="T728" s="3"/>
    </row>
    <row r="729" spans="1:20">
      <c r="A729" s="3" t="s">
        <v>1600</v>
      </c>
      <c r="B729" s="3" t="s">
        <v>1601</v>
      </c>
      <c r="C729" s="3" t="s">
        <v>1596</v>
      </c>
      <c r="D729" s="3" t="s">
        <v>792</v>
      </c>
      <c r="E729" s="3" t="s">
        <v>793</v>
      </c>
      <c r="F729" s="2">
        <v>1</v>
      </c>
      <c r="G729" s="4">
        <v>1.0274453090430296</v>
      </c>
      <c r="H729" s="2">
        <v>25</v>
      </c>
      <c r="I729" s="2">
        <v>5</v>
      </c>
      <c r="J729" s="2">
        <v>1</v>
      </c>
      <c r="K729" s="4">
        <v>5.1267043222722353E-2</v>
      </c>
      <c r="L729" s="4">
        <v>-0.13345009825187246</v>
      </c>
      <c r="M729" s="4">
        <v>0.13345009825187246</v>
      </c>
      <c r="N729" s="10">
        <v>0.13300000000000001</v>
      </c>
      <c r="O729" s="4">
        <v>0.66560728570986494</v>
      </c>
      <c r="P729" s="4">
        <v>-0.66</v>
      </c>
      <c r="Q729" s="3" t="s">
        <v>1617</v>
      </c>
      <c r="R729" s="3" t="s">
        <v>1618</v>
      </c>
      <c r="S729" s="3" t="s">
        <v>1619</v>
      </c>
      <c r="T729" s="3"/>
    </row>
    <row r="730" spans="1:20">
      <c r="A730" s="3" t="s">
        <v>1604</v>
      </c>
      <c r="B730" s="3" t="s">
        <v>1601</v>
      </c>
      <c r="C730" s="3" t="s">
        <v>1596</v>
      </c>
      <c r="D730" s="3" t="s">
        <v>792</v>
      </c>
      <c r="E730" s="3" t="s">
        <v>793</v>
      </c>
      <c r="F730" s="2">
        <v>1</v>
      </c>
      <c r="G730" s="4">
        <v>1.0274453090430296</v>
      </c>
      <c r="H730" s="2">
        <v>25</v>
      </c>
      <c r="I730" s="2">
        <v>30</v>
      </c>
      <c r="J730" s="2">
        <v>16</v>
      </c>
      <c r="K730" s="4">
        <v>1</v>
      </c>
      <c r="L730" s="4">
        <v>-0.18167744423462426</v>
      </c>
      <c r="M730" s="4">
        <v>0.18167744423462426</v>
      </c>
      <c r="N730" s="10">
        <v>0.182</v>
      </c>
      <c r="O730" s="4">
        <v>0.91085642288366286</v>
      </c>
      <c r="P730" s="4">
        <v>-0.91</v>
      </c>
      <c r="Q730" s="3" t="s">
        <v>1617</v>
      </c>
      <c r="R730" s="3" t="s">
        <v>1618</v>
      </c>
      <c r="S730" s="3" t="s">
        <v>1619</v>
      </c>
      <c r="T730" s="3"/>
    </row>
    <row r="731" spans="1:20">
      <c r="A731" s="3" t="s">
        <v>1600</v>
      </c>
      <c r="B731" s="3" t="s">
        <v>1606</v>
      </c>
      <c r="C731" s="3" t="s">
        <v>1596</v>
      </c>
      <c r="D731" s="3" t="s">
        <v>792</v>
      </c>
      <c r="E731" s="3" t="s">
        <v>793</v>
      </c>
      <c r="F731" s="2">
        <v>1</v>
      </c>
      <c r="G731" s="4">
        <v>1.0274453090430296</v>
      </c>
      <c r="H731" s="2">
        <v>25</v>
      </c>
      <c r="I731" s="2">
        <v>5</v>
      </c>
      <c r="J731" s="2">
        <v>1</v>
      </c>
      <c r="K731" s="11">
        <v>0.17803722067030925</v>
      </c>
      <c r="L731" s="11">
        <v>-0.32714669051878353</v>
      </c>
      <c r="M731" s="4">
        <v>0.32714669051878353</v>
      </c>
      <c r="N731" s="10">
        <v>0.32700000000000001</v>
      </c>
      <c r="O731" s="4">
        <v>1.6838620147706116</v>
      </c>
      <c r="P731" s="4">
        <v>-1.68</v>
      </c>
      <c r="Q731" s="3" t="s">
        <v>1617</v>
      </c>
      <c r="R731" s="3" t="s">
        <v>1621</v>
      </c>
      <c r="S731" s="3" t="s">
        <v>1622</v>
      </c>
      <c r="T731" s="3"/>
    </row>
    <row r="732" spans="1:20">
      <c r="A732" s="3" t="s">
        <v>1600</v>
      </c>
      <c r="B732" s="3" t="s">
        <v>1609</v>
      </c>
      <c r="C732" s="3" t="s">
        <v>1616</v>
      </c>
      <c r="D732" s="3" t="s">
        <v>792</v>
      </c>
      <c r="E732" s="3" t="s">
        <v>793</v>
      </c>
      <c r="F732" s="2">
        <v>1</v>
      </c>
      <c r="G732" s="4">
        <v>1.0274453090430296</v>
      </c>
      <c r="H732" s="2">
        <v>25</v>
      </c>
      <c r="I732" s="2">
        <v>5</v>
      </c>
      <c r="J732" s="2">
        <v>1</v>
      </c>
      <c r="K732" s="4">
        <v>0.63698715590787602</v>
      </c>
      <c r="L732" s="4">
        <v>-0.66492950744588353</v>
      </c>
      <c r="M732" s="4">
        <v>0.66492950744588353</v>
      </c>
      <c r="N732" s="10">
        <v>0.66500000000000004</v>
      </c>
      <c r="O732" s="4">
        <v>3.9742746596158129</v>
      </c>
      <c r="P732" s="4">
        <v>-3.97</v>
      </c>
      <c r="Q732" s="3" t="s">
        <v>1617</v>
      </c>
      <c r="R732" s="3" t="s">
        <v>1623</v>
      </c>
      <c r="S732" s="3" t="s">
        <v>1624</v>
      </c>
      <c r="T732" s="3"/>
    </row>
    <row r="733" spans="1:20">
      <c r="A733" s="3" t="s">
        <v>1600</v>
      </c>
      <c r="B733" s="3" t="s">
        <v>1609</v>
      </c>
      <c r="C733" s="3" t="s">
        <v>1616</v>
      </c>
      <c r="D733" s="3" t="s">
        <v>792</v>
      </c>
      <c r="E733" s="3" t="s">
        <v>793</v>
      </c>
      <c r="F733" s="2">
        <v>1</v>
      </c>
      <c r="G733" s="4">
        <v>1.0274453090430296</v>
      </c>
      <c r="H733" s="2">
        <v>25</v>
      </c>
      <c r="I733" s="2">
        <v>5</v>
      </c>
      <c r="J733" s="2">
        <v>16</v>
      </c>
      <c r="K733" s="11">
        <v>1</v>
      </c>
      <c r="L733" s="11">
        <v>-0.68177731395223651</v>
      </c>
      <c r="M733" s="4">
        <v>0.68177731395223651</v>
      </c>
      <c r="N733" s="10">
        <v>0.68200000000000005</v>
      </c>
      <c r="O733" s="4">
        <v>4.127122635024091</v>
      </c>
      <c r="P733" s="4">
        <v>-4.13</v>
      </c>
      <c r="Q733" s="3" t="s">
        <v>1617</v>
      </c>
      <c r="R733" s="3" t="s">
        <v>1623</v>
      </c>
      <c r="S733" s="3" t="s">
        <v>1624</v>
      </c>
      <c r="T733" s="3"/>
    </row>
    <row r="734" spans="1:20">
      <c r="A734" s="3" t="s">
        <v>1600</v>
      </c>
      <c r="B734" s="3" t="s">
        <v>1601</v>
      </c>
      <c r="C734" s="3" t="s">
        <v>1616</v>
      </c>
      <c r="D734" s="3" t="s">
        <v>792</v>
      </c>
      <c r="E734" s="3" t="s">
        <v>793</v>
      </c>
      <c r="F734" s="2">
        <v>1</v>
      </c>
      <c r="G734" s="4">
        <v>1.0274453090430296</v>
      </c>
      <c r="H734" s="2">
        <v>25</v>
      </c>
      <c r="I734" s="2">
        <v>5</v>
      </c>
      <c r="J734" s="2">
        <v>16</v>
      </c>
      <c r="K734" s="4">
        <v>1</v>
      </c>
      <c r="L734" s="4">
        <v>-0.72766491516950371</v>
      </c>
      <c r="M734" s="4">
        <v>0.72766491516950371</v>
      </c>
      <c r="N734" s="10">
        <v>0.72799999999999998</v>
      </c>
      <c r="O734" s="4">
        <v>4.579875800477728</v>
      </c>
      <c r="P734" s="4">
        <v>-4.58</v>
      </c>
      <c r="Q734" s="3" t="s">
        <v>1617</v>
      </c>
      <c r="R734" s="3" t="s">
        <v>1618</v>
      </c>
      <c r="S734" s="3" t="s">
        <v>1619</v>
      </c>
      <c r="T734" s="3"/>
    </row>
    <row r="735" spans="1:20">
      <c r="A735" s="3" t="s">
        <v>1604</v>
      </c>
      <c r="B735" s="3" t="s">
        <v>1601</v>
      </c>
      <c r="C735" s="3" t="s">
        <v>1616</v>
      </c>
      <c r="D735" s="3" t="s">
        <v>792</v>
      </c>
      <c r="E735" s="3" t="s">
        <v>793</v>
      </c>
      <c r="F735" s="2">
        <v>1</v>
      </c>
      <c r="G735" s="4">
        <v>1.0274453090430296</v>
      </c>
      <c r="H735" s="2">
        <v>25</v>
      </c>
      <c r="I735" s="2">
        <v>30</v>
      </c>
      <c r="J735" s="2">
        <v>16</v>
      </c>
      <c r="K735" s="4">
        <v>1</v>
      </c>
      <c r="L735" s="4">
        <v>-0.73482072910945662</v>
      </c>
      <c r="M735" s="4">
        <v>0.73482072910945662</v>
      </c>
      <c r="N735" s="10">
        <v>0.73499999999999999</v>
      </c>
      <c r="O735" s="4">
        <v>4.6561300801433125</v>
      </c>
      <c r="P735" s="4">
        <v>-4.66</v>
      </c>
      <c r="Q735" s="3" t="s">
        <v>1617</v>
      </c>
      <c r="R735" s="3" t="s">
        <v>1618</v>
      </c>
      <c r="S735" s="3" t="s">
        <v>1619</v>
      </c>
      <c r="T735" s="3"/>
    </row>
    <row r="736" spans="1:20">
      <c r="A736" s="3" t="s">
        <v>1600</v>
      </c>
      <c r="B736" s="3" t="s">
        <v>1601</v>
      </c>
      <c r="C736" s="3" t="s">
        <v>1616</v>
      </c>
      <c r="D736" s="3" t="s">
        <v>792</v>
      </c>
      <c r="E736" s="3" t="s">
        <v>793</v>
      </c>
      <c r="F736" s="2">
        <v>1</v>
      </c>
      <c r="G736" s="4">
        <v>1.0274453090430296</v>
      </c>
      <c r="H736" s="2">
        <v>25</v>
      </c>
      <c r="I736" s="2">
        <v>5</v>
      </c>
      <c r="J736" s="2">
        <v>1</v>
      </c>
      <c r="K736" s="4">
        <v>1</v>
      </c>
      <c r="L736" s="4">
        <v>-0.76044985318216229</v>
      </c>
      <c r="M736" s="4">
        <v>0.76044985318216229</v>
      </c>
      <c r="N736" s="10">
        <v>0.76</v>
      </c>
      <c r="O736" s="4">
        <v>4.9444554175205093</v>
      </c>
      <c r="P736" s="4">
        <v>-4.9400000000000004</v>
      </c>
      <c r="Q736" s="3" t="s">
        <v>1617</v>
      </c>
      <c r="R736" s="3" t="s">
        <v>1618</v>
      </c>
      <c r="S736" s="3" t="s">
        <v>1619</v>
      </c>
      <c r="T736" s="3"/>
    </row>
    <row r="737" spans="1:20">
      <c r="A737" s="3" t="s">
        <v>1600</v>
      </c>
      <c r="B737" s="3" t="s">
        <v>1606</v>
      </c>
      <c r="C737" s="3" t="s">
        <v>1616</v>
      </c>
      <c r="D737" s="3" t="s">
        <v>792</v>
      </c>
      <c r="E737" s="3" t="s">
        <v>793</v>
      </c>
      <c r="F737" s="2">
        <v>1</v>
      </c>
      <c r="G737" s="4">
        <v>1.0274453090430296</v>
      </c>
      <c r="H737" s="2">
        <v>25</v>
      </c>
      <c r="I737" s="2">
        <v>5</v>
      </c>
      <c r="J737" s="2">
        <v>16</v>
      </c>
      <c r="K737" s="11">
        <v>1</v>
      </c>
      <c r="L737" s="11">
        <v>-0.83938096525041606</v>
      </c>
      <c r="M737" s="4">
        <v>0.83938096525041606</v>
      </c>
      <c r="N737" s="10">
        <v>0.83899999999999997</v>
      </c>
      <c r="O737" s="4">
        <v>6.0440938880994937</v>
      </c>
      <c r="P737" s="4">
        <v>-6.04</v>
      </c>
      <c r="Q737" s="3" t="s">
        <v>1617</v>
      </c>
      <c r="R737" s="3" t="s">
        <v>1621</v>
      </c>
      <c r="S737" s="3" t="s">
        <v>1622</v>
      </c>
      <c r="T737" s="3"/>
    </row>
    <row r="738" spans="1:20">
      <c r="A738" s="3" t="s">
        <v>1600</v>
      </c>
      <c r="B738" s="3" t="s">
        <v>1606</v>
      </c>
      <c r="C738" s="3" t="s">
        <v>1616</v>
      </c>
      <c r="D738" s="3" t="s">
        <v>792</v>
      </c>
      <c r="E738" s="3" t="s">
        <v>793</v>
      </c>
      <c r="F738" s="2">
        <v>1</v>
      </c>
      <c r="G738" s="4">
        <v>1.0274453090430296</v>
      </c>
      <c r="H738" s="2">
        <v>25</v>
      </c>
      <c r="I738" s="2">
        <v>5</v>
      </c>
      <c r="J738" s="2">
        <v>1</v>
      </c>
      <c r="K738" s="4">
        <v>1</v>
      </c>
      <c r="L738" s="4">
        <v>-0.89605624010197382</v>
      </c>
      <c r="M738" s="4">
        <v>0.89605624010197382</v>
      </c>
      <c r="N738" s="10">
        <v>0.89600000000000002</v>
      </c>
      <c r="O738" s="4">
        <v>7.1981336872714943</v>
      </c>
      <c r="P738" s="4">
        <v>-7.2</v>
      </c>
      <c r="Q738" s="3" t="s">
        <v>1617</v>
      </c>
      <c r="R738" s="3" t="s">
        <v>1621</v>
      </c>
      <c r="S738" s="3" t="s">
        <v>1622</v>
      </c>
      <c r="T738" s="3"/>
    </row>
    <row r="739" spans="1:20">
      <c r="A739" s="3" t="s">
        <v>1600</v>
      </c>
      <c r="B739" s="3" t="s">
        <v>1606</v>
      </c>
      <c r="C739" s="3" t="s">
        <v>1616</v>
      </c>
      <c r="D739" s="3" t="s">
        <v>85</v>
      </c>
      <c r="E739" s="3" t="s">
        <v>86</v>
      </c>
      <c r="F739" s="2">
        <v>1</v>
      </c>
      <c r="G739" s="4">
        <v>1.0278604273735461</v>
      </c>
      <c r="H739" s="2">
        <v>25</v>
      </c>
      <c r="I739" s="2">
        <v>5</v>
      </c>
      <c r="J739" s="2">
        <v>16</v>
      </c>
      <c r="K739" s="11">
        <v>1</v>
      </c>
      <c r="L739" s="11">
        <v>0.37942620058106602</v>
      </c>
      <c r="M739" s="4">
        <v>0.37942620058106602</v>
      </c>
      <c r="N739" s="10">
        <v>0.379</v>
      </c>
      <c r="O739" s="4">
        <v>1.9801461383406735</v>
      </c>
      <c r="P739" s="4">
        <v>1.98</v>
      </c>
      <c r="Q739" s="3" t="s">
        <v>1597</v>
      </c>
      <c r="R739" s="3" t="s">
        <v>1607</v>
      </c>
      <c r="S739" s="3" t="s">
        <v>1608</v>
      </c>
      <c r="T739" s="3"/>
    </row>
    <row r="740" spans="1:20">
      <c r="A740" s="3" t="s">
        <v>1600</v>
      </c>
      <c r="B740" s="3" t="s">
        <v>1606</v>
      </c>
      <c r="C740" s="3" t="s">
        <v>1616</v>
      </c>
      <c r="D740" s="3" t="s">
        <v>85</v>
      </c>
      <c r="E740" s="3" t="s">
        <v>86</v>
      </c>
      <c r="F740" s="2">
        <v>1</v>
      </c>
      <c r="G740" s="4">
        <v>1.0278604273735461</v>
      </c>
      <c r="H740" s="2">
        <v>25</v>
      </c>
      <c r="I740" s="2">
        <v>5</v>
      </c>
      <c r="J740" s="2">
        <v>1</v>
      </c>
      <c r="K740" s="4">
        <v>1</v>
      </c>
      <c r="L740" s="4">
        <v>0.33292458820893839</v>
      </c>
      <c r="M740" s="4">
        <v>0.33292458820893839</v>
      </c>
      <c r="N740" s="10">
        <v>0.33300000000000002</v>
      </c>
      <c r="O740" s="4">
        <v>1.7160103015899337</v>
      </c>
      <c r="P740" s="4">
        <v>1.72</v>
      </c>
      <c r="Q740" s="3" t="s">
        <v>1597</v>
      </c>
      <c r="R740" s="3" t="s">
        <v>1607</v>
      </c>
      <c r="S740" s="3" t="s">
        <v>1608</v>
      </c>
      <c r="T740" s="3"/>
    </row>
    <row r="741" spans="1:20">
      <c r="A741" s="3" t="s">
        <v>1600</v>
      </c>
      <c r="B741" s="3" t="s">
        <v>1601</v>
      </c>
      <c r="C741" s="3" t="s">
        <v>1616</v>
      </c>
      <c r="D741" s="3" t="s">
        <v>85</v>
      </c>
      <c r="E741" s="3" t="s">
        <v>86</v>
      </c>
      <c r="F741" s="2">
        <v>1</v>
      </c>
      <c r="G741" s="4">
        <v>1.0278604273735461</v>
      </c>
      <c r="H741" s="2">
        <v>25</v>
      </c>
      <c r="I741" s="2">
        <v>5</v>
      </c>
      <c r="J741" s="2">
        <v>1</v>
      </c>
      <c r="K741" s="4">
        <v>1</v>
      </c>
      <c r="L741" s="4">
        <v>0.2948367633961006</v>
      </c>
      <c r="M741" s="4">
        <v>0.2948367633961006</v>
      </c>
      <c r="N741" s="10">
        <v>0.29499999999999998</v>
      </c>
      <c r="O741" s="4">
        <v>1.5064952307236319</v>
      </c>
      <c r="P741" s="4">
        <v>1.51</v>
      </c>
      <c r="Q741" s="3" t="s">
        <v>1597</v>
      </c>
      <c r="R741" s="3" t="s">
        <v>1602</v>
      </c>
      <c r="S741" s="3" t="s">
        <v>1603</v>
      </c>
      <c r="T741" s="3"/>
    </row>
    <row r="742" spans="1:20">
      <c r="A742" s="3" t="s">
        <v>1600</v>
      </c>
      <c r="B742" s="3" t="s">
        <v>1601</v>
      </c>
      <c r="C742" s="3" t="s">
        <v>1616</v>
      </c>
      <c r="D742" s="3" t="s">
        <v>85</v>
      </c>
      <c r="E742" s="3" t="s">
        <v>86</v>
      </c>
      <c r="F742" s="2">
        <v>1</v>
      </c>
      <c r="G742" s="4">
        <v>1.0278604273735461</v>
      </c>
      <c r="H742" s="2">
        <v>25</v>
      </c>
      <c r="I742" s="2">
        <v>5</v>
      </c>
      <c r="J742" s="2">
        <v>16</v>
      </c>
      <c r="K742" s="4">
        <v>1</v>
      </c>
      <c r="L742" s="4">
        <v>0.26811281785831159</v>
      </c>
      <c r="M742" s="4">
        <v>0.26811281785831159</v>
      </c>
      <c r="N742" s="10">
        <v>0.26800000000000002</v>
      </c>
      <c r="O742" s="4">
        <v>1.3625864858599352</v>
      </c>
      <c r="P742" s="4">
        <v>1.36</v>
      </c>
      <c r="Q742" s="3" t="s">
        <v>1597</v>
      </c>
      <c r="R742" s="3" t="s">
        <v>1602</v>
      </c>
      <c r="S742" s="3" t="s">
        <v>1603</v>
      </c>
      <c r="T742" s="3"/>
    </row>
    <row r="743" spans="1:20">
      <c r="A743" s="12" t="s">
        <v>1605</v>
      </c>
      <c r="B743" s="3" t="s">
        <v>1601</v>
      </c>
      <c r="C743" s="3" t="s">
        <v>1596</v>
      </c>
      <c r="D743" s="3" t="s">
        <v>85</v>
      </c>
      <c r="E743" s="3" t="s">
        <v>86</v>
      </c>
      <c r="F743" s="2">
        <v>1</v>
      </c>
      <c r="G743" s="4">
        <v>1.0278604273735461</v>
      </c>
      <c r="H743" s="2">
        <v>25</v>
      </c>
      <c r="I743" s="2">
        <v>5</v>
      </c>
      <c r="J743" s="2">
        <v>16</v>
      </c>
      <c r="K743" s="11">
        <v>1</v>
      </c>
      <c r="L743" s="11">
        <v>0.26658705535029315</v>
      </c>
      <c r="M743" s="4">
        <v>0.26658705535029315</v>
      </c>
      <c r="N743" s="10">
        <v>0.26700000000000002</v>
      </c>
      <c r="O743" s="4">
        <v>1.3544395393359479</v>
      </c>
      <c r="P743" s="4">
        <v>1.36</v>
      </c>
      <c r="Q743" s="3" t="s">
        <v>1597</v>
      </c>
      <c r="R743" s="3" t="s">
        <v>1602</v>
      </c>
      <c r="S743" s="3" t="s">
        <v>1603</v>
      </c>
      <c r="T743" s="3"/>
    </row>
    <row r="744" spans="1:20">
      <c r="A744" s="3" t="s">
        <v>1600</v>
      </c>
      <c r="B744" s="3" t="s">
        <v>1601</v>
      </c>
      <c r="C744" s="3" t="s">
        <v>1596</v>
      </c>
      <c r="D744" s="3" t="s">
        <v>85</v>
      </c>
      <c r="E744" s="3" t="s">
        <v>86</v>
      </c>
      <c r="F744" s="2">
        <v>1</v>
      </c>
      <c r="G744" s="4">
        <v>1.0278604273735461</v>
      </c>
      <c r="H744" s="2">
        <v>25</v>
      </c>
      <c r="I744" s="2">
        <v>5</v>
      </c>
      <c r="J744" s="2">
        <v>1</v>
      </c>
      <c r="K744" s="4">
        <v>1</v>
      </c>
      <c r="L744" s="4">
        <v>0.26093242387383148</v>
      </c>
      <c r="M744" s="4">
        <v>0.26093242387383148</v>
      </c>
      <c r="N744" s="10">
        <v>0.26100000000000001</v>
      </c>
      <c r="O744" s="4">
        <v>1.3243078978947986</v>
      </c>
      <c r="P744" s="4">
        <v>1.32</v>
      </c>
      <c r="Q744" s="3" t="s">
        <v>1597</v>
      </c>
      <c r="R744" s="3" t="s">
        <v>1602</v>
      </c>
      <c r="S744" s="3" t="s">
        <v>1603</v>
      </c>
      <c r="T744" s="3"/>
    </row>
    <row r="745" spans="1:20">
      <c r="A745" s="3" t="s">
        <v>1600</v>
      </c>
      <c r="B745" s="3" t="s">
        <v>1609</v>
      </c>
      <c r="C745" s="3" t="s">
        <v>1616</v>
      </c>
      <c r="D745" s="3" t="s">
        <v>85</v>
      </c>
      <c r="E745" s="3" t="s">
        <v>86</v>
      </c>
      <c r="F745" s="2">
        <v>1</v>
      </c>
      <c r="G745" s="4">
        <v>1.0278604273735461</v>
      </c>
      <c r="H745" s="2">
        <v>25</v>
      </c>
      <c r="I745" s="2">
        <v>5</v>
      </c>
      <c r="J745" s="2">
        <v>1</v>
      </c>
      <c r="K745" s="4">
        <v>1</v>
      </c>
      <c r="L745" s="4">
        <v>0.25596880722913712</v>
      </c>
      <c r="M745" s="4">
        <v>0.25596880722913712</v>
      </c>
      <c r="N745" s="10">
        <v>0.25600000000000001</v>
      </c>
      <c r="O745" s="4">
        <v>1.2979370464629292</v>
      </c>
      <c r="P745" s="4">
        <v>1.3</v>
      </c>
      <c r="Q745" s="3" t="s">
        <v>1597</v>
      </c>
      <c r="R745" s="3" t="s">
        <v>1610</v>
      </c>
      <c r="S745" s="3" t="s">
        <v>1611</v>
      </c>
      <c r="T745" s="3"/>
    </row>
    <row r="746" spans="1:20">
      <c r="A746" s="3" t="s">
        <v>1600</v>
      </c>
      <c r="B746" s="3" t="s">
        <v>1609</v>
      </c>
      <c r="C746" s="3" t="s">
        <v>1616</v>
      </c>
      <c r="D746" s="3" t="s">
        <v>85</v>
      </c>
      <c r="E746" s="3" t="s">
        <v>86</v>
      </c>
      <c r="F746" s="2">
        <v>1</v>
      </c>
      <c r="G746" s="4">
        <v>1.0278604273735461</v>
      </c>
      <c r="H746" s="2">
        <v>25</v>
      </c>
      <c r="I746" s="2">
        <v>5</v>
      </c>
      <c r="J746" s="2">
        <v>16</v>
      </c>
      <c r="K746" s="11">
        <v>1</v>
      </c>
      <c r="L746" s="11">
        <v>0.25386846795353646</v>
      </c>
      <c r="M746" s="4">
        <v>0.25386846795353646</v>
      </c>
      <c r="N746" s="10">
        <v>0.254</v>
      </c>
      <c r="O746" s="4">
        <v>1.2867999662022678</v>
      </c>
      <c r="P746" s="4">
        <v>1.29</v>
      </c>
      <c r="Q746" s="3" t="s">
        <v>1597</v>
      </c>
      <c r="R746" s="3" t="s">
        <v>1610</v>
      </c>
      <c r="S746" s="3" t="s">
        <v>1611</v>
      </c>
      <c r="T746" s="3"/>
    </row>
    <row r="747" spans="1:20">
      <c r="A747" s="3" t="s">
        <v>1600</v>
      </c>
      <c r="B747" s="3" t="s">
        <v>1601</v>
      </c>
      <c r="C747" s="3" t="s">
        <v>1596</v>
      </c>
      <c r="D747" s="3" t="s">
        <v>85</v>
      </c>
      <c r="E747" s="3" t="s">
        <v>86</v>
      </c>
      <c r="F747" s="2">
        <v>1</v>
      </c>
      <c r="G747" s="4">
        <v>1.0278604273735461</v>
      </c>
      <c r="H747" s="2">
        <v>25</v>
      </c>
      <c r="I747" s="2">
        <v>5</v>
      </c>
      <c r="J747" s="2">
        <v>16</v>
      </c>
      <c r="K747" s="4">
        <v>1</v>
      </c>
      <c r="L747" s="4">
        <v>0.25323022313378579</v>
      </c>
      <c r="M747" s="4">
        <v>0.25323022313378579</v>
      </c>
      <c r="N747" s="10">
        <v>0.253</v>
      </c>
      <c r="O747" s="4">
        <v>1.2834181832692675</v>
      </c>
      <c r="P747" s="4">
        <v>1.28</v>
      </c>
      <c r="Q747" s="3" t="s">
        <v>1597</v>
      </c>
      <c r="R747" s="3" t="s">
        <v>1602</v>
      </c>
      <c r="S747" s="3" t="s">
        <v>1603</v>
      </c>
      <c r="T747" s="3"/>
    </row>
    <row r="748" spans="1:20">
      <c r="A748" s="3" t="s">
        <v>1600</v>
      </c>
      <c r="B748" s="3" t="s">
        <v>1606</v>
      </c>
      <c r="C748" s="3" t="s">
        <v>1596</v>
      </c>
      <c r="D748" s="3" t="s">
        <v>85</v>
      </c>
      <c r="E748" s="3" t="s">
        <v>86</v>
      </c>
      <c r="F748" s="2">
        <v>1</v>
      </c>
      <c r="G748" s="4">
        <v>1.0278604273735461</v>
      </c>
      <c r="H748" s="2">
        <v>25</v>
      </c>
      <c r="I748" s="2">
        <v>5</v>
      </c>
      <c r="J748" s="2">
        <v>1</v>
      </c>
      <c r="K748" s="11">
        <v>0.81306903686570497</v>
      </c>
      <c r="L748" s="11">
        <v>0.23944270767177459</v>
      </c>
      <c r="M748" s="4">
        <v>0.23944270767177459</v>
      </c>
      <c r="N748" s="10">
        <v>0.23899999999999999</v>
      </c>
      <c r="O748" s="4">
        <v>1.2106429892331672</v>
      </c>
      <c r="P748" s="4">
        <v>1.21</v>
      </c>
      <c r="Q748" s="3" t="s">
        <v>1597</v>
      </c>
      <c r="R748" s="3" t="s">
        <v>1607</v>
      </c>
      <c r="S748" s="3" t="s">
        <v>1608</v>
      </c>
      <c r="T748" s="3"/>
    </row>
    <row r="749" spans="1:20">
      <c r="A749" s="3" t="s">
        <v>1604</v>
      </c>
      <c r="B749" s="3" t="s">
        <v>1601</v>
      </c>
      <c r="C749" s="3" t="s">
        <v>1596</v>
      </c>
      <c r="D749" s="3" t="s">
        <v>85</v>
      </c>
      <c r="E749" s="3" t="s">
        <v>86</v>
      </c>
      <c r="F749" s="2">
        <v>1</v>
      </c>
      <c r="G749" s="4">
        <v>1.0278604273735461</v>
      </c>
      <c r="H749" s="2">
        <v>25</v>
      </c>
      <c r="I749" s="2">
        <v>30</v>
      </c>
      <c r="J749" s="2">
        <v>16</v>
      </c>
      <c r="K749" s="4">
        <v>1</v>
      </c>
      <c r="L749" s="4">
        <v>0.21423434058095661</v>
      </c>
      <c r="M749" s="4">
        <v>0.21423434058095661</v>
      </c>
      <c r="N749" s="10">
        <v>0.214</v>
      </c>
      <c r="O749" s="4">
        <v>1.0788726815198832</v>
      </c>
      <c r="P749" s="4">
        <v>1.08</v>
      </c>
      <c r="Q749" s="3" t="s">
        <v>1597</v>
      </c>
      <c r="R749" s="3" t="s">
        <v>1602</v>
      </c>
      <c r="S749" s="3" t="s">
        <v>1603</v>
      </c>
      <c r="T749" s="3"/>
    </row>
    <row r="750" spans="1:20">
      <c r="A750" s="3" t="s">
        <v>1600</v>
      </c>
      <c r="B750" s="3" t="s">
        <v>1609</v>
      </c>
      <c r="C750" s="3" t="s">
        <v>1596</v>
      </c>
      <c r="D750" s="3" t="s">
        <v>85</v>
      </c>
      <c r="E750" s="3" t="s">
        <v>86</v>
      </c>
      <c r="F750" s="2">
        <v>1</v>
      </c>
      <c r="G750" s="4">
        <v>1.0278604273735461</v>
      </c>
      <c r="H750" s="2">
        <v>25</v>
      </c>
      <c r="I750" s="2">
        <v>5</v>
      </c>
      <c r="J750" s="2">
        <v>16</v>
      </c>
      <c r="K750" s="4">
        <v>1</v>
      </c>
      <c r="L750" s="4">
        <v>0.20404856689170545</v>
      </c>
      <c r="M750" s="4">
        <v>0.20404856689170545</v>
      </c>
      <c r="N750" s="10">
        <v>0.20399999999999999</v>
      </c>
      <c r="O750" s="4">
        <v>1.0260617665325356</v>
      </c>
      <c r="P750" s="4">
        <v>1.03</v>
      </c>
      <c r="Q750" s="3" t="s">
        <v>1597</v>
      </c>
      <c r="R750" s="3" t="s">
        <v>1610</v>
      </c>
      <c r="S750" s="3" t="s">
        <v>1611</v>
      </c>
      <c r="T750" s="3"/>
    </row>
    <row r="751" spans="1:20">
      <c r="A751" s="3" t="s">
        <v>1604</v>
      </c>
      <c r="B751" s="3" t="s">
        <v>1601</v>
      </c>
      <c r="C751" s="3" t="s">
        <v>1616</v>
      </c>
      <c r="D751" s="3" t="s">
        <v>85</v>
      </c>
      <c r="E751" s="3" t="s">
        <v>86</v>
      </c>
      <c r="F751" s="2">
        <v>1</v>
      </c>
      <c r="G751" s="4">
        <v>1.0278604273735461</v>
      </c>
      <c r="H751" s="2">
        <v>25</v>
      </c>
      <c r="I751" s="2">
        <v>30</v>
      </c>
      <c r="J751" s="2">
        <v>16</v>
      </c>
      <c r="K751" s="4">
        <v>1</v>
      </c>
      <c r="L751" s="4">
        <v>0.17309119163047684</v>
      </c>
      <c r="M751" s="4">
        <v>0.17309119163047684</v>
      </c>
      <c r="N751" s="10">
        <v>0.17299999999999999</v>
      </c>
      <c r="O751" s="4">
        <v>0.86690302145859111</v>
      </c>
      <c r="P751" s="4">
        <v>0.87</v>
      </c>
      <c r="Q751" s="3" t="s">
        <v>1597</v>
      </c>
      <c r="R751" s="3" t="s">
        <v>1602</v>
      </c>
      <c r="S751" s="3" t="s">
        <v>1603</v>
      </c>
      <c r="T751" s="3"/>
    </row>
    <row r="752" spans="1:20">
      <c r="A752" s="3" t="s">
        <v>1600</v>
      </c>
      <c r="B752" s="3" t="s">
        <v>1609</v>
      </c>
      <c r="C752" s="3" t="s">
        <v>1596</v>
      </c>
      <c r="D752" s="3" t="s">
        <v>85</v>
      </c>
      <c r="E752" s="3" t="s">
        <v>86</v>
      </c>
      <c r="F752" s="2">
        <v>1</v>
      </c>
      <c r="G752" s="4">
        <v>1.0278604273735461</v>
      </c>
      <c r="H752" s="2">
        <v>25</v>
      </c>
      <c r="I752" s="2">
        <v>5</v>
      </c>
      <c r="J752" s="2">
        <v>1</v>
      </c>
      <c r="K752" s="11">
        <v>1</v>
      </c>
      <c r="L752" s="11">
        <v>0.16724693428017226</v>
      </c>
      <c r="M752" s="4">
        <v>0.16724693428017226</v>
      </c>
      <c r="N752" s="10">
        <v>0.16700000000000001</v>
      </c>
      <c r="O752" s="4">
        <v>0.83706338898412258</v>
      </c>
      <c r="P752" s="4">
        <v>0.84</v>
      </c>
      <c r="Q752" s="3" t="s">
        <v>1597</v>
      </c>
      <c r="R752" s="3" t="s">
        <v>1610</v>
      </c>
      <c r="S752" s="3" t="s">
        <v>1611</v>
      </c>
      <c r="T752" s="3"/>
    </row>
    <row r="753" spans="1:20">
      <c r="A753" s="3" t="s">
        <v>1600</v>
      </c>
      <c r="B753" s="3" t="s">
        <v>1606</v>
      </c>
      <c r="C753" s="3" t="s">
        <v>1596</v>
      </c>
      <c r="D753" s="3" t="s">
        <v>85</v>
      </c>
      <c r="E753" s="3" t="s">
        <v>86</v>
      </c>
      <c r="F753" s="2">
        <v>1</v>
      </c>
      <c r="G753" s="4">
        <v>1.0278604273735461</v>
      </c>
      <c r="H753" s="2">
        <v>25</v>
      </c>
      <c r="I753" s="2">
        <v>5</v>
      </c>
      <c r="J753" s="2">
        <v>16</v>
      </c>
      <c r="K753" s="11">
        <v>1</v>
      </c>
      <c r="L753" s="11">
        <v>0.13518282521321437</v>
      </c>
      <c r="M753" s="4">
        <v>0.13518282521321437</v>
      </c>
      <c r="N753" s="10">
        <v>0.13500000000000001</v>
      </c>
      <c r="O753" s="4">
        <v>0.67435587049309631</v>
      </c>
      <c r="P753" s="4">
        <v>0.67</v>
      </c>
      <c r="Q753" s="3" t="s">
        <v>1597</v>
      </c>
      <c r="R753" s="3" t="s">
        <v>1607</v>
      </c>
      <c r="S753" s="3" t="s">
        <v>1608</v>
      </c>
      <c r="T753" s="3"/>
    </row>
    <row r="754" spans="1:20">
      <c r="A754" s="3" t="s">
        <v>1594</v>
      </c>
      <c r="B754" s="3" t="s">
        <v>1612</v>
      </c>
      <c r="C754" s="3" t="s">
        <v>1596</v>
      </c>
      <c r="D754" s="3" t="s">
        <v>85</v>
      </c>
      <c r="E754" s="3" t="s">
        <v>86</v>
      </c>
      <c r="F754" s="2">
        <v>1</v>
      </c>
      <c r="G754" s="4">
        <v>1.0278604273735461</v>
      </c>
      <c r="H754" s="2">
        <v>50</v>
      </c>
      <c r="I754" s="2">
        <v>5</v>
      </c>
      <c r="J754" s="2">
        <v>16</v>
      </c>
      <c r="K754" s="4">
        <v>1</v>
      </c>
      <c r="L754" s="14">
        <v>-5.7344152009047916E-3</v>
      </c>
      <c r="M754" s="4">
        <v>5.7344152009047916E-3</v>
      </c>
      <c r="N754" s="10">
        <v>6.0000000000000001E-3</v>
      </c>
      <c r="O754" s="4">
        <v>3.0815143103017702E-2</v>
      </c>
      <c r="P754" s="4">
        <v>-0.03</v>
      </c>
      <c r="Q754" s="3" t="s">
        <v>1617</v>
      </c>
      <c r="R754" s="3" t="s">
        <v>1627</v>
      </c>
      <c r="S754" s="3" t="s">
        <v>1628</v>
      </c>
      <c r="T754" s="3"/>
    </row>
    <row r="755" spans="1:20">
      <c r="A755" s="3" t="s">
        <v>1594</v>
      </c>
      <c r="B755" s="3" t="s">
        <v>1595</v>
      </c>
      <c r="C755" s="3" t="s">
        <v>1596</v>
      </c>
      <c r="D755" s="3" t="s">
        <v>85</v>
      </c>
      <c r="E755" s="3" t="s">
        <v>86</v>
      </c>
      <c r="F755" s="2">
        <v>1</v>
      </c>
      <c r="G755" s="4">
        <v>1.0278604273735461</v>
      </c>
      <c r="H755" s="2">
        <v>50</v>
      </c>
      <c r="I755" s="2">
        <v>5</v>
      </c>
      <c r="J755" s="2">
        <v>16</v>
      </c>
      <c r="K755" s="4">
        <v>1</v>
      </c>
      <c r="L755" s="14">
        <v>-0.44292249323017935</v>
      </c>
      <c r="M755" s="4">
        <v>0.44292249323017935</v>
      </c>
      <c r="N755" s="10">
        <v>0.443</v>
      </c>
      <c r="O755" s="4">
        <v>2.5571144247259467</v>
      </c>
      <c r="P755" s="4">
        <v>-2.56</v>
      </c>
      <c r="Q755" s="3" t="s">
        <v>1617</v>
      </c>
      <c r="R755" s="3" t="s">
        <v>1625</v>
      </c>
      <c r="S755" s="3" t="s">
        <v>1626</v>
      </c>
      <c r="T755" s="3"/>
    </row>
    <row r="756" spans="1:20">
      <c r="A756" s="3" t="s">
        <v>1600</v>
      </c>
      <c r="B756" s="3" t="s">
        <v>1601</v>
      </c>
      <c r="C756" s="3" t="s">
        <v>1616</v>
      </c>
      <c r="D756" s="3" t="s">
        <v>1131</v>
      </c>
      <c r="E756" s="3" t="s">
        <v>1132</v>
      </c>
      <c r="F756" s="2">
        <v>1</v>
      </c>
      <c r="G756" s="4">
        <v>1.0282900453799364</v>
      </c>
      <c r="H756" s="2">
        <v>25</v>
      </c>
      <c r="I756" s="2">
        <v>5</v>
      </c>
      <c r="J756" s="2">
        <v>16</v>
      </c>
      <c r="K756" s="4">
        <v>1</v>
      </c>
      <c r="L756" s="4">
        <v>0.66932406701886227</v>
      </c>
      <c r="M756" s="4">
        <v>0.66932406701886227</v>
      </c>
      <c r="N756" s="10">
        <v>0.66900000000000004</v>
      </c>
      <c r="O756" s="4">
        <v>4.0135368139267378</v>
      </c>
      <c r="P756" s="4">
        <v>4.01</v>
      </c>
      <c r="Q756" s="3" t="s">
        <v>1597</v>
      </c>
      <c r="R756" s="3" t="s">
        <v>1602</v>
      </c>
      <c r="S756" s="3" t="s">
        <v>1603</v>
      </c>
      <c r="T756" s="3"/>
    </row>
    <row r="757" spans="1:20">
      <c r="A757" s="3" t="s">
        <v>1600</v>
      </c>
      <c r="B757" s="3" t="s">
        <v>1606</v>
      </c>
      <c r="C757" s="3" t="s">
        <v>1596</v>
      </c>
      <c r="D757" s="3" t="s">
        <v>1131</v>
      </c>
      <c r="E757" s="3" t="s">
        <v>1132</v>
      </c>
      <c r="F757" s="2">
        <v>1</v>
      </c>
      <c r="G757" s="4">
        <v>1.0282900453799364</v>
      </c>
      <c r="H757" s="2">
        <v>25</v>
      </c>
      <c r="I757" s="2">
        <v>5</v>
      </c>
      <c r="J757" s="2">
        <v>1</v>
      </c>
      <c r="K757" s="4">
        <v>0.99569359564348825</v>
      </c>
      <c r="L757" s="4">
        <v>0.65092496767484043</v>
      </c>
      <c r="M757" s="4">
        <v>0.65092496767484043</v>
      </c>
      <c r="N757" s="10">
        <v>0.65100000000000002</v>
      </c>
      <c r="O757" s="4">
        <v>3.8518309261415795</v>
      </c>
      <c r="P757" s="4">
        <v>3.85</v>
      </c>
      <c r="Q757" s="3" t="s">
        <v>1597</v>
      </c>
      <c r="R757" s="3" t="s">
        <v>1607</v>
      </c>
      <c r="S757" s="3" t="s">
        <v>1608</v>
      </c>
      <c r="T757" s="3"/>
    </row>
    <row r="758" spans="1:20">
      <c r="A758" s="3" t="s">
        <v>1600</v>
      </c>
      <c r="B758" s="3" t="s">
        <v>1609</v>
      </c>
      <c r="C758" s="3" t="s">
        <v>1596</v>
      </c>
      <c r="D758" s="3" t="s">
        <v>1131</v>
      </c>
      <c r="E758" s="3" t="s">
        <v>1132</v>
      </c>
      <c r="F758" s="2">
        <v>1</v>
      </c>
      <c r="G758" s="4">
        <v>1.0282900453799364</v>
      </c>
      <c r="H758" s="2">
        <v>25</v>
      </c>
      <c r="I758" s="2">
        <v>5</v>
      </c>
      <c r="J758" s="2">
        <v>1</v>
      </c>
      <c r="K758" s="4">
        <v>1</v>
      </c>
      <c r="L758" s="4">
        <v>0.62672318797024196</v>
      </c>
      <c r="M758" s="4">
        <v>0.62672318797024196</v>
      </c>
      <c r="N758" s="10">
        <v>0.627</v>
      </c>
      <c r="O758" s="4">
        <v>3.6490478182262742</v>
      </c>
      <c r="P758" s="4">
        <v>3.65</v>
      </c>
      <c r="Q758" s="3" t="s">
        <v>1597</v>
      </c>
      <c r="R758" s="3" t="s">
        <v>1610</v>
      </c>
      <c r="S758" s="3" t="s">
        <v>1611</v>
      </c>
      <c r="T758" s="3"/>
    </row>
    <row r="759" spans="1:20">
      <c r="A759" s="3" t="s">
        <v>1600</v>
      </c>
      <c r="B759" s="3" t="s">
        <v>1601</v>
      </c>
      <c r="C759" s="3" t="s">
        <v>1616</v>
      </c>
      <c r="D759" s="3" t="s">
        <v>1131</v>
      </c>
      <c r="E759" s="3" t="s">
        <v>1132</v>
      </c>
      <c r="F759" s="2">
        <v>1</v>
      </c>
      <c r="G759" s="4">
        <v>1.0282900453799364</v>
      </c>
      <c r="H759" s="2">
        <v>25</v>
      </c>
      <c r="I759" s="2">
        <v>5</v>
      </c>
      <c r="J759" s="2">
        <v>1</v>
      </c>
      <c r="K759" s="4">
        <v>1</v>
      </c>
      <c r="L759" s="4">
        <v>0.62244198324955613</v>
      </c>
      <c r="M759" s="4">
        <v>0.62244198324955613</v>
      </c>
      <c r="N759" s="10">
        <v>0.622</v>
      </c>
      <c r="O759" s="4">
        <v>3.6142449846204143</v>
      </c>
      <c r="P759" s="4">
        <v>3.61</v>
      </c>
      <c r="Q759" s="3" t="s">
        <v>1597</v>
      </c>
      <c r="R759" s="3" t="s">
        <v>1602</v>
      </c>
      <c r="S759" s="3" t="s">
        <v>1603</v>
      </c>
      <c r="T759" s="3"/>
    </row>
    <row r="760" spans="1:20">
      <c r="A760" s="3" t="s">
        <v>1600</v>
      </c>
      <c r="B760" s="3" t="s">
        <v>1609</v>
      </c>
      <c r="C760" s="3" t="s">
        <v>1596</v>
      </c>
      <c r="D760" s="3" t="s">
        <v>1131</v>
      </c>
      <c r="E760" s="3" t="s">
        <v>1132</v>
      </c>
      <c r="F760" s="2">
        <v>1</v>
      </c>
      <c r="G760" s="4">
        <v>1.0282900453799364</v>
      </c>
      <c r="H760" s="2">
        <v>25</v>
      </c>
      <c r="I760" s="2">
        <v>5</v>
      </c>
      <c r="J760" s="2">
        <v>16</v>
      </c>
      <c r="K760" s="4">
        <v>1</v>
      </c>
      <c r="L760" s="4">
        <v>0.6002316798375068</v>
      </c>
      <c r="M760" s="4">
        <v>0.6002316798375068</v>
      </c>
      <c r="N760" s="10">
        <v>0.6</v>
      </c>
      <c r="O760" s="4">
        <v>3.4383747640853448</v>
      </c>
      <c r="P760" s="4">
        <v>3.44</v>
      </c>
      <c r="Q760" s="3" t="s">
        <v>1597</v>
      </c>
      <c r="R760" s="3" t="s">
        <v>1610</v>
      </c>
      <c r="S760" s="3" t="s">
        <v>1611</v>
      </c>
      <c r="T760" s="3"/>
    </row>
    <row r="761" spans="1:20">
      <c r="A761" s="3" t="s">
        <v>1600</v>
      </c>
      <c r="B761" s="3" t="s">
        <v>1601</v>
      </c>
      <c r="C761" s="3" t="s">
        <v>1596</v>
      </c>
      <c r="D761" s="3" t="s">
        <v>1131</v>
      </c>
      <c r="E761" s="3" t="s">
        <v>1132</v>
      </c>
      <c r="F761" s="2">
        <v>1</v>
      </c>
      <c r="G761" s="4">
        <v>1.0282900453799364</v>
      </c>
      <c r="H761" s="2">
        <v>25</v>
      </c>
      <c r="I761" s="2">
        <v>5</v>
      </c>
      <c r="J761" s="2">
        <v>1</v>
      </c>
      <c r="K761" s="4">
        <v>0.29775244359443964</v>
      </c>
      <c r="L761" s="4">
        <v>0.59190194515737193</v>
      </c>
      <c r="M761" s="4">
        <v>0.59190194515737193</v>
      </c>
      <c r="N761" s="10">
        <v>0.59199999999999997</v>
      </c>
      <c r="O761" s="4">
        <v>3.3743151979203452</v>
      </c>
      <c r="P761" s="4">
        <v>3.38</v>
      </c>
      <c r="Q761" s="3" t="s">
        <v>1597</v>
      </c>
      <c r="R761" s="3" t="s">
        <v>1602</v>
      </c>
      <c r="S761" s="3" t="s">
        <v>1603</v>
      </c>
      <c r="T761" s="3"/>
    </row>
    <row r="762" spans="1:20">
      <c r="A762" s="3" t="s">
        <v>1600</v>
      </c>
      <c r="B762" s="3" t="s">
        <v>1606</v>
      </c>
      <c r="C762" s="3" t="s">
        <v>1596</v>
      </c>
      <c r="D762" s="3" t="s">
        <v>1131</v>
      </c>
      <c r="E762" s="3" t="s">
        <v>1132</v>
      </c>
      <c r="F762" s="2">
        <v>1</v>
      </c>
      <c r="G762" s="4">
        <v>1.0282900453799364</v>
      </c>
      <c r="H762" s="2">
        <v>25</v>
      </c>
      <c r="I762" s="2">
        <v>5</v>
      </c>
      <c r="J762" s="2">
        <v>16</v>
      </c>
      <c r="K762" s="4">
        <v>0.99741942088301183</v>
      </c>
      <c r="L762" s="4">
        <v>0.58850301511672698</v>
      </c>
      <c r="M762" s="4">
        <v>0.58850301511672698</v>
      </c>
      <c r="N762" s="10">
        <v>0.58899999999999997</v>
      </c>
      <c r="O762" s="4">
        <v>3.3484555007951888</v>
      </c>
      <c r="P762" s="4">
        <v>3.35</v>
      </c>
      <c r="Q762" s="3" t="s">
        <v>1597</v>
      </c>
      <c r="R762" s="3" t="s">
        <v>1607</v>
      </c>
      <c r="S762" s="3" t="s">
        <v>1608</v>
      </c>
      <c r="T762" s="3"/>
    </row>
    <row r="763" spans="1:20">
      <c r="A763" s="3" t="s">
        <v>1605</v>
      </c>
      <c r="B763" s="3" t="s">
        <v>1601</v>
      </c>
      <c r="C763" s="3" t="s">
        <v>1596</v>
      </c>
      <c r="D763" s="3" t="s">
        <v>1131</v>
      </c>
      <c r="E763" s="3" t="s">
        <v>1132</v>
      </c>
      <c r="F763" s="2">
        <v>1</v>
      </c>
      <c r="G763" s="4">
        <v>1.0282900453799364</v>
      </c>
      <c r="H763" s="2">
        <v>25</v>
      </c>
      <c r="I763" s="2">
        <v>5</v>
      </c>
      <c r="J763" s="2">
        <v>16</v>
      </c>
      <c r="K763" s="4">
        <v>1</v>
      </c>
      <c r="L763" s="4">
        <v>0.5761366214459811</v>
      </c>
      <c r="M763" s="4">
        <v>0.5761366214459811</v>
      </c>
      <c r="N763" s="10">
        <v>0.57599999999999996</v>
      </c>
      <c r="O763" s="4">
        <v>3.2556803985418186</v>
      </c>
      <c r="P763" s="4">
        <v>3.25</v>
      </c>
      <c r="Q763" s="3" t="s">
        <v>1597</v>
      </c>
      <c r="R763" s="3" t="s">
        <v>1602</v>
      </c>
      <c r="S763" s="3" t="s">
        <v>1603</v>
      </c>
      <c r="T763" s="3"/>
    </row>
    <row r="764" spans="1:20">
      <c r="A764" s="3" t="s">
        <v>1600</v>
      </c>
      <c r="B764" s="3" t="s">
        <v>1609</v>
      </c>
      <c r="C764" s="3" t="s">
        <v>1616</v>
      </c>
      <c r="D764" s="3" t="s">
        <v>1131</v>
      </c>
      <c r="E764" s="3" t="s">
        <v>1132</v>
      </c>
      <c r="F764" s="2">
        <v>1</v>
      </c>
      <c r="G764" s="4">
        <v>1.0282900453799364</v>
      </c>
      <c r="H764" s="2">
        <v>25</v>
      </c>
      <c r="I764" s="2">
        <v>5</v>
      </c>
      <c r="J764" s="2">
        <v>16</v>
      </c>
      <c r="K764" s="4">
        <v>1</v>
      </c>
      <c r="L764" s="4">
        <v>0.54502605444897867</v>
      </c>
      <c r="M764" s="4">
        <v>0.54502605444897867</v>
      </c>
      <c r="N764" s="10">
        <v>0.54500000000000004</v>
      </c>
      <c r="O764" s="4">
        <v>3.0306771636092154</v>
      </c>
      <c r="P764" s="4">
        <v>3.03</v>
      </c>
      <c r="Q764" s="3" t="s">
        <v>1597</v>
      </c>
      <c r="R764" s="3" t="s">
        <v>1610</v>
      </c>
      <c r="S764" s="3" t="s">
        <v>1611</v>
      </c>
      <c r="T764" s="3"/>
    </row>
    <row r="765" spans="1:20">
      <c r="A765" s="3" t="s">
        <v>1600</v>
      </c>
      <c r="B765" s="3" t="s">
        <v>1601</v>
      </c>
      <c r="C765" s="3" t="s">
        <v>1596</v>
      </c>
      <c r="D765" s="3" t="s">
        <v>1131</v>
      </c>
      <c r="E765" s="3" t="s">
        <v>1132</v>
      </c>
      <c r="F765" s="2">
        <v>1</v>
      </c>
      <c r="G765" s="4">
        <v>1.0282900453799364</v>
      </c>
      <c r="H765" s="2">
        <v>25</v>
      </c>
      <c r="I765" s="2">
        <v>5</v>
      </c>
      <c r="J765" s="2">
        <v>16</v>
      </c>
      <c r="K765" s="4">
        <v>1</v>
      </c>
      <c r="L765" s="4">
        <v>0.52591514026465302</v>
      </c>
      <c r="M765" s="4">
        <v>0.52591514026465302</v>
      </c>
      <c r="N765" s="10">
        <v>0.52600000000000002</v>
      </c>
      <c r="O765" s="4">
        <v>2.8978227351157275</v>
      </c>
      <c r="P765" s="4">
        <v>2.9</v>
      </c>
      <c r="Q765" s="3" t="s">
        <v>1597</v>
      </c>
      <c r="R765" s="3" t="s">
        <v>1602</v>
      </c>
      <c r="S765" s="3" t="s">
        <v>1603</v>
      </c>
      <c r="T765" s="3"/>
    </row>
    <row r="766" spans="1:20">
      <c r="A766" s="3" t="s">
        <v>1600</v>
      </c>
      <c r="B766" s="3" t="s">
        <v>1609</v>
      </c>
      <c r="C766" s="3" t="s">
        <v>1616</v>
      </c>
      <c r="D766" s="3" t="s">
        <v>1131</v>
      </c>
      <c r="E766" s="3" t="s">
        <v>1132</v>
      </c>
      <c r="F766" s="2">
        <v>1</v>
      </c>
      <c r="G766" s="4">
        <v>1.0282900453799364</v>
      </c>
      <c r="H766" s="2">
        <v>25</v>
      </c>
      <c r="I766" s="2">
        <v>5</v>
      </c>
      <c r="J766" s="2">
        <v>1</v>
      </c>
      <c r="K766" s="4">
        <v>0.16499874933560954</v>
      </c>
      <c r="L766" s="4">
        <v>0.49330384113668252</v>
      </c>
      <c r="M766" s="4">
        <v>0.49330384113668252</v>
      </c>
      <c r="N766" s="10">
        <v>0.49299999999999999</v>
      </c>
      <c r="O766" s="4">
        <v>2.6793549614325238</v>
      </c>
      <c r="P766" s="4">
        <v>2.68</v>
      </c>
      <c r="Q766" s="3" t="s">
        <v>1597</v>
      </c>
      <c r="R766" s="3" t="s">
        <v>1610</v>
      </c>
      <c r="S766" s="3" t="s">
        <v>1611</v>
      </c>
      <c r="T766" s="3"/>
    </row>
    <row r="767" spans="1:20">
      <c r="A767" s="3" t="s">
        <v>1594</v>
      </c>
      <c r="B767" s="3" t="s">
        <v>1612</v>
      </c>
      <c r="C767" s="3" t="s">
        <v>1596</v>
      </c>
      <c r="D767" s="3" t="s">
        <v>1131</v>
      </c>
      <c r="E767" s="3" t="s">
        <v>1132</v>
      </c>
      <c r="F767" s="2">
        <v>1</v>
      </c>
      <c r="G767" s="4">
        <v>1.0282900453799364</v>
      </c>
      <c r="H767" s="2">
        <v>50</v>
      </c>
      <c r="I767" s="2">
        <v>5</v>
      </c>
      <c r="J767" s="2">
        <v>16</v>
      </c>
      <c r="K767" s="4">
        <v>1</v>
      </c>
      <c r="L767" s="4">
        <v>0.48585526896244169</v>
      </c>
      <c r="M767" s="4">
        <v>0.48585526896244169</v>
      </c>
      <c r="N767" s="10">
        <v>0.48599999999999999</v>
      </c>
      <c r="O767" s="4">
        <v>2.8513749272579529</v>
      </c>
      <c r="P767" s="4">
        <v>2.85</v>
      </c>
      <c r="Q767" s="3" t="s">
        <v>1597</v>
      </c>
      <c r="R767" s="3" t="s">
        <v>1613</v>
      </c>
      <c r="S767" s="3" t="s">
        <v>1614</v>
      </c>
      <c r="T767" s="3"/>
    </row>
    <row r="768" spans="1:20">
      <c r="A768" s="3" t="s">
        <v>1600</v>
      </c>
      <c r="B768" s="3" t="s">
        <v>1606</v>
      </c>
      <c r="C768" s="3" t="s">
        <v>1616</v>
      </c>
      <c r="D768" s="3" t="s">
        <v>1131</v>
      </c>
      <c r="E768" s="3" t="s">
        <v>1132</v>
      </c>
      <c r="F768" s="2">
        <v>1</v>
      </c>
      <c r="G768" s="4">
        <v>1.0282900453799364</v>
      </c>
      <c r="H768" s="2">
        <v>25</v>
      </c>
      <c r="I768" s="2">
        <v>5</v>
      </c>
      <c r="J768" s="2">
        <v>1</v>
      </c>
      <c r="K768" s="4">
        <v>0.9891825135100395</v>
      </c>
      <c r="L768" s="4">
        <v>0.41660078982936677</v>
      </c>
      <c r="M768" s="4">
        <v>0.41660078982936677</v>
      </c>
      <c r="N768" s="10">
        <v>0.41699999999999998</v>
      </c>
      <c r="O768" s="4">
        <v>2.1992011657317376</v>
      </c>
      <c r="P768" s="4">
        <v>2.2000000000000002</v>
      </c>
      <c r="Q768" s="3" t="s">
        <v>1597</v>
      </c>
      <c r="R768" s="3" t="s">
        <v>1607</v>
      </c>
      <c r="S768" s="3" t="s">
        <v>1608</v>
      </c>
      <c r="T768" s="3"/>
    </row>
    <row r="769" spans="1:20">
      <c r="A769" s="3" t="s">
        <v>1604</v>
      </c>
      <c r="B769" s="3" t="s">
        <v>1601</v>
      </c>
      <c r="C769" s="3" t="s">
        <v>1596</v>
      </c>
      <c r="D769" s="3" t="s">
        <v>1131</v>
      </c>
      <c r="E769" s="3" t="s">
        <v>1132</v>
      </c>
      <c r="F769" s="2">
        <v>1</v>
      </c>
      <c r="G769" s="4">
        <v>1.0282900453799364</v>
      </c>
      <c r="H769" s="2">
        <v>25</v>
      </c>
      <c r="I769" s="2">
        <v>30</v>
      </c>
      <c r="J769" s="2">
        <v>16</v>
      </c>
      <c r="K769" s="4">
        <v>1</v>
      </c>
      <c r="L769" s="4">
        <v>0.35081168606252749</v>
      </c>
      <c r="M769" s="4">
        <v>0.35081168606252749</v>
      </c>
      <c r="N769" s="10">
        <v>0.35099999999999998</v>
      </c>
      <c r="O769" s="4">
        <v>1.816434442716391</v>
      </c>
      <c r="P769" s="4">
        <v>1.82</v>
      </c>
      <c r="Q769" s="3" t="s">
        <v>1597</v>
      </c>
      <c r="R769" s="3" t="s">
        <v>1602</v>
      </c>
      <c r="S769" s="3" t="s">
        <v>1603</v>
      </c>
      <c r="T769" s="3"/>
    </row>
    <row r="770" spans="1:20">
      <c r="A770" s="3" t="s">
        <v>1600</v>
      </c>
      <c r="B770" s="3" t="s">
        <v>1606</v>
      </c>
      <c r="C770" s="3" t="s">
        <v>1616</v>
      </c>
      <c r="D770" s="3" t="s">
        <v>1131</v>
      </c>
      <c r="E770" s="3" t="s">
        <v>1132</v>
      </c>
      <c r="F770" s="2">
        <v>1</v>
      </c>
      <c r="G770" s="4">
        <v>1.0282900453799364</v>
      </c>
      <c r="H770" s="2">
        <v>25</v>
      </c>
      <c r="I770" s="2">
        <v>5</v>
      </c>
      <c r="J770" s="2">
        <v>16</v>
      </c>
      <c r="K770" s="4">
        <v>1</v>
      </c>
      <c r="L770" s="4">
        <v>0.34325820181812411</v>
      </c>
      <c r="M770" s="4">
        <v>0.34325820181812411</v>
      </c>
      <c r="N770" s="10">
        <v>0.34300000000000003</v>
      </c>
      <c r="O770" s="4">
        <v>1.7738566536839355</v>
      </c>
      <c r="P770" s="4">
        <v>1.77</v>
      </c>
      <c r="Q770" s="3" t="s">
        <v>1597</v>
      </c>
      <c r="R770" s="3" t="s">
        <v>1607</v>
      </c>
      <c r="S770" s="3" t="s">
        <v>1608</v>
      </c>
      <c r="T770" s="3"/>
    </row>
    <row r="771" spans="1:20">
      <c r="A771" s="3" t="s">
        <v>1604</v>
      </c>
      <c r="B771" s="3" t="s">
        <v>1601</v>
      </c>
      <c r="C771" s="3" t="s">
        <v>1616</v>
      </c>
      <c r="D771" s="3" t="s">
        <v>1131</v>
      </c>
      <c r="E771" s="3" t="s">
        <v>1132</v>
      </c>
      <c r="F771" s="2">
        <v>1</v>
      </c>
      <c r="G771" s="4">
        <v>1.0282900453799364</v>
      </c>
      <c r="H771" s="2">
        <v>25</v>
      </c>
      <c r="I771" s="2">
        <v>30</v>
      </c>
      <c r="J771" s="2">
        <v>16</v>
      </c>
      <c r="K771" s="4">
        <v>1</v>
      </c>
      <c r="L771" s="4">
        <v>0.31928450676891379</v>
      </c>
      <c r="M771" s="4">
        <v>0.31928450676891379</v>
      </c>
      <c r="N771" s="10">
        <v>0.31900000000000001</v>
      </c>
      <c r="O771" s="4">
        <v>1.6403342016724072</v>
      </c>
      <c r="P771" s="4">
        <v>1.64</v>
      </c>
      <c r="Q771" s="3" t="s">
        <v>1597</v>
      </c>
      <c r="R771" s="3" t="s">
        <v>1602</v>
      </c>
      <c r="S771" s="3" t="s">
        <v>1603</v>
      </c>
      <c r="T771" s="3"/>
    </row>
    <row r="772" spans="1:20">
      <c r="A772" s="3" t="s">
        <v>1594</v>
      </c>
      <c r="B772" s="3" t="s">
        <v>1595</v>
      </c>
      <c r="C772" s="3" t="s">
        <v>1596</v>
      </c>
      <c r="D772" s="3" t="s">
        <v>1131</v>
      </c>
      <c r="E772" s="3" t="s">
        <v>1132</v>
      </c>
      <c r="F772" s="2">
        <v>1</v>
      </c>
      <c r="G772" s="4">
        <v>1.0282900453799364</v>
      </c>
      <c r="H772" s="2">
        <v>25</v>
      </c>
      <c r="I772" s="2">
        <v>5</v>
      </c>
      <c r="J772" s="2">
        <v>16</v>
      </c>
      <c r="K772" s="4">
        <v>1</v>
      </c>
      <c r="L772" s="4">
        <v>6.0673050203418837E-2</v>
      </c>
      <c r="M772" s="4">
        <v>6.0673050203418837E-2</v>
      </c>
      <c r="N772" s="10">
        <v>6.0999999999999999E-2</v>
      </c>
      <c r="O772" s="4">
        <v>0.30118305816601337</v>
      </c>
      <c r="P772" s="4">
        <v>0.3</v>
      </c>
      <c r="Q772" s="3" t="s">
        <v>1597</v>
      </c>
      <c r="R772" s="3" t="s">
        <v>1598</v>
      </c>
      <c r="S772" s="3" t="s">
        <v>1599</v>
      </c>
      <c r="T772" s="3"/>
    </row>
    <row r="773" spans="1:20">
      <c r="A773" s="3" t="s">
        <v>1594</v>
      </c>
      <c r="B773" s="3" t="s">
        <v>1595</v>
      </c>
      <c r="C773" s="3" t="s">
        <v>1596</v>
      </c>
      <c r="D773" s="3" t="s">
        <v>1131</v>
      </c>
      <c r="E773" s="3" t="s">
        <v>1132</v>
      </c>
      <c r="F773" s="2">
        <v>1</v>
      </c>
      <c r="G773" s="4">
        <v>1.0282900453799364</v>
      </c>
      <c r="H773" s="2">
        <v>50</v>
      </c>
      <c r="I773" s="2">
        <v>5</v>
      </c>
      <c r="J773" s="2">
        <v>16</v>
      </c>
      <c r="K773" s="4">
        <v>1</v>
      </c>
      <c r="L773" s="4">
        <v>5.7988547337189895E-2</v>
      </c>
      <c r="M773" s="4">
        <v>5.7988547337189895E-2</v>
      </c>
      <c r="N773" s="10">
        <v>5.8000000000000003E-2</v>
      </c>
      <c r="O773" s="4">
        <v>0.31196080359279005</v>
      </c>
      <c r="P773" s="4">
        <v>0.31</v>
      </c>
      <c r="Q773" s="3" t="s">
        <v>1597</v>
      </c>
      <c r="R773" s="3" t="s">
        <v>1598</v>
      </c>
      <c r="S773" s="3" t="s">
        <v>1599</v>
      </c>
      <c r="T773" s="3"/>
    </row>
    <row r="774" spans="1:20">
      <c r="A774" s="3" t="s">
        <v>1594</v>
      </c>
      <c r="B774" s="3" t="s">
        <v>1612</v>
      </c>
      <c r="C774" s="3" t="s">
        <v>1596</v>
      </c>
      <c r="D774" s="3" t="s">
        <v>975</v>
      </c>
      <c r="E774" s="3" t="s">
        <v>976</v>
      </c>
      <c r="F774" s="2">
        <v>1</v>
      </c>
      <c r="G774" s="4">
        <v>1.0289911960971232</v>
      </c>
      <c r="H774" s="2">
        <v>50</v>
      </c>
      <c r="I774" s="2">
        <v>5</v>
      </c>
      <c r="J774" s="2">
        <v>16</v>
      </c>
      <c r="K774" s="4">
        <v>0.95111967648832096</v>
      </c>
      <c r="L774" s="4">
        <v>0.13911421726249046</v>
      </c>
      <c r="M774" s="4">
        <v>0.13911421726249046</v>
      </c>
      <c r="N774" s="10">
        <v>0.13900000000000001</v>
      </c>
      <c r="O774" s="4">
        <v>0.7524318785184172</v>
      </c>
      <c r="P774" s="4">
        <v>0.75</v>
      </c>
      <c r="Q774" s="3" t="s">
        <v>1597</v>
      </c>
      <c r="R774" s="3" t="s">
        <v>1613</v>
      </c>
      <c r="S774" s="3" t="s">
        <v>1614</v>
      </c>
      <c r="T774" s="3"/>
    </row>
    <row r="775" spans="1:20">
      <c r="A775" s="3" t="s">
        <v>1594</v>
      </c>
      <c r="B775" s="3" t="s">
        <v>1595</v>
      </c>
      <c r="C775" s="3" t="s">
        <v>1596</v>
      </c>
      <c r="D775" s="3" t="s">
        <v>975</v>
      </c>
      <c r="E775" s="3" t="s">
        <v>976</v>
      </c>
      <c r="F775" s="2">
        <v>1</v>
      </c>
      <c r="G775" s="4">
        <v>1.0289911960971232</v>
      </c>
      <c r="H775" s="2">
        <v>50</v>
      </c>
      <c r="I775" s="2">
        <v>5</v>
      </c>
      <c r="J775" s="2">
        <v>16</v>
      </c>
      <c r="K775" s="4">
        <v>1</v>
      </c>
      <c r="L775" s="4">
        <v>4.3305617225220285E-2</v>
      </c>
      <c r="M775" s="4">
        <v>4.3305617225220285E-2</v>
      </c>
      <c r="N775" s="10">
        <v>4.2999999999999997E-2</v>
      </c>
      <c r="O775" s="4">
        <v>0.23285535821011219</v>
      </c>
      <c r="P775" s="4">
        <v>0.23</v>
      </c>
      <c r="Q775" s="3" t="s">
        <v>1597</v>
      </c>
      <c r="R775" s="3" t="s">
        <v>1598</v>
      </c>
      <c r="S775" s="3" t="s">
        <v>1599</v>
      </c>
      <c r="T775" s="3"/>
    </row>
    <row r="776" spans="1:20">
      <c r="A776" s="3" t="s">
        <v>1594</v>
      </c>
      <c r="B776" s="3" t="s">
        <v>1595</v>
      </c>
      <c r="C776" s="3" t="s">
        <v>1596</v>
      </c>
      <c r="D776" s="3" t="s">
        <v>975</v>
      </c>
      <c r="E776" s="3" t="s">
        <v>976</v>
      </c>
      <c r="F776" s="2">
        <v>1</v>
      </c>
      <c r="G776" s="4">
        <v>1.0289911960971232</v>
      </c>
      <c r="H776" s="2">
        <v>25</v>
      </c>
      <c r="I776" s="2">
        <v>5</v>
      </c>
      <c r="J776" s="2">
        <v>16</v>
      </c>
      <c r="K776" s="4">
        <v>0.45991831534371808</v>
      </c>
      <c r="L776" s="4">
        <v>1.7318828681893422E-2</v>
      </c>
      <c r="M776" s="4">
        <v>1.7318828681893422E-2</v>
      </c>
      <c r="N776" s="10">
        <v>1.7000000000000001E-2</v>
      </c>
      <c r="O776" s="4">
        <v>8.5874236706698068E-2</v>
      </c>
      <c r="P776" s="4">
        <v>0.08</v>
      </c>
      <c r="Q776" s="3" t="s">
        <v>1597</v>
      </c>
      <c r="R776" s="3" t="s">
        <v>1598</v>
      </c>
      <c r="S776" s="3" t="s">
        <v>1599</v>
      </c>
      <c r="T776" s="3"/>
    </row>
    <row r="777" spans="1:20">
      <c r="A777" s="3" t="s">
        <v>1600</v>
      </c>
      <c r="B777" s="3" t="s">
        <v>1601</v>
      </c>
      <c r="C777" s="3" t="s">
        <v>1596</v>
      </c>
      <c r="D777" s="3" t="s">
        <v>975</v>
      </c>
      <c r="E777" s="3" t="s">
        <v>976</v>
      </c>
      <c r="F777" s="2">
        <v>1</v>
      </c>
      <c r="G777" s="4">
        <v>1.0289911960971232</v>
      </c>
      <c r="H777" s="2">
        <v>25</v>
      </c>
      <c r="I777" s="2">
        <v>5</v>
      </c>
      <c r="J777" s="2">
        <v>1</v>
      </c>
      <c r="K777" s="4">
        <v>0</v>
      </c>
      <c r="L777" s="4">
        <v>0</v>
      </c>
      <c r="M777" s="4">
        <v>0</v>
      </c>
      <c r="N777" s="10">
        <v>0</v>
      </c>
      <c r="O777" s="4">
        <v>0</v>
      </c>
      <c r="P777" s="4">
        <v>0</v>
      </c>
      <c r="Q777" s="3" t="s">
        <v>1617</v>
      </c>
      <c r="R777" s="3" t="s">
        <v>1618</v>
      </c>
      <c r="S777" s="3" t="s">
        <v>1619</v>
      </c>
      <c r="T777" s="3"/>
    </row>
    <row r="778" spans="1:20">
      <c r="A778" s="3" t="s">
        <v>1600</v>
      </c>
      <c r="B778" s="3" t="s">
        <v>1601</v>
      </c>
      <c r="C778" s="3" t="s">
        <v>1596</v>
      </c>
      <c r="D778" s="3" t="s">
        <v>975</v>
      </c>
      <c r="E778" s="3" t="s">
        <v>976</v>
      </c>
      <c r="F778" s="2">
        <v>1</v>
      </c>
      <c r="G778" s="4">
        <v>1.0289911960971232</v>
      </c>
      <c r="H778" s="2">
        <v>25</v>
      </c>
      <c r="I778" s="2">
        <v>5</v>
      </c>
      <c r="J778" s="2">
        <v>16</v>
      </c>
      <c r="K778" s="4">
        <v>3.457012197808873E-2</v>
      </c>
      <c r="L778" s="4">
        <v>-1.7012617012617012E-2</v>
      </c>
      <c r="M778" s="4">
        <v>1.7012617012617012E-2</v>
      </c>
      <c r="N778" s="10">
        <v>1.7000000000000001E-2</v>
      </c>
      <c r="O778" s="4">
        <v>8.4355611247641307E-2</v>
      </c>
      <c r="P778" s="4">
        <v>-0.08</v>
      </c>
      <c r="Q778" s="3" t="s">
        <v>1617</v>
      </c>
      <c r="R778" s="3" t="s">
        <v>1618</v>
      </c>
      <c r="S778" s="3" t="s">
        <v>1619</v>
      </c>
      <c r="T778" s="3"/>
    </row>
    <row r="779" spans="1:20">
      <c r="A779" s="3" t="s">
        <v>1604</v>
      </c>
      <c r="B779" s="3" t="s">
        <v>1601</v>
      </c>
      <c r="C779" s="3" t="s">
        <v>1596</v>
      </c>
      <c r="D779" s="3" t="s">
        <v>975</v>
      </c>
      <c r="E779" s="3" t="s">
        <v>976</v>
      </c>
      <c r="F779" s="2">
        <v>1</v>
      </c>
      <c r="G779" s="4">
        <v>1.0289911960971232</v>
      </c>
      <c r="H779" s="2">
        <v>25</v>
      </c>
      <c r="I779" s="2">
        <v>30</v>
      </c>
      <c r="J779" s="2">
        <v>16</v>
      </c>
      <c r="K779" s="4">
        <v>0.40965930905801529</v>
      </c>
      <c r="L779" s="4">
        <v>-9.3465368387588357E-2</v>
      </c>
      <c r="M779" s="4">
        <v>9.3465368387588357E-2</v>
      </c>
      <c r="N779" s="10">
        <v>9.2999999999999999E-2</v>
      </c>
      <c r="O779" s="4">
        <v>0.46475183702881051</v>
      </c>
      <c r="P779" s="4">
        <v>-0.46</v>
      </c>
      <c r="Q779" s="3" t="s">
        <v>1617</v>
      </c>
      <c r="R779" s="3" t="s">
        <v>1618</v>
      </c>
      <c r="S779" s="3" t="s">
        <v>1619</v>
      </c>
      <c r="T779" s="3"/>
    </row>
    <row r="780" spans="1:20">
      <c r="A780" s="3" t="s">
        <v>1600</v>
      </c>
      <c r="B780" s="3" t="s">
        <v>1609</v>
      </c>
      <c r="C780" s="3" t="s">
        <v>1596</v>
      </c>
      <c r="D780" s="3" t="s">
        <v>975</v>
      </c>
      <c r="E780" s="3" t="s">
        <v>976</v>
      </c>
      <c r="F780" s="2">
        <v>1</v>
      </c>
      <c r="G780" s="4">
        <v>1.0289911960971232</v>
      </c>
      <c r="H780" s="2">
        <v>25</v>
      </c>
      <c r="I780" s="2">
        <v>5</v>
      </c>
      <c r="J780" s="2">
        <v>1</v>
      </c>
      <c r="K780" s="4">
        <v>8.5762823145772105E-2</v>
      </c>
      <c r="L780" s="4">
        <v>-0.23263930082651166</v>
      </c>
      <c r="M780" s="4">
        <v>0.23263930082651166</v>
      </c>
      <c r="N780" s="10">
        <v>0.23300000000000001</v>
      </c>
      <c r="O780" s="4">
        <v>1.1749217386458946</v>
      </c>
      <c r="P780" s="4">
        <v>-1.18</v>
      </c>
      <c r="Q780" s="3" t="s">
        <v>1617</v>
      </c>
      <c r="R780" s="3" t="s">
        <v>1623</v>
      </c>
      <c r="S780" s="3" t="s">
        <v>1624</v>
      </c>
      <c r="T780" s="3"/>
    </row>
    <row r="781" spans="1:20">
      <c r="A781" s="3" t="s">
        <v>1605</v>
      </c>
      <c r="B781" s="3" t="s">
        <v>1601</v>
      </c>
      <c r="C781" s="3" t="s">
        <v>1596</v>
      </c>
      <c r="D781" s="3" t="s">
        <v>975</v>
      </c>
      <c r="E781" s="3" t="s">
        <v>976</v>
      </c>
      <c r="F781" s="2">
        <v>1</v>
      </c>
      <c r="G781" s="4">
        <v>1.0289911960971232</v>
      </c>
      <c r="H781" s="2">
        <v>25</v>
      </c>
      <c r="I781" s="2">
        <v>5</v>
      </c>
      <c r="J781" s="2">
        <v>16</v>
      </c>
      <c r="K781" s="4">
        <v>0.15957504042653514</v>
      </c>
      <c r="L781" s="4">
        <v>-0.2579881743984152</v>
      </c>
      <c r="M781" s="4">
        <v>0.2579881743984152</v>
      </c>
      <c r="N781" s="10">
        <v>0.25800000000000001</v>
      </c>
      <c r="O781" s="4">
        <v>1.3086568594460046</v>
      </c>
      <c r="P781" s="4">
        <v>-1.31</v>
      </c>
      <c r="Q781" s="3" t="s">
        <v>1617</v>
      </c>
      <c r="R781" s="3" t="s">
        <v>1618</v>
      </c>
      <c r="S781" s="3" t="s">
        <v>1619</v>
      </c>
      <c r="T781" s="3"/>
    </row>
    <row r="782" spans="1:20">
      <c r="A782" s="3" t="s">
        <v>1600</v>
      </c>
      <c r="B782" s="3" t="s">
        <v>1609</v>
      </c>
      <c r="C782" s="3" t="s">
        <v>1596</v>
      </c>
      <c r="D782" s="3" t="s">
        <v>975</v>
      </c>
      <c r="E782" s="3" t="s">
        <v>976</v>
      </c>
      <c r="F782" s="2">
        <v>1</v>
      </c>
      <c r="G782" s="4">
        <v>1.0289911960971232</v>
      </c>
      <c r="H782" s="2">
        <v>25</v>
      </c>
      <c r="I782" s="2">
        <v>5</v>
      </c>
      <c r="J782" s="2">
        <v>16</v>
      </c>
      <c r="K782" s="4">
        <v>0.87036633233079774</v>
      </c>
      <c r="L782" s="4">
        <v>-0.27657338129195852</v>
      </c>
      <c r="M782" s="4">
        <v>0.27657338129195852</v>
      </c>
      <c r="N782" s="10">
        <v>0.27700000000000002</v>
      </c>
      <c r="O782" s="4">
        <v>1.4078942923414595</v>
      </c>
      <c r="P782" s="4">
        <v>-1.41</v>
      </c>
      <c r="Q782" s="3" t="s">
        <v>1617</v>
      </c>
      <c r="R782" s="3" t="s">
        <v>1623</v>
      </c>
      <c r="S782" s="3" t="s">
        <v>1624</v>
      </c>
      <c r="T782" s="3"/>
    </row>
    <row r="783" spans="1:20">
      <c r="A783" s="3" t="s">
        <v>1600</v>
      </c>
      <c r="B783" s="3" t="s">
        <v>1606</v>
      </c>
      <c r="C783" s="3" t="s">
        <v>1596</v>
      </c>
      <c r="D783" s="3" t="s">
        <v>975</v>
      </c>
      <c r="E783" s="3" t="s">
        <v>976</v>
      </c>
      <c r="F783" s="2">
        <v>1</v>
      </c>
      <c r="G783" s="4">
        <v>1.0289911960971232</v>
      </c>
      <c r="H783" s="2">
        <v>25</v>
      </c>
      <c r="I783" s="2">
        <v>5</v>
      </c>
      <c r="J783" s="2">
        <v>16</v>
      </c>
      <c r="K783" s="4">
        <v>0.47949911170919979</v>
      </c>
      <c r="L783" s="4">
        <v>-0.42030797901034778</v>
      </c>
      <c r="M783" s="4">
        <v>0.42030797901034778</v>
      </c>
      <c r="N783" s="10">
        <v>0.42</v>
      </c>
      <c r="O783" s="4">
        <v>2.2214828312796797</v>
      </c>
      <c r="P783" s="4">
        <v>-2.2200000000000002</v>
      </c>
      <c r="Q783" s="3" t="s">
        <v>1617</v>
      </c>
      <c r="R783" s="3" t="s">
        <v>1621</v>
      </c>
      <c r="S783" s="3" t="s">
        <v>1622</v>
      </c>
      <c r="T783" s="3"/>
    </row>
    <row r="784" spans="1:20">
      <c r="A784" s="3" t="s">
        <v>1600</v>
      </c>
      <c r="B784" s="3" t="s">
        <v>1606</v>
      </c>
      <c r="C784" s="3" t="s">
        <v>1616</v>
      </c>
      <c r="D784" s="3" t="s">
        <v>975</v>
      </c>
      <c r="E784" s="3" t="s">
        <v>976</v>
      </c>
      <c r="F784" s="2">
        <v>1</v>
      </c>
      <c r="G784" s="4">
        <v>1.0289911960971232</v>
      </c>
      <c r="H784" s="2">
        <v>25</v>
      </c>
      <c r="I784" s="2">
        <v>5</v>
      </c>
      <c r="J784" s="2">
        <v>16</v>
      </c>
      <c r="K784" s="4">
        <v>0.90636209944017176</v>
      </c>
      <c r="L784" s="4">
        <v>-0.42227581670686248</v>
      </c>
      <c r="M784" s="4">
        <v>0.42227581670686248</v>
      </c>
      <c r="N784" s="10">
        <v>0.42199999999999999</v>
      </c>
      <c r="O784" s="4">
        <v>2.2333445520737141</v>
      </c>
      <c r="P784" s="4">
        <v>-2.23</v>
      </c>
      <c r="Q784" s="3" t="s">
        <v>1617</v>
      </c>
      <c r="R784" s="3" t="s">
        <v>1621</v>
      </c>
      <c r="S784" s="3" t="s">
        <v>1622</v>
      </c>
      <c r="T784" s="3"/>
    </row>
    <row r="785" spans="1:20">
      <c r="A785" s="3" t="s">
        <v>1600</v>
      </c>
      <c r="B785" s="3" t="s">
        <v>1606</v>
      </c>
      <c r="C785" s="3" t="s">
        <v>1616</v>
      </c>
      <c r="D785" s="3" t="s">
        <v>975</v>
      </c>
      <c r="E785" s="3" t="s">
        <v>976</v>
      </c>
      <c r="F785" s="2">
        <v>1</v>
      </c>
      <c r="G785" s="4">
        <v>1.0289911960971232</v>
      </c>
      <c r="H785" s="2">
        <v>25</v>
      </c>
      <c r="I785" s="2">
        <v>5</v>
      </c>
      <c r="J785" s="2">
        <v>1</v>
      </c>
      <c r="K785" s="4">
        <v>0.26455771102803616</v>
      </c>
      <c r="L785" s="4">
        <v>-0.5158035989947789</v>
      </c>
      <c r="M785" s="4">
        <v>0.5158035989947789</v>
      </c>
      <c r="N785" s="10">
        <v>0.51600000000000001</v>
      </c>
      <c r="O785" s="4">
        <v>2.8290242479216583</v>
      </c>
      <c r="P785" s="4">
        <v>-2.83</v>
      </c>
      <c r="Q785" s="3" t="s">
        <v>1617</v>
      </c>
      <c r="R785" s="3" t="s">
        <v>1621</v>
      </c>
      <c r="S785" s="3" t="s">
        <v>1622</v>
      </c>
      <c r="T785" s="3"/>
    </row>
    <row r="786" spans="1:20">
      <c r="A786" s="3" t="s">
        <v>1600</v>
      </c>
      <c r="B786" s="3" t="s">
        <v>1606</v>
      </c>
      <c r="C786" s="3" t="s">
        <v>1596</v>
      </c>
      <c r="D786" s="3" t="s">
        <v>975</v>
      </c>
      <c r="E786" s="3" t="s">
        <v>976</v>
      </c>
      <c r="F786" s="2">
        <v>1</v>
      </c>
      <c r="G786" s="4">
        <v>1.0289911960971232</v>
      </c>
      <c r="H786" s="2">
        <v>25</v>
      </c>
      <c r="I786" s="2">
        <v>5</v>
      </c>
      <c r="J786" s="2">
        <v>1</v>
      </c>
      <c r="K786" s="4">
        <v>0.13229160120825734</v>
      </c>
      <c r="L786" s="4">
        <v>-0.56022649050738316</v>
      </c>
      <c r="M786" s="4">
        <v>0.56022649050738316</v>
      </c>
      <c r="N786" s="10">
        <v>0.56000000000000005</v>
      </c>
      <c r="O786" s="4">
        <v>3.1391829258207569</v>
      </c>
      <c r="P786" s="4">
        <v>-3.14</v>
      </c>
      <c r="Q786" s="3" t="s">
        <v>1617</v>
      </c>
      <c r="R786" s="3" t="s">
        <v>1621</v>
      </c>
      <c r="S786" s="3" t="s">
        <v>1622</v>
      </c>
      <c r="T786" s="3"/>
    </row>
    <row r="787" spans="1:20">
      <c r="A787" s="3" t="s">
        <v>1600</v>
      </c>
      <c r="B787" s="3" t="s">
        <v>1609</v>
      </c>
      <c r="C787" s="3" t="s">
        <v>1616</v>
      </c>
      <c r="D787" s="3" t="s">
        <v>975</v>
      </c>
      <c r="E787" s="3" t="s">
        <v>976</v>
      </c>
      <c r="F787" s="2">
        <v>1</v>
      </c>
      <c r="G787" s="4">
        <v>1.0289911960971232</v>
      </c>
      <c r="H787" s="2">
        <v>25</v>
      </c>
      <c r="I787" s="2">
        <v>5</v>
      </c>
      <c r="J787" s="2">
        <v>1</v>
      </c>
      <c r="K787" s="4">
        <v>6.1853398882020239E-2</v>
      </c>
      <c r="L787" s="4">
        <v>-0.5625001652149777</v>
      </c>
      <c r="M787" s="4">
        <v>0.5625001652149777</v>
      </c>
      <c r="N787" s="10">
        <v>0.56299999999999994</v>
      </c>
      <c r="O787" s="4">
        <v>3.1556425964710382</v>
      </c>
      <c r="P787" s="4">
        <v>-3.16</v>
      </c>
      <c r="Q787" s="3" t="s">
        <v>1617</v>
      </c>
      <c r="R787" s="3" t="s">
        <v>1623</v>
      </c>
      <c r="S787" s="3" t="s">
        <v>1624</v>
      </c>
      <c r="T787" s="3"/>
    </row>
    <row r="788" spans="1:20">
      <c r="A788" s="3" t="s">
        <v>1604</v>
      </c>
      <c r="B788" s="3" t="s">
        <v>1601</v>
      </c>
      <c r="C788" s="3" t="s">
        <v>1616</v>
      </c>
      <c r="D788" s="3" t="s">
        <v>975</v>
      </c>
      <c r="E788" s="3" t="s">
        <v>976</v>
      </c>
      <c r="F788" s="2">
        <v>1</v>
      </c>
      <c r="G788" s="4">
        <v>1.0289911960971232</v>
      </c>
      <c r="H788" s="2">
        <v>25</v>
      </c>
      <c r="I788" s="2">
        <v>30</v>
      </c>
      <c r="J788" s="2">
        <v>16</v>
      </c>
      <c r="K788" s="4">
        <v>0.51391487792271673</v>
      </c>
      <c r="L788" s="4">
        <v>-0.5858269821009946</v>
      </c>
      <c r="M788" s="4">
        <v>0.5858269821009946</v>
      </c>
      <c r="N788" s="10">
        <v>0.58599999999999997</v>
      </c>
      <c r="O788" s="4">
        <v>3.32820689834415</v>
      </c>
      <c r="P788" s="4">
        <v>-3.33</v>
      </c>
      <c r="Q788" s="3" t="s">
        <v>1617</v>
      </c>
      <c r="R788" s="3" t="s">
        <v>1618</v>
      </c>
      <c r="S788" s="3" t="s">
        <v>1619</v>
      </c>
      <c r="T788" s="3"/>
    </row>
    <row r="789" spans="1:20">
      <c r="A789" s="3" t="s">
        <v>1600</v>
      </c>
      <c r="B789" s="3" t="s">
        <v>1601</v>
      </c>
      <c r="C789" s="3" t="s">
        <v>1616</v>
      </c>
      <c r="D789" s="3" t="s">
        <v>975</v>
      </c>
      <c r="E789" s="3" t="s">
        <v>976</v>
      </c>
      <c r="F789" s="2">
        <v>1</v>
      </c>
      <c r="G789" s="4">
        <v>1.0289911960971232</v>
      </c>
      <c r="H789" s="2">
        <v>25</v>
      </c>
      <c r="I789" s="2">
        <v>5</v>
      </c>
      <c r="J789" s="2">
        <v>16</v>
      </c>
      <c r="K789" s="4">
        <v>0.41026495434218768</v>
      </c>
      <c r="L789" s="4">
        <v>-0.62216353070569652</v>
      </c>
      <c r="M789" s="4">
        <v>0.62216353070569652</v>
      </c>
      <c r="N789" s="10">
        <v>0.622</v>
      </c>
      <c r="O789" s="4">
        <v>3.6119919055566139</v>
      </c>
      <c r="P789" s="4">
        <v>-3.61</v>
      </c>
      <c r="Q789" s="3" t="s">
        <v>1617</v>
      </c>
      <c r="R789" s="3" t="s">
        <v>1618</v>
      </c>
      <c r="S789" s="3" t="s">
        <v>1619</v>
      </c>
      <c r="T789" s="3"/>
    </row>
    <row r="790" spans="1:20">
      <c r="A790" s="3" t="s">
        <v>1600</v>
      </c>
      <c r="B790" s="3" t="s">
        <v>1609</v>
      </c>
      <c r="C790" s="3" t="s">
        <v>1616</v>
      </c>
      <c r="D790" s="3" t="s">
        <v>975</v>
      </c>
      <c r="E790" s="3" t="s">
        <v>976</v>
      </c>
      <c r="F790" s="2">
        <v>1</v>
      </c>
      <c r="G790" s="4">
        <v>1.0289911960971232</v>
      </c>
      <c r="H790" s="2">
        <v>25</v>
      </c>
      <c r="I790" s="2">
        <v>5</v>
      </c>
      <c r="J790" s="2">
        <v>16</v>
      </c>
      <c r="K790" s="4">
        <v>0.7137748918986091</v>
      </c>
      <c r="L790" s="4">
        <v>-0.65989515114179387</v>
      </c>
      <c r="M790" s="4">
        <v>0.65989515114179387</v>
      </c>
      <c r="N790" s="10">
        <v>0.66</v>
      </c>
      <c r="O790" s="4">
        <v>3.9297985989180821</v>
      </c>
      <c r="P790" s="4">
        <v>-3.93</v>
      </c>
      <c r="Q790" s="3" t="s">
        <v>1617</v>
      </c>
      <c r="R790" s="3" t="s">
        <v>1623</v>
      </c>
      <c r="S790" s="3" t="s">
        <v>1624</v>
      </c>
      <c r="T790" s="3"/>
    </row>
    <row r="791" spans="1:20">
      <c r="A791" s="3" t="s">
        <v>1600</v>
      </c>
      <c r="B791" s="3" t="s">
        <v>1601</v>
      </c>
      <c r="C791" s="3" t="s">
        <v>1616</v>
      </c>
      <c r="D791" s="3" t="s">
        <v>975</v>
      </c>
      <c r="E791" s="3" t="s">
        <v>976</v>
      </c>
      <c r="F791" s="2">
        <v>1</v>
      </c>
      <c r="G791" s="4">
        <v>1.0289911960971232</v>
      </c>
      <c r="H791" s="2">
        <v>25</v>
      </c>
      <c r="I791" s="2">
        <v>5</v>
      </c>
      <c r="J791" s="2">
        <v>1</v>
      </c>
      <c r="K791" s="4">
        <v>8.6790870104106799E-2</v>
      </c>
      <c r="L791" s="4">
        <v>-0.74246156459695911</v>
      </c>
      <c r="M791" s="4">
        <v>0.74246156459695911</v>
      </c>
      <c r="N791" s="10">
        <v>0.74199999999999999</v>
      </c>
      <c r="O791" s="4">
        <v>4.7395023471648345</v>
      </c>
      <c r="P791" s="4">
        <v>-4.7300000000000004</v>
      </c>
      <c r="Q791" s="3" t="s">
        <v>1617</v>
      </c>
      <c r="R791" s="3" t="s">
        <v>1618</v>
      </c>
      <c r="S791" s="3" t="s">
        <v>1619</v>
      </c>
      <c r="T791" s="3"/>
    </row>
    <row r="792" spans="1:20">
      <c r="A792" s="3" t="s">
        <v>1594</v>
      </c>
      <c r="B792" s="3" t="s">
        <v>1595</v>
      </c>
      <c r="C792" s="3" t="s">
        <v>1596</v>
      </c>
      <c r="D792" s="3" t="s">
        <v>758</v>
      </c>
      <c r="E792" s="3" t="s">
        <v>759</v>
      </c>
      <c r="F792" s="2">
        <v>1</v>
      </c>
      <c r="G792" s="4">
        <v>1.0293001366327614</v>
      </c>
      <c r="H792" s="2">
        <v>50</v>
      </c>
      <c r="I792" s="2">
        <v>5</v>
      </c>
      <c r="J792" s="2">
        <v>16</v>
      </c>
      <c r="K792" s="4">
        <v>1</v>
      </c>
      <c r="L792" s="14">
        <v>-0.385152370795807</v>
      </c>
      <c r="M792" s="4">
        <v>0.385152370795807</v>
      </c>
      <c r="N792" s="10">
        <v>0.38500000000000001</v>
      </c>
      <c r="O792" s="4">
        <v>2.1822195526869863</v>
      </c>
      <c r="P792" s="4">
        <v>-2.1800000000000002</v>
      </c>
      <c r="Q792" s="3" t="s">
        <v>1617</v>
      </c>
      <c r="R792" s="3" t="s">
        <v>1625</v>
      </c>
      <c r="S792" s="3" t="s">
        <v>1626</v>
      </c>
      <c r="T792" s="3"/>
    </row>
    <row r="793" spans="1:20">
      <c r="A793" s="3" t="s">
        <v>1594</v>
      </c>
      <c r="B793" s="3" t="s">
        <v>1612</v>
      </c>
      <c r="C793" s="3" t="s">
        <v>1596</v>
      </c>
      <c r="D793" s="3" t="s">
        <v>758</v>
      </c>
      <c r="E793" s="3" t="s">
        <v>759</v>
      </c>
      <c r="F793" s="2">
        <v>1</v>
      </c>
      <c r="G793" s="4">
        <v>1.0293001366327614</v>
      </c>
      <c r="H793" s="2">
        <v>50</v>
      </c>
      <c r="I793" s="2">
        <v>5</v>
      </c>
      <c r="J793" s="2">
        <v>16</v>
      </c>
      <c r="K793" s="4">
        <v>1</v>
      </c>
      <c r="L793" s="14">
        <v>-0.51976096204136113</v>
      </c>
      <c r="M793" s="4">
        <v>0.51976096204136113</v>
      </c>
      <c r="N793" s="10">
        <v>0.52</v>
      </c>
      <c r="O793" s="4">
        <v>3.0952943994569129</v>
      </c>
      <c r="P793" s="4">
        <v>-3.1</v>
      </c>
      <c r="Q793" s="3" t="s">
        <v>1617</v>
      </c>
      <c r="R793" s="3" t="s">
        <v>1627</v>
      </c>
      <c r="S793" s="3" t="s">
        <v>1628</v>
      </c>
      <c r="T793" s="3"/>
    </row>
    <row r="794" spans="1:20">
      <c r="A794" s="3" t="s">
        <v>1604</v>
      </c>
      <c r="B794" s="3" t="s">
        <v>1601</v>
      </c>
      <c r="C794" s="3" t="s">
        <v>1596</v>
      </c>
      <c r="D794" s="3" t="s">
        <v>758</v>
      </c>
      <c r="E794" s="3" t="s">
        <v>759</v>
      </c>
      <c r="F794" s="2">
        <v>1</v>
      </c>
      <c r="G794" s="4">
        <v>1.0293001366327614</v>
      </c>
      <c r="H794" s="2">
        <v>25</v>
      </c>
      <c r="I794" s="2">
        <v>30</v>
      </c>
      <c r="J794" s="2">
        <v>16</v>
      </c>
      <c r="K794" s="4">
        <v>1</v>
      </c>
      <c r="L794" s="4">
        <v>-0.59849952283776509</v>
      </c>
      <c r="M794" s="4">
        <v>0.59849952283776509</v>
      </c>
      <c r="N794" s="10">
        <v>0.59799999999999998</v>
      </c>
      <c r="O794" s="4">
        <v>3.4249720496848974</v>
      </c>
      <c r="P794" s="4">
        <v>-3.42</v>
      </c>
      <c r="Q794" s="3" t="s">
        <v>1617</v>
      </c>
      <c r="R794" s="3" t="s">
        <v>1618</v>
      </c>
      <c r="S794" s="3" t="s">
        <v>1619</v>
      </c>
      <c r="T794" s="3"/>
    </row>
    <row r="795" spans="1:20">
      <c r="A795" s="3" t="s">
        <v>1600</v>
      </c>
      <c r="B795" s="3" t="s">
        <v>1609</v>
      </c>
      <c r="C795" s="3" t="s">
        <v>1596</v>
      </c>
      <c r="D795" s="3" t="s">
        <v>758</v>
      </c>
      <c r="E795" s="3" t="s">
        <v>759</v>
      </c>
      <c r="F795" s="2">
        <v>1</v>
      </c>
      <c r="G795" s="4">
        <v>1.0293001366327614</v>
      </c>
      <c r="H795" s="2">
        <v>25</v>
      </c>
      <c r="I795" s="2">
        <v>5</v>
      </c>
      <c r="J795" s="2">
        <v>16</v>
      </c>
      <c r="K795" s="4">
        <v>1</v>
      </c>
      <c r="L795" s="4">
        <v>-0.62997884013557515</v>
      </c>
      <c r="M795" s="4">
        <v>0.62997884013557515</v>
      </c>
      <c r="N795" s="10">
        <v>0.63</v>
      </c>
      <c r="O795" s="4">
        <v>3.6757201050356181</v>
      </c>
      <c r="P795" s="4">
        <v>-3.68</v>
      </c>
      <c r="Q795" s="3" t="s">
        <v>1617</v>
      </c>
      <c r="R795" s="3" t="s">
        <v>1623</v>
      </c>
      <c r="S795" s="3" t="s">
        <v>1624</v>
      </c>
      <c r="T795" s="3"/>
    </row>
    <row r="796" spans="1:20">
      <c r="A796" s="3" t="s">
        <v>1604</v>
      </c>
      <c r="B796" s="3" t="s">
        <v>1601</v>
      </c>
      <c r="C796" s="3" t="s">
        <v>1616</v>
      </c>
      <c r="D796" s="3" t="s">
        <v>758</v>
      </c>
      <c r="E796" s="3" t="s">
        <v>759</v>
      </c>
      <c r="F796" s="2">
        <v>1</v>
      </c>
      <c r="G796" s="4">
        <v>1.0293001366327614</v>
      </c>
      <c r="H796" s="2">
        <v>25</v>
      </c>
      <c r="I796" s="2">
        <v>30</v>
      </c>
      <c r="J796" s="2">
        <v>16</v>
      </c>
      <c r="K796" s="4">
        <v>1</v>
      </c>
      <c r="L796" s="4">
        <v>-0.67026077460879274</v>
      </c>
      <c r="M796" s="4">
        <v>0.67026077460879274</v>
      </c>
      <c r="N796" s="10">
        <v>0.67</v>
      </c>
      <c r="O796" s="4">
        <v>4.021959598799735</v>
      </c>
      <c r="P796" s="4">
        <v>-4.0199999999999996</v>
      </c>
      <c r="Q796" s="3" t="s">
        <v>1617</v>
      </c>
      <c r="R796" s="3" t="s">
        <v>1618</v>
      </c>
      <c r="S796" s="3" t="s">
        <v>1619</v>
      </c>
      <c r="T796" s="3"/>
    </row>
    <row r="797" spans="1:20">
      <c r="A797" s="3" t="s">
        <v>1600</v>
      </c>
      <c r="B797" s="3" t="s">
        <v>1601</v>
      </c>
      <c r="C797" s="3" t="s">
        <v>1596</v>
      </c>
      <c r="D797" s="3" t="s">
        <v>758</v>
      </c>
      <c r="E797" s="3" t="s">
        <v>759</v>
      </c>
      <c r="F797" s="2">
        <v>1</v>
      </c>
      <c r="G797" s="4">
        <v>1.0293001366327614</v>
      </c>
      <c r="H797" s="2">
        <v>25</v>
      </c>
      <c r="I797" s="2">
        <v>5</v>
      </c>
      <c r="J797" s="2">
        <v>1</v>
      </c>
      <c r="K797" s="4">
        <v>0.27333669220397627</v>
      </c>
      <c r="L797" s="4">
        <v>-0.6898851213469368</v>
      </c>
      <c r="M797" s="4">
        <v>0.6898851213469368</v>
      </c>
      <c r="N797" s="10">
        <v>0.69</v>
      </c>
      <c r="O797" s="4">
        <v>4.2030236703956634</v>
      </c>
      <c r="P797" s="4">
        <v>-4.2</v>
      </c>
      <c r="Q797" s="3" t="s">
        <v>1617</v>
      </c>
      <c r="R797" s="3" t="s">
        <v>1618</v>
      </c>
      <c r="S797" s="3" t="s">
        <v>1619</v>
      </c>
      <c r="T797" s="3"/>
    </row>
    <row r="798" spans="1:20">
      <c r="A798" s="12" t="s">
        <v>1605</v>
      </c>
      <c r="B798" s="3" t="s">
        <v>1601</v>
      </c>
      <c r="C798" s="3" t="s">
        <v>1596</v>
      </c>
      <c r="D798" s="3" t="s">
        <v>758</v>
      </c>
      <c r="E798" s="3" t="s">
        <v>759</v>
      </c>
      <c r="F798" s="2">
        <v>1</v>
      </c>
      <c r="G798" s="4">
        <v>1.0293001366327614</v>
      </c>
      <c r="H798" s="2">
        <v>25</v>
      </c>
      <c r="I798" s="2">
        <v>5</v>
      </c>
      <c r="J798" s="2">
        <v>16</v>
      </c>
      <c r="K798" s="11">
        <v>1</v>
      </c>
      <c r="L798" s="11">
        <v>-0.73950312988623101</v>
      </c>
      <c r="M798" s="4">
        <v>0.73950312988623101</v>
      </c>
      <c r="N798" s="10">
        <v>0.74</v>
      </c>
      <c r="O798" s="4">
        <v>4.7069753981601821</v>
      </c>
      <c r="P798" s="4">
        <v>-4.71</v>
      </c>
      <c r="Q798" s="3" t="s">
        <v>1617</v>
      </c>
      <c r="R798" s="3" t="s">
        <v>1618</v>
      </c>
      <c r="S798" s="3" t="s">
        <v>1619</v>
      </c>
      <c r="T798" s="3"/>
    </row>
    <row r="799" spans="1:20">
      <c r="A799" s="3" t="s">
        <v>1600</v>
      </c>
      <c r="B799" s="3" t="s">
        <v>1601</v>
      </c>
      <c r="C799" s="3" t="s">
        <v>1596</v>
      </c>
      <c r="D799" s="3" t="s">
        <v>758</v>
      </c>
      <c r="E799" s="3" t="s">
        <v>759</v>
      </c>
      <c r="F799" s="2">
        <v>1</v>
      </c>
      <c r="G799" s="4">
        <v>1.0293001366327614</v>
      </c>
      <c r="H799" s="2">
        <v>25</v>
      </c>
      <c r="I799" s="2">
        <v>5</v>
      </c>
      <c r="J799" s="2">
        <v>16</v>
      </c>
      <c r="K799" s="4">
        <v>1</v>
      </c>
      <c r="L799" s="4">
        <v>-0.76349777577082489</v>
      </c>
      <c r="M799" s="4">
        <v>0.76349777577082489</v>
      </c>
      <c r="N799" s="10">
        <v>0.76300000000000001</v>
      </c>
      <c r="O799" s="4">
        <v>4.9804872154876598</v>
      </c>
      <c r="P799" s="4">
        <v>-4.97</v>
      </c>
      <c r="Q799" s="3" t="s">
        <v>1617</v>
      </c>
      <c r="R799" s="3" t="s">
        <v>1618</v>
      </c>
      <c r="S799" s="3" t="s">
        <v>1619</v>
      </c>
      <c r="T799" s="3"/>
    </row>
    <row r="800" spans="1:20">
      <c r="A800" s="3" t="s">
        <v>1600</v>
      </c>
      <c r="B800" s="3" t="s">
        <v>1609</v>
      </c>
      <c r="C800" s="3" t="s">
        <v>1596</v>
      </c>
      <c r="D800" s="3" t="s">
        <v>758</v>
      </c>
      <c r="E800" s="3" t="s">
        <v>759</v>
      </c>
      <c r="F800" s="2">
        <v>1</v>
      </c>
      <c r="G800" s="4">
        <v>1.0293001366327614</v>
      </c>
      <c r="H800" s="2">
        <v>25</v>
      </c>
      <c r="I800" s="2">
        <v>5</v>
      </c>
      <c r="J800" s="2">
        <v>1</v>
      </c>
      <c r="K800" s="11">
        <v>0.29671067526775641</v>
      </c>
      <c r="L800" s="11">
        <v>-0.76473248253111747</v>
      </c>
      <c r="M800" s="4">
        <v>0.76473248253111747</v>
      </c>
      <c r="N800" s="10">
        <v>0.76500000000000001</v>
      </c>
      <c r="O800" s="4">
        <v>4.9951980949897132</v>
      </c>
      <c r="P800" s="4">
        <v>-5</v>
      </c>
      <c r="Q800" s="3" t="s">
        <v>1617</v>
      </c>
      <c r="R800" s="3" t="s">
        <v>1623</v>
      </c>
      <c r="S800" s="3" t="s">
        <v>1624</v>
      </c>
      <c r="T800" s="3"/>
    </row>
    <row r="801" spans="1:20">
      <c r="A801" s="3" t="s">
        <v>1600</v>
      </c>
      <c r="B801" s="3" t="s">
        <v>1601</v>
      </c>
      <c r="C801" s="3" t="s">
        <v>1616</v>
      </c>
      <c r="D801" s="3" t="s">
        <v>758</v>
      </c>
      <c r="E801" s="3" t="s">
        <v>759</v>
      </c>
      <c r="F801" s="2">
        <v>1</v>
      </c>
      <c r="G801" s="4">
        <v>1.0293001366327614</v>
      </c>
      <c r="H801" s="2">
        <v>25</v>
      </c>
      <c r="I801" s="2">
        <v>5</v>
      </c>
      <c r="J801" s="2">
        <v>1</v>
      </c>
      <c r="K801" s="4">
        <v>0.91933894249809534</v>
      </c>
      <c r="L801" s="4">
        <v>-0.84083865716652562</v>
      </c>
      <c r="M801" s="4">
        <v>0.84083865716652562</v>
      </c>
      <c r="N801" s="10">
        <v>0.84099999999999997</v>
      </c>
      <c r="O801" s="4">
        <v>6.068658160543686</v>
      </c>
      <c r="P801" s="4">
        <v>-6.07</v>
      </c>
      <c r="Q801" s="3" t="s">
        <v>1617</v>
      </c>
      <c r="R801" s="3" t="s">
        <v>1618</v>
      </c>
      <c r="S801" s="3" t="s">
        <v>1619</v>
      </c>
      <c r="T801" s="3"/>
    </row>
    <row r="802" spans="1:20">
      <c r="A802" s="3" t="s">
        <v>1600</v>
      </c>
      <c r="B802" s="3" t="s">
        <v>1601</v>
      </c>
      <c r="C802" s="3" t="s">
        <v>1616</v>
      </c>
      <c r="D802" s="3" t="s">
        <v>758</v>
      </c>
      <c r="E802" s="3" t="s">
        <v>759</v>
      </c>
      <c r="F802" s="2">
        <v>1</v>
      </c>
      <c r="G802" s="4">
        <v>1.0293001366327614</v>
      </c>
      <c r="H802" s="2">
        <v>25</v>
      </c>
      <c r="I802" s="2">
        <v>5</v>
      </c>
      <c r="J802" s="2">
        <v>16</v>
      </c>
      <c r="K802" s="4">
        <v>1</v>
      </c>
      <c r="L802" s="4">
        <v>-0.84178197181213232</v>
      </c>
      <c r="M802" s="4">
        <v>0.84178197181213232</v>
      </c>
      <c r="N802" s="10">
        <v>0.84199999999999997</v>
      </c>
      <c r="O802" s="4">
        <v>6.0846641680754932</v>
      </c>
      <c r="P802" s="4">
        <v>-6.09</v>
      </c>
      <c r="Q802" s="3" t="s">
        <v>1617</v>
      </c>
      <c r="R802" s="3" t="s">
        <v>1618</v>
      </c>
      <c r="S802" s="3" t="s">
        <v>1619</v>
      </c>
      <c r="T802" s="3"/>
    </row>
    <row r="803" spans="1:20">
      <c r="A803" s="3" t="s">
        <v>1600</v>
      </c>
      <c r="B803" s="3" t="s">
        <v>1609</v>
      </c>
      <c r="C803" s="3" t="s">
        <v>1616</v>
      </c>
      <c r="D803" s="3" t="s">
        <v>758</v>
      </c>
      <c r="E803" s="3" t="s">
        <v>759</v>
      </c>
      <c r="F803" s="2">
        <v>1</v>
      </c>
      <c r="G803" s="4">
        <v>1.0293001366327614</v>
      </c>
      <c r="H803" s="2">
        <v>25</v>
      </c>
      <c r="I803" s="2">
        <v>5</v>
      </c>
      <c r="J803" s="2">
        <v>1</v>
      </c>
      <c r="K803" s="4">
        <v>0.5620046929679936</v>
      </c>
      <c r="L803" s="4">
        <v>-0.91510233958346532</v>
      </c>
      <c r="M803" s="4">
        <v>0.91510233958346532</v>
      </c>
      <c r="N803" s="10">
        <v>0.91500000000000004</v>
      </c>
      <c r="O803" s="4">
        <v>7.7246626678912849</v>
      </c>
      <c r="P803" s="4">
        <v>-7.72</v>
      </c>
      <c r="Q803" s="3" t="s">
        <v>1617</v>
      </c>
      <c r="R803" s="3" t="s">
        <v>1623</v>
      </c>
      <c r="S803" s="3" t="s">
        <v>1624</v>
      </c>
      <c r="T803" s="3"/>
    </row>
    <row r="804" spans="1:20">
      <c r="A804" s="3" t="s">
        <v>1600</v>
      </c>
      <c r="B804" s="3" t="s">
        <v>1609</v>
      </c>
      <c r="C804" s="3" t="s">
        <v>1616</v>
      </c>
      <c r="D804" s="3" t="s">
        <v>758</v>
      </c>
      <c r="E804" s="3" t="s">
        <v>759</v>
      </c>
      <c r="F804" s="2">
        <v>1</v>
      </c>
      <c r="G804" s="4">
        <v>1.0293001366327614</v>
      </c>
      <c r="H804" s="2">
        <v>25</v>
      </c>
      <c r="I804" s="2">
        <v>5</v>
      </c>
      <c r="J804" s="2">
        <v>16</v>
      </c>
      <c r="K804" s="11">
        <v>1</v>
      </c>
      <c r="L804" s="11">
        <v>-0.9317982367429859</v>
      </c>
      <c r="M804" s="4">
        <v>0.9317982367429859</v>
      </c>
      <c r="N804" s="10">
        <v>0.93200000000000005</v>
      </c>
      <c r="O804" s="4">
        <v>8.2890155219425434</v>
      </c>
      <c r="P804" s="4">
        <v>-8.3000000000000007</v>
      </c>
      <c r="Q804" s="3" t="s">
        <v>1617</v>
      </c>
      <c r="R804" s="3" t="s">
        <v>1623</v>
      </c>
      <c r="S804" s="3" t="s">
        <v>1624</v>
      </c>
      <c r="T804" s="3"/>
    </row>
    <row r="805" spans="1:20">
      <c r="A805" s="3" t="s">
        <v>1600</v>
      </c>
      <c r="B805" s="3" t="s">
        <v>1606</v>
      </c>
      <c r="C805" s="3" t="s">
        <v>1616</v>
      </c>
      <c r="D805" s="3" t="s">
        <v>758</v>
      </c>
      <c r="E805" s="3" t="s">
        <v>759</v>
      </c>
      <c r="F805" s="2">
        <v>1</v>
      </c>
      <c r="G805" s="4">
        <v>1.0293001366327614</v>
      </c>
      <c r="H805" s="2">
        <v>25</v>
      </c>
      <c r="I805" s="2">
        <v>5</v>
      </c>
      <c r="J805" s="2">
        <v>16</v>
      </c>
      <c r="K805" s="11">
        <v>1</v>
      </c>
      <c r="L805" s="11">
        <v>-0.94220766711616255</v>
      </c>
      <c r="M805" s="4">
        <v>0.94220766711616255</v>
      </c>
      <c r="N805" s="10">
        <v>0.94199999999999995</v>
      </c>
      <c r="O805" s="4">
        <v>8.7128900802002835</v>
      </c>
      <c r="P805" s="4">
        <v>-8.6999999999999993</v>
      </c>
      <c r="Q805" s="3" t="s">
        <v>1617</v>
      </c>
      <c r="R805" s="3" t="s">
        <v>1621</v>
      </c>
      <c r="S805" s="3" t="s">
        <v>1622</v>
      </c>
      <c r="T805" s="3"/>
    </row>
    <row r="806" spans="1:20">
      <c r="A806" s="3" t="s">
        <v>1600</v>
      </c>
      <c r="B806" s="3" t="s">
        <v>1606</v>
      </c>
      <c r="C806" s="3" t="s">
        <v>1616</v>
      </c>
      <c r="D806" s="3" t="s">
        <v>758</v>
      </c>
      <c r="E806" s="3" t="s">
        <v>759</v>
      </c>
      <c r="F806" s="2">
        <v>1</v>
      </c>
      <c r="G806" s="4">
        <v>1.0293001366327614</v>
      </c>
      <c r="H806" s="2">
        <v>25</v>
      </c>
      <c r="I806" s="2">
        <v>5</v>
      </c>
      <c r="J806" s="2">
        <v>1</v>
      </c>
      <c r="K806" s="4">
        <v>1</v>
      </c>
      <c r="L806" s="4">
        <v>-0.96827826540083706</v>
      </c>
      <c r="M806" s="4">
        <v>0.96827826540083706</v>
      </c>
      <c r="N806" s="10">
        <v>0.96799999999999997</v>
      </c>
      <c r="O806" s="4">
        <v>10.23296342578031</v>
      </c>
      <c r="P806" s="4">
        <v>-10.210000000000001</v>
      </c>
      <c r="Q806" s="3" t="s">
        <v>1617</v>
      </c>
      <c r="R806" s="3" t="s">
        <v>1621</v>
      </c>
      <c r="S806" s="3" t="s">
        <v>1622</v>
      </c>
      <c r="T806" s="3"/>
    </row>
    <row r="807" spans="1:20">
      <c r="A807" s="3" t="s">
        <v>1600</v>
      </c>
      <c r="B807" s="3" t="s">
        <v>1606</v>
      </c>
      <c r="C807" s="3" t="s">
        <v>1596</v>
      </c>
      <c r="D807" s="3" t="s">
        <v>758</v>
      </c>
      <c r="E807" s="3" t="s">
        <v>759</v>
      </c>
      <c r="F807" s="2">
        <v>1</v>
      </c>
      <c r="G807" s="4">
        <v>1.0293001366327614</v>
      </c>
      <c r="H807" s="2">
        <v>25</v>
      </c>
      <c r="I807" s="2">
        <v>5</v>
      </c>
      <c r="J807" s="2">
        <v>1</v>
      </c>
      <c r="K807" s="11">
        <v>1</v>
      </c>
      <c r="L807" s="11">
        <v>-1</v>
      </c>
      <c r="M807" s="4">
        <v>1</v>
      </c>
      <c r="N807" s="10">
        <v>0.995</v>
      </c>
      <c r="O807" s="4">
        <v>14.85</v>
      </c>
      <c r="P807" s="4">
        <v>-14.85</v>
      </c>
      <c r="Q807" s="3" t="s">
        <v>1617</v>
      </c>
      <c r="R807" s="3" t="s">
        <v>1621</v>
      </c>
      <c r="S807" s="3" t="s">
        <v>1622</v>
      </c>
      <c r="T807" s="3"/>
    </row>
    <row r="808" spans="1:20">
      <c r="A808" s="3" t="s">
        <v>1600</v>
      </c>
      <c r="B808" s="3" t="s">
        <v>1606</v>
      </c>
      <c r="C808" s="3" t="s">
        <v>1596</v>
      </c>
      <c r="D808" s="3" t="s">
        <v>758</v>
      </c>
      <c r="E808" s="3" t="s">
        <v>759</v>
      </c>
      <c r="F808" s="2">
        <v>1</v>
      </c>
      <c r="G808" s="4">
        <v>1.0293001366327614</v>
      </c>
      <c r="H808" s="2">
        <v>25</v>
      </c>
      <c r="I808" s="2">
        <v>5</v>
      </c>
      <c r="J808" s="2">
        <v>16</v>
      </c>
      <c r="K808" s="11">
        <v>1</v>
      </c>
      <c r="L808" s="11">
        <v>-1</v>
      </c>
      <c r="M808" s="4">
        <v>1</v>
      </c>
      <c r="N808" s="10">
        <v>0.995</v>
      </c>
      <c r="O808" s="4">
        <v>14.85</v>
      </c>
      <c r="P808" s="4">
        <v>-14.85</v>
      </c>
      <c r="Q808" s="3" t="s">
        <v>1617</v>
      </c>
      <c r="R808" s="3" t="s">
        <v>1621</v>
      </c>
      <c r="S808" s="3" t="s">
        <v>1622</v>
      </c>
      <c r="T808" s="3"/>
    </row>
    <row r="809" spans="1:20">
      <c r="A809" s="3" t="s">
        <v>1594</v>
      </c>
      <c r="B809" s="3" t="s">
        <v>1612</v>
      </c>
      <c r="C809" s="3" t="s">
        <v>1596</v>
      </c>
      <c r="D809" s="3" t="s">
        <v>41</v>
      </c>
      <c r="E809" s="3" t="s">
        <v>42</v>
      </c>
      <c r="F809" s="2">
        <v>1</v>
      </c>
      <c r="G809" s="4">
        <v>1.0293845558676602</v>
      </c>
      <c r="H809" s="2">
        <v>50</v>
      </c>
      <c r="I809" s="2">
        <v>5</v>
      </c>
      <c r="J809" s="2">
        <v>16</v>
      </c>
      <c r="K809" s="4">
        <v>0.95275356720917359</v>
      </c>
      <c r="L809" s="14">
        <v>0.19883559735098399</v>
      </c>
      <c r="M809" s="4">
        <v>0.19883559735098399</v>
      </c>
      <c r="N809" s="10">
        <v>0.19900000000000001</v>
      </c>
      <c r="O809" s="4">
        <v>1.0828998494069866</v>
      </c>
      <c r="P809" s="4">
        <v>1.08</v>
      </c>
      <c r="Q809" s="3" t="s">
        <v>1597</v>
      </c>
      <c r="R809" s="3" t="s">
        <v>1613</v>
      </c>
      <c r="S809" s="3" t="s">
        <v>1614</v>
      </c>
      <c r="T809" s="3"/>
    </row>
    <row r="810" spans="1:20">
      <c r="A810" s="3" t="s">
        <v>1604</v>
      </c>
      <c r="B810" s="3" t="s">
        <v>1601</v>
      </c>
      <c r="C810" s="3" t="s">
        <v>1596</v>
      </c>
      <c r="D810" s="3" t="s">
        <v>41</v>
      </c>
      <c r="E810" s="3" t="s">
        <v>42</v>
      </c>
      <c r="F810" s="2">
        <v>1</v>
      </c>
      <c r="G810" s="4">
        <v>1.0293845558676602</v>
      </c>
      <c r="H810" s="2">
        <v>25</v>
      </c>
      <c r="I810" s="2">
        <v>30</v>
      </c>
      <c r="J810" s="2">
        <v>16</v>
      </c>
      <c r="K810" s="4">
        <v>1</v>
      </c>
      <c r="L810" s="4">
        <v>0.190045533034433</v>
      </c>
      <c r="M810" s="4">
        <v>0.190045533034433</v>
      </c>
      <c r="N810" s="10">
        <v>0.19</v>
      </c>
      <c r="O810" s="4">
        <v>0.95382964950725213</v>
      </c>
      <c r="P810" s="4">
        <v>0.95</v>
      </c>
      <c r="Q810" s="3" t="s">
        <v>1597</v>
      </c>
      <c r="R810" s="3" t="s">
        <v>1602</v>
      </c>
      <c r="S810" s="3" t="s">
        <v>1603</v>
      </c>
      <c r="T810" s="3"/>
    </row>
    <row r="811" spans="1:20">
      <c r="A811" s="3" t="s">
        <v>1600</v>
      </c>
      <c r="B811" s="3" t="s">
        <v>1601</v>
      </c>
      <c r="C811" s="3" t="s">
        <v>1596</v>
      </c>
      <c r="D811" s="3" t="s">
        <v>41</v>
      </c>
      <c r="E811" s="3" t="s">
        <v>42</v>
      </c>
      <c r="F811" s="2">
        <v>1</v>
      </c>
      <c r="G811" s="4">
        <v>1.0293845558676602</v>
      </c>
      <c r="H811" s="2">
        <v>25</v>
      </c>
      <c r="I811" s="2">
        <v>5</v>
      </c>
      <c r="J811" s="2">
        <v>1</v>
      </c>
      <c r="K811" s="4">
        <v>0.56116642637457281</v>
      </c>
      <c r="L811" s="4">
        <v>0.18878970375884552</v>
      </c>
      <c r="M811" s="4">
        <v>0.18878970375884552</v>
      </c>
      <c r="N811" s="10">
        <v>0.189</v>
      </c>
      <c r="O811" s="4">
        <v>0.94737161902090938</v>
      </c>
      <c r="P811" s="4">
        <v>0.95</v>
      </c>
      <c r="Q811" s="3" t="s">
        <v>1597</v>
      </c>
      <c r="R811" s="3" t="s">
        <v>1602</v>
      </c>
      <c r="S811" s="3" t="s">
        <v>1603</v>
      </c>
      <c r="T811" s="3"/>
    </row>
    <row r="812" spans="1:20">
      <c r="A812" s="3" t="s">
        <v>1604</v>
      </c>
      <c r="B812" s="3" t="s">
        <v>1601</v>
      </c>
      <c r="C812" s="3" t="s">
        <v>1616</v>
      </c>
      <c r="D812" s="3" t="s">
        <v>41</v>
      </c>
      <c r="E812" s="3" t="s">
        <v>42</v>
      </c>
      <c r="F812" s="2">
        <v>1</v>
      </c>
      <c r="G812" s="4">
        <v>1.0293845558676602</v>
      </c>
      <c r="H812" s="2">
        <v>25</v>
      </c>
      <c r="I812" s="2">
        <v>30</v>
      </c>
      <c r="J812" s="2">
        <v>16</v>
      </c>
      <c r="K812" s="4">
        <v>1</v>
      </c>
      <c r="L812" s="4">
        <v>0.18120174251260751</v>
      </c>
      <c r="M812" s="4">
        <v>0.18120174251260751</v>
      </c>
      <c r="N812" s="10">
        <v>0.18099999999999999</v>
      </c>
      <c r="O812" s="4">
        <v>0.90841763839143252</v>
      </c>
      <c r="P812" s="4">
        <v>0.91</v>
      </c>
      <c r="Q812" s="3" t="s">
        <v>1597</v>
      </c>
      <c r="R812" s="3" t="s">
        <v>1602</v>
      </c>
      <c r="S812" s="3" t="s">
        <v>1603</v>
      </c>
      <c r="T812" s="3"/>
    </row>
    <row r="813" spans="1:20">
      <c r="A813" s="3" t="s">
        <v>1600</v>
      </c>
      <c r="B813" s="3" t="s">
        <v>1601</v>
      </c>
      <c r="C813" s="3" t="s">
        <v>1596</v>
      </c>
      <c r="D813" s="3" t="s">
        <v>41</v>
      </c>
      <c r="E813" s="3" t="s">
        <v>42</v>
      </c>
      <c r="F813" s="2">
        <v>1</v>
      </c>
      <c r="G813" s="4">
        <v>1.0293845558676602</v>
      </c>
      <c r="H813" s="2">
        <v>25</v>
      </c>
      <c r="I813" s="2">
        <v>5</v>
      </c>
      <c r="J813" s="2">
        <v>16</v>
      </c>
      <c r="K813" s="4">
        <v>1</v>
      </c>
      <c r="L813" s="4">
        <v>0.17848802315253237</v>
      </c>
      <c r="M813" s="4">
        <v>0.17848802315253237</v>
      </c>
      <c r="N813" s="10">
        <v>0.17799999999999999</v>
      </c>
      <c r="O813" s="4">
        <v>0.89451346163685608</v>
      </c>
      <c r="P813" s="4">
        <v>0.89</v>
      </c>
      <c r="Q813" s="3" t="s">
        <v>1597</v>
      </c>
      <c r="R813" s="3" t="s">
        <v>1602</v>
      </c>
      <c r="S813" s="3" t="s">
        <v>1603</v>
      </c>
      <c r="T813" s="3"/>
    </row>
    <row r="814" spans="1:20">
      <c r="A814" s="3" t="s">
        <v>1600</v>
      </c>
      <c r="B814" s="3" t="s">
        <v>1601</v>
      </c>
      <c r="C814" s="3" t="s">
        <v>1616</v>
      </c>
      <c r="D814" s="3" t="s">
        <v>41</v>
      </c>
      <c r="E814" s="3" t="s">
        <v>42</v>
      </c>
      <c r="F814" s="2">
        <v>1</v>
      </c>
      <c r="G814" s="4">
        <v>1.0293845558676602</v>
      </c>
      <c r="H814" s="2">
        <v>25</v>
      </c>
      <c r="I814" s="2">
        <v>5</v>
      </c>
      <c r="J814" s="2">
        <v>1</v>
      </c>
      <c r="K814" s="4">
        <v>0.98042413932178307</v>
      </c>
      <c r="L814" s="4">
        <v>0.17198243277049155</v>
      </c>
      <c r="M814" s="4">
        <v>0.17198243277049155</v>
      </c>
      <c r="N814" s="10">
        <v>0.17199999999999999</v>
      </c>
      <c r="O814" s="4">
        <v>0.86123719936823051</v>
      </c>
      <c r="P814" s="4">
        <v>0.86</v>
      </c>
      <c r="Q814" s="3" t="s">
        <v>1597</v>
      </c>
      <c r="R814" s="3" t="s">
        <v>1602</v>
      </c>
      <c r="S814" s="3" t="s">
        <v>1603</v>
      </c>
      <c r="T814" s="3"/>
    </row>
    <row r="815" spans="1:20">
      <c r="A815" s="12" t="s">
        <v>1605</v>
      </c>
      <c r="B815" s="3" t="s">
        <v>1601</v>
      </c>
      <c r="C815" s="3" t="s">
        <v>1596</v>
      </c>
      <c r="D815" s="3" t="s">
        <v>41</v>
      </c>
      <c r="E815" s="3" t="s">
        <v>42</v>
      </c>
      <c r="F815" s="2">
        <v>1</v>
      </c>
      <c r="G815" s="4">
        <v>1.0293845558676602</v>
      </c>
      <c r="H815" s="2">
        <v>25</v>
      </c>
      <c r="I815" s="2">
        <v>5</v>
      </c>
      <c r="J815" s="2">
        <v>16</v>
      </c>
      <c r="K815" s="11">
        <v>1</v>
      </c>
      <c r="L815" s="11">
        <v>0.17004894005335278</v>
      </c>
      <c r="M815" s="4">
        <v>0.17004894005335278</v>
      </c>
      <c r="N815" s="10">
        <v>0.17</v>
      </c>
      <c r="O815" s="4">
        <v>0.85136225589520875</v>
      </c>
      <c r="P815" s="4">
        <v>0.85</v>
      </c>
      <c r="Q815" s="3" t="s">
        <v>1597</v>
      </c>
      <c r="R815" s="3" t="s">
        <v>1602</v>
      </c>
      <c r="S815" s="3" t="s">
        <v>1603</v>
      </c>
      <c r="T815" s="3"/>
    </row>
    <row r="816" spans="1:20">
      <c r="A816" s="3" t="s">
        <v>1600</v>
      </c>
      <c r="B816" s="3" t="s">
        <v>1601</v>
      </c>
      <c r="C816" s="3" t="s">
        <v>1616</v>
      </c>
      <c r="D816" s="3" t="s">
        <v>41</v>
      </c>
      <c r="E816" s="3" t="s">
        <v>42</v>
      </c>
      <c r="F816" s="2">
        <v>1</v>
      </c>
      <c r="G816" s="4">
        <v>1.0293845558676602</v>
      </c>
      <c r="H816" s="2">
        <v>25</v>
      </c>
      <c r="I816" s="2">
        <v>5</v>
      </c>
      <c r="J816" s="2">
        <v>16</v>
      </c>
      <c r="K816" s="4">
        <v>1</v>
      </c>
      <c r="L816" s="4">
        <v>0.15792084836653278</v>
      </c>
      <c r="M816" s="4">
        <v>0.15792084836653278</v>
      </c>
      <c r="N816" s="10">
        <v>0.158</v>
      </c>
      <c r="O816" s="4">
        <v>0.7895694345286981</v>
      </c>
      <c r="P816" s="4">
        <v>0.79</v>
      </c>
      <c r="Q816" s="3" t="s">
        <v>1597</v>
      </c>
      <c r="R816" s="3" t="s">
        <v>1602</v>
      </c>
      <c r="S816" s="3" t="s">
        <v>1603</v>
      </c>
      <c r="T816" s="3"/>
    </row>
    <row r="817" spans="1:20">
      <c r="A817" s="3" t="s">
        <v>1600</v>
      </c>
      <c r="B817" s="3" t="s">
        <v>1609</v>
      </c>
      <c r="C817" s="3" t="s">
        <v>1616</v>
      </c>
      <c r="D817" s="3" t="s">
        <v>41</v>
      </c>
      <c r="E817" s="3" t="s">
        <v>42</v>
      </c>
      <c r="F817" s="2">
        <v>1</v>
      </c>
      <c r="G817" s="4">
        <v>1.0293845558676602</v>
      </c>
      <c r="H817" s="2">
        <v>25</v>
      </c>
      <c r="I817" s="2">
        <v>5</v>
      </c>
      <c r="J817" s="2">
        <v>1</v>
      </c>
      <c r="K817" s="4">
        <v>0.44673611196829255</v>
      </c>
      <c r="L817" s="4">
        <v>7.0857412926004185E-2</v>
      </c>
      <c r="M817" s="4">
        <v>7.0857412926004185E-2</v>
      </c>
      <c r="N817" s="10">
        <v>7.0999999999999994E-2</v>
      </c>
      <c r="O817" s="4">
        <v>0.35189626421298864</v>
      </c>
      <c r="P817" s="4">
        <v>0.35</v>
      </c>
      <c r="Q817" s="3" t="s">
        <v>1597</v>
      </c>
      <c r="R817" s="3" t="s">
        <v>1610</v>
      </c>
      <c r="S817" s="3" t="s">
        <v>1611</v>
      </c>
      <c r="T817" s="3"/>
    </row>
    <row r="818" spans="1:20">
      <c r="A818" s="3" t="s">
        <v>1600</v>
      </c>
      <c r="B818" s="3" t="s">
        <v>1609</v>
      </c>
      <c r="C818" s="3" t="s">
        <v>1616</v>
      </c>
      <c r="D818" s="3" t="s">
        <v>41</v>
      </c>
      <c r="E818" s="3" t="s">
        <v>42</v>
      </c>
      <c r="F818" s="2">
        <v>1</v>
      </c>
      <c r="G818" s="4">
        <v>1.0293845558676602</v>
      </c>
      <c r="H818" s="2">
        <v>25</v>
      </c>
      <c r="I818" s="2">
        <v>5</v>
      </c>
      <c r="J818" s="2">
        <v>16</v>
      </c>
      <c r="K818" s="11">
        <v>0.60795190006335886</v>
      </c>
      <c r="L818" s="11">
        <v>-3.7258569441025978E-3</v>
      </c>
      <c r="M818" s="4">
        <v>3.7258569441025978E-3</v>
      </c>
      <c r="N818" s="10">
        <v>4.0000000000000001E-3</v>
      </c>
      <c r="O818" s="4">
        <v>1.8472647057539388E-2</v>
      </c>
      <c r="P818" s="4">
        <v>-0.02</v>
      </c>
      <c r="Q818" s="3" t="s">
        <v>1617</v>
      </c>
      <c r="R818" s="3" t="s">
        <v>1623</v>
      </c>
      <c r="S818" s="3" t="s">
        <v>1624</v>
      </c>
      <c r="T818" s="3"/>
    </row>
    <row r="819" spans="1:20">
      <c r="A819" s="3" t="s">
        <v>1600</v>
      </c>
      <c r="B819" s="3" t="s">
        <v>1606</v>
      </c>
      <c r="C819" s="3" t="s">
        <v>1616</v>
      </c>
      <c r="D819" s="3" t="s">
        <v>41</v>
      </c>
      <c r="E819" s="3" t="s">
        <v>42</v>
      </c>
      <c r="F819" s="2">
        <v>1</v>
      </c>
      <c r="G819" s="4">
        <v>1.0293845558676602</v>
      </c>
      <c r="H819" s="2">
        <v>25</v>
      </c>
      <c r="I819" s="2">
        <v>5</v>
      </c>
      <c r="J819" s="2">
        <v>1</v>
      </c>
      <c r="K819" s="4">
        <v>1</v>
      </c>
      <c r="L819" s="4">
        <v>-9.8037540980375454E-2</v>
      </c>
      <c r="M819" s="4">
        <v>9.8037540980375454E-2</v>
      </c>
      <c r="N819" s="10">
        <v>9.8000000000000004E-2</v>
      </c>
      <c r="O819" s="4">
        <v>0.48763017546580684</v>
      </c>
      <c r="P819" s="4">
        <v>-0.49</v>
      </c>
      <c r="Q819" s="3" t="s">
        <v>1617</v>
      </c>
      <c r="R819" s="3" t="s">
        <v>1621</v>
      </c>
      <c r="S819" s="3" t="s">
        <v>1622</v>
      </c>
      <c r="T819" s="3"/>
    </row>
    <row r="820" spans="1:20">
      <c r="A820" s="3" t="s">
        <v>1600</v>
      </c>
      <c r="B820" s="3" t="s">
        <v>1606</v>
      </c>
      <c r="C820" s="3" t="s">
        <v>1616</v>
      </c>
      <c r="D820" s="3" t="s">
        <v>41</v>
      </c>
      <c r="E820" s="3" t="s">
        <v>42</v>
      </c>
      <c r="F820" s="2">
        <v>1</v>
      </c>
      <c r="G820" s="4">
        <v>1.0293845558676602</v>
      </c>
      <c r="H820" s="2">
        <v>25</v>
      </c>
      <c r="I820" s="2">
        <v>5</v>
      </c>
      <c r="J820" s="2">
        <v>16</v>
      </c>
      <c r="K820" s="11">
        <v>1</v>
      </c>
      <c r="L820" s="11">
        <v>-0.12111286776158274</v>
      </c>
      <c r="M820" s="4">
        <v>0.12111286776158274</v>
      </c>
      <c r="N820" s="10">
        <v>0.121</v>
      </c>
      <c r="O820" s="4">
        <v>0.60343196562575985</v>
      </c>
      <c r="P820" s="4">
        <v>-0.6</v>
      </c>
      <c r="Q820" s="3" t="s">
        <v>1617</v>
      </c>
      <c r="R820" s="3" t="s">
        <v>1621</v>
      </c>
      <c r="S820" s="3" t="s">
        <v>1622</v>
      </c>
      <c r="T820" s="3"/>
    </row>
    <row r="821" spans="1:20">
      <c r="A821" s="3" t="s">
        <v>1600</v>
      </c>
      <c r="B821" s="3" t="s">
        <v>1606</v>
      </c>
      <c r="C821" s="3" t="s">
        <v>1596</v>
      </c>
      <c r="D821" s="3" t="s">
        <v>41</v>
      </c>
      <c r="E821" s="3" t="s">
        <v>42</v>
      </c>
      <c r="F821" s="2">
        <v>1</v>
      </c>
      <c r="G821" s="4">
        <v>1.0293845558676602</v>
      </c>
      <c r="H821" s="2">
        <v>25</v>
      </c>
      <c r="I821" s="2">
        <v>5</v>
      </c>
      <c r="J821" s="2">
        <v>1</v>
      </c>
      <c r="K821" s="11">
        <v>1</v>
      </c>
      <c r="L821" s="11">
        <v>-0.12556524368862809</v>
      </c>
      <c r="M821" s="4">
        <v>0.12556524368862809</v>
      </c>
      <c r="N821" s="10">
        <v>0.126</v>
      </c>
      <c r="O821" s="4">
        <v>0.62584759973848625</v>
      </c>
      <c r="P821" s="4">
        <v>-0.63</v>
      </c>
      <c r="Q821" s="3" t="s">
        <v>1617</v>
      </c>
      <c r="R821" s="3" t="s">
        <v>1621</v>
      </c>
      <c r="S821" s="3" t="s">
        <v>1622</v>
      </c>
      <c r="T821" s="3"/>
    </row>
    <row r="822" spans="1:20">
      <c r="A822" s="3" t="s">
        <v>1600</v>
      </c>
      <c r="B822" s="3" t="s">
        <v>1606</v>
      </c>
      <c r="C822" s="3" t="s">
        <v>1596</v>
      </c>
      <c r="D822" s="3" t="s">
        <v>41</v>
      </c>
      <c r="E822" s="3" t="s">
        <v>42</v>
      </c>
      <c r="F822" s="2">
        <v>1</v>
      </c>
      <c r="G822" s="4">
        <v>1.0293845558676602</v>
      </c>
      <c r="H822" s="2">
        <v>25</v>
      </c>
      <c r="I822" s="2">
        <v>5</v>
      </c>
      <c r="J822" s="2">
        <v>16</v>
      </c>
      <c r="K822" s="11">
        <v>1</v>
      </c>
      <c r="L822" s="11">
        <v>-0.16395879247603914</v>
      </c>
      <c r="M822" s="4">
        <v>0.16395879247603914</v>
      </c>
      <c r="N822" s="10">
        <v>0.16400000000000001</v>
      </c>
      <c r="O822" s="4">
        <v>0.82030128530345647</v>
      </c>
      <c r="P822" s="4">
        <v>-0.82</v>
      </c>
      <c r="Q822" s="3" t="s">
        <v>1617</v>
      </c>
      <c r="R822" s="3" t="s">
        <v>1621</v>
      </c>
      <c r="S822" s="3" t="s">
        <v>1622</v>
      </c>
      <c r="T822" s="3"/>
    </row>
    <row r="823" spans="1:20">
      <c r="A823" s="3" t="s">
        <v>1594</v>
      </c>
      <c r="B823" s="3" t="s">
        <v>1595</v>
      </c>
      <c r="C823" s="3" t="s">
        <v>1596</v>
      </c>
      <c r="D823" s="3" t="s">
        <v>41</v>
      </c>
      <c r="E823" s="3" t="s">
        <v>42</v>
      </c>
      <c r="F823" s="2">
        <v>1</v>
      </c>
      <c r="G823" s="4">
        <v>1.0293845558676602</v>
      </c>
      <c r="H823" s="2">
        <v>50</v>
      </c>
      <c r="I823" s="2">
        <v>5</v>
      </c>
      <c r="J823" s="2">
        <v>16</v>
      </c>
      <c r="K823" s="4">
        <v>0.58488181104421555</v>
      </c>
      <c r="L823" s="14">
        <v>-0.16502301469422861</v>
      </c>
      <c r="M823" s="4">
        <v>0.16502301469422861</v>
      </c>
      <c r="N823" s="10">
        <v>0.16500000000000001</v>
      </c>
      <c r="O823" s="4">
        <v>0.89496169288676619</v>
      </c>
      <c r="P823" s="4">
        <v>-0.89</v>
      </c>
      <c r="Q823" s="3" t="s">
        <v>1617</v>
      </c>
      <c r="R823" s="3" t="s">
        <v>1625</v>
      </c>
      <c r="S823" s="3" t="s">
        <v>1626</v>
      </c>
      <c r="T823" s="3"/>
    </row>
    <row r="824" spans="1:20">
      <c r="A824" s="3" t="s">
        <v>1600</v>
      </c>
      <c r="B824" s="3" t="s">
        <v>1609</v>
      </c>
      <c r="C824" s="3" t="s">
        <v>1596</v>
      </c>
      <c r="D824" s="3" t="s">
        <v>41</v>
      </c>
      <c r="E824" s="3" t="s">
        <v>42</v>
      </c>
      <c r="F824" s="2">
        <v>1</v>
      </c>
      <c r="G824" s="4">
        <v>1.0293845558676602</v>
      </c>
      <c r="H824" s="2">
        <v>25</v>
      </c>
      <c r="I824" s="2">
        <v>5</v>
      </c>
      <c r="J824" s="2">
        <v>1</v>
      </c>
      <c r="K824" s="11">
        <v>1</v>
      </c>
      <c r="L824" s="11">
        <v>-0.19218753902610447</v>
      </c>
      <c r="M824" s="4">
        <v>0.19218753902610447</v>
      </c>
      <c r="N824" s="10">
        <v>0.192</v>
      </c>
      <c r="O824" s="4">
        <v>0.96485218778516224</v>
      </c>
      <c r="P824" s="4">
        <v>-0.96</v>
      </c>
      <c r="Q824" s="3" t="s">
        <v>1617</v>
      </c>
      <c r="R824" s="3" t="s">
        <v>1623</v>
      </c>
      <c r="S824" s="3" t="s">
        <v>1624</v>
      </c>
      <c r="T824" s="3"/>
    </row>
    <row r="825" spans="1:20">
      <c r="A825" s="3" t="s">
        <v>1600</v>
      </c>
      <c r="B825" s="3" t="s">
        <v>1609</v>
      </c>
      <c r="C825" s="3" t="s">
        <v>1596</v>
      </c>
      <c r="D825" s="3" t="s">
        <v>41</v>
      </c>
      <c r="E825" s="3" t="s">
        <v>42</v>
      </c>
      <c r="F825" s="2">
        <v>1</v>
      </c>
      <c r="G825" s="4">
        <v>1.0293845558676602</v>
      </c>
      <c r="H825" s="2">
        <v>25</v>
      </c>
      <c r="I825" s="2">
        <v>5</v>
      </c>
      <c r="J825" s="2">
        <v>16</v>
      </c>
      <c r="K825" s="4">
        <v>1</v>
      </c>
      <c r="L825" s="4">
        <v>-0.27351526438264478</v>
      </c>
      <c r="M825" s="4">
        <v>0.27351526438264478</v>
      </c>
      <c r="N825" s="10">
        <v>0.27400000000000002</v>
      </c>
      <c r="O825" s="4">
        <v>1.3914914624849239</v>
      </c>
      <c r="P825" s="4">
        <v>-1.39</v>
      </c>
      <c r="Q825" s="3" t="s">
        <v>1617</v>
      </c>
      <c r="R825" s="3" t="s">
        <v>1623</v>
      </c>
      <c r="S825" s="3" t="s">
        <v>1624</v>
      </c>
      <c r="T825" s="3"/>
    </row>
    <row r="826" spans="1:20">
      <c r="A826" s="3" t="s">
        <v>1594</v>
      </c>
      <c r="B826" s="3" t="s">
        <v>1595</v>
      </c>
      <c r="C826" s="3" t="s">
        <v>1596</v>
      </c>
      <c r="D826" s="3" t="s">
        <v>218</v>
      </c>
      <c r="E826" s="3" t="s">
        <v>219</v>
      </c>
      <c r="F826" s="2">
        <v>1</v>
      </c>
      <c r="G826" s="4">
        <v>1.0297283146198148</v>
      </c>
      <c r="H826" s="2">
        <v>50</v>
      </c>
      <c r="I826" s="2">
        <v>5</v>
      </c>
      <c r="J826" s="2">
        <v>16</v>
      </c>
      <c r="K826" s="4">
        <v>1</v>
      </c>
      <c r="L826" s="14">
        <v>0.12530602139091659</v>
      </c>
      <c r="M826" s="4">
        <v>0.12530602139091659</v>
      </c>
      <c r="N826" s="10">
        <v>0.125</v>
      </c>
      <c r="O826" s="4">
        <v>0.6769099377352612</v>
      </c>
      <c r="P826" s="4">
        <v>0.68</v>
      </c>
      <c r="Q826" s="3" t="s">
        <v>1597</v>
      </c>
      <c r="R826" s="3" t="s">
        <v>1598</v>
      </c>
      <c r="S826" s="3" t="s">
        <v>1599</v>
      </c>
      <c r="T826" s="3"/>
    </row>
    <row r="827" spans="1:20">
      <c r="A827" s="3" t="s">
        <v>1600</v>
      </c>
      <c r="B827" s="3" t="s">
        <v>1609</v>
      </c>
      <c r="C827" s="3" t="s">
        <v>1616</v>
      </c>
      <c r="D827" s="3" t="s">
        <v>218</v>
      </c>
      <c r="E827" s="3" t="s">
        <v>219</v>
      </c>
      <c r="F827" s="2">
        <v>1</v>
      </c>
      <c r="G827" s="4">
        <v>1.0297283146198148</v>
      </c>
      <c r="H827" s="2">
        <v>25</v>
      </c>
      <c r="I827" s="2">
        <v>5</v>
      </c>
      <c r="J827" s="2">
        <v>16</v>
      </c>
      <c r="K827" s="11">
        <v>1.141737716874125E-2</v>
      </c>
      <c r="L827" s="11">
        <v>0.1012136974425661</v>
      </c>
      <c r="M827" s="4">
        <v>0.1012136974425661</v>
      </c>
      <c r="N827" s="10">
        <v>0.10100000000000001</v>
      </c>
      <c r="O827" s="4">
        <v>0.50353523284342872</v>
      </c>
      <c r="P827" s="4">
        <v>0.5</v>
      </c>
      <c r="Q827" s="3" t="s">
        <v>1597</v>
      </c>
      <c r="R827" s="3" t="s">
        <v>1610</v>
      </c>
      <c r="S827" s="3" t="s">
        <v>1611</v>
      </c>
      <c r="T827" s="3"/>
    </row>
    <row r="828" spans="1:20">
      <c r="A828" s="3" t="s">
        <v>1600</v>
      </c>
      <c r="B828" s="3" t="s">
        <v>1601</v>
      </c>
      <c r="C828" s="3" t="s">
        <v>1596</v>
      </c>
      <c r="D828" s="3" t="s">
        <v>218</v>
      </c>
      <c r="E828" s="3" t="s">
        <v>219</v>
      </c>
      <c r="F828" s="2">
        <v>1</v>
      </c>
      <c r="G828" s="4">
        <v>1.0297283146198148</v>
      </c>
      <c r="H828" s="2">
        <v>25</v>
      </c>
      <c r="I828" s="2">
        <v>5</v>
      </c>
      <c r="J828" s="2">
        <v>1</v>
      </c>
      <c r="K828" s="4">
        <v>0</v>
      </c>
      <c r="L828" s="4">
        <v>0</v>
      </c>
      <c r="M828" s="4">
        <v>0</v>
      </c>
      <c r="N828" s="10">
        <v>0</v>
      </c>
      <c r="O828" s="4">
        <v>0</v>
      </c>
      <c r="P828" s="4">
        <v>0</v>
      </c>
      <c r="Q828" s="3" t="s">
        <v>1617</v>
      </c>
      <c r="R828" s="3" t="s">
        <v>1618</v>
      </c>
      <c r="S828" s="3" t="s">
        <v>1619</v>
      </c>
      <c r="T828" s="3"/>
    </row>
    <row r="829" spans="1:20">
      <c r="A829" s="3" t="s">
        <v>1600</v>
      </c>
      <c r="B829" s="3" t="s">
        <v>1606</v>
      </c>
      <c r="C829" s="3" t="s">
        <v>1596</v>
      </c>
      <c r="D829" s="3" t="s">
        <v>218</v>
      </c>
      <c r="E829" s="3" t="s">
        <v>219</v>
      </c>
      <c r="F829" s="2">
        <v>1</v>
      </c>
      <c r="G829" s="4">
        <v>1.0297283146198148</v>
      </c>
      <c r="H829" s="2">
        <v>25</v>
      </c>
      <c r="I829" s="2">
        <v>5</v>
      </c>
      <c r="J829" s="2">
        <v>1</v>
      </c>
      <c r="K829" s="11">
        <v>0</v>
      </c>
      <c r="L829" s="11">
        <v>0</v>
      </c>
      <c r="M829" s="4">
        <v>0</v>
      </c>
      <c r="N829" s="10">
        <v>0</v>
      </c>
      <c r="O829" s="4">
        <v>0</v>
      </c>
      <c r="P829" s="4">
        <v>0</v>
      </c>
      <c r="Q829" s="3" t="s">
        <v>1617</v>
      </c>
      <c r="R829" s="3" t="s">
        <v>1621</v>
      </c>
      <c r="S829" s="3" t="s">
        <v>1622</v>
      </c>
      <c r="T829" s="3"/>
    </row>
    <row r="830" spans="1:20">
      <c r="A830" s="3" t="s">
        <v>1600</v>
      </c>
      <c r="B830" s="3" t="s">
        <v>1606</v>
      </c>
      <c r="C830" s="3" t="s">
        <v>1596</v>
      </c>
      <c r="D830" s="3" t="s">
        <v>218</v>
      </c>
      <c r="E830" s="3" t="s">
        <v>219</v>
      </c>
      <c r="F830" s="2">
        <v>1</v>
      </c>
      <c r="G830" s="4">
        <v>1.0297283146198148</v>
      </c>
      <c r="H830" s="2">
        <v>25</v>
      </c>
      <c r="I830" s="2">
        <v>5</v>
      </c>
      <c r="J830" s="2">
        <v>16</v>
      </c>
      <c r="K830" s="11">
        <v>0</v>
      </c>
      <c r="L830" s="11">
        <v>0</v>
      </c>
      <c r="M830" s="4">
        <v>0</v>
      </c>
      <c r="N830" s="10">
        <v>0</v>
      </c>
      <c r="O830" s="4">
        <v>0</v>
      </c>
      <c r="P830" s="4">
        <v>0</v>
      </c>
      <c r="Q830" s="3" t="s">
        <v>1617</v>
      </c>
      <c r="R830" s="3" t="s">
        <v>1621</v>
      </c>
      <c r="S830" s="3" t="s">
        <v>1622</v>
      </c>
      <c r="T830" s="3"/>
    </row>
    <row r="831" spans="1:20">
      <c r="A831" s="3" t="s">
        <v>1600</v>
      </c>
      <c r="B831" s="3" t="s">
        <v>1609</v>
      </c>
      <c r="C831" s="3" t="s">
        <v>1596</v>
      </c>
      <c r="D831" s="3" t="s">
        <v>218</v>
      </c>
      <c r="E831" s="3" t="s">
        <v>219</v>
      </c>
      <c r="F831" s="2">
        <v>1</v>
      </c>
      <c r="G831" s="4">
        <v>1.0297283146198148</v>
      </c>
      <c r="H831" s="2">
        <v>25</v>
      </c>
      <c r="I831" s="2">
        <v>5</v>
      </c>
      <c r="J831" s="2">
        <v>1</v>
      </c>
      <c r="K831" s="11">
        <v>0</v>
      </c>
      <c r="L831" s="11">
        <v>0</v>
      </c>
      <c r="M831" s="4">
        <v>0</v>
      </c>
      <c r="N831" s="10">
        <v>0</v>
      </c>
      <c r="O831" s="4">
        <v>0</v>
      </c>
      <c r="P831" s="4">
        <v>0</v>
      </c>
      <c r="Q831" s="3" t="s">
        <v>1617</v>
      </c>
      <c r="R831" s="3" t="s">
        <v>1623</v>
      </c>
      <c r="S831" s="3" t="s">
        <v>1624</v>
      </c>
      <c r="T831" s="3"/>
    </row>
    <row r="832" spans="1:20">
      <c r="A832" s="3" t="s">
        <v>1600</v>
      </c>
      <c r="B832" s="3" t="s">
        <v>1606</v>
      </c>
      <c r="C832" s="3" t="s">
        <v>1616</v>
      </c>
      <c r="D832" s="3" t="s">
        <v>218</v>
      </c>
      <c r="E832" s="3" t="s">
        <v>219</v>
      </c>
      <c r="F832" s="2">
        <v>1</v>
      </c>
      <c r="G832" s="4">
        <v>1.0297283146198148</v>
      </c>
      <c r="H832" s="2">
        <v>25</v>
      </c>
      <c r="I832" s="2">
        <v>5</v>
      </c>
      <c r="J832" s="2">
        <v>1</v>
      </c>
      <c r="K832" s="4">
        <v>0</v>
      </c>
      <c r="L832" s="4">
        <v>0</v>
      </c>
      <c r="M832" s="4">
        <v>0</v>
      </c>
      <c r="N832" s="10">
        <v>0</v>
      </c>
      <c r="O832" s="4">
        <v>0</v>
      </c>
      <c r="P832" s="4">
        <v>0</v>
      </c>
      <c r="Q832" s="3" t="s">
        <v>1617</v>
      </c>
      <c r="R832" s="3" t="s">
        <v>1621</v>
      </c>
      <c r="S832" s="3" t="s">
        <v>1622</v>
      </c>
      <c r="T832" s="3"/>
    </row>
    <row r="833" spans="1:20">
      <c r="A833" s="3" t="s">
        <v>1600</v>
      </c>
      <c r="B833" s="3" t="s">
        <v>1606</v>
      </c>
      <c r="C833" s="3" t="s">
        <v>1616</v>
      </c>
      <c r="D833" s="3" t="s">
        <v>218</v>
      </c>
      <c r="E833" s="3" t="s">
        <v>219</v>
      </c>
      <c r="F833" s="2">
        <v>1</v>
      </c>
      <c r="G833" s="4">
        <v>1.0297283146198148</v>
      </c>
      <c r="H833" s="2">
        <v>25</v>
      </c>
      <c r="I833" s="2">
        <v>5</v>
      </c>
      <c r="J833" s="2">
        <v>16</v>
      </c>
      <c r="K833" s="11">
        <v>0</v>
      </c>
      <c r="L833" s="11">
        <v>0</v>
      </c>
      <c r="M833" s="4">
        <v>0</v>
      </c>
      <c r="N833" s="10">
        <v>0</v>
      </c>
      <c r="O833" s="4">
        <v>0</v>
      </c>
      <c r="P833" s="4">
        <v>0</v>
      </c>
      <c r="Q833" s="3" t="s">
        <v>1617</v>
      </c>
      <c r="R833" s="3" t="s">
        <v>1621</v>
      </c>
      <c r="S833" s="3" t="s">
        <v>1622</v>
      </c>
      <c r="T833" s="3"/>
    </row>
    <row r="834" spans="1:20">
      <c r="A834" s="3" t="s">
        <v>1600</v>
      </c>
      <c r="B834" s="3" t="s">
        <v>1609</v>
      </c>
      <c r="C834" s="3" t="s">
        <v>1616</v>
      </c>
      <c r="D834" s="3" t="s">
        <v>218</v>
      </c>
      <c r="E834" s="3" t="s">
        <v>219</v>
      </c>
      <c r="F834" s="2">
        <v>1</v>
      </c>
      <c r="G834" s="4">
        <v>1.0297283146198148</v>
      </c>
      <c r="H834" s="2">
        <v>25</v>
      </c>
      <c r="I834" s="2">
        <v>5</v>
      </c>
      <c r="J834" s="2">
        <v>1</v>
      </c>
      <c r="K834" s="4">
        <v>0</v>
      </c>
      <c r="L834" s="4">
        <v>0</v>
      </c>
      <c r="M834" s="4">
        <v>0</v>
      </c>
      <c r="N834" s="10">
        <v>0</v>
      </c>
      <c r="O834" s="4">
        <v>0</v>
      </c>
      <c r="P834" s="4">
        <v>0</v>
      </c>
      <c r="Q834" s="3" t="s">
        <v>1617</v>
      </c>
      <c r="R834" s="3" t="s">
        <v>1623</v>
      </c>
      <c r="S834" s="3" t="s">
        <v>1624</v>
      </c>
      <c r="T834" s="3"/>
    </row>
    <row r="835" spans="1:20">
      <c r="A835" s="3" t="s">
        <v>1594</v>
      </c>
      <c r="B835" s="3" t="s">
        <v>1612</v>
      </c>
      <c r="C835" s="3" t="s">
        <v>1596</v>
      </c>
      <c r="D835" s="3" t="s">
        <v>218</v>
      </c>
      <c r="E835" s="3" t="s">
        <v>219</v>
      </c>
      <c r="F835" s="2">
        <v>1</v>
      </c>
      <c r="G835" s="4">
        <v>1.0297283146198148</v>
      </c>
      <c r="H835" s="2">
        <v>50</v>
      </c>
      <c r="I835" s="2">
        <v>5</v>
      </c>
      <c r="J835" s="2">
        <v>16</v>
      </c>
      <c r="K835" s="4">
        <v>1</v>
      </c>
      <c r="L835" s="14">
        <v>-0.11207701885475153</v>
      </c>
      <c r="M835" s="4">
        <v>0.11207701885475153</v>
      </c>
      <c r="N835" s="10">
        <v>0.112</v>
      </c>
      <c r="O835" s="4">
        <v>0.60480485328082256</v>
      </c>
      <c r="P835" s="4">
        <v>-0.6</v>
      </c>
      <c r="Q835" s="3" t="s">
        <v>1617</v>
      </c>
      <c r="R835" s="3" t="s">
        <v>1627</v>
      </c>
      <c r="S835" s="3" t="s">
        <v>1628</v>
      </c>
      <c r="T835" s="3"/>
    </row>
    <row r="836" spans="1:20">
      <c r="A836" s="3" t="s">
        <v>1600</v>
      </c>
      <c r="B836" s="3" t="s">
        <v>1601</v>
      </c>
      <c r="C836" s="3" t="s">
        <v>1616</v>
      </c>
      <c r="D836" s="3" t="s">
        <v>218</v>
      </c>
      <c r="E836" s="3" t="s">
        <v>219</v>
      </c>
      <c r="F836" s="2">
        <v>1</v>
      </c>
      <c r="G836" s="4">
        <v>1.0297283146198148</v>
      </c>
      <c r="H836" s="2">
        <v>25</v>
      </c>
      <c r="I836" s="2">
        <v>5</v>
      </c>
      <c r="J836" s="2">
        <v>1</v>
      </c>
      <c r="K836" s="4">
        <v>1.6808470932134334E-2</v>
      </c>
      <c r="L836" s="4">
        <v>-0.40757042253521125</v>
      </c>
      <c r="M836" s="4">
        <v>0.40757042253521125</v>
      </c>
      <c r="N836" s="10">
        <v>0.40799999999999997</v>
      </c>
      <c r="O836" s="4">
        <v>2.145270260940797</v>
      </c>
      <c r="P836" s="4">
        <v>-2.15</v>
      </c>
      <c r="Q836" s="3" t="s">
        <v>1617</v>
      </c>
      <c r="R836" s="3" t="s">
        <v>1618</v>
      </c>
      <c r="S836" s="3" t="s">
        <v>1619</v>
      </c>
      <c r="T836" s="3"/>
    </row>
    <row r="837" spans="1:20">
      <c r="A837" s="3" t="s">
        <v>1604</v>
      </c>
      <c r="B837" s="3" t="s">
        <v>1601</v>
      </c>
      <c r="C837" s="3" t="s">
        <v>1616</v>
      </c>
      <c r="D837" s="3" t="s">
        <v>218</v>
      </c>
      <c r="E837" s="3" t="s">
        <v>219</v>
      </c>
      <c r="F837" s="2">
        <v>1</v>
      </c>
      <c r="G837" s="4">
        <v>1.0297283146198148</v>
      </c>
      <c r="H837" s="2">
        <v>25</v>
      </c>
      <c r="I837" s="2">
        <v>30</v>
      </c>
      <c r="J837" s="2">
        <v>16</v>
      </c>
      <c r="K837" s="4">
        <v>0.46247922511789463</v>
      </c>
      <c r="L837" s="4">
        <v>-0.4874738816090235</v>
      </c>
      <c r="M837" s="4">
        <v>0.4874738816090235</v>
      </c>
      <c r="N837" s="10">
        <v>0.48699999999999999</v>
      </c>
      <c r="O837" s="4">
        <v>2.6412982156135292</v>
      </c>
      <c r="P837" s="4">
        <v>-2.64</v>
      </c>
      <c r="Q837" s="3" t="s">
        <v>1617</v>
      </c>
      <c r="R837" s="3" t="s">
        <v>1618</v>
      </c>
      <c r="S837" s="3" t="s">
        <v>1619</v>
      </c>
      <c r="T837" s="3"/>
    </row>
    <row r="838" spans="1:20">
      <c r="A838" s="3" t="s">
        <v>1604</v>
      </c>
      <c r="B838" s="3" t="s">
        <v>1601</v>
      </c>
      <c r="C838" s="3" t="s">
        <v>1596</v>
      </c>
      <c r="D838" s="3" t="s">
        <v>218</v>
      </c>
      <c r="E838" s="3" t="s">
        <v>219</v>
      </c>
      <c r="F838" s="2">
        <v>1</v>
      </c>
      <c r="G838" s="4">
        <v>1.0297283146198148</v>
      </c>
      <c r="H838" s="2">
        <v>25</v>
      </c>
      <c r="I838" s="2">
        <v>30</v>
      </c>
      <c r="J838" s="2">
        <v>16</v>
      </c>
      <c r="K838" s="4">
        <v>0.99316155187815569</v>
      </c>
      <c r="L838" s="4">
        <v>-0.63178403128730842</v>
      </c>
      <c r="M838" s="4">
        <v>0.63178403128730842</v>
      </c>
      <c r="N838" s="10">
        <v>0.63200000000000001</v>
      </c>
      <c r="O838" s="4">
        <v>3.6905875582324628</v>
      </c>
      <c r="P838" s="4">
        <v>-3.69</v>
      </c>
      <c r="Q838" s="3" t="s">
        <v>1617</v>
      </c>
      <c r="R838" s="3" t="s">
        <v>1618</v>
      </c>
      <c r="S838" s="3" t="s">
        <v>1619</v>
      </c>
      <c r="T838" s="3"/>
    </row>
    <row r="839" spans="1:20">
      <c r="A839" s="3" t="s">
        <v>1600</v>
      </c>
      <c r="B839" s="3" t="s">
        <v>1609</v>
      </c>
      <c r="C839" s="3" t="s">
        <v>1596</v>
      </c>
      <c r="D839" s="3" t="s">
        <v>218</v>
      </c>
      <c r="E839" s="3" t="s">
        <v>219</v>
      </c>
      <c r="F839" s="2">
        <v>1</v>
      </c>
      <c r="G839" s="4">
        <v>1.0297283146198148</v>
      </c>
      <c r="H839" s="2">
        <v>25</v>
      </c>
      <c r="I839" s="2">
        <v>5</v>
      </c>
      <c r="J839" s="2">
        <v>16</v>
      </c>
      <c r="K839" s="4">
        <v>0.2603555594117164</v>
      </c>
      <c r="L839" s="4">
        <v>-0.67230843744401914</v>
      </c>
      <c r="M839" s="4">
        <v>0.67230843744401914</v>
      </c>
      <c r="N839" s="10">
        <v>0.67200000000000004</v>
      </c>
      <c r="O839" s="4">
        <v>4.0404390947691775</v>
      </c>
      <c r="P839" s="4">
        <v>-4.04</v>
      </c>
      <c r="Q839" s="3" t="s">
        <v>1617</v>
      </c>
      <c r="R839" s="3" t="s">
        <v>1623</v>
      </c>
      <c r="S839" s="3" t="s">
        <v>1624</v>
      </c>
      <c r="T839" s="3"/>
    </row>
    <row r="840" spans="1:20">
      <c r="A840" s="3" t="s">
        <v>1600</v>
      </c>
      <c r="B840" s="3" t="s">
        <v>1601</v>
      </c>
      <c r="C840" s="3" t="s">
        <v>1616</v>
      </c>
      <c r="D840" s="3" t="s">
        <v>218</v>
      </c>
      <c r="E840" s="3" t="s">
        <v>219</v>
      </c>
      <c r="F840" s="2">
        <v>1</v>
      </c>
      <c r="G840" s="4">
        <v>1.0297283146198148</v>
      </c>
      <c r="H840" s="2">
        <v>25</v>
      </c>
      <c r="I840" s="2">
        <v>5</v>
      </c>
      <c r="J840" s="2">
        <v>16</v>
      </c>
      <c r="K840" s="4">
        <v>0.29621797990723808</v>
      </c>
      <c r="L840" s="4">
        <v>-0.67826422136502706</v>
      </c>
      <c r="M840" s="4">
        <v>0.67826422136502706</v>
      </c>
      <c r="N840" s="10">
        <v>0.67800000000000005</v>
      </c>
      <c r="O840" s="4">
        <v>4.0947216815746152</v>
      </c>
      <c r="P840" s="4">
        <v>-4.09</v>
      </c>
      <c r="Q840" s="3" t="s">
        <v>1617</v>
      </c>
      <c r="R840" s="3" t="s">
        <v>1618</v>
      </c>
      <c r="S840" s="3" t="s">
        <v>1619</v>
      </c>
      <c r="T840" s="3"/>
    </row>
    <row r="841" spans="1:20">
      <c r="A841" s="3" t="s">
        <v>1600</v>
      </c>
      <c r="B841" s="3" t="s">
        <v>1601</v>
      </c>
      <c r="C841" s="3" t="s">
        <v>1596</v>
      </c>
      <c r="D841" s="3" t="s">
        <v>218</v>
      </c>
      <c r="E841" s="3" t="s">
        <v>219</v>
      </c>
      <c r="F841" s="2">
        <v>1</v>
      </c>
      <c r="G841" s="4">
        <v>1.0297283146198148</v>
      </c>
      <c r="H841" s="2">
        <v>25</v>
      </c>
      <c r="I841" s="2">
        <v>5</v>
      </c>
      <c r="J841" s="2">
        <v>16</v>
      </c>
      <c r="K841" s="4">
        <v>0.35925289630667712</v>
      </c>
      <c r="L841" s="4">
        <v>-0.83104785694877381</v>
      </c>
      <c r="M841" s="4">
        <v>0.83104785694877381</v>
      </c>
      <c r="N841" s="10">
        <v>0.83099999999999996</v>
      </c>
      <c r="O841" s="4">
        <v>5.9074510277171113</v>
      </c>
      <c r="P841" s="4">
        <v>-5.91</v>
      </c>
      <c r="Q841" s="3" t="s">
        <v>1617</v>
      </c>
      <c r="R841" s="3" t="s">
        <v>1618</v>
      </c>
      <c r="S841" s="3" t="s">
        <v>1619</v>
      </c>
      <c r="T841" s="3"/>
    </row>
    <row r="842" spans="1:20">
      <c r="A842" s="12" t="s">
        <v>1605</v>
      </c>
      <c r="B842" s="3" t="s">
        <v>1601</v>
      </c>
      <c r="C842" s="3" t="s">
        <v>1596</v>
      </c>
      <c r="D842" s="3" t="s">
        <v>218</v>
      </c>
      <c r="E842" s="3" t="s">
        <v>219</v>
      </c>
      <c r="F842" s="2">
        <v>1</v>
      </c>
      <c r="G842" s="4">
        <v>1.0297283146198148</v>
      </c>
      <c r="H842" s="2">
        <v>25</v>
      </c>
      <c r="I842" s="2">
        <v>5</v>
      </c>
      <c r="J842" s="2">
        <v>16</v>
      </c>
      <c r="K842" s="11">
        <v>0.46307973083630216</v>
      </c>
      <c r="L842" s="11">
        <v>-0.84560036901537605</v>
      </c>
      <c r="M842" s="4">
        <v>0.84560036901537605</v>
      </c>
      <c r="N842" s="10">
        <v>0.84599999999999997</v>
      </c>
      <c r="O842" s="4">
        <v>6.1503588608606528</v>
      </c>
      <c r="P842" s="4">
        <v>-6.16</v>
      </c>
      <c r="Q842" s="3" t="s">
        <v>1617</v>
      </c>
      <c r="R842" s="3" t="s">
        <v>1618</v>
      </c>
      <c r="S842" s="3" t="s">
        <v>1619</v>
      </c>
      <c r="T842" s="3"/>
    </row>
    <row r="843" spans="1:20">
      <c r="A843" s="3" t="s">
        <v>1594</v>
      </c>
      <c r="B843" s="3" t="s">
        <v>1595</v>
      </c>
      <c r="C843" s="3" t="s">
        <v>1596</v>
      </c>
      <c r="D843" s="3" t="s">
        <v>467</v>
      </c>
      <c r="E843" s="3" t="s">
        <v>468</v>
      </c>
      <c r="F843" s="2">
        <v>1</v>
      </c>
      <c r="G843" s="4">
        <v>1.0297359374759136</v>
      </c>
      <c r="H843" s="2">
        <v>50</v>
      </c>
      <c r="I843" s="2">
        <v>5</v>
      </c>
      <c r="J843" s="2">
        <v>16</v>
      </c>
      <c r="K843" s="4">
        <v>1</v>
      </c>
      <c r="L843" s="14">
        <v>0.19766019562670897</v>
      </c>
      <c r="M843" s="4">
        <v>0.19766019562670897</v>
      </c>
      <c r="N843" s="10">
        <v>0.19800000000000001</v>
      </c>
      <c r="O843" s="4">
        <v>1.0763252409459345</v>
      </c>
      <c r="P843" s="4">
        <v>1.08</v>
      </c>
      <c r="Q843" s="3" t="s">
        <v>1597</v>
      </c>
      <c r="R843" s="3" t="s">
        <v>1598</v>
      </c>
      <c r="S843" s="3" t="s">
        <v>1599</v>
      </c>
      <c r="T843" s="3"/>
    </row>
    <row r="844" spans="1:20">
      <c r="A844" s="3" t="s">
        <v>1594</v>
      </c>
      <c r="B844" s="3" t="s">
        <v>1612</v>
      </c>
      <c r="C844" s="3" t="s">
        <v>1596</v>
      </c>
      <c r="D844" s="3" t="s">
        <v>467</v>
      </c>
      <c r="E844" s="3" t="s">
        <v>468</v>
      </c>
      <c r="F844" s="2">
        <v>1</v>
      </c>
      <c r="G844" s="4">
        <v>1.0297359374759136</v>
      </c>
      <c r="H844" s="2">
        <v>50</v>
      </c>
      <c r="I844" s="2">
        <v>5</v>
      </c>
      <c r="J844" s="2">
        <v>16</v>
      </c>
      <c r="K844" s="4">
        <v>1</v>
      </c>
      <c r="L844" s="14">
        <v>-2.3337457208022865E-2</v>
      </c>
      <c r="M844" s="4">
        <v>2.3337457208022865E-2</v>
      </c>
      <c r="N844" s="10">
        <v>2.3E-2</v>
      </c>
      <c r="O844" s="4">
        <v>0.1254303664498948</v>
      </c>
      <c r="P844" s="4">
        <v>-0.12</v>
      </c>
      <c r="Q844" s="3" t="s">
        <v>1617</v>
      </c>
      <c r="R844" s="3" t="s">
        <v>1627</v>
      </c>
      <c r="S844" s="3" t="s">
        <v>1628</v>
      </c>
      <c r="T844" s="3"/>
    </row>
    <row r="845" spans="1:20">
      <c r="A845" s="3" t="s">
        <v>1600</v>
      </c>
      <c r="B845" s="3" t="s">
        <v>1609</v>
      </c>
      <c r="C845" s="3" t="s">
        <v>1596</v>
      </c>
      <c r="D845" s="3" t="s">
        <v>467</v>
      </c>
      <c r="E845" s="3" t="s">
        <v>468</v>
      </c>
      <c r="F845" s="2">
        <v>1</v>
      </c>
      <c r="G845" s="4">
        <v>1.0297359374759136</v>
      </c>
      <c r="H845" s="2">
        <v>25</v>
      </c>
      <c r="I845" s="2">
        <v>5</v>
      </c>
      <c r="J845" s="2">
        <v>16</v>
      </c>
      <c r="K845" s="4">
        <v>0.12263926887915877</v>
      </c>
      <c r="L845" s="4">
        <v>-0.13424124821670891</v>
      </c>
      <c r="M845" s="4">
        <v>0.13424124821670891</v>
      </c>
      <c r="N845" s="10">
        <v>0.13400000000000001</v>
      </c>
      <c r="O845" s="4">
        <v>0.66960130868289969</v>
      </c>
      <c r="P845" s="4">
        <v>-0.67</v>
      </c>
      <c r="Q845" s="3" t="s">
        <v>1617</v>
      </c>
      <c r="R845" s="3" t="s">
        <v>1623</v>
      </c>
      <c r="S845" s="3" t="s">
        <v>1624</v>
      </c>
      <c r="T845" s="3"/>
    </row>
    <row r="846" spans="1:20">
      <c r="A846" s="3" t="s">
        <v>1600</v>
      </c>
      <c r="B846" s="3" t="s">
        <v>1601</v>
      </c>
      <c r="C846" s="3" t="s">
        <v>1596</v>
      </c>
      <c r="D846" s="3" t="s">
        <v>467</v>
      </c>
      <c r="E846" s="3" t="s">
        <v>468</v>
      </c>
      <c r="F846" s="2">
        <v>1</v>
      </c>
      <c r="G846" s="4">
        <v>1.0297359374759136</v>
      </c>
      <c r="H846" s="2">
        <v>25</v>
      </c>
      <c r="I846" s="2">
        <v>5</v>
      </c>
      <c r="J846" s="2">
        <v>16</v>
      </c>
      <c r="K846" s="4">
        <v>0.92837306694542399</v>
      </c>
      <c r="L846" s="4">
        <v>-0.24484328825127022</v>
      </c>
      <c r="M846" s="4">
        <v>0.24484328825127022</v>
      </c>
      <c r="N846" s="10">
        <v>0.245</v>
      </c>
      <c r="O846" s="4">
        <v>1.2390865481284545</v>
      </c>
      <c r="P846" s="4">
        <v>-1.24</v>
      </c>
      <c r="Q846" s="3" t="s">
        <v>1617</v>
      </c>
      <c r="R846" s="3" t="s">
        <v>1618</v>
      </c>
      <c r="S846" s="3" t="s">
        <v>1619</v>
      </c>
      <c r="T846" s="3"/>
    </row>
    <row r="847" spans="1:20">
      <c r="A847" s="3" t="s">
        <v>1600</v>
      </c>
      <c r="B847" s="3" t="s">
        <v>1601</v>
      </c>
      <c r="C847" s="3" t="s">
        <v>1596</v>
      </c>
      <c r="D847" s="3" t="s">
        <v>467</v>
      </c>
      <c r="E847" s="3" t="s">
        <v>468</v>
      </c>
      <c r="F847" s="2">
        <v>1</v>
      </c>
      <c r="G847" s="4">
        <v>1.0297359374759136</v>
      </c>
      <c r="H847" s="2">
        <v>25</v>
      </c>
      <c r="I847" s="2">
        <v>5</v>
      </c>
      <c r="J847" s="2">
        <v>1</v>
      </c>
      <c r="K847" s="4">
        <v>0.49091331490944601</v>
      </c>
      <c r="L847" s="4">
        <v>-0.47377476502197824</v>
      </c>
      <c r="M847" s="4">
        <v>0.47377476502197824</v>
      </c>
      <c r="N847" s="10">
        <v>0.47399999999999998</v>
      </c>
      <c r="O847" s="4">
        <v>2.5529726417011958</v>
      </c>
      <c r="P847" s="4">
        <v>-2.5499999999999998</v>
      </c>
      <c r="Q847" s="3" t="s">
        <v>1617</v>
      </c>
      <c r="R847" s="3" t="s">
        <v>1618</v>
      </c>
      <c r="S847" s="3" t="s">
        <v>1619</v>
      </c>
      <c r="T847" s="3"/>
    </row>
    <row r="848" spans="1:20">
      <c r="A848" s="12" t="s">
        <v>1605</v>
      </c>
      <c r="B848" s="3" t="s">
        <v>1601</v>
      </c>
      <c r="C848" s="3" t="s">
        <v>1596</v>
      </c>
      <c r="D848" s="3" t="s">
        <v>467</v>
      </c>
      <c r="E848" s="3" t="s">
        <v>468</v>
      </c>
      <c r="F848" s="2">
        <v>1</v>
      </c>
      <c r="G848" s="4">
        <v>1.0297359374759136</v>
      </c>
      <c r="H848" s="2">
        <v>25</v>
      </c>
      <c r="I848" s="2">
        <v>5</v>
      </c>
      <c r="J848" s="2">
        <v>16</v>
      </c>
      <c r="K848" s="11">
        <v>1</v>
      </c>
      <c r="L848" s="11">
        <v>-0.52260430986812767</v>
      </c>
      <c r="M848" s="4">
        <v>0.52260430986812767</v>
      </c>
      <c r="N848" s="10">
        <v>0.52300000000000002</v>
      </c>
      <c r="O848" s="4">
        <v>2.8751861785468096</v>
      </c>
      <c r="P848" s="4">
        <v>-2.88</v>
      </c>
      <c r="Q848" s="3" t="s">
        <v>1617</v>
      </c>
      <c r="R848" s="3" t="s">
        <v>1618</v>
      </c>
      <c r="S848" s="3" t="s">
        <v>1619</v>
      </c>
      <c r="T848" s="3"/>
    </row>
    <row r="849" spans="1:20">
      <c r="A849" s="3" t="s">
        <v>1600</v>
      </c>
      <c r="B849" s="3" t="s">
        <v>1609</v>
      </c>
      <c r="C849" s="3" t="s">
        <v>1596</v>
      </c>
      <c r="D849" s="3" t="s">
        <v>467</v>
      </c>
      <c r="E849" s="3" t="s">
        <v>468</v>
      </c>
      <c r="F849" s="2">
        <v>1</v>
      </c>
      <c r="G849" s="4">
        <v>1.0297359374759136</v>
      </c>
      <c r="H849" s="2">
        <v>25</v>
      </c>
      <c r="I849" s="2">
        <v>5</v>
      </c>
      <c r="J849" s="2">
        <v>1</v>
      </c>
      <c r="K849" s="11">
        <v>1</v>
      </c>
      <c r="L849" s="11">
        <v>-0.52388128665876232</v>
      </c>
      <c r="M849" s="4">
        <v>0.52388128665876232</v>
      </c>
      <c r="N849" s="10">
        <v>0.52400000000000002</v>
      </c>
      <c r="O849" s="4">
        <v>2.8839041965024288</v>
      </c>
      <c r="P849" s="4">
        <v>-2.88</v>
      </c>
      <c r="Q849" s="3" t="s">
        <v>1617</v>
      </c>
      <c r="R849" s="3" t="s">
        <v>1623</v>
      </c>
      <c r="S849" s="3" t="s">
        <v>1624</v>
      </c>
      <c r="T849" s="3"/>
    </row>
    <row r="850" spans="1:20">
      <c r="A850" s="3" t="s">
        <v>1604</v>
      </c>
      <c r="B850" s="3" t="s">
        <v>1601</v>
      </c>
      <c r="C850" s="3" t="s">
        <v>1596</v>
      </c>
      <c r="D850" s="3" t="s">
        <v>467</v>
      </c>
      <c r="E850" s="3" t="s">
        <v>468</v>
      </c>
      <c r="F850" s="2">
        <v>1</v>
      </c>
      <c r="G850" s="4">
        <v>1.0297359374759136</v>
      </c>
      <c r="H850" s="2">
        <v>25</v>
      </c>
      <c r="I850" s="2">
        <v>30</v>
      </c>
      <c r="J850" s="2">
        <v>16</v>
      </c>
      <c r="K850" s="4">
        <v>1</v>
      </c>
      <c r="L850" s="4">
        <v>-0.53366605471853246</v>
      </c>
      <c r="M850" s="4">
        <v>0.53366605471853246</v>
      </c>
      <c r="N850" s="10">
        <v>0.53400000000000003</v>
      </c>
      <c r="O850" s="4">
        <v>2.9512469729001563</v>
      </c>
      <c r="P850" s="4">
        <v>-2.95</v>
      </c>
      <c r="Q850" s="3" t="s">
        <v>1617</v>
      </c>
      <c r="R850" s="3" t="s">
        <v>1618</v>
      </c>
      <c r="S850" s="3" t="s">
        <v>1619</v>
      </c>
      <c r="T850" s="3"/>
    </row>
    <row r="851" spans="1:20">
      <c r="A851" s="3" t="s">
        <v>1600</v>
      </c>
      <c r="B851" s="3" t="s">
        <v>1601</v>
      </c>
      <c r="C851" s="3" t="s">
        <v>1616</v>
      </c>
      <c r="D851" s="3" t="s">
        <v>467</v>
      </c>
      <c r="E851" s="3" t="s">
        <v>468</v>
      </c>
      <c r="F851" s="2">
        <v>1</v>
      </c>
      <c r="G851" s="4">
        <v>1.0297359374759136</v>
      </c>
      <c r="H851" s="2">
        <v>25</v>
      </c>
      <c r="I851" s="2">
        <v>5</v>
      </c>
      <c r="J851" s="2">
        <v>1</v>
      </c>
      <c r="K851" s="4">
        <v>1</v>
      </c>
      <c r="L851" s="4">
        <v>-0.55284759912722847</v>
      </c>
      <c r="M851" s="4">
        <v>0.55284759912722847</v>
      </c>
      <c r="N851" s="10">
        <v>0.55300000000000005</v>
      </c>
      <c r="O851" s="4">
        <v>3.0861820269105089</v>
      </c>
      <c r="P851" s="4">
        <v>-3.09</v>
      </c>
      <c r="Q851" s="3" t="s">
        <v>1617</v>
      </c>
      <c r="R851" s="3" t="s">
        <v>1618</v>
      </c>
      <c r="S851" s="3" t="s">
        <v>1619</v>
      </c>
      <c r="T851" s="3"/>
    </row>
    <row r="852" spans="1:20">
      <c r="A852" s="3" t="s">
        <v>1600</v>
      </c>
      <c r="B852" s="3" t="s">
        <v>1601</v>
      </c>
      <c r="C852" s="3" t="s">
        <v>1616</v>
      </c>
      <c r="D852" s="3" t="s">
        <v>467</v>
      </c>
      <c r="E852" s="3" t="s">
        <v>468</v>
      </c>
      <c r="F852" s="2">
        <v>1</v>
      </c>
      <c r="G852" s="4">
        <v>1.0297359374759136</v>
      </c>
      <c r="H852" s="2">
        <v>25</v>
      </c>
      <c r="I852" s="2">
        <v>5</v>
      </c>
      <c r="J852" s="2">
        <v>16</v>
      </c>
      <c r="K852" s="4">
        <v>1</v>
      </c>
      <c r="L852" s="4">
        <v>-0.55865515940949273</v>
      </c>
      <c r="M852" s="4">
        <v>0.55865515940949273</v>
      </c>
      <c r="N852" s="10">
        <v>0.55900000000000005</v>
      </c>
      <c r="O852" s="4">
        <v>3.1278433745254461</v>
      </c>
      <c r="P852" s="4">
        <v>-3.13</v>
      </c>
      <c r="Q852" s="3" t="s">
        <v>1617</v>
      </c>
      <c r="R852" s="3" t="s">
        <v>1618</v>
      </c>
      <c r="S852" s="3" t="s">
        <v>1619</v>
      </c>
      <c r="T852" s="3"/>
    </row>
    <row r="853" spans="1:20">
      <c r="A853" s="3" t="s">
        <v>1604</v>
      </c>
      <c r="B853" s="3" t="s">
        <v>1601</v>
      </c>
      <c r="C853" s="3" t="s">
        <v>1616</v>
      </c>
      <c r="D853" s="3" t="s">
        <v>467</v>
      </c>
      <c r="E853" s="3" t="s">
        <v>468</v>
      </c>
      <c r="F853" s="2">
        <v>1</v>
      </c>
      <c r="G853" s="4">
        <v>1.0297359374759136</v>
      </c>
      <c r="H853" s="2">
        <v>25</v>
      </c>
      <c r="I853" s="2">
        <v>30</v>
      </c>
      <c r="J853" s="2">
        <v>16</v>
      </c>
      <c r="K853" s="4">
        <v>1</v>
      </c>
      <c r="L853" s="4">
        <v>-0.57278342336990762</v>
      </c>
      <c r="M853" s="4">
        <v>0.57278342336990762</v>
      </c>
      <c r="N853" s="10">
        <v>0.57299999999999995</v>
      </c>
      <c r="O853" s="4">
        <v>3.2308667883673388</v>
      </c>
      <c r="P853" s="4">
        <v>-3.23</v>
      </c>
      <c r="Q853" s="3" t="s">
        <v>1617</v>
      </c>
      <c r="R853" s="3" t="s">
        <v>1618</v>
      </c>
      <c r="S853" s="3" t="s">
        <v>1619</v>
      </c>
      <c r="T853" s="3"/>
    </row>
    <row r="854" spans="1:20">
      <c r="A854" s="3" t="s">
        <v>1600</v>
      </c>
      <c r="B854" s="3" t="s">
        <v>1609</v>
      </c>
      <c r="C854" s="3" t="s">
        <v>1616</v>
      </c>
      <c r="D854" s="3" t="s">
        <v>467</v>
      </c>
      <c r="E854" s="3" t="s">
        <v>468</v>
      </c>
      <c r="F854" s="2">
        <v>1</v>
      </c>
      <c r="G854" s="4">
        <v>1.0297359374759136</v>
      </c>
      <c r="H854" s="2">
        <v>25</v>
      </c>
      <c r="I854" s="2">
        <v>5</v>
      </c>
      <c r="J854" s="2">
        <v>1</v>
      </c>
      <c r="K854" s="4">
        <v>1</v>
      </c>
      <c r="L854" s="4">
        <v>-0.60668628813009318</v>
      </c>
      <c r="M854" s="4">
        <v>0.60668628813009318</v>
      </c>
      <c r="N854" s="10">
        <v>0.60699999999999998</v>
      </c>
      <c r="O854" s="4">
        <v>3.4887054295355764</v>
      </c>
      <c r="P854" s="4">
        <v>-3.49</v>
      </c>
      <c r="Q854" s="3" t="s">
        <v>1617</v>
      </c>
      <c r="R854" s="3" t="s">
        <v>1623</v>
      </c>
      <c r="S854" s="3" t="s">
        <v>1624</v>
      </c>
      <c r="T854" s="3"/>
    </row>
    <row r="855" spans="1:20">
      <c r="A855" s="3" t="s">
        <v>1600</v>
      </c>
      <c r="B855" s="3" t="s">
        <v>1606</v>
      </c>
      <c r="C855" s="3" t="s">
        <v>1616</v>
      </c>
      <c r="D855" s="3" t="s">
        <v>467</v>
      </c>
      <c r="E855" s="3" t="s">
        <v>468</v>
      </c>
      <c r="F855" s="2">
        <v>1</v>
      </c>
      <c r="G855" s="4">
        <v>1.0297359374759136</v>
      </c>
      <c r="H855" s="2">
        <v>25</v>
      </c>
      <c r="I855" s="2">
        <v>5</v>
      </c>
      <c r="J855" s="2">
        <v>16</v>
      </c>
      <c r="K855" s="11">
        <v>1</v>
      </c>
      <c r="L855" s="11">
        <v>-0.61394978882627749</v>
      </c>
      <c r="M855" s="4">
        <v>0.61394978882627749</v>
      </c>
      <c r="N855" s="10">
        <v>0.61399999999999999</v>
      </c>
      <c r="O855" s="4">
        <v>3.5460952990034871</v>
      </c>
      <c r="P855" s="4">
        <v>-3.55</v>
      </c>
      <c r="Q855" s="3" t="s">
        <v>1617</v>
      </c>
      <c r="R855" s="3" t="s">
        <v>1621</v>
      </c>
      <c r="S855" s="3" t="s">
        <v>1622</v>
      </c>
      <c r="T855" s="3"/>
    </row>
    <row r="856" spans="1:20">
      <c r="A856" s="3" t="s">
        <v>1600</v>
      </c>
      <c r="B856" s="3" t="s">
        <v>1609</v>
      </c>
      <c r="C856" s="3" t="s">
        <v>1616</v>
      </c>
      <c r="D856" s="3" t="s">
        <v>467</v>
      </c>
      <c r="E856" s="3" t="s">
        <v>468</v>
      </c>
      <c r="F856" s="2">
        <v>1</v>
      </c>
      <c r="G856" s="4">
        <v>1.0297359374759136</v>
      </c>
      <c r="H856" s="2">
        <v>25</v>
      </c>
      <c r="I856" s="2">
        <v>5</v>
      </c>
      <c r="J856" s="2">
        <v>16</v>
      </c>
      <c r="K856" s="11">
        <v>1</v>
      </c>
      <c r="L856" s="11">
        <v>-0.62650801608679973</v>
      </c>
      <c r="M856" s="4">
        <v>0.62650801608679973</v>
      </c>
      <c r="N856" s="10">
        <v>0.627</v>
      </c>
      <c r="O856" s="4">
        <v>3.6472913294550255</v>
      </c>
      <c r="P856" s="4">
        <v>-3.65</v>
      </c>
      <c r="Q856" s="3" t="s">
        <v>1617</v>
      </c>
      <c r="R856" s="3" t="s">
        <v>1623</v>
      </c>
      <c r="S856" s="3" t="s">
        <v>1624</v>
      </c>
      <c r="T856" s="3"/>
    </row>
    <row r="857" spans="1:20">
      <c r="A857" s="3" t="s">
        <v>1600</v>
      </c>
      <c r="B857" s="3" t="s">
        <v>1606</v>
      </c>
      <c r="C857" s="3" t="s">
        <v>1616</v>
      </c>
      <c r="D857" s="3" t="s">
        <v>467</v>
      </c>
      <c r="E857" s="3" t="s">
        <v>468</v>
      </c>
      <c r="F857" s="2">
        <v>1</v>
      </c>
      <c r="G857" s="4">
        <v>1.0297359374759136</v>
      </c>
      <c r="H857" s="2">
        <v>25</v>
      </c>
      <c r="I857" s="2">
        <v>5</v>
      </c>
      <c r="J857" s="2">
        <v>1</v>
      </c>
      <c r="K857" s="4">
        <v>1</v>
      </c>
      <c r="L857" s="4">
        <v>-0.68142735850184755</v>
      </c>
      <c r="M857" s="4">
        <v>0.68142735850184755</v>
      </c>
      <c r="N857" s="10">
        <v>0.68100000000000005</v>
      </c>
      <c r="O857" s="4">
        <v>4.1238820712606943</v>
      </c>
      <c r="P857" s="4">
        <v>-4.12</v>
      </c>
      <c r="Q857" s="3" t="s">
        <v>1617</v>
      </c>
      <c r="R857" s="3" t="s">
        <v>1621</v>
      </c>
      <c r="S857" s="3" t="s">
        <v>1622</v>
      </c>
      <c r="T857" s="3"/>
    </row>
    <row r="858" spans="1:20">
      <c r="A858" s="3" t="s">
        <v>1600</v>
      </c>
      <c r="B858" s="3" t="s">
        <v>1606</v>
      </c>
      <c r="C858" s="3" t="s">
        <v>1596</v>
      </c>
      <c r="D858" s="3" t="s">
        <v>467</v>
      </c>
      <c r="E858" s="3" t="s">
        <v>468</v>
      </c>
      <c r="F858" s="2">
        <v>1</v>
      </c>
      <c r="G858" s="4">
        <v>1.0297359374759136</v>
      </c>
      <c r="H858" s="2">
        <v>25</v>
      </c>
      <c r="I858" s="2">
        <v>5</v>
      </c>
      <c r="J858" s="2">
        <v>16</v>
      </c>
      <c r="K858" s="11">
        <v>1</v>
      </c>
      <c r="L858" s="11">
        <v>-0.69010572032041262</v>
      </c>
      <c r="M858" s="4">
        <v>0.69010572032041262</v>
      </c>
      <c r="N858" s="10">
        <v>0.69</v>
      </c>
      <c r="O858" s="4">
        <v>4.2051112873387426</v>
      </c>
      <c r="P858" s="4">
        <v>-4.2</v>
      </c>
      <c r="Q858" s="3" t="s">
        <v>1617</v>
      </c>
      <c r="R858" s="3" t="s">
        <v>1621</v>
      </c>
      <c r="S858" s="3" t="s">
        <v>1622</v>
      </c>
      <c r="T858" s="3"/>
    </row>
    <row r="859" spans="1:20">
      <c r="A859" s="3" t="s">
        <v>1600</v>
      </c>
      <c r="B859" s="3" t="s">
        <v>1606</v>
      </c>
      <c r="C859" s="3" t="s">
        <v>1596</v>
      </c>
      <c r="D859" s="3" t="s">
        <v>467</v>
      </c>
      <c r="E859" s="3" t="s">
        <v>468</v>
      </c>
      <c r="F859" s="2">
        <v>1</v>
      </c>
      <c r="G859" s="4">
        <v>1.0297359374759136</v>
      </c>
      <c r="H859" s="2">
        <v>25</v>
      </c>
      <c r="I859" s="2">
        <v>5</v>
      </c>
      <c r="J859" s="2">
        <v>1</v>
      </c>
      <c r="K859" s="11">
        <v>1</v>
      </c>
      <c r="L859" s="11">
        <v>-0.69812038669311716</v>
      </c>
      <c r="M859" s="4">
        <v>0.69812038669311716</v>
      </c>
      <c r="N859" s="10">
        <v>0.69799999999999995</v>
      </c>
      <c r="O859" s="4">
        <v>4.2817951947162181</v>
      </c>
      <c r="P859" s="4">
        <v>-4.28</v>
      </c>
      <c r="Q859" s="3" t="s">
        <v>1617</v>
      </c>
      <c r="R859" s="3" t="s">
        <v>1621</v>
      </c>
      <c r="S859" s="3" t="s">
        <v>1622</v>
      </c>
      <c r="T859" s="3"/>
    </row>
    <row r="860" spans="1:20">
      <c r="A860" s="3" t="s">
        <v>1594</v>
      </c>
      <c r="B860" s="3" t="s">
        <v>1612</v>
      </c>
      <c r="C860" s="3" t="s">
        <v>1596</v>
      </c>
      <c r="D860" s="3" t="s">
        <v>545</v>
      </c>
      <c r="E860" s="3" t="s">
        <v>546</v>
      </c>
      <c r="F860" s="2">
        <v>1</v>
      </c>
      <c r="G860" s="4">
        <v>1.0298474635477985</v>
      </c>
      <c r="H860" s="2">
        <v>50</v>
      </c>
      <c r="I860" s="2">
        <v>5</v>
      </c>
      <c r="J860" s="2">
        <v>16</v>
      </c>
      <c r="K860" s="4">
        <v>1</v>
      </c>
      <c r="L860" s="14">
        <v>0.40676212331616757</v>
      </c>
      <c r="M860" s="4">
        <v>0.40676212331616757</v>
      </c>
      <c r="N860" s="10">
        <v>0.40699999999999997</v>
      </c>
      <c r="O860" s="4">
        <v>2.3199453342254728</v>
      </c>
      <c r="P860" s="4">
        <v>2.3199999999999998</v>
      </c>
      <c r="Q860" s="3" t="s">
        <v>1597</v>
      </c>
      <c r="R860" s="3" t="s">
        <v>1613</v>
      </c>
      <c r="S860" s="3" t="s">
        <v>1614</v>
      </c>
      <c r="T860" s="3"/>
    </row>
    <row r="861" spans="1:20">
      <c r="A861" s="3" t="s">
        <v>1600</v>
      </c>
      <c r="B861" s="3" t="s">
        <v>1606</v>
      </c>
      <c r="C861" s="3" t="s">
        <v>1596</v>
      </c>
      <c r="D861" s="3" t="s">
        <v>545</v>
      </c>
      <c r="E861" s="3" t="s">
        <v>546</v>
      </c>
      <c r="F861" s="2">
        <v>1</v>
      </c>
      <c r="G861" s="4">
        <v>1.0298474635477985</v>
      </c>
      <c r="H861" s="2">
        <v>25</v>
      </c>
      <c r="I861" s="2">
        <v>5</v>
      </c>
      <c r="J861" s="2">
        <v>16</v>
      </c>
      <c r="K861" s="11">
        <v>1</v>
      </c>
      <c r="L861" s="11">
        <v>-0.13734982939414728</v>
      </c>
      <c r="M861" s="4">
        <v>0.13734982939414728</v>
      </c>
      <c r="N861" s="10">
        <v>0.13700000000000001</v>
      </c>
      <c r="O861" s="4">
        <v>0.68530301610462918</v>
      </c>
      <c r="P861" s="4">
        <v>-0.68</v>
      </c>
      <c r="Q861" s="3" t="s">
        <v>1617</v>
      </c>
      <c r="R861" s="3" t="s">
        <v>1621</v>
      </c>
      <c r="S861" s="3" t="s">
        <v>1622</v>
      </c>
      <c r="T861" s="3"/>
    </row>
    <row r="862" spans="1:20">
      <c r="A862" s="3" t="s">
        <v>1600</v>
      </c>
      <c r="B862" s="3" t="s">
        <v>1606</v>
      </c>
      <c r="C862" s="3" t="s">
        <v>1596</v>
      </c>
      <c r="D862" s="3" t="s">
        <v>545</v>
      </c>
      <c r="E862" s="3" t="s">
        <v>546</v>
      </c>
      <c r="F862" s="2">
        <v>1</v>
      </c>
      <c r="G862" s="4">
        <v>1.0298474635477985</v>
      </c>
      <c r="H862" s="2">
        <v>25</v>
      </c>
      <c r="I862" s="2">
        <v>5</v>
      </c>
      <c r="J862" s="2">
        <v>1</v>
      </c>
      <c r="K862" s="11">
        <v>1</v>
      </c>
      <c r="L862" s="11">
        <v>-0.16688403150920755</v>
      </c>
      <c r="M862" s="4">
        <v>0.16688403150920755</v>
      </c>
      <c r="N862" s="10">
        <v>0.16700000000000001</v>
      </c>
      <c r="O862" s="4">
        <v>0.83521247962085554</v>
      </c>
      <c r="P862" s="4">
        <v>-0.84</v>
      </c>
      <c r="Q862" s="3" t="s">
        <v>1617</v>
      </c>
      <c r="R862" s="3" t="s">
        <v>1621</v>
      </c>
      <c r="S862" s="3" t="s">
        <v>1622</v>
      </c>
      <c r="T862" s="3"/>
    </row>
    <row r="863" spans="1:20">
      <c r="A863" s="3" t="s">
        <v>1600</v>
      </c>
      <c r="B863" s="3" t="s">
        <v>1606</v>
      </c>
      <c r="C863" s="3" t="s">
        <v>1616</v>
      </c>
      <c r="D863" s="3" t="s">
        <v>545</v>
      </c>
      <c r="E863" s="3" t="s">
        <v>546</v>
      </c>
      <c r="F863" s="2">
        <v>1</v>
      </c>
      <c r="G863" s="4">
        <v>1.0298474635477985</v>
      </c>
      <c r="H863" s="2">
        <v>25</v>
      </c>
      <c r="I863" s="2">
        <v>5</v>
      </c>
      <c r="J863" s="2">
        <v>16</v>
      </c>
      <c r="K863" s="11">
        <v>1</v>
      </c>
      <c r="L863" s="11">
        <v>-0.16977685568347106</v>
      </c>
      <c r="M863" s="4">
        <v>0.16977685568347106</v>
      </c>
      <c r="N863" s="10">
        <v>0.17</v>
      </c>
      <c r="O863" s="4">
        <v>0.84997317560419838</v>
      </c>
      <c r="P863" s="4">
        <v>-0.85</v>
      </c>
      <c r="Q863" s="3" t="s">
        <v>1617</v>
      </c>
      <c r="R863" s="3" t="s">
        <v>1621</v>
      </c>
      <c r="S863" s="3" t="s">
        <v>1622</v>
      </c>
      <c r="T863" s="3"/>
    </row>
    <row r="864" spans="1:20">
      <c r="A864" s="3" t="s">
        <v>1594</v>
      </c>
      <c r="B864" s="3" t="s">
        <v>1595</v>
      </c>
      <c r="C864" s="3" t="s">
        <v>1596</v>
      </c>
      <c r="D864" s="3" t="s">
        <v>545</v>
      </c>
      <c r="E864" s="3" t="s">
        <v>546</v>
      </c>
      <c r="F864" s="2">
        <v>1</v>
      </c>
      <c r="G864" s="4">
        <v>1.0298474635477985</v>
      </c>
      <c r="H864" s="2">
        <v>50</v>
      </c>
      <c r="I864" s="2">
        <v>5</v>
      </c>
      <c r="J864" s="2">
        <v>16</v>
      </c>
      <c r="K864" s="4">
        <v>0.99896742508694714</v>
      </c>
      <c r="L864" s="14">
        <v>-0.19829731870121051</v>
      </c>
      <c r="M864" s="4">
        <v>0.19829731870121051</v>
      </c>
      <c r="N864" s="10">
        <v>0.19800000000000001</v>
      </c>
      <c r="O864" s="4">
        <v>1.0798885923826222</v>
      </c>
      <c r="P864" s="4">
        <v>-1.08</v>
      </c>
      <c r="Q864" s="3" t="s">
        <v>1617</v>
      </c>
      <c r="R864" s="3" t="s">
        <v>1625</v>
      </c>
      <c r="S864" s="3" t="s">
        <v>1626</v>
      </c>
      <c r="T864" s="3"/>
    </row>
    <row r="865" spans="1:20">
      <c r="A865" s="3" t="s">
        <v>1600</v>
      </c>
      <c r="B865" s="3" t="s">
        <v>1606</v>
      </c>
      <c r="C865" s="3" t="s">
        <v>1616</v>
      </c>
      <c r="D865" s="3" t="s">
        <v>545</v>
      </c>
      <c r="E865" s="3" t="s">
        <v>546</v>
      </c>
      <c r="F865" s="2">
        <v>1</v>
      </c>
      <c r="G865" s="4">
        <v>1.0298474635477985</v>
      </c>
      <c r="H865" s="2">
        <v>25</v>
      </c>
      <c r="I865" s="2">
        <v>5</v>
      </c>
      <c r="J865" s="2">
        <v>1</v>
      </c>
      <c r="K865" s="4">
        <v>1</v>
      </c>
      <c r="L865" s="4">
        <v>-0.20791804154101168</v>
      </c>
      <c r="M865" s="4">
        <v>0.20791804154101168</v>
      </c>
      <c r="N865" s="10">
        <v>0.20799999999999999</v>
      </c>
      <c r="O865" s="4">
        <v>1.046096459400587</v>
      </c>
      <c r="P865" s="4">
        <v>-1.05</v>
      </c>
      <c r="Q865" s="3" t="s">
        <v>1617</v>
      </c>
      <c r="R865" s="3" t="s">
        <v>1621</v>
      </c>
      <c r="S865" s="3" t="s">
        <v>1622</v>
      </c>
      <c r="T865" s="3"/>
    </row>
    <row r="866" spans="1:20">
      <c r="A866" s="3" t="s">
        <v>1600</v>
      </c>
      <c r="B866" s="3" t="s">
        <v>1601</v>
      </c>
      <c r="C866" s="3" t="s">
        <v>1616</v>
      </c>
      <c r="D866" s="3" t="s">
        <v>545</v>
      </c>
      <c r="E866" s="3" t="s">
        <v>546</v>
      </c>
      <c r="F866" s="2">
        <v>1</v>
      </c>
      <c r="G866" s="4">
        <v>1.0298474635477985</v>
      </c>
      <c r="H866" s="2">
        <v>25</v>
      </c>
      <c r="I866" s="2">
        <v>5</v>
      </c>
      <c r="J866" s="2">
        <v>16</v>
      </c>
      <c r="K866" s="4">
        <v>1</v>
      </c>
      <c r="L866" s="4">
        <v>-0.51146236602676132</v>
      </c>
      <c r="M866" s="4">
        <v>0.51146236602676132</v>
      </c>
      <c r="N866" s="10">
        <v>0.51100000000000001</v>
      </c>
      <c r="O866" s="4">
        <v>2.7997873295317759</v>
      </c>
      <c r="P866" s="4">
        <v>-2.8</v>
      </c>
      <c r="Q866" s="3" t="s">
        <v>1617</v>
      </c>
      <c r="R866" s="3" t="s">
        <v>1618</v>
      </c>
      <c r="S866" s="3" t="s">
        <v>1619</v>
      </c>
      <c r="T866" s="3"/>
    </row>
    <row r="867" spans="1:20">
      <c r="A867" s="3" t="s">
        <v>1600</v>
      </c>
      <c r="B867" s="3" t="s">
        <v>1601</v>
      </c>
      <c r="C867" s="3" t="s">
        <v>1616</v>
      </c>
      <c r="D867" s="3" t="s">
        <v>545</v>
      </c>
      <c r="E867" s="3" t="s">
        <v>546</v>
      </c>
      <c r="F867" s="2">
        <v>1</v>
      </c>
      <c r="G867" s="4">
        <v>1.0298474635477985</v>
      </c>
      <c r="H867" s="2">
        <v>25</v>
      </c>
      <c r="I867" s="2">
        <v>5</v>
      </c>
      <c r="J867" s="2">
        <v>1</v>
      </c>
      <c r="K867" s="4">
        <v>1</v>
      </c>
      <c r="L867" s="4">
        <v>-0.52842410570660836</v>
      </c>
      <c r="M867" s="4">
        <v>0.52842410570660836</v>
      </c>
      <c r="N867" s="10">
        <v>0.52800000000000002</v>
      </c>
      <c r="O867" s="4">
        <v>2.9150495021551945</v>
      </c>
      <c r="P867" s="4">
        <v>-2.91</v>
      </c>
      <c r="Q867" s="3" t="s">
        <v>1617</v>
      </c>
      <c r="R867" s="3" t="s">
        <v>1618</v>
      </c>
      <c r="S867" s="3" t="s">
        <v>1619</v>
      </c>
      <c r="T867" s="3"/>
    </row>
    <row r="868" spans="1:20">
      <c r="A868" s="3" t="s">
        <v>1604</v>
      </c>
      <c r="B868" s="3" t="s">
        <v>1601</v>
      </c>
      <c r="C868" s="3" t="s">
        <v>1616</v>
      </c>
      <c r="D868" s="3" t="s">
        <v>545</v>
      </c>
      <c r="E868" s="3" t="s">
        <v>546</v>
      </c>
      <c r="F868" s="2">
        <v>1</v>
      </c>
      <c r="G868" s="4">
        <v>1.0298474635477985</v>
      </c>
      <c r="H868" s="2">
        <v>25</v>
      </c>
      <c r="I868" s="2">
        <v>30</v>
      </c>
      <c r="J868" s="2">
        <v>16</v>
      </c>
      <c r="K868" s="4">
        <v>1</v>
      </c>
      <c r="L868" s="4">
        <v>-0.57002940795773538</v>
      </c>
      <c r="M868" s="4">
        <v>0.57002940795773538</v>
      </c>
      <c r="N868" s="10">
        <v>0.56999999999999995</v>
      </c>
      <c r="O868" s="4">
        <v>3.2105930273143888</v>
      </c>
      <c r="P868" s="4">
        <v>-3.21</v>
      </c>
      <c r="Q868" s="3" t="s">
        <v>1617</v>
      </c>
      <c r="R868" s="3" t="s">
        <v>1618</v>
      </c>
      <c r="S868" s="3" t="s">
        <v>1619</v>
      </c>
      <c r="T868" s="3"/>
    </row>
    <row r="869" spans="1:20">
      <c r="A869" s="3" t="s">
        <v>1600</v>
      </c>
      <c r="B869" s="3" t="s">
        <v>1609</v>
      </c>
      <c r="C869" s="3" t="s">
        <v>1616</v>
      </c>
      <c r="D869" s="3" t="s">
        <v>545</v>
      </c>
      <c r="E869" s="3" t="s">
        <v>546</v>
      </c>
      <c r="F869" s="2">
        <v>1</v>
      </c>
      <c r="G869" s="4">
        <v>1.0298474635477985</v>
      </c>
      <c r="H869" s="2">
        <v>25</v>
      </c>
      <c r="I869" s="2">
        <v>5</v>
      </c>
      <c r="J869" s="2">
        <v>1</v>
      </c>
      <c r="K869" s="4">
        <v>1</v>
      </c>
      <c r="L869" s="4">
        <v>-0.5954888292752929</v>
      </c>
      <c r="M869" s="4">
        <v>0.5954888292752929</v>
      </c>
      <c r="N869" s="10">
        <v>0.59499999999999997</v>
      </c>
      <c r="O869" s="4">
        <v>3.401779180146518</v>
      </c>
      <c r="P869" s="4">
        <v>-3.4</v>
      </c>
      <c r="Q869" s="3" t="s">
        <v>1617</v>
      </c>
      <c r="R869" s="3" t="s">
        <v>1623</v>
      </c>
      <c r="S869" s="3" t="s">
        <v>1624</v>
      </c>
      <c r="T869" s="3"/>
    </row>
    <row r="870" spans="1:20">
      <c r="A870" s="3" t="s">
        <v>1600</v>
      </c>
      <c r="B870" s="3" t="s">
        <v>1609</v>
      </c>
      <c r="C870" s="3" t="s">
        <v>1616</v>
      </c>
      <c r="D870" s="3" t="s">
        <v>545</v>
      </c>
      <c r="E870" s="3" t="s">
        <v>546</v>
      </c>
      <c r="F870" s="2">
        <v>1</v>
      </c>
      <c r="G870" s="4">
        <v>1.0298474635477985</v>
      </c>
      <c r="H870" s="2">
        <v>25</v>
      </c>
      <c r="I870" s="2">
        <v>5</v>
      </c>
      <c r="J870" s="2">
        <v>16</v>
      </c>
      <c r="K870" s="11">
        <v>1</v>
      </c>
      <c r="L870" s="11">
        <v>-0.60459885359801935</v>
      </c>
      <c r="M870" s="4">
        <v>0.60459885359801935</v>
      </c>
      <c r="N870" s="10">
        <v>0.60499999999999998</v>
      </c>
      <c r="O870" s="4">
        <v>3.4723607753693688</v>
      </c>
      <c r="P870" s="4">
        <v>-3.48</v>
      </c>
      <c r="Q870" s="3" t="s">
        <v>1617</v>
      </c>
      <c r="R870" s="3" t="s">
        <v>1623</v>
      </c>
      <c r="S870" s="3" t="s">
        <v>1624</v>
      </c>
      <c r="T870" s="3"/>
    </row>
    <row r="871" spans="1:20">
      <c r="A871" s="3" t="s">
        <v>1600</v>
      </c>
      <c r="B871" s="3" t="s">
        <v>1601</v>
      </c>
      <c r="C871" s="3" t="s">
        <v>1596</v>
      </c>
      <c r="D871" s="3" t="s">
        <v>545</v>
      </c>
      <c r="E871" s="3" t="s">
        <v>546</v>
      </c>
      <c r="F871" s="2">
        <v>1</v>
      </c>
      <c r="G871" s="4">
        <v>1.0298474635477985</v>
      </c>
      <c r="H871" s="2">
        <v>25</v>
      </c>
      <c r="I871" s="2">
        <v>5</v>
      </c>
      <c r="J871" s="2">
        <v>16</v>
      </c>
      <c r="K871" s="4">
        <v>1</v>
      </c>
      <c r="L871" s="4">
        <v>-0.64832874091281478</v>
      </c>
      <c r="M871" s="4">
        <v>0.64832874091281478</v>
      </c>
      <c r="N871" s="10">
        <v>0.64800000000000002</v>
      </c>
      <c r="O871" s="4">
        <v>3.8295604914592296</v>
      </c>
      <c r="P871" s="4">
        <v>-3.83</v>
      </c>
      <c r="Q871" s="3" t="s">
        <v>1617</v>
      </c>
      <c r="R871" s="3" t="s">
        <v>1618</v>
      </c>
      <c r="S871" s="3" t="s">
        <v>1619</v>
      </c>
      <c r="T871" s="3"/>
    </row>
    <row r="872" spans="1:20">
      <c r="A872" s="3" t="s">
        <v>1600</v>
      </c>
      <c r="B872" s="3" t="s">
        <v>1601</v>
      </c>
      <c r="C872" s="3" t="s">
        <v>1596</v>
      </c>
      <c r="D872" s="3" t="s">
        <v>545</v>
      </c>
      <c r="E872" s="3" t="s">
        <v>546</v>
      </c>
      <c r="F872" s="2">
        <v>1</v>
      </c>
      <c r="G872" s="4">
        <v>1.0298474635477985</v>
      </c>
      <c r="H872" s="2">
        <v>25</v>
      </c>
      <c r="I872" s="2">
        <v>5</v>
      </c>
      <c r="J872" s="2">
        <v>1</v>
      </c>
      <c r="K872" s="4">
        <v>1</v>
      </c>
      <c r="L872" s="4">
        <v>-0.64921790087258124</v>
      </c>
      <c r="M872" s="4">
        <v>0.64921790087258124</v>
      </c>
      <c r="N872" s="10">
        <v>0.64900000000000002</v>
      </c>
      <c r="O872" s="4">
        <v>3.8371730840642568</v>
      </c>
      <c r="P872" s="4">
        <v>-3.84</v>
      </c>
      <c r="Q872" s="3" t="s">
        <v>1617</v>
      </c>
      <c r="R872" s="3" t="s">
        <v>1618</v>
      </c>
      <c r="S872" s="3" t="s">
        <v>1619</v>
      </c>
      <c r="T872" s="3"/>
    </row>
    <row r="873" spans="1:20">
      <c r="A873" s="12" t="s">
        <v>1605</v>
      </c>
      <c r="B873" s="3" t="s">
        <v>1601</v>
      </c>
      <c r="C873" s="3" t="s">
        <v>1596</v>
      </c>
      <c r="D873" s="3" t="s">
        <v>545</v>
      </c>
      <c r="E873" s="3" t="s">
        <v>546</v>
      </c>
      <c r="F873" s="2">
        <v>1</v>
      </c>
      <c r="G873" s="4">
        <v>1.0298474635477985</v>
      </c>
      <c r="H873" s="2">
        <v>25</v>
      </c>
      <c r="I873" s="2">
        <v>5</v>
      </c>
      <c r="J873" s="2">
        <v>16</v>
      </c>
      <c r="K873" s="11">
        <v>1</v>
      </c>
      <c r="L873" s="11">
        <v>-0.66068236749807463</v>
      </c>
      <c r="M873" s="4">
        <v>0.66068236749807463</v>
      </c>
      <c r="N873" s="10">
        <v>0.66100000000000003</v>
      </c>
      <c r="O873" s="4">
        <v>3.9367185284781692</v>
      </c>
      <c r="P873" s="4">
        <v>-3.94</v>
      </c>
      <c r="Q873" s="3" t="s">
        <v>1617</v>
      </c>
      <c r="R873" s="3" t="s">
        <v>1618</v>
      </c>
      <c r="S873" s="3" t="s">
        <v>1619</v>
      </c>
      <c r="T873" s="3"/>
    </row>
    <row r="874" spans="1:20">
      <c r="A874" s="3" t="s">
        <v>1604</v>
      </c>
      <c r="B874" s="3" t="s">
        <v>1601</v>
      </c>
      <c r="C874" s="3" t="s">
        <v>1596</v>
      </c>
      <c r="D874" s="3" t="s">
        <v>545</v>
      </c>
      <c r="E874" s="3" t="s">
        <v>546</v>
      </c>
      <c r="F874" s="2">
        <v>1</v>
      </c>
      <c r="G874" s="4">
        <v>1.0298474635477985</v>
      </c>
      <c r="H874" s="2">
        <v>25</v>
      </c>
      <c r="I874" s="2">
        <v>30</v>
      </c>
      <c r="J874" s="2">
        <v>16</v>
      </c>
      <c r="K874" s="4">
        <v>1</v>
      </c>
      <c r="L874" s="4">
        <v>-0.66198999517456214</v>
      </c>
      <c r="M874" s="4">
        <v>0.66198999517456214</v>
      </c>
      <c r="N874" s="10">
        <v>0.66200000000000003</v>
      </c>
      <c r="O874" s="4">
        <v>3.948241359112175</v>
      </c>
      <c r="P874" s="4">
        <v>-3.95</v>
      </c>
      <c r="Q874" s="3" t="s">
        <v>1617</v>
      </c>
      <c r="R874" s="3" t="s">
        <v>1618</v>
      </c>
      <c r="S874" s="3" t="s">
        <v>1619</v>
      </c>
      <c r="T874" s="3"/>
    </row>
    <row r="875" spans="1:20">
      <c r="A875" s="3" t="s">
        <v>1600</v>
      </c>
      <c r="B875" s="3" t="s">
        <v>1609</v>
      </c>
      <c r="C875" s="3" t="s">
        <v>1596</v>
      </c>
      <c r="D875" s="3" t="s">
        <v>545</v>
      </c>
      <c r="E875" s="3" t="s">
        <v>546</v>
      </c>
      <c r="F875" s="2">
        <v>1</v>
      </c>
      <c r="G875" s="4">
        <v>1.0298474635477985</v>
      </c>
      <c r="H875" s="2">
        <v>25</v>
      </c>
      <c r="I875" s="2">
        <v>5</v>
      </c>
      <c r="J875" s="2">
        <v>16</v>
      </c>
      <c r="K875" s="4">
        <v>1</v>
      </c>
      <c r="L875" s="4">
        <v>-0.78905710289035824</v>
      </c>
      <c r="M875" s="4">
        <v>0.78905710289035824</v>
      </c>
      <c r="N875" s="10">
        <v>0.78900000000000003</v>
      </c>
      <c r="O875" s="4">
        <v>5.2996783126091342</v>
      </c>
      <c r="P875" s="4">
        <v>-5.3</v>
      </c>
      <c r="Q875" s="3" t="s">
        <v>1617</v>
      </c>
      <c r="R875" s="3" t="s">
        <v>1623</v>
      </c>
      <c r="S875" s="3" t="s">
        <v>1624</v>
      </c>
      <c r="T875" s="3"/>
    </row>
    <row r="876" spans="1:20">
      <c r="A876" s="3" t="s">
        <v>1600</v>
      </c>
      <c r="B876" s="3" t="s">
        <v>1609</v>
      </c>
      <c r="C876" s="3" t="s">
        <v>1596</v>
      </c>
      <c r="D876" s="3" t="s">
        <v>545</v>
      </c>
      <c r="E876" s="3" t="s">
        <v>546</v>
      </c>
      <c r="F876" s="2">
        <v>1</v>
      </c>
      <c r="G876" s="4">
        <v>1.0298474635477985</v>
      </c>
      <c r="H876" s="2">
        <v>25</v>
      </c>
      <c r="I876" s="2">
        <v>5</v>
      </c>
      <c r="J876" s="2">
        <v>1</v>
      </c>
      <c r="K876" s="11">
        <v>1</v>
      </c>
      <c r="L876" s="11">
        <v>-0.80514812861108509</v>
      </c>
      <c r="M876" s="4">
        <v>0.80514812861108509</v>
      </c>
      <c r="N876" s="10">
        <v>0.80500000000000005</v>
      </c>
      <c r="O876" s="4">
        <v>5.5185755710716133</v>
      </c>
      <c r="P876" s="4">
        <v>-5.52</v>
      </c>
      <c r="Q876" s="3" t="s">
        <v>1617</v>
      </c>
      <c r="R876" s="3" t="s">
        <v>1623</v>
      </c>
      <c r="S876" s="3" t="s">
        <v>1624</v>
      </c>
      <c r="T876" s="3"/>
    </row>
    <row r="877" spans="1:20">
      <c r="A877" s="3" t="s">
        <v>1594</v>
      </c>
      <c r="B877" s="3" t="s">
        <v>1612</v>
      </c>
      <c r="C877" s="3" t="s">
        <v>1596</v>
      </c>
      <c r="D877" s="3" t="s">
        <v>731</v>
      </c>
      <c r="E877" s="3" t="s">
        <v>732</v>
      </c>
      <c r="F877" s="2">
        <v>1</v>
      </c>
      <c r="G877" s="4">
        <v>1.0300207039337472</v>
      </c>
      <c r="H877" s="2">
        <v>50</v>
      </c>
      <c r="I877" s="2">
        <v>5</v>
      </c>
      <c r="J877" s="2">
        <v>16</v>
      </c>
      <c r="K877" s="4">
        <v>0.33568754954135743</v>
      </c>
      <c r="L877" s="14">
        <v>-0.21040066883157801</v>
      </c>
      <c r="M877" s="4">
        <v>0.21040066883157801</v>
      </c>
      <c r="N877" s="10">
        <v>0.21</v>
      </c>
      <c r="O877" s="4">
        <v>1.1477632133406332</v>
      </c>
      <c r="P877" s="4">
        <v>-1.1499999999999999</v>
      </c>
      <c r="Q877" s="3" t="s">
        <v>1617</v>
      </c>
      <c r="R877" s="3" t="s">
        <v>1627</v>
      </c>
      <c r="S877" s="3" t="s">
        <v>1628</v>
      </c>
      <c r="T877" s="3"/>
    </row>
    <row r="878" spans="1:20">
      <c r="A878" s="3" t="s">
        <v>1594</v>
      </c>
      <c r="B878" s="3" t="s">
        <v>1595</v>
      </c>
      <c r="C878" s="3" t="s">
        <v>1596</v>
      </c>
      <c r="D878" s="3" t="s">
        <v>731</v>
      </c>
      <c r="E878" s="3" t="s">
        <v>732</v>
      </c>
      <c r="F878" s="2">
        <v>1</v>
      </c>
      <c r="G878" s="4">
        <v>1.0300207039337472</v>
      </c>
      <c r="H878" s="2">
        <v>50</v>
      </c>
      <c r="I878" s="2">
        <v>5</v>
      </c>
      <c r="J878" s="2">
        <v>16</v>
      </c>
      <c r="K878" s="4">
        <v>1</v>
      </c>
      <c r="L878" s="14">
        <v>-0.2374438707939758</v>
      </c>
      <c r="M878" s="4">
        <v>0.2374438707939758</v>
      </c>
      <c r="N878" s="10">
        <v>0.23699999999999999</v>
      </c>
      <c r="O878" s="4">
        <v>1.3007673242627251</v>
      </c>
      <c r="P878" s="4">
        <v>-1.3</v>
      </c>
      <c r="Q878" s="3" t="s">
        <v>1617</v>
      </c>
      <c r="R878" s="3" t="s">
        <v>1625</v>
      </c>
      <c r="S878" s="3" t="s">
        <v>1626</v>
      </c>
      <c r="T878" s="3"/>
    </row>
    <row r="879" spans="1:20">
      <c r="A879" s="12" t="s">
        <v>1605</v>
      </c>
      <c r="B879" s="3" t="s">
        <v>1601</v>
      </c>
      <c r="C879" s="3" t="s">
        <v>1596</v>
      </c>
      <c r="D879" s="3" t="s">
        <v>731</v>
      </c>
      <c r="E879" s="3" t="s">
        <v>732</v>
      </c>
      <c r="F879" s="2">
        <v>1</v>
      </c>
      <c r="G879" s="4">
        <v>1.0300207039337472</v>
      </c>
      <c r="H879" s="2">
        <v>25</v>
      </c>
      <c r="I879" s="2">
        <v>5</v>
      </c>
      <c r="J879" s="2">
        <v>16</v>
      </c>
      <c r="K879" s="11">
        <v>1</v>
      </c>
      <c r="L879" s="11">
        <v>-0.9800440436993838</v>
      </c>
      <c r="M879" s="4">
        <v>0.9800440436993838</v>
      </c>
      <c r="N879" s="10">
        <v>0.98</v>
      </c>
      <c r="O879" s="4">
        <v>11.396676177393342</v>
      </c>
      <c r="P879" s="4">
        <v>-11.39</v>
      </c>
      <c r="Q879" s="3" t="s">
        <v>1617</v>
      </c>
      <c r="R879" s="3" t="s">
        <v>1618</v>
      </c>
      <c r="S879" s="3" t="s">
        <v>1619</v>
      </c>
      <c r="T879" s="3"/>
    </row>
    <row r="880" spans="1:20">
      <c r="A880" s="3" t="s">
        <v>1604</v>
      </c>
      <c r="B880" s="3" t="s">
        <v>1601</v>
      </c>
      <c r="C880" s="3" t="s">
        <v>1596</v>
      </c>
      <c r="D880" s="3" t="s">
        <v>731</v>
      </c>
      <c r="E880" s="3" t="s">
        <v>732</v>
      </c>
      <c r="F880" s="2">
        <v>1</v>
      </c>
      <c r="G880" s="4">
        <v>1.0300207039337472</v>
      </c>
      <c r="H880" s="2">
        <v>25</v>
      </c>
      <c r="I880" s="2">
        <v>30</v>
      </c>
      <c r="J880" s="2">
        <v>16</v>
      </c>
      <c r="K880" s="4">
        <v>1</v>
      </c>
      <c r="L880" s="4">
        <v>-0.98302448760530392</v>
      </c>
      <c r="M880" s="4">
        <v>0.98302448760530392</v>
      </c>
      <c r="N880" s="10">
        <v>0.98299999999999998</v>
      </c>
      <c r="O880" s="4">
        <v>11.801392302113481</v>
      </c>
      <c r="P880" s="4">
        <v>-11.8</v>
      </c>
      <c r="Q880" s="3" t="s">
        <v>1617</v>
      </c>
      <c r="R880" s="3" t="s">
        <v>1618</v>
      </c>
      <c r="S880" s="3" t="s">
        <v>1619</v>
      </c>
      <c r="T880" s="3"/>
    </row>
    <row r="881" spans="1:20">
      <c r="A881" s="3" t="s">
        <v>1600</v>
      </c>
      <c r="B881" s="3" t="s">
        <v>1601</v>
      </c>
      <c r="C881" s="3" t="s">
        <v>1596</v>
      </c>
      <c r="D881" s="3" t="s">
        <v>731</v>
      </c>
      <c r="E881" s="3" t="s">
        <v>732</v>
      </c>
      <c r="F881" s="2">
        <v>1</v>
      </c>
      <c r="G881" s="4">
        <v>1.0300207039337472</v>
      </c>
      <c r="H881" s="2">
        <v>25</v>
      </c>
      <c r="I881" s="2">
        <v>5</v>
      </c>
      <c r="J881" s="2">
        <v>16</v>
      </c>
      <c r="K881" s="4">
        <v>1</v>
      </c>
      <c r="L881" s="4">
        <v>-0.98710332018299618</v>
      </c>
      <c r="M881" s="4">
        <v>0.98710332018299618</v>
      </c>
      <c r="N881" s="10">
        <v>0.98699999999999999</v>
      </c>
      <c r="O881" s="4">
        <v>12.487711301512643</v>
      </c>
      <c r="P881" s="4">
        <v>-12.47</v>
      </c>
      <c r="Q881" s="3" t="s">
        <v>1617</v>
      </c>
      <c r="R881" s="3" t="s">
        <v>1618</v>
      </c>
      <c r="S881" s="3" t="s">
        <v>1619</v>
      </c>
      <c r="T881" s="3"/>
    </row>
    <row r="882" spans="1:20">
      <c r="A882" s="3" t="s">
        <v>1600</v>
      </c>
      <c r="B882" s="3" t="s">
        <v>1609</v>
      </c>
      <c r="C882" s="3" t="s">
        <v>1596</v>
      </c>
      <c r="D882" s="3" t="s">
        <v>731</v>
      </c>
      <c r="E882" s="3" t="s">
        <v>732</v>
      </c>
      <c r="F882" s="2">
        <v>1</v>
      </c>
      <c r="G882" s="4">
        <v>1.0300207039337472</v>
      </c>
      <c r="H882" s="2">
        <v>25</v>
      </c>
      <c r="I882" s="2">
        <v>5</v>
      </c>
      <c r="J882" s="2">
        <v>16</v>
      </c>
      <c r="K882" s="4">
        <v>1</v>
      </c>
      <c r="L882" s="4">
        <v>-0.98849459797733796</v>
      </c>
      <c r="M882" s="4">
        <v>0.98849459797733796</v>
      </c>
      <c r="N882" s="10">
        <v>0.98799999999999999</v>
      </c>
      <c r="O882" s="4">
        <v>12.772428585998547</v>
      </c>
      <c r="P882" s="4">
        <v>-12.67</v>
      </c>
      <c r="Q882" s="3" t="s">
        <v>1617</v>
      </c>
      <c r="R882" s="3" t="s">
        <v>1623</v>
      </c>
      <c r="S882" s="3" t="s">
        <v>1624</v>
      </c>
      <c r="T882" s="3"/>
    </row>
    <row r="883" spans="1:20">
      <c r="A883" s="3" t="s">
        <v>1604</v>
      </c>
      <c r="B883" s="3" t="s">
        <v>1601</v>
      </c>
      <c r="C883" s="3" t="s">
        <v>1616</v>
      </c>
      <c r="D883" s="3" t="s">
        <v>731</v>
      </c>
      <c r="E883" s="3" t="s">
        <v>732</v>
      </c>
      <c r="F883" s="2">
        <v>1</v>
      </c>
      <c r="G883" s="4">
        <v>1.0300207039337472</v>
      </c>
      <c r="H883" s="2">
        <v>25</v>
      </c>
      <c r="I883" s="2">
        <v>30</v>
      </c>
      <c r="J883" s="2">
        <v>16</v>
      </c>
      <c r="K883" s="4">
        <v>1</v>
      </c>
      <c r="L883" s="4">
        <v>-0.98935281338776293</v>
      </c>
      <c r="M883" s="4">
        <v>0.98935281338776293</v>
      </c>
      <c r="N883" s="10">
        <v>0.98899999999999999</v>
      </c>
      <c r="O883" s="4">
        <v>12.965670288684413</v>
      </c>
      <c r="P883" s="4">
        <v>-12.88</v>
      </c>
      <c r="Q883" s="3" t="s">
        <v>1617</v>
      </c>
      <c r="R883" s="3" t="s">
        <v>1618</v>
      </c>
      <c r="S883" s="3" t="s">
        <v>1619</v>
      </c>
      <c r="T883" s="3"/>
    </row>
    <row r="884" spans="1:20">
      <c r="A884" s="3" t="s">
        <v>1600</v>
      </c>
      <c r="B884" s="3" t="s">
        <v>1609</v>
      </c>
      <c r="C884" s="3" t="s">
        <v>1596</v>
      </c>
      <c r="D884" s="3" t="s">
        <v>731</v>
      </c>
      <c r="E884" s="3" t="s">
        <v>732</v>
      </c>
      <c r="F884" s="2">
        <v>1</v>
      </c>
      <c r="G884" s="4">
        <v>1.0300207039337472</v>
      </c>
      <c r="H884" s="2">
        <v>25</v>
      </c>
      <c r="I884" s="2">
        <v>5</v>
      </c>
      <c r="J884" s="2">
        <v>1</v>
      </c>
      <c r="K884" s="11">
        <v>1</v>
      </c>
      <c r="L884" s="11">
        <v>-0.99026901300786174</v>
      </c>
      <c r="M884" s="4">
        <v>0.99026901300786174</v>
      </c>
      <c r="N884" s="10">
        <v>0.99</v>
      </c>
      <c r="O884" s="4">
        <v>13.189870168171534</v>
      </c>
      <c r="P884" s="4">
        <v>-13.12</v>
      </c>
      <c r="Q884" s="3" t="s">
        <v>1617</v>
      </c>
      <c r="R884" s="3" t="s">
        <v>1623</v>
      </c>
      <c r="S884" s="3" t="s">
        <v>1624</v>
      </c>
      <c r="T884" s="3"/>
    </row>
    <row r="885" spans="1:20">
      <c r="A885" s="3" t="s">
        <v>1600</v>
      </c>
      <c r="B885" s="3" t="s">
        <v>1601</v>
      </c>
      <c r="C885" s="3" t="s">
        <v>1616</v>
      </c>
      <c r="D885" s="3" t="s">
        <v>731</v>
      </c>
      <c r="E885" s="3" t="s">
        <v>732</v>
      </c>
      <c r="F885" s="2">
        <v>1</v>
      </c>
      <c r="G885" s="4">
        <v>1.0300207039337472</v>
      </c>
      <c r="H885" s="2">
        <v>25</v>
      </c>
      <c r="I885" s="2">
        <v>5</v>
      </c>
      <c r="J885" s="2">
        <v>16</v>
      </c>
      <c r="K885" s="4">
        <v>1</v>
      </c>
      <c r="L885" s="4">
        <v>-0.99149627535560814</v>
      </c>
      <c r="M885" s="4">
        <v>0.99149627535560814</v>
      </c>
      <c r="N885" s="10">
        <v>0.99099999999999999</v>
      </c>
      <c r="O885" s="4">
        <v>13.525590654166695</v>
      </c>
      <c r="P885" s="4">
        <v>-13.38</v>
      </c>
      <c r="Q885" s="3" t="s">
        <v>1617</v>
      </c>
      <c r="R885" s="3" t="s">
        <v>1618</v>
      </c>
      <c r="S885" s="3" t="s">
        <v>1619</v>
      </c>
      <c r="T885" s="3"/>
    </row>
    <row r="886" spans="1:20">
      <c r="A886" s="3" t="s">
        <v>1600</v>
      </c>
      <c r="B886" s="3" t="s">
        <v>1601</v>
      </c>
      <c r="C886" s="3" t="s">
        <v>1616</v>
      </c>
      <c r="D886" s="3" t="s">
        <v>731</v>
      </c>
      <c r="E886" s="3" t="s">
        <v>732</v>
      </c>
      <c r="F886" s="2">
        <v>1</v>
      </c>
      <c r="G886" s="4">
        <v>1.0300207039337472</v>
      </c>
      <c r="H886" s="2">
        <v>25</v>
      </c>
      <c r="I886" s="2">
        <v>5</v>
      </c>
      <c r="J886" s="2">
        <v>1</v>
      </c>
      <c r="K886" s="4">
        <v>1</v>
      </c>
      <c r="L886" s="4">
        <v>-0.99414881210222916</v>
      </c>
      <c r="M886" s="4">
        <v>0.99414881210222916</v>
      </c>
      <c r="N886" s="10">
        <v>0.99399999999999999</v>
      </c>
      <c r="O886" s="4">
        <v>14.455676226560827</v>
      </c>
      <c r="P886" s="4">
        <v>-14.39</v>
      </c>
      <c r="Q886" s="3" t="s">
        <v>1617</v>
      </c>
      <c r="R886" s="3" t="s">
        <v>1618</v>
      </c>
      <c r="S886" s="3" t="s">
        <v>1619</v>
      </c>
      <c r="T886" s="3"/>
    </row>
    <row r="887" spans="1:20">
      <c r="A887" s="3" t="s">
        <v>1600</v>
      </c>
      <c r="B887" s="3" t="s">
        <v>1606</v>
      </c>
      <c r="C887" s="3" t="s">
        <v>1616</v>
      </c>
      <c r="D887" s="3" t="s">
        <v>731</v>
      </c>
      <c r="E887" s="3" t="s">
        <v>732</v>
      </c>
      <c r="F887" s="2">
        <v>1</v>
      </c>
      <c r="G887" s="4">
        <v>1.0300207039337472</v>
      </c>
      <c r="H887" s="2">
        <v>25</v>
      </c>
      <c r="I887" s="2">
        <v>5</v>
      </c>
      <c r="J887" s="2">
        <v>1</v>
      </c>
      <c r="K887" s="4">
        <v>1</v>
      </c>
      <c r="L887" s="4">
        <v>-1</v>
      </c>
      <c r="M887" s="4">
        <v>1</v>
      </c>
      <c r="N887" s="10">
        <v>0.995</v>
      </c>
      <c r="O887" s="4">
        <v>14.85</v>
      </c>
      <c r="P887" s="4">
        <v>-14.85</v>
      </c>
      <c r="Q887" s="3" t="s">
        <v>1617</v>
      </c>
      <c r="R887" s="3" t="s">
        <v>1621</v>
      </c>
      <c r="S887" s="3" t="s">
        <v>1622</v>
      </c>
      <c r="T887" s="3"/>
    </row>
    <row r="888" spans="1:20">
      <c r="A888" s="3" t="s">
        <v>1600</v>
      </c>
      <c r="B888" s="3" t="s">
        <v>1606</v>
      </c>
      <c r="C888" s="3" t="s">
        <v>1616</v>
      </c>
      <c r="D888" s="3" t="s">
        <v>731</v>
      </c>
      <c r="E888" s="3" t="s">
        <v>732</v>
      </c>
      <c r="F888" s="2">
        <v>1</v>
      </c>
      <c r="G888" s="4">
        <v>1.0300207039337472</v>
      </c>
      <c r="H888" s="2">
        <v>25</v>
      </c>
      <c r="I888" s="2">
        <v>5</v>
      </c>
      <c r="J888" s="2">
        <v>16</v>
      </c>
      <c r="K888" s="11">
        <v>1</v>
      </c>
      <c r="L888" s="11">
        <v>-1</v>
      </c>
      <c r="M888" s="4">
        <v>1</v>
      </c>
      <c r="N888" s="10">
        <v>0.995</v>
      </c>
      <c r="O888" s="4">
        <v>14.85</v>
      </c>
      <c r="P888" s="4">
        <v>-14.85</v>
      </c>
      <c r="Q888" s="3" t="s">
        <v>1617</v>
      </c>
      <c r="R888" s="3" t="s">
        <v>1621</v>
      </c>
      <c r="S888" s="3" t="s">
        <v>1622</v>
      </c>
      <c r="T888" s="3"/>
    </row>
    <row r="889" spans="1:20">
      <c r="A889" s="3" t="s">
        <v>1600</v>
      </c>
      <c r="B889" s="3" t="s">
        <v>1609</v>
      </c>
      <c r="C889" s="3" t="s">
        <v>1616</v>
      </c>
      <c r="D889" s="3" t="s">
        <v>731</v>
      </c>
      <c r="E889" s="3" t="s">
        <v>732</v>
      </c>
      <c r="F889" s="2">
        <v>1</v>
      </c>
      <c r="G889" s="4">
        <v>1.0300207039337472</v>
      </c>
      <c r="H889" s="2">
        <v>25</v>
      </c>
      <c r="I889" s="2">
        <v>5</v>
      </c>
      <c r="J889" s="2">
        <v>1</v>
      </c>
      <c r="K889" s="4">
        <v>1</v>
      </c>
      <c r="L889" s="4">
        <v>-1</v>
      </c>
      <c r="M889" s="4">
        <v>1</v>
      </c>
      <c r="N889" s="10">
        <v>0.995</v>
      </c>
      <c r="O889" s="4">
        <v>14.85</v>
      </c>
      <c r="P889" s="4">
        <v>-14.85</v>
      </c>
      <c r="Q889" s="3" t="s">
        <v>1617</v>
      </c>
      <c r="R889" s="3" t="s">
        <v>1623</v>
      </c>
      <c r="S889" s="3" t="s">
        <v>1624</v>
      </c>
      <c r="T889" s="3"/>
    </row>
    <row r="890" spans="1:20">
      <c r="A890" s="3" t="s">
        <v>1600</v>
      </c>
      <c r="B890" s="3" t="s">
        <v>1609</v>
      </c>
      <c r="C890" s="3" t="s">
        <v>1616</v>
      </c>
      <c r="D890" s="3" t="s">
        <v>731</v>
      </c>
      <c r="E890" s="3" t="s">
        <v>732</v>
      </c>
      <c r="F890" s="2">
        <v>1</v>
      </c>
      <c r="G890" s="4">
        <v>1.0300207039337472</v>
      </c>
      <c r="H890" s="2">
        <v>25</v>
      </c>
      <c r="I890" s="2">
        <v>5</v>
      </c>
      <c r="J890" s="2">
        <v>16</v>
      </c>
      <c r="K890" s="11">
        <v>1</v>
      </c>
      <c r="L890" s="11">
        <v>-1</v>
      </c>
      <c r="M890" s="4">
        <v>1</v>
      </c>
      <c r="N890" s="10">
        <v>0.995</v>
      </c>
      <c r="O890" s="4">
        <v>14.85</v>
      </c>
      <c r="P890" s="4">
        <v>-14.85</v>
      </c>
      <c r="Q890" s="3" t="s">
        <v>1617</v>
      </c>
      <c r="R890" s="3" t="s">
        <v>1623</v>
      </c>
      <c r="S890" s="3" t="s">
        <v>1624</v>
      </c>
      <c r="T890" s="3"/>
    </row>
    <row r="891" spans="1:20">
      <c r="A891" s="3" t="s">
        <v>1600</v>
      </c>
      <c r="B891" s="3" t="s">
        <v>1601</v>
      </c>
      <c r="C891" s="3" t="s">
        <v>1596</v>
      </c>
      <c r="D891" s="3" t="s">
        <v>731</v>
      </c>
      <c r="E891" s="3" t="s">
        <v>732</v>
      </c>
      <c r="F891" s="2">
        <v>1</v>
      </c>
      <c r="G891" s="4">
        <v>1.0300207039337472</v>
      </c>
      <c r="H891" s="2">
        <v>25</v>
      </c>
      <c r="I891" s="2">
        <v>5</v>
      </c>
      <c r="J891" s="2">
        <v>1</v>
      </c>
      <c r="K891" s="4">
        <v>1</v>
      </c>
      <c r="L891" s="4">
        <v>-1</v>
      </c>
      <c r="M891" s="4">
        <v>1</v>
      </c>
      <c r="N891" s="10">
        <v>0.995</v>
      </c>
      <c r="O891" s="4">
        <v>14.85</v>
      </c>
      <c r="P891" s="4">
        <v>-14.85</v>
      </c>
      <c r="Q891" s="3" t="s">
        <v>1617</v>
      </c>
      <c r="R891" s="3" t="s">
        <v>1618</v>
      </c>
      <c r="S891" s="3" t="s">
        <v>1619</v>
      </c>
      <c r="T891" s="3"/>
    </row>
    <row r="892" spans="1:20">
      <c r="A892" s="3" t="s">
        <v>1600</v>
      </c>
      <c r="B892" s="3" t="s">
        <v>1606</v>
      </c>
      <c r="C892" s="3" t="s">
        <v>1596</v>
      </c>
      <c r="D892" s="3" t="s">
        <v>731</v>
      </c>
      <c r="E892" s="3" t="s">
        <v>732</v>
      </c>
      <c r="F892" s="2">
        <v>1</v>
      </c>
      <c r="G892" s="4">
        <v>1.0300207039337472</v>
      </c>
      <c r="H892" s="2">
        <v>25</v>
      </c>
      <c r="I892" s="2">
        <v>5</v>
      </c>
      <c r="J892" s="2">
        <v>1</v>
      </c>
      <c r="K892" s="11">
        <v>1</v>
      </c>
      <c r="L892" s="11">
        <v>-1</v>
      </c>
      <c r="M892" s="4">
        <v>1</v>
      </c>
      <c r="N892" s="10">
        <v>0.995</v>
      </c>
      <c r="O892" s="4">
        <v>14.85</v>
      </c>
      <c r="P892" s="4">
        <v>-14.85</v>
      </c>
      <c r="Q892" s="3" t="s">
        <v>1617</v>
      </c>
      <c r="R892" s="3" t="s">
        <v>1621</v>
      </c>
      <c r="S892" s="3" t="s">
        <v>1622</v>
      </c>
      <c r="T892" s="3"/>
    </row>
    <row r="893" spans="1:20">
      <c r="A893" s="3" t="s">
        <v>1600</v>
      </c>
      <c r="B893" s="3" t="s">
        <v>1606</v>
      </c>
      <c r="C893" s="3" t="s">
        <v>1596</v>
      </c>
      <c r="D893" s="3" t="s">
        <v>731</v>
      </c>
      <c r="E893" s="3" t="s">
        <v>732</v>
      </c>
      <c r="F893" s="2">
        <v>1</v>
      </c>
      <c r="G893" s="4">
        <v>1.0300207039337472</v>
      </c>
      <c r="H893" s="2">
        <v>25</v>
      </c>
      <c r="I893" s="2">
        <v>5</v>
      </c>
      <c r="J893" s="2">
        <v>16</v>
      </c>
      <c r="K893" s="11">
        <v>1</v>
      </c>
      <c r="L893" s="11">
        <v>-1</v>
      </c>
      <c r="M893" s="4">
        <v>1</v>
      </c>
      <c r="N893" s="10">
        <v>0.995</v>
      </c>
      <c r="O893" s="4">
        <v>14.85</v>
      </c>
      <c r="P893" s="4">
        <v>-14.85</v>
      </c>
      <c r="Q893" s="3" t="s">
        <v>1617</v>
      </c>
      <c r="R893" s="3" t="s">
        <v>1621</v>
      </c>
      <c r="S893" s="3" t="s">
        <v>1622</v>
      </c>
      <c r="T893" s="3"/>
    </row>
    <row r="894" spans="1:20">
      <c r="A894" s="3" t="s">
        <v>1600</v>
      </c>
      <c r="B894" s="3" t="s">
        <v>1606</v>
      </c>
      <c r="C894" s="3" t="s">
        <v>1596</v>
      </c>
      <c r="D894" s="3" t="s">
        <v>1403</v>
      </c>
      <c r="E894" s="3" t="s">
        <v>1404</v>
      </c>
      <c r="F894" s="2">
        <v>1</v>
      </c>
      <c r="G894" s="4">
        <v>1.0304851867754401</v>
      </c>
      <c r="H894" s="2">
        <v>25</v>
      </c>
      <c r="I894" s="2">
        <v>5</v>
      </c>
      <c r="J894" s="2">
        <v>1</v>
      </c>
      <c r="K894" s="4">
        <v>0.99550879241098023</v>
      </c>
      <c r="L894" s="4">
        <v>0.74462207320301288</v>
      </c>
      <c r="M894" s="4">
        <v>0.74462207320301288</v>
      </c>
      <c r="N894" s="10">
        <v>0.745</v>
      </c>
      <c r="O894" s="4">
        <v>4.7634581244994401</v>
      </c>
      <c r="P894" s="4">
        <v>4.7699999999999996</v>
      </c>
      <c r="Q894" s="3" t="s">
        <v>1597</v>
      </c>
      <c r="R894" s="3" t="s">
        <v>1607</v>
      </c>
      <c r="S894" s="3" t="s">
        <v>1608</v>
      </c>
      <c r="T894" s="3"/>
    </row>
    <row r="895" spans="1:20">
      <c r="A895" s="3" t="s">
        <v>1600</v>
      </c>
      <c r="B895" s="3" t="s">
        <v>1606</v>
      </c>
      <c r="C895" s="3" t="s">
        <v>1596</v>
      </c>
      <c r="D895" s="3" t="s">
        <v>1403</v>
      </c>
      <c r="E895" s="3" t="s">
        <v>1404</v>
      </c>
      <c r="F895" s="2">
        <v>1</v>
      </c>
      <c r="G895" s="4">
        <v>1.0304851867754401</v>
      </c>
      <c r="H895" s="2">
        <v>25</v>
      </c>
      <c r="I895" s="2">
        <v>5</v>
      </c>
      <c r="J895" s="2">
        <v>16</v>
      </c>
      <c r="K895" s="4">
        <v>1</v>
      </c>
      <c r="L895" s="4">
        <v>0.73569150145445716</v>
      </c>
      <c r="M895" s="4">
        <v>0.73569150145445716</v>
      </c>
      <c r="N895" s="10">
        <v>0.73599999999999999</v>
      </c>
      <c r="O895" s="4">
        <v>4.6655276680069102</v>
      </c>
      <c r="P895" s="4">
        <v>4.67</v>
      </c>
      <c r="Q895" s="3" t="s">
        <v>1597</v>
      </c>
      <c r="R895" s="3" t="s">
        <v>1607</v>
      </c>
      <c r="S895" s="3" t="s">
        <v>1608</v>
      </c>
      <c r="T895" s="3"/>
    </row>
    <row r="896" spans="1:20">
      <c r="A896" s="3" t="s">
        <v>1600</v>
      </c>
      <c r="B896" s="3" t="s">
        <v>1606</v>
      </c>
      <c r="C896" s="3" t="s">
        <v>1616</v>
      </c>
      <c r="D896" s="3" t="s">
        <v>1403</v>
      </c>
      <c r="E896" s="3" t="s">
        <v>1404</v>
      </c>
      <c r="F896" s="2">
        <v>1</v>
      </c>
      <c r="G896" s="4">
        <v>1.0304851867754401</v>
      </c>
      <c r="H896" s="2">
        <v>25</v>
      </c>
      <c r="I896" s="2">
        <v>5</v>
      </c>
      <c r="J896" s="2">
        <v>16</v>
      </c>
      <c r="K896" s="4">
        <v>1</v>
      </c>
      <c r="L896" s="4">
        <v>0.65890956095114828</v>
      </c>
      <c r="M896" s="4">
        <v>0.65890956095114828</v>
      </c>
      <c r="N896" s="10">
        <v>0.65900000000000003</v>
      </c>
      <c r="O896" s="4">
        <v>3.9211528179051376</v>
      </c>
      <c r="P896" s="4">
        <v>3.92</v>
      </c>
      <c r="Q896" s="3" t="s">
        <v>1597</v>
      </c>
      <c r="R896" s="3" t="s">
        <v>1607</v>
      </c>
      <c r="S896" s="3" t="s">
        <v>1608</v>
      </c>
      <c r="T896" s="3"/>
    </row>
    <row r="897" spans="1:20">
      <c r="A897" s="3" t="s">
        <v>1600</v>
      </c>
      <c r="B897" s="3" t="s">
        <v>1606</v>
      </c>
      <c r="C897" s="3" t="s">
        <v>1616</v>
      </c>
      <c r="D897" s="3" t="s">
        <v>1403</v>
      </c>
      <c r="E897" s="3" t="s">
        <v>1404</v>
      </c>
      <c r="F897" s="2">
        <v>1</v>
      </c>
      <c r="G897" s="4">
        <v>1.0304851867754401</v>
      </c>
      <c r="H897" s="2">
        <v>25</v>
      </c>
      <c r="I897" s="2">
        <v>5</v>
      </c>
      <c r="J897" s="2">
        <v>1</v>
      </c>
      <c r="K897" s="4">
        <v>1</v>
      </c>
      <c r="L897" s="4">
        <v>0.65270449778288564</v>
      </c>
      <c r="M897" s="4">
        <v>0.65270449778288564</v>
      </c>
      <c r="N897" s="10">
        <v>0.65300000000000002</v>
      </c>
      <c r="O897" s="4">
        <v>3.8671712789917749</v>
      </c>
      <c r="P897" s="4">
        <v>3.87</v>
      </c>
      <c r="Q897" s="3" t="s">
        <v>1597</v>
      </c>
      <c r="R897" s="3" t="s">
        <v>1607</v>
      </c>
      <c r="S897" s="3" t="s">
        <v>1608</v>
      </c>
      <c r="T897" s="3"/>
    </row>
    <row r="898" spans="1:20">
      <c r="A898" s="3" t="s">
        <v>1594</v>
      </c>
      <c r="B898" s="3" t="s">
        <v>1612</v>
      </c>
      <c r="C898" s="3" t="s">
        <v>1596</v>
      </c>
      <c r="D898" s="3" t="s">
        <v>1403</v>
      </c>
      <c r="E898" s="3" t="s">
        <v>1404</v>
      </c>
      <c r="F898" s="2">
        <v>1</v>
      </c>
      <c r="G898" s="4">
        <v>1.0304851867754401</v>
      </c>
      <c r="H898" s="2">
        <v>50</v>
      </c>
      <c r="I898" s="2">
        <v>5</v>
      </c>
      <c r="J898" s="2">
        <v>16</v>
      </c>
      <c r="K898" s="4">
        <v>1</v>
      </c>
      <c r="L898" s="4">
        <v>0.57851233108564049</v>
      </c>
      <c r="M898" s="4">
        <v>0.57851233108564049</v>
      </c>
      <c r="N898" s="10">
        <v>0.57899999999999996</v>
      </c>
      <c r="O898" s="4">
        <v>3.5478191113030282</v>
      </c>
      <c r="P898" s="4">
        <v>3.55</v>
      </c>
      <c r="Q898" s="3" t="s">
        <v>1597</v>
      </c>
      <c r="R898" s="3" t="s">
        <v>1613</v>
      </c>
      <c r="S898" s="3" t="s">
        <v>1614</v>
      </c>
      <c r="T898" s="3"/>
    </row>
    <row r="899" spans="1:20">
      <c r="A899" s="3" t="s">
        <v>1594</v>
      </c>
      <c r="B899" s="3" t="s">
        <v>1595</v>
      </c>
      <c r="C899" s="3" t="s">
        <v>1596</v>
      </c>
      <c r="D899" s="3" t="s">
        <v>1403</v>
      </c>
      <c r="E899" s="3" t="s">
        <v>1404</v>
      </c>
      <c r="F899" s="2">
        <v>1</v>
      </c>
      <c r="G899" s="4">
        <v>1.0304851867754401</v>
      </c>
      <c r="H899" s="2">
        <v>50</v>
      </c>
      <c r="I899" s="2">
        <v>5</v>
      </c>
      <c r="J899" s="2">
        <v>16</v>
      </c>
      <c r="K899" s="4">
        <v>1</v>
      </c>
      <c r="L899" s="4">
        <v>0.35618779792698274</v>
      </c>
      <c r="M899" s="4">
        <v>0.35618779792698274</v>
      </c>
      <c r="N899" s="10">
        <v>0.35599999999999998</v>
      </c>
      <c r="O899" s="4">
        <v>2.0017583909219661</v>
      </c>
      <c r="P899" s="4">
        <v>2</v>
      </c>
      <c r="Q899" s="3" t="s">
        <v>1597</v>
      </c>
      <c r="R899" s="3" t="s">
        <v>1598</v>
      </c>
      <c r="S899" s="3" t="s">
        <v>1599</v>
      </c>
      <c r="T899" s="3"/>
    </row>
    <row r="900" spans="1:20">
      <c r="A900" s="3" t="s">
        <v>1594</v>
      </c>
      <c r="B900" s="3" t="s">
        <v>1595</v>
      </c>
      <c r="C900" s="3" t="s">
        <v>1596</v>
      </c>
      <c r="D900" s="3" t="s">
        <v>1403</v>
      </c>
      <c r="E900" s="3" t="s">
        <v>1404</v>
      </c>
      <c r="F900" s="2">
        <v>1</v>
      </c>
      <c r="G900" s="4">
        <v>1.0304851867754401</v>
      </c>
      <c r="H900" s="2">
        <v>25</v>
      </c>
      <c r="I900" s="2">
        <v>5</v>
      </c>
      <c r="J900" s="2">
        <v>16</v>
      </c>
      <c r="K900" s="4">
        <v>1</v>
      </c>
      <c r="L900" s="4">
        <v>0.35324528775672126</v>
      </c>
      <c r="M900" s="4">
        <v>0.35324528775672126</v>
      </c>
      <c r="N900" s="10">
        <v>0.35299999999999998</v>
      </c>
      <c r="O900" s="4">
        <v>1.8302068251464976</v>
      </c>
      <c r="P900" s="4">
        <v>1.83</v>
      </c>
      <c r="Q900" s="3" t="s">
        <v>1597</v>
      </c>
      <c r="R900" s="3" t="s">
        <v>1598</v>
      </c>
      <c r="S900" s="3" t="s">
        <v>1599</v>
      </c>
      <c r="T900" s="3"/>
    </row>
    <row r="901" spans="1:20">
      <c r="A901" s="3" t="s">
        <v>1600</v>
      </c>
      <c r="B901" s="3" t="s">
        <v>1609</v>
      </c>
      <c r="C901" s="3" t="s">
        <v>1596</v>
      </c>
      <c r="D901" s="3" t="s">
        <v>1403</v>
      </c>
      <c r="E901" s="3" t="s">
        <v>1404</v>
      </c>
      <c r="F901" s="2">
        <v>1</v>
      </c>
      <c r="G901" s="4">
        <v>1.0304851867754401</v>
      </c>
      <c r="H901" s="2">
        <v>25</v>
      </c>
      <c r="I901" s="2">
        <v>5</v>
      </c>
      <c r="J901" s="2">
        <v>1</v>
      </c>
      <c r="K901" s="4">
        <v>1</v>
      </c>
      <c r="L901" s="4">
        <v>0.28063317920333097</v>
      </c>
      <c r="M901" s="4">
        <v>0.28063317920333097</v>
      </c>
      <c r="N901" s="10">
        <v>0.28100000000000003</v>
      </c>
      <c r="O901" s="4">
        <v>1.4297163776735788</v>
      </c>
      <c r="P901" s="4">
        <v>1.43</v>
      </c>
      <c r="Q901" s="3" t="s">
        <v>1597</v>
      </c>
      <c r="R901" s="3" t="s">
        <v>1610</v>
      </c>
      <c r="S901" s="3" t="s">
        <v>1611</v>
      </c>
      <c r="T901" s="3"/>
    </row>
    <row r="902" spans="1:20">
      <c r="A902" s="3" t="s">
        <v>1600</v>
      </c>
      <c r="B902" s="3" t="s">
        <v>1609</v>
      </c>
      <c r="C902" s="3" t="s">
        <v>1596</v>
      </c>
      <c r="D902" s="3" t="s">
        <v>1403</v>
      </c>
      <c r="E902" s="3" t="s">
        <v>1404</v>
      </c>
      <c r="F902" s="2">
        <v>1</v>
      </c>
      <c r="G902" s="4">
        <v>1.0304851867754401</v>
      </c>
      <c r="H902" s="2">
        <v>25</v>
      </c>
      <c r="I902" s="2">
        <v>5</v>
      </c>
      <c r="J902" s="2">
        <v>16</v>
      </c>
      <c r="K902" s="4">
        <v>1</v>
      </c>
      <c r="L902" s="4">
        <v>0.27183977917191099</v>
      </c>
      <c r="M902" s="4">
        <v>0.27183977917191099</v>
      </c>
      <c r="N902" s="10">
        <v>0.27200000000000002</v>
      </c>
      <c r="O902" s="4">
        <v>1.3825172508456265</v>
      </c>
      <c r="P902" s="4">
        <v>1.38</v>
      </c>
      <c r="Q902" s="3" t="s">
        <v>1597</v>
      </c>
      <c r="R902" s="3" t="s">
        <v>1610</v>
      </c>
      <c r="S902" s="3" t="s">
        <v>1611</v>
      </c>
      <c r="T902" s="3"/>
    </row>
    <row r="903" spans="1:20">
      <c r="A903" s="3" t="s">
        <v>1600</v>
      </c>
      <c r="B903" s="3" t="s">
        <v>1601</v>
      </c>
      <c r="C903" s="3" t="s">
        <v>1596</v>
      </c>
      <c r="D903" s="3" t="s">
        <v>1403</v>
      </c>
      <c r="E903" s="3" t="s">
        <v>1404</v>
      </c>
      <c r="F903" s="2">
        <v>1</v>
      </c>
      <c r="G903" s="4">
        <v>1.0304851867754401</v>
      </c>
      <c r="H903" s="2">
        <v>25</v>
      </c>
      <c r="I903" s="2">
        <v>5</v>
      </c>
      <c r="J903" s="2">
        <v>1</v>
      </c>
      <c r="K903" s="4">
        <v>0.36760126907701796</v>
      </c>
      <c r="L903" s="4">
        <v>0.20054275018711021</v>
      </c>
      <c r="M903" s="4">
        <v>0.20054275018711021</v>
      </c>
      <c r="N903" s="10">
        <v>0.20100000000000001</v>
      </c>
      <c r="O903" s="4">
        <v>1.0079384589410247</v>
      </c>
      <c r="P903" s="4">
        <v>1.01</v>
      </c>
      <c r="Q903" s="3" t="s">
        <v>1597</v>
      </c>
      <c r="R903" s="3" t="s">
        <v>1602</v>
      </c>
      <c r="S903" s="3" t="s">
        <v>1603</v>
      </c>
      <c r="T903" s="3"/>
    </row>
    <row r="904" spans="1:20">
      <c r="A904" s="3" t="s">
        <v>1604</v>
      </c>
      <c r="B904" s="3" t="s">
        <v>1601</v>
      </c>
      <c r="C904" s="3" t="s">
        <v>1596</v>
      </c>
      <c r="D904" s="3" t="s">
        <v>1403</v>
      </c>
      <c r="E904" s="3" t="s">
        <v>1404</v>
      </c>
      <c r="F904" s="2">
        <v>1</v>
      </c>
      <c r="G904" s="4">
        <v>1.0304851867754401</v>
      </c>
      <c r="H904" s="2">
        <v>25</v>
      </c>
      <c r="I904" s="2">
        <v>30</v>
      </c>
      <c r="J904" s="2">
        <v>16</v>
      </c>
      <c r="K904" s="4">
        <v>1</v>
      </c>
      <c r="L904" s="4">
        <v>0.18313557577539832</v>
      </c>
      <c r="M904" s="4">
        <v>0.18313557577539832</v>
      </c>
      <c r="N904" s="10">
        <v>0.183</v>
      </c>
      <c r="O904" s="4">
        <v>0.91833456139336178</v>
      </c>
      <c r="P904" s="4">
        <v>0.92</v>
      </c>
      <c r="Q904" s="3" t="s">
        <v>1597</v>
      </c>
      <c r="R904" s="3" t="s">
        <v>1602</v>
      </c>
      <c r="S904" s="3" t="s">
        <v>1603</v>
      </c>
      <c r="T904" s="3"/>
    </row>
    <row r="905" spans="1:20">
      <c r="A905" s="3" t="s">
        <v>1600</v>
      </c>
      <c r="B905" s="3" t="s">
        <v>1609</v>
      </c>
      <c r="C905" s="3" t="s">
        <v>1616</v>
      </c>
      <c r="D905" s="3" t="s">
        <v>1403</v>
      </c>
      <c r="E905" s="3" t="s">
        <v>1404</v>
      </c>
      <c r="F905" s="2">
        <v>1</v>
      </c>
      <c r="G905" s="4">
        <v>1.0304851867754401</v>
      </c>
      <c r="H905" s="2">
        <v>25</v>
      </c>
      <c r="I905" s="2">
        <v>5</v>
      </c>
      <c r="J905" s="2">
        <v>1</v>
      </c>
      <c r="K905" s="4">
        <v>1</v>
      </c>
      <c r="L905" s="4">
        <v>0.18153954528137778</v>
      </c>
      <c r="M905" s="4">
        <v>0.18153954528137778</v>
      </c>
      <c r="N905" s="10">
        <v>0.182</v>
      </c>
      <c r="O905" s="4">
        <v>0.91014941020812623</v>
      </c>
      <c r="P905" s="4">
        <v>0.91</v>
      </c>
      <c r="Q905" s="3" t="s">
        <v>1597</v>
      </c>
      <c r="R905" s="3" t="s">
        <v>1610</v>
      </c>
      <c r="S905" s="3" t="s">
        <v>1611</v>
      </c>
      <c r="T905" s="3"/>
    </row>
    <row r="906" spans="1:20">
      <c r="A906" s="3" t="s">
        <v>1600</v>
      </c>
      <c r="B906" s="3" t="s">
        <v>1601</v>
      </c>
      <c r="C906" s="3" t="s">
        <v>1596</v>
      </c>
      <c r="D906" s="3" t="s">
        <v>1403</v>
      </c>
      <c r="E906" s="3" t="s">
        <v>1404</v>
      </c>
      <c r="F906" s="2">
        <v>1</v>
      </c>
      <c r="G906" s="4">
        <v>1.0304851867754401</v>
      </c>
      <c r="H906" s="2">
        <v>25</v>
      </c>
      <c r="I906" s="2">
        <v>5</v>
      </c>
      <c r="J906" s="2">
        <v>16</v>
      </c>
      <c r="K906" s="4">
        <v>1</v>
      </c>
      <c r="L906" s="4">
        <v>0.17885414096910746</v>
      </c>
      <c r="M906" s="4">
        <v>0.17885414096910746</v>
      </c>
      <c r="N906" s="10">
        <v>0.17899999999999999</v>
      </c>
      <c r="O906" s="4">
        <v>0.89638850827218364</v>
      </c>
      <c r="P906" s="4">
        <v>0.9</v>
      </c>
      <c r="Q906" s="3" t="s">
        <v>1597</v>
      </c>
      <c r="R906" s="3" t="s">
        <v>1602</v>
      </c>
      <c r="S906" s="3" t="s">
        <v>1603</v>
      </c>
      <c r="T906" s="3"/>
    </row>
    <row r="907" spans="1:20">
      <c r="A907" s="3" t="s">
        <v>1605</v>
      </c>
      <c r="B907" s="3" t="s">
        <v>1601</v>
      </c>
      <c r="C907" s="3" t="s">
        <v>1596</v>
      </c>
      <c r="D907" s="3" t="s">
        <v>1403</v>
      </c>
      <c r="E907" s="3" t="s">
        <v>1404</v>
      </c>
      <c r="F907" s="2">
        <v>1</v>
      </c>
      <c r="G907" s="4">
        <v>1.0304851867754401</v>
      </c>
      <c r="H907" s="2">
        <v>25</v>
      </c>
      <c r="I907" s="2">
        <v>5</v>
      </c>
      <c r="J907" s="2">
        <v>16</v>
      </c>
      <c r="K907" s="4">
        <v>1</v>
      </c>
      <c r="L907" s="4">
        <v>0.17247735513723372</v>
      </c>
      <c r="M907" s="4">
        <v>0.17247735513723372</v>
      </c>
      <c r="N907" s="10">
        <v>0.17199999999999999</v>
      </c>
      <c r="O907" s="4">
        <v>0.86376600533490644</v>
      </c>
      <c r="P907" s="4">
        <v>0.86</v>
      </c>
      <c r="Q907" s="3" t="s">
        <v>1597</v>
      </c>
      <c r="R907" s="3" t="s">
        <v>1602</v>
      </c>
      <c r="S907" s="3" t="s">
        <v>1603</v>
      </c>
      <c r="T907" s="3"/>
    </row>
    <row r="908" spans="1:20">
      <c r="A908" s="3" t="s">
        <v>1600</v>
      </c>
      <c r="B908" s="3" t="s">
        <v>1609</v>
      </c>
      <c r="C908" s="3" t="s">
        <v>1616</v>
      </c>
      <c r="D908" s="3" t="s">
        <v>1403</v>
      </c>
      <c r="E908" s="3" t="s">
        <v>1404</v>
      </c>
      <c r="F908" s="2">
        <v>1</v>
      </c>
      <c r="G908" s="4">
        <v>1.0304851867754401</v>
      </c>
      <c r="H908" s="2">
        <v>25</v>
      </c>
      <c r="I908" s="2">
        <v>5</v>
      </c>
      <c r="J908" s="2">
        <v>16</v>
      </c>
      <c r="K908" s="4">
        <v>1</v>
      </c>
      <c r="L908" s="4">
        <v>0.15323664539104823</v>
      </c>
      <c r="M908" s="4">
        <v>0.15323664539104823</v>
      </c>
      <c r="N908" s="10">
        <v>0.153</v>
      </c>
      <c r="O908" s="4">
        <v>0.7657693310181003</v>
      </c>
      <c r="P908" s="4">
        <v>0.76</v>
      </c>
      <c r="Q908" s="3" t="s">
        <v>1597</v>
      </c>
      <c r="R908" s="3" t="s">
        <v>1610</v>
      </c>
      <c r="S908" s="3" t="s">
        <v>1611</v>
      </c>
      <c r="T908" s="3"/>
    </row>
    <row r="909" spans="1:20">
      <c r="A909" s="3" t="s">
        <v>1600</v>
      </c>
      <c r="B909" s="3" t="s">
        <v>1601</v>
      </c>
      <c r="C909" s="3" t="s">
        <v>1616</v>
      </c>
      <c r="D909" s="3" t="s">
        <v>1403</v>
      </c>
      <c r="E909" s="3" t="s">
        <v>1404</v>
      </c>
      <c r="F909" s="2">
        <v>1</v>
      </c>
      <c r="G909" s="4">
        <v>1.0304851867754401</v>
      </c>
      <c r="H909" s="2">
        <v>25</v>
      </c>
      <c r="I909" s="2">
        <v>5</v>
      </c>
      <c r="J909" s="2">
        <v>1</v>
      </c>
      <c r="K909" s="4">
        <v>1</v>
      </c>
      <c r="L909" s="4">
        <v>9.5787374353778293E-2</v>
      </c>
      <c r="M909" s="4">
        <v>9.5787374353778293E-2</v>
      </c>
      <c r="N909" s="10">
        <v>9.6000000000000002E-2</v>
      </c>
      <c r="O909" s="4">
        <v>0.47636821501426063</v>
      </c>
      <c r="P909" s="4">
        <v>0.48</v>
      </c>
      <c r="Q909" s="3" t="s">
        <v>1597</v>
      </c>
      <c r="R909" s="3" t="s">
        <v>1602</v>
      </c>
      <c r="S909" s="3" t="s">
        <v>1603</v>
      </c>
      <c r="T909" s="3"/>
    </row>
    <row r="910" spans="1:20">
      <c r="A910" s="3" t="s">
        <v>1604</v>
      </c>
      <c r="B910" s="3" t="s">
        <v>1601</v>
      </c>
      <c r="C910" s="3" t="s">
        <v>1616</v>
      </c>
      <c r="D910" s="3" t="s">
        <v>1403</v>
      </c>
      <c r="E910" s="3" t="s">
        <v>1404</v>
      </c>
      <c r="F910" s="2">
        <v>1</v>
      </c>
      <c r="G910" s="4">
        <v>1.0304851867754401</v>
      </c>
      <c r="H910" s="2">
        <v>25</v>
      </c>
      <c r="I910" s="2">
        <v>30</v>
      </c>
      <c r="J910" s="2">
        <v>16</v>
      </c>
      <c r="K910" s="4">
        <v>1</v>
      </c>
      <c r="L910" s="4">
        <v>9.2774144643307715E-2</v>
      </c>
      <c r="M910" s="4">
        <v>9.2774144643307715E-2</v>
      </c>
      <c r="N910" s="10">
        <v>9.2999999999999999E-2</v>
      </c>
      <c r="O910" s="4">
        <v>0.46129481673637862</v>
      </c>
      <c r="P910" s="4">
        <v>0.46</v>
      </c>
      <c r="Q910" s="3" t="s">
        <v>1597</v>
      </c>
      <c r="R910" s="3" t="s">
        <v>1602</v>
      </c>
      <c r="S910" s="3" t="s">
        <v>1603</v>
      </c>
      <c r="T910" s="3"/>
    </row>
    <row r="911" spans="1:20">
      <c r="A911" s="3" t="s">
        <v>1600</v>
      </c>
      <c r="B911" s="3" t="s">
        <v>1601</v>
      </c>
      <c r="C911" s="3" t="s">
        <v>1616</v>
      </c>
      <c r="D911" s="3" t="s">
        <v>1403</v>
      </c>
      <c r="E911" s="3" t="s">
        <v>1404</v>
      </c>
      <c r="F911" s="2">
        <v>1</v>
      </c>
      <c r="G911" s="4">
        <v>1.0304851867754401</v>
      </c>
      <c r="H911" s="2">
        <v>25</v>
      </c>
      <c r="I911" s="2">
        <v>5</v>
      </c>
      <c r="J911" s="2">
        <v>16</v>
      </c>
      <c r="K911" s="4">
        <v>1</v>
      </c>
      <c r="L911" s="4">
        <v>9.1577570700158914E-2</v>
      </c>
      <c r="M911" s="4">
        <v>9.1577570700158914E-2</v>
      </c>
      <c r="N911" s="10">
        <v>9.1999999999999998E-2</v>
      </c>
      <c r="O911" s="4">
        <v>0.45531144146755059</v>
      </c>
      <c r="P911" s="4">
        <v>0.46</v>
      </c>
      <c r="Q911" s="3" t="s">
        <v>1597</v>
      </c>
      <c r="R911" s="3" t="s">
        <v>1602</v>
      </c>
      <c r="S911" s="3" t="s">
        <v>1603</v>
      </c>
      <c r="T911" s="3"/>
    </row>
    <row r="912" spans="1:20">
      <c r="A912" s="3" t="s">
        <v>1604</v>
      </c>
      <c r="B912" s="3" t="s">
        <v>1601</v>
      </c>
      <c r="C912" s="3" t="s">
        <v>1616</v>
      </c>
      <c r="D912" s="3" t="s">
        <v>1242</v>
      </c>
      <c r="E912" s="3" t="s">
        <v>1243</v>
      </c>
      <c r="F912" s="2">
        <v>1</v>
      </c>
      <c r="G912" s="4">
        <v>1.0305842541082368</v>
      </c>
      <c r="H912" s="2">
        <v>25</v>
      </c>
      <c r="I912" s="2">
        <v>30</v>
      </c>
      <c r="J912" s="2">
        <v>16</v>
      </c>
      <c r="K912" s="4">
        <v>2.782804971391728E-2</v>
      </c>
      <c r="L912" s="4">
        <v>0.58131235298888795</v>
      </c>
      <c r="M912" s="4">
        <v>0.58131235298888795</v>
      </c>
      <c r="N912" s="10">
        <v>0.58099999999999996</v>
      </c>
      <c r="O912" s="4">
        <v>3.294264156278683</v>
      </c>
      <c r="P912" s="4">
        <v>3.29</v>
      </c>
      <c r="Q912" s="3" t="s">
        <v>1597</v>
      </c>
      <c r="R912" s="3" t="s">
        <v>1602</v>
      </c>
      <c r="S912" s="3" t="s">
        <v>1603</v>
      </c>
      <c r="T912" s="3"/>
    </row>
    <row r="913" spans="1:20">
      <c r="A913" s="3" t="s">
        <v>1600</v>
      </c>
      <c r="B913" s="3" t="s">
        <v>1609</v>
      </c>
      <c r="C913" s="3" t="s">
        <v>1616</v>
      </c>
      <c r="D913" s="3" t="s">
        <v>1242</v>
      </c>
      <c r="E913" s="3" t="s">
        <v>1243</v>
      </c>
      <c r="F913" s="2">
        <v>1</v>
      </c>
      <c r="G913" s="4">
        <v>1.0305842541082368</v>
      </c>
      <c r="H913" s="2">
        <v>25</v>
      </c>
      <c r="I913" s="2">
        <v>5</v>
      </c>
      <c r="J913" s="2">
        <v>1</v>
      </c>
      <c r="K913" s="4">
        <v>6.8261569824830115E-3</v>
      </c>
      <c r="L913" s="4">
        <v>0.24740898219505714</v>
      </c>
      <c r="M913" s="4">
        <v>0.24740898219505714</v>
      </c>
      <c r="N913" s="10">
        <v>0.247</v>
      </c>
      <c r="O913" s="4">
        <v>1.2526273824061966</v>
      </c>
      <c r="P913" s="4">
        <v>1.25</v>
      </c>
      <c r="Q913" s="3" t="s">
        <v>1597</v>
      </c>
      <c r="R913" s="3" t="s">
        <v>1610</v>
      </c>
      <c r="S913" s="3" t="s">
        <v>1611</v>
      </c>
      <c r="T913" s="3"/>
    </row>
    <row r="914" spans="1:20">
      <c r="A914" s="3" t="s">
        <v>1604</v>
      </c>
      <c r="B914" s="3" t="s">
        <v>1601</v>
      </c>
      <c r="C914" s="3" t="s">
        <v>1596</v>
      </c>
      <c r="D914" s="3" t="s">
        <v>1242</v>
      </c>
      <c r="E914" s="3" t="s">
        <v>1243</v>
      </c>
      <c r="F914" s="2">
        <v>1</v>
      </c>
      <c r="G914" s="4">
        <v>1.0305842541082368</v>
      </c>
      <c r="H914" s="2">
        <v>25</v>
      </c>
      <c r="I914" s="2">
        <v>30</v>
      </c>
      <c r="J914" s="2">
        <v>16</v>
      </c>
      <c r="K914" s="4">
        <v>5.7645022896912201E-2</v>
      </c>
      <c r="L914" s="4">
        <v>0.2472393162463076</v>
      </c>
      <c r="M914" s="4">
        <v>0.2472393162463076</v>
      </c>
      <c r="N914" s="10">
        <v>0.247</v>
      </c>
      <c r="O914" s="4">
        <v>1.2517313817545968</v>
      </c>
      <c r="P914" s="4">
        <v>1.25</v>
      </c>
      <c r="Q914" s="3" t="s">
        <v>1597</v>
      </c>
      <c r="R914" s="3" t="s">
        <v>1602</v>
      </c>
      <c r="S914" s="3" t="s">
        <v>1603</v>
      </c>
      <c r="T914" s="3"/>
    </row>
    <row r="915" spans="1:20">
      <c r="A915" s="3" t="s">
        <v>1594</v>
      </c>
      <c r="B915" s="3" t="s">
        <v>1612</v>
      </c>
      <c r="C915" s="3" t="s">
        <v>1596</v>
      </c>
      <c r="D915" s="3" t="s">
        <v>1242</v>
      </c>
      <c r="E915" s="3" t="s">
        <v>1243</v>
      </c>
      <c r="F915" s="2">
        <v>1</v>
      </c>
      <c r="G915" s="4">
        <v>1.0305842541082368</v>
      </c>
      <c r="H915" s="2">
        <v>50</v>
      </c>
      <c r="I915" s="2">
        <v>5</v>
      </c>
      <c r="J915" s="2">
        <v>16</v>
      </c>
      <c r="K915" s="4">
        <v>0.2146554248777679</v>
      </c>
      <c r="L915" s="4">
        <v>0.1803240889002754</v>
      </c>
      <c r="M915" s="4">
        <v>0.1803240889002754</v>
      </c>
      <c r="N915" s="10">
        <v>0.18</v>
      </c>
      <c r="O915" s="4">
        <v>0.9797133081323034</v>
      </c>
      <c r="P915" s="4">
        <v>0.98</v>
      </c>
      <c r="Q915" s="3" t="s">
        <v>1597</v>
      </c>
      <c r="R915" s="3" t="s">
        <v>1613</v>
      </c>
      <c r="S915" s="3" t="s">
        <v>1614</v>
      </c>
      <c r="T915" s="3"/>
    </row>
    <row r="916" spans="1:20">
      <c r="A916" s="3" t="s">
        <v>1605</v>
      </c>
      <c r="B916" s="3" t="s">
        <v>1601</v>
      </c>
      <c r="C916" s="3" t="s">
        <v>1596</v>
      </c>
      <c r="D916" s="3" t="s">
        <v>1242</v>
      </c>
      <c r="E916" s="3" t="s">
        <v>1243</v>
      </c>
      <c r="F916" s="2">
        <v>1</v>
      </c>
      <c r="G916" s="4">
        <v>1.0305842541082368</v>
      </c>
      <c r="H916" s="2">
        <v>25</v>
      </c>
      <c r="I916" s="2">
        <v>5</v>
      </c>
      <c r="J916" s="2">
        <v>16</v>
      </c>
      <c r="K916" s="4">
        <v>1.3271934287747977E-2</v>
      </c>
      <c r="L916" s="4">
        <v>5.8522545570834666E-2</v>
      </c>
      <c r="M916" s="4">
        <v>5.8522545570834666E-2</v>
      </c>
      <c r="N916" s="10">
        <v>5.8999999999999997E-2</v>
      </c>
      <c r="O916" s="4">
        <v>0.29048298332557548</v>
      </c>
      <c r="P916" s="4">
        <v>0.28999999999999998</v>
      </c>
      <c r="Q916" s="3" t="s">
        <v>1597</v>
      </c>
      <c r="R916" s="3" t="s">
        <v>1602</v>
      </c>
      <c r="S916" s="3" t="s">
        <v>1603</v>
      </c>
      <c r="T916" s="3"/>
    </row>
    <row r="917" spans="1:20">
      <c r="A917" s="3" t="s">
        <v>1600</v>
      </c>
      <c r="B917" s="3" t="s">
        <v>1609</v>
      </c>
      <c r="C917" s="3" t="s">
        <v>1596</v>
      </c>
      <c r="D917" s="3" t="s">
        <v>1242</v>
      </c>
      <c r="E917" s="3" t="s">
        <v>1243</v>
      </c>
      <c r="F917" s="2">
        <v>1</v>
      </c>
      <c r="G917" s="4">
        <v>1.0305842541082368</v>
      </c>
      <c r="H917" s="2">
        <v>25</v>
      </c>
      <c r="I917" s="2">
        <v>5</v>
      </c>
      <c r="J917" s="2">
        <v>16</v>
      </c>
      <c r="K917" s="4">
        <v>4.5379277524960404E-2</v>
      </c>
      <c r="L917" s="4">
        <v>1.539430230914531E-2</v>
      </c>
      <c r="M917" s="4">
        <v>1.539430230914531E-2</v>
      </c>
      <c r="N917" s="10">
        <v>1.4999999999999999E-2</v>
      </c>
      <c r="O917" s="4">
        <v>7.6330001059319738E-2</v>
      </c>
      <c r="P917" s="4">
        <v>7.0000000000000007E-2</v>
      </c>
      <c r="Q917" s="3" t="s">
        <v>1597</v>
      </c>
      <c r="R917" s="3" t="s">
        <v>1610</v>
      </c>
      <c r="S917" s="3" t="s">
        <v>1611</v>
      </c>
      <c r="T917" s="3"/>
    </row>
    <row r="918" spans="1:20">
      <c r="A918" s="3" t="s">
        <v>1600</v>
      </c>
      <c r="B918" s="3" t="s">
        <v>1601</v>
      </c>
      <c r="C918" s="3" t="s">
        <v>1616</v>
      </c>
      <c r="D918" s="3" t="s">
        <v>1242</v>
      </c>
      <c r="E918" s="3" t="s">
        <v>1243</v>
      </c>
      <c r="F918" s="2">
        <v>1</v>
      </c>
      <c r="G918" s="4">
        <v>1.0305842541082368</v>
      </c>
      <c r="H918" s="2">
        <v>25</v>
      </c>
      <c r="I918" s="2">
        <v>5</v>
      </c>
      <c r="J918" s="2">
        <v>1</v>
      </c>
      <c r="K918" s="4">
        <v>0</v>
      </c>
      <c r="L918" s="4">
        <v>0</v>
      </c>
      <c r="M918" s="4">
        <v>0</v>
      </c>
      <c r="N918" s="10">
        <v>0</v>
      </c>
      <c r="O918" s="4">
        <v>0</v>
      </c>
      <c r="P918" s="4">
        <v>0</v>
      </c>
      <c r="Q918" s="3" t="s">
        <v>1617</v>
      </c>
      <c r="R918" s="3" t="s">
        <v>1618</v>
      </c>
      <c r="S918" s="3" t="s">
        <v>1619</v>
      </c>
      <c r="T918" s="3"/>
    </row>
    <row r="919" spans="1:20">
      <c r="A919" s="3" t="s">
        <v>1600</v>
      </c>
      <c r="B919" s="3" t="s">
        <v>1601</v>
      </c>
      <c r="C919" s="3" t="s">
        <v>1616</v>
      </c>
      <c r="D919" s="3" t="s">
        <v>1242</v>
      </c>
      <c r="E919" s="3" t="s">
        <v>1243</v>
      </c>
      <c r="F919" s="2">
        <v>1</v>
      </c>
      <c r="G919" s="4">
        <v>1.0305842541082368</v>
      </c>
      <c r="H919" s="2">
        <v>25</v>
      </c>
      <c r="I919" s="2">
        <v>5</v>
      </c>
      <c r="J919" s="2">
        <v>16</v>
      </c>
      <c r="K919" s="4">
        <v>0</v>
      </c>
      <c r="L919" s="4">
        <v>0</v>
      </c>
      <c r="M919" s="4">
        <v>0</v>
      </c>
      <c r="N919" s="10">
        <v>0</v>
      </c>
      <c r="O919" s="4">
        <v>0</v>
      </c>
      <c r="P919" s="4">
        <v>0</v>
      </c>
      <c r="Q919" s="3" t="s">
        <v>1617</v>
      </c>
      <c r="R919" s="3" t="s">
        <v>1618</v>
      </c>
      <c r="S919" s="3" t="s">
        <v>1619</v>
      </c>
      <c r="T919" s="3"/>
    </row>
    <row r="920" spans="1:20">
      <c r="A920" s="3" t="s">
        <v>1600</v>
      </c>
      <c r="B920" s="3" t="s">
        <v>1601</v>
      </c>
      <c r="C920" s="3" t="s">
        <v>1596</v>
      </c>
      <c r="D920" s="3" t="s">
        <v>1242</v>
      </c>
      <c r="E920" s="3" t="s">
        <v>1243</v>
      </c>
      <c r="F920" s="2">
        <v>1</v>
      </c>
      <c r="G920" s="4">
        <v>1.0305842541082368</v>
      </c>
      <c r="H920" s="2">
        <v>25</v>
      </c>
      <c r="I920" s="2">
        <v>5</v>
      </c>
      <c r="J920" s="2">
        <v>1</v>
      </c>
      <c r="K920" s="4">
        <v>0</v>
      </c>
      <c r="L920" s="4">
        <v>0</v>
      </c>
      <c r="M920" s="4">
        <v>0</v>
      </c>
      <c r="N920" s="10">
        <v>0</v>
      </c>
      <c r="O920" s="4">
        <v>0</v>
      </c>
      <c r="P920" s="4">
        <v>0</v>
      </c>
      <c r="Q920" s="3" t="s">
        <v>1617</v>
      </c>
      <c r="R920" s="3" t="s">
        <v>1618</v>
      </c>
      <c r="S920" s="3" t="s">
        <v>1619</v>
      </c>
      <c r="T920" s="3"/>
    </row>
    <row r="921" spans="1:20">
      <c r="A921" s="3" t="s">
        <v>1600</v>
      </c>
      <c r="B921" s="3" t="s">
        <v>1601</v>
      </c>
      <c r="C921" s="3" t="s">
        <v>1596</v>
      </c>
      <c r="D921" s="3" t="s">
        <v>1242</v>
      </c>
      <c r="E921" s="3" t="s">
        <v>1243</v>
      </c>
      <c r="F921" s="2">
        <v>1</v>
      </c>
      <c r="G921" s="4">
        <v>1.0305842541082368</v>
      </c>
      <c r="H921" s="2">
        <v>25</v>
      </c>
      <c r="I921" s="2">
        <v>5</v>
      </c>
      <c r="J921" s="2">
        <v>16</v>
      </c>
      <c r="K921" s="4">
        <v>0</v>
      </c>
      <c r="L921" s="4">
        <v>0</v>
      </c>
      <c r="M921" s="4">
        <v>0</v>
      </c>
      <c r="N921" s="10">
        <v>0</v>
      </c>
      <c r="O921" s="4">
        <v>0</v>
      </c>
      <c r="P921" s="4">
        <v>0</v>
      </c>
      <c r="Q921" s="3" t="s">
        <v>1617</v>
      </c>
      <c r="R921" s="3" t="s">
        <v>1618</v>
      </c>
      <c r="S921" s="3" t="s">
        <v>1619</v>
      </c>
      <c r="T921" s="3"/>
    </row>
    <row r="922" spans="1:20">
      <c r="A922" s="3" t="s">
        <v>1600</v>
      </c>
      <c r="B922" s="3" t="s">
        <v>1606</v>
      </c>
      <c r="C922" s="3" t="s">
        <v>1596</v>
      </c>
      <c r="D922" s="3" t="s">
        <v>1242</v>
      </c>
      <c r="E922" s="3" t="s">
        <v>1243</v>
      </c>
      <c r="F922" s="2">
        <v>1</v>
      </c>
      <c r="G922" s="4">
        <v>1.0305842541082368</v>
      </c>
      <c r="H922" s="2">
        <v>25</v>
      </c>
      <c r="I922" s="2">
        <v>5</v>
      </c>
      <c r="J922" s="2">
        <v>1</v>
      </c>
      <c r="K922" s="4">
        <v>0</v>
      </c>
      <c r="L922" s="4">
        <v>0</v>
      </c>
      <c r="M922" s="4">
        <v>0</v>
      </c>
      <c r="N922" s="10">
        <v>0</v>
      </c>
      <c r="O922" s="4">
        <v>0</v>
      </c>
      <c r="P922" s="4">
        <v>0</v>
      </c>
      <c r="Q922" s="3" t="s">
        <v>1617</v>
      </c>
      <c r="R922" s="3" t="s">
        <v>1621</v>
      </c>
      <c r="S922" s="3" t="s">
        <v>1622</v>
      </c>
      <c r="T922" s="3"/>
    </row>
    <row r="923" spans="1:20">
      <c r="A923" s="3" t="s">
        <v>1600</v>
      </c>
      <c r="B923" s="3" t="s">
        <v>1606</v>
      </c>
      <c r="C923" s="3" t="s">
        <v>1596</v>
      </c>
      <c r="D923" s="3" t="s">
        <v>1242</v>
      </c>
      <c r="E923" s="3" t="s">
        <v>1243</v>
      </c>
      <c r="F923" s="2">
        <v>1</v>
      </c>
      <c r="G923" s="4">
        <v>1.0305842541082368</v>
      </c>
      <c r="H923" s="2">
        <v>25</v>
      </c>
      <c r="I923" s="2">
        <v>5</v>
      </c>
      <c r="J923" s="2">
        <v>16</v>
      </c>
      <c r="K923" s="4">
        <v>0</v>
      </c>
      <c r="L923" s="4">
        <v>0</v>
      </c>
      <c r="M923" s="4">
        <v>0</v>
      </c>
      <c r="N923" s="10">
        <v>0</v>
      </c>
      <c r="O923" s="4">
        <v>0</v>
      </c>
      <c r="P923" s="4">
        <v>0</v>
      </c>
      <c r="Q923" s="3" t="s">
        <v>1617</v>
      </c>
      <c r="R923" s="3" t="s">
        <v>1621</v>
      </c>
      <c r="S923" s="3" t="s">
        <v>1622</v>
      </c>
      <c r="T923" s="3"/>
    </row>
    <row r="924" spans="1:20">
      <c r="A924" s="3" t="s">
        <v>1600</v>
      </c>
      <c r="B924" s="3" t="s">
        <v>1606</v>
      </c>
      <c r="C924" s="3" t="s">
        <v>1616</v>
      </c>
      <c r="D924" s="3" t="s">
        <v>1242</v>
      </c>
      <c r="E924" s="3" t="s">
        <v>1243</v>
      </c>
      <c r="F924" s="2">
        <v>1</v>
      </c>
      <c r="G924" s="4">
        <v>1.0305842541082368</v>
      </c>
      <c r="H924" s="2">
        <v>25</v>
      </c>
      <c r="I924" s="2">
        <v>5</v>
      </c>
      <c r="J924" s="2">
        <v>1</v>
      </c>
      <c r="K924" s="4">
        <v>0</v>
      </c>
      <c r="L924" s="4">
        <v>0</v>
      </c>
      <c r="M924" s="4">
        <v>0</v>
      </c>
      <c r="N924" s="10">
        <v>0</v>
      </c>
      <c r="O924" s="4">
        <v>0</v>
      </c>
      <c r="P924" s="4">
        <v>0</v>
      </c>
      <c r="Q924" s="3" t="s">
        <v>1617</v>
      </c>
      <c r="R924" s="3" t="s">
        <v>1621</v>
      </c>
      <c r="S924" s="3" t="s">
        <v>1622</v>
      </c>
      <c r="T924" s="3"/>
    </row>
    <row r="925" spans="1:20">
      <c r="A925" s="3" t="s">
        <v>1600</v>
      </c>
      <c r="B925" s="3" t="s">
        <v>1606</v>
      </c>
      <c r="C925" s="3" t="s">
        <v>1616</v>
      </c>
      <c r="D925" s="3" t="s">
        <v>1242</v>
      </c>
      <c r="E925" s="3" t="s">
        <v>1243</v>
      </c>
      <c r="F925" s="2">
        <v>1</v>
      </c>
      <c r="G925" s="4">
        <v>1.0305842541082368</v>
      </c>
      <c r="H925" s="2">
        <v>25</v>
      </c>
      <c r="I925" s="2">
        <v>5</v>
      </c>
      <c r="J925" s="2">
        <v>16</v>
      </c>
      <c r="K925" s="4">
        <v>0</v>
      </c>
      <c r="L925" s="4">
        <v>0</v>
      </c>
      <c r="M925" s="4">
        <v>0</v>
      </c>
      <c r="N925" s="10">
        <v>0</v>
      </c>
      <c r="O925" s="4">
        <v>0</v>
      </c>
      <c r="P925" s="4">
        <v>0</v>
      </c>
      <c r="Q925" s="3" t="s">
        <v>1617</v>
      </c>
      <c r="R925" s="3" t="s">
        <v>1621</v>
      </c>
      <c r="S925" s="3" t="s">
        <v>1622</v>
      </c>
      <c r="T925" s="3"/>
    </row>
    <row r="926" spans="1:20">
      <c r="A926" s="3" t="s">
        <v>1600</v>
      </c>
      <c r="B926" s="3" t="s">
        <v>1609</v>
      </c>
      <c r="C926" s="3" t="s">
        <v>1596</v>
      </c>
      <c r="D926" s="3" t="s">
        <v>1242</v>
      </c>
      <c r="E926" s="3" t="s">
        <v>1243</v>
      </c>
      <c r="F926" s="2">
        <v>1</v>
      </c>
      <c r="G926" s="4">
        <v>1.0305842541082368</v>
      </c>
      <c r="H926" s="2">
        <v>25</v>
      </c>
      <c r="I926" s="2">
        <v>5</v>
      </c>
      <c r="J926" s="2">
        <v>1</v>
      </c>
      <c r="K926" s="4">
        <v>2.403330539798354E-2</v>
      </c>
      <c r="L926" s="4">
        <v>-1.1709763305961771E-2</v>
      </c>
      <c r="M926" s="4">
        <v>1.1709763305961771E-2</v>
      </c>
      <c r="N926" s="10">
        <v>1.2E-2</v>
      </c>
      <c r="O926" s="4">
        <v>5.8058914893099105E-2</v>
      </c>
      <c r="P926" s="4">
        <v>-0.06</v>
      </c>
      <c r="Q926" s="3" t="s">
        <v>1617</v>
      </c>
      <c r="R926" s="3" t="s">
        <v>1623</v>
      </c>
      <c r="S926" s="3" t="s">
        <v>1624</v>
      </c>
      <c r="T926" s="3"/>
    </row>
    <row r="927" spans="1:20">
      <c r="A927" s="3" t="s">
        <v>1600</v>
      </c>
      <c r="B927" s="3" t="s">
        <v>1609</v>
      </c>
      <c r="C927" s="3" t="s">
        <v>1616</v>
      </c>
      <c r="D927" s="3" t="s">
        <v>1242</v>
      </c>
      <c r="E927" s="3" t="s">
        <v>1243</v>
      </c>
      <c r="F927" s="2">
        <v>1</v>
      </c>
      <c r="G927" s="4">
        <v>1.0305842541082368</v>
      </c>
      <c r="H927" s="2">
        <v>25</v>
      </c>
      <c r="I927" s="2">
        <v>5</v>
      </c>
      <c r="J927" s="2">
        <v>16</v>
      </c>
      <c r="K927" s="4">
        <v>3.027350192360545E-2</v>
      </c>
      <c r="L927" s="4">
        <v>-0.10255967878540735</v>
      </c>
      <c r="M927" s="4">
        <v>0.10255967878540735</v>
      </c>
      <c r="N927" s="10">
        <v>0.10299999999999999</v>
      </c>
      <c r="O927" s="4">
        <v>0.51027852515466132</v>
      </c>
      <c r="P927" s="4">
        <v>-0.51</v>
      </c>
      <c r="Q927" s="3" t="s">
        <v>1617</v>
      </c>
      <c r="R927" s="3" t="s">
        <v>1623</v>
      </c>
      <c r="S927" s="3" t="s">
        <v>1624</v>
      </c>
      <c r="T927" s="3"/>
    </row>
    <row r="928" spans="1:20">
      <c r="A928" s="3" t="s">
        <v>1594</v>
      </c>
      <c r="B928" s="3" t="s">
        <v>1595</v>
      </c>
      <c r="C928" s="3" t="s">
        <v>1596</v>
      </c>
      <c r="D928" s="3" t="s">
        <v>1242</v>
      </c>
      <c r="E928" s="3" t="s">
        <v>1243</v>
      </c>
      <c r="F928" s="2">
        <v>1</v>
      </c>
      <c r="G928" s="4">
        <v>1.0305842541082368</v>
      </c>
      <c r="H928" s="2">
        <v>25</v>
      </c>
      <c r="I928" s="2">
        <v>5</v>
      </c>
      <c r="J928" s="2">
        <v>16</v>
      </c>
      <c r="K928" s="4">
        <v>1.1165643269401948E-2</v>
      </c>
      <c r="L928" s="4">
        <v>-0.12964805935040261</v>
      </c>
      <c r="M928" s="4">
        <v>0.12964805935040261</v>
      </c>
      <c r="N928" s="10">
        <v>0.13</v>
      </c>
      <c r="O928" s="4">
        <v>0.64642504230723619</v>
      </c>
      <c r="P928" s="4">
        <v>-0.65</v>
      </c>
      <c r="Q928" s="3" t="s">
        <v>1617</v>
      </c>
      <c r="R928" s="3" t="s">
        <v>1625</v>
      </c>
      <c r="S928" s="3" t="s">
        <v>1626</v>
      </c>
      <c r="T928" s="3"/>
    </row>
    <row r="929" spans="1:20">
      <c r="A929" s="3" t="s">
        <v>1594</v>
      </c>
      <c r="B929" s="3" t="s">
        <v>1595</v>
      </c>
      <c r="C929" s="3" t="s">
        <v>1596</v>
      </c>
      <c r="D929" s="3" t="s">
        <v>1242</v>
      </c>
      <c r="E929" s="3" t="s">
        <v>1243</v>
      </c>
      <c r="F929" s="2">
        <v>1</v>
      </c>
      <c r="G929" s="4">
        <v>1.0305842541082368</v>
      </c>
      <c r="H929" s="2">
        <v>50</v>
      </c>
      <c r="I929" s="2">
        <v>5</v>
      </c>
      <c r="J929" s="2">
        <v>16</v>
      </c>
      <c r="K929" s="4">
        <v>0.3050308871733276</v>
      </c>
      <c r="L929" s="4">
        <v>-0.1458320094384104</v>
      </c>
      <c r="M929" s="4">
        <v>0.1458320094384104</v>
      </c>
      <c r="N929" s="10">
        <v>0.14599999999999999</v>
      </c>
      <c r="O929" s="4">
        <v>0.78927911563510122</v>
      </c>
      <c r="P929" s="4">
        <v>-0.79</v>
      </c>
      <c r="Q929" s="3" t="s">
        <v>1617</v>
      </c>
      <c r="R929" s="3" t="s">
        <v>1625</v>
      </c>
      <c r="S929" s="3" t="s">
        <v>1626</v>
      </c>
      <c r="T929" s="3"/>
    </row>
    <row r="930" spans="1:20">
      <c r="A930" s="3" t="s">
        <v>1600</v>
      </c>
      <c r="B930" s="3" t="s">
        <v>1609</v>
      </c>
      <c r="C930" s="3" t="s">
        <v>1596</v>
      </c>
      <c r="D930" s="3" t="s">
        <v>1282</v>
      </c>
      <c r="E930" s="3" t="s">
        <v>1283</v>
      </c>
      <c r="F930" s="2">
        <v>1</v>
      </c>
      <c r="G930" s="4">
        <v>1.0307200644919816</v>
      </c>
      <c r="H930" s="2">
        <v>25</v>
      </c>
      <c r="I930" s="2">
        <v>5</v>
      </c>
      <c r="J930" s="2">
        <v>1</v>
      </c>
      <c r="K930" s="4">
        <v>0.98546513897363519</v>
      </c>
      <c r="L930" s="4">
        <v>0.68253236272604501</v>
      </c>
      <c r="M930" s="4">
        <v>0.68253236272604501</v>
      </c>
      <c r="N930" s="10">
        <v>0.68300000000000005</v>
      </c>
      <c r="O930" s="4">
        <v>4.1341241907963067</v>
      </c>
      <c r="P930" s="4">
        <v>4.1399999999999997</v>
      </c>
      <c r="Q930" s="3" t="s">
        <v>1597</v>
      </c>
      <c r="R930" s="3" t="s">
        <v>1610</v>
      </c>
      <c r="S930" s="3" t="s">
        <v>1611</v>
      </c>
      <c r="T930" s="3"/>
    </row>
    <row r="931" spans="1:20">
      <c r="A931" s="3" t="s">
        <v>1600</v>
      </c>
      <c r="B931" s="3" t="s">
        <v>1609</v>
      </c>
      <c r="C931" s="3" t="s">
        <v>1596</v>
      </c>
      <c r="D931" s="3" t="s">
        <v>1282</v>
      </c>
      <c r="E931" s="3" t="s">
        <v>1283</v>
      </c>
      <c r="F931" s="2">
        <v>1</v>
      </c>
      <c r="G931" s="4">
        <v>1.0307200644919816</v>
      </c>
      <c r="H931" s="2">
        <v>25</v>
      </c>
      <c r="I931" s="2">
        <v>5</v>
      </c>
      <c r="J931" s="2">
        <v>16</v>
      </c>
      <c r="K931" s="4">
        <v>0.97531092929447094</v>
      </c>
      <c r="L931" s="4">
        <v>0.55035622263647022</v>
      </c>
      <c r="M931" s="4">
        <v>0.55035622263647022</v>
      </c>
      <c r="N931" s="10">
        <v>0.55000000000000004</v>
      </c>
      <c r="O931" s="4">
        <v>3.0684279892095425</v>
      </c>
      <c r="P931" s="4">
        <v>3.07</v>
      </c>
      <c r="Q931" s="3" t="s">
        <v>1597</v>
      </c>
      <c r="R931" s="3" t="s">
        <v>1610</v>
      </c>
      <c r="S931" s="3" t="s">
        <v>1611</v>
      </c>
      <c r="T931" s="3"/>
    </row>
    <row r="932" spans="1:20">
      <c r="A932" s="3" t="s">
        <v>1604</v>
      </c>
      <c r="B932" s="3" t="s">
        <v>1601</v>
      </c>
      <c r="C932" s="3" t="s">
        <v>1596</v>
      </c>
      <c r="D932" s="3" t="s">
        <v>1282</v>
      </c>
      <c r="E932" s="3" t="s">
        <v>1283</v>
      </c>
      <c r="F932" s="2">
        <v>1</v>
      </c>
      <c r="G932" s="4">
        <v>1.0307200644919816</v>
      </c>
      <c r="H932" s="2">
        <v>25</v>
      </c>
      <c r="I932" s="2">
        <v>30</v>
      </c>
      <c r="J932" s="2">
        <v>16</v>
      </c>
      <c r="K932" s="4">
        <v>1</v>
      </c>
      <c r="L932" s="4">
        <v>0.41731788029204481</v>
      </c>
      <c r="M932" s="4">
        <v>0.41731788029204481</v>
      </c>
      <c r="N932" s="10">
        <v>0.41699999999999998</v>
      </c>
      <c r="O932" s="4">
        <v>2.2035046349600185</v>
      </c>
      <c r="P932" s="4">
        <v>2.2000000000000002</v>
      </c>
      <c r="Q932" s="3" t="s">
        <v>1597</v>
      </c>
      <c r="R932" s="3" t="s">
        <v>1602</v>
      </c>
      <c r="S932" s="3" t="s">
        <v>1603</v>
      </c>
      <c r="T932" s="3"/>
    </row>
    <row r="933" spans="1:20">
      <c r="A933" s="3" t="s">
        <v>1600</v>
      </c>
      <c r="B933" s="3" t="s">
        <v>1601</v>
      </c>
      <c r="C933" s="3" t="s">
        <v>1596</v>
      </c>
      <c r="D933" s="3" t="s">
        <v>1282</v>
      </c>
      <c r="E933" s="3" t="s">
        <v>1283</v>
      </c>
      <c r="F933" s="2">
        <v>1</v>
      </c>
      <c r="G933" s="4">
        <v>1.0307200644919816</v>
      </c>
      <c r="H933" s="2">
        <v>25</v>
      </c>
      <c r="I933" s="2">
        <v>5</v>
      </c>
      <c r="J933" s="2">
        <v>1</v>
      </c>
      <c r="K933" s="4">
        <v>0.96696691996464856</v>
      </c>
      <c r="L933" s="4">
        <v>0.40364213738426774</v>
      </c>
      <c r="M933" s="4">
        <v>0.40364213738426774</v>
      </c>
      <c r="N933" s="10">
        <v>0.40400000000000003</v>
      </c>
      <c r="O933" s="4">
        <v>2.1219589205401332</v>
      </c>
      <c r="P933" s="4">
        <v>2.12</v>
      </c>
      <c r="Q933" s="3" t="s">
        <v>1597</v>
      </c>
      <c r="R933" s="3" t="s">
        <v>1602</v>
      </c>
      <c r="S933" s="3" t="s">
        <v>1603</v>
      </c>
      <c r="T933" s="3"/>
    </row>
    <row r="934" spans="1:20">
      <c r="A934" s="3" t="s">
        <v>1600</v>
      </c>
      <c r="B934" s="3" t="s">
        <v>1601</v>
      </c>
      <c r="C934" s="3" t="s">
        <v>1596</v>
      </c>
      <c r="D934" s="3" t="s">
        <v>1282</v>
      </c>
      <c r="E934" s="3" t="s">
        <v>1283</v>
      </c>
      <c r="F934" s="2">
        <v>1</v>
      </c>
      <c r="G934" s="4">
        <v>1.0307200644919816</v>
      </c>
      <c r="H934" s="2">
        <v>25</v>
      </c>
      <c r="I934" s="2">
        <v>5</v>
      </c>
      <c r="J934" s="2">
        <v>16</v>
      </c>
      <c r="K934" s="4">
        <v>1</v>
      </c>
      <c r="L934" s="4">
        <v>0.40100555828450668</v>
      </c>
      <c r="M934" s="4">
        <v>0.40100555828450668</v>
      </c>
      <c r="N934" s="10">
        <v>0.40100000000000002</v>
      </c>
      <c r="O934" s="4">
        <v>2.1063623886689169</v>
      </c>
      <c r="P934" s="4">
        <v>2.11</v>
      </c>
      <c r="Q934" s="3" t="s">
        <v>1597</v>
      </c>
      <c r="R934" s="3" t="s">
        <v>1602</v>
      </c>
      <c r="S934" s="3" t="s">
        <v>1603</v>
      </c>
      <c r="T934" s="3"/>
    </row>
    <row r="935" spans="1:20">
      <c r="A935" s="3" t="s">
        <v>1605</v>
      </c>
      <c r="B935" s="3" t="s">
        <v>1601</v>
      </c>
      <c r="C935" s="3" t="s">
        <v>1596</v>
      </c>
      <c r="D935" s="3" t="s">
        <v>1282</v>
      </c>
      <c r="E935" s="3" t="s">
        <v>1283</v>
      </c>
      <c r="F935" s="2">
        <v>1</v>
      </c>
      <c r="G935" s="4">
        <v>1.0307200644919816</v>
      </c>
      <c r="H935" s="2">
        <v>25</v>
      </c>
      <c r="I935" s="2">
        <v>5</v>
      </c>
      <c r="J935" s="2">
        <v>16</v>
      </c>
      <c r="K935" s="4">
        <v>1</v>
      </c>
      <c r="L935" s="4">
        <v>0.37876483078830525</v>
      </c>
      <c r="M935" s="4">
        <v>0.37876483078830525</v>
      </c>
      <c r="N935" s="10">
        <v>0.379</v>
      </c>
      <c r="O935" s="4">
        <v>1.976316778395123</v>
      </c>
      <c r="P935" s="4">
        <v>1.98</v>
      </c>
      <c r="Q935" s="3" t="s">
        <v>1597</v>
      </c>
      <c r="R935" s="3" t="s">
        <v>1602</v>
      </c>
      <c r="S935" s="3" t="s">
        <v>1603</v>
      </c>
      <c r="T935" s="3"/>
    </row>
    <row r="936" spans="1:20">
      <c r="A936" s="3" t="s">
        <v>1604</v>
      </c>
      <c r="B936" s="3" t="s">
        <v>1601</v>
      </c>
      <c r="C936" s="3" t="s">
        <v>1616</v>
      </c>
      <c r="D936" s="3" t="s">
        <v>1282</v>
      </c>
      <c r="E936" s="3" t="s">
        <v>1283</v>
      </c>
      <c r="F936" s="2">
        <v>1</v>
      </c>
      <c r="G936" s="4">
        <v>1.0307200644919816</v>
      </c>
      <c r="H936" s="2">
        <v>25</v>
      </c>
      <c r="I936" s="2">
        <v>30</v>
      </c>
      <c r="J936" s="2">
        <v>16</v>
      </c>
      <c r="K936" s="4">
        <v>1</v>
      </c>
      <c r="L936" s="4">
        <v>0.17205662398558591</v>
      </c>
      <c r="M936" s="4">
        <v>0.17205662398558591</v>
      </c>
      <c r="N936" s="10">
        <v>0.17199999999999999</v>
      </c>
      <c r="O936" s="4">
        <v>0.86161625110365736</v>
      </c>
      <c r="P936" s="4">
        <v>0.86</v>
      </c>
      <c r="Q936" s="3" t="s">
        <v>1597</v>
      </c>
      <c r="R936" s="3" t="s">
        <v>1602</v>
      </c>
      <c r="S936" s="3" t="s">
        <v>1603</v>
      </c>
      <c r="T936" s="3"/>
    </row>
    <row r="937" spans="1:20">
      <c r="A937" s="3" t="s">
        <v>1600</v>
      </c>
      <c r="B937" s="3" t="s">
        <v>1606</v>
      </c>
      <c r="C937" s="3" t="s">
        <v>1596</v>
      </c>
      <c r="D937" s="3" t="s">
        <v>1282</v>
      </c>
      <c r="E937" s="3" t="s">
        <v>1283</v>
      </c>
      <c r="F937" s="2">
        <v>1</v>
      </c>
      <c r="G937" s="4">
        <v>1.0307200644919816</v>
      </c>
      <c r="H937" s="2">
        <v>25</v>
      </c>
      <c r="I937" s="2">
        <v>5</v>
      </c>
      <c r="J937" s="2">
        <v>16</v>
      </c>
      <c r="K937" s="4">
        <v>1</v>
      </c>
      <c r="L937" s="4">
        <v>8.2730213868978095E-2</v>
      </c>
      <c r="M937" s="4">
        <v>8.2730213868978095E-2</v>
      </c>
      <c r="N937" s="10">
        <v>8.3000000000000004E-2</v>
      </c>
      <c r="O937" s="4">
        <v>0.41111077280342667</v>
      </c>
      <c r="P937" s="4">
        <v>0.41</v>
      </c>
      <c r="Q937" s="3" t="s">
        <v>1597</v>
      </c>
      <c r="R937" s="3" t="s">
        <v>1607</v>
      </c>
      <c r="S937" s="3" t="s">
        <v>1608</v>
      </c>
      <c r="T937" s="3"/>
    </row>
    <row r="938" spans="1:20">
      <c r="A938" s="3" t="s">
        <v>1600</v>
      </c>
      <c r="B938" s="3" t="s">
        <v>1606</v>
      </c>
      <c r="C938" s="3" t="s">
        <v>1596</v>
      </c>
      <c r="D938" s="3" t="s">
        <v>1282</v>
      </c>
      <c r="E938" s="3" t="s">
        <v>1283</v>
      </c>
      <c r="F938" s="2">
        <v>1</v>
      </c>
      <c r="G938" s="4">
        <v>1.0307200644919816</v>
      </c>
      <c r="H938" s="2">
        <v>25</v>
      </c>
      <c r="I938" s="2">
        <v>5</v>
      </c>
      <c r="J938" s="2">
        <v>1</v>
      </c>
      <c r="K938" s="4">
        <v>1</v>
      </c>
      <c r="L938" s="4">
        <v>8.0382661583661988E-2</v>
      </c>
      <c r="M938" s="4">
        <v>8.0382661583661988E-2</v>
      </c>
      <c r="N938" s="10">
        <v>0.08</v>
      </c>
      <c r="O938" s="4">
        <v>0.39939381769866272</v>
      </c>
      <c r="P938" s="4">
        <v>0.4</v>
      </c>
      <c r="Q938" s="3" t="s">
        <v>1597</v>
      </c>
      <c r="R938" s="3" t="s">
        <v>1607</v>
      </c>
      <c r="S938" s="3" t="s">
        <v>1608</v>
      </c>
      <c r="T938" s="3"/>
    </row>
    <row r="939" spans="1:20">
      <c r="A939" s="3" t="s">
        <v>1600</v>
      </c>
      <c r="B939" s="3" t="s">
        <v>1609</v>
      </c>
      <c r="C939" s="3" t="s">
        <v>1616</v>
      </c>
      <c r="D939" s="3" t="s">
        <v>1282</v>
      </c>
      <c r="E939" s="3" t="s">
        <v>1283</v>
      </c>
      <c r="F939" s="2">
        <v>1</v>
      </c>
      <c r="G939" s="4">
        <v>1.0307200644919816</v>
      </c>
      <c r="H939" s="2">
        <v>25</v>
      </c>
      <c r="I939" s="2">
        <v>5</v>
      </c>
      <c r="J939" s="2">
        <v>16</v>
      </c>
      <c r="K939" s="4">
        <v>0.98159549150519732</v>
      </c>
      <c r="L939" s="4">
        <v>6.5941898148175304E-2</v>
      </c>
      <c r="M939" s="4">
        <v>6.5941898148175304E-2</v>
      </c>
      <c r="N939" s="10">
        <v>6.6000000000000003E-2</v>
      </c>
      <c r="O939" s="4">
        <v>0.32741084925882424</v>
      </c>
      <c r="P939" s="4">
        <v>0.33</v>
      </c>
      <c r="Q939" s="3" t="s">
        <v>1597</v>
      </c>
      <c r="R939" s="3" t="s">
        <v>1610</v>
      </c>
      <c r="S939" s="3" t="s">
        <v>1611</v>
      </c>
      <c r="T939" s="3"/>
    </row>
    <row r="940" spans="1:20">
      <c r="A940" s="3" t="s">
        <v>1600</v>
      </c>
      <c r="B940" s="3" t="s">
        <v>1601</v>
      </c>
      <c r="C940" s="3" t="s">
        <v>1616</v>
      </c>
      <c r="D940" s="3" t="s">
        <v>1282</v>
      </c>
      <c r="E940" s="3" t="s">
        <v>1283</v>
      </c>
      <c r="F940" s="2">
        <v>1</v>
      </c>
      <c r="G940" s="4">
        <v>1.0307200644919816</v>
      </c>
      <c r="H940" s="2">
        <v>25</v>
      </c>
      <c r="I940" s="2">
        <v>5</v>
      </c>
      <c r="J940" s="2">
        <v>1</v>
      </c>
      <c r="K940" s="4">
        <v>1</v>
      </c>
      <c r="L940" s="4">
        <v>6.5724988732100212E-2</v>
      </c>
      <c r="M940" s="4">
        <v>6.5724988732100212E-2</v>
      </c>
      <c r="N940" s="10">
        <v>6.6000000000000003E-2</v>
      </c>
      <c r="O940" s="4">
        <v>0.32633074495819908</v>
      </c>
      <c r="P940" s="4">
        <v>0.33</v>
      </c>
      <c r="Q940" s="3" t="s">
        <v>1597</v>
      </c>
      <c r="R940" s="3" t="s">
        <v>1602</v>
      </c>
      <c r="S940" s="3" t="s">
        <v>1603</v>
      </c>
      <c r="T940" s="3"/>
    </row>
    <row r="941" spans="1:20">
      <c r="A941" s="3" t="s">
        <v>1600</v>
      </c>
      <c r="B941" s="3" t="s">
        <v>1601</v>
      </c>
      <c r="C941" s="3" t="s">
        <v>1616</v>
      </c>
      <c r="D941" s="3" t="s">
        <v>1282</v>
      </c>
      <c r="E941" s="3" t="s">
        <v>1283</v>
      </c>
      <c r="F941" s="2">
        <v>1</v>
      </c>
      <c r="G941" s="4">
        <v>1.0307200644919816</v>
      </c>
      <c r="H941" s="2">
        <v>25</v>
      </c>
      <c r="I941" s="2">
        <v>5</v>
      </c>
      <c r="J941" s="2">
        <v>16</v>
      </c>
      <c r="K941" s="4">
        <v>1</v>
      </c>
      <c r="L941" s="4">
        <v>6.501436401985361E-2</v>
      </c>
      <c r="M941" s="4">
        <v>6.501436401985361E-2</v>
      </c>
      <c r="N941" s="10">
        <v>6.5000000000000002E-2</v>
      </c>
      <c r="O941" s="4">
        <v>0.32279239264673154</v>
      </c>
      <c r="P941" s="4">
        <v>0.32</v>
      </c>
      <c r="Q941" s="3" t="s">
        <v>1597</v>
      </c>
      <c r="R941" s="3" t="s">
        <v>1602</v>
      </c>
      <c r="S941" s="3" t="s">
        <v>1603</v>
      </c>
      <c r="T941" s="3"/>
    </row>
    <row r="942" spans="1:20">
      <c r="A942" s="3" t="s">
        <v>1594</v>
      </c>
      <c r="B942" s="3" t="s">
        <v>1612</v>
      </c>
      <c r="C942" s="3" t="s">
        <v>1596</v>
      </c>
      <c r="D942" s="3" t="s">
        <v>1282</v>
      </c>
      <c r="E942" s="3" t="s">
        <v>1283</v>
      </c>
      <c r="F942" s="2">
        <v>1</v>
      </c>
      <c r="G942" s="4">
        <v>1.0307200644919816</v>
      </c>
      <c r="H942" s="2">
        <v>50</v>
      </c>
      <c r="I942" s="2">
        <v>5</v>
      </c>
      <c r="J942" s="2">
        <v>16</v>
      </c>
      <c r="K942" s="4">
        <v>0.55153677662271128</v>
      </c>
      <c r="L942" s="4">
        <v>4.8751702224239676E-2</v>
      </c>
      <c r="M942" s="4">
        <v>4.8751702224239676E-2</v>
      </c>
      <c r="N942" s="10">
        <v>4.9000000000000002E-2</v>
      </c>
      <c r="O942" s="4">
        <v>0.2621829823864722</v>
      </c>
      <c r="P942" s="4">
        <v>0.26</v>
      </c>
      <c r="Q942" s="3" t="s">
        <v>1597</v>
      </c>
      <c r="R942" s="3" t="s">
        <v>1613</v>
      </c>
      <c r="S942" s="3" t="s">
        <v>1614</v>
      </c>
      <c r="T942" s="3"/>
    </row>
    <row r="943" spans="1:20">
      <c r="A943" s="3" t="s">
        <v>1600</v>
      </c>
      <c r="B943" s="3" t="s">
        <v>1609</v>
      </c>
      <c r="C943" s="3" t="s">
        <v>1616</v>
      </c>
      <c r="D943" s="3" t="s">
        <v>1282</v>
      </c>
      <c r="E943" s="3" t="s">
        <v>1283</v>
      </c>
      <c r="F943" s="2">
        <v>1</v>
      </c>
      <c r="G943" s="4">
        <v>1.0307200644919816</v>
      </c>
      <c r="H943" s="2">
        <v>25</v>
      </c>
      <c r="I943" s="2">
        <v>5</v>
      </c>
      <c r="J943" s="2">
        <v>1</v>
      </c>
      <c r="K943" s="4">
        <v>0.47840727315620946</v>
      </c>
      <c r="L943" s="4">
        <v>4.8763965315990719E-3</v>
      </c>
      <c r="M943" s="4">
        <v>4.8763965315990719E-3</v>
      </c>
      <c r="N943" s="10">
        <v>5.0000000000000001E-3</v>
      </c>
      <c r="O943" s="4">
        <v>2.4177055259602467E-2</v>
      </c>
      <c r="P943" s="4">
        <v>0.02</v>
      </c>
      <c r="Q943" s="3" t="s">
        <v>1597</v>
      </c>
      <c r="R943" s="3" t="s">
        <v>1610</v>
      </c>
      <c r="S943" s="3" t="s">
        <v>1611</v>
      </c>
      <c r="T943" s="3"/>
    </row>
    <row r="944" spans="1:20">
      <c r="A944" s="3" t="s">
        <v>1594</v>
      </c>
      <c r="B944" s="3" t="s">
        <v>1595</v>
      </c>
      <c r="C944" s="3" t="s">
        <v>1596</v>
      </c>
      <c r="D944" s="3" t="s">
        <v>1282</v>
      </c>
      <c r="E944" s="3" t="s">
        <v>1283</v>
      </c>
      <c r="F944" s="2">
        <v>1</v>
      </c>
      <c r="G944" s="4">
        <v>1.0307200644919816</v>
      </c>
      <c r="H944" s="2">
        <v>50</v>
      </c>
      <c r="I944" s="2">
        <v>5</v>
      </c>
      <c r="J944" s="2">
        <v>16</v>
      </c>
      <c r="K944" s="4">
        <v>1</v>
      </c>
      <c r="L944" s="4">
        <v>-0.17535651289964907</v>
      </c>
      <c r="M944" s="4">
        <v>0.17535651289964907</v>
      </c>
      <c r="N944" s="10">
        <v>0.17499999999999999</v>
      </c>
      <c r="O944" s="4">
        <v>0.95214733922495287</v>
      </c>
      <c r="P944" s="4">
        <v>-0.95</v>
      </c>
      <c r="Q944" s="3" t="s">
        <v>1617</v>
      </c>
      <c r="R944" s="3" t="s">
        <v>1625</v>
      </c>
      <c r="S944" s="3" t="s">
        <v>1626</v>
      </c>
      <c r="T944" s="3"/>
    </row>
    <row r="945" spans="1:20">
      <c r="A945" s="3" t="s">
        <v>1594</v>
      </c>
      <c r="B945" s="3" t="s">
        <v>1595</v>
      </c>
      <c r="C945" s="3" t="s">
        <v>1596</v>
      </c>
      <c r="D945" s="3" t="s">
        <v>1282</v>
      </c>
      <c r="E945" s="3" t="s">
        <v>1283</v>
      </c>
      <c r="F945" s="2">
        <v>1</v>
      </c>
      <c r="G945" s="4">
        <v>1.0307200644919816</v>
      </c>
      <c r="H945" s="2">
        <v>25</v>
      </c>
      <c r="I945" s="2">
        <v>5</v>
      </c>
      <c r="J945" s="2">
        <v>16</v>
      </c>
      <c r="K945" s="4">
        <v>0.17259968955471394</v>
      </c>
      <c r="L945" s="4">
        <v>-0.18445356466290161</v>
      </c>
      <c r="M945" s="4">
        <v>0.18445356466290161</v>
      </c>
      <c r="N945" s="10">
        <v>0.184</v>
      </c>
      <c r="O945" s="4">
        <v>0.92509752338254492</v>
      </c>
      <c r="P945" s="4">
        <v>-0.92</v>
      </c>
      <c r="Q945" s="3" t="s">
        <v>1617</v>
      </c>
      <c r="R945" s="3" t="s">
        <v>1625</v>
      </c>
      <c r="S945" s="3" t="s">
        <v>1626</v>
      </c>
      <c r="T945" s="3"/>
    </row>
    <row r="946" spans="1:20">
      <c r="A946" s="3" t="s">
        <v>1600</v>
      </c>
      <c r="B946" s="3" t="s">
        <v>1606</v>
      </c>
      <c r="C946" s="3" t="s">
        <v>1616</v>
      </c>
      <c r="D946" s="3" t="s">
        <v>1282</v>
      </c>
      <c r="E946" s="3" t="s">
        <v>1283</v>
      </c>
      <c r="F946" s="2">
        <v>1</v>
      </c>
      <c r="G946" s="4">
        <v>1.0307200644919816</v>
      </c>
      <c r="H946" s="2">
        <v>25</v>
      </c>
      <c r="I946" s="2">
        <v>5</v>
      </c>
      <c r="J946" s="2">
        <v>16</v>
      </c>
      <c r="K946" s="4">
        <v>1</v>
      </c>
      <c r="L946" s="4">
        <v>-0.22997005592943354</v>
      </c>
      <c r="M946" s="4">
        <v>0.22997005592943354</v>
      </c>
      <c r="N946" s="10">
        <v>0.23</v>
      </c>
      <c r="O946" s="4">
        <v>1.1609397181419168</v>
      </c>
      <c r="P946" s="4">
        <v>-1.1599999999999999</v>
      </c>
      <c r="Q946" s="3" t="s">
        <v>1617</v>
      </c>
      <c r="R946" s="3" t="s">
        <v>1621</v>
      </c>
      <c r="S946" s="3" t="s">
        <v>1622</v>
      </c>
      <c r="T946" s="3"/>
    </row>
    <row r="947" spans="1:20">
      <c r="A947" s="3" t="s">
        <v>1600</v>
      </c>
      <c r="B947" s="3" t="s">
        <v>1606</v>
      </c>
      <c r="C947" s="3" t="s">
        <v>1616</v>
      </c>
      <c r="D947" s="3" t="s">
        <v>1282</v>
      </c>
      <c r="E947" s="3" t="s">
        <v>1283</v>
      </c>
      <c r="F947" s="2">
        <v>1</v>
      </c>
      <c r="G947" s="4">
        <v>1.0307200644919816</v>
      </c>
      <c r="H947" s="2">
        <v>25</v>
      </c>
      <c r="I947" s="2">
        <v>5</v>
      </c>
      <c r="J947" s="2">
        <v>1</v>
      </c>
      <c r="K947" s="4">
        <v>0.99678006789809648</v>
      </c>
      <c r="L947" s="4">
        <v>-0.2608756002113663</v>
      </c>
      <c r="M947" s="4">
        <v>0.2608756002113663</v>
      </c>
      <c r="N947" s="10">
        <v>0.26100000000000001</v>
      </c>
      <c r="O947" s="4">
        <v>1.3240055915253124</v>
      </c>
      <c r="P947" s="4">
        <v>-1.32</v>
      </c>
      <c r="Q947" s="3" t="s">
        <v>1617</v>
      </c>
      <c r="R947" s="3" t="s">
        <v>1621</v>
      </c>
      <c r="S947" s="3" t="s">
        <v>1622</v>
      </c>
      <c r="T947" s="3"/>
    </row>
    <row r="948" spans="1:20">
      <c r="A948" s="3" t="s">
        <v>1594</v>
      </c>
      <c r="B948" s="3" t="s">
        <v>1612</v>
      </c>
      <c r="C948" s="3" t="s">
        <v>1596</v>
      </c>
      <c r="D948" s="3" t="s">
        <v>813</v>
      </c>
      <c r="E948" s="3" t="s">
        <v>814</v>
      </c>
      <c r="F948" s="2">
        <v>1</v>
      </c>
      <c r="G948" s="4">
        <v>1.0313472969148032</v>
      </c>
      <c r="H948" s="2">
        <v>50</v>
      </c>
      <c r="I948" s="2">
        <v>5</v>
      </c>
      <c r="J948" s="2">
        <v>16</v>
      </c>
      <c r="K948" s="4">
        <v>0.2077648465418708</v>
      </c>
      <c r="L948" s="14">
        <v>1.916272212675529E-2</v>
      </c>
      <c r="M948" s="4">
        <v>1.916272212675529E-2</v>
      </c>
      <c r="N948" s="10">
        <v>1.9E-2</v>
      </c>
      <c r="O948" s="4">
        <v>0.10298658638666693</v>
      </c>
      <c r="P948" s="4">
        <v>0.1</v>
      </c>
      <c r="Q948" s="3" t="s">
        <v>1597</v>
      </c>
      <c r="R948" s="3" t="s">
        <v>1613</v>
      </c>
      <c r="S948" s="3" t="s">
        <v>1614</v>
      </c>
      <c r="T948" s="3"/>
    </row>
    <row r="949" spans="1:20">
      <c r="A949" s="3" t="s">
        <v>1594</v>
      </c>
      <c r="B949" s="3" t="s">
        <v>1595</v>
      </c>
      <c r="C949" s="3" t="s">
        <v>1596</v>
      </c>
      <c r="D949" s="3" t="s">
        <v>813</v>
      </c>
      <c r="E949" s="3" t="s">
        <v>814</v>
      </c>
      <c r="F949" s="2">
        <v>1</v>
      </c>
      <c r="G949" s="4">
        <v>1.0313472969148032</v>
      </c>
      <c r="H949" s="2">
        <v>50</v>
      </c>
      <c r="I949" s="2">
        <v>5</v>
      </c>
      <c r="J949" s="2">
        <v>16</v>
      </c>
      <c r="K949" s="4">
        <v>1</v>
      </c>
      <c r="L949" s="14">
        <v>1.898064220449143E-2</v>
      </c>
      <c r="M949" s="4">
        <v>1.898064220449143E-2</v>
      </c>
      <c r="N949" s="10">
        <v>1.9E-2</v>
      </c>
      <c r="O949" s="4">
        <v>0.10200779452803539</v>
      </c>
      <c r="P949" s="4">
        <v>0.1</v>
      </c>
      <c r="Q949" s="3" t="s">
        <v>1597</v>
      </c>
      <c r="R949" s="3" t="s">
        <v>1598</v>
      </c>
      <c r="S949" s="3" t="s">
        <v>1599</v>
      </c>
      <c r="T949" s="3"/>
    </row>
    <row r="950" spans="1:20">
      <c r="A950" s="3" t="s">
        <v>1600</v>
      </c>
      <c r="B950" s="3" t="s">
        <v>1601</v>
      </c>
      <c r="C950" s="3" t="s">
        <v>1596</v>
      </c>
      <c r="D950" s="3" t="s">
        <v>813</v>
      </c>
      <c r="E950" s="3" t="s">
        <v>814</v>
      </c>
      <c r="F950" s="2">
        <v>1</v>
      </c>
      <c r="G950" s="4">
        <v>1.0313472969148032</v>
      </c>
      <c r="H950" s="2">
        <v>25</v>
      </c>
      <c r="I950" s="2">
        <v>5</v>
      </c>
      <c r="J950" s="2">
        <v>16</v>
      </c>
      <c r="K950" s="4">
        <v>1</v>
      </c>
      <c r="L950" s="4">
        <v>-2.6745711807310547E-2</v>
      </c>
      <c r="M950" s="4">
        <v>2.6745711807310547E-2</v>
      </c>
      <c r="N950" s="10">
        <v>2.7E-2</v>
      </c>
      <c r="O950" s="4">
        <v>0.13263516892005886</v>
      </c>
      <c r="P950" s="4">
        <v>-0.13</v>
      </c>
      <c r="Q950" s="3" t="s">
        <v>1617</v>
      </c>
      <c r="R950" s="3" t="s">
        <v>1618</v>
      </c>
      <c r="S950" s="3" t="s">
        <v>1619</v>
      </c>
      <c r="T950" s="3"/>
    </row>
    <row r="951" spans="1:20">
      <c r="A951" s="3" t="s">
        <v>1600</v>
      </c>
      <c r="B951" s="3" t="s">
        <v>1601</v>
      </c>
      <c r="C951" s="3" t="s">
        <v>1596</v>
      </c>
      <c r="D951" s="3" t="s">
        <v>813</v>
      </c>
      <c r="E951" s="3" t="s">
        <v>814</v>
      </c>
      <c r="F951" s="2">
        <v>1</v>
      </c>
      <c r="G951" s="4">
        <v>1.0313472969148032</v>
      </c>
      <c r="H951" s="2">
        <v>25</v>
      </c>
      <c r="I951" s="2">
        <v>5</v>
      </c>
      <c r="J951" s="2">
        <v>1</v>
      </c>
      <c r="K951" s="4">
        <v>0.22894569389938468</v>
      </c>
      <c r="L951" s="4">
        <v>-7.4646768411893077E-2</v>
      </c>
      <c r="M951" s="4">
        <v>7.4646768411893077E-2</v>
      </c>
      <c r="N951" s="10">
        <v>7.4999999999999997E-2</v>
      </c>
      <c r="O951" s="4">
        <v>0.37078363895803979</v>
      </c>
      <c r="P951" s="4">
        <v>-0.37</v>
      </c>
      <c r="Q951" s="3" t="s">
        <v>1617</v>
      </c>
      <c r="R951" s="3" t="s">
        <v>1618</v>
      </c>
      <c r="S951" s="3" t="s">
        <v>1619</v>
      </c>
      <c r="T951" s="3"/>
    </row>
    <row r="952" spans="1:20">
      <c r="A952" s="3" t="s">
        <v>1604</v>
      </c>
      <c r="B952" s="3" t="s">
        <v>1601</v>
      </c>
      <c r="C952" s="3" t="s">
        <v>1596</v>
      </c>
      <c r="D952" s="3" t="s">
        <v>813</v>
      </c>
      <c r="E952" s="3" t="s">
        <v>814</v>
      </c>
      <c r="F952" s="2">
        <v>1</v>
      </c>
      <c r="G952" s="4">
        <v>1.0313472969148032</v>
      </c>
      <c r="H952" s="2">
        <v>25</v>
      </c>
      <c r="I952" s="2">
        <v>30</v>
      </c>
      <c r="J952" s="2">
        <v>16</v>
      </c>
      <c r="K952" s="4">
        <v>1</v>
      </c>
      <c r="L952" s="4">
        <v>-0.12429928623673292</v>
      </c>
      <c r="M952" s="4">
        <v>0.12429928623673292</v>
      </c>
      <c r="N952" s="10">
        <v>0.124</v>
      </c>
      <c r="O952" s="4">
        <v>0.61947154444195041</v>
      </c>
      <c r="P952" s="4">
        <v>-0.62</v>
      </c>
      <c r="Q952" s="3" t="s">
        <v>1617</v>
      </c>
      <c r="R952" s="3" t="s">
        <v>1618</v>
      </c>
      <c r="S952" s="3" t="s">
        <v>1619</v>
      </c>
      <c r="T952" s="3"/>
    </row>
    <row r="953" spans="1:20">
      <c r="A953" s="3" t="s">
        <v>1604</v>
      </c>
      <c r="B953" s="3" t="s">
        <v>1601</v>
      </c>
      <c r="C953" s="3" t="s">
        <v>1616</v>
      </c>
      <c r="D953" s="3" t="s">
        <v>813</v>
      </c>
      <c r="E953" s="3" t="s">
        <v>814</v>
      </c>
      <c r="F953" s="2">
        <v>1</v>
      </c>
      <c r="G953" s="4">
        <v>1.0313472969148032</v>
      </c>
      <c r="H953" s="2">
        <v>25</v>
      </c>
      <c r="I953" s="2">
        <v>30</v>
      </c>
      <c r="J953" s="2">
        <v>16</v>
      </c>
      <c r="K953" s="4">
        <v>1</v>
      </c>
      <c r="L953" s="4">
        <v>-0.12869085367261174</v>
      </c>
      <c r="M953" s="4">
        <v>0.12869085367261174</v>
      </c>
      <c r="N953" s="10">
        <v>0.129</v>
      </c>
      <c r="O953" s="4">
        <v>0.64159875164348401</v>
      </c>
      <c r="P953" s="4">
        <v>-0.64</v>
      </c>
      <c r="Q953" s="3" t="s">
        <v>1617</v>
      </c>
      <c r="R953" s="3" t="s">
        <v>1618</v>
      </c>
      <c r="S953" s="3" t="s">
        <v>1619</v>
      </c>
      <c r="T953" s="3"/>
    </row>
    <row r="954" spans="1:20">
      <c r="A954" s="12" t="s">
        <v>1605</v>
      </c>
      <c r="B954" s="3" t="s">
        <v>1601</v>
      </c>
      <c r="C954" s="3" t="s">
        <v>1596</v>
      </c>
      <c r="D954" s="3" t="s">
        <v>813</v>
      </c>
      <c r="E954" s="3" t="s">
        <v>814</v>
      </c>
      <c r="F954" s="2">
        <v>1</v>
      </c>
      <c r="G954" s="4">
        <v>1.0313472969148032</v>
      </c>
      <c r="H954" s="2">
        <v>25</v>
      </c>
      <c r="I954" s="2">
        <v>5</v>
      </c>
      <c r="J954" s="2">
        <v>16</v>
      </c>
      <c r="K954" s="11">
        <v>1</v>
      </c>
      <c r="L954" s="11">
        <v>-0.17500511902613647</v>
      </c>
      <c r="M954" s="4">
        <v>0.17500511902613647</v>
      </c>
      <c r="N954" s="10">
        <v>0.17499999999999999</v>
      </c>
      <c r="O954" s="4">
        <v>0.87668858681154971</v>
      </c>
      <c r="P954" s="4">
        <v>-0.88</v>
      </c>
      <c r="Q954" s="3" t="s">
        <v>1617</v>
      </c>
      <c r="R954" s="3" t="s">
        <v>1618</v>
      </c>
      <c r="S954" s="3" t="s">
        <v>1619</v>
      </c>
      <c r="T954" s="3"/>
    </row>
    <row r="955" spans="1:20">
      <c r="A955" s="3" t="s">
        <v>1600</v>
      </c>
      <c r="B955" s="3" t="s">
        <v>1609</v>
      </c>
      <c r="C955" s="3" t="s">
        <v>1596</v>
      </c>
      <c r="D955" s="3" t="s">
        <v>813</v>
      </c>
      <c r="E955" s="3" t="s">
        <v>814</v>
      </c>
      <c r="F955" s="2">
        <v>1</v>
      </c>
      <c r="G955" s="4">
        <v>1.0313472969148032</v>
      </c>
      <c r="H955" s="2">
        <v>25</v>
      </c>
      <c r="I955" s="2">
        <v>5</v>
      </c>
      <c r="J955" s="2">
        <v>16</v>
      </c>
      <c r="K955" s="4">
        <v>0.29655577493970064</v>
      </c>
      <c r="L955" s="4">
        <v>-0.25542612350669236</v>
      </c>
      <c r="M955" s="4">
        <v>0.25542612350669236</v>
      </c>
      <c r="N955" s="10">
        <v>0.255</v>
      </c>
      <c r="O955" s="4">
        <v>1.2950582348804716</v>
      </c>
      <c r="P955" s="4">
        <v>-1.29</v>
      </c>
      <c r="Q955" s="3" t="s">
        <v>1617</v>
      </c>
      <c r="R955" s="3" t="s">
        <v>1623</v>
      </c>
      <c r="S955" s="3" t="s">
        <v>1624</v>
      </c>
      <c r="T955" s="3"/>
    </row>
    <row r="956" spans="1:20">
      <c r="A956" s="3" t="s">
        <v>1600</v>
      </c>
      <c r="B956" s="3" t="s">
        <v>1606</v>
      </c>
      <c r="C956" s="3" t="s">
        <v>1596</v>
      </c>
      <c r="D956" s="3" t="s">
        <v>813</v>
      </c>
      <c r="E956" s="3" t="s">
        <v>814</v>
      </c>
      <c r="F956" s="2">
        <v>1</v>
      </c>
      <c r="G956" s="4">
        <v>1.0313472969148032</v>
      </c>
      <c r="H956" s="2">
        <v>25</v>
      </c>
      <c r="I956" s="2">
        <v>5</v>
      </c>
      <c r="J956" s="2">
        <v>1</v>
      </c>
      <c r="K956" s="11">
        <v>0.7617224036001059</v>
      </c>
      <c r="L956" s="11">
        <v>-0.27196904756388574</v>
      </c>
      <c r="M956" s="4">
        <v>0.27196904756388574</v>
      </c>
      <c r="N956" s="10">
        <v>0.27200000000000002</v>
      </c>
      <c r="O956" s="4">
        <v>1.3832093214793986</v>
      </c>
      <c r="P956" s="4">
        <v>-1.38</v>
      </c>
      <c r="Q956" s="3" t="s">
        <v>1617</v>
      </c>
      <c r="R956" s="3" t="s">
        <v>1621</v>
      </c>
      <c r="S956" s="3" t="s">
        <v>1622</v>
      </c>
      <c r="T956" s="3"/>
    </row>
    <row r="957" spans="1:20">
      <c r="A957" s="3" t="s">
        <v>1600</v>
      </c>
      <c r="B957" s="3" t="s">
        <v>1609</v>
      </c>
      <c r="C957" s="3" t="s">
        <v>1596</v>
      </c>
      <c r="D957" s="3" t="s">
        <v>813</v>
      </c>
      <c r="E957" s="3" t="s">
        <v>814</v>
      </c>
      <c r="F957" s="2">
        <v>1</v>
      </c>
      <c r="G957" s="4">
        <v>1.0313472969148032</v>
      </c>
      <c r="H957" s="2">
        <v>25</v>
      </c>
      <c r="I957" s="2">
        <v>5</v>
      </c>
      <c r="J957" s="2">
        <v>1</v>
      </c>
      <c r="K957" s="11">
        <v>9.1787849167167312E-2</v>
      </c>
      <c r="L957" s="11">
        <v>-0.33098452649369037</v>
      </c>
      <c r="M957" s="4">
        <v>0.33098452649369037</v>
      </c>
      <c r="N957" s="10">
        <v>0.33100000000000002</v>
      </c>
      <c r="O957" s="4">
        <v>1.7052004107691667</v>
      </c>
      <c r="P957" s="4">
        <v>-1.71</v>
      </c>
      <c r="Q957" s="3" t="s">
        <v>1617</v>
      </c>
      <c r="R957" s="3" t="s">
        <v>1623</v>
      </c>
      <c r="S957" s="3" t="s">
        <v>1624</v>
      </c>
      <c r="T957" s="3"/>
    </row>
    <row r="958" spans="1:20">
      <c r="A958" s="3" t="s">
        <v>1600</v>
      </c>
      <c r="B958" s="3" t="s">
        <v>1601</v>
      </c>
      <c r="C958" s="3" t="s">
        <v>1616</v>
      </c>
      <c r="D958" s="3" t="s">
        <v>813</v>
      </c>
      <c r="E958" s="3" t="s">
        <v>814</v>
      </c>
      <c r="F958" s="2">
        <v>1</v>
      </c>
      <c r="G958" s="4">
        <v>1.0313472969148032</v>
      </c>
      <c r="H958" s="2">
        <v>25</v>
      </c>
      <c r="I958" s="2">
        <v>5</v>
      </c>
      <c r="J958" s="2">
        <v>16</v>
      </c>
      <c r="K958" s="4">
        <v>0.89582204068566407</v>
      </c>
      <c r="L958" s="4">
        <v>-0.36400797721232275</v>
      </c>
      <c r="M958" s="4">
        <v>0.36400797721232275</v>
      </c>
      <c r="N958" s="10">
        <v>0.36399999999999999</v>
      </c>
      <c r="O958" s="4">
        <v>1.8914444534077517</v>
      </c>
      <c r="P958" s="4">
        <v>-1.89</v>
      </c>
      <c r="Q958" s="3" t="s">
        <v>1617</v>
      </c>
      <c r="R958" s="3" t="s">
        <v>1618</v>
      </c>
      <c r="S958" s="3" t="s">
        <v>1619</v>
      </c>
      <c r="T958" s="3"/>
    </row>
    <row r="959" spans="1:20">
      <c r="A959" s="3" t="s">
        <v>1600</v>
      </c>
      <c r="B959" s="3" t="s">
        <v>1609</v>
      </c>
      <c r="C959" s="3" t="s">
        <v>1616</v>
      </c>
      <c r="D959" s="3" t="s">
        <v>813</v>
      </c>
      <c r="E959" s="3" t="s">
        <v>814</v>
      </c>
      <c r="F959" s="2">
        <v>1</v>
      </c>
      <c r="G959" s="4">
        <v>1.0313472969148032</v>
      </c>
      <c r="H959" s="2">
        <v>25</v>
      </c>
      <c r="I959" s="2">
        <v>5</v>
      </c>
      <c r="J959" s="2">
        <v>16</v>
      </c>
      <c r="K959" s="11">
        <v>0.21469044529296055</v>
      </c>
      <c r="L959" s="11">
        <v>-0.42607662155109688</v>
      </c>
      <c r="M959" s="4">
        <v>0.42607662155109688</v>
      </c>
      <c r="N959" s="10">
        <v>0.42599999999999999</v>
      </c>
      <c r="O959" s="4">
        <v>2.2563231956349163</v>
      </c>
      <c r="P959" s="4">
        <v>-2.2599999999999998</v>
      </c>
      <c r="Q959" s="3" t="s">
        <v>1617</v>
      </c>
      <c r="R959" s="3" t="s">
        <v>1623</v>
      </c>
      <c r="S959" s="3" t="s">
        <v>1624</v>
      </c>
      <c r="T959" s="3"/>
    </row>
    <row r="960" spans="1:20">
      <c r="A960" s="3" t="s">
        <v>1600</v>
      </c>
      <c r="B960" s="3" t="s">
        <v>1606</v>
      </c>
      <c r="C960" s="3" t="s">
        <v>1596</v>
      </c>
      <c r="D960" s="3" t="s">
        <v>813</v>
      </c>
      <c r="E960" s="3" t="s">
        <v>814</v>
      </c>
      <c r="F960" s="2">
        <v>1</v>
      </c>
      <c r="G960" s="4">
        <v>1.0313472969148032</v>
      </c>
      <c r="H960" s="2">
        <v>25</v>
      </c>
      <c r="I960" s="2">
        <v>5</v>
      </c>
      <c r="J960" s="2">
        <v>16</v>
      </c>
      <c r="K960" s="11">
        <v>1</v>
      </c>
      <c r="L960" s="11">
        <v>-0.46783279848211562</v>
      </c>
      <c r="M960" s="4">
        <v>0.46783279848211562</v>
      </c>
      <c r="N960" s="10">
        <v>0.46800000000000003</v>
      </c>
      <c r="O960" s="4">
        <v>2.5151228763986606</v>
      </c>
      <c r="P960" s="4">
        <v>-2.52</v>
      </c>
      <c r="Q960" s="3" t="s">
        <v>1617</v>
      </c>
      <c r="R960" s="3" t="s">
        <v>1621</v>
      </c>
      <c r="S960" s="3" t="s">
        <v>1622</v>
      </c>
      <c r="T960" s="3"/>
    </row>
    <row r="961" spans="1:20">
      <c r="A961" s="3" t="s">
        <v>1600</v>
      </c>
      <c r="B961" s="3" t="s">
        <v>1609</v>
      </c>
      <c r="C961" s="3" t="s">
        <v>1616</v>
      </c>
      <c r="D961" s="3" t="s">
        <v>813</v>
      </c>
      <c r="E961" s="3" t="s">
        <v>814</v>
      </c>
      <c r="F961" s="2">
        <v>1</v>
      </c>
      <c r="G961" s="4">
        <v>1.0313472969148032</v>
      </c>
      <c r="H961" s="2">
        <v>25</v>
      </c>
      <c r="I961" s="2">
        <v>5</v>
      </c>
      <c r="J961" s="2">
        <v>1</v>
      </c>
      <c r="K961" s="4">
        <v>0.10695572057708125</v>
      </c>
      <c r="L961" s="4">
        <v>-0.52717718328618746</v>
      </c>
      <c r="M961" s="4">
        <v>0.52717718328618746</v>
      </c>
      <c r="N961" s="10">
        <v>0.52700000000000002</v>
      </c>
      <c r="O961" s="4">
        <v>2.9064801399355753</v>
      </c>
      <c r="P961" s="4">
        <v>-2.91</v>
      </c>
      <c r="Q961" s="3" t="s">
        <v>1617</v>
      </c>
      <c r="R961" s="3" t="s">
        <v>1623</v>
      </c>
      <c r="S961" s="3" t="s">
        <v>1624</v>
      </c>
      <c r="T961" s="3"/>
    </row>
    <row r="962" spans="1:20">
      <c r="A962" s="3" t="s">
        <v>1600</v>
      </c>
      <c r="B962" s="3" t="s">
        <v>1601</v>
      </c>
      <c r="C962" s="3" t="s">
        <v>1616</v>
      </c>
      <c r="D962" s="3" t="s">
        <v>813</v>
      </c>
      <c r="E962" s="3" t="s">
        <v>814</v>
      </c>
      <c r="F962" s="2">
        <v>1</v>
      </c>
      <c r="G962" s="4">
        <v>1.0313472969148032</v>
      </c>
      <c r="H962" s="2">
        <v>25</v>
      </c>
      <c r="I962" s="2">
        <v>5</v>
      </c>
      <c r="J962" s="2">
        <v>1</v>
      </c>
      <c r="K962" s="4">
        <v>0.27741899802573478</v>
      </c>
      <c r="L962" s="4">
        <v>-0.63226991080454709</v>
      </c>
      <c r="M962" s="4">
        <v>0.63226991080454709</v>
      </c>
      <c r="N962" s="10">
        <v>0.63200000000000001</v>
      </c>
      <c r="O962" s="4">
        <v>3.6945988686465219</v>
      </c>
      <c r="P962" s="4">
        <v>-3.69</v>
      </c>
      <c r="Q962" s="3" t="s">
        <v>1617</v>
      </c>
      <c r="R962" s="3" t="s">
        <v>1618</v>
      </c>
      <c r="S962" s="3" t="s">
        <v>1619</v>
      </c>
      <c r="T962" s="3"/>
    </row>
    <row r="963" spans="1:20">
      <c r="A963" s="3" t="s">
        <v>1600</v>
      </c>
      <c r="B963" s="3" t="s">
        <v>1606</v>
      </c>
      <c r="C963" s="3" t="s">
        <v>1616</v>
      </c>
      <c r="D963" s="3" t="s">
        <v>813</v>
      </c>
      <c r="E963" s="3" t="s">
        <v>814</v>
      </c>
      <c r="F963" s="2">
        <v>1</v>
      </c>
      <c r="G963" s="4">
        <v>1.0313472969148032</v>
      </c>
      <c r="H963" s="2">
        <v>25</v>
      </c>
      <c r="I963" s="2">
        <v>5</v>
      </c>
      <c r="J963" s="2">
        <v>16</v>
      </c>
      <c r="K963" s="11">
        <v>1</v>
      </c>
      <c r="L963" s="11">
        <v>-0.68680816720004945</v>
      </c>
      <c r="M963" s="4">
        <v>0.68680816720004945</v>
      </c>
      <c r="N963" s="10">
        <v>0.68700000000000006</v>
      </c>
      <c r="O963" s="4">
        <v>4.1740307781325541</v>
      </c>
      <c r="P963" s="4">
        <v>-4.18</v>
      </c>
      <c r="Q963" s="3" t="s">
        <v>1617</v>
      </c>
      <c r="R963" s="3" t="s">
        <v>1621</v>
      </c>
      <c r="S963" s="3" t="s">
        <v>1622</v>
      </c>
      <c r="T963" s="3"/>
    </row>
    <row r="964" spans="1:20">
      <c r="A964" s="3" t="s">
        <v>1600</v>
      </c>
      <c r="B964" s="3" t="s">
        <v>1606</v>
      </c>
      <c r="C964" s="3" t="s">
        <v>1616</v>
      </c>
      <c r="D964" s="3" t="s">
        <v>813</v>
      </c>
      <c r="E964" s="3" t="s">
        <v>814</v>
      </c>
      <c r="F964" s="2">
        <v>1</v>
      </c>
      <c r="G964" s="4">
        <v>1.0313472969148032</v>
      </c>
      <c r="H964" s="2">
        <v>25</v>
      </c>
      <c r="I964" s="2">
        <v>5</v>
      </c>
      <c r="J964" s="2">
        <v>1</v>
      </c>
      <c r="K964" s="4">
        <v>1</v>
      </c>
      <c r="L964" s="4">
        <v>-0.73224779002231266</v>
      </c>
      <c r="M964" s="4">
        <v>0.73224779002231266</v>
      </c>
      <c r="N964" s="10">
        <v>0.73199999999999998</v>
      </c>
      <c r="O964" s="4">
        <v>4.6285141561692571</v>
      </c>
      <c r="P964" s="4">
        <v>-4.63</v>
      </c>
      <c r="Q964" s="3" t="s">
        <v>1617</v>
      </c>
      <c r="R964" s="3" t="s">
        <v>1621</v>
      </c>
      <c r="S964" s="3" t="s">
        <v>1622</v>
      </c>
      <c r="T964" s="3"/>
    </row>
    <row r="965" spans="1:20">
      <c r="A965" s="3" t="s">
        <v>1604</v>
      </c>
      <c r="B965" s="3" t="s">
        <v>1601</v>
      </c>
      <c r="C965" s="3" t="s">
        <v>1596</v>
      </c>
      <c r="D965" s="3" t="s">
        <v>76</v>
      </c>
      <c r="E965" s="3" t="s">
        <v>77</v>
      </c>
      <c r="F965" s="2">
        <v>1</v>
      </c>
      <c r="G965" s="4">
        <v>1.0323657649940146</v>
      </c>
      <c r="H965" s="2">
        <v>25</v>
      </c>
      <c r="I965" s="2">
        <v>30</v>
      </c>
      <c r="J965" s="2">
        <v>16</v>
      </c>
      <c r="K965" s="4">
        <v>1</v>
      </c>
      <c r="L965" s="4">
        <v>0.15223265044745035</v>
      </c>
      <c r="M965" s="4">
        <v>0.15223265044745035</v>
      </c>
      <c r="N965" s="10">
        <v>0.152</v>
      </c>
      <c r="O965" s="4">
        <v>0.7606726938193541</v>
      </c>
      <c r="P965" s="4">
        <v>0.76</v>
      </c>
      <c r="Q965" s="3" t="s">
        <v>1597</v>
      </c>
      <c r="R965" s="3" t="s">
        <v>1602</v>
      </c>
      <c r="S965" s="3" t="s">
        <v>1603</v>
      </c>
      <c r="T965" s="3"/>
    </row>
    <row r="966" spans="1:20">
      <c r="A966" s="3" t="s">
        <v>1600</v>
      </c>
      <c r="B966" s="3" t="s">
        <v>1606</v>
      </c>
      <c r="C966" s="3" t="s">
        <v>1616</v>
      </c>
      <c r="D966" s="3" t="s">
        <v>76</v>
      </c>
      <c r="E966" s="3" t="s">
        <v>77</v>
      </c>
      <c r="F966" s="2">
        <v>1</v>
      </c>
      <c r="G966" s="4">
        <v>1.0323657649940146</v>
      </c>
      <c r="H966" s="2">
        <v>25</v>
      </c>
      <c r="I966" s="2">
        <v>5</v>
      </c>
      <c r="J966" s="2">
        <v>16</v>
      </c>
      <c r="K966" s="11">
        <v>1</v>
      </c>
      <c r="L966" s="11">
        <v>0.14077700977414623</v>
      </c>
      <c r="M966" s="4">
        <v>0.14077700977414623</v>
      </c>
      <c r="N966" s="10">
        <v>0.14099999999999999</v>
      </c>
      <c r="O966" s="4">
        <v>0.70262985397333888</v>
      </c>
      <c r="P966" s="4">
        <v>0.7</v>
      </c>
      <c r="Q966" s="3" t="s">
        <v>1597</v>
      </c>
      <c r="R966" s="3" t="s">
        <v>1607</v>
      </c>
      <c r="S966" s="3" t="s">
        <v>1608</v>
      </c>
      <c r="T966" s="3"/>
    </row>
    <row r="967" spans="1:20">
      <c r="A967" s="3" t="s">
        <v>1600</v>
      </c>
      <c r="B967" s="3" t="s">
        <v>1601</v>
      </c>
      <c r="C967" s="3" t="s">
        <v>1596</v>
      </c>
      <c r="D967" s="3" t="s">
        <v>76</v>
      </c>
      <c r="E967" s="3" t="s">
        <v>77</v>
      </c>
      <c r="F967" s="2">
        <v>1</v>
      </c>
      <c r="G967" s="4">
        <v>1.0323657649940146</v>
      </c>
      <c r="H967" s="2">
        <v>25</v>
      </c>
      <c r="I967" s="2">
        <v>5</v>
      </c>
      <c r="J967" s="2">
        <v>1</v>
      </c>
      <c r="K967" s="4">
        <v>0.40197450267816248</v>
      </c>
      <c r="L967" s="4">
        <v>0.12079616653491247</v>
      </c>
      <c r="M967" s="4">
        <v>0.12079616653491247</v>
      </c>
      <c r="N967" s="10">
        <v>0.121</v>
      </c>
      <c r="O967" s="4">
        <v>0.60183846822854992</v>
      </c>
      <c r="P967" s="4">
        <v>0.6</v>
      </c>
      <c r="Q967" s="3" t="s">
        <v>1597</v>
      </c>
      <c r="R967" s="3" t="s">
        <v>1602</v>
      </c>
      <c r="S967" s="3" t="s">
        <v>1603</v>
      </c>
      <c r="T967" s="3"/>
    </row>
    <row r="968" spans="1:20">
      <c r="A968" s="12" t="s">
        <v>1605</v>
      </c>
      <c r="B968" s="3" t="s">
        <v>1601</v>
      </c>
      <c r="C968" s="3" t="s">
        <v>1596</v>
      </c>
      <c r="D968" s="3" t="s">
        <v>76</v>
      </c>
      <c r="E968" s="3" t="s">
        <v>77</v>
      </c>
      <c r="F968" s="2">
        <v>1</v>
      </c>
      <c r="G968" s="4">
        <v>1.0323657649940146</v>
      </c>
      <c r="H968" s="2">
        <v>25</v>
      </c>
      <c r="I968" s="2">
        <v>5</v>
      </c>
      <c r="J968" s="2">
        <v>16</v>
      </c>
      <c r="K968" s="11">
        <v>1</v>
      </c>
      <c r="L968" s="11">
        <v>0.10791945460800767</v>
      </c>
      <c r="M968" s="4">
        <v>0.10791945460800767</v>
      </c>
      <c r="N968" s="10">
        <v>0.108</v>
      </c>
      <c r="O968" s="4">
        <v>0.53714962704180635</v>
      </c>
      <c r="P968" s="4">
        <v>0.54</v>
      </c>
      <c r="Q968" s="3" t="s">
        <v>1597</v>
      </c>
      <c r="R968" s="3" t="s">
        <v>1602</v>
      </c>
      <c r="S968" s="3" t="s">
        <v>1603</v>
      </c>
      <c r="T968" s="3"/>
    </row>
    <row r="969" spans="1:20">
      <c r="A969" s="3" t="s">
        <v>1600</v>
      </c>
      <c r="B969" s="3" t="s">
        <v>1606</v>
      </c>
      <c r="C969" s="3" t="s">
        <v>1616</v>
      </c>
      <c r="D969" s="3" t="s">
        <v>76</v>
      </c>
      <c r="E969" s="3" t="s">
        <v>77</v>
      </c>
      <c r="F969" s="2">
        <v>1</v>
      </c>
      <c r="G969" s="4">
        <v>1.0323657649940146</v>
      </c>
      <c r="H969" s="2">
        <v>25</v>
      </c>
      <c r="I969" s="2">
        <v>5</v>
      </c>
      <c r="J969" s="2">
        <v>1</v>
      </c>
      <c r="K969" s="4">
        <v>1</v>
      </c>
      <c r="L969" s="4">
        <v>0.10247974166818985</v>
      </c>
      <c r="M969" s="4">
        <v>0.10247974166818985</v>
      </c>
      <c r="N969" s="10">
        <v>0.10199999999999999</v>
      </c>
      <c r="O969" s="4">
        <v>0.50987799229840358</v>
      </c>
      <c r="P969" s="4">
        <v>0.51</v>
      </c>
      <c r="Q969" s="3" t="s">
        <v>1597</v>
      </c>
      <c r="R969" s="3" t="s">
        <v>1607</v>
      </c>
      <c r="S969" s="3" t="s">
        <v>1608</v>
      </c>
      <c r="T969" s="3"/>
    </row>
    <row r="970" spans="1:20">
      <c r="A970" s="3" t="s">
        <v>1600</v>
      </c>
      <c r="B970" s="3" t="s">
        <v>1601</v>
      </c>
      <c r="C970" s="3" t="s">
        <v>1596</v>
      </c>
      <c r="D970" s="3" t="s">
        <v>76</v>
      </c>
      <c r="E970" s="3" t="s">
        <v>77</v>
      </c>
      <c r="F970" s="2">
        <v>1</v>
      </c>
      <c r="G970" s="4">
        <v>1.0323657649940146</v>
      </c>
      <c r="H970" s="2">
        <v>25</v>
      </c>
      <c r="I970" s="2">
        <v>5</v>
      </c>
      <c r="J970" s="2">
        <v>16</v>
      </c>
      <c r="K970" s="4">
        <v>1</v>
      </c>
      <c r="L970" s="4">
        <v>7.881866392826517E-2</v>
      </c>
      <c r="M970" s="4">
        <v>7.881866392826517E-2</v>
      </c>
      <c r="N970" s="10">
        <v>7.9000000000000001E-2</v>
      </c>
      <c r="O970" s="4">
        <v>0.39159016925186568</v>
      </c>
      <c r="P970" s="4">
        <v>0.39</v>
      </c>
      <c r="Q970" s="3" t="s">
        <v>1597</v>
      </c>
      <c r="R970" s="3" t="s">
        <v>1602</v>
      </c>
      <c r="S970" s="3" t="s">
        <v>1603</v>
      </c>
      <c r="T970" s="3"/>
    </row>
    <row r="971" spans="1:20">
      <c r="A971" s="3" t="s">
        <v>1600</v>
      </c>
      <c r="B971" s="3" t="s">
        <v>1601</v>
      </c>
      <c r="C971" s="3" t="s">
        <v>1616</v>
      </c>
      <c r="D971" s="3" t="s">
        <v>76</v>
      </c>
      <c r="E971" s="3" t="s">
        <v>77</v>
      </c>
      <c r="F971" s="2">
        <v>1</v>
      </c>
      <c r="G971" s="4">
        <v>1.0323657649940146</v>
      </c>
      <c r="H971" s="2">
        <v>25</v>
      </c>
      <c r="I971" s="2">
        <v>5</v>
      </c>
      <c r="J971" s="2">
        <v>1</v>
      </c>
      <c r="K971" s="4">
        <v>0.96414436368461531</v>
      </c>
      <c r="L971" s="4">
        <v>2.778119010282502E-2</v>
      </c>
      <c r="M971" s="4">
        <v>2.778119010282502E-2</v>
      </c>
      <c r="N971" s="10">
        <v>2.8000000000000001E-2</v>
      </c>
      <c r="O971" s="4">
        <v>0.13777282365842153</v>
      </c>
      <c r="P971" s="4">
        <v>0.14000000000000001</v>
      </c>
      <c r="Q971" s="3" t="s">
        <v>1597</v>
      </c>
      <c r="R971" s="3" t="s">
        <v>1602</v>
      </c>
      <c r="S971" s="3" t="s">
        <v>1603</v>
      </c>
      <c r="T971" s="3"/>
    </row>
    <row r="972" spans="1:20">
      <c r="A972" s="3" t="s">
        <v>1600</v>
      </c>
      <c r="B972" s="3" t="s">
        <v>1601</v>
      </c>
      <c r="C972" s="3" t="s">
        <v>1616</v>
      </c>
      <c r="D972" s="3" t="s">
        <v>76</v>
      </c>
      <c r="E972" s="3" t="s">
        <v>77</v>
      </c>
      <c r="F972" s="2">
        <v>1</v>
      </c>
      <c r="G972" s="4">
        <v>1.0323657649940146</v>
      </c>
      <c r="H972" s="2">
        <v>25</v>
      </c>
      <c r="I972" s="2">
        <v>5</v>
      </c>
      <c r="J972" s="2">
        <v>16</v>
      </c>
      <c r="K972" s="4">
        <v>1</v>
      </c>
      <c r="L972" s="4">
        <v>1.4151435454757267E-2</v>
      </c>
      <c r="M972" s="4">
        <v>1.4151435454757267E-2</v>
      </c>
      <c r="N972" s="10">
        <v>1.4E-2</v>
      </c>
      <c r="O972" s="4">
        <v>7.0166600423551273E-2</v>
      </c>
      <c r="P972" s="4">
        <v>7.0000000000000007E-2</v>
      </c>
      <c r="Q972" s="3" t="s">
        <v>1597</v>
      </c>
      <c r="R972" s="3" t="s">
        <v>1602</v>
      </c>
      <c r="S972" s="3" t="s">
        <v>1603</v>
      </c>
      <c r="T972" s="3"/>
    </row>
    <row r="973" spans="1:20">
      <c r="A973" s="3" t="s">
        <v>1600</v>
      </c>
      <c r="B973" s="3" t="s">
        <v>1609</v>
      </c>
      <c r="C973" s="3" t="s">
        <v>1596</v>
      </c>
      <c r="D973" s="3" t="s">
        <v>76</v>
      </c>
      <c r="E973" s="3" t="s">
        <v>77</v>
      </c>
      <c r="F973" s="2">
        <v>1</v>
      </c>
      <c r="G973" s="4">
        <v>1.0323657649940146</v>
      </c>
      <c r="H973" s="2">
        <v>25</v>
      </c>
      <c r="I973" s="2">
        <v>5</v>
      </c>
      <c r="J973" s="2">
        <v>16</v>
      </c>
      <c r="K973" s="4">
        <v>0.4918810115290746</v>
      </c>
      <c r="L973" s="4">
        <v>-7.854714860307959E-3</v>
      </c>
      <c r="M973" s="4">
        <v>7.854714860307959E-3</v>
      </c>
      <c r="N973" s="10">
        <v>8.0000000000000002E-3</v>
      </c>
      <c r="O973" s="4">
        <v>3.8943977240937871E-2</v>
      </c>
      <c r="P973" s="4">
        <v>-0.04</v>
      </c>
      <c r="Q973" s="3" t="s">
        <v>1617</v>
      </c>
      <c r="R973" s="3" t="s">
        <v>1623</v>
      </c>
      <c r="S973" s="3" t="s">
        <v>1624</v>
      </c>
      <c r="T973" s="3"/>
    </row>
    <row r="974" spans="1:20">
      <c r="A974" s="3" t="s">
        <v>1600</v>
      </c>
      <c r="B974" s="3" t="s">
        <v>1606</v>
      </c>
      <c r="C974" s="3" t="s">
        <v>1596</v>
      </c>
      <c r="D974" s="3" t="s">
        <v>76</v>
      </c>
      <c r="E974" s="3" t="s">
        <v>77</v>
      </c>
      <c r="F974" s="2">
        <v>1</v>
      </c>
      <c r="G974" s="4">
        <v>1.0323657649940146</v>
      </c>
      <c r="H974" s="2">
        <v>25</v>
      </c>
      <c r="I974" s="2">
        <v>5</v>
      </c>
      <c r="J974" s="2">
        <v>16</v>
      </c>
      <c r="K974" s="11">
        <v>1</v>
      </c>
      <c r="L974" s="11">
        <v>-2.2666905097327664E-2</v>
      </c>
      <c r="M974" s="4">
        <v>2.2666905097327664E-2</v>
      </c>
      <c r="N974" s="10">
        <v>2.3E-2</v>
      </c>
      <c r="O974" s="4">
        <v>0.11240032536363677</v>
      </c>
      <c r="P974" s="4">
        <v>-0.11</v>
      </c>
      <c r="Q974" s="3" t="s">
        <v>1617</v>
      </c>
      <c r="R974" s="3" t="s">
        <v>1621</v>
      </c>
      <c r="S974" s="3" t="s">
        <v>1622</v>
      </c>
      <c r="T974" s="3"/>
    </row>
    <row r="975" spans="1:20">
      <c r="A975" s="3" t="s">
        <v>1604</v>
      </c>
      <c r="B975" s="3" t="s">
        <v>1601</v>
      </c>
      <c r="C975" s="3" t="s">
        <v>1616</v>
      </c>
      <c r="D975" s="3" t="s">
        <v>76</v>
      </c>
      <c r="E975" s="3" t="s">
        <v>77</v>
      </c>
      <c r="F975" s="2">
        <v>1</v>
      </c>
      <c r="G975" s="4">
        <v>1.0323657649940146</v>
      </c>
      <c r="H975" s="2">
        <v>25</v>
      </c>
      <c r="I975" s="2">
        <v>30</v>
      </c>
      <c r="J975" s="2">
        <v>16</v>
      </c>
      <c r="K975" s="4">
        <v>0.95697495806304889</v>
      </c>
      <c r="L975" s="4">
        <v>-3.4899801796961248E-2</v>
      </c>
      <c r="M975" s="4">
        <v>3.4899801796961248E-2</v>
      </c>
      <c r="N975" s="10">
        <v>3.5000000000000003E-2</v>
      </c>
      <c r="O975" s="4">
        <v>0.17310129768364638</v>
      </c>
      <c r="P975" s="4">
        <v>-0.17</v>
      </c>
      <c r="Q975" s="3" t="s">
        <v>1617</v>
      </c>
      <c r="R975" s="3" t="s">
        <v>1618</v>
      </c>
      <c r="S975" s="3" t="s">
        <v>1619</v>
      </c>
      <c r="T975" s="3"/>
    </row>
    <row r="976" spans="1:20">
      <c r="A976" s="3" t="s">
        <v>1600</v>
      </c>
      <c r="B976" s="3" t="s">
        <v>1606</v>
      </c>
      <c r="C976" s="3" t="s">
        <v>1596</v>
      </c>
      <c r="D976" s="3" t="s">
        <v>76</v>
      </c>
      <c r="E976" s="3" t="s">
        <v>77</v>
      </c>
      <c r="F976" s="2">
        <v>1</v>
      </c>
      <c r="G976" s="4">
        <v>1.0323657649940146</v>
      </c>
      <c r="H976" s="2">
        <v>25</v>
      </c>
      <c r="I976" s="2">
        <v>5</v>
      </c>
      <c r="J976" s="2">
        <v>1</v>
      </c>
      <c r="K976" s="11">
        <v>0.18051318946724593</v>
      </c>
      <c r="L976" s="11">
        <v>-6.6925136158035636E-2</v>
      </c>
      <c r="M976" s="4">
        <v>6.6925136158035636E-2</v>
      </c>
      <c r="N976" s="10">
        <v>6.7000000000000004E-2</v>
      </c>
      <c r="O976" s="4">
        <v>0.33230729114644925</v>
      </c>
      <c r="P976" s="4">
        <v>-0.33</v>
      </c>
      <c r="Q976" s="3" t="s">
        <v>1617</v>
      </c>
      <c r="R976" s="3" t="s">
        <v>1621</v>
      </c>
      <c r="S976" s="3" t="s">
        <v>1622</v>
      </c>
      <c r="T976" s="3"/>
    </row>
    <row r="977" spans="1:20">
      <c r="A977" s="3" t="s">
        <v>1594</v>
      </c>
      <c r="B977" s="3" t="s">
        <v>1612</v>
      </c>
      <c r="C977" s="3" t="s">
        <v>1596</v>
      </c>
      <c r="D977" s="3" t="s">
        <v>76</v>
      </c>
      <c r="E977" s="3" t="s">
        <v>77</v>
      </c>
      <c r="F977" s="2">
        <v>1</v>
      </c>
      <c r="G977" s="4">
        <v>1.0323657649940146</v>
      </c>
      <c r="H977" s="2">
        <v>50</v>
      </c>
      <c r="I977" s="2">
        <v>5</v>
      </c>
      <c r="J977" s="2">
        <v>16</v>
      </c>
      <c r="K977" s="4">
        <v>0.31229412711706517</v>
      </c>
      <c r="L977" s="14">
        <v>-0.17016396338735065</v>
      </c>
      <c r="M977" s="4">
        <v>0.17016396338735065</v>
      </c>
      <c r="N977" s="10">
        <v>0.17</v>
      </c>
      <c r="O977" s="4">
        <v>0.92338584561545056</v>
      </c>
      <c r="P977" s="4">
        <v>-0.92</v>
      </c>
      <c r="Q977" s="3" t="s">
        <v>1617</v>
      </c>
      <c r="R977" s="3" t="s">
        <v>1627</v>
      </c>
      <c r="S977" s="3" t="s">
        <v>1628</v>
      </c>
      <c r="T977" s="3"/>
    </row>
    <row r="978" spans="1:20">
      <c r="A978" s="3" t="s">
        <v>1594</v>
      </c>
      <c r="B978" s="3" t="s">
        <v>1595</v>
      </c>
      <c r="C978" s="3" t="s">
        <v>1596</v>
      </c>
      <c r="D978" s="3" t="s">
        <v>76</v>
      </c>
      <c r="E978" s="3" t="s">
        <v>77</v>
      </c>
      <c r="F978" s="2">
        <v>1</v>
      </c>
      <c r="G978" s="4">
        <v>1.0323657649940146</v>
      </c>
      <c r="H978" s="2">
        <v>50</v>
      </c>
      <c r="I978" s="2">
        <v>5</v>
      </c>
      <c r="J978" s="2">
        <v>16</v>
      </c>
      <c r="K978" s="4">
        <v>1</v>
      </c>
      <c r="L978" s="14">
        <v>-0.2169058393912037</v>
      </c>
      <c r="M978" s="4">
        <v>0.2169058393912037</v>
      </c>
      <c r="N978" s="10">
        <v>0.217</v>
      </c>
      <c r="O978" s="4">
        <v>1.1843919697969227</v>
      </c>
      <c r="P978" s="4">
        <v>-1.18</v>
      </c>
      <c r="Q978" s="3" t="s">
        <v>1617</v>
      </c>
      <c r="R978" s="3" t="s">
        <v>1625</v>
      </c>
      <c r="S978" s="3" t="s">
        <v>1626</v>
      </c>
      <c r="T978" s="3"/>
    </row>
    <row r="979" spans="1:20">
      <c r="A979" s="3" t="s">
        <v>1600</v>
      </c>
      <c r="B979" s="3" t="s">
        <v>1609</v>
      </c>
      <c r="C979" s="3" t="s">
        <v>1596</v>
      </c>
      <c r="D979" s="3" t="s">
        <v>76</v>
      </c>
      <c r="E979" s="3" t="s">
        <v>77</v>
      </c>
      <c r="F979" s="2">
        <v>1</v>
      </c>
      <c r="G979" s="4">
        <v>1.0323657649940146</v>
      </c>
      <c r="H979" s="2">
        <v>25</v>
      </c>
      <c r="I979" s="2">
        <v>5</v>
      </c>
      <c r="J979" s="2">
        <v>1</v>
      </c>
      <c r="K979" s="11">
        <v>0.43183200208452255</v>
      </c>
      <c r="L979" s="11">
        <v>-0.2624598855173037</v>
      </c>
      <c r="M979" s="4">
        <v>0.2624598855173037</v>
      </c>
      <c r="N979" s="10">
        <v>0.26200000000000001</v>
      </c>
      <c r="O979" s="4">
        <v>1.3324377279609305</v>
      </c>
      <c r="P979" s="4">
        <v>-1.33</v>
      </c>
      <c r="Q979" s="3" t="s">
        <v>1617</v>
      </c>
      <c r="R979" s="3" t="s">
        <v>1623</v>
      </c>
      <c r="S979" s="3" t="s">
        <v>1624</v>
      </c>
      <c r="T979" s="3"/>
    </row>
    <row r="980" spans="1:20">
      <c r="A980" s="3" t="s">
        <v>1600</v>
      </c>
      <c r="B980" s="3" t="s">
        <v>1609</v>
      </c>
      <c r="C980" s="3" t="s">
        <v>1616</v>
      </c>
      <c r="D980" s="3" t="s">
        <v>76</v>
      </c>
      <c r="E980" s="3" t="s">
        <v>77</v>
      </c>
      <c r="F980" s="2">
        <v>1</v>
      </c>
      <c r="G980" s="4">
        <v>1.0323657649940146</v>
      </c>
      <c r="H980" s="2">
        <v>25</v>
      </c>
      <c r="I980" s="2">
        <v>5</v>
      </c>
      <c r="J980" s="2">
        <v>16</v>
      </c>
      <c r="K980" s="11">
        <v>1</v>
      </c>
      <c r="L980" s="11">
        <v>-0.53541567311554161</v>
      </c>
      <c r="M980" s="4">
        <v>0.53541567311554161</v>
      </c>
      <c r="N980" s="10">
        <v>0.53500000000000003</v>
      </c>
      <c r="O980" s="4">
        <v>2.9633916135768796</v>
      </c>
      <c r="P980" s="4">
        <v>-2.96</v>
      </c>
      <c r="Q980" s="3" t="s">
        <v>1617</v>
      </c>
      <c r="R980" s="3" t="s">
        <v>1623</v>
      </c>
      <c r="S980" s="3" t="s">
        <v>1624</v>
      </c>
      <c r="T980" s="3"/>
    </row>
    <row r="981" spans="1:20">
      <c r="A981" s="3" t="s">
        <v>1600</v>
      </c>
      <c r="B981" s="3" t="s">
        <v>1609</v>
      </c>
      <c r="C981" s="3" t="s">
        <v>1616</v>
      </c>
      <c r="D981" s="3" t="s">
        <v>76</v>
      </c>
      <c r="E981" s="3" t="s">
        <v>77</v>
      </c>
      <c r="F981" s="2">
        <v>1</v>
      </c>
      <c r="G981" s="4">
        <v>1.0323657649940146</v>
      </c>
      <c r="H981" s="2">
        <v>25</v>
      </c>
      <c r="I981" s="2">
        <v>5</v>
      </c>
      <c r="J981" s="2">
        <v>1</v>
      </c>
      <c r="K981" s="4">
        <v>1</v>
      </c>
      <c r="L981" s="4">
        <v>-0.541174234694488</v>
      </c>
      <c r="M981" s="4">
        <v>0.541174234694488</v>
      </c>
      <c r="N981" s="10">
        <v>0.54100000000000004</v>
      </c>
      <c r="O981" s="4">
        <v>3.0035906065029718</v>
      </c>
      <c r="P981" s="4">
        <v>-3</v>
      </c>
      <c r="Q981" s="3" t="s">
        <v>1617</v>
      </c>
      <c r="R981" s="3" t="s">
        <v>1623</v>
      </c>
      <c r="S981" s="3" t="s">
        <v>1624</v>
      </c>
      <c r="T981" s="3"/>
    </row>
    <row r="982" spans="1:20">
      <c r="A982" s="3" t="s">
        <v>1604</v>
      </c>
      <c r="B982" s="3" t="s">
        <v>1601</v>
      </c>
      <c r="C982" s="3" t="s">
        <v>1616</v>
      </c>
      <c r="D982" s="3" t="s">
        <v>504</v>
      </c>
      <c r="E982" s="3" t="s">
        <v>505</v>
      </c>
      <c r="F982" s="2">
        <v>1</v>
      </c>
      <c r="G982" s="4">
        <v>1.0323740218749313</v>
      </c>
      <c r="H982" s="2">
        <v>25</v>
      </c>
      <c r="I982" s="2">
        <v>30</v>
      </c>
      <c r="J982" s="2">
        <v>16</v>
      </c>
      <c r="K982" s="4">
        <v>0.59498749969104592</v>
      </c>
      <c r="L982" s="4">
        <v>0.7613824858415843</v>
      </c>
      <c r="M982" s="4">
        <v>0.7613824858415843</v>
      </c>
      <c r="N982" s="10">
        <v>0.76100000000000001</v>
      </c>
      <c r="O982" s="4">
        <v>4.9554384727166942</v>
      </c>
      <c r="P982" s="4">
        <v>4.95</v>
      </c>
      <c r="Q982" s="3" t="s">
        <v>1597</v>
      </c>
      <c r="R982" s="3" t="s">
        <v>1602</v>
      </c>
      <c r="S982" s="3" t="s">
        <v>1603</v>
      </c>
      <c r="T982" s="3"/>
    </row>
    <row r="983" spans="1:20">
      <c r="A983" s="3" t="s">
        <v>1600</v>
      </c>
      <c r="B983" s="3" t="s">
        <v>1601</v>
      </c>
      <c r="C983" s="3" t="s">
        <v>1616</v>
      </c>
      <c r="D983" s="3" t="s">
        <v>504</v>
      </c>
      <c r="E983" s="3" t="s">
        <v>505</v>
      </c>
      <c r="F983" s="2">
        <v>1</v>
      </c>
      <c r="G983" s="4">
        <v>1.0323740218749313</v>
      </c>
      <c r="H983" s="2">
        <v>25</v>
      </c>
      <c r="I983" s="2">
        <v>5</v>
      </c>
      <c r="J983" s="2">
        <v>1</v>
      </c>
      <c r="K983" s="4">
        <v>2.9179752450210983E-2</v>
      </c>
      <c r="L983" s="4">
        <v>0.67587109642834886</v>
      </c>
      <c r="M983" s="4">
        <v>0.67587109642834886</v>
      </c>
      <c r="N983" s="10">
        <v>0.67600000000000005</v>
      </c>
      <c r="O983" s="4">
        <v>4.0728135231525568</v>
      </c>
      <c r="P983" s="4">
        <v>4.07</v>
      </c>
      <c r="Q983" s="3" t="s">
        <v>1597</v>
      </c>
      <c r="R983" s="3" t="s">
        <v>1602</v>
      </c>
      <c r="S983" s="3" t="s">
        <v>1603</v>
      </c>
      <c r="T983" s="3"/>
    </row>
    <row r="984" spans="1:20">
      <c r="A984" s="3" t="s">
        <v>1600</v>
      </c>
      <c r="B984" s="3" t="s">
        <v>1601</v>
      </c>
      <c r="C984" s="3" t="s">
        <v>1596</v>
      </c>
      <c r="D984" s="3" t="s">
        <v>504</v>
      </c>
      <c r="E984" s="3" t="s">
        <v>505</v>
      </c>
      <c r="F984" s="2">
        <v>1</v>
      </c>
      <c r="G984" s="4">
        <v>1.0323740218749313</v>
      </c>
      <c r="H984" s="2">
        <v>25</v>
      </c>
      <c r="I984" s="2">
        <v>5</v>
      </c>
      <c r="J984" s="2">
        <v>16</v>
      </c>
      <c r="K984" s="4">
        <v>1</v>
      </c>
      <c r="L984" s="4">
        <v>0.65170361362843698</v>
      </c>
      <c r="M984" s="4">
        <v>0.65170361362843698</v>
      </c>
      <c r="N984" s="10">
        <v>0.65200000000000002</v>
      </c>
      <c r="O984" s="4">
        <v>3.85853559357321</v>
      </c>
      <c r="P984" s="4">
        <v>3.86</v>
      </c>
      <c r="Q984" s="3" t="s">
        <v>1597</v>
      </c>
      <c r="R984" s="3" t="s">
        <v>1602</v>
      </c>
      <c r="S984" s="3" t="s">
        <v>1603</v>
      </c>
      <c r="T984" s="3"/>
    </row>
    <row r="985" spans="1:20">
      <c r="A985" s="3" t="s">
        <v>1604</v>
      </c>
      <c r="B985" s="3" t="s">
        <v>1601</v>
      </c>
      <c r="C985" s="3" t="s">
        <v>1596</v>
      </c>
      <c r="D985" s="3" t="s">
        <v>504</v>
      </c>
      <c r="E985" s="3" t="s">
        <v>505</v>
      </c>
      <c r="F985" s="2">
        <v>1</v>
      </c>
      <c r="G985" s="4">
        <v>1.0323740218749313</v>
      </c>
      <c r="H985" s="2">
        <v>25</v>
      </c>
      <c r="I985" s="2">
        <v>30</v>
      </c>
      <c r="J985" s="2">
        <v>16</v>
      </c>
      <c r="K985" s="4">
        <v>0.99572105561540858</v>
      </c>
      <c r="L985" s="4">
        <v>0.65112649194670114</v>
      </c>
      <c r="M985" s="4">
        <v>0.65112649194670114</v>
      </c>
      <c r="N985" s="10">
        <v>0.65100000000000002</v>
      </c>
      <c r="O985" s="4">
        <v>3.8535650538141351</v>
      </c>
      <c r="P985" s="4">
        <v>3.85</v>
      </c>
      <c r="Q985" s="3" t="s">
        <v>1597</v>
      </c>
      <c r="R985" s="3" t="s">
        <v>1602</v>
      </c>
      <c r="S985" s="3" t="s">
        <v>1603</v>
      </c>
      <c r="T985" s="3"/>
    </row>
    <row r="986" spans="1:20">
      <c r="A986" s="12" t="s">
        <v>1605</v>
      </c>
      <c r="B986" s="3" t="s">
        <v>1601</v>
      </c>
      <c r="C986" s="3" t="s">
        <v>1596</v>
      </c>
      <c r="D986" s="3" t="s">
        <v>504</v>
      </c>
      <c r="E986" s="3" t="s">
        <v>505</v>
      </c>
      <c r="F986" s="2">
        <v>1</v>
      </c>
      <c r="G986" s="4">
        <v>1.0323740218749313</v>
      </c>
      <c r="H986" s="2">
        <v>25</v>
      </c>
      <c r="I986" s="2">
        <v>5</v>
      </c>
      <c r="J986" s="2">
        <v>16</v>
      </c>
      <c r="K986" s="11">
        <v>0.49917416037215445</v>
      </c>
      <c r="L986" s="11">
        <v>0.59051001053556784</v>
      </c>
      <c r="M986" s="4">
        <v>0.59051001053556784</v>
      </c>
      <c r="N986" s="10">
        <v>0.59099999999999997</v>
      </c>
      <c r="O986" s="4">
        <v>3.3637058379361591</v>
      </c>
      <c r="P986" s="4">
        <v>3.37</v>
      </c>
      <c r="Q986" s="3" t="s">
        <v>1597</v>
      </c>
      <c r="R986" s="3" t="s">
        <v>1602</v>
      </c>
      <c r="S986" s="3" t="s">
        <v>1603</v>
      </c>
      <c r="T986" s="3"/>
    </row>
    <row r="987" spans="1:20">
      <c r="A987" s="3" t="s">
        <v>1594</v>
      </c>
      <c r="B987" s="3" t="s">
        <v>1595</v>
      </c>
      <c r="C987" s="3" t="s">
        <v>1596</v>
      </c>
      <c r="D987" s="3" t="s">
        <v>504</v>
      </c>
      <c r="E987" s="3" t="s">
        <v>505</v>
      </c>
      <c r="F987" s="2">
        <v>1</v>
      </c>
      <c r="G987" s="4">
        <v>1.0323740218749313</v>
      </c>
      <c r="H987" s="2">
        <v>50</v>
      </c>
      <c r="I987" s="2">
        <v>5</v>
      </c>
      <c r="J987" s="2">
        <v>16</v>
      </c>
      <c r="K987" s="4">
        <v>1</v>
      </c>
      <c r="L987" s="14">
        <v>0.58567571320371636</v>
      </c>
      <c r="M987" s="4">
        <v>0.58567571320371636</v>
      </c>
      <c r="N987" s="10">
        <v>0.58599999999999997</v>
      </c>
      <c r="O987" s="4">
        <v>3.6060409753756342</v>
      </c>
      <c r="P987" s="4">
        <v>3.61</v>
      </c>
      <c r="Q987" s="3" t="s">
        <v>1597</v>
      </c>
      <c r="R987" s="3" t="s">
        <v>1598</v>
      </c>
      <c r="S987" s="3" t="s">
        <v>1599</v>
      </c>
      <c r="T987" s="3"/>
    </row>
    <row r="988" spans="1:20">
      <c r="A988" s="3" t="s">
        <v>1600</v>
      </c>
      <c r="B988" s="3" t="s">
        <v>1601</v>
      </c>
      <c r="C988" s="3" t="s">
        <v>1616</v>
      </c>
      <c r="D988" s="3" t="s">
        <v>504</v>
      </c>
      <c r="E988" s="3" t="s">
        <v>505</v>
      </c>
      <c r="F988" s="2">
        <v>1</v>
      </c>
      <c r="G988" s="4">
        <v>1.0323740218749313</v>
      </c>
      <c r="H988" s="2">
        <v>25</v>
      </c>
      <c r="I988" s="2">
        <v>5</v>
      </c>
      <c r="J988" s="2">
        <v>16</v>
      </c>
      <c r="K988" s="4">
        <v>0.1972069994555814</v>
      </c>
      <c r="L988" s="4">
        <v>0.56717200083181096</v>
      </c>
      <c r="M988" s="4">
        <v>0.56717200083181096</v>
      </c>
      <c r="N988" s="10">
        <v>0.56699999999999995</v>
      </c>
      <c r="O988" s="4">
        <v>3.1896575674814756</v>
      </c>
      <c r="P988" s="4">
        <v>3.19</v>
      </c>
      <c r="Q988" s="3" t="s">
        <v>1597</v>
      </c>
      <c r="R988" s="3" t="s">
        <v>1602</v>
      </c>
      <c r="S988" s="3" t="s">
        <v>1603</v>
      </c>
      <c r="T988" s="3"/>
    </row>
    <row r="989" spans="1:20">
      <c r="A989" s="3" t="s">
        <v>1600</v>
      </c>
      <c r="B989" s="3" t="s">
        <v>1601</v>
      </c>
      <c r="C989" s="3" t="s">
        <v>1596</v>
      </c>
      <c r="D989" s="3" t="s">
        <v>504</v>
      </c>
      <c r="E989" s="3" t="s">
        <v>505</v>
      </c>
      <c r="F989" s="2">
        <v>1</v>
      </c>
      <c r="G989" s="4">
        <v>1.0323740218749313</v>
      </c>
      <c r="H989" s="2">
        <v>25</v>
      </c>
      <c r="I989" s="2">
        <v>5</v>
      </c>
      <c r="J989" s="2">
        <v>1</v>
      </c>
      <c r="K989" s="4">
        <v>3.0044294824861151E-2</v>
      </c>
      <c r="L989" s="4">
        <v>0.55643407788100419</v>
      </c>
      <c r="M989" s="4">
        <v>0.55643407788100419</v>
      </c>
      <c r="N989" s="10">
        <v>0.55600000000000005</v>
      </c>
      <c r="O989" s="4">
        <v>3.111864131730687</v>
      </c>
      <c r="P989" s="4">
        <v>3.11</v>
      </c>
      <c r="Q989" s="3" t="s">
        <v>1597</v>
      </c>
      <c r="R989" s="3" t="s">
        <v>1602</v>
      </c>
      <c r="S989" s="3" t="s">
        <v>1603</v>
      </c>
      <c r="T989" s="3"/>
    </row>
    <row r="990" spans="1:20">
      <c r="A990" s="3" t="s">
        <v>1600</v>
      </c>
      <c r="B990" s="3" t="s">
        <v>1606</v>
      </c>
      <c r="C990" s="3" t="s">
        <v>1616</v>
      </c>
      <c r="D990" s="3" t="s">
        <v>504</v>
      </c>
      <c r="E990" s="3" t="s">
        <v>505</v>
      </c>
      <c r="F990" s="2">
        <v>1</v>
      </c>
      <c r="G990" s="4">
        <v>1.0323740218749313</v>
      </c>
      <c r="H990" s="2">
        <v>25</v>
      </c>
      <c r="I990" s="2">
        <v>5</v>
      </c>
      <c r="J990" s="2">
        <v>1</v>
      </c>
      <c r="K990" s="4">
        <v>0</v>
      </c>
      <c r="L990" s="4">
        <v>0</v>
      </c>
      <c r="M990" s="4">
        <v>0</v>
      </c>
      <c r="N990" s="10">
        <v>0</v>
      </c>
      <c r="O990" s="4">
        <v>0</v>
      </c>
      <c r="P990" s="4">
        <v>0</v>
      </c>
      <c r="Q990" s="3" t="s">
        <v>1617</v>
      </c>
      <c r="R990" s="3" t="s">
        <v>1621</v>
      </c>
      <c r="S990" s="3" t="s">
        <v>1622</v>
      </c>
      <c r="T990" s="3"/>
    </row>
    <row r="991" spans="1:20">
      <c r="A991" s="3" t="s">
        <v>1600</v>
      </c>
      <c r="B991" s="3" t="s">
        <v>1606</v>
      </c>
      <c r="C991" s="3" t="s">
        <v>1616</v>
      </c>
      <c r="D991" s="3" t="s">
        <v>504</v>
      </c>
      <c r="E991" s="3" t="s">
        <v>505</v>
      </c>
      <c r="F991" s="2">
        <v>1</v>
      </c>
      <c r="G991" s="4">
        <v>1.0323740218749313</v>
      </c>
      <c r="H991" s="2">
        <v>25</v>
      </c>
      <c r="I991" s="2">
        <v>5</v>
      </c>
      <c r="J991" s="2">
        <v>16</v>
      </c>
      <c r="K991" s="11">
        <v>0</v>
      </c>
      <c r="L991" s="11">
        <v>0</v>
      </c>
      <c r="M991" s="4">
        <v>0</v>
      </c>
      <c r="N991" s="10">
        <v>0</v>
      </c>
      <c r="O991" s="4">
        <v>0</v>
      </c>
      <c r="P991" s="4">
        <v>0</v>
      </c>
      <c r="Q991" s="3" t="s">
        <v>1617</v>
      </c>
      <c r="R991" s="3" t="s">
        <v>1621</v>
      </c>
      <c r="S991" s="3" t="s">
        <v>1622</v>
      </c>
      <c r="T991" s="3"/>
    </row>
    <row r="992" spans="1:20">
      <c r="A992" s="3" t="s">
        <v>1600</v>
      </c>
      <c r="B992" s="3" t="s">
        <v>1609</v>
      </c>
      <c r="C992" s="3" t="s">
        <v>1616</v>
      </c>
      <c r="D992" s="3" t="s">
        <v>504</v>
      </c>
      <c r="E992" s="3" t="s">
        <v>505</v>
      </c>
      <c r="F992" s="2">
        <v>1</v>
      </c>
      <c r="G992" s="4">
        <v>1.0323740218749313</v>
      </c>
      <c r="H992" s="2">
        <v>25</v>
      </c>
      <c r="I992" s="2">
        <v>5</v>
      </c>
      <c r="J992" s="2">
        <v>1</v>
      </c>
      <c r="K992" s="4">
        <v>0</v>
      </c>
      <c r="L992" s="4">
        <v>0</v>
      </c>
      <c r="M992" s="4">
        <v>0</v>
      </c>
      <c r="N992" s="10">
        <v>0</v>
      </c>
      <c r="O992" s="4">
        <v>0</v>
      </c>
      <c r="P992" s="4">
        <v>0</v>
      </c>
      <c r="Q992" s="3" t="s">
        <v>1617</v>
      </c>
      <c r="R992" s="3" t="s">
        <v>1623</v>
      </c>
      <c r="S992" s="3" t="s">
        <v>1624</v>
      </c>
      <c r="T992" s="3"/>
    </row>
    <row r="993" spans="1:20">
      <c r="A993" s="3" t="s">
        <v>1600</v>
      </c>
      <c r="B993" s="3" t="s">
        <v>1606</v>
      </c>
      <c r="C993" s="3" t="s">
        <v>1596</v>
      </c>
      <c r="D993" s="3" t="s">
        <v>504</v>
      </c>
      <c r="E993" s="3" t="s">
        <v>505</v>
      </c>
      <c r="F993" s="2">
        <v>1</v>
      </c>
      <c r="G993" s="4">
        <v>1.0323740218749313</v>
      </c>
      <c r="H993" s="2">
        <v>25</v>
      </c>
      <c r="I993" s="2">
        <v>5</v>
      </c>
      <c r="J993" s="2">
        <v>16</v>
      </c>
      <c r="K993" s="11">
        <v>0.4654160932860143</v>
      </c>
      <c r="L993" s="11">
        <v>-0.14923469387755103</v>
      </c>
      <c r="M993" s="4">
        <v>0.14923469387755103</v>
      </c>
      <c r="N993" s="10">
        <v>0.14899999999999999</v>
      </c>
      <c r="O993" s="4">
        <v>0.74546343952462668</v>
      </c>
      <c r="P993" s="4">
        <v>-0.74</v>
      </c>
      <c r="Q993" s="3" t="s">
        <v>1617</v>
      </c>
      <c r="R993" s="3" t="s">
        <v>1621</v>
      </c>
      <c r="S993" s="3" t="s">
        <v>1622</v>
      </c>
      <c r="T993" s="3"/>
    </row>
    <row r="994" spans="1:20">
      <c r="A994" s="3" t="s">
        <v>1600</v>
      </c>
      <c r="B994" s="3" t="s">
        <v>1609</v>
      </c>
      <c r="C994" s="3" t="s">
        <v>1616</v>
      </c>
      <c r="D994" s="3" t="s">
        <v>504</v>
      </c>
      <c r="E994" s="3" t="s">
        <v>505</v>
      </c>
      <c r="F994" s="2">
        <v>1</v>
      </c>
      <c r="G994" s="4">
        <v>1.0323740218749313</v>
      </c>
      <c r="H994" s="2">
        <v>25</v>
      </c>
      <c r="I994" s="2">
        <v>5</v>
      </c>
      <c r="J994" s="2">
        <v>16</v>
      </c>
      <c r="K994" s="11">
        <v>1.5587682342716458E-2</v>
      </c>
      <c r="L994" s="11">
        <v>-0.48120405049243997</v>
      </c>
      <c r="M994" s="4">
        <v>0.48120405049243997</v>
      </c>
      <c r="N994" s="10">
        <v>0.48099999999999998</v>
      </c>
      <c r="O994" s="4">
        <v>2.6006853603116542</v>
      </c>
      <c r="P994" s="4">
        <v>-2.6</v>
      </c>
      <c r="Q994" s="3" t="s">
        <v>1617</v>
      </c>
      <c r="R994" s="3" t="s">
        <v>1623</v>
      </c>
      <c r="S994" s="3" t="s">
        <v>1624</v>
      </c>
      <c r="T994" s="3"/>
    </row>
    <row r="995" spans="1:20">
      <c r="A995" s="3" t="s">
        <v>1594</v>
      </c>
      <c r="B995" s="3" t="s">
        <v>1612</v>
      </c>
      <c r="C995" s="3" t="s">
        <v>1596</v>
      </c>
      <c r="D995" s="3" t="s">
        <v>504</v>
      </c>
      <c r="E995" s="3" t="s">
        <v>505</v>
      </c>
      <c r="F995" s="2">
        <v>1</v>
      </c>
      <c r="G995" s="4">
        <v>1.0323740218749313</v>
      </c>
      <c r="H995" s="2">
        <v>50</v>
      </c>
      <c r="I995" s="2">
        <v>5</v>
      </c>
      <c r="J995" s="2">
        <v>16</v>
      </c>
      <c r="K995" s="4">
        <v>1</v>
      </c>
      <c r="L995" s="14">
        <v>-0.79312146082130952</v>
      </c>
      <c r="M995" s="4">
        <v>0.79312146082130952</v>
      </c>
      <c r="N995" s="10">
        <v>0.79300000000000004</v>
      </c>
      <c r="O995" s="4">
        <v>5.8024294410225812</v>
      </c>
      <c r="P995" s="4">
        <v>-5.8</v>
      </c>
      <c r="Q995" s="3" t="s">
        <v>1617</v>
      </c>
      <c r="R995" s="3" t="s">
        <v>1627</v>
      </c>
      <c r="S995" s="3" t="s">
        <v>1628</v>
      </c>
      <c r="T995" s="3"/>
    </row>
    <row r="996" spans="1:20">
      <c r="A996" s="3" t="s">
        <v>1600</v>
      </c>
      <c r="B996" s="3" t="s">
        <v>1609</v>
      </c>
      <c r="C996" s="3" t="s">
        <v>1596</v>
      </c>
      <c r="D996" s="3" t="s">
        <v>504</v>
      </c>
      <c r="E996" s="3" t="s">
        <v>505</v>
      </c>
      <c r="F996" s="2">
        <v>1</v>
      </c>
      <c r="G996" s="4">
        <v>1.0323740218749313</v>
      </c>
      <c r="H996" s="2">
        <v>25</v>
      </c>
      <c r="I996" s="2">
        <v>5</v>
      </c>
      <c r="J996" s="2">
        <v>1</v>
      </c>
      <c r="K996" s="11">
        <v>0.30560899348406534</v>
      </c>
      <c r="L996" s="11">
        <v>-0.85917121392796214</v>
      </c>
      <c r="M996" s="4">
        <v>0.85917121392796214</v>
      </c>
      <c r="N996" s="10">
        <v>0.85899999999999999</v>
      </c>
      <c r="O996" s="4">
        <v>6.3965837504780101</v>
      </c>
      <c r="P996" s="4">
        <v>-6.39</v>
      </c>
      <c r="Q996" s="3" t="s">
        <v>1617</v>
      </c>
      <c r="R996" s="3" t="s">
        <v>1623</v>
      </c>
      <c r="S996" s="3" t="s">
        <v>1624</v>
      </c>
      <c r="T996" s="3"/>
    </row>
    <row r="997" spans="1:20">
      <c r="A997" s="3" t="s">
        <v>1600</v>
      </c>
      <c r="B997" s="3" t="s">
        <v>1609</v>
      </c>
      <c r="C997" s="3" t="s">
        <v>1596</v>
      </c>
      <c r="D997" s="3" t="s">
        <v>504</v>
      </c>
      <c r="E997" s="3" t="s">
        <v>505</v>
      </c>
      <c r="F997" s="2">
        <v>1</v>
      </c>
      <c r="G997" s="4">
        <v>1.0323740218749313</v>
      </c>
      <c r="H997" s="2">
        <v>25</v>
      </c>
      <c r="I997" s="2">
        <v>5</v>
      </c>
      <c r="J997" s="2">
        <v>16</v>
      </c>
      <c r="K997" s="4">
        <v>0.87507136166457755</v>
      </c>
      <c r="L997" s="4">
        <v>-0.95493001241917186</v>
      </c>
      <c r="M997" s="4">
        <v>0.95493001241917186</v>
      </c>
      <c r="N997" s="10">
        <v>0.95499999999999996</v>
      </c>
      <c r="O997" s="4">
        <v>9.3454450462008154</v>
      </c>
      <c r="P997" s="4">
        <v>-9.35</v>
      </c>
      <c r="Q997" s="3" t="s">
        <v>1617</v>
      </c>
      <c r="R997" s="3" t="s">
        <v>1623</v>
      </c>
      <c r="S997" s="3" t="s">
        <v>1624</v>
      </c>
      <c r="T997" s="3"/>
    </row>
    <row r="998" spans="1:20">
      <c r="A998" s="3" t="s">
        <v>1600</v>
      </c>
      <c r="B998" s="3" t="s">
        <v>1606</v>
      </c>
      <c r="C998" s="3" t="s">
        <v>1596</v>
      </c>
      <c r="D998" s="3" t="s">
        <v>504</v>
      </c>
      <c r="E998" s="3" t="s">
        <v>505</v>
      </c>
      <c r="F998" s="2">
        <v>1</v>
      </c>
      <c r="G998" s="4">
        <v>1.0323740218749313</v>
      </c>
      <c r="H998" s="2">
        <v>25</v>
      </c>
      <c r="I998" s="2">
        <v>5</v>
      </c>
      <c r="J998" s="2">
        <v>1</v>
      </c>
      <c r="K998" s="11">
        <v>4.789227761657211E-2</v>
      </c>
      <c r="L998" s="11">
        <v>-1</v>
      </c>
      <c r="M998" s="4">
        <v>1</v>
      </c>
      <c r="N998" s="10">
        <v>0.995</v>
      </c>
      <c r="O998" s="4">
        <v>14.85</v>
      </c>
      <c r="P998" s="4">
        <v>-14.85</v>
      </c>
      <c r="Q998" s="3" t="s">
        <v>1617</v>
      </c>
      <c r="R998" s="3" t="s">
        <v>1621</v>
      </c>
      <c r="S998" s="3" t="s">
        <v>1622</v>
      </c>
      <c r="T998" s="3"/>
    </row>
    <row r="999" spans="1:20">
      <c r="A999" s="3" t="s">
        <v>1600</v>
      </c>
      <c r="B999" s="3" t="s">
        <v>1606</v>
      </c>
      <c r="C999" s="3" t="s">
        <v>1616</v>
      </c>
      <c r="D999" s="3" t="s">
        <v>1465</v>
      </c>
      <c r="E999" s="3" t="s">
        <v>1466</v>
      </c>
      <c r="F999" s="2">
        <v>1</v>
      </c>
      <c r="G999" s="4">
        <v>1.0330155407404036</v>
      </c>
      <c r="H999" s="2">
        <v>25</v>
      </c>
      <c r="I999" s="2">
        <v>5</v>
      </c>
      <c r="J999" s="2">
        <v>16</v>
      </c>
      <c r="K999" s="4">
        <v>3.6036948955688319E-2</v>
      </c>
      <c r="L999" s="4">
        <v>1</v>
      </c>
      <c r="M999" s="4">
        <v>1</v>
      </c>
      <c r="N999" s="10">
        <v>0.995</v>
      </c>
      <c r="O999" s="4">
        <v>14.85</v>
      </c>
      <c r="P999" s="4">
        <v>14.85</v>
      </c>
      <c r="Q999" s="3" t="s">
        <v>1597</v>
      </c>
      <c r="R999" s="3" t="s">
        <v>1607</v>
      </c>
      <c r="S999" s="3" t="s">
        <v>1608</v>
      </c>
      <c r="T999" s="3"/>
    </row>
    <row r="1000" spans="1:20">
      <c r="A1000" s="3" t="s">
        <v>1600</v>
      </c>
      <c r="B1000" s="3" t="s">
        <v>1601</v>
      </c>
      <c r="C1000" s="3" t="s">
        <v>1616</v>
      </c>
      <c r="D1000" s="3" t="s">
        <v>1465</v>
      </c>
      <c r="E1000" s="3" t="s">
        <v>1466</v>
      </c>
      <c r="F1000" s="2">
        <v>1</v>
      </c>
      <c r="G1000" s="4">
        <v>1.0330155407404036</v>
      </c>
      <c r="H1000" s="2">
        <v>25</v>
      </c>
      <c r="I1000" s="2">
        <v>5</v>
      </c>
      <c r="J1000" s="2">
        <v>16</v>
      </c>
      <c r="K1000" s="4">
        <v>0.17292990580412648</v>
      </c>
      <c r="L1000" s="4">
        <v>0.44636566611580658</v>
      </c>
      <c r="M1000" s="4">
        <v>0.44636566611580658</v>
      </c>
      <c r="N1000" s="10">
        <v>0.44600000000000001</v>
      </c>
      <c r="O1000" s="4">
        <v>2.380565112367317</v>
      </c>
      <c r="P1000" s="4">
        <v>2.38</v>
      </c>
      <c r="Q1000" s="3" t="s">
        <v>1597</v>
      </c>
      <c r="R1000" s="3" t="s">
        <v>1602</v>
      </c>
      <c r="S1000" s="3" t="s">
        <v>1603</v>
      </c>
      <c r="T1000" s="3"/>
    </row>
    <row r="1001" spans="1:20">
      <c r="A1001" s="3" t="s">
        <v>1604</v>
      </c>
      <c r="B1001" s="3" t="s">
        <v>1601</v>
      </c>
      <c r="C1001" s="3" t="s">
        <v>1616</v>
      </c>
      <c r="D1001" s="3" t="s">
        <v>1465</v>
      </c>
      <c r="E1001" s="3" t="s">
        <v>1466</v>
      </c>
      <c r="F1001" s="2">
        <v>1</v>
      </c>
      <c r="G1001" s="4">
        <v>1.0330155407404036</v>
      </c>
      <c r="H1001" s="2">
        <v>25</v>
      </c>
      <c r="I1001" s="2">
        <v>30</v>
      </c>
      <c r="J1001" s="2">
        <v>16</v>
      </c>
      <c r="K1001" s="4">
        <v>0.48910530008158715</v>
      </c>
      <c r="L1001" s="4">
        <v>0.42898125274875948</v>
      </c>
      <c r="M1001" s="4">
        <v>0.42898125274875948</v>
      </c>
      <c r="N1001" s="10">
        <v>0.42899999999999999</v>
      </c>
      <c r="O1001" s="4">
        <v>2.2739451549051894</v>
      </c>
      <c r="P1001" s="4">
        <v>2.27</v>
      </c>
      <c r="Q1001" s="3" t="s">
        <v>1597</v>
      </c>
      <c r="R1001" s="3" t="s">
        <v>1602</v>
      </c>
      <c r="S1001" s="3" t="s">
        <v>1603</v>
      </c>
      <c r="T1001" s="3"/>
    </row>
    <row r="1002" spans="1:20">
      <c r="A1002" s="3" t="s">
        <v>1600</v>
      </c>
      <c r="B1002" s="3" t="s">
        <v>1609</v>
      </c>
      <c r="C1002" s="3" t="s">
        <v>1616</v>
      </c>
      <c r="D1002" s="3" t="s">
        <v>1465</v>
      </c>
      <c r="E1002" s="3" t="s">
        <v>1466</v>
      </c>
      <c r="F1002" s="2">
        <v>1</v>
      </c>
      <c r="G1002" s="4">
        <v>1.0330155407404036</v>
      </c>
      <c r="H1002" s="2">
        <v>25</v>
      </c>
      <c r="I1002" s="2">
        <v>5</v>
      </c>
      <c r="J1002" s="2">
        <v>16</v>
      </c>
      <c r="K1002" s="4">
        <v>0.29540286999951804</v>
      </c>
      <c r="L1002" s="4">
        <v>0.34974810882336527</v>
      </c>
      <c r="M1002" s="4">
        <v>0.34974810882336527</v>
      </c>
      <c r="N1002" s="10">
        <v>0.35</v>
      </c>
      <c r="O1002" s="4">
        <v>1.8104238133586887</v>
      </c>
      <c r="P1002" s="4">
        <v>1.81</v>
      </c>
      <c r="Q1002" s="3" t="s">
        <v>1597</v>
      </c>
      <c r="R1002" s="3" t="s">
        <v>1610</v>
      </c>
      <c r="S1002" s="3" t="s">
        <v>1611</v>
      </c>
      <c r="T1002" s="3"/>
    </row>
    <row r="1003" spans="1:20">
      <c r="A1003" s="3" t="s">
        <v>1600</v>
      </c>
      <c r="B1003" s="3" t="s">
        <v>1609</v>
      </c>
      <c r="C1003" s="3" t="s">
        <v>1616</v>
      </c>
      <c r="D1003" s="3" t="s">
        <v>1465</v>
      </c>
      <c r="E1003" s="3" t="s">
        <v>1466</v>
      </c>
      <c r="F1003" s="2">
        <v>1</v>
      </c>
      <c r="G1003" s="4">
        <v>1.0330155407404036</v>
      </c>
      <c r="H1003" s="2">
        <v>25</v>
      </c>
      <c r="I1003" s="2">
        <v>5</v>
      </c>
      <c r="J1003" s="2">
        <v>1</v>
      </c>
      <c r="K1003" s="4">
        <v>3.088086533611456E-2</v>
      </c>
      <c r="L1003" s="4">
        <v>0.28261655222262377</v>
      </c>
      <c r="M1003" s="4">
        <v>0.28261655222262377</v>
      </c>
      <c r="N1003" s="10">
        <v>0.28299999999999997</v>
      </c>
      <c r="O1003" s="4">
        <v>1.4403969208434984</v>
      </c>
      <c r="P1003" s="4">
        <v>1.44</v>
      </c>
      <c r="Q1003" s="3" t="s">
        <v>1597</v>
      </c>
      <c r="R1003" s="3" t="s">
        <v>1610</v>
      </c>
      <c r="S1003" s="3" t="s">
        <v>1611</v>
      </c>
      <c r="T1003" s="3"/>
    </row>
    <row r="1004" spans="1:20">
      <c r="A1004" s="3" t="s">
        <v>1600</v>
      </c>
      <c r="B1004" s="3" t="s">
        <v>1609</v>
      </c>
      <c r="C1004" s="3" t="s">
        <v>1596</v>
      </c>
      <c r="D1004" s="3" t="s">
        <v>1465</v>
      </c>
      <c r="E1004" s="3" t="s">
        <v>1466</v>
      </c>
      <c r="F1004" s="2">
        <v>1</v>
      </c>
      <c r="G1004" s="4">
        <v>1.0330155407404036</v>
      </c>
      <c r="H1004" s="2">
        <v>25</v>
      </c>
      <c r="I1004" s="2">
        <v>5</v>
      </c>
      <c r="J1004" s="2">
        <v>16</v>
      </c>
      <c r="K1004" s="4">
        <v>0.18658419821816974</v>
      </c>
      <c r="L1004" s="4">
        <v>0.16163056737287365</v>
      </c>
      <c r="M1004" s="4">
        <v>0.16163056737287365</v>
      </c>
      <c r="N1004" s="10">
        <v>0.16200000000000001</v>
      </c>
      <c r="O1004" s="4">
        <v>0.80844384020563165</v>
      </c>
      <c r="P1004" s="4">
        <v>0.81</v>
      </c>
      <c r="Q1004" s="3" t="s">
        <v>1597</v>
      </c>
      <c r="R1004" s="3" t="s">
        <v>1610</v>
      </c>
      <c r="S1004" s="3" t="s">
        <v>1611</v>
      </c>
      <c r="T1004" s="3"/>
    </row>
    <row r="1005" spans="1:20">
      <c r="A1005" s="3" t="s">
        <v>1605</v>
      </c>
      <c r="B1005" s="3" t="s">
        <v>1601</v>
      </c>
      <c r="C1005" s="3" t="s">
        <v>1596</v>
      </c>
      <c r="D1005" s="3" t="s">
        <v>1465</v>
      </c>
      <c r="E1005" s="3" t="s">
        <v>1466</v>
      </c>
      <c r="F1005" s="2">
        <v>1</v>
      </c>
      <c r="G1005" s="4">
        <v>1.0330155407404036</v>
      </c>
      <c r="H1005" s="2">
        <v>25</v>
      </c>
      <c r="I1005" s="2">
        <v>5</v>
      </c>
      <c r="J1005" s="2">
        <v>16</v>
      </c>
      <c r="K1005" s="4">
        <v>0.16695308389395824</v>
      </c>
      <c r="L1005" s="4">
        <v>0.15850185170737599</v>
      </c>
      <c r="M1005" s="4">
        <v>0.15850185170737599</v>
      </c>
      <c r="N1005" s="10">
        <v>0.159</v>
      </c>
      <c r="O1005" s="4">
        <v>0.79252396659710034</v>
      </c>
      <c r="P1005" s="4">
        <v>0.8</v>
      </c>
      <c r="Q1005" s="3" t="s">
        <v>1597</v>
      </c>
      <c r="R1005" s="3" t="s">
        <v>1602</v>
      </c>
      <c r="S1005" s="3" t="s">
        <v>1603</v>
      </c>
      <c r="T1005" s="3"/>
    </row>
    <row r="1006" spans="1:20">
      <c r="A1006" s="3" t="s">
        <v>1604</v>
      </c>
      <c r="B1006" s="3" t="s">
        <v>1601</v>
      </c>
      <c r="C1006" s="3" t="s">
        <v>1596</v>
      </c>
      <c r="D1006" s="3" t="s">
        <v>1465</v>
      </c>
      <c r="E1006" s="3" t="s">
        <v>1466</v>
      </c>
      <c r="F1006" s="2">
        <v>1</v>
      </c>
      <c r="G1006" s="4">
        <v>1.0330155407404036</v>
      </c>
      <c r="H1006" s="2">
        <v>25</v>
      </c>
      <c r="I1006" s="2">
        <v>30</v>
      </c>
      <c r="J1006" s="2">
        <v>16</v>
      </c>
      <c r="K1006" s="4">
        <v>0.22830888817171258</v>
      </c>
      <c r="L1006" s="4">
        <v>0.15608584547902116</v>
      </c>
      <c r="M1006" s="4">
        <v>0.15608584547902116</v>
      </c>
      <c r="N1006" s="10">
        <v>0.156</v>
      </c>
      <c r="O1006" s="4">
        <v>0.78024167436511838</v>
      </c>
      <c r="P1006" s="4">
        <v>0.78</v>
      </c>
      <c r="Q1006" s="3" t="s">
        <v>1597</v>
      </c>
      <c r="R1006" s="3" t="s">
        <v>1602</v>
      </c>
      <c r="S1006" s="3" t="s">
        <v>1603</v>
      </c>
      <c r="T1006" s="3"/>
    </row>
    <row r="1007" spans="1:20">
      <c r="A1007" s="3" t="s">
        <v>1600</v>
      </c>
      <c r="B1007" s="3" t="s">
        <v>1601</v>
      </c>
      <c r="C1007" s="3" t="s">
        <v>1596</v>
      </c>
      <c r="D1007" s="3" t="s">
        <v>1465</v>
      </c>
      <c r="E1007" s="3" t="s">
        <v>1466</v>
      </c>
      <c r="F1007" s="2">
        <v>1</v>
      </c>
      <c r="G1007" s="4">
        <v>1.0330155407404036</v>
      </c>
      <c r="H1007" s="2">
        <v>25</v>
      </c>
      <c r="I1007" s="2">
        <v>5</v>
      </c>
      <c r="J1007" s="2">
        <v>16</v>
      </c>
      <c r="K1007" s="4">
        <v>0.1761724004667985</v>
      </c>
      <c r="L1007" s="4">
        <v>0.15489565181859924</v>
      </c>
      <c r="M1007" s="4">
        <v>0.15489565181859924</v>
      </c>
      <c r="N1007" s="10">
        <v>0.155</v>
      </c>
      <c r="O1007" s="4">
        <v>0.77419456597333836</v>
      </c>
      <c r="P1007" s="4">
        <v>0.77</v>
      </c>
      <c r="Q1007" s="3" t="s">
        <v>1597</v>
      </c>
      <c r="R1007" s="3" t="s">
        <v>1602</v>
      </c>
      <c r="S1007" s="3" t="s">
        <v>1603</v>
      </c>
      <c r="T1007" s="3"/>
    </row>
    <row r="1008" spans="1:20">
      <c r="A1008" s="3" t="s">
        <v>1594</v>
      </c>
      <c r="B1008" s="3" t="s">
        <v>1612</v>
      </c>
      <c r="C1008" s="3" t="s">
        <v>1596</v>
      </c>
      <c r="D1008" s="3" t="s">
        <v>1465</v>
      </c>
      <c r="E1008" s="3" t="s">
        <v>1466</v>
      </c>
      <c r="F1008" s="2">
        <v>1</v>
      </c>
      <c r="G1008" s="4">
        <v>1.0330155407404036</v>
      </c>
      <c r="H1008" s="2">
        <v>50</v>
      </c>
      <c r="I1008" s="2">
        <v>5</v>
      </c>
      <c r="J1008" s="2">
        <v>16</v>
      </c>
      <c r="K1008" s="4">
        <v>0.3423485777811911</v>
      </c>
      <c r="L1008" s="4">
        <v>6.907015716291498E-2</v>
      </c>
      <c r="M1008" s="4">
        <v>6.907015716291498E-2</v>
      </c>
      <c r="N1008" s="10">
        <v>6.9000000000000006E-2</v>
      </c>
      <c r="O1008" s="4">
        <v>0.37175155800663418</v>
      </c>
      <c r="P1008" s="4">
        <v>0.37</v>
      </c>
      <c r="Q1008" s="3" t="s">
        <v>1597</v>
      </c>
      <c r="R1008" s="3" t="s">
        <v>1613</v>
      </c>
      <c r="S1008" s="3" t="s">
        <v>1614</v>
      </c>
      <c r="T1008" s="3"/>
    </row>
    <row r="1009" spans="1:20">
      <c r="A1009" s="3" t="s">
        <v>1594</v>
      </c>
      <c r="B1009" s="3" t="s">
        <v>1595</v>
      </c>
      <c r="C1009" s="3" t="s">
        <v>1596</v>
      </c>
      <c r="D1009" s="3" t="s">
        <v>1465</v>
      </c>
      <c r="E1009" s="3" t="s">
        <v>1466</v>
      </c>
      <c r="F1009" s="2">
        <v>1</v>
      </c>
      <c r="G1009" s="4">
        <v>1.0330155407404036</v>
      </c>
      <c r="H1009" s="2">
        <v>50</v>
      </c>
      <c r="I1009" s="2">
        <v>5</v>
      </c>
      <c r="J1009" s="2">
        <v>16</v>
      </c>
      <c r="K1009" s="4">
        <v>0.89375893189759126</v>
      </c>
      <c r="L1009" s="4">
        <v>6.1198438484706191E-3</v>
      </c>
      <c r="M1009" s="4">
        <v>6.1198438484706191E-3</v>
      </c>
      <c r="N1009" s="10">
        <v>6.0000000000000001E-3</v>
      </c>
      <c r="O1009" s="4">
        <v>3.2886378919574369E-2</v>
      </c>
      <c r="P1009" s="4">
        <v>0.03</v>
      </c>
      <c r="Q1009" s="3" t="s">
        <v>1597</v>
      </c>
      <c r="R1009" s="3" t="s">
        <v>1598</v>
      </c>
      <c r="S1009" s="3" t="s">
        <v>1599</v>
      </c>
      <c r="T1009" s="3"/>
    </row>
    <row r="1010" spans="1:20">
      <c r="A1010" s="3" t="s">
        <v>1600</v>
      </c>
      <c r="B1010" s="3" t="s">
        <v>1601</v>
      </c>
      <c r="C1010" s="3" t="s">
        <v>1616</v>
      </c>
      <c r="D1010" s="3" t="s">
        <v>1465</v>
      </c>
      <c r="E1010" s="3" t="s">
        <v>1466</v>
      </c>
      <c r="F1010" s="2">
        <v>1</v>
      </c>
      <c r="G1010" s="4">
        <v>1.0330155407404036</v>
      </c>
      <c r="H1010" s="2">
        <v>25</v>
      </c>
      <c r="I1010" s="2">
        <v>5</v>
      </c>
      <c r="J1010" s="2">
        <v>1</v>
      </c>
      <c r="K1010" s="4">
        <v>0</v>
      </c>
      <c r="L1010" s="4">
        <v>0</v>
      </c>
      <c r="M1010" s="4">
        <v>0</v>
      </c>
      <c r="N1010" s="10">
        <v>0</v>
      </c>
      <c r="O1010" s="4">
        <v>0</v>
      </c>
      <c r="P1010" s="4">
        <v>0</v>
      </c>
      <c r="Q1010" s="3" t="s">
        <v>1617</v>
      </c>
      <c r="R1010" s="3" t="s">
        <v>1618</v>
      </c>
      <c r="S1010" s="3" t="s">
        <v>1619</v>
      </c>
      <c r="T1010" s="3"/>
    </row>
    <row r="1011" spans="1:20">
      <c r="A1011" s="3" t="s">
        <v>1600</v>
      </c>
      <c r="B1011" s="3" t="s">
        <v>1601</v>
      </c>
      <c r="C1011" s="3" t="s">
        <v>1596</v>
      </c>
      <c r="D1011" s="3" t="s">
        <v>1465</v>
      </c>
      <c r="E1011" s="3" t="s">
        <v>1466</v>
      </c>
      <c r="F1011" s="2">
        <v>1</v>
      </c>
      <c r="G1011" s="4">
        <v>1.0330155407404036</v>
      </c>
      <c r="H1011" s="2">
        <v>25</v>
      </c>
      <c r="I1011" s="2">
        <v>5</v>
      </c>
      <c r="J1011" s="2">
        <v>1</v>
      </c>
      <c r="K1011" s="4">
        <v>0</v>
      </c>
      <c r="L1011" s="4">
        <v>0</v>
      </c>
      <c r="M1011" s="4">
        <v>0</v>
      </c>
      <c r="N1011" s="10">
        <v>0</v>
      </c>
      <c r="O1011" s="4">
        <v>0</v>
      </c>
      <c r="P1011" s="4">
        <v>0</v>
      </c>
      <c r="Q1011" s="3" t="s">
        <v>1617</v>
      </c>
      <c r="R1011" s="3" t="s">
        <v>1618</v>
      </c>
      <c r="S1011" s="3" t="s">
        <v>1619</v>
      </c>
      <c r="T1011" s="3"/>
    </row>
    <row r="1012" spans="1:20">
      <c r="A1012" s="3" t="s">
        <v>1600</v>
      </c>
      <c r="B1012" s="3" t="s">
        <v>1606</v>
      </c>
      <c r="C1012" s="3" t="s">
        <v>1596</v>
      </c>
      <c r="D1012" s="3" t="s">
        <v>1465</v>
      </c>
      <c r="E1012" s="3" t="s">
        <v>1466</v>
      </c>
      <c r="F1012" s="2">
        <v>1</v>
      </c>
      <c r="G1012" s="4">
        <v>1.0330155407404036</v>
      </c>
      <c r="H1012" s="2">
        <v>25</v>
      </c>
      <c r="I1012" s="2">
        <v>5</v>
      </c>
      <c r="J1012" s="2">
        <v>1</v>
      </c>
      <c r="K1012" s="4">
        <v>0</v>
      </c>
      <c r="L1012" s="4">
        <v>0</v>
      </c>
      <c r="M1012" s="4">
        <v>0</v>
      </c>
      <c r="N1012" s="10">
        <v>0</v>
      </c>
      <c r="O1012" s="4">
        <v>0</v>
      </c>
      <c r="P1012" s="4">
        <v>0</v>
      </c>
      <c r="Q1012" s="3" t="s">
        <v>1617</v>
      </c>
      <c r="R1012" s="3" t="s">
        <v>1621</v>
      </c>
      <c r="S1012" s="3" t="s">
        <v>1622</v>
      </c>
      <c r="T1012" s="3"/>
    </row>
    <row r="1013" spans="1:20">
      <c r="A1013" s="3" t="s">
        <v>1600</v>
      </c>
      <c r="B1013" s="3" t="s">
        <v>1606</v>
      </c>
      <c r="C1013" s="3" t="s">
        <v>1596</v>
      </c>
      <c r="D1013" s="3" t="s">
        <v>1465</v>
      </c>
      <c r="E1013" s="3" t="s">
        <v>1466</v>
      </c>
      <c r="F1013" s="2">
        <v>1</v>
      </c>
      <c r="G1013" s="4">
        <v>1.0330155407404036</v>
      </c>
      <c r="H1013" s="2">
        <v>25</v>
      </c>
      <c r="I1013" s="2">
        <v>5</v>
      </c>
      <c r="J1013" s="2">
        <v>16</v>
      </c>
      <c r="K1013" s="4">
        <v>0</v>
      </c>
      <c r="L1013" s="4">
        <v>0</v>
      </c>
      <c r="M1013" s="4">
        <v>0</v>
      </c>
      <c r="N1013" s="10">
        <v>0</v>
      </c>
      <c r="O1013" s="4">
        <v>0</v>
      </c>
      <c r="P1013" s="4">
        <v>0</v>
      </c>
      <c r="Q1013" s="3" t="s">
        <v>1617</v>
      </c>
      <c r="R1013" s="3" t="s">
        <v>1621</v>
      </c>
      <c r="S1013" s="3" t="s">
        <v>1622</v>
      </c>
      <c r="T1013" s="3"/>
    </row>
    <row r="1014" spans="1:20">
      <c r="A1014" s="3" t="s">
        <v>1600</v>
      </c>
      <c r="B1014" s="3" t="s">
        <v>1606</v>
      </c>
      <c r="C1014" s="3" t="s">
        <v>1616</v>
      </c>
      <c r="D1014" s="3" t="s">
        <v>1465</v>
      </c>
      <c r="E1014" s="3" t="s">
        <v>1466</v>
      </c>
      <c r="F1014" s="2">
        <v>1</v>
      </c>
      <c r="G1014" s="4">
        <v>1.0330155407404036</v>
      </c>
      <c r="H1014" s="2">
        <v>25</v>
      </c>
      <c r="I1014" s="2">
        <v>5</v>
      </c>
      <c r="J1014" s="2">
        <v>1</v>
      </c>
      <c r="K1014" s="4">
        <v>0</v>
      </c>
      <c r="L1014" s="4">
        <v>0</v>
      </c>
      <c r="M1014" s="4">
        <v>0</v>
      </c>
      <c r="N1014" s="10">
        <v>0</v>
      </c>
      <c r="O1014" s="4">
        <v>0</v>
      </c>
      <c r="P1014" s="4">
        <v>0</v>
      </c>
      <c r="Q1014" s="3" t="s">
        <v>1617</v>
      </c>
      <c r="R1014" s="3" t="s">
        <v>1621</v>
      </c>
      <c r="S1014" s="3" t="s">
        <v>1622</v>
      </c>
      <c r="T1014" s="3"/>
    </row>
    <row r="1015" spans="1:20">
      <c r="A1015" s="3" t="s">
        <v>1594</v>
      </c>
      <c r="B1015" s="3" t="s">
        <v>1595</v>
      </c>
      <c r="C1015" s="3" t="s">
        <v>1596</v>
      </c>
      <c r="D1015" s="3" t="s">
        <v>1465</v>
      </c>
      <c r="E1015" s="3" t="s">
        <v>1466</v>
      </c>
      <c r="F1015" s="2">
        <v>1</v>
      </c>
      <c r="G1015" s="4">
        <v>1.0330155407404036</v>
      </c>
      <c r="H1015" s="2">
        <v>25</v>
      </c>
      <c r="I1015" s="2">
        <v>5</v>
      </c>
      <c r="J1015" s="2">
        <v>16</v>
      </c>
      <c r="K1015" s="4">
        <v>0.16596354277789416</v>
      </c>
      <c r="L1015" s="4">
        <v>-1.4166082286326103E-2</v>
      </c>
      <c r="M1015" s="4">
        <v>1.4166082286326103E-2</v>
      </c>
      <c r="N1015" s="10">
        <v>1.4E-2</v>
      </c>
      <c r="O1015" s="4">
        <v>7.0239233042894172E-2</v>
      </c>
      <c r="P1015" s="4">
        <v>-7.0000000000000007E-2</v>
      </c>
      <c r="Q1015" s="3" t="s">
        <v>1617</v>
      </c>
      <c r="R1015" s="3" t="s">
        <v>1625</v>
      </c>
      <c r="S1015" s="3" t="s">
        <v>1626</v>
      </c>
      <c r="T1015" s="3"/>
    </row>
    <row r="1016" spans="1:20">
      <c r="A1016" s="3" t="s">
        <v>1600</v>
      </c>
      <c r="B1016" s="3" t="s">
        <v>1609</v>
      </c>
      <c r="C1016" s="3" t="s">
        <v>1596</v>
      </c>
      <c r="D1016" s="3" t="s">
        <v>1465</v>
      </c>
      <c r="E1016" s="3" t="s">
        <v>1466</v>
      </c>
      <c r="F1016" s="2">
        <v>1</v>
      </c>
      <c r="G1016" s="4">
        <v>1.0330155407404036</v>
      </c>
      <c r="H1016" s="2">
        <v>25</v>
      </c>
      <c r="I1016" s="2">
        <v>5</v>
      </c>
      <c r="J1016" s="2">
        <v>1</v>
      </c>
      <c r="K1016" s="4">
        <v>3.5519666234822833E-2</v>
      </c>
      <c r="L1016" s="4">
        <v>-7.9779396777142977E-2</v>
      </c>
      <c r="M1016" s="4">
        <v>7.9779396777142977E-2</v>
      </c>
      <c r="N1016" s="10">
        <v>0.08</v>
      </c>
      <c r="O1016" s="4">
        <v>0.39638356442443967</v>
      </c>
      <c r="P1016" s="4">
        <v>-0.4</v>
      </c>
      <c r="Q1016" s="3" t="s">
        <v>1617</v>
      </c>
      <c r="R1016" s="3" t="s">
        <v>1623</v>
      </c>
      <c r="S1016" s="3" t="s">
        <v>1624</v>
      </c>
      <c r="T1016" s="3"/>
    </row>
    <row r="1017" spans="1:20">
      <c r="A1017" s="3" t="s">
        <v>1600</v>
      </c>
      <c r="B1017" s="3" t="s">
        <v>1601</v>
      </c>
      <c r="C1017" s="3" t="s">
        <v>1596</v>
      </c>
      <c r="D1017" s="3" t="s">
        <v>182</v>
      </c>
      <c r="E1017" s="3" t="s">
        <v>183</v>
      </c>
      <c r="F1017" s="2">
        <v>1</v>
      </c>
      <c r="G1017" s="4">
        <v>1.0331761638461445</v>
      </c>
      <c r="H1017" s="2">
        <v>25</v>
      </c>
      <c r="I1017" s="2">
        <v>5</v>
      </c>
      <c r="J1017" s="2">
        <v>16</v>
      </c>
      <c r="K1017" s="4">
        <v>1</v>
      </c>
      <c r="L1017" s="4">
        <v>0.94792336201900163</v>
      </c>
      <c r="M1017" s="4">
        <v>0.94792336201900163</v>
      </c>
      <c r="N1017" s="10">
        <v>0.94799999999999995</v>
      </c>
      <c r="O1017" s="4">
        <v>8.9783336309883275</v>
      </c>
      <c r="P1017" s="4">
        <v>8.98</v>
      </c>
      <c r="Q1017" s="3" t="s">
        <v>1597</v>
      </c>
      <c r="R1017" s="3" t="s">
        <v>1602</v>
      </c>
      <c r="S1017" s="3" t="s">
        <v>1603</v>
      </c>
      <c r="T1017" s="3"/>
    </row>
    <row r="1018" spans="1:20">
      <c r="A1018" s="3" t="s">
        <v>1600</v>
      </c>
      <c r="B1018" s="3" t="s">
        <v>1601</v>
      </c>
      <c r="C1018" s="3" t="s">
        <v>1596</v>
      </c>
      <c r="D1018" s="3" t="s">
        <v>182</v>
      </c>
      <c r="E1018" s="3" t="s">
        <v>183</v>
      </c>
      <c r="F1018" s="2">
        <v>1</v>
      </c>
      <c r="G1018" s="4">
        <v>1.0331761638461445</v>
      </c>
      <c r="H1018" s="2">
        <v>25</v>
      </c>
      <c r="I1018" s="2">
        <v>5</v>
      </c>
      <c r="J1018" s="2">
        <v>1</v>
      </c>
      <c r="K1018" s="4">
        <v>1</v>
      </c>
      <c r="L1018" s="4">
        <v>0.94102182051402372</v>
      </c>
      <c r="M1018" s="4">
        <v>0.94102182051402372</v>
      </c>
      <c r="N1018" s="10">
        <v>0.94099999999999995</v>
      </c>
      <c r="O1018" s="4">
        <v>8.661024683481731</v>
      </c>
      <c r="P1018" s="4">
        <v>8.66</v>
      </c>
      <c r="Q1018" s="3" t="s">
        <v>1597</v>
      </c>
      <c r="R1018" s="3" t="s">
        <v>1602</v>
      </c>
      <c r="S1018" s="3" t="s">
        <v>1603</v>
      </c>
      <c r="T1018" s="3"/>
    </row>
    <row r="1019" spans="1:20">
      <c r="A1019" s="12" t="s">
        <v>1605</v>
      </c>
      <c r="B1019" s="3" t="s">
        <v>1601</v>
      </c>
      <c r="C1019" s="3" t="s">
        <v>1596</v>
      </c>
      <c r="D1019" s="3" t="s">
        <v>182</v>
      </c>
      <c r="E1019" s="3" t="s">
        <v>183</v>
      </c>
      <c r="F1019" s="2">
        <v>1</v>
      </c>
      <c r="G1019" s="4">
        <v>1.0331761638461445</v>
      </c>
      <c r="H1019" s="2">
        <v>25</v>
      </c>
      <c r="I1019" s="2">
        <v>5</v>
      </c>
      <c r="J1019" s="2">
        <v>16</v>
      </c>
      <c r="K1019" s="11">
        <v>1</v>
      </c>
      <c r="L1019" s="11">
        <v>0.93326390541150772</v>
      </c>
      <c r="M1019" s="4">
        <v>0.93326390541150772</v>
      </c>
      <c r="N1019" s="10">
        <v>0.93300000000000005</v>
      </c>
      <c r="O1019" s="4">
        <v>8.3447498737607155</v>
      </c>
      <c r="P1019" s="4">
        <v>8.33</v>
      </c>
      <c r="Q1019" s="3" t="s">
        <v>1597</v>
      </c>
      <c r="R1019" s="3" t="s">
        <v>1602</v>
      </c>
      <c r="S1019" s="3" t="s">
        <v>1603</v>
      </c>
      <c r="T1019" s="3"/>
    </row>
    <row r="1020" spans="1:20">
      <c r="A1020" s="3" t="s">
        <v>1600</v>
      </c>
      <c r="B1020" s="3" t="s">
        <v>1609</v>
      </c>
      <c r="C1020" s="3" t="s">
        <v>1616</v>
      </c>
      <c r="D1020" s="3" t="s">
        <v>182</v>
      </c>
      <c r="E1020" s="3" t="s">
        <v>183</v>
      </c>
      <c r="F1020" s="2">
        <v>1</v>
      </c>
      <c r="G1020" s="4">
        <v>1.0331761638461445</v>
      </c>
      <c r="H1020" s="2">
        <v>25</v>
      </c>
      <c r="I1020" s="2">
        <v>5</v>
      </c>
      <c r="J1020" s="2">
        <v>1</v>
      </c>
      <c r="K1020" s="4">
        <v>0.5918787406074929</v>
      </c>
      <c r="L1020" s="4">
        <v>0.9085166239536584</v>
      </c>
      <c r="M1020" s="4">
        <v>0.9085166239536584</v>
      </c>
      <c r="N1020" s="10">
        <v>0.90900000000000003</v>
      </c>
      <c r="O1020" s="4">
        <v>7.530917681079158</v>
      </c>
      <c r="P1020" s="4">
        <v>7.54</v>
      </c>
      <c r="Q1020" s="3" t="s">
        <v>1597</v>
      </c>
      <c r="R1020" s="3" t="s">
        <v>1610</v>
      </c>
      <c r="S1020" s="3" t="s">
        <v>1611</v>
      </c>
      <c r="T1020" s="3"/>
    </row>
    <row r="1021" spans="1:20">
      <c r="A1021" s="3" t="s">
        <v>1600</v>
      </c>
      <c r="B1021" s="3" t="s">
        <v>1606</v>
      </c>
      <c r="C1021" s="3" t="s">
        <v>1596</v>
      </c>
      <c r="D1021" s="3" t="s">
        <v>182</v>
      </c>
      <c r="E1021" s="3" t="s">
        <v>183</v>
      </c>
      <c r="F1021" s="2">
        <v>1</v>
      </c>
      <c r="G1021" s="4">
        <v>1.0331761638461445</v>
      </c>
      <c r="H1021" s="2">
        <v>25</v>
      </c>
      <c r="I1021" s="2">
        <v>5</v>
      </c>
      <c r="J1021" s="2">
        <v>16</v>
      </c>
      <c r="K1021" s="11">
        <v>1</v>
      </c>
      <c r="L1021" s="11">
        <v>0.89695508260068602</v>
      </c>
      <c r="M1021" s="4">
        <v>0.89695508260068602</v>
      </c>
      <c r="N1021" s="10">
        <v>0.89700000000000002</v>
      </c>
      <c r="O1021" s="4">
        <v>7.2208384201748261</v>
      </c>
      <c r="P1021" s="4">
        <v>7.22</v>
      </c>
      <c r="Q1021" s="3" t="s">
        <v>1597</v>
      </c>
      <c r="R1021" s="3" t="s">
        <v>1607</v>
      </c>
      <c r="S1021" s="3" t="s">
        <v>1608</v>
      </c>
      <c r="T1021" s="3"/>
    </row>
    <row r="1022" spans="1:20">
      <c r="A1022" s="3" t="s">
        <v>1600</v>
      </c>
      <c r="B1022" s="3" t="s">
        <v>1601</v>
      </c>
      <c r="C1022" s="3" t="s">
        <v>1616</v>
      </c>
      <c r="D1022" s="3" t="s">
        <v>182</v>
      </c>
      <c r="E1022" s="3" t="s">
        <v>183</v>
      </c>
      <c r="F1022" s="2">
        <v>1</v>
      </c>
      <c r="G1022" s="4">
        <v>1.0331761638461445</v>
      </c>
      <c r="H1022" s="2">
        <v>25</v>
      </c>
      <c r="I1022" s="2">
        <v>5</v>
      </c>
      <c r="J1022" s="2">
        <v>1</v>
      </c>
      <c r="K1022" s="4">
        <v>1</v>
      </c>
      <c r="L1022" s="4">
        <v>0.88733591241055398</v>
      </c>
      <c r="M1022" s="4">
        <v>0.88733591241055398</v>
      </c>
      <c r="N1022" s="10">
        <v>0.88700000000000001</v>
      </c>
      <c r="O1022" s="4">
        <v>6.9869986439685325</v>
      </c>
      <c r="P1022" s="4">
        <v>6.98</v>
      </c>
      <c r="Q1022" s="3" t="s">
        <v>1597</v>
      </c>
      <c r="R1022" s="3" t="s">
        <v>1602</v>
      </c>
      <c r="S1022" s="3" t="s">
        <v>1603</v>
      </c>
      <c r="T1022" s="3"/>
    </row>
    <row r="1023" spans="1:20">
      <c r="A1023" s="3" t="s">
        <v>1600</v>
      </c>
      <c r="B1023" s="3" t="s">
        <v>1606</v>
      </c>
      <c r="C1023" s="3" t="s">
        <v>1596</v>
      </c>
      <c r="D1023" s="3" t="s">
        <v>182</v>
      </c>
      <c r="E1023" s="3" t="s">
        <v>183</v>
      </c>
      <c r="F1023" s="2">
        <v>1</v>
      </c>
      <c r="G1023" s="4">
        <v>1.0331761638461445</v>
      </c>
      <c r="H1023" s="2">
        <v>25</v>
      </c>
      <c r="I1023" s="2">
        <v>5</v>
      </c>
      <c r="J1023" s="2">
        <v>1</v>
      </c>
      <c r="K1023" s="11">
        <v>1</v>
      </c>
      <c r="L1023" s="11">
        <v>0.88432226082419019</v>
      </c>
      <c r="M1023" s="4">
        <v>0.88432226082419019</v>
      </c>
      <c r="N1023" s="10">
        <v>0.88400000000000001</v>
      </c>
      <c r="O1023" s="4">
        <v>6.9175985646738276</v>
      </c>
      <c r="P1023" s="4">
        <v>6.91</v>
      </c>
      <c r="Q1023" s="3" t="s">
        <v>1597</v>
      </c>
      <c r="R1023" s="3" t="s">
        <v>1607</v>
      </c>
      <c r="S1023" s="3" t="s">
        <v>1608</v>
      </c>
      <c r="T1023" s="3"/>
    </row>
    <row r="1024" spans="1:20">
      <c r="A1024" s="3" t="s">
        <v>1600</v>
      </c>
      <c r="B1024" s="3" t="s">
        <v>1609</v>
      </c>
      <c r="C1024" s="3" t="s">
        <v>1616</v>
      </c>
      <c r="D1024" s="3" t="s">
        <v>182</v>
      </c>
      <c r="E1024" s="3" t="s">
        <v>183</v>
      </c>
      <c r="F1024" s="2">
        <v>1</v>
      </c>
      <c r="G1024" s="4">
        <v>1.0331761638461445</v>
      </c>
      <c r="H1024" s="2">
        <v>25</v>
      </c>
      <c r="I1024" s="2">
        <v>5</v>
      </c>
      <c r="J1024" s="2">
        <v>16</v>
      </c>
      <c r="K1024" s="11">
        <v>0.68183936618147944</v>
      </c>
      <c r="L1024" s="11">
        <v>0.88330074419548099</v>
      </c>
      <c r="M1024" s="4">
        <v>0.88330074419548099</v>
      </c>
      <c r="N1024" s="10">
        <v>0.88300000000000001</v>
      </c>
      <c r="O1024" s="4">
        <v>6.8944593591615302</v>
      </c>
      <c r="P1024" s="4">
        <v>6.89</v>
      </c>
      <c r="Q1024" s="3" t="s">
        <v>1597</v>
      </c>
      <c r="R1024" s="3" t="s">
        <v>1610</v>
      </c>
      <c r="S1024" s="3" t="s">
        <v>1611</v>
      </c>
      <c r="T1024" s="3"/>
    </row>
    <row r="1025" spans="1:20">
      <c r="A1025" s="3" t="s">
        <v>1600</v>
      </c>
      <c r="B1025" s="3" t="s">
        <v>1601</v>
      </c>
      <c r="C1025" s="3" t="s">
        <v>1616</v>
      </c>
      <c r="D1025" s="3" t="s">
        <v>182</v>
      </c>
      <c r="E1025" s="3" t="s">
        <v>183</v>
      </c>
      <c r="F1025" s="2">
        <v>1</v>
      </c>
      <c r="G1025" s="4">
        <v>1.0331761638461445</v>
      </c>
      <c r="H1025" s="2">
        <v>25</v>
      </c>
      <c r="I1025" s="2">
        <v>5</v>
      </c>
      <c r="J1025" s="2">
        <v>16</v>
      </c>
      <c r="K1025" s="4">
        <v>1</v>
      </c>
      <c r="L1025" s="4">
        <v>0.87605443436156905</v>
      </c>
      <c r="M1025" s="4">
        <v>0.87605443436156905</v>
      </c>
      <c r="N1025" s="10">
        <v>0.876</v>
      </c>
      <c r="O1025" s="4">
        <v>6.7355639291269815</v>
      </c>
      <c r="P1025" s="4">
        <v>6.73</v>
      </c>
      <c r="Q1025" s="3" t="s">
        <v>1597</v>
      </c>
      <c r="R1025" s="3" t="s">
        <v>1602</v>
      </c>
      <c r="S1025" s="3" t="s">
        <v>1603</v>
      </c>
      <c r="T1025" s="3"/>
    </row>
    <row r="1026" spans="1:20">
      <c r="A1026" s="3" t="s">
        <v>1604</v>
      </c>
      <c r="B1026" s="3" t="s">
        <v>1601</v>
      </c>
      <c r="C1026" s="3" t="s">
        <v>1596</v>
      </c>
      <c r="D1026" s="3" t="s">
        <v>182</v>
      </c>
      <c r="E1026" s="3" t="s">
        <v>183</v>
      </c>
      <c r="F1026" s="2">
        <v>1</v>
      </c>
      <c r="G1026" s="4">
        <v>1.0331761638461445</v>
      </c>
      <c r="H1026" s="2">
        <v>25</v>
      </c>
      <c r="I1026" s="2">
        <v>30</v>
      </c>
      <c r="J1026" s="2">
        <v>16</v>
      </c>
      <c r="K1026" s="4">
        <v>1</v>
      </c>
      <c r="L1026" s="4">
        <v>0.86651017975496536</v>
      </c>
      <c r="M1026" s="4">
        <v>0.86651017975496536</v>
      </c>
      <c r="N1026" s="10">
        <v>0.86699999999999999</v>
      </c>
      <c r="O1026" s="4">
        <v>6.5390235663147385</v>
      </c>
      <c r="P1026" s="4">
        <v>6.55</v>
      </c>
      <c r="Q1026" s="3" t="s">
        <v>1597</v>
      </c>
      <c r="R1026" s="3" t="s">
        <v>1602</v>
      </c>
      <c r="S1026" s="3" t="s">
        <v>1603</v>
      </c>
      <c r="T1026" s="3"/>
    </row>
    <row r="1027" spans="1:20">
      <c r="A1027" s="3" t="s">
        <v>1600</v>
      </c>
      <c r="B1027" s="3" t="s">
        <v>1606</v>
      </c>
      <c r="C1027" s="3" t="s">
        <v>1616</v>
      </c>
      <c r="D1027" s="3" t="s">
        <v>182</v>
      </c>
      <c r="E1027" s="3" t="s">
        <v>183</v>
      </c>
      <c r="F1027" s="2">
        <v>1</v>
      </c>
      <c r="G1027" s="4">
        <v>1.0331761638461445</v>
      </c>
      <c r="H1027" s="2">
        <v>25</v>
      </c>
      <c r="I1027" s="2">
        <v>5</v>
      </c>
      <c r="J1027" s="2">
        <v>1</v>
      </c>
      <c r="K1027" s="4">
        <v>1</v>
      </c>
      <c r="L1027" s="4">
        <v>0.81790863234715416</v>
      </c>
      <c r="M1027" s="4">
        <v>0.81790863234715416</v>
      </c>
      <c r="N1027" s="10">
        <v>0.81799999999999995</v>
      </c>
      <c r="O1027" s="4">
        <v>5.7039407583127204</v>
      </c>
      <c r="P1027" s="4">
        <v>5.71</v>
      </c>
      <c r="Q1027" s="3" t="s">
        <v>1597</v>
      </c>
      <c r="R1027" s="3" t="s">
        <v>1607</v>
      </c>
      <c r="S1027" s="3" t="s">
        <v>1608</v>
      </c>
      <c r="T1027" s="3"/>
    </row>
    <row r="1028" spans="1:20">
      <c r="A1028" s="3" t="s">
        <v>1600</v>
      </c>
      <c r="B1028" s="3" t="s">
        <v>1606</v>
      </c>
      <c r="C1028" s="3" t="s">
        <v>1616</v>
      </c>
      <c r="D1028" s="3" t="s">
        <v>182</v>
      </c>
      <c r="E1028" s="3" t="s">
        <v>183</v>
      </c>
      <c r="F1028" s="2">
        <v>1</v>
      </c>
      <c r="G1028" s="4">
        <v>1.0331761638461445</v>
      </c>
      <c r="H1028" s="2">
        <v>25</v>
      </c>
      <c r="I1028" s="2">
        <v>5</v>
      </c>
      <c r="J1028" s="2">
        <v>16</v>
      </c>
      <c r="K1028" s="11">
        <v>1</v>
      </c>
      <c r="L1028" s="11">
        <v>0.79336526626429194</v>
      </c>
      <c r="M1028" s="4">
        <v>0.79336526626429194</v>
      </c>
      <c r="N1028" s="10">
        <v>0.79300000000000004</v>
      </c>
      <c r="O1028" s="4">
        <v>5.3567936716747866</v>
      </c>
      <c r="P1028" s="4">
        <v>5.35</v>
      </c>
      <c r="Q1028" s="3" t="s">
        <v>1597</v>
      </c>
      <c r="R1028" s="3" t="s">
        <v>1607</v>
      </c>
      <c r="S1028" s="3" t="s">
        <v>1608</v>
      </c>
      <c r="T1028" s="3"/>
    </row>
    <row r="1029" spans="1:20">
      <c r="A1029" s="3" t="s">
        <v>1604</v>
      </c>
      <c r="B1029" s="3" t="s">
        <v>1601</v>
      </c>
      <c r="C1029" s="3" t="s">
        <v>1616</v>
      </c>
      <c r="D1029" s="3" t="s">
        <v>182</v>
      </c>
      <c r="E1029" s="3" t="s">
        <v>183</v>
      </c>
      <c r="F1029" s="2">
        <v>1</v>
      </c>
      <c r="G1029" s="4">
        <v>1.0331761638461445</v>
      </c>
      <c r="H1029" s="2">
        <v>25</v>
      </c>
      <c r="I1029" s="2">
        <v>30</v>
      </c>
      <c r="J1029" s="2">
        <v>16</v>
      </c>
      <c r="K1029" s="4">
        <v>1</v>
      </c>
      <c r="L1029" s="4">
        <v>0.6669000765263825</v>
      </c>
      <c r="M1029" s="4">
        <v>0.6669000765263825</v>
      </c>
      <c r="N1029" s="10">
        <v>0.66700000000000004</v>
      </c>
      <c r="O1029" s="4">
        <v>3.9918289644948035</v>
      </c>
      <c r="P1029" s="4">
        <v>3.99</v>
      </c>
      <c r="Q1029" s="3" t="s">
        <v>1597</v>
      </c>
      <c r="R1029" s="3" t="s">
        <v>1602</v>
      </c>
      <c r="S1029" s="3" t="s">
        <v>1603</v>
      </c>
      <c r="T1029" s="3"/>
    </row>
    <row r="1030" spans="1:20">
      <c r="A1030" s="3" t="s">
        <v>1600</v>
      </c>
      <c r="B1030" s="3" t="s">
        <v>1609</v>
      </c>
      <c r="C1030" s="3" t="s">
        <v>1596</v>
      </c>
      <c r="D1030" s="3" t="s">
        <v>182</v>
      </c>
      <c r="E1030" s="3" t="s">
        <v>183</v>
      </c>
      <c r="F1030" s="2">
        <v>1</v>
      </c>
      <c r="G1030" s="4">
        <v>1.0331761638461445</v>
      </c>
      <c r="H1030" s="2">
        <v>25</v>
      </c>
      <c r="I1030" s="2">
        <v>5</v>
      </c>
      <c r="J1030" s="2">
        <v>16</v>
      </c>
      <c r="K1030" s="4">
        <v>0.45007187911721458</v>
      </c>
      <c r="L1030" s="4">
        <v>0.60457886781405346</v>
      </c>
      <c r="M1030" s="4">
        <v>0.60457886781405346</v>
      </c>
      <c r="N1030" s="10">
        <v>0.60499999999999998</v>
      </c>
      <c r="O1030" s="4">
        <v>3.4722046011071677</v>
      </c>
      <c r="P1030" s="4">
        <v>3.48</v>
      </c>
      <c r="Q1030" s="3" t="s">
        <v>1597</v>
      </c>
      <c r="R1030" s="3" t="s">
        <v>1610</v>
      </c>
      <c r="S1030" s="3" t="s">
        <v>1611</v>
      </c>
      <c r="T1030" s="3"/>
    </row>
    <row r="1031" spans="1:20">
      <c r="A1031" s="3" t="s">
        <v>1600</v>
      </c>
      <c r="B1031" s="3" t="s">
        <v>1609</v>
      </c>
      <c r="C1031" s="3" t="s">
        <v>1596</v>
      </c>
      <c r="D1031" s="3" t="s">
        <v>182</v>
      </c>
      <c r="E1031" s="3" t="s">
        <v>183</v>
      </c>
      <c r="F1031" s="2">
        <v>1</v>
      </c>
      <c r="G1031" s="4">
        <v>1.0331761638461445</v>
      </c>
      <c r="H1031" s="2">
        <v>25</v>
      </c>
      <c r="I1031" s="2">
        <v>5</v>
      </c>
      <c r="J1031" s="2">
        <v>1</v>
      </c>
      <c r="K1031" s="11">
        <v>0.77287991504455444</v>
      </c>
      <c r="L1031" s="11">
        <v>0.5804277338520395</v>
      </c>
      <c r="M1031" s="4">
        <v>0.5804277338520395</v>
      </c>
      <c r="N1031" s="10">
        <v>0.57999999999999996</v>
      </c>
      <c r="O1031" s="4">
        <v>3.2876448491143484</v>
      </c>
      <c r="P1031" s="4">
        <v>3.28</v>
      </c>
      <c r="Q1031" s="3" t="s">
        <v>1597</v>
      </c>
      <c r="R1031" s="3" t="s">
        <v>1610</v>
      </c>
      <c r="S1031" s="3" t="s">
        <v>1611</v>
      </c>
      <c r="T1031" s="3"/>
    </row>
    <row r="1032" spans="1:20">
      <c r="A1032" s="3" t="s">
        <v>1594</v>
      </c>
      <c r="B1032" s="3" t="s">
        <v>1595</v>
      </c>
      <c r="C1032" s="3" t="s">
        <v>1596</v>
      </c>
      <c r="D1032" s="3" t="s">
        <v>182</v>
      </c>
      <c r="E1032" s="3" t="s">
        <v>183</v>
      </c>
      <c r="F1032" s="2">
        <v>1</v>
      </c>
      <c r="G1032" s="4">
        <v>1.0331761638461445</v>
      </c>
      <c r="H1032" s="2">
        <v>50</v>
      </c>
      <c r="I1032" s="2">
        <v>5</v>
      </c>
      <c r="J1032" s="2">
        <v>16</v>
      </c>
      <c r="K1032" s="4">
        <v>1</v>
      </c>
      <c r="L1032" s="14">
        <v>0.19931137730427684</v>
      </c>
      <c r="M1032" s="4">
        <v>0.19931137730427684</v>
      </c>
      <c r="N1032" s="10">
        <v>0.19900000000000001</v>
      </c>
      <c r="O1032" s="4">
        <v>1.0855620328145328</v>
      </c>
      <c r="P1032" s="4">
        <v>1.08</v>
      </c>
      <c r="Q1032" s="3" t="s">
        <v>1597</v>
      </c>
      <c r="R1032" s="3" t="s">
        <v>1598</v>
      </c>
      <c r="S1032" s="3" t="s">
        <v>1599</v>
      </c>
      <c r="T1032" s="3"/>
    </row>
    <row r="1033" spans="1:20">
      <c r="A1033" s="3" t="s">
        <v>1594</v>
      </c>
      <c r="B1033" s="3" t="s">
        <v>1612</v>
      </c>
      <c r="C1033" s="3" t="s">
        <v>1596</v>
      </c>
      <c r="D1033" s="3" t="s">
        <v>182</v>
      </c>
      <c r="E1033" s="3" t="s">
        <v>183</v>
      </c>
      <c r="F1033" s="2">
        <v>1</v>
      </c>
      <c r="G1033" s="4">
        <v>1.0331761638461445</v>
      </c>
      <c r="H1033" s="2">
        <v>50</v>
      </c>
      <c r="I1033" s="2">
        <v>5</v>
      </c>
      <c r="J1033" s="2">
        <v>16</v>
      </c>
      <c r="K1033" s="4">
        <v>1</v>
      </c>
      <c r="L1033" s="14">
        <v>-0.49529682288586846</v>
      </c>
      <c r="M1033" s="4">
        <v>0.49529682288586846</v>
      </c>
      <c r="N1033" s="10">
        <v>0.495</v>
      </c>
      <c r="O1033" s="4">
        <v>2.9181923787026989</v>
      </c>
      <c r="P1033" s="4">
        <v>-2.92</v>
      </c>
      <c r="Q1033" s="3" t="s">
        <v>1617</v>
      </c>
      <c r="R1033" s="3" t="s">
        <v>1627</v>
      </c>
      <c r="S1033" s="3" t="s">
        <v>1628</v>
      </c>
      <c r="T1033" s="3"/>
    </row>
    <row r="1034" spans="1:20">
      <c r="A1034" s="12" t="s">
        <v>1605</v>
      </c>
      <c r="B1034" s="3" t="s">
        <v>1601</v>
      </c>
      <c r="C1034" s="3" t="s">
        <v>1596</v>
      </c>
      <c r="D1034" s="3" t="s">
        <v>776</v>
      </c>
      <c r="E1034" s="3" t="s">
        <v>777</v>
      </c>
      <c r="F1034" s="2">
        <v>1</v>
      </c>
      <c r="G1034" s="4">
        <v>1.0332812687732789</v>
      </c>
      <c r="H1034" s="2">
        <v>25</v>
      </c>
      <c r="I1034" s="2">
        <v>5</v>
      </c>
      <c r="J1034" s="2">
        <v>16</v>
      </c>
      <c r="K1034" s="11">
        <v>1</v>
      </c>
      <c r="L1034" s="11">
        <v>0.26514742226000426</v>
      </c>
      <c r="M1034" s="4">
        <v>0.26514742226000426</v>
      </c>
      <c r="N1034" s="10">
        <v>0.26500000000000001</v>
      </c>
      <c r="O1034" s="4">
        <v>1.3467590284819377</v>
      </c>
      <c r="P1034" s="4">
        <v>1.35</v>
      </c>
      <c r="Q1034" s="3" t="s">
        <v>1597</v>
      </c>
      <c r="R1034" s="3" t="s">
        <v>1602</v>
      </c>
      <c r="S1034" s="3" t="s">
        <v>1603</v>
      </c>
      <c r="T1034" s="3"/>
    </row>
    <row r="1035" spans="1:20">
      <c r="A1035" s="3" t="s">
        <v>1600</v>
      </c>
      <c r="B1035" s="3" t="s">
        <v>1606</v>
      </c>
      <c r="C1035" s="3" t="s">
        <v>1596</v>
      </c>
      <c r="D1035" s="3" t="s">
        <v>776</v>
      </c>
      <c r="E1035" s="3" t="s">
        <v>777</v>
      </c>
      <c r="F1035" s="2">
        <v>1</v>
      </c>
      <c r="G1035" s="4">
        <v>1.0332812687732789</v>
      </c>
      <c r="H1035" s="2">
        <v>25</v>
      </c>
      <c r="I1035" s="2">
        <v>5</v>
      </c>
      <c r="J1035" s="2">
        <v>1</v>
      </c>
      <c r="K1035" s="11">
        <v>1</v>
      </c>
      <c r="L1035" s="11">
        <v>0.25137385307409504</v>
      </c>
      <c r="M1035" s="4">
        <v>0.25137385307409504</v>
      </c>
      <c r="N1035" s="10">
        <v>0.251</v>
      </c>
      <c r="O1035" s="4">
        <v>1.2735887067965044</v>
      </c>
      <c r="P1035" s="4">
        <v>1.27</v>
      </c>
      <c r="Q1035" s="3" t="s">
        <v>1597</v>
      </c>
      <c r="R1035" s="3" t="s">
        <v>1607</v>
      </c>
      <c r="S1035" s="3" t="s">
        <v>1608</v>
      </c>
      <c r="T1035" s="3"/>
    </row>
    <row r="1036" spans="1:20">
      <c r="A1036" s="3" t="s">
        <v>1600</v>
      </c>
      <c r="B1036" s="3" t="s">
        <v>1601</v>
      </c>
      <c r="C1036" s="3" t="s">
        <v>1596</v>
      </c>
      <c r="D1036" s="3" t="s">
        <v>776</v>
      </c>
      <c r="E1036" s="3" t="s">
        <v>777</v>
      </c>
      <c r="F1036" s="2">
        <v>1</v>
      </c>
      <c r="G1036" s="4">
        <v>1.0332812687732789</v>
      </c>
      <c r="H1036" s="2">
        <v>25</v>
      </c>
      <c r="I1036" s="2">
        <v>5</v>
      </c>
      <c r="J1036" s="2">
        <v>16</v>
      </c>
      <c r="K1036" s="4">
        <v>1</v>
      </c>
      <c r="L1036" s="4">
        <v>0.24710294880574143</v>
      </c>
      <c r="M1036" s="4">
        <v>0.24710294880574143</v>
      </c>
      <c r="N1036" s="10">
        <v>0.247</v>
      </c>
      <c r="O1036" s="4">
        <v>1.2510112875370629</v>
      </c>
      <c r="P1036" s="4">
        <v>1.25</v>
      </c>
      <c r="Q1036" s="3" t="s">
        <v>1597</v>
      </c>
      <c r="R1036" s="3" t="s">
        <v>1602</v>
      </c>
      <c r="S1036" s="3" t="s">
        <v>1603</v>
      </c>
      <c r="T1036" s="3"/>
    </row>
    <row r="1037" spans="1:20">
      <c r="A1037" s="3" t="s">
        <v>1600</v>
      </c>
      <c r="B1037" s="3" t="s">
        <v>1606</v>
      </c>
      <c r="C1037" s="3" t="s">
        <v>1596</v>
      </c>
      <c r="D1037" s="3" t="s">
        <v>776</v>
      </c>
      <c r="E1037" s="3" t="s">
        <v>777</v>
      </c>
      <c r="F1037" s="2">
        <v>1</v>
      </c>
      <c r="G1037" s="4">
        <v>1.0332812687732789</v>
      </c>
      <c r="H1037" s="2">
        <v>25</v>
      </c>
      <c r="I1037" s="2">
        <v>5</v>
      </c>
      <c r="J1037" s="2">
        <v>16</v>
      </c>
      <c r="K1037" s="11">
        <v>1</v>
      </c>
      <c r="L1037" s="11">
        <v>0.24360739575137688</v>
      </c>
      <c r="M1037" s="4">
        <v>0.24360739575137688</v>
      </c>
      <c r="N1037" s="10">
        <v>0.24399999999999999</v>
      </c>
      <c r="O1037" s="4">
        <v>1.2325704089883656</v>
      </c>
      <c r="P1037" s="4">
        <v>1.23</v>
      </c>
      <c r="Q1037" s="3" t="s">
        <v>1597</v>
      </c>
      <c r="R1037" s="3" t="s">
        <v>1607</v>
      </c>
      <c r="S1037" s="3" t="s">
        <v>1608</v>
      </c>
      <c r="T1037" s="3"/>
    </row>
    <row r="1038" spans="1:20">
      <c r="A1038" s="3" t="s">
        <v>1600</v>
      </c>
      <c r="B1038" s="3" t="s">
        <v>1601</v>
      </c>
      <c r="C1038" s="3" t="s">
        <v>1596</v>
      </c>
      <c r="D1038" s="3" t="s">
        <v>776</v>
      </c>
      <c r="E1038" s="3" t="s">
        <v>777</v>
      </c>
      <c r="F1038" s="2">
        <v>1</v>
      </c>
      <c r="G1038" s="4">
        <v>1.0332812687732789</v>
      </c>
      <c r="H1038" s="2">
        <v>25</v>
      </c>
      <c r="I1038" s="2">
        <v>5</v>
      </c>
      <c r="J1038" s="2">
        <v>1</v>
      </c>
      <c r="K1038" s="4">
        <v>0.52651647170645011</v>
      </c>
      <c r="L1038" s="4">
        <v>0.24149391719721638</v>
      </c>
      <c r="M1038" s="4">
        <v>0.24149391719721638</v>
      </c>
      <c r="N1038" s="10">
        <v>0.24099999999999999</v>
      </c>
      <c r="O1038" s="4">
        <v>1.2214369193221264</v>
      </c>
      <c r="P1038" s="4">
        <v>1.22</v>
      </c>
      <c r="Q1038" s="3" t="s">
        <v>1597</v>
      </c>
      <c r="R1038" s="3" t="s">
        <v>1602</v>
      </c>
      <c r="S1038" s="3" t="s">
        <v>1603</v>
      </c>
      <c r="T1038" s="3"/>
    </row>
    <row r="1039" spans="1:20">
      <c r="A1039" s="3" t="s">
        <v>1600</v>
      </c>
      <c r="B1039" s="3" t="s">
        <v>1609</v>
      </c>
      <c r="C1039" s="3" t="s">
        <v>1596</v>
      </c>
      <c r="D1039" s="3" t="s">
        <v>776</v>
      </c>
      <c r="E1039" s="3" t="s">
        <v>777</v>
      </c>
      <c r="F1039" s="2">
        <v>1</v>
      </c>
      <c r="G1039" s="4">
        <v>1.0332812687732789</v>
      </c>
      <c r="H1039" s="2">
        <v>25</v>
      </c>
      <c r="I1039" s="2">
        <v>5</v>
      </c>
      <c r="J1039" s="2">
        <v>16</v>
      </c>
      <c r="K1039" s="4">
        <v>1</v>
      </c>
      <c r="L1039" s="4">
        <v>0.23627067237704263</v>
      </c>
      <c r="M1039" s="4">
        <v>0.23627067237704263</v>
      </c>
      <c r="N1039" s="10">
        <v>0.23599999999999999</v>
      </c>
      <c r="O1039" s="4">
        <v>1.1939731110334364</v>
      </c>
      <c r="P1039" s="4">
        <v>1.19</v>
      </c>
      <c r="Q1039" s="3" t="s">
        <v>1597</v>
      </c>
      <c r="R1039" s="3" t="s">
        <v>1610</v>
      </c>
      <c r="S1039" s="3" t="s">
        <v>1611</v>
      </c>
      <c r="T1039" s="3"/>
    </row>
    <row r="1040" spans="1:20">
      <c r="A1040" s="3" t="s">
        <v>1604</v>
      </c>
      <c r="B1040" s="3" t="s">
        <v>1601</v>
      </c>
      <c r="C1040" s="3" t="s">
        <v>1596</v>
      </c>
      <c r="D1040" s="3" t="s">
        <v>776</v>
      </c>
      <c r="E1040" s="3" t="s">
        <v>777</v>
      </c>
      <c r="F1040" s="2">
        <v>1</v>
      </c>
      <c r="G1040" s="4">
        <v>1.0332812687732789</v>
      </c>
      <c r="H1040" s="2">
        <v>25</v>
      </c>
      <c r="I1040" s="2">
        <v>30</v>
      </c>
      <c r="J1040" s="2">
        <v>16</v>
      </c>
      <c r="K1040" s="4">
        <v>1</v>
      </c>
      <c r="L1040" s="4">
        <v>0.2341781748364884</v>
      </c>
      <c r="M1040" s="4">
        <v>0.2341781748364884</v>
      </c>
      <c r="N1040" s="10">
        <v>0.23400000000000001</v>
      </c>
      <c r="O1040" s="4">
        <v>1.1829909898914854</v>
      </c>
      <c r="P1040" s="4">
        <v>1.18</v>
      </c>
      <c r="Q1040" s="3" t="s">
        <v>1597</v>
      </c>
      <c r="R1040" s="3" t="s">
        <v>1602</v>
      </c>
      <c r="S1040" s="3" t="s">
        <v>1603</v>
      </c>
      <c r="T1040" s="3"/>
    </row>
    <row r="1041" spans="1:20">
      <c r="A1041" s="3" t="s">
        <v>1600</v>
      </c>
      <c r="B1041" s="3" t="s">
        <v>1609</v>
      </c>
      <c r="C1041" s="3" t="s">
        <v>1616</v>
      </c>
      <c r="D1041" s="3" t="s">
        <v>776</v>
      </c>
      <c r="E1041" s="3" t="s">
        <v>777</v>
      </c>
      <c r="F1041" s="2">
        <v>1</v>
      </c>
      <c r="G1041" s="4">
        <v>1.0332812687732789</v>
      </c>
      <c r="H1041" s="2">
        <v>25</v>
      </c>
      <c r="I1041" s="2">
        <v>5</v>
      </c>
      <c r="J1041" s="2">
        <v>16</v>
      </c>
      <c r="K1041" s="11">
        <v>1</v>
      </c>
      <c r="L1041" s="11">
        <v>0.22022348875553566</v>
      </c>
      <c r="M1041" s="4">
        <v>0.22022348875553566</v>
      </c>
      <c r="N1041" s="10">
        <v>0.22</v>
      </c>
      <c r="O1041" s="4">
        <v>1.1100372129900775</v>
      </c>
      <c r="P1041" s="4">
        <v>1.1100000000000001</v>
      </c>
      <c r="Q1041" s="3" t="s">
        <v>1597</v>
      </c>
      <c r="R1041" s="3" t="s">
        <v>1610</v>
      </c>
      <c r="S1041" s="3" t="s">
        <v>1611</v>
      </c>
      <c r="T1041" s="3"/>
    </row>
    <row r="1042" spans="1:20">
      <c r="A1042" s="3" t="s">
        <v>1600</v>
      </c>
      <c r="B1042" s="3" t="s">
        <v>1609</v>
      </c>
      <c r="C1042" s="3" t="s">
        <v>1616</v>
      </c>
      <c r="D1042" s="3" t="s">
        <v>776</v>
      </c>
      <c r="E1042" s="3" t="s">
        <v>777</v>
      </c>
      <c r="F1042" s="2">
        <v>1</v>
      </c>
      <c r="G1042" s="4">
        <v>1.0332812687732789</v>
      </c>
      <c r="H1042" s="2">
        <v>25</v>
      </c>
      <c r="I1042" s="2">
        <v>5</v>
      </c>
      <c r="J1042" s="2">
        <v>1</v>
      </c>
      <c r="K1042" s="4">
        <v>1</v>
      </c>
      <c r="L1042" s="4">
        <v>0.21191078554869852</v>
      </c>
      <c r="M1042" s="4">
        <v>0.21191078554869852</v>
      </c>
      <c r="N1042" s="10">
        <v>0.21199999999999999</v>
      </c>
      <c r="O1042" s="4">
        <v>1.066804754201681</v>
      </c>
      <c r="P1042" s="4">
        <v>1.07</v>
      </c>
      <c r="Q1042" s="3" t="s">
        <v>1597</v>
      </c>
      <c r="R1042" s="3" t="s">
        <v>1610</v>
      </c>
      <c r="S1042" s="3" t="s">
        <v>1611</v>
      </c>
      <c r="T1042" s="3"/>
    </row>
    <row r="1043" spans="1:20">
      <c r="A1043" s="3" t="s">
        <v>1600</v>
      </c>
      <c r="B1043" s="3" t="s">
        <v>1606</v>
      </c>
      <c r="C1043" s="3" t="s">
        <v>1616</v>
      </c>
      <c r="D1043" s="3" t="s">
        <v>776</v>
      </c>
      <c r="E1043" s="3" t="s">
        <v>777</v>
      </c>
      <c r="F1043" s="2">
        <v>1</v>
      </c>
      <c r="G1043" s="4">
        <v>1.0332812687732789</v>
      </c>
      <c r="H1043" s="2">
        <v>25</v>
      </c>
      <c r="I1043" s="2">
        <v>5</v>
      </c>
      <c r="J1043" s="2">
        <v>16</v>
      </c>
      <c r="K1043" s="11">
        <v>1</v>
      </c>
      <c r="L1043" s="11">
        <v>0.20100721320492032</v>
      </c>
      <c r="M1043" s="4">
        <v>0.20100721320492032</v>
      </c>
      <c r="N1043" s="10">
        <v>0.20100000000000001</v>
      </c>
      <c r="O1043" s="4">
        <v>1.01033796248194</v>
      </c>
      <c r="P1043" s="4">
        <v>1.01</v>
      </c>
      <c r="Q1043" s="3" t="s">
        <v>1597</v>
      </c>
      <c r="R1043" s="3" t="s">
        <v>1607</v>
      </c>
      <c r="S1043" s="3" t="s">
        <v>1608</v>
      </c>
      <c r="T1043" s="3"/>
    </row>
    <row r="1044" spans="1:20">
      <c r="A1044" s="3" t="s">
        <v>1600</v>
      </c>
      <c r="B1044" s="3" t="s">
        <v>1609</v>
      </c>
      <c r="C1044" s="3" t="s">
        <v>1596</v>
      </c>
      <c r="D1044" s="3" t="s">
        <v>776</v>
      </c>
      <c r="E1044" s="3" t="s">
        <v>777</v>
      </c>
      <c r="F1044" s="2">
        <v>1</v>
      </c>
      <c r="G1044" s="4">
        <v>1.0332812687732789</v>
      </c>
      <c r="H1044" s="2">
        <v>25</v>
      </c>
      <c r="I1044" s="2">
        <v>5</v>
      </c>
      <c r="J1044" s="2">
        <v>1</v>
      </c>
      <c r="K1044" s="11">
        <v>1</v>
      </c>
      <c r="L1044" s="11">
        <v>0.18060031528998385</v>
      </c>
      <c r="M1044" s="4">
        <v>0.18060031528998385</v>
      </c>
      <c r="N1044" s="10">
        <v>0.18099999999999999</v>
      </c>
      <c r="O1044" s="4">
        <v>0.90533491780393482</v>
      </c>
      <c r="P1044" s="4">
        <v>0.91</v>
      </c>
      <c r="Q1044" s="3" t="s">
        <v>1597</v>
      </c>
      <c r="R1044" s="3" t="s">
        <v>1610</v>
      </c>
      <c r="S1044" s="3" t="s">
        <v>1611</v>
      </c>
      <c r="T1044" s="3"/>
    </row>
    <row r="1045" spans="1:20">
      <c r="A1045" s="3" t="s">
        <v>1604</v>
      </c>
      <c r="B1045" s="3" t="s">
        <v>1601</v>
      </c>
      <c r="C1045" s="3" t="s">
        <v>1616</v>
      </c>
      <c r="D1045" s="3" t="s">
        <v>776</v>
      </c>
      <c r="E1045" s="3" t="s">
        <v>777</v>
      </c>
      <c r="F1045" s="2">
        <v>1</v>
      </c>
      <c r="G1045" s="4">
        <v>1.0332812687732789</v>
      </c>
      <c r="H1045" s="2">
        <v>25</v>
      </c>
      <c r="I1045" s="2">
        <v>30</v>
      </c>
      <c r="J1045" s="2">
        <v>16</v>
      </c>
      <c r="K1045" s="4">
        <v>1</v>
      </c>
      <c r="L1045" s="4">
        <v>0.15763485882463138</v>
      </c>
      <c r="M1045" s="4">
        <v>0.15763485882463138</v>
      </c>
      <c r="N1045" s="10">
        <v>0.158</v>
      </c>
      <c r="O1045" s="4">
        <v>0.78811531801224088</v>
      </c>
      <c r="P1045" s="4">
        <v>0.79</v>
      </c>
      <c r="Q1045" s="3" t="s">
        <v>1597</v>
      </c>
      <c r="R1045" s="3" t="s">
        <v>1602</v>
      </c>
      <c r="S1045" s="3" t="s">
        <v>1603</v>
      </c>
      <c r="T1045" s="3"/>
    </row>
    <row r="1046" spans="1:20">
      <c r="A1046" s="3" t="s">
        <v>1600</v>
      </c>
      <c r="B1046" s="3" t="s">
        <v>1606</v>
      </c>
      <c r="C1046" s="3" t="s">
        <v>1616</v>
      </c>
      <c r="D1046" s="3" t="s">
        <v>776</v>
      </c>
      <c r="E1046" s="3" t="s">
        <v>777</v>
      </c>
      <c r="F1046" s="2">
        <v>1</v>
      </c>
      <c r="G1046" s="4">
        <v>1.0332812687732789</v>
      </c>
      <c r="H1046" s="2">
        <v>25</v>
      </c>
      <c r="I1046" s="2">
        <v>5</v>
      </c>
      <c r="J1046" s="2">
        <v>1</v>
      </c>
      <c r="K1046" s="4">
        <v>1</v>
      </c>
      <c r="L1046" s="4">
        <v>0.14797731702369718</v>
      </c>
      <c r="M1046" s="4">
        <v>0.14797731702369718</v>
      </c>
      <c r="N1046" s="10">
        <v>0.14799999999999999</v>
      </c>
      <c r="O1046" s="4">
        <v>0.73908866531229545</v>
      </c>
      <c r="P1046" s="4">
        <v>0.74</v>
      </c>
      <c r="Q1046" s="3" t="s">
        <v>1597</v>
      </c>
      <c r="R1046" s="3" t="s">
        <v>1607</v>
      </c>
      <c r="S1046" s="3" t="s">
        <v>1608</v>
      </c>
      <c r="T1046" s="3"/>
    </row>
    <row r="1047" spans="1:20">
      <c r="A1047" s="3" t="s">
        <v>1600</v>
      </c>
      <c r="B1047" s="3" t="s">
        <v>1601</v>
      </c>
      <c r="C1047" s="3" t="s">
        <v>1616</v>
      </c>
      <c r="D1047" s="3" t="s">
        <v>776</v>
      </c>
      <c r="E1047" s="3" t="s">
        <v>777</v>
      </c>
      <c r="F1047" s="2">
        <v>1</v>
      </c>
      <c r="G1047" s="4">
        <v>1.0332812687732789</v>
      </c>
      <c r="H1047" s="2">
        <v>25</v>
      </c>
      <c r="I1047" s="2">
        <v>5</v>
      </c>
      <c r="J1047" s="2">
        <v>1</v>
      </c>
      <c r="K1047" s="4">
        <v>1</v>
      </c>
      <c r="L1047" s="4">
        <v>0.1340992697624889</v>
      </c>
      <c r="M1047" s="4">
        <v>0.1340992697624889</v>
      </c>
      <c r="N1047" s="10">
        <v>0.13400000000000001</v>
      </c>
      <c r="O1047" s="4">
        <v>0.66888448451877991</v>
      </c>
      <c r="P1047" s="4">
        <v>0.67</v>
      </c>
      <c r="Q1047" s="3" t="s">
        <v>1597</v>
      </c>
      <c r="R1047" s="3" t="s">
        <v>1602</v>
      </c>
      <c r="S1047" s="3" t="s">
        <v>1603</v>
      </c>
      <c r="T1047" s="3"/>
    </row>
    <row r="1048" spans="1:20">
      <c r="A1048" s="3" t="s">
        <v>1600</v>
      </c>
      <c r="B1048" s="3" t="s">
        <v>1601</v>
      </c>
      <c r="C1048" s="3" t="s">
        <v>1616</v>
      </c>
      <c r="D1048" s="3" t="s">
        <v>776</v>
      </c>
      <c r="E1048" s="3" t="s">
        <v>777</v>
      </c>
      <c r="F1048" s="2">
        <v>1</v>
      </c>
      <c r="G1048" s="4">
        <v>1.0332812687732789</v>
      </c>
      <c r="H1048" s="2">
        <v>25</v>
      </c>
      <c r="I1048" s="2">
        <v>5</v>
      </c>
      <c r="J1048" s="2">
        <v>16</v>
      </c>
      <c r="K1048" s="4">
        <v>1</v>
      </c>
      <c r="L1048" s="4">
        <v>0.12061816261900427</v>
      </c>
      <c r="M1048" s="4">
        <v>0.12061816261900427</v>
      </c>
      <c r="N1048" s="10">
        <v>0.121</v>
      </c>
      <c r="O1048" s="4">
        <v>0.60094288733058698</v>
      </c>
      <c r="P1048" s="4">
        <v>0.6</v>
      </c>
      <c r="Q1048" s="3" t="s">
        <v>1597</v>
      </c>
      <c r="R1048" s="3" t="s">
        <v>1602</v>
      </c>
      <c r="S1048" s="3" t="s">
        <v>1603</v>
      </c>
      <c r="T1048" s="3"/>
    </row>
    <row r="1049" spans="1:20">
      <c r="A1049" s="3" t="s">
        <v>1594</v>
      </c>
      <c r="B1049" s="3" t="s">
        <v>1612</v>
      </c>
      <c r="C1049" s="3" t="s">
        <v>1596</v>
      </c>
      <c r="D1049" s="3" t="s">
        <v>776</v>
      </c>
      <c r="E1049" s="3" t="s">
        <v>777</v>
      </c>
      <c r="F1049" s="2">
        <v>1</v>
      </c>
      <c r="G1049" s="4">
        <v>1.0332812687732789</v>
      </c>
      <c r="H1049" s="2">
        <v>50</v>
      </c>
      <c r="I1049" s="2">
        <v>5</v>
      </c>
      <c r="J1049" s="2">
        <v>16</v>
      </c>
      <c r="K1049" s="4">
        <v>0.61275005843452157</v>
      </c>
      <c r="L1049" s="14">
        <v>0.10608563373378666</v>
      </c>
      <c r="M1049" s="4">
        <v>0.10608563373378666</v>
      </c>
      <c r="N1049" s="10">
        <v>0.106</v>
      </c>
      <c r="O1049" s="4">
        <v>0.5722213742515081</v>
      </c>
      <c r="P1049" s="4">
        <v>0.56999999999999995</v>
      </c>
      <c r="Q1049" s="3" t="s">
        <v>1597</v>
      </c>
      <c r="R1049" s="3" t="s">
        <v>1613</v>
      </c>
      <c r="S1049" s="3" t="s">
        <v>1614</v>
      </c>
      <c r="T1049" s="3"/>
    </row>
    <row r="1050" spans="1:20">
      <c r="A1050" s="3" t="s">
        <v>1594</v>
      </c>
      <c r="B1050" s="3" t="s">
        <v>1595</v>
      </c>
      <c r="C1050" s="3" t="s">
        <v>1596</v>
      </c>
      <c r="D1050" s="3" t="s">
        <v>776</v>
      </c>
      <c r="E1050" s="3" t="s">
        <v>777</v>
      </c>
      <c r="F1050" s="2">
        <v>1</v>
      </c>
      <c r="G1050" s="4">
        <v>1.0332812687732789</v>
      </c>
      <c r="H1050" s="2">
        <v>50</v>
      </c>
      <c r="I1050" s="2">
        <v>5</v>
      </c>
      <c r="J1050" s="2">
        <v>16</v>
      </c>
      <c r="K1050" s="4">
        <v>0.89276025238653522</v>
      </c>
      <c r="L1050" s="14">
        <v>-0.16699532561297781</v>
      </c>
      <c r="M1050" s="4">
        <v>0.16699532561297781</v>
      </c>
      <c r="N1050" s="10">
        <v>0.16700000000000001</v>
      </c>
      <c r="O1050" s="4">
        <v>0.90586059099335026</v>
      </c>
      <c r="P1050" s="4">
        <v>-0.91</v>
      </c>
      <c r="Q1050" s="3" t="s">
        <v>1617</v>
      </c>
      <c r="R1050" s="3" t="s">
        <v>1625</v>
      </c>
      <c r="S1050" s="3" t="s">
        <v>1626</v>
      </c>
      <c r="T1050" s="3"/>
    </row>
    <row r="1051" spans="1:20">
      <c r="A1051" s="3" t="s">
        <v>1600</v>
      </c>
      <c r="B1051" s="3" t="s">
        <v>1606</v>
      </c>
      <c r="C1051" s="3" t="s">
        <v>1616</v>
      </c>
      <c r="D1051" s="3" t="s">
        <v>130</v>
      </c>
      <c r="E1051" s="3" t="s">
        <v>131</v>
      </c>
      <c r="F1051" s="2">
        <v>1</v>
      </c>
      <c r="G1051" s="4">
        <v>1.0335232542732209</v>
      </c>
      <c r="H1051" s="2">
        <v>25</v>
      </c>
      <c r="I1051" s="2">
        <v>5</v>
      </c>
      <c r="J1051" s="2">
        <v>16</v>
      </c>
      <c r="K1051" s="11">
        <v>1</v>
      </c>
      <c r="L1051" s="11">
        <v>0.15765902458878467</v>
      </c>
      <c r="M1051" s="4">
        <v>0.15765902458878467</v>
      </c>
      <c r="N1051" s="10">
        <v>0.158</v>
      </c>
      <c r="O1051" s="4">
        <v>0.78823818386349109</v>
      </c>
      <c r="P1051" s="4">
        <v>0.79</v>
      </c>
      <c r="Q1051" s="3" t="s">
        <v>1597</v>
      </c>
      <c r="R1051" s="3" t="s">
        <v>1607</v>
      </c>
      <c r="S1051" s="3" t="s">
        <v>1608</v>
      </c>
      <c r="T1051" s="3"/>
    </row>
    <row r="1052" spans="1:20">
      <c r="A1052" s="3" t="s">
        <v>1600</v>
      </c>
      <c r="B1052" s="3" t="s">
        <v>1606</v>
      </c>
      <c r="C1052" s="3" t="s">
        <v>1616</v>
      </c>
      <c r="D1052" s="3" t="s">
        <v>130</v>
      </c>
      <c r="E1052" s="3" t="s">
        <v>131</v>
      </c>
      <c r="F1052" s="2">
        <v>1</v>
      </c>
      <c r="G1052" s="4">
        <v>1.0335232542732209</v>
      </c>
      <c r="H1052" s="2">
        <v>25</v>
      </c>
      <c r="I1052" s="2">
        <v>5</v>
      </c>
      <c r="J1052" s="2">
        <v>1</v>
      </c>
      <c r="K1052" s="4">
        <v>1</v>
      </c>
      <c r="L1052" s="4">
        <v>0.12717030934229581</v>
      </c>
      <c r="M1052" s="4">
        <v>0.12717030934229581</v>
      </c>
      <c r="N1052" s="10">
        <v>0.127</v>
      </c>
      <c r="O1052" s="4">
        <v>0.6339345540120318</v>
      </c>
      <c r="P1052" s="4">
        <v>0.63</v>
      </c>
      <c r="Q1052" s="3" t="s">
        <v>1597</v>
      </c>
      <c r="R1052" s="3" t="s">
        <v>1607</v>
      </c>
      <c r="S1052" s="3" t="s">
        <v>1608</v>
      </c>
      <c r="T1052" s="3"/>
    </row>
    <row r="1053" spans="1:20">
      <c r="A1053" s="3" t="s">
        <v>1594</v>
      </c>
      <c r="B1053" s="3" t="s">
        <v>1595</v>
      </c>
      <c r="C1053" s="3" t="s">
        <v>1596</v>
      </c>
      <c r="D1053" s="3" t="s">
        <v>130</v>
      </c>
      <c r="E1053" s="3" t="s">
        <v>131</v>
      </c>
      <c r="F1053" s="2">
        <v>1</v>
      </c>
      <c r="G1053" s="4">
        <v>1.0335232542732209</v>
      </c>
      <c r="H1053" s="2">
        <v>50</v>
      </c>
      <c r="I1053" s="2">
        <v>5</v>
      </c>
      <c r="J1053" s="2">
        <v>16</v>
      </c>
      <c r="K1053" s="4">
        <v>0.92870110100309622</v>
      </c>
      <c r="L1053" s="14">
        <v>-2.1238541535862344E-2</v>
      </c>
      <c r="M1053" s="4">
        <v>2.1238541535862344E-2</v>
      </c>
      <c r="N1053" s="10">
        <v>2.1000000000000001E-2</v>
      </c>
      <c r="O1053" s="4">
        <v>0.11414589465766008</v>
      </c>
      <c r="P1053" s="4">
        <v>-0.11</v>
      </c>
      <c r="Q1053" s="3" t="s">
        <v>1617</v>
      </c>
      <c r="R1053" s="3" t="s">
        <v>1625</v>
      </c>
      <c r="S1053" s="3" t="s">
        <v>1626</v>
      </c>
      <c r="T1053" s="3"/>
    </row>
    <row r="1054" spans="1:20">
      <c r="A1054" s="3" t="s">
        <v>1600</v>
      </c>
      <c r="B1054" s="3" t="s">
        <v>1609</v>
      </c>
      <c r="C1054" s="3" t="s">
        <v>1616</v>
      </c>
      <c r="D1054" s="3" t="s">
        <v>130</v>
      </c>
      <c r="E1054" s="3" t="s">
        <v>131</v>
      </c>
      <c r="F1054" s="2">
        <v>1</v>
      </c>
      <c r="G1054" s="4">
        <v>1.0335232542732209</v>
      </c>
      <c r="H1054" s="2">
        <v>25</v>
      </c>
      <c r="I1054" s="2">
        <v>5</v>
      </c>
      <c r="J1054" s="2">
        <v>16</v>
      </c>
      <c r="K1054" s="11">
        <v>0.64346801068021753</v>
      </c>
      <c r="L1054" s="11">
        <v>-2.3305451867801981E-2</v>
      </c>
      <c r="M1054" s="4">
        <v>2.3305451867801981E-2</v>
      </c>
      <c r="N1054" s="10">
        <v>2.3E-2</v>
      </c>
      <c r="O1054" s="4">
        <v>0.1155678733355902</v>
      </c>
      <c r="P1054" s="4">
        <v>-0.11</v>
      </c>
      <c r="Q1054" s="3" t="s">
        <v>1617</v>
      </c>
      <c r="R1054" s="3" t="s">
        <v>1623</v>
      </c>
      <c r="S1054" s="3" t="s">
        <v>1624</v>
      </c>
      <c r="T1054" s="3"/>
    </row>
    <row r="1055" spans="1:20">
      <c r="A1055" s="3" t="s">
        <v>1600</v>
      </c>
      <c r="B1055" s="3" t="s">
        <v>1609</v>
      </c>
      <c r="C1055" s="3" t="s">
        <v>1616</v>
      </c>
      <c r="D1055" s="3" t="s">
        <v>130</v>
      </c>
      <c r="E1055" s="3" t="s">
        <v>131</v>
      </c>
      <c r="F1055" s="2">
        <v>1</v>
      </c>
      <c r="G1055" s="4">
        <v>1.0335232542732209</v>
      </c>
      <c r="H1055" s="2">
        <v>25</v>
      </c>
      <c r="I1055" s="2">
        <v>5</v>
      </c>
      <c r="J1055" s="2">
        <v>1</v>
      </c>
      <c r="K1055" s="4">
        <v>0.7867533207232642</v>
      </c>
      <c r="L1055" s="4">
        <v>-5.579080875042166E-2</v>
      </c>
      <c r="M1055" s="4">
        <v>5.579080875042166E-2</v>
      </c>
      <c r="N1055" s="10">
        <v>5.6000000000000001E-2</v>
      </c>
      <c r="O1055" s="4">
        <v>0.27689480646293052</v>
      </c>
      <c r="P1055" s="4">
        <v>-0.28000000000000003</v>
      </c>
      <c r="Q1055" s="3" t="s">
        <v>1617</v>
      </c>
      <c r="R1055" s="3" t="s">
        <v>1623</v>
      </c>
      <c r="S1055" s="3" t="s">
        <v>1624</v>
      </c>
      <c r="T1055" s="3"/>
    </row>
    <row r="1056" spans="1:20">
      <c r="A1056" s="3" t="s">
        <v>1600</v>
      </c>
      <c r="B1056" s="3" t="s">
        <v>1601</v>
      </c>
      <c r="C1056" s="3" t="s">
        <v>1616</v>
      </c>
      <c r="D1056" s="3" t="s">
        <v>130</v>
      </c>
      <c r="E1056" s="3" t="s">
        <v>131</v>
      </c>
      <c r="F1056" s="2">
        <v>1</v>
      </c>
      <c r="G1056" s="4">
        <v>1.0335232542732209</v>
      </c>
      <c r="H1056" s="2">
        <v>25</v>
      </c>
      <c r="I1056" s="2">
        <v>5</v>
      </c>
      <c r="J1056" s="2">
        <v>1</v>
      </c>
      <c r="K1056" s="4">
        <v>0.99437773502125915</v>
      </c>
      <c r="L1056" s="4">
        <v>-6.1750463632023848E-2</v>
      </c>
      <c r="M1056" s="4">
        <v>6.1750463632023848E-2</v>
      </c>
      <c r="N1056" s="10">
        <v>6.2E-2</v>
      </c>
      <c r="O1056" s="4">
        <v>0.30654489605292445</v>
      </c>
      <c r="P1056" s="4">
        <v>-0.31</v>
      </c>
      <c r="Q1056" s="3" t="s">
        <v>1617</v>
      </c>
      <c r="R1056" s="3" t="s">
        <v>1618</v>
      </c>
      <c r="S1056" s="3" t="s">
        <v>1619</v>
      </c>
      <c r="T1056" s="3"/>
    </row>
    <row r="1057" spans="1:20">
      <c r="A1057" s="3" t="s">
        <v>1600</v>
      </c>
      <c r="B1057" s="3" t="s">
        <v>1601</v>
      </c>
      <c r="C1057" s="3" t="s">
        <v>1616</v>
      </c>
      <c r="D1057" s="3" t="s">
        <v>130</v>
      </c>
      <c r="E1057" s="3" t="s">
        <v>131</v>
      </c>
      <c r="F1057" s="2">
        <v>1</v>
      </c>
      <c r="G1057" s="4">
        <v>1.0335232542732209</v>
      </c>
      <c r="H1057" s="2">
        <v>25</v>
      </c>
      <c r="I1057" s="2">
        <v>5</v>
      </c>
      <c r="J1057" s="2">
        <v>16</v>
      </c>
      <c r="K1057" s="4">
        <v>1</v>
      </c>
      <c r="L1057" s="4">
        <v>-7.0300214334340236E-2</v>
      </c>
      <c r="M1057" s="4">
        <v>7.0300214334340236E-2</v>
      </c>
      <c r="N1057" s="10">
        <v>7.0000000000000007E-2</v>
      </c>
      <c r="O1057" s="4">
        <v>0.34911987878783407</v>
      </c>
      <c r="P1057" s="4">
        <v>-0.35</v>
      </c>
      <c r="Q1057" s="3" t="s">
        <v>1617</v>
      </c>
      <c r="R1057" s="3" t="s">
        <v>1618</v>
      </c>
      <c r="S1057" s="3" t="s">
        <v>1619</v>
      </c>
      <c r="T1057" s="3"/>
    </row>
    <row r="1058" spans="1:20">
      <c r="A1058" s="3" t="s">
        <v>1600</v>
      </c>
      <c r="B1058" s="3" t="s">
        <v>1606</v>
      </c>
      <c r="C1058" s="3" t="s">
        <v>1596</v>
      </c>
      <c r="D1058" s="3" t="s">
        <v>130</v>
      </c>
      <c r="E1058" s="3" t="s">
        <v>131</v>
      </c>
      <c r="F1058" s="2">
        <v>1</v>
      </c>
      <c r="G1058" s="4">
        <v>1.0335232542732209</v>
      </c>
      <c r="H1058" s="2">
        <v>25</v>
      </c>
      <c r="I1058" s="2">
        <v>5</v>
      </c>
      <c r="J1058" s="2">
        <v>1</v>
      </c>
      <c r="K1058" s="11">
        <v>1</v>
      </c>
      <c r="L1058" s="11">
        <v>-0.1429625649393011</v>
      </c>
      <c r="M1058" s="4">
        <v>0.1429625649393011</v>
      </c>
      <c r="N1058" s="10">
        <v>0.14299999999999999</v>
      </c>
      <c r="O1058" s="4">
        <v>0.71368827538725388</v>
      </c>
      <c r="P1058" s="4">
        <v>-0.71</v>
      </c>
      <c r="Q1058" s="3" t="s">
        <v>1617</v>
      </c>
      <c r="R1058" s="3" t="s">
        <v>1621</v>
      </c>
      <c r="S1058" s="3" t="s">
        <v>1622</v>
      </c>
      <c r="T1058" s="3"/>
    </row>
    <row r="1059" spans="1:20">
      <c r="A1059" s="3" t="s">
        <v>1604</v>
      </c>
      <c r="B1059" s="3" t="s">
        <v>1601</v>
      </c>
      <c r="C1059" s="3" t="s">
        <v>1616</v>
      </c>
      <c r="D1059" s="3" t="s">
        <v>130</v>
      </c>
      <c r="E1059" s="3" t="s">
        <v>131</v>
      </c>
      <c r="F1059" s="2">
        <v>1</v>
      </c>
      <c r="G1059" s="4">
        <v>1.0335232542732209</v>
      </c>
      <c r="H1059" s="2">
        <v>25</v>
      </c>
      <c r="I1059" s="2">
        <v>30</v>
      </c>
      <c r="J1059" s="2">
        <v>16</v>
      </c>
      <c r="K1059" s="4">
        <v>0.9897991114906981</v>
      </c>
      <c r="L1059" s="4">
        <v>-0.15260559127177761</v>
      </c>
      <c r="M1059" s="4">
        <v>0.15260559127177761</v>
      </c>
      <c r="N1059" s="10">
        <v>0.153</v>
      </c>
      <c r="O1059" s="4">
        <v>0.76256568797375868</v>
      </c>
      <c r="P1059" s="4">
        <v>-0.76</v>
      </c>
      <c r="Q1059" s="3" t="s">
        <v>1617</v>
      </c>
      <c r="R1059" s="3" t="s">
        <v>1618</v>
      </c>
      <c r="S1059" s="3" t="s">
        <v>1619</v>
      </c>
      <c r="T1059" s="3"/>
    </row>
    <row r="1060" spans="1:20">
      <c r="A1060" s="3" t="s">
        <v>1600</v>
      </c>
      <c r="B1060" s="3" t="s">
        <v>1606</v>
      </c>
      <c r="C1060" s="3" t="s">
        <v>1596</v>
      </c>
      <c r="D1060" s="3" t="s">
        <v>130</v>
      </c>
      <c r="E1060" s="3" t="s">
        <v>131</v>
      </c>
      <c r="F1060" s="2">
        <v>1</v>
      </c>
      <c r="G1060" s="4">
        <v>1.0335232542732209</v>
      </c>
      <c r="H1060" s="2">
        <v>25</v>
      </c>
      <c r="I1060" s="2">
        <v>5</v>
      </c>
      <c r="J1060" s="2">
        <v>16</v>
      </c>
      <c r="K1060" s="11">
        <v>1</v>
      </c>
      <c r="L1060" s="11">
        <v>-0.16523117112098451</v>
      </c>
      <c r="M1060" s="4">
        <v>0.16523117112098451</v>
      </c>
      <c r="N1060" s="10">
        <v>0.16500000000000001</v>
      </c>
      <c r="O1060" s="4">
        <v>0.8267853209132161</v>
      </c>
      <c r="P1060" s="4">
        <v>-0.83</v>
      </c>
      <c r="Q1060" s="3" t="s">
        <v>1617</v>
      </c>
      <c r="R1060" s="3" t="s">
        <v>1621</v>
      </c>
      <c r="S1060" s="3" t="s">
        <v>1622</v>
      </c>
      <c r="T1060" s="3"/>
    </row>
    <row r="1061" spans="1:20">
      <c r="A1061" s="3" t="s">
        <v>1600</v>
      </c>
      <c r="B1061" s="3" t="s">
        <v>1609</v>
      </c>
      <c r="C1061" s="3" t="s">
        <v>1596</v>
      </c>
      <c r="D1061" s="3" t="s">
        <v>130</v>
      </c>
      <c r="E1061" s="3" t="s">
        <v>131</v>
      </c>
      <c r="F1061" s="2">
        <v>1</v>
      </c>
      <c r="G1061" s="4">
        <v>1.0335232542732209</v>
      </c>
      <c r="H1061" s="2">
        <v>25</v>
      </c>
      <c r="I1061" s="2">
        <v>5</v>
      </c>
      <c r="J1061" s="2">
        <v>16</v>
      </c>
      <c r="K1061" s="4">
        <v>0.84579976752208696</v>
      </c>
      <c r="L1061" s="4">
        <v>-0.316450911839743</v>
      </c>
      <c r="M1061" s="4">
        <v>0.316450911839743</v>
      </c>
      <c r="N1061" s="10">
        <v>0.316</v>
      </c>
      <c r="O1061" s="4">
        <v>1.6247063688515015</v>
      </c>
      <c r="P1061" s="4">
        <v>-1.62</v>
      </c>
      <c r="Q1061" s="3" t="s">
        <v>1617</v>
      </c>
      <c r="R1061" s="3" t="s">
        <v>1623</v>
      </c>
      <c r="S1061" s="3" t="s">
        <v>1624</v>
      </c>
      <c r="T1061" s="3"/>
    </row>
    <row r="1062" spans="1:20">
      <c r="A1062" s="3" t="s">
        <v>1600</v>
      </c>
      <c r="B1062" s="3" t="s">
        <v>1601</v>
      </c>
      <c r="C1062" s="3" t="s">
        <v>1596</v>
      </c>
      <c r="D1062" s="3" t="s">
        <v>130</v>
      </c>
      <c r="E1062" s="3" t="s">
        <v>131</v>
      </c>
      <c r="F1062" s="2">
        <v>1</v>
      </c>
      <c r="G1062" s="4">
        <v>1.0335232542732209</v>
      </c>
      <c r="H1062" s="2">
        <v>25</v>
      </c>
      <c r="I1062" s="2">
        <v>5</v>
      </c>
      <c r="J1062" s="2">
        <v>16</v>
      </c>
      <c r="K1062" s="4">
        <v>0.54944175355003311</v>
      </c>
      <c r="L1062" s="4">
        <v>-0.33184914191179193</v>
      </c>
      <c r="M1062" s="4">
        <v>0.33184914191179193</v>
      </c>
      <c r="N1062" s="10">
        <v>0.33200000000000002</v>
      </c>
      <c r="O1062" s="4">
        <v>1.7100160560234114</v>
      </c>
      <c r="P1062" s="4">
        <v>-1.71</v>
      </c>
      <c r="Q1062" s="3" t="s">
        <v>1617</v>
      </c>
      <c r="R1062" s="3" t="s">
        <v>1618</v>
      </c>
      <c r="S1062" s="3" t="s">
        <v>1619</v>
      </c>
      <c r="T1062" s="3"/>
    </row>
    <row r="1063" spans="1:20">
      <c r="A1063" s="12" t="s">
        <v>1605</v>
      </c>
      <c r="B1063" s="3" t="s">
        <v>1601</v>
      </c>
      <c r="C1063" s="3" t="s">
        <v>1596</v>
      </c>
      <c r="D1063" s="3" t="s">
        <v>130</v>
      </c>
      <c r="E1063" s="3" t="s">
        <v>131</v>
      </c>
      <c r="F1063" s="2">
        <v>1</v>
      </c>
      <c r="G1063" s="4">
        <v>1.0335232542732209</v>
      </c>
      <c r="H1063" s="2">
        <v>25</v>
      </c>
      <c r="I1063" s="2">
        <v>5</v>
      </c>
      <c r="J1063" s="2">
        <v>16</v>
      </c>
      <c r="K1063" s="11">
        <v>1</v>
      </c>
      <c r="L1063" s="11">
        <v>-0.33531227824327614</v>
      </c>
      <c r="M1063" s="4">
        <v>0.33531227824327614</v>
      </c>
      <c r="N1063" s="10">
        <v>0.33500000000000002</v>
      </c>
      <c r="O1063" s="4">
        <v>1.7293359351131439</v>
      </c>
      <c r="P1063" s="4">
        <v>-1.73</v>
      </c>
      <c r="Q1063" s="3" t="s">
        <v>1617</v>
      </c>
      <c r="R1063" s="3" t="s">
        <v>1618</v>
      </c>
      <c r="S1063" s="3" t="s">
        <v>1619</v>
      </c>
      <c r="T1063" s="3"/>
    </row>
    <row r="1064" spans="1:20">
      <c r="A1064" s="3" t="s">
        <v>1600</v>
      </c>
      <c r="B1064" s="3" t="s">
        <v>1601</v>
      </c>
      <c r="C1064" s="3" t="s">
        <v>1596</v>
      </c>
      <c r="D1064" s="3" t="s">
        <v>130</v>
      </c>
      <c r="E1064" s="3" t="s">
        <v>131</v>
      </c>
      <c r="F1064" s="2">
        <v>1</v>
      </c>
      <c r="G1064" s="4">
        <v>1.0335232542732209</v>
      </c>
      <c r="H1064" s="2">
        <v>25</v>
      </c>
      <c r="I1064" s="2">
        <v>5</v>
      </c>
      <c r="J1064" s="2">
        <v>1</v>
      </c>
      <c r="K1064" s="4">
        <v>0.58842911793624431</v>
      </c>
      <c r="L1064" s="4">
        <v>-0.33954829088480726</v>
      </c>
      <c r="M1064" s="4">
        <v>0.33954829088480726</v>
      </c>
      <c r="N1064" s="10">
        <v>0.34</v>
      </c>
      <c r="O1064" s="4">
        <v>1.7530363838863723</v>
      </c>
      <c r="P1064" s="4">
        <v>-1.76</v>
      </c>
      <c r="Q1064" s="3" t="s">
        <v>1617</v>
      </c>
      <c r="R1064" s="3" t="s">
        <v>1618</v>
      </c>
      <c r="S1064" s="3" t="s">
        <v>1619</v>
      </c>
      <c r="T1064" s="3"/>
    </row>
    <row r="1065" spans="1:20">
      <c r="A1065" s="3" t="s">
        <v>1604</v>
      </c>
      <c r="B1065" s="3" t="s">
        <v>1601</v>
      </c>
      <c r="C1065" s="3" t="s">
        <v>1596</v>
      </c>
      <c r="D1065" s="3" t="s">
        <v>130</v>
      </c>
      <c r="E1065" s="3" t="s">
        <v>131</v>
      </c>
      <c r="F1065" s="2">
        <v>1</v>
      </c>
      <c r="G1065" s="4">
        <v>1.0335232542732209</v>
      </c>
      <c r="H1065" s="2">
        <v>25</v>
      </c>
      <c r="I1065" s="2">
        <v>30</v>
      </c>
      <c r="J1065" s="2">
        <v>16</v>
      </c>
      <c r="K1065" s="4">
        <v>1</v>
      </c>
      <c r="L1065" s="4">
        <v>-0.34910800994185903</v>
      </c>
      <c r="M1065" s="4">
        <v>0.34910800994185903</v>
      </c>
      <c r="N1065" s="10">
        <v>0.34899999999999998</v>
      </c>
      <c r="O1065" s="4">
        <v>1.8068088576791088</v>
      </c>
      <c r="P1065" s="4">
        <v>-1.81</v>
      </c>
      <c r="Q1065" s="3" t="s">
        <v>1617</v>
      </c>
      <c r="R1065" s="3" t="s">
        <v>1618</v>
      </c>
      <c r="S1065" s="3" t="s">
        <v>1619</v>
      </c>
      <c r="T1065" s="3"/>
    </row>
    <row r="1066" spans="1:20">
      <c r="A1066" s="3" t="s">
        <v>1594</v>
      </c>
      <c r="B1066" s="3" t="s">
        <v>1612</v>
      </c>
      <c r="C1066" s="3" t="s">
        <v>1596</v>
      </c>
      <c r="D1066" s="3" t="s">
        <v>130</v>
      </c>
      <c r="E1066" s="3" t="s">
        <v>131</v>
      </c>
      <c r="F1066" s="2">
        <v>1</v>
      </c>
      <c r="G1066" s="4">
        <v>1.0335232542732209</v>
      </c>
      <c r="H1066" s="2">
        <v>50</v>
      </c>
      <c r="I1066" s="2">
        <v>5</v>
      </c>
      <c r="J1066" s="2">
        <v>16</v>
      </c>
      <c r="K1066" s="4">
        <v>0.72338573583624977</v>
      </c>
      <c r="L1066" s="14">
        <v>-0.43655898632239731</v>
      </c>
      <c r="M1066" s="4">
        <v>0.43655898632239731</v>
      </c>
      <c r="N1066" s="10">
        <v>0.437</v>
      </c>
      <c r="O1066" s="4">
        <v>2.5147211431971446</v>
      </c>
      <c r="P1066" s="4">
        <v>-2.52</v>
      </c>
      <c r="Q1066" s="3" t="s">
        <v>1617</v>
      </c>
      <c r="R1066" s="3" t="s">
        <v>1627</v>
      </c>
      <c r="S1066" s="3" t="s">
        <v>1628</v>
      </c>
      <c r="T1066" s="3"/>
    </row>
    <row r="1067" spans="1:20">
      <c r="A1067" s="3" t="s">
        <v>1600</v>
      </c>
      <c r="B1067" s="3" t="s">
        <v>1609</v>
      </c>
      <c r="C1067" s="3" t="s">
        <v>1596</v>
      </c>
      <c r="D1067" s="3" t="s">
        <v>130</v>
      </c>
      <c r="E1067" s="3" t="s">
        <v>131</v>
      </c>
      <c r="F1067" s="2">
        <v>1</v>
      </c>
      <c r="G1067" s="4">
        <v>1.0335232542732209</v>
      </c>
      <c r="H1067" s="2">
        <v>25</v>
      </c>
      <c r="I1067" s="2">
        <v>5</v>
      </c>
      <c r="J1067" s="2">
        <v>1</v>
      </c>
      <c r="K1067" s="11">
        <v>1</v>
      </c>
      <c r="L1067" s="11">
        <v>-0.73402922427440997</v>
      </c>
      <c r="M1067" s="4">
        <v>0.73402922427440997</v>
      </c>
      <c r="N1067" s="10">
        <v>0.73399999999999999</v>
      </c>
      <c r="O1067" s="4">
        <v>4.6476106204668914</v>
      </c>
      <c r="P1067" s="4">
        <v>-4.6500000000000004</v>
      </c>
      <c r="Q1067" s="3" t="s">
        <v>1617</v>
      </c>
      <c r="R1067" s="3" t="s">
        <v>1623</v>
      </c>
      <c r="S1067" s="3" t="s">
        <v>1624</v>
      </c>
      <c r="T1067" s="3"/>
    </row>
    <row r="1068" spans="1:20">
      <c r="A1068" s="3" t="s">
        <v>1594</v>
      </c>
      <c r="B1068" s="3" t="s">
        <v>1612</v>
      </c>
      <c r="C1068" s="3" t="s">
        <v>1596</v>
      </c>
      <c r="D1068" s="3" t="s">
        <v>121</v>
      </c>
      <c r="E1068" s="3" t="s">
        <v>122</v>
      </c>
      <c r="F1068" s="2">
        <v>1</v>
      </c>
      <c r="G1068" s="4">
        <v>1.0342773596144474</v>
      </c>
      <c r="H1068" s="2">
        <v>50</v>
      </c>
      <c r="I1068" s="2">
        <v>5</v>
      </c>
      <c r="J1068" s="2">
        <v>16</v>
      </c>
      <c r="K1068" s="4">
        <v>0.90929046742270037</v>
      </c>
      <c r="L1068" s="14">
        <v>0.1036836626850389</v>
      </c>
      <c r="M1068" s="4">
        <v>0.1036836626850389</v>
      </c>
      <c r="N1068" s="10">
        <v>0.104</v>
      </c>
      <c r="O1068" s="4">
        <v>0.55917041788626343</v>
      </c>
      <c r="P1068" s="4">
        <v>0.56000000000000005</v>
      </c>
      <c r="Q1068" s="3" t="s">
        <v>1597</v>
      </c>
      <c r="R1068" s="3" t="s">
        <v>1613</v>
      </c>
      <c r="S1068" s="3" t="s">
        <v>1614</v>
      </c>
      <c r="T1068" s="3"/>
    </row>
    <row r="1069" spans="1:20">
      <c r="A1069" s="3" t="s">
        <v>1594</v>
      </c>
      <c r="B1069" s="3" t="s">
        <v>1595</v>
      </c>
      <c r="C1069" s="3" t="s">
        <v>1596</v>
      </c>
      <c r="D1069" s="3" t="s">
        <v>121</v>
      </c>
      <c r="E1069" s="3" t="s">
        <v>122</v>
      </c>
      <c r="F1069" s="2">
        <v>1</v>
      </c>
      <c r="G1069" s="4">
        <v>1.0342773596144474</v>
      </c>
      <c r="H1069" s="2">
        <v>50</v>
      </c>
      <c r="I1069" s="2">
        <v>5</v>
      </c>
      <c r="J1069" s="2">
        <v>16</v>
      </c>
      <c r="K1069" s="4">
        <v>9.7523028538236259E-2</v>
      </c>
      <c r="L1069" s="14">
        <v>9.0123117313669759E-2</v>
      </c>
      <c r="M1069" s="4">
        <v>9.0123117313669759E-2</v>
      </c>
      <c r="N1069" s="10">
        <v>0.09</v>
      </c>
      <c r="O1069" s="4">
        <v>0.48560870519573129</v>
      </c>
      <c r="P1069" s="4">
        <v>0.48</v>
      </c>
      <c r="Q1069" s="3" t="s">
        <v>1597</v>
      </c>
      <c r="R1069" s="3" t="s">
        <v>1598</v>
      </c>
      <c r="S1069" s="3" t="s">
        <v>1599</v>
      </c>
      <c r="T1069" s="3"/>
    </row>
    <row r="1070" spans="1:20">
      <c r="A1070" s="3" t="s">
        <v>1600</v>
      </c>
      <c r="B1070" s="3" t="s">
        <v>1606</v>
      </c>
      <c r="C1070" s="3" t="s">
        <v>1616</v>
      </c>
      <c r="D1070" s="3" t="s">
        <v>121</v>
      </c>
      <c r="E1070" s="3" t="s">
        <v>122</v>
      </c>
      <c r="F1070" s="2">
        <v>1</v>
      </c>
      <c r="G1070" s="4">
        <v>1.0342773596144474</v>
      </c>
      <c r="H1070" s="2">
        <v>25</v>
      </c>
      <c r="I1070" s="2">
        <v>5</v>
      </c>
      <c r="J1070" s="2">
        <v>1</v>
      </c>
      <c r="K1070" s="4">
        <v>0.54102086866118548</v>
      </c>
      <c r="L1070" s="4">
        <v>7.0810265194384117E-2</v>
      </c>
      <c r="M1070" s="4">
        <v>7.0810265194384117E-2</v>
      </c>
      <c r="N1070" s="10">
        <v>7.0999999999999994E-2</v>
      </c>
      <c r="O1070" s="4">
        <v>0.35166132999387811</v>
      </c>
      <c r="P1070" s="4">
        <v>0.35</v>
      </c>
      <c r="Q1070" s="3" t="s">
        <v>1597</v>
      </c>
      <c r="R1070" s="3" t="s">
        <v>1607</v>
      </c>
      <c r="S1070" s="3" t="s">
        <v>1608</v>
      </c>
      <c r="T1070" s="3"/>
    </row>
    <row r="1071" spans="1:20">
      <c r="A1071" s="3" t="s">
        <v>1600</v>
      </c>
      <c r="B1071" s="3" t="s">
        <v>1606</v>
      </c>
      <c r="C1071" s="3" t="s">
        <v>1616</v>
      </c>
      <c r="D1071" s="3" t="s">
        <v>121</v>
      </c>
      <c r="E1071" s="3" t="s">
        <v>122</v>
      </c>
      <c r="F1071" s="2">
        <v>1</v>
      </c>
      <c r="G1071" s="4">
        <v>1.0342773596144474</v>
      </c>
      <c r="H1071" s="2">
        <v>25</v>
      </c>
      <c r="I1071" s="2">
        <v>5</v>
      </c>
      <c r="J1071" s="2">
        <v>16</v>
      </c>
      <c r="K1071" s="11">
        <v>0.51897774760739668</v>
      </c>
      <c r="L1071" s="11">
        <v>6.4084245510452026E-2</v>
      </c>
      <c r="M1071" s="4">
        <v>6.4084245510452026E-2</v>
      </c>
      <c r="N1071" s="10">
        <v>6.4000000000000001E-2</v>
      </c>
      <c r="O1071" s="4">
        <v>0.31816162934232073</v>
      </c>
      <c r="P1071" s="4">
        <v>0.32</v>
      </c>
      <c r="Q1071" s="3" t="s">
        <v>1597</v>
      </c>
      <c r="R1071" s="3" t="s">
        <v>1607</v>
      </c>
      <c r="S1071" s="3" t="s">
        <v>1608</v>
      </c>
      <c r="T1071" s="3"/>
    </row>
    <row r="1072" spans="1:20">
      <c r="A1072" s="3" t="s">
        <v>1600</v>
      </c>
      <c r="B1072" s="3" t="s">
        <v>1606</v>
      </c>
      <c r="C1072" s="3" t="s">
        <v>1596</v>
      </c>
      <c r="D1072" s="3" t="s">
        <v>121</v>
      </c>
      <c r="E1072" s="3" t="s">
        <v>122</v>
      </c>
      <c r="F1072" s="2">
        <v>1</v>
      </c>
      <c r="G1072" s="4">
        <v>1.0342773596144474</v>
      </c>
      <c r="H1072" s="2">
        <v>25</v>
      </c>
      <c r="I1072" s="2">
        <v>5</v>
      </c>
      <c r="J1072" s="2">
        <v>16</v>
      </c>
      <c r="K1072" s="11">
        <v>0.94647956475305439</v>
      </c>
      <c r="L1072" s="11">
        <v>-0.25074053137365743</v>
      </c>
      <c r="M1072" s="4">
        <v>0.25074053137365743</v>
      </c>
      <c r="N1072" s="10">
        <v>0.251</v>
      </c>
      <c r="O1072" s="4">
        <v>1.2702375132014325</v>
      </c>
      <c r="P1072" s="4">
        <v>-1.27</v>
      </c>
      <c r="Q1072" s="3" t="s">
        <v>1617</v>
      </c>
      <c r="R1072" s="3" t="s">
        <v>1621</v>
      </c>
      <c r="S1072" s="3" t="s">
        <v>1622</v>
      </c>
      <c r="T1072" s="3"/>
    </row>
    <row r="1073" spans="1:20">
      <c r="A1073" s="3" t="s">
        <v>1600</v>
      </c>
      <c r="B1073" s="3" t="s">
        <v>1606</v>
      </c>
      <c r="C1073" s="3" t="s">
        <v>1596</v>
      </c>
      <c r="D1073" s="3" t="s">
        <v>121</v>
      </c>
      <c r="E1073" s="3" t="s">
        <v>122</v>
      </c>
      <c r="F1073" s="2">
        <v>1</v>
      </c>
      <c r="G1073" s="4">
        <v>1.0342773596144474</v>
      </c>
      <c r="H1073" s="2">
        <v>25</v>
      </c>
      <c r="I1073" s="2">
        <v>5</v>
      </c>
      <c r="J1073" s="2">
        <v>1</v>
      </c>
      <c r="K1073" s="11">
        <v>0.56735757927982933</v>
      </c>
      <c r="L1073" s="11">
        <v>-0.31179496236120008</v>
      </c>
      <c r="M1073" s="4">
        <v>0.31179496236120008</v>
      </c>
      <c r="N1073" s="10">
        <v>0.312</v>
      </c>
      <c r="O1073" s="4">
        <v>1.5990952717531275</v>
      </c>
      <c r="P1073" s="4">
        <v>-1.6</v>
      </c>
      <c r="Q1073" s="3" t="s">
        <v>1617</v>
      </c>
      <c r="R1073" s="3" t="s">
        <v>1621</v>
      </c>
      <c r="S1073" s="3" t="s">
        <v>1622</v>
      </c>
      <c r="T1073" s="3"/>
    </row>
    <row r="1074" spans="1:20">
      <c r="A1074" s="3" t="s">
        <v>1604</v>
      </c>
      <c r="B1074" s="3" t="s">
        <v>1601</v>
      </c>
      <c r="C1074" s="3" t="s">
        <v>1616</v>
      </c>
      <c r="D1074" s="3" t="s">
        <v>121</v>
      </c>
      <c r="E1074" s="3" t="s">
        <v>122</v>
      </c>
      <c r="F1074" s="2">
        <v>1</v>
      </c>
      <c r="G1074" s="4">
        <v>1.0342773596144474</v>
      </c>
      <c r="H1074" s="2">
        <v>25</v>
      </c>
      <c r="I1074" s="2">
        <v>30</v>
      </c>
      <c r="J1074" s="2">
        <v>16</v>
      </c>
      <c r="K1074" s="4">
        <v>1</v>
      </c>
      <c r="L1074" s="4">
        <v>-0.41369904667124052</v>
      </c>
      <c r="M1074" s="4">
        <v>0.41369904667124052</v>
      </c>
      <c r="N1074" s="10">
        <v>0.41399999999999998</v>
      </c>
      <c r="O1074" s="4">
        <v>2.1818186118037692</v>
      </c>
      <c r="P1074" s="4">
        <v>-2.1800000000000002</v>
      </c>
      <c r="Q1074" s="3" t="s">
        <v>1617</v>
      </c>
      <c r="R1074" s="3" t="s">
        <v>1618</v>
      </c>
      <c r="S1074" s="3" t="s">
        <v>1619</v>
      </c>
      <c r="T1074" s="3"/>
    </row>
    <row r="1075" spans="1:20">
      <c r="A1075" s="3" t="s">
        <v>1600</v>
      </c>
      <c r="B1075" s="3" t="s">
        <v>1601</v>
      </c>
      <c r="C1075" s="3" t="s">
        <v>1616</v>
      </c>
      <c r="D1075" s="3" t="s">
        <v>121</v>
      </c>
      <c r="E1075" s="3" t="s">
        <v>122</v>
      </c>
      <c r="F1075" s="2">
        <v>1</v>
      </c>
      <c r="G1075" s="4">
        <v>1.0342773596144474</v>
      </c>
      <c r="H1075" s="2">
        <v>25</v>
      </c>
      <c r="I1075" s="2">
        <v>5</v>
      </c>
      <c r="J1075" s="2">
        <v>16</v>
      </c>
      <c r="K1075" s="4">
        <v>0.60510201961666099</v>
      </c>
      <c r="L1075" s="4">
        <v>-0.43682763040485273</v>
      </c>
      <c r="M1075" s="4">
        <v>0.43682763040485273</v>
      </c>
      <c r="N1075" s="10">
        <v>0.437</v>
      </c>
      <c r="O1075" s="4">
        <v>2.3218194013793405</v>
      </c>
      <c r="P1075" s="4">
        <v>-2.3199999999999998</v>
      </c>
      <c r="Q1075" s="3" t="s">
        <v>1617</v>
      </c>
      <c r="R1075" s="3" t="s">
        <v>1618</v>
      </c>
      <c r="S1075" s="3" t="s">
        <v>1619</v>
      </c>
      <c r="T1075" s="3"/>
    </row>
    <row r="1076" spans="1:20">
      <c r="A1076" s="3" t="s">
        <v>1600</v>
      </c>
      <c r="B1076" s="3" t="s">
        <v>1609</v>
      </c>
      <c r="C1076" s="3" t="s">
        <v>1596</v>
      </c>
      <c r="D1076" s="3" t="s">
        <v>121</v>
      </c>
      <c r="E1076" s="3" t="s">
        <v>122</v>
      </c>
      <c r="F1076" s="2">
        <v>1</v>
      </c>
      <c r="G1076" s="4">
        <v>1.0342773596144474</v>
      </c>
      <c r="H1076" s="2">
        <v>25</v>
      </c>
      <c r="I1076" s="2">
        <v>5</v>
      </c>
      <c r="J1076" s="2">
        <v>16</v>
      </c>
      <c r="K1076" s="4">
        <v>0.87109561042108319</v>
      </c>
      <c r="L1076" s="4">
        <v>-0.44329090655847292</v>
      </c>
      <c r="M1076" s="4">
        <v>0.44329090655847292</v>
      </c>
      <c r="N1076" s="10">
        <v>0.443</v>
      </c>
      <c r="O1076" s="4">
        <v>2.3615600460840955</v>
      </c>
      <c r="P1076" s="4">
        <v>-2.36</v>
      </c>
      <c r="Q1076" s="3" t="s">
        <v>1617</v>
      </c>
      <c r="R1076" s="3" t="s">
        <v>1623</v>
      </c>
      <c r="S1076" s="3" t="s">
        <v>1624</v>
      </c>
      <c r="T1076" s="3"/>
    </row>
    <row r="1077" spans="1:20">
      <c r="A1077" s="3" t="s">
        <v>1600</v>
      </c>
      <c r="B1077" s="3" t="s">
        <v>1601</v>
      </c>
      <c r="C1077" s="3" t="s">
        <v>1616</v>
      </c>
      <c r="D1077" s="3" t="s">
        <v>121</v>
      </c>
      <c r="E1077" s="3" t="s">
        <v>122</v>
      </c>
      <c r="F1077" s="2">
        <v>1</v>
      </c>
      <c r="G1077" s="4">
        <v>1.0342773596144474</v>
      </c>
      <c r="H1077" s="2">
        <v>25</v>
      </c>
      <c r="I1077" s="2">
        <v>5</v>
      </c>
      <c r="J1077" s="2">
        <v>1</v>
      </c>
      <c r="K1077" s="4">
        <v>0.436027599023179</v>
      </c>
      <c r="L1077" s="4">
        <v>-0.45105247616314226</v>
      </c>
      <c r="M1077" s="4">
        <v>0.45105247616314226</v>
      </c>
      <c r="N1077" s="10">
        <v>0.45100000000000001</v>
      </c>
      <c r="O1077" s="4">
        <v>2.409660106398984</v>
      </c>
      <c r="P1077" s="4">
        <v>-2.41</v>
      </c>
      <c r="Q1077" s="3" t="s">
        <v>1617</v>
      </c>
      <c r="R1077" s="3" t="s">
        <v>1618</v>
      </c>
      <c r="S1077" s="3" t="s">
        <v>1619</v>
      </c>
      <c r="T1077" s="3"/>
    </row>
    <row r="1078" spans="1:20">
      <c r="A1078" s="3" t="s">
        <v>1604</v>
      </c>
      <c r="B1078" s="3" t="s">
        <v>1601</v>
      </c>
      <c r="C1078" s="3" t="s">
        <v>1596</v>
      </c>
      <c r="D1078" s="3" t="s">
        <v>121</v>
      </c>
      <c r="E1078" s="3" t="s">
        <v>122</v>
      </c>
      <c r="F1078" s="2">
        <v>1</v>
      </c>
      <c r="G1078" s="4">
        <v>1.0342773596144474</v>
      </c>
      <c r="H1078" s="2">
        <v>25</v>
      </c>
      <c r="I1078" s="2">
        <v>30</v>
      </c>
      <c r="J1078" s="2">
        <v>16</v>
      </c>
      <c r="K1078" s="4">
        <v>1</v>
      </c>
      <c r="L1078" s="4">
        <v>-0.49202815400269245</v>
      </c>
      <c r="M1078" s="4">
        <v>0.49202815400269245</v>
      </c>
      <c r="N1078" s="10">
        <v>0.49199999999999999</v>
      </c>
      <c r="O1078" s="4">
        <v>2.6710029959728674</v>
      </c>
      <c r="P1078" s="4">
        <v>-2.67</v>
      </c>
      <c r="Q1078" s="3" t="s">
        <v>1617</v>
      </c>
      <c r="R1078" s="3" t="s">
        <v>1618</v>
      </c>
      <c r="S1078" s="3" t="s">
        <v>1619</v>
      </c>
      <c r="T1078" s="3"/>
    </row>
    <row r="1079" spans="1:20">
      <c r="A1079" s="3" t="s">
        <v>1600</v>
      </c>
      <c r="B1079" s="3" t="s">
        <v>1601</v>
      </c>
      <c r="C1079" s="3" t="s">
        <v>1596</v>
      </c>
      <c r="D1079" s="3" t="s">
        <v>121</v>
      </c>
      <c r="E1079" s="3" t="s">
        <v>122</v>
      </c>
      <c r="F1079" s="2">
        <v>1</v>
      </c>
      <c r="G1079" s="4">
        <v>1.0342773596144474</v>
      </c>
      <c r="H1079" s="2">
        <v>25</v>
      </c>
      <c r="I1079" s="2">
        <v>5</v>
      </c>
      <c r="J1079" s="2">
        <v>16</v>
      </c>
      <c r="K1079" s="4">
        <v>0.80656402174263553</v>
      </c>
      <c r="L1079" s="4">
        <v>-0.51135074450272944</v>
      </c>
      <c r="M1079" s="4">
        <v>0.51135074450272944</v>
      </c>
      <c r="N1079" s="10">
        <v>0.51100000000000001</v>
      </c>
      <c r="O1079" s="4">
        <v>2.7990379187121497</v>
      </c>
      <c r="P1079" s="4">
        <v>-2.8</v>
      </c>
      <c r="Q1079" s="3" t="s">
        <v>1617</v>
      </c>
      <c r="R1079" s="3" t="s">
        <v>1618</v>
      </c>
      <c r="S1079" s="3" t="s">
        <v>1619</v>
      </c>
      <c r="T1079" s="3"/>
    </row>
    <row r="1080" spans="1:20">
      <c r="A1080" s="12" t="s">
        <v>1605</v>
      </c>
      <c r="B1080" s="3" t="s">
        <v>1601</v>
      </c>
      <c r="C1080" s="3" t="s">
        <v>1596</v>
      </c>
      <c r="D1080" s="3" t="s">
        <v>121</v>
      </c>
      <c r="E1080" s="3" t="s">
        <v>122</v>
      </c>
      <c r="F1080" s="2">
        <v>1</v>
      </c>
      <c r="G1080" s="4">
        <v>1.0342773596144474</v>
      </c>
      <c r="H1080" s="2">
        <v>25</v>
      </c>
      <c r="I1080" s="2">
        <v>5</v>
      </c>
      <c r="J1080" s="2">
        <v>16</v>
      </c>
      <c r="K1080" s="11">
        <v>1</v>
      </c>
      <c r="L1080" s="11">
        <v>-0.52129451909756563</v>
      </c>
      <c r="M1080" s="4">
        <v>0.52129451909756563</v>
      </c>
      <c r="N1080" s="10">
        <v>0.52100000000000002</v>
      </c>
      <c r="O1080" s="4">
        <v>2.8662607513135661</v>
      </c>
      <c r="P1080" s="4">
        <v>-2.86</v>
      </c>
      <c r="Q1080" s="3" t="s">
        <v>1617</v>
      </c>
      <c r="R1080" s="3" t="s">
        <v>1618</v>
      </c>
      <c r="S1080" s="3" t="s">
        <v>1619</v>
      </c>
      <c r="T1080" s="3"/>
    </row>
    <row r="1081" spans="1:20">
      <c r="A1081" s="3" t="s">
        <v>1600</v>
      </c>
      <c r="B1081" s="3" t="s">
        <v>1601</v>
      </c>
      <c r="C1081" s="3" t="s">
        <v>1596</v>
      </c>
      <c r="D1081" s="3" t="s">
        <v>121</v>
      </c>
      <c r="E1081" s="3" t="s">
        <v>122</v>
      </c>
      <c r="F1081" s="2">
        <v>1</v>
      </c>
      <c r="G1081" s="4">
        <v>1.0342773596144474</v>
      </c>
      <c r="H1081" s="2">
        <v>25</v>
      </c>
      <c r="I1081" s="2">
        <v>5</v>
      </c>
      <c r="J1081" s="2">
        <v>1</v>
      </c>
      <c r="K1081" s="4">
        <v>0.15779691841377541</v>
      </c>
      <c r="L1081" s="4">
        <v>-0.5576546751262984</v>
      </c>
      <c r="M1081" s="4">
        <v>0.5576546751262984</v>
      </c>
      <c r="N1081" s="10">
        <v>0.55800000000000005</v>
      </c>
      <c r="O1081" s="4">
        <v>3.1206384289471636</v>
      </c>
      <c r="P1081" s="4">
        <v>-3.12</v>
      </c>
      <c r="Q1081" s="3" t="s">
        <v>1617</v>
      </c>
      <c r="R1081" s="3" t="s">
        <v>1618</v>
      </c>
      <c r="S1081" s="3" t="s">
        <v>1619</v>
      </c>
      <c r="T1081" s="3"/>
    </row>
    <row r="1082" spans="1:20">
      <c r="A1082" s="3" t="s">
        <v>1600</v>
      </c>
      <c r="B1082" s="3" t="s">
        <v>1609</v>
      </c>
      <c r="C1082" s="3" t="s">
        <v>1616</v>
      </c>
      <c r="D1082" s="3" t="s">
        <v>121</v>
      </c>
      <c r="E1082" s="3" t="s">
        <v>122</v>
      </c>
      <c r="F1082" s="2">
        <v>1</v>
      </c>
      <c r="G1082" s="4">
        <v>1.0342773596144474</v>
      </c>
      <c r="H1082" s="2">
        <v>25</v>
      </c>
      <c r="I1082" s="2">
        <v>5</v>
      </c>
      <c r="J1082" s="2">
        <v>1</v>
      </c>
      <c r="K1082" s="4">
        <v>0.37760283678769235</v>
      </c>
      <c r="L1082" s="4">
        <v>-0.70969791233104773</v>
      </c>
      <c r="M1082" s="4">
        <v>0.70969791233104773</v>
      </c>
      <c r="N1082" s="10">
        <v>0.71</v>
      </c>
      <c r="O1082" s="4">
        <v>4.3955822013800017</v>
      </c>
      <c r="P1082" s="4">
        <v>-4.4000000000000004</v>
      </c>
      <c r="Q1082" s="3" t="s">
        <v>1617</v>
      </c>
      <c r="R1082" s="3" t="s">
        <v>1623</v>
      </c>
      <c r="S1082" s="3" t="s">
        <v>1624</v>
      </c>
      <c r="T1082" s="3"/>
    </row>
    <row r="1083" spans="1:20">
      <c r="A1083" s="3" t="s">
        <v>1600</v>
      </c>
      <c r="B1083" s="3" t="s">
        <v>1609</v>
      </c>
      <c r="C1083" s="3" t="s">
        <v>1596</v>
      </c>
      <c r="D1083" s="3" t="s">
        <v>121</v>
      </c>
      <c r="E1083" s="3" t="s">
        <v>122</v>
      </c>
      <c r="F1083" s="2">
        <v>1</v>
      </c>
      <c r="G1083" s="4">
        <v>1.0342773596144474</v>
      </c>
      <c r="H1083" s="2">
        <v>25</v>
      </c>
      <c r="I1083" s="2">
        <v>5</v>
      </c>
      <c r="J1083" s="2">
        <v>1</v>
      </c>
      <c r="K1083" s="11">
        <v>0.29772028485039304</v>
      </c>
      <c r="L1083" s="11">
        <v>-0.72857737860797589</v>
      </c>
      <c r="M1083" s="4">
        <v>0.72857737860797589</v>
      </c>
      <c r="N1083" s="10">
        <v>0.72899999999999998</v>
      </c>
      <c r="O1083" s="4">
        <v>4.5895044894533239</v>
      </c>
      <c r="P1083" s="4">
        <v>-4.59</v>
      </c>
      <c r="Q1083" s="3" t="s">
        <v>1617</v>
      </c>
      <c r="R1083" s="3" t="s">
        <v>1623</v>
      </c>
      <c r="S1083" s="3" t="s">
        <v>1624</v>
      </c>
      <c r="T1083" s="3"/>
    </row>
    <row r="1084" spans="1:20">
      <c r="A1084" s="3" t="s">
        <v>1600</v>
      </c>
      <c r="B1084" s="3" t="s">
        <v>1609</v>
      </c>
      <c r="C1084" s="3" t="s">
        <v>1616</v>
      </c>
      <c r="D1084" s="3" t="s">
        <v>121</v>
      </c>
      <c r="E1084" s="3" t="s">
        <v>122</v>
      </c>
      <c r="F1084" s="2">
        <v>1</v>
      </c>
      <c r="G1084" s="4">
        <v>1.0342773596144474</v>
      </c>
      <c r="H1084" s="2">
        <v>25</v>
      </c>
      <c r="I1084" s="2">
        <v>5</v>
      </c>
      <c r="J1084" s="2">
        <v>16</v>
      </c>
      <c r="K1084" s="11">
        <v>0.88196267698537867</v>
      </c>
      <c r="L1084" s="11">
        <v>-0.76933918020064085</v>
      </c>
      <c r="M1084" s="4">
        <v>0.76933918020064085</v>
      </c>
      <c r="N1084" s="10">
        <v>0.76900000000000002</v>
      </c>
      <c r="O1084" s="4">
        <v>5.0506822153888873</v>
      </c>
      <c r="P1084" s="4">
        <v>-5.05</v>
      </c>
      <c r="Q1084" s="3" t="s">
        <v>1617</v>
      </c>
      <c r="R1084" s="3" t="s">
        <v>1623</v>
      </c>
      <c r="S1084" s="3" t="s">
        <v>1624</v>
      </c>
      <c r="T1084" s="3"/>
    </row>
    <row r="1085" spans="1:20">
      <c r="A1085" s="3" t="s">
        <v>1600</v>
      </c>
      <c r="B1085" s="3" t="s">
        <v>1601</v>
      </c>
      <c r="C1085" s="3" t="s">
        <v>1596</v>
      </c>
      <c r="D1085" s="3" t="s">
        <v>442</v>
      </c>
      <c r="E1085" s="3" t="s">
        <v>443</v>
      </c>
      <c r="F1085" s="2">
        <v>1</v>
      </c>
      <c r="G1085" s="4">
        <v>1.0345754209960587</v>
      </c>
      <c r="H1085" s="2">
        <v>25</v>
      </c>
      <c r="I1085" s="2">
        <v>5</v>
      </c>
      <c r="J1085" s="2">
        <v>1</v>
      </c>
      <c r="K1085" s="4">
        <v>1</v>
      </c>
      <c r="L1085" s="4">
        <v>0.94102031378318818</v>
      </c>
      <c r="M1085" s="4">
        <v>0.94102031378318818</v>
      </c>
      <c r="N1085" s="10">
        <v>0.94099999999999995</v>
      </c>
      <c r="O1085" s="4">
        <v>8.6609594291323457</v>
      </c>
      <c r="P1085" s="4">
        <v>8.66</v>
      </c>
      <c r="Q1085" s="3" t="s">
        <v>1597</v>
      </c>
      <c r="R1085" s="3" t="s">
        <v>1602</v>
      </c>
      <c r="S1085" s="3" t="s">
        <v>1603</v>
      </c>
      <c r="T1085" s="3"/>
    </row>
    <row r="1086" spans="1:20">
      <c r="A1086" s="3" t="s">
        <v>1600</v>
      </c>
      <c r="B1086" s="3" t="s">
        <v>1601</v>
      </c>
      <c r="C1086" s="3" t="s">
        <v>1616</v>
      </c>
      <c r="D1086" s="3" t="s">
        <v>442</v>
      </c>
      <c r="E1086" s="3" t="s">
        <v>443</v>
      </c>
      <c r="F1086" s="2">
        <v>1</v>
      </c>
      <c r="G1086" s="4">
        <v>1.0345754209960587</v>
      </c>
      <c r="H1086" s="2">
        <v>25</v>
      </c>
      <c r="I1086" s="2">
        <v>5</v>
      </c>
      <c r="J1086" s="2">
        <v>1</v>
      </c>
      <c r="K1086" s="4">
        <v>1</v>
      </c>
      <c r="L1086" s="4">
        <v>0.93809941447791245</v>
      </c>
      <c r="M1086" s="4">
        <v>0.93809941447791245</v>
      </c>
      <c r="N1086" s="10">
        <v>0.93799999999999994</v>
      </c>
      <c r="O1086" s="4">
        <v>8.5374014188426663</v>
      </c>
      <c r="P1086" s="4">
        <v>8.5299999999999994</v>
      </c>
      <c r="Q1086" s="3" t="s">
        <v>1597</v>
      </c>
      <c r="R1086" s="3" t="s">
        <v>1602</v>
      </c>
      <c r="S1086" s="3" t="s">
        <v>1603</v>
      </c>
      <c r="T1086" s="3"/>
    </row>
    <row r="1087" spans="1:20">
      <c r="A1087" s="3" t="s">
        <v>1600</v>
      </c>
      <c r="B1087" s="3" t="s">
        <v>1601</v>
      </c>
      <c r="C1087" s="3" t="s">
        <v>1596</v>
      </c>
      <c r="D1087" s="3" t="s">
        <v>442</v>
      </c>
      <c r="E1087" s="3" t="s">
        <v>443</v>
      </c>
      <c r="F1087" s="2">
        <v>1</v>
      </c>
      <c r="G1087" s="4">
        <v>1.0345754209960587</v>
      </c>
      <c r="H1087" s="2">
        <v>25</v>
      </c>
      <c r="I1087" s="2">
        <v>5</v>
      </c>
      <c r="J1087" s="2">
        <v>16</v>
      </c>
      <c r="K1087" s="4">
        <v>1</v>
      </c>
      <c r="L1087" s="4">
        <v>0.93270974688683217</v>
      </c>
      <c r="M1087" s="4">
        <v>0.93270974688683217</v>
      </c>
      <c r="N1087" s="10">
        <v>0.93300000000000005</v>
      </c>
      <c r="O1087" s="4">
        <v>8.3235395022262626</v>
      </c>
      <c r="P1087" s="4">
        <v>8.33</v>
      </c>
      <c r="Q1087" s="3" t="s">
        <v>1597</v>
      </c>
      <c r="R1087" s="3" t="s">
        <v>1602</v>
      </c>
      <c r="S1087" s="3" t="s">
        <v>1603</v>
      </c>
      <c r="T1087" s="3"/>
    </row>
    <row r="1088" spans="1:20">
      <c r="A1088" s="12" t="s">
        <v>1605</v>
      </c>
      <c r="B1088" s="3" t="s">
        <v>1601</v>
      </c>
      <c r="C1088" s="3" t="s">
        <v>1596</v>
      </c>
      <c r="D1088" s="3" t="s">
        <v>442</v>
      </c>
      <c r="E1088" s="3" t="s">
        <v>443</v>
      </c>
      <c r="F1088" s="2">
        <v>1</v>
      </c>
      <c r="G1088" s="4">
        <v>1.0345754209960587</v>
      </c>
      <c r="H1088" s="2">
        <v>25</v>
      </c>
      <c r="I1088" s="2">
        <v>5</v>
      </c>
      <c r="J1088" s="2">
        <v>16</v>
      </c>
      <c r="K1088" s="11">
        <v>1</v>
      </c>
      <c r="L1088" s="11">
        <v>0.92833205630744309</v>
      </c>
      <c r="M1088" s="4">
        <v>0.92833205630744309</v>
      </c>
      <c r="N1088" s="10">
        <v>0.92800000000000005</v>
      </c>
      <c r="O1088" s="4">
        <v>8.1616733368001597</v>
      </c>
      <c r="P1088" s="4">
        <v>8.15</v>
      </c>
      <c r="Q1088" s="3" t="s">
        <v>1597</v>
      </c>
      <c r="R1088" s="3" t="s">
        <v>1602</v>
      </c>
      <c r="S1088" s="3" t="s">
        <v>1603</v>
      </c>
      <c r="T1088" s="3"/>
    </row>
    <row r="1089" spans="1:20">
      <c r="A1089" s="3" t="s">
        <v>1600</v>
      </c>
      <c r="B1089" s="3" t="s">
        <v>1601</v>
      </c>
      <c r="C1089" s="3" t="s">
        <v>1616</v>
      </c>
      <c r="D1089" s="3" t="s">
        <v>442</v>
      </c>
      <c r="E1089" s="3" t="s">
        <v>443</v>
      </c>
      <c r="F1089" s="2">
        <v>1</v>
      </c>
      <c r="G1089" s="4">
        <v>1.0345754209960587</v>
      </c>
      <c r="H1089" s="2">
        <v>25</v>
      </c>
      <c r="I1089" s="2">
        <v>5</v>
      </c>
      <c r="J1089" s="2">
        <v>16</v>
      </c>
      <c r="K1089" s="4">
        <v>1</v>
      </c>
      <c r="L1089" s="4">
        <v>0.91067009226168261</v>
      </c>
      <c r="M1089" s="4">
        <v>0.91067009226168261</v>
      </c>
      <c r="N1089" s="10">
        <v>0.91100000000000003</v>
      </c>
      <c r="O1089" s="4">
        <v>7.5927645628127838</v>
      </c>
      <c r="P1089" s="4">
        <v>7.6</v>
      </c>
      <c r="Q1089" s="3" t="s">
        <v>1597</v>
      </c>
      <c r="R1089" s="3" t="s">
        <v>1602</v>
      </c>
      <c r="S1089" s="3" t="s">
        <v>1603</v>
      </c>
      <c r="T1089" s="3"/>
    </row>
    <row r="1090" spans="1:20">
      <c r="A1090" s="3" t="s">
        <v>1600</v>
      </c>
      <c r="B1090" s="3" t="s">
        <v>1609</v>
      </c>
      <c r="C1090" s="3" t="s">
        <v>1596</v>
      </c>
      <c r="D1090" s="3" t="s">
        <v>442</v>
      </c>
      <c r="E1090" s="3" t="s">
        <v>443</v>
      </c>
      <c r="F1090" s="2">
        <v>1</v>
      </c>
      <c r="G1090" s="4">
        <v>1.0345754209960587</v>
      </c>
      <c r="H1090" s="2">
        <v>25</v>
      </c>
      <c r="I1090" s="2">
        <v>5</v>
      </c>
      <c r="J1090" s="2">
        <v>1</v>
      </c>
      <c r="K1090" s="11">
        <v>1</v>
      </c>
      <c r="L1090" s="11">
        <v>0.8742204049602692</v>
      </c>
      <c r="M1090" s="4">
        <v>0.8742204049602692</v>
      </c>
      <c r="N1090" s="10">
        <v>0.874</v>
      </c>
      <c r="O1090" s="4">
        <v>6.6967266177067346</v>
      </c>
      <c r="P1090" s="4">
        <v>6.69</v>
      </c>
      <c r="Q1090" s="3" t="s">
        <v>1597</v>
      </c>
      <c r="R1090" s="3" t="s">
        <v>1610</v>
      </c>
      <c r="S1090" s="3" t="s">
        <v>1611</v>
      </c>
      <c r="T1090" s="3"/>
    </row>
    <row r="1091" spans="1:20">
      <c r="A1091" s="3" t="s">
        <v>1604</v>
      </c>
      <c r="B1091" s="3" t="s">
        <v>1601</v>
      </c>
      <c r="C1091" s="3" t="s">
        <v>1616</v>
      </c>
      <c r="D1091" s="3" t="s">
        <v>442</v>
      </c>
      <c r="E1091" s="3" t="s">
        <v>443</v>
      </c>
      <c r="F1091" s="2">
        <v>1</v>
      </c>
      <c r="G1091" s="4">
        <v>1.0345754209960587</v>
      </c>
      <c r="H1091" s="2">
        <v>25</v>
      </c>
      <c r="I1091" s="2">
        <v>30</v>
      </c>
      <c r="J1091" s="2">
        <v>16</v>
      </c>
      <c r="K1091" s="4">
        <v>1</v>
      </c>
      <c r="L1091" s="4">
        <v>0.86149373263718787</v>
      </c>
      <c r="M1091" s="4">
        <v>0.86149373263718787</v>
      </c>
      <c r="N1091" s="10">
        <v>0.86099999999999999</v>
      </c>
      <c r="O1091" s="4">
        <v>6.4409020891081594</v>
      </c>
      <c r="P1091" s="4">
        <v>6.43</v>
      </c>
      <c r="Q1091" s="3" t="s">
        <v>1597</v>
      </c>
      <c r="R1091" s="3" t="s">
        <v>1602</v>
      </c>
      <c r="S1091" s="3" t="s">
        <v>1603</v>
      </c>
      <c r="T1091" s="3"/>
    </row>
    <row r="1092" spans="1:20">
      <c r="A1092" s="3" t="s">
        <v>1600</v>
      </c>
      <c r="B1092" s="3" t="s">
        <v>1609</v>
      </c>
      <c r="C1092" s="3" t="s">
        <v>1596</v>
      </c>
      <c r="D1092" s="3" t="s">
        <v>442</v>
      </c>
      <c r="E1092" s="3" t="s">
        <v>443</v>
      </c>
      <c r="F1092" s="2">
        <v>1</v>
      </c>
      <c r="G1092" s="4">
        <v>1.0345754209960587</v>
      </c>
      <c r="H1092" s="2">
        <v>25</v>
      </c>
      <c r="I1092" s="2">
        <v>5</v>
      </c>
      <c r="J1092" s="2">
        <v>16</v>
      </c>
      <c r="K1092" s="4">
        <v>1</v>
      </c>
      <c r="L1092" s="4">
        <v>0.84597054407236127</v>
      </c>
      <c r="M1092" s="4">
        <v>0.84597054407236127</v>
      </c>
      <c r="N1092" s="10">
        <v>0.84599999999999997</v>
      </c>
      <c r="O1092" s="4">
        <v>6.1568065150881353</v>
      </c>
      <c r="P1092" s="4">
        <v>6.16</v>
      </c>
      <c r="Q1092" s="3" t="s">
        <v>1597</v>
      </c>
      <c r="R1092" s="3" t="s">
        <v>1610</v>
      </c>
      <c r="S1092" s="3" t="s">
        <v>1611</v>
      </c>
      <c r="T1092" s="3"/>
    </row>
    <row r="1093" spans="1:20">
      <c r="A1093" s="3" t="s">
        <v>1600</v>
      </c>
      <c r="B1093" s="3" t="s">
        <v>1606</v>
      </c>
      <c r="C1093" s="3" t="s">
        <v>1616</v>
      </c>
      <c r="D1093" s="3" t="s">
        <v>442</v>
      </c>
      <c r="E1093" s="3" t="s">
        <v>443</v>
      </c>
      <c r="F1093" s="2">
        <v>1</v>
      </c>
      <c r="G1093" s="4">
        <v>1.0345754209960587</v>
      </c>
      <c r="H1093" s="2">
        <v>25</v>
      </c>
      <c r="I1093" s="2">
        <v>5</v>
      </c>
      <c r="J1093" s="2">
        <v>16</v>
      </c>
      <c r="K1093" s="11">
        <v>1</v>
      </c>
      <c r="L1093" s="11">
        <v>0.80833917309039949</v>
      </c>
      <c r="M1093" s="4">
        <v>0.80833917309039949</v>
      </c>
      <c r="N1093" s="10">
        <v>0.80800000000000005</v>
      </c>
      <c r="O1093" s="4">
        <v>5.5638874865643073</v>
      </c>
      <c r="P1093" s="4">
        <v>5.56</v>
      </c>
      <c r="Q1093" s="3" t="s">
        <v>1597</v>
      </c>
      <c r="R1093" s="3" t="s">
        <v>1607</v>
      </c>
      <c r="S1093" s="3" t="s">
        <v>1608</v>
      </c>
      <c r="T1093" s="3"/>
    </row>
    <row r="1094" spans="1:20">
      <c r="A1094" s="3" t="s">
        <v>1600</v>
      </c>
      <c r="B1094" s="3" t="s">
        <v>1606</v>
      </c>
      <c r="C1094" s="3" t="s">
        <v>1616</v>
      </c>
      <c r="D1094" s="3" t="s">
        <v>442</v>
      </c>
      <c r="E1094" s="3" t="s">
        <v>443</v>
      </c>
      <c r="F1094" s="2">
        <v>1</v>
      </c>
      <c r="G1094" s="4">
        <v>1.0345754209960587</v>
      </c>
      <c r="H1094" s="2">
        <v>25</v>
      </c>
      <c r="I1094" s="2">
        <v>5</v>
      </c>
      <c r="J1094" s="2">
        <v>1</v>
      </c>
      <c r="K1094" s="4">
        <v>1</v>
      </c>
      <c r="L1094" s="4">
        <v>0.78750125927667147</v>
      </c>
      <c r="M1094" s="4">
        <v>0.78750125927667147</v>
      </c>
      <c r="N1094" s="10">
        <v>0.78800000000000003</v>
      </c>
      <c r="O1094" s="4">
        <v>5.2793046198204774</v>
      </c>
      <c r="P1094" s="4">
        <v>5.29</v>
      </c>
      <c r="Q1094" s="3" t="s">
        <v>1597</v>
      </c>
      <c r="R1094" s="3" t="s">
        <v>1607</v>
      </c>
      <c r="S1094" s="3" t="s">
        <v>1608</v>
      </c>
      <c r="T1094" s="3"/>
    </row>
    <row r="1095" spans="1:20">
      <c r="A1095" s="3" t="s">
        <v>1600</v>
      </c>
      <c r="B1095" s="3" t="s">
        <v>1606</v>
      </c>
      <c r="C1095" s="3" t="s">
        <v>1596</v>
      </c>
      <c r="D1095" s="3" t="s">
        <v>442</v>
      </c>
      <c r="E1095" s="3" t="s">
        <v>443</v>
      </c>
      <c r="F1095" s="2">
        <v>1</v>
      </c>
      <c r="G1095" s="4">
        <v>1.0345754209960587</v>
      </c>
      <c r="H1095" s="2">
        <v>25</v>
      </c>
      <c r="I1095" s="2">
        <v>5</v>
      </c>
      <c r="J1095" s="2">
        <v>16</v>
      </c>
      <c r="K1095" s="11">
        <v>1</v>
      </c>
      <c r="L1095" s="11">
        <v>0.76747090720770117</v>
      </c>
      <c r="M1095" s="4">
        <v>0.76747090720770117</v>
      </c>
      <c r="N1095" s="10">
        <v>0.76700000000000002</v>
      </c>
      <c r="O1095" s="4">
        <v>5.0280653440184899</v>
      </c>
      <c r="P1095" s="4">
        <v>5.0199999999999996</v>
      </c>
      <c r="Q1095" s="3" t="s">
        <v>1597</v>
      </c>
      <c r="R1095" s="3" t="s">
        <v>1607</v>
      </c>
      <c r="S1095" s="3" t="s">
        <v>1608</v>
      </c>
      <c r="T1095" s="3"/>
    </row>
    <row r="1096" spans="1:20">
      <c r="A1096" s="3" t="s">
        <v>1604</v>
      </c>
      <c r="B1096" s="3" t="s">
        <v>1601</v>
      </c>
      <c r="C1096" s="3" t="s">
        <v>1596</v>
      </c>
      <c r="D1096" s="3" t="s">
        <v>442</v>
      </c>
      <c r="E1096" s="3" t="s">
        <v>443</v>
      </c>
      <c r="F1096" s="2">
        <v>1</v>
      </c>
      <c r="G1096" s="4">
        <v>1.0345754209960587</v>
      </c>
      <c r="H1096" s="2">
        <v>25</v>
      </c>
      <c r="I1096" s="2">
        <v>30</v>
      </c>
      <c r="J1096" s="2">
        <v>16</v>
      </c>
      <c r="K1096" s="4">
        <v>1</v>
      </c>
      <c r="L1096" s="4">
        <v>0.75683165911599137</v>
      </c>
      <c r="M1096" s="4">
        <v>0.75683165911599137</v>
      </c>
      <c r="N1096" s="10">
        <v>0.75700000000000001</v>
      </c>
      <c r="O1096" s="4">
        <v>4.9021925554771837</v>
      </c>
      <c r="P1096" s="4">
        <v>4.9000000000000004</v>
      </c>
      <c r="Q1096" s="3" t="s">
        <v>1597</v>
      </c>
      <c r="R1096" s="3" t="s">
        <v>1602</v>
      </c>
      <c r="S1096" s="3" t="s">
        <v>1603</v>
      </c>
      <c r="T1096" s="3"/>
    </row>
    <row r="1097" spans="1:20">
      <c r="A1097" s="3" t="s">
        <v>1600</v>
      </c>
      <c r="B1097" s="3" t="s">
        <v>1606</v>
      </c>
      <c r="C1097" s="3" t="s">
        <v>1596</v>
      </c>
      <c r="D1097" s="3" t="s">
        <v>442</v>
      </c>
      <c r="E1097" s="3" t="s">
        <v>443</v>
      </c>
      <c r="F1097" s="2">
        <v>1</v>
      </c>
      <c r="G1097" s="4">
        <v>1.0345754209960587</v>
      </c>
      <c r="H1097" s="2">
        <v>25</v>
      </c>
      <c r="I1097" s="2">
        <v>5</v>
      </c>
      <c r="J1097" s="2">
        <v>1</v>
      </c>
      <c r="K1097" s="11">
        <v>1</v>
      </c>
      <c r="L1097" s="11">
        <v>0.74663652661937796</v>
      </c>
      <c r="M1097" s="4">
        <v>0.74663652661937796</v>
      </c>
      <c r="N1097" s="10">
        <v>0.747</v>
      </c>
      <c r="O1097" s="4">
        <v>4.7859507967516528</v>
      </c>
      <c r="P1097" s="4">
        <v>4.79</v>
      </c>
      <c r="Q1097" s="3" t="s">
        <v>1597</v>
      </c>
      <c r="R1097" s="3" t="s">
        <v>1607</v>
      </c>
      <c r="S1097" s="3" t="s">
        <v>1608</v>
      </c>
      <c r="T1097" s="3"/>
    </row>
    <row r="1098" spans="1:20">
      <c r="A1098" s="3" t="s">
        <v>1600</v>
      </c>
      <c r="B1098" s="3" t="s">
        <v>1609</v>
      </c>
      <c r="C1098" s="3" t="s">
        <v>1616</v>
      </c>
      <c r="D1098" s="3" t="s">
        <v>442</v>
      </c>
      <c r="E1098" s="3" t="s">
        <v>443</v>
      </c>
      <c r="F1098" s="2">
        <v>1</v>
      </c>
      <c r="G1098" s="4">
        <v>1.0345754209960587</v>
      </c>
      <c r="H1098" s="2">
        <v>25</v>
      </c>
      <c r="I1098" s="2">
        <v>5</v>
      </c>
      <c r="J1098" s="2">
        <v>1</v>
      </c>
      <c r="K1098" s="4">
        <v>0.12082225371652799</v>
      </c>
      <c r="L1098" s="4">
        <v>0.73766982918253132</v>
      </c>
      <c r="M1098" s="4">
        <v>0.73766982918253132</v>
      </c>
      <c r="N1098" s="10">
        <v>0.73799999999999999</v>
      </c>
      <c r="O1098" s="4">
        <v>4.6869762332748222</v>
      </c>
      <c r="P1098" s="4">
        <v>4.6900000000000004</v>
      </c>
      <c r="Q1098" s="3" t="s">
        <v>1597</v>
      </c>
      <c r="R1098" s="3" t="s">
        <v>1610</v>
      </c>
      <c r="S1098" s="3" t="s">
        <v>1611</v>
      </c>
      <c r="T1098" s="3"/>
    </row>
    <row r="1099" spans="1:20">
      <c r="A1099" s="3" t="s">
        <v>1600</v>
      </c>
      <c r="B1099" s="3" t="s">
        <v>1609</v>
      </c>
      <c r="C1099" s="3" t="s">
        <v>1616</v>
      </c>
      <c r="D1099" s="3" t="s">
        <v>442</v>
      </c>
      <c r="E1099" s="3" t="s">
        <v>443</v>
      </c>
      <c r="F1099" s="2">
        <v>1</v>
      </c>
      <c r="G1099" s="4">
        <v>1.0345754209960587</v>
      </c>
      <c r="H1099" s="2">
        <v>25</v>
      </c>
      <c r="I1099" s="2">
        <v>5</v>
      </c>
      <c r="J1099" s="2">
        <v>16</v>
      </c>
      <c r="K1099" s="11">
        <v>0.43104535993445681</v>
      </c>
      <c r="L1099" s="11">
        <v>0.60565097111464339</v>
      </c>
      <c r="M1099" s="4">
        <v>0.60565097111464339</v>
      </c>
      <c r="N1099" s="10">
        <v>0.60599999999999998</v>
      </c>
      <c r="O1099" s="4">
        <v>3.4805907185504918</v>
      </c>
      <c r="P1099" s="4">
        <v>3.48</v>
      </c>
      <c r="Q1099" s="3" t="s">
        <v>1597</v>
      </c>
      <c r="R1099" s="3" t="s">
        <v>1610</v>
      </c>
      <c r="S1099" s="3" t="s">
        <v>1611</v>
      </c>
      <c r="T1099" s="3"/>
    </row>
    <row r="1100" spans="1:20">
      <c r="A1100" s="3" t="s">
        <v>1594</v>
      </c>
      <c r="B1100" s="3" t="s">
        <v>1612</v>
      </c>
      <c r="C1100" s="3" t="s">
        <v>1596</v>
      </c>
      <c r="D1100" s="3" t="s">
        <v>442</v>
      </c>
      <c r="E1100" s="3" t="s">
        <v>443</v>
      </c>
      <c r="F1100" s="2">
        <v>1</v>
      </c>
      <c r="G1100" s="4">
        <v>1.0345754209960587</v>
      </c>
      <c r="H1100" s="2">
        <v>50</v>
      </c>
      <c r="I1100" s="2">
        <v>5</v>
      </c>
      <c r="J1100" s="2">
        <v>16</v>
      </c>
      <c r="K1100" s="4">
        <v>1</v>
      </c>
      <c r="L1100" s="14">
        <v>4.6437561570463713E-2</v>
      </c>
      <c r="M1100" s="4">
        <v>4.6437561570463713E-2</v>
      </c>
      <c r="N1100" s="10">
        <v>4.5999999999999999E-2</v>
      </c>
      <c r="O1100" s="4">
        <v>0.24971933532026741</v>
      </c>
      <c r="P1100" s="4">
        <v>0.25</v>
      </c>
      <c r="Q1100" s="3" t="s">
        <v>1597</v>
      </c>
      <c r="R1100" s="3" t="s">
        <v>1613</v>
      </c>
      <c r="S1100" s="3" t="s">
        <v>1614</v>
      </c>
      <c r="T1100" s="3"/>
    </row>
    <row r="1101" spans="1:20">
      <c r="A1101" s="3" t="s">
        <v>1594</v>
      </c>
      <c r="B1101" s="3" t="s">
        <v>1595</v>
      </c>
      <c r="C1101" s="3" t="s">
        <v>1596</v>
      </c>
      <c r="D1101" s="3" t="s">
        <v>442</v>
      </c>
      <c r="E1101" s="3" t="s">
        <v>443</v>
      </c>
      <c r="F1101" s="2">
        <v>1</v>
      </c>
      <c r="G1101" s="4">
        <v>1.0345754209960587</v>
      </c>
      <c r="H1101" s="2">
        <v>50</v>
      </c>
      <c r="I1101" s="2">
        <v>5</v>
      </c>
      <c r="J1101" s="2">
        <v>16</v>
      </c>
      <c r="K1101" s="4">
        <v>0.99930236806925465</v>
      </c>
      <c r="L1101" s="14">
        <v>-0.14860124118270432</v>
      </c>
      <c r="M1101" s="4">
        <v>0.14860124118270432</v>
      </c>
      <c r="N1101" s="10">
        <v>0.14899999999999999</v>
      </c>
      <c r="O1101" s="4">
        <v>0.80448969465509179</v>
      </c>
      <c r="P1101" s="4">
        <v>-0.81</v>
      </c>
      <c r="Q1101" s="3" t="s">
        <v>1617</v>
      </c>
      <c r="R1101" s="3" t="s">
        <v>1625</v>
      </c>
      <c r="S1101" s="3" t="s">
        <v>1626</v>
      </c>
      <c r="T1101" s="3"/>
    </row>
    <row r="1102" spans="1:20">
      <c r="A1102" s="3" t="s">
        <v>1600</v>
      </c>
      <c r="B1102" s="3" t="s">
        <v>1609</v>
      </c>
      <c r="C1102" s="3" t="s">
        <v>1616</v>
      </c>
      <c r="D1102" s="3" t="s">
        <v>562</v>
      </c>
      <c r="E1102" s="3" t="s">
        <v>563</v>
      </c>
      <c r="F1102" s="2">
        <v>1</v>
      </c>
      <c r="G1102" s="4">
        <v>1.0364152226416863</v>
      </c>
      <c r="H1102" s="2">
        <v>25</v>
      </c>
      <c r="I1102" s="2">
        <v>5</v>
      </c>
      <c r="J1102" s="2">
        <v>16</v>
      </c>
      <c r="K1102" s="11">
        <v>1</v>
      </c>
      <c r="L1102" s="11">
        <v>0.96302813039949897</v>
      </c>
      <c r="M1102" s="4">
        <v>0.96302813039949897</v>
      </c>
      <c r="N1102" s="10">
        <v>0.96299999999999997</v>
      </c>
      <c r="O1102" s="4">
        <v>9.8466752337033672</v>
      </c>
      <c r="P1102" s="4">
        <v>9.84</v>
      </c>
      <c r="Q1102" s="3" t="s">
        <v>1597</v>
      </c>
      <c r="R1102" s="3" t="s">
        <v>1610</v>
      </c>
      <c r="S1102" s="3" t="s">
        <v>1611</v>
      </c>
      <c r="T1102" s="3"/>
    </row>
    <row r="1103" spans="1:20">
      <c r="A1103" s="3" t="s">
        <v>1600</v>
      </c>
      <c r="B1103" s="3" t="s">
        <v>1609</v>
      </c>
      <c r="C1103" s="3" t="s">
        <v>1616</v>
      </c>
      <c r="D1103" s="3" t="s">
        <v>562</v>
      </c>
      <c r="E1103" s="3" t="s">
        <v>563</v>
      </c>
      <c r="F1103" s="2">
        <v>1</v>
      </c>
      <c r="G1103" s="4">
        <v>1.0364152226416863</v>
      </c>
      <c r="H1103" s="2">
        <v>25</v>
      </c>
      <c r="I1103" s="2">
        <v>5</v>
      </c>
      <c r="J1103" s="2">
        <v>1</v>
      </c>
      <c r="K1103" s="4">
        <v>1</v>
      </c>
      <c r="L1103" s="4">
        <v>0.93060278829881538</v>
      </c>
      <c r="M1103" s="4">
        <v>0.93060278829881538</v>
      </c>
      <c r="N1103" s="10">
        <v>0.93100000000000005</v>
      </c>
      <c r="O1103" s="4">
        <v>8.2444057730178972</v>
      </c>
      <c r="P1103" s="4">
        <v>8.26</v>
      </c>
      <c r="Q1103" s="3" t="s">
        <v>1597</v>
      </c>
      <c r="R1103" s="3" t="s">
        <v>1610</v>
      </c>
      <c r="S1103" s="3" t="s">
        <v>1611</v>
      </c>
      <c r="T1103" s="3"/>
    </row>
    <row r="1104" spans="1:20">
      <c r="A1104" s="3" t="s">
        <v>1600</v>
      </c>
      <c r="B1104" s="3" t="s">
        <v>1609</v>
      </c>
      <c r="C1104" s="3" t="s">
        <v>1596</v>
      </c>
      <c r="D1104" s="3" t="s">
        <v>562</v>
      </c>
      <c r="E1104" s="3" t="s">
        <v>563</v>
      </c>
      <c r="F1104" s="2">
        <v>1</v>
      </c>
      <c r="G1104" s="4">
        <v>1.0364152226416863</v>
      </c>
      <c r="H1104" s="2">
        <v>25</v>
      </c>
      <c r="I1104" s="2">
        <v>5</v>
      </c>
      <c r="J1104" s="2">
        <v>1</v>
      </c>
      <c r="K1104" s="11">
        <v>1</v>
      </c>
      <c r="L1104" s="11">
        <v>0.91370921688946038</v>
      </c>
      <c r="M1104" s="4">
        <v>0.91370921688946038</v>
      </c>
      <c r="N1104" s="10">
        <v>0.91400000000000003</v>
      </c>
      <c r="O1104" s="4">
        <v>7.6825103900756853</v>
      </c>
      <c r="P1104" s="4">
        <v>7.69</v>
      </c>
      <c r="Q1104" s="3" t="s">
        <v>1597</v>
      </c>
      <c r="R1104" s="3" t="s">
        <v>1610</v>
      </c>
      <c r="S1104" s="3" t="s">
        <v>1611</v>
      </c>
      <c r="T1104" s="3"/>
    </row>
    <row r="1105" spans="1:20">
      <c r="A1105" s="3" t="s">
        <v>1600</v>
      </c>
      <c r="B1105" s="3" t="s">
        <v>1601</v>
      </c>
      <c r="C1105" s="3" t="s">
        <v>1616</v>
      </c>
      <c r="D1105" s="3" t="s">
        <v>562</v>
      </c>
      <c r="E1105" s="3" t="s">
        <v>563</v>
      </c>
      <c r="F1105" s="2">
        <v>1</v>
      </c>
      <c r="G1105" s="4">
        <v>1.0364152226416863</v>
      </c>
      <c r="H1105" s="2">
        <v>25</v>
      </c>
      <c r="I1105" s="2">
        <v>5</v>
      </c>
      <c r="J1105" s="2">
        <v>1</v>
      </c>
      <c r="K1105" s="4">
        <v>1</v>
      </c>
      <c r="L1105" s="4">
        <v>0.90371282304524925</v>
      </c>
      <c r="M1105" s="4">
        <v>0.90371282304524925</v>
      </c>
      <c r="N1105" s="10">
        <v>0.90400000000000003</v>
      </c>
      <c r="O1105" s="4">
        <v>7.3978018340076588</v>
      </c>
      <c r="P1105" s="4">
        <v>7.41</v>
      </c>
      <c r="Q1105" s="3" t="s">
        <v>1597</v>
      </c>
      <c r="R1105" s="3" t="s">
        <v>1602</v>
      </c>
      <c r="S1105" s="3" t="s">
        <v>1603</v>
      </c>
      <c r="T1105" s="3"/>
    </row>
    <row r="1106" spans="1:20">
      <c r="A1106" s="3" t="s">
        <v>1600</v>
      </c>
      <c r="B1106" s="3" t="s">
        <v>1609</v>
      </c>
      <c r="C1106" s="3" t="s">
        <v>1596</v>
      </c>
      <c r="D1106" s="3" t="s">
        <v>562</v>
      </c>
      <c r="E1106" s="3" t="s">
        <v>563</v>
      </c>
      <c r="F1106" s="2">
        <v>1</v>
      </c>
      <c r="G1106" s="4">
        <v>1.0364152226416863</v>
      </c>
      <c r="H1106" s="2">
        <v>25</v>
      </c>
      <c r="I1106" s="2">
        <v>5</v>
      </c>
      <c r="J1106" s="2">
        <v>16</v>
      </c>
      <c r="K1106" s="4">
        <v>1</v>
      </c>
      <c r="L1106" s="4">
        <v>0.90235268972711269</v>
      </c>
      <c r="M1106" s="4">
        <v>0.90235268972711269</v>
      </c>
      <c r="N1106" s="10">
        <v>0.90200000000000002</v>
      </c>
      <c r="O1106" s="4">
        <v>7.361257682024287</v>
      </c>
      <c r="P1106" s="4">
        <v>7.35</v>
      </c>
      <c r="Q1106" s="3" t="s">
        <v>1597</v>
      </c>
      <c r="R1106" s="3" t="s">
        <v>1610</v>
      </c>
      <c r="S1106" s="3" t="s">
        <v>1611</v>
      </c>
      <c r="T1106" s="3"/>
    </row>
    <row r="1107" spans="1:20">
      <c r="A1107" s="3" t="s">
        <v>1604</v>
      </c>
      <c r="B1107" s="3" t="s">
        <v>1601</v>
      </c>
      <c r="C1107" s="3" t="s">
        <v>1616</v>
      </c>
      <c r="D1107" s="3" t="s">
        <v>562</v>
      </c>
      <c r="E1107" s="3" t="s">
        <v>563</v>
      </c>
      <c r="F1107" s="2">
        <v>1</v>
      </c>
      <c r="G1107" s="4">
        <v>1.0364152226416863</v>
      </c>
      <c r="H1107" s="2">
        <v>25</v>
      </c>
      <c r="I1107" s="2">
        <v>30</v>
      </c>
      <c r="J1107" s="2">
        <v>16</v>
      </c>
      <c r="K1107" s="4">
        <v>1</v>
      </c>
      <c r="L1107" s="4">
        <v>0.89714960958816081</v>
      </c>
      <c r="M1107" s="4">
        <v>0.89714960958816081</v>
      </c>
      <c r="N1107" s="10">
        <v>0.89700000000000002</v>
      </c>
      <c r="O1107" s="4">
        <v>7.2257768076467546</v>
      </c>
      <c r="P1107" s="4">
        <v>7.22</v>
      </c>
      <c r="Q1107" s="3" t="s">
        <v>1597</v>
      </c>
      <c r="R1107" s="3" t="s">
        <v>1602</v>
      </c>
      <c r="S1107" s="3" t="s">
        <v>1603</v>
      </c>
      <c r="T1107" s="3"/>
    </row>
    <row r="1108" spans="1:20">
      <c r="A1108" s="3" t="s">
        <v>1600</v>
      </c>
      <c r="B1108" s="3" t="s">
        <v>1601</v>
      </c>
      <c r="C1108" s="3" t="s">
        <v>1616</v>
      </c>
      <c r="D1108" s="3" t="s">
        <v>562</v>
      </c>
      <c r="E1108" s="3" t="s">
        <v>563</v>
      </c>
      <c r="F1108" s="2">
        <v>1</v>
      </c>
      <c r="G1108" s="4">
        <v>1.0364152226416863</v>
      </c>
      <c r="H1108" s="2">
        <v>25</v>
      </c>
      <c r="I1108" s="2">
        <v>5</v>
      </c>
      <c r="J1108" s="2">
        <v>16</v>
      </c>
      <c r="K1108" s="4">
        <v>1</v>
      </c>
      <c r="L1108" s="4">
        <v>0.89509543425615368</v>
      </c>
      <c r="M1108" s="4">
        <v>0.89509543425615368</v>
      </c>
      <c r="N1108" s="10">
        <v>0.89500000000000002</v>
      </c>
      <c r="O1108" s="4">
        <v>7.1740680524730616</v>
      </c>
      <c r="P1108" s="4">
        <v>7.17</v>
      </c>
      <c r="Q1108" s="3" t="s">
        <v>1597</v>
      </c>
      <c r="R1108" s="3" t="s">
        <v>1602</v>
      </c>
      <c r="S1108" s="3" t="s">
        <v>1603</v>
      </c>
      <c r="T1108" s="3"/>
    </row>
    <row r="1109" spans="1:20">
      <c r="A1109" s="3" t="s">
        <v>1604</v>
      </c>
      <c r="B1109" s="3" t="s">
        <v>1601</v>
      </c>
      <c r="C1109" s="3" t="s">
        <v>1596</v>
      </c>
      <c r="D1109" s="3" t="s">
        <v>562</v>
      </c>
      <c r="E1109" s="3" t="s">
        <v>563</v>
      </c>
      <c r="F1109" s="2">
        <v>1</v>
      </c>
      <c r="G1109" s="4">
        <v>1.0364152226416863</v>
      </c>
      <c r="H1109" s="2">
        <v>25</v>
      </c>
      <c r="I1109" s="2">
        <v>30</v>
      </c>
      <c r="J1109" s="2">
        <v>16</v>
      </c>
      <c r="K1109" s="4">
        <v>1</v>
      </c>
      <c r="L1109" s="4">
        <v>0.86984539884884005</v>
      </c>
      <c r="M1109" s="4">
        <v>0.86984539884884005</v>
      </c>
      <c r="N1109" s="10">
        <v>0.87</v>
      </c>
      <c r="O1109" s="4">
        <v>6.6061726622286967</v>
      </c>
      <c r="P1109" s="4">
        <v>6.61</v>
      </c>
      <c r="Q1109" s="3" t="s">
        <v>1597</v>
      </c>
      <c r="R1109" s="3" t="s">
        <v>1602</v>
      </c>
      <c r="S1109" s="3" t="s">
        <v>1603</v>
      </c>
      <c r="T1109" s="3"/>
    </row>
    <row r="1110" spans="1:20">
      <c r="A1110" s="3" t="s">
        <v>1600</v>
      </c>
      <c r="B1110" s="3" t="s">
        <v>1601</v>
      </c>
      <c r="C1110" s="3" t="s">
        <v>1596</v>
      </c>
      <c r="D1110" s="3" t="s">
        <v>562</v>
      </c>
      <c r="E1110" s="3" t="s">
        <v>563</v>
      </c>
      <c r="F1110" s="2">
        <v>1</v>
      </c>
      <c r="G1110" s="4">
        <v>1.0364152226416863</v>
      </c>
      <c r="H1110" s="2">
        <v>25</v>
      </c>
      <c r="I1110" s="2">
        <v>5</v>
      </c>
      <c r="J1110" s="2">
        <v>1</v>
      </c>
      <c r="K1110" s="4">
        <v>0.67431822333306002</v>
      </c>
      <c r="L1110" s="4">
        <v>0.86640779814925561</v>
      </c>
      <c r="M1110" s="4">
        <v>0.86640779814925561</v>
      </c>
      <c r="N1110" s="10">
        <v>0.86599999999999999</v>
      </c>
      <c r="O1110" s="4">
        <v>6.5369870410995503</v>
      </c>
      <c r="P1110" s="4">
        <v>6.53</v>
      </c>
      <c r="Q1110" s="3" t="s">
        <v>1597</v>
      </c>
      <c r="R1110" s="3" t="s">
        <v>1602</v>
      </c>
      <c r="S1110" s="3" t="s">
        <v>1603</v>
      </c>
      <c r="T1110" s="3"/>
    </row>
    <row r="1111" spans="1:20">
      <c r="A1111" s="3" t="s">
        <v>1600</v>
      </c>
      <c r="B1111" s="3" t="s">
        <v>1606</v>
      </c>
      <c r="C1111" s="3" t="s">
        <v>1616</v>
      </c>
      <c r="D1111" s="3" t="s">
        <v>562</v>
      </c>
      <c r="E1111" s="3" t="s">
        <v>563</v>
      </c>
      <c r="F1111" s="2">
        <v>1</v>
      </c>
      <c r="G1111" s="4">
        <v>1.0364152226416863</v>
      </c>
      <c r="H1111" s="2">
        <v>25</v>
      </c>
      <c r="I1111" s="2">
        <v>5</v>
      </c>
      <c r="J1111" s="2">
        <v>1</v>
      </c>
      <c r="K1111" s="4">
        <v>1</v>
      </c>
      <c r="L1111" s="4">
        <v>0.85527803474149455</v>
      </c>
      <c r="M1111" s="4">
        <v>0.85527803474149455</v>
      </c>
      <c r="N1111" s="10">
        <v>0.85499999999999998</v>
      </c>
      <c r="O1111" s="4">
        <v>6.3237868988467296</v>
      </c>
      <c r="P1111" s="4">
        <v>6.32</v>
      </c>
      <c r="Q1111" s="3" t="s">
        <v>1597</v>
      </c>
      <c r="R1111" s="3" t="s">
        <v>1607</v>
      </c>
      <c r="S1111" s="3" t="s">
        <v>1608</v>
      </c>
      <c r="T1111" s="3"/>
    </row>
    <row r="1112" spans="1:20">
      <c r="A1112" s="3" t="s">
        <v>1600</v>
      </c>
      <c r="B1112" s="3" t="s">
        <v>1601</v>
      </c>
      <c r="C1112" s="3" t="s">
        <v>1596</v>
      </c>
      <c r="D1112" s="3" t="s">
        <v>562</v>
      </c>
      <c r="E1112" s="3" t="s">
        <v>563</v>
      </c>
      <c r="F1112" s="2">
        <v>1</v>
      </c>
      <c r="G1112" s="4">
        <v>1.0364152226416863</v>
      </c>
      <c r="H1112" s="2">
        <v>25</v>
      </c>
      <c r="I1112" s="2">
        <v>5</v>
      </c>
      <c r="J1112" s="2">
        <v>16</v>
      </c>
      <c r="K1112" s="4">
        <v>1</v>
      </c>
      <c r="L1112" s="4">
        <v>0.85401340977655171</v>
      </c>
      <c r="M1112" s="4">
        <v>0.85401340977655171</v>
      </c>
      <c r="N1112" s="10">
        <v>0.85399999999999998</v>
      </c>
      <c r="O1112" s="4">
        <v>6.3005286796095641</v>
      </c>
      <c r="P1112" s="4">
        <v>6.3</v>
      </c>
      <c r="Q1112" s="3" t="s">
        <v>1597</v>
      </c>
      <c r="R1112" s="3" t="s">
        <v>1602</v>
      </c>
      <c r="S1112" s="3" t="s">
        <v>1603</v>
      </c>
      <c r="T1112" s="3"/>
    </row>
    <row r="1113" spans="1:20">
      <c r="A1113" s="12" t="s">
        <v>1605</v>
      </c>
      <c r="B1113" s="3" t="s">
        <v>1601</v>
      </c>
      <c r="C1113" s="3" t="s">
        <v>1596</v>
      </c>
      <c r="D1113" s="3" t="s">
        <v>562</v>
      </c>
      <c r="E1113" s="3" t="s">
        <v>563</v>
      </c>
      <c r="F1113" s="2">
        <v>1</v>
      </c>
      <c r="G1113" s="4">
        <v>1.0364152226416863</v>
      </c>
      <c r="H1113" s="2">
        <v>25</v>
      </c>
      <c r="I1113" s="2">
        <v>5</v>
      </c>
      <c r="J1113" s="2">
        <v>16</v>
      </c>
      <c r="K1113" s="11">
        <v>1</v>
      </c>
      <c r="L1113" s="11">
        <v>0.84751444285977062</v>
      </c>
      <c r="M1113" s="4">
        <v>0.84751444285977062</v>
      </c>
      <c r="N1113" s="10">
        <v>0.84799999999999998</v>
      </c>
      <c r="O1113" s="4">
        <v>6.1838520184398718</v>
      </c>
      <c r="P1113" s="4">
        <v>6.19</v>
      </c>
      <c r="Q1113" s="3" t="s">
        <v>1597</v>
      </c>
      <c r="R1113" s="3" t="s">
        <v>1602</v>
      </c>
      <c r="S1113" s="3" t="s">
        <v>1603</v>
      </c>
      <c r="T1113" s="3"/>
    </row>
    <row r="1114" spans="1:20">
      <c r="A1114" s="3" t="s">
        <v>1600</v>
      </c>
      <c r="B1114" s="3" t="s">
        <v>1606</v>
      </c>
      <c r="C1114" s="3" t="s">
        <v>1616</v>
      </c>
      <c r="D1114" s="3" t="s">
        <v>562</v>
      </c>
      <c r="E1114" s="3" t="s">
        <v>563</v>
      </c>
      <c r="F1114" s="2">
        <v>1</v>
      </c>
      <c r="G1114" s="4">
        <v>1.0364152226416863</v>
      </c>
      <c r="H1114" s="2">
        <v>25</v>
      </c>
      <c r="I1114" s="2">
        <v>5</v>
      </c>
      <c r="J1114" s="2">
        <v>16</v>
      </c>
      <c r="K1114" s="11">
        <v>1</v>
      </c>
      <c r="L1114" s="11">
        <v>0.79782721474564378</v>
      </c>
      <c r="M1114" s="4">
        <v>0.79782721474564378</v>
      </c>
      <c r="N1114" s="10">
        <v>0.79800000000000004</v>
      </c>
      <c r="O1114" s="4">
        <v>5.4170695348511408</v>
      </c>
      <c r="P1114" s="4">
        <v>5.42</v>
      </c>
      <c r="Q1114" s="3" t="s">
        <v>1597</v>
      </c>
      <c r="R1114" s="3" t="s">
        <v>1607</v>
      </c>
      <c r="S1114" s="3" t="s">
        <v>1608</v>
      </c>
      <c r="T1114" s="3"/>
    </row>
    <row r="1115" spans="1:20">
      <c r="A1115" s="3" t="s">
        <v>1600</v>
      </c>
      <c r="B1115" s="3" t="s">
        <v>1606</v>
      </c>
      <c r="C1115" s="3" t="s">
        <v>1596</v>
      </c>
      <c r="D1115" s="3" t="s">
        <v>562</v>
      </c>
      <c r="E1115" s="3" t="s">
        <v>563</v>
      </c>
      <c r="F1115" s="2">
        <v>1</v>
      </c>
      <c r="G1115" s="4">
        <v>1.0364152226416863</v>
      </c>
      <c r="H1115" s="2">
        <v>25</v>
      </c>
      <c r="I1115" s="2">
        <v>5</v>
      </c>
      <c r="J1115" s="2">
        <v>16</v>
      </c>
      <c r="K1115" s="11">
        <v>1</v>
      </c>
      <c r="L1115" s="11">
        <v>0.79016217184840065</v>
      </c>
      <c r="M1115" s="4">
        <v>0.79016217184840065</v>
      </c>
      <c r="N1115" s="10">
        <v>0.79</v>
      </c>
      <c r="O1115" s="4">
        <v>5.3142297893471433</v>
      </c>
      <c r="P1115" s="4">
        <v>5.31</v>
      </c>
      <c r="Q1115" s="3" t="s">
        <v>1597</v>
      </c>
      <c r="R1115" s="3" t="s">
        <v>1607</v>
      </c>
      <c r="S1115" s="3" t="s">
        <v>1608</v>
      </c>
      <c r="T1115" s="3"/>
    </row>
    <row r="1116" spans="1:20">
      <c r="A1116" s="3" t="s">
        <v>1600</v>
      </c>
      <c r="B1116" s="3" t="s">
        <v>1606</v>
      </c>
      <c r="C1116" s="3" t="s">
        <v>1596</v>
      </c>
      <c r="D1116" s="3" t="s">
        <v>562</v>
      </c>
      <c r="E1116" s="3" t="s">
        <v>563</v>
      </c>
      <c r="F1116" s="2">
        <v>1</v>
      </c>
      <c r="G1116" s="4">
        <v>1.0364152226416863</v>
      </c>
      <c r="H1116" s="2">
        <v>25</v>
      </c>
      <c r="I1116" s="2">
        <v>5</v>
      </c>
      <c r="J1116" s="2">
        <v>1</v>
      </c>
      <c r="K1116" s="11">
        <v>1</v>
      </c>
      <c r="L1116" s="11">
        <v>0.77478632478632481</v>
      </c>
      <c r="M1116" s="4">
        <v>0.77478632478632481</v>
      </c>
      <c r="N1116" s="10">
        <v>0.77500000000000002</v>
      </c>
      <c r="O1116" s="4">
        <v>5.1175464390518544</v>
      </c>
      <c r="P1116" s="4">
        <v>5.12</v>
      </c>
      <c r="Q1116" s="3" t="s">
        <v>1597</v>
      </c>
      <c r="R1116" s="3" t="s">
        <v>1607</v>
      </c>
      <c r="S1116" s="3" t="s">
        <v>1608</v>
      </c>
      <c r="T1116" s="3"/>
    </row>
    <row r="1117" spans="1:20">
      <c r="A1117" s="3" t="s">
        <v>1594</v>
      </c>
      <c r="B1117" s="3" t="s">
        <v>1612</v>
      </c>
      <c r="C1117" s="3" t="s">
        <v>1596</v>
      </c>
      <c r="D1117" s="3" t="s">
        <v>562</v>
      </c>
      <c r="E1117" s="3" t="s">
        <v>563</v>
      </c>
      <c r="F1117" s="2">
        <v>1</v>
      </c>
      <c r="G1117" s="4">
        <v>1.0364152226416863</v>
      </c>
      <c r="H1117" s="2">
        <v>50</v>
      </c>
      <c r="I1117" s="2">
        <v>5</v>
      </c>
      <c r="J1117" s="2">
        <v>16</v>
      </c>
      <c r="K1117" s="4">
        <v>0.1216608631662932</v>
      </c>
      <c r="L1117" s="14">
        <v>9.2562749602859692E-2</v>
      </c>
      <c r="M1117" s="4">
        <v>9.2562749602859692E-2</v>
      </c>
      <c r="N1117" s="10">
        <v>9.2999999999999999E-2</v>
      </c>
      <c r="O1117" s="4">
        <v>0.49882877175565721</v>
      </c>
      <c r="P1117" s="4">
        <v>0.5</v>
      </c>
      <c r="Q1117" s="3" t="s">
        <v>1597</v>
      </c>
      <c r="R1117" s="3" t="s">
        <v>1613</v>
      </c>
      <c r="S1117" s="3" t="s">
        <v>1614</v>
      </c>
      <c r="T1117" s="3"/>
    </row>
    <row r="1118" spans="1:20">
      <c r="A1118" s="3" t="s">
        <v>1594</v>
      </c>
      <c r="B1118" s="3" t="s">
        <v>1595</v>
      </c>
      <c r="C1118" s="3" t="s">
        <v>1596</v>
      </c>
      <c r="D1118" s="3" t="s">
        <v>562</v>
      </c>
      <c r="E1118" s="3" t="s">
        <v>563</v>
      </c>
      <c r="F1118" s="2">
        <v>1</v>
      </c>
      <c r="G1118" s="4">
        <v>1.0364152226416863</v>
      </c>
      <c r="H1118" s="2">
        <v>50</v>
      </c>
      <c r="I1118" s="2">
        <v>5</v>
      </c>
      <c r="J1118" s="2">
        <v>16</v>
      </c>
      <c r="K1118" s="4">
        <v>1</v>
      </c>
      <c r="L1118" s="14">
        <v>-0.37048792523766461</v>
      </c>
      <c r="M1118" s="4">
        <v>0.37048792523766461</v>
      </c>
      <c r="N1118" s="10">
        <v>0.37</v>
      </c>
      <c r="O1118" s="4">
        <v>2.0902926572272134</v>
      </c>
      <c r="P1118" s="4">
        <v>-2.09</v>
      </c>
      <c r="Q1118" s="3" t="s">
        <v>1617</v>
      </c>
      <c r="R1118" s="3" t="s">
        <v>1625</v>
      </c>
      <c r="S1118" s="3" t="s">
        <v>1626</v>
      </c>
      <c r="T1118" s="3"/>
    </row>
    <row r="1119" spans="1:20">
      <c r="A1119" s="3" t="s">
        <v>1594</v>
      </c>
      <c r="B1119" s="3" t="s">
        <v>1612</v>
      </c>
      <c r="C1119" s="3" t="s">
        <v>1596</v>
      </c>
      <c r="D1119" s="3" t="s">
        <v>1458</v>
      </c>
      <c r="E1119" s="3" t="s">
        <v>1459</v>
      </c>
      <c r="F1119" s="2">
        <v>1</v>
      </c>
      <c r="G1119" s="4">
        <v>1.0368762810244752</v>
      </c>
      <c r="H1119" s="2">
        <v>50</v>
      </c>
      <c r="I1119" s="2">
        <v>5</v>
      </c>
      <c r="J1119" s="2">
        <v>16</v>
      </c>
      <c r="K1119" s="4">
        <v>0.55819406146757122</v>
      </c>
      <c r="L1119" s="4">
        <v>0.1200230490352218</v>
      </c>
      <c r="M1119" s="4">
        <v>0.1200230490352218</v>
      </c>
      <c r="N1119" s="10">
        <v>0.12</v>
      </c>
      <c r="O1119" s="4">
        <v>0.64808727957351264</v>
      </c>
      <c r="P1119" s="4">
        <v>0.65</v>
      </c>
      <c r="Q1119" s="3" t="s">
        <v>1597</v>
      </c>
      <c r="R1119" s="3" t="s">
        <v>1613</v>
      </c>
      <c r="S1119" s="3" t="s">
        <v>1614</v>
      </c>
      <c r="T1119" s="3"/>
    </row>
    <row r="1120" spans="1:20">
      <c r="A1120" s="3" t="s">
        <v>1594</v>
      </c>
      <c r="B1120" s="3" t="s">
        <v>1595</v>
      </c>
      <c r="C1120" s="3" t="s">
        <v>1596</v>
      </c>
      <c r="D1120" s="3" t="s">
        <v>1458</v>
      </c>
      <c r="E1120" s="3" t="s">
        <v>1459</v>
      </c>
      <c r="F1120" s="2">
        <v>1</v>
      </c>
      <c r="G1120" s="4">
        <v>1.0368762810244752</v>
      </c>
      <c r="H1120" s="2">
        <v>50</v>
      </c>
      <c r="I1120" s="2">
        <v>5</v>
      </c>
      <c r="J1120" s="2">
        <v>16</v>
      </c>
      <c r="K1120" s="4">
        <v>0.81178817751627963</v>
      </c>
      <c r="L1120" s="4">
        <v>0.10714497297049065</v>
      </c>
      <c r="M1120" s="4">
        <v>0.10714497297049065</v>
      </c>
      <c r="N1120" s="10">
        <v>0.107</v>
      </c>
      <c r="O1120" s="4">
        <v>0.57797935507589848</v>
      </c>
      <c r="P1120" s="4">
        <v>0.57999999999999996</v>
      </c>
      <c r="Q1120" s="3" t="s">
        <v>1597</v>
      </c>
      <c r="R1120" s="3" t="s">
        <v>1598</v>
      </c>
      <c r="S1120" s="3" t="s">
        <v>1599</v>
      </c>
      <c r="T1120" s="3"/>
    </row>
    <row r="1121" spans="1:20">
      <c r="A1121" s="3" t="s">
        <v>1594</v>
      </c>
      <c r="B1121" s="3" t="s">
        <v>1595</v>
      </c>
      <c r="C1121" s="3" t="s">
        <v>1596</v>
      </c>
      <c r="D1121" s="3" t="s">
        <v>1458</v>
      </c>
      <c r="E1121" s="3" t="s">
        <v>1459</v>
      </c>
      <c r="F1121" s="2">
        <v>1</v>
      </c>
      <c r="G1121" s="4">
        <v>1.0368762810244752</v>
      </c>
      <c r="H1121" s="2">
        <v>25</v>
      </c>
      <c r="I1121" s="2">
        <v>5</v>
      </c>
      <c r="J1121" s="2">
        <v>16</v>
      </c>
      <c r="K1121" s="4">
        <v>6.5657041940989647E-2</v>
      </c>
      <c r="L1121" s="4">
        <v>2.4493374493857439E-2</v>
      </c>
      <c r="M1121" s="4">
        <v>2.4493374493857439E-2</v>
      </c>
      <c r="N1121" s="10">
        <v>2.4E-2</v>
      </c>
      <c r="O1121" s="4">
        <v>0.1214608847806516</v>
      </c>
      <c r="P1121" s="4">
        <v>0.12</v>
      </c>
      <c r="Q1121" s="3" t="s">
        <v>1597</v>
      </c>
      <c r="R1121" s="3" t="s">
        <v>1598</v>
      </c>
      <c r="S1121" s="3" t="s">
        <v>1599</v>
      </c>
      <c r="T1121" s="3"/>
    </row>
    <row r="1122" spans="1:20">
      <c r="A1122" s="3" t="s">
        <v>1600</v>
      </c>
      <c r="B1122" s="3" t="s">
        <v>1606</v>
      </c>
      <c r="C1122" s="3" t="s">
        <v>1616</v>
      </c>
      <c r="D1122" s="3" t="s">
        <v>1458</v>
      </c>
      <c r="E1122" s="3" t="s">
        <v>1459</v>
      </c>
      <c r="F1122" s="2">
        <v>1</v>
      </c>
      <c r="G1122" s="4">
        <v>1.0368762810244752</v>
      </c>
      <c r="H1122" s="2">
        <v>25</v>
      </c>
      <c r="I1122" s="2">
        <v>5</v>
      </c>
      <c r="J1122" s="2">
        <v>16</v>
      </c>
      <c r="K1122" s="4">
        <v>1</v>
      </c>
      <c r="L1122" s="4">
        <v>-0.10858908486675485</v>
      </c>
      <c r="M1122" s="4">
        <v>0.10858908486675485</v>
      </c>
      <c r="N1122" s="10">
        <v>0.109</v>
      </c>
      <c r="O1122" s="4">
        <v>0.54050897958266619</v>
      </c>
      <c r="P1122" s="4">
        <v>-0.54</v>
      </c>
      <c r="Q1122" s="3" t="s">
        <v>1617</v>
      </c>
      <c r="R1122" s="3" t="s">
        <v>1621</v>
      </c>
      <c r="S1122" s="3" t="s">
        <v>1622</v>
      </c>
      <c r="T1122" s="3"/>
    </row>
    <row r="1123" spans="1:20">
      <c r="A1123" s="3" t="s">
        <v>1600</v>
      </c>
      <c r="B1123" s="3" t="s">
        <v>1606</v>
      </c>
      <c r="C1123" s="3" t="s">
        <v>1616</v>
      </c>
      <c r="D1123" s="3" t="s">
        <v>1458</v>
      </c>
      <c r="E1123" s="3" t="s">
        <v>1459</v>
      </c>
      <c r="F1123" s="2">
        <v>1</v>
      </c>
      <c r="G1123" s="4">
        <v>1.0368762810244752</v>
      </c>
      <c r="H1123" s="2">
        <v>25</v>
      </c>
      <c r="I1123" s="2">
        <v>5</v>
      </c>
      <c r="J1123" s="2">
        <v>1</v>
      </c>
      <c r="K1123" s="4">
        <v>1</v>
      </c>
      <c r="L1123" s="4">
        <v>-0.12898610399616742</v>
      </c>
      <c r="M1123" s="4">
        <v>0.12898610399616742</v>
      </c>
      <c r="N1123" s="10">
        <v>0.129</v>
      </c>
      <c r="O1123" s="4">
        <v>0.64308729278737176</v>
      </c>
      <c r="P1123" s="4">
        <v>-0.64</v>
      </c>
      <c r="Q1123" s="3" t="s">
        <v>1617</v>
      </c>
      <c r="R1123" s="3" t="s">
        <v>1621</v>
      </c>
      <c r="S1123" s="3" t="s">
        <v>1622</v>
      </c>
      <c r="T1123" s="3"/>
    </row>
    <row r="1124" spans="1:20">
      <c r="A1124" s="3" t="s">
        <v>1605</v>
      </c>
      <c r="B1124" s="3" t="s">
        <v>1601</v>
      </c>
      <c r="C1124" s="3" t="s">
        <v>1596</v>
      </c>
      <c r="D1124" s="3" t="s">
        <v>1458</v>
      </c>
      <c r="E1124" s="3" t="s">
        <v>1459</v>
      </c>
      <c r="F1124" s="2">
        <v>1</v>
      </c>
      <c r="G1124" s="4">
        <v>1.0368762810244752</v>
      </c>
      <c r="H1124" s="2">
        <v>25</v>
      </c>
      <c r="I1124" s="2">
        <v>5</v>
      </c>
      <c r="J1124" s="2">
        <v>16</v>
      </c>
      <c r="K1124" s="4">
        <v>1</v>
      </c>
      <c r="L1124" s="4">
        <v>-0.15857293953312201</v>
      </c>
      <c r="M1124" s="4">
        <v>0.15857293953312201</v>
      </c>
      <c r="N1124" s="10">
        <v>0.159</v>
      </c>
      <c r="O1124" s="4">
        <v>0.79288550239148714</v>
      </c>
      <c r="P1124" s="4">
        <v>-0.8</v>
      </c>
      <c r="Q1124" s="3" t="s">
        <v>1617</v>
      </c>
      <c r="R1124" s="3" t="s">
        <v>1618</v>
      </c>
      <c r="S1124" s="3" t="s">
        <v>1619</v>
      </c>
      <c r="T1124" s="3"/>
    </row>
    <row r="1125" spans="1:20">
      <c r="A1125" s="3" t="s">
        <v>1600</v>
      </c>
      <c r="B1125" s="3" t="s">
        <v>1601</v>
      </c>
      <c r="C1125" s="3" t="s">
        <v>1596</v>
      </c>
      <c r="D1125" s="3" t="s">
        <v>1458</v>
      </c>
      <c r="E1125" s="3" t="s">
        <v>1459</v>
      </c>
      <c r="F1125" s="2">
        <v>1</v>
      </c>
      <c r="G1125" s="4">
        <v>1.0368762810244752</v>
      </c>
      <c r="H1125" s="2">
        <v>25</v>
      </c>
      <c r="I1125" s="2">
        <v>5</v>
      </c>
      <c r="J1125" s="2">
        <v>16</v>
      </c>
      <c r="K1125" s="4">
        <v>1</v>
      </c>
      <c r="L1125" s="4">
        <v>-0.17355386910057566</v>
      </c>
      <c r="M1125" s="4">
        <v>0.17355386910057566</v>
      </c>
      <c r="N1125" s="10">
        <v>0.17399999999999999</v>
      </c>
      <c r="O1125" s="4">
        <v>0.86926799233276941</v>
      </c>
      <c r="P1125" s="4">
        <v>-0.87</v>
      </c>
      <c r="Q1125" s="3" t="s">
        <v>1617</v>
      </c>
      <c r="R1125" s="3" t="s">
        <v>1618</v>
      </c>
      <c r="S1125" s="3" t="s">
        <v>1619</v>
      </c>
      <c r="T1125" s="3"/>
    </row>
    <row r="1126" spans="1:20">
      <c r="A1126" s="3" t="s">
        <v>1604</v>
      </c>
      <c r="B1126" s="3" t="s">
        <v>1601</v>
      </c>
      <c r="C1126" s="3" t="s">
        <v>1596</v>
      </c>
      <c r="D1126" s="3" t="s">
        <v>1458</v>
      </c>
      <c r="E1126" s="3" t="s">
        <v>1459</v>
      </c>
      <c r="F1126" s="2">
        <v>1</v>
      </c>
      <c r="G1126" s="4">
        <v>1.0368762810244752</v>
      </c>
      <c r="H1126" s="2">
        <v>25</v>
      </c>
      <c r="I1126" s="2">
        <v>30</v>
      </c>
      <c r="J1126" s="2">
        <v>16</v>
      </c>
      <c r="K1126" s="4">
        <v>1</v>
      </c>
      <c r="L1126" s="4">
        <v>-0.18223721490704275</v>
      </c>
      <c r="M1126" s="4">
        <v>0.18223721490704275</v>
      </c>
      <c r="N1126" s="10">
        <v>0.182</v>
      </c>
      <c r="O1126" s="4">
        <v>0.91372676289899601</v>
      </c>
      <c r="P1126" s="4">
        <v>-0.91</v>
      </c>
      <c r="Q1126" s="3" t="s">
        <v>1617</v>
      </c>
      <c r="R1126" s="3" t="s">
        <v>1618</v>
      </c>
      <c r="S1126" s="3" t="s">
        <v>1619</v>
      </c>
      <c r="T1126" s="3"/>
    </row>
    <row r="1127" spans="1:20">
      <c r="A1127" s="3" t="s">
        <v>1600</v>
      </c>
      <c r="B1127" s="3" t="s">
        <v>1606</v>
      </c>
      <c r="C1127" s="3" t="s">
        <v>1596</v>
      </c>
      <c r="D1127" s="3" t="s">
        <v>1458</v>
      </c>
      <c r="E1127" s="3" t="s">
        <v>1459</v>
      </c>
      <c r="F1127" s="2">
        <v>1</v>
      </c>
      <c r="G1127" s="4">
        <v>1.0368762810244752</v>
      </c>
      <c r="H1127" s="2">
        <v>25</v>
      </c>
      <c r="I1127" s="2">
        <v>5</v>
      </c>
      <c r="J1127" s="2">
        <v>16</v>
      </c>
      <c r="K1127" s="4">
        <v>1</v>
      </c>
      <c r="L1127" s="4">
        <v>-0.18718931553161131</v>
      </c>
      <c r="M1127" s="4">
        <v>0.18718931553161131</v>
      </c>
      <c r="N1127" s="10">
        <v>0.187</v>
      </c>
      <c r="O1127" s="4">
        <v>0.93914631120549963</v>
      </c>
      <c r="P1127" s="4">
        <v>-0.94</v>
      </c>
      <c r="Q1127" s="3" t="s">
        <v>1617</v>
      </c>
      <c r="R1127" s="3" t="s">
        <v>1621</v>
      </c>
      <c r="S1127" s="3" t="s">
        <v>1622</v>
      </c>
      <c r="T1127" s="3"/>
    </row>
    <row r="1128" spans="1:20">
      <c r="A1128" s="3" t="s">
        <v>1600</v>
      </c>
      <c r="B1128" s="3" t="s">
        <v>1606</v>
      </c>
      <c r="C1128" s="3" t="s">
        <v>1596</v>
      </c>
      <c r="D1128" s="3" t="s">
        <v>1458</v>
      </c>
      <c r="E1128" s="3" t="s">
        <v>1459</v>
      </c>
      <c r="F1128" s="2">
        <v>1</v>
      </c>
      <c r="G1128" s="4">
        <v>1.0368762810244752</v>
      </c>
      <c r="H1128" s="2">
        <v>25</v>
      </c>
      <c r="I1128" s="2">
        <v>5</v>
      </c>
      <c r="J1128" s="2">
        <v>1</v>
      </c>
      <c r="K1128" s="4">
        <v>0.99825859221430535</v>
      </c>
      <c r="L1128" s="4">
        <v>-0.19104403629174282</v>
      </c>
      <c r="M1128" s="4">
        <v>0.19104403629174282</v>
      </c>
      <c r="N1128" s="10">
        <v>0.191</v>
      </c>
      <c r="O1128" s="4">
        <v>0.9589666772786527</v>
      </c>
      <c r="P1128" s="4">
        <v>-0.96</v>
      </c>
      <c r="Q1128" s="3" t="s">
        <v>1617</v>
      </c>
      <c r="R1128" s="3" t="s">
        <v>1621</v>
      </c>
      <c r="S1128" s="3" t="s">
        <v>1622</v>
      </c>
      <c r="T1128" s="3"/>
    </row>
    <row r="1129" spans="1:20">
      <c r="A1129" s="3" t="s">
        <v>1600</v>
      </c>
      <c r="B1129" s="3" t="s">
        <v>1601</v>
      </c>
      <c r="C1129" s="3" t="s">
        <v>1596</v>
      </c>
      <c r="D1129" s="3" t="s">
        <v>1458</v>
      </c>
      <c r="E1129" s="3" t="s">
        <v>1459</v>
      </c>
      <c r="F1129" s="2">
        <v>1</v>
      </c>
      <c r="G1129" s="4">
        <v>1.0368762810244752</v>
      </c>
      <c r="H1129" s="2">
        <v>25</v>
      </c>
      <c r="I1129" s="2">
        <v>5</v>
      </c>
      <c r="J1129" s="2">
        <v>1</v>
      </c>
      <c r="K1129" s="4">
        <v>0.59981275021992175</v>
      </c>
      <c r="L1129" s="4">
        <v>-0.19813555699455374</v>
      </c>
      <c r="M1129" s="4">
        <v>0.19813555699455374</v>
      </c>
      <c r="N1129" s="10">
        <v>0.19800000000000001</v>
      </c>
      <c r="O1129" s="4">
        <v>0.99550987800319179</v>
      </c>
      <c r="P1129" s="4">
        <v>-0.99</v>
      </c>
      <c r="Q1129" s="3" t="s">
        <v>1617</v>
      </c>
      <c r="R1129" s="3" t="s">
        <v>1618</v>
      </c>
      <c r="S1129" s="3" t="s">
        <v>1619</v>
      </c>
      <c r="T1129" s="3"/>
    </row>
    <row r="1130" spans="1:20">
      <c r="A1130" s="3" t="s">
        <v>1600</v>
      </c>
      <c r="B1130" s="3" t="s">
        <v>1609</v>
      </c>
      <c r="C1130" s="3" t="s">
        <v>1616</v>
      </c>
      <c r="D1130" s="3" t="s">
        <v>1458</v>
      </c>
      <c r="E1130" s="3" t="s">
        <v>1459</v>
      </c>
      <c r="F1130" s="2">
        <v>1</v>
      </c>
      <c r="G1130" s="4">
        <v>1.0368762810244752</v>
      </c>
      <c r="H1130" s="2">
        <v>25</v>
      </c>
      <c r="I1130" s="2">
        <v>5</v>
      </c>
      <c r="J1130" s="2">
        <v>16</v>
      </c>
      <c r="K1130" s="4">
        <v>0.99023469033465705</v>
      </c>
      <c r="L1130" s="4">
        <v>-0.22156670545686316</v>
      </c>
      <c r="M1130" s="4">
        <v>0.22156670545686316</v>
      </c>
      <c r="N1130" s="10">
        <v>0.222</v>
      </c>
      <c r="O1130" s="4">
        <v>1.1170384184979667</v>
      </c>
      <c r="P1130" s="4">
        <v>-1.1200000000000001</v>
      </c>
      <c r="Q1130" s="3" t="s">
        <v>1617</v>
      </c>
      <c r="R1130" s="3" t="s">
        <v>1623</v>
      </c>
      <c r="S1130" s="3" t="s">
        <v>1624</v>
      </c>
      <c r="T1130" s="3"/>
    </row>
    <row r="1131" spans="1:20">
      <c r="A1131" s="3" t="s">
        <v>1600</v>
      </c>
      <c r="B1131" s="3" t="s">
        <v>1609</v>
      </c>
      <c r="C1131" s="3" t="s">
        <v>1616</v>
      </c>
      <c r="D1131" s="3" t="s">
        <v>1458</v>
      </c>
      <c r="E1131" s="3" t="s">
        <v>1459</v>
      </c>
      <c r="F1131" s="2">
        <v>1</v>
      </c>
      <c r="G1131" s="4">
        <v>1.0368762810244752</v>
      </c>
      <c r="H1131" s="2">
        <v>25</v>
      </c>
      <c r="I1131" s="2">
        <v>5</v>
      </c>
      <c r="J1131" s="2">
        <v>1</v>
      </c>
      <c r="K1131" s="4">
        <v>1</v>
      </c>
      <c r="L1131" s="4">
        <v>-0.23030457646987396</v>
      </c>
      <c r="M1131" s="4">
        <v>0.23030457646987396</v>
      </c>
      <c r="N1131" s="10">
        <v>0.23</v>
      </c>
      <c r="O1131" s="4">
        <v>1.1626910033504467</v>
      </c>
      <c r="P1131" s="4">
        <v>-1.1599999999999999</v>
      </c>
      <c r="Q1131" s="3" t="s">
        <v>1617</v>
      </c>
      <c r="R1131" s="3" t="s">
        <v>1623</v>
      </c>
      <c r="S1131" s="3" t="s">
        <v>1624</v>
      </c>
      <c r="T1131" s="3"/>
    </row>
    <row r="1132" spans="1:20">
      <c r="A1132" s="3" t="s">
        <v>1600</v>
      </c>
      <c r="B1132" s="3" t="s">
        <v>1609</v>
      </c>
      <c r="C1132" s="3" t="s">
        <v>1596</v>
      </c>
      <c r="D1132" s="3" t="s">
        <v>1458</v>
      </c>
      <c r="E1132" s="3" t="s">
        <v>1459</v>
      </c>
      <c r="F1132" s="2">
        <v>1</v>
      </c>
      <c r="G1132" s="4">
        <v>1.0368762810244752</v>
      </c>
      <c r="H1132" s="2">
        <v>25</v>
      </c>
      <c r="I1132" s="2">
        <v>5</v>
      </c>
      <c r="J1132" s="2">
        <v>1</v>
      </c>
      <c r="K1132" s="4">
        <v>0.99119246926676763</v>
      </c>
      <c r="L1132" s="4">
        <v>-0.25439683454108641</v>
      </c>
      <c r="M1132" s="4">
        <v>0.25439683454108641</v>
      </c>
      <c r="N1132" s="10">
        <v>0.254</v>
      </c>
      <c r="O1132" s="4">
        <v>1.289600438212374</v>
      </c>
      <c r="P1132" s="4">
        <v>-1.29</v>
      </c>
      <c r="Q1132" s="3" t="s">
        <v>1617</v>
      </c>
      <c r="R1132" s="3" t="s">
        <v>1623</v>
      </c>
      <c r="S1132" s="3" t="s">
        <v>1624</v>
      </c>
      <c r="T1132" s="3"/>
    </row>
    <row r="1133" spans="1:20">
      <c r="A1133" s="3" t="s">
        <v>1604</v>
      </c>
      <c r="B1133" s="3" t="s">
        <v>1601</v>
      </c>
      <c r="C1133" s="3" t="s">
        <v>1616</v>
      </c>
      <c r="D1133" s="3" t="s">
        <v>1458</v>
      </c>
      <c r="E1133" s="3" t="s">
        <v>1459</v>
      </c>
      <c r="F1133" s="2">
        <v>1</v>
      </c>
      <c r="G1133" s="4">
        <v>1.0368762810244752</v>
      </c>
      <c r="H1133" s="2">
        <v>25</v>
      </c>
      <c r="I1133" s="2">
        <v>30</v>
      </c>
      <c r="J1133" s="2">
        <v>16</v>
      </c>
      <c r="K1133" s="4">
        <v>1</v>
      </c>
      <c r="L1133" s="4">
        <v>-0.26420621065763311</v>
      </c>
      <c r="M1133" s="4">
        <v>0.26420621065763311</v>
      </c>
      <c r="N1133" s="10">
        <v>0.26400000000000001</v>
      </c>
      <c r="O1133" s="4">
        <v>1.3417410308981308</v>
      </c>
      <c r="P1133" s="4">
        <v>-1.34</v>
      </c>
      <c r="Q1133" s="3" t="s">
        <v>1617</v>
      </c>
      <c r="R1133" s="3" t="s">
        <v>1618</v>
      </c>
      <c r="S1133" s="3" t="s">
        <v>1619</v>
      </c>
      <c r="T1133" s="3"/>
    </row>
    <row r="1134" spans="1:20">
      <c r="A1134" s="3" t="s">
        <v>1600</v>
      </c>
      <c r="B1134" s="3" t="s">
        <v>1609</v>
      </c>
      <c r="C1134" s="3" t="s">
        <v>1596</v>
      </c>
      <c r="D1134" s="3" t="s">
        <v>1458</v>
      </c>
      <c r="E1134" s="3" t="s">
        <v>1459</v>
      </c>
      <c r="F1134" s="2">
        <v>1</v>
      </c>
      <c r="G1134" s="4">
        <v>1.0368762810244752</v>
      </c>
      <c r="H1134" s="2">
        <v>25</v>
      </c>
      <c r="I1134" s="2">
        <v>5</v>
      </c>
      <c r="J1134" s="2">
        <v>16</v>
      </c>
      <c r="K1134" s="4">
        <v>1</v>
      </c>
      <c r="L1134" s="4">
        <v>-0.27200853538587139</v>
      </c>
      <c r="M1134" s="4">
        <v>0.27200853538587139</v>
      </c>
      <c r="N1134" s="10">
        <v>0.27200000000000002</v>
      </c>
      <c r="O1134" s="4">
        <v>1.3834207398770915</v>
      </c>
      <c r="P1134" s="4">
        <v>-1.38</v>
      </c>
      <c r="Q1134" s="3" t="s">
        <v>1617</v>
      </c>
      <c r="R1134" s="3" t="s">
        <v>1623</v>
      </c>
      <c r="S1134" s="3" t="s">
        <v>1624</v>
      </c>
      <c r="T1134" s="3"/>
    </row>
    <row r="1135" spans="1:20">
      <c r="A1135" s="3" t="s">
        <v>1600</v>
      </c>
      <c r="B1135" s="3" t="s">
        <v>1601</v>
      </c>
      <c r="C1135" s="3" t="s">
        <v>1616</v>
      </c>
      <c r="D1135" s="3" t="s">
        <v>1458</v>
      </c>
      <c r="E1135" s="3" t="s">
        <v>1459</v>
      </c>
      <c r="F1135" s="2">
        <v>1</v>
      </c>
      <c r="G1135" s="4">
        <v>1.0368762810244752</v>
      </c>
      <c r="H1135" s="2">
        <v>25</v>
      </c>
      <c r="I1135" s="2">
        <v>5</v>
      </c>
      <c r="J1135" s="2">
        <v>16</v>
      </c>
      <c r="K1135" s="4">
        <v>1</v>
      </c>
      <c r="L1135" s="4">
        <v>-0.28793468472233963</v>
      </c>
      <c r="M1135" s="4">
        <v>0.28793468472233963</v>
      </c>
      <c r="N1135" s="10">
        <v>0.28799999999999998</v>
      </c>
      <c r="O1135" s="4">
        <v>1.4690998846220251</v>
      </c>
      <c r="P1135" s="4">
        <v>-1.47</v>
      </c>
      <c r="Q1135" s="3" t="s">
        <v>1617</v>
      </c>
      <c r="R1135" s="3" t="s">
        <v>1618</v>
      </c>
      <c r="S1135" s="3" t="s">
        <v>1619</v>
      </c>
      <c r="T1135" s="3"/>
    </row>
    <row r="1136" spans="1:20">
      <c r="A1136" s="3" t="s">
        <v>1600</v>
      </c>
      <c r="B1136" s="3" t="s">
        <v>1601</v>
      </c>
      <c r="C1136" s="3" t="s">
        <v>1616</v>
      </c>
      <c r="D1136" s="3" t="s">
        <v>1458</v>
      </c>
      <c r="E1136" s="3" t="s">
        <v>1459</v>
      </c>
      <c r="F1136" s="2">
        <v>1</v>
      </c>
      <c r="G1136" s="4">
        <v>1.0368762810244752</v>
      </c>
      <c r="H1136" s="2">
        <v>25</v>
      </c>
      <c r="I1136" s="2">
        <v>5</v>
      </c>
      <c r="J1136" s="2">
        <v>1</v>
      </c>
      <c r="K1136" s="4">
        <v>1</v>
      </c>
      <c r="L1136" s="4">
        <v>-0.29340621514833742</v>
      </c>
      <c r="M1136" s="4">
        <v>0.29340621514833742</v>
      </c>
      <c r="N1136" s="10">
        <v>0.29299999999999998</v>
      </c>
      <c r="O1136" s="4">
        <v>1.4987309977397987</v>
      </c>
      <c r="P1136" s="4">
        <v>-1.5</v>
      </c>
      <c r="Q1136" s="3" t="s">
        <v>1617</v>
      </c>
      <c r="R1136" s="3" t="s">
        <v>1618</v>
      </c>
      <c r="S1136" s="3" t="s">
        <v>1619</v>
      </c>
      <c r="T1136" s="3"/>
    </row>
    <row r="1137" spans="1:20">
      <c r="A1137" s="3" t="s">
        <v>1594</v>
      </c>
      <c r="B1137" s="3" t="s">
        <v>1595</v>
      </c>
      <c r="C1137" s="3" t="s">
        <v>1596</v>
      </c>
      <c r="D1137" s="3" t="s">
        <v>306</v>
      </c>
      <c r="E1137" s="3" t="s">
        <v>307</v>
      </c>
      <c r="F1137" s="2">
        <v>1</v>
      </c>
      <c r="G1137" s="4">
        <v>1.0371548955478949</v>
      </c>
      <c r="H1137" s="2">
        <v>50</v>
      </c>
      <c r="I1137" s="2">
        <v>5</v>
      </c>
      <c r="J1137" s="2">
        <v>16</v>
      </c>
      <c r="K1137" s="4">
        <v>1</v>
      </c>
      <c r="L1137" s="14">
        <v>2.690998914209819E-2</v>
      </c>
      <c r="M1137" s="4">
        <v>2.690998914209819E-2</v>
      </c>
      <c r="N1137" s="10">
        <v>2.7E-2</v>
      </c>
      <c r="O1137" s="4">
        <v>0.14464008891341024</v>
      </c>
      <c r="P1137" s="4">
        <v>0.15</v>
      </c>
      <c r="Q1137" s="3" t="s">
        <v>1597</v>
      </c>
      <c r="R1137" s="3" t="s">
        <v>1598</v>
      </c>
      <c r="S1137" s="3" t="s">
        <v>1599</v>
      </c>
      <c r="T1137" s="3"/>
    </row>
    <row r="1138" spans="1:20">
      <c r="A1138" s="3" t="s">
        <v>1600</v>
      </c>
      <c r="B1138" s="3" t="s">
        <v>1601</v>
      </c>
      <c r="C1138" s="3" t="s">
        <v>1596</v>
      </c>
      <c r="D1138" s="3" t="s">
        <v>306</v>
      </c>
      <c r="E1138" s="3" t="s">
        <v>307</v>
      </c>
      <c r="F1138" s="2">
        <v>1</v>
      </c>
      <c r="G1138" s="4">
        <v>1.0371548955478949</v>
      </c>
      <c r="H1138" s="2">
        <v>25</v>
      </c>
      <c r="I1138" s="2">
        <v>5</v>
      </c>
      <c r="J1138" s="2">
        <v>16</v>
      </c>
      <c r="K1138" s="4">
        <v>1</v>
      </c>
      <c r="L1138" s="4">
        <v>-6.7545282663739381E-2</v>
      </c>
      <c r="M1138" s="4">
        <v>6.7545282663739381E-2</v>
      </c>
      <c r="N1138" s="10">
        <v>6.8000000000000005E-2</v>
      </c>
      <c r="O1138" s="4">
        <v>0.33539590043513251</v>
      </c>
      <c r="P1138" s="4">
        <v>-0.34</v>
      </c>
      <c r="Q1138" s="3" t="s">
        <v>1617</v>
      </c>
      <c r="R1138" s="3" t="s">
        <v>1618</v>
      </c>
      <c r="S1138" s="3" t="s">
        <v>1619</v>
      </c>
      <c r="T1138" s="3"/>
    </row>
    <row r="1139" spans="1:20">
      <c r="A1139" s="3" t="s">
        <v>1604</v>
      </c>
      <c r="B1139" s="3" t="s">
        <v>1601</v>
      </c>
      <c r="C1139" s="3" t="s">
        <v>1596</v>
      </c>
      <c r="D1139" s="3" t="s">
        <v>306</v>
      </c>
      <c r="E1139" s="3" t="s">
        <v>307</v>
      </c>
      <c r="F1139" s="2">
        <v>1</v>
      </c>
      <c r="G1139" s="4">
        <v>1.0371548955478949</v>
      </c>
      <c r="H1139" s="2">
        <v>25</v>
      </c>
      <c r="I1139" s="2">
        <v>30</v>
      </c>
      <c r="J1139" s="2">
        <v>16</v>
      </c>
      <c r="K1139" s="4">
        <v>1</v>
      </c>
      <c r="L1139" s="4">
        <v>-7.4510794580924453E-2</v>
      </c>
      <c r="M1139" s="4">
        <v>7.4510794580924453E-2</v>
      </c>
      <c r="N1139" s="10">
        <v>7.4999999999999997E-2</v>
      </c>
      <c r="O1139" s="4">
        <v>0.37010571876930154</v>
      </c>
      <c r="P1139" s="4">
        <v>-0.37</v>
      </c>
      <c r="Q1139" s="3" t="s">
        <v>1617</v>
      </c>
      <c r="R1139" s="3" t="s">
        <v>1618</v>
      </c>
      <c r="S1139" s="3" t="s">
        <v>1619</v>
      </c>
      <c r="T1139" s="3"/>
    </row>
    <row r="1140" spans="1:20">
      <c r="A1140" s="12" t="s">
        <v>1605</v>
      </c>
      <c r="B1140" s="3" t="s">
        <v>1601</v>
      </c>
      <c r="C1140" s="3" t="s">
        <v>1596</v>
      </c>
      <c r="D1140" s="3" t="s">
        <v>306</v>
      </c>
      <c r="E1140" s="3" t="s">
        <v>307</v>
      </c>
      <c r="F1140" s="2">
        <v>1</v>
      </c>
      <c r="G1140" s="4">
        <v>1.0371548955478949</v>
      </c>
      <c r="H1140" s="2">
        <v>25</v>
      </c>
      <c r="I1140" s="2">
        <v>5</v>
      </c>
      <c r="J1140" s="2">
        <v>16</v>
      </c>
      <c r="K1140" s="11">
        <v>1</v>
      </c>
      <c r="L1140" s="11">
        <v>-7.963794333550786E-2</v>
      </c>
      <c r="M1140" s="4">
        <v>7.963794333550786E-2</v>
      </c>
      <c r="N1140" s="10">
        <v>0.08</v>
      </c>
      <c r="O1140" s="4">
        <v>0.39567776297330198</v>
      </c>
      <c r="P1140" s="4">
        <v>-0.4</v>
      </c>
      <c r="Q1140" s="3" t="s">
        <v>1617</v>
      </c>
      <c r="R1140" s="3" t="s">
        <v>1618</v>
      </c>
      <c r="S1140" s="3" t="s">
        <v>1619</v>
      </c>
      <c r="T1140" s="3"/>
    </row>
    <row r="1141" spans="1:20">
      <c r="A1141" s="3" t="s">
        <v>1600</v>
      </c>
      <c r="B1141" s="3" t="s">
        <v>1606</v>
      </c>
      <c r="C1141" s="3" t="s">
        <v>1596</v>
      </c>
      <c r="D1141" s="3" t="s">
        <v>306</v>
      </c>
      <c r="E1141" s="3" t="s">
        <v>307</v>
      </c>
      <c r="F1141" s="2">
        <v>1</v>
      </c>
      <c r="G1141" s="4">
        <v>1.0371548955478949</v>
      </c>
      <c r="H1141" s="2">
        <v>25</v>
      </c>
      <c r="I1141" s="2">
        <v>5</v>
      </c>
      <c r="J1141" s="2">
        <v>1</v>
      </c>
      <c r="K1141" s="11">
        <v>1</v>
      </c>
      <c r="L1141" s="11">
        <v>-8.0181621846662207E-2</v>
      </c>
      <c r="M1141" s="4">
        <v>8.0181621846662207E-2</v>
      </c>
      <c r="N1141" s="10">
        <v>0.08</v>
      </c>
      <c r="O1141" s="4">
        <v>0.39839060957598832</v>
      </c>
      <c r="P1141" s="4">
        <v>-0.4</v>
      </c>
      <c r="Q1141" s="3" t="s">
        <v>1617</v>
      </c>
      <c r="R1141" s="3" t="s">
        <v>1621</v>
      </c>
      <c r="S1141" s="3" t="s">
        <v>1622</v>
      </c>
      <c r="T1141" s="3"/>
    </row>
    <row r="1142" spans="1:20">
      <c r="A1142" s="3" t="s">
        <v>1600</v>
      </c>
      <c r="B1142" s="3" t="s">
        <v>1606</v>
      </c>
      <c r="C1142" s="3" t="s">
        <v>1596</v>
      </c>
      <c r="D1142" s="3" t="s">
        <v>306</v>
      </c>
      <c r="E1142" s="3" t="s">
        <v>307</v>
      </c>
      <c r="F1142" s="2">
        <v>1</v>
      </c>
      <c r="G1142" s="4">
        <v>1.0371548955478949</v>
      </c>
      <c r="H1142" s="2">
        <v>25</v>
      </c>
      <c r="I1142" s="2">
        <v>5</v>
      </c>
      <c r="J1142" s="2">
        <v>16</v>
      </c>
      <c r="K1142" s="11">
        <v>1</v>
      </c>
      <c r="L1142" s="11">
        <v>-0.10879710652199277</v>
      </c>
      <c r="M1142" s="4">
        <v>0.10879710652199277</v>
      </c>
      <c r="N1142" s="10">
        <v>0.109</v>
      </c>
      <c r="O1142" s="4">
        <v>0.54155266804551228</v>
      </c>
      <c r="P1142" s="4">
        <v>-0.54</v>
      </c>
      <c r="Q1142" s="3" t="s">
        <v>1617</v>
      </c>
      <c r="R1142" s="3" t="s">
        <v>1621</v>
      </c>
      <c r="S1142" s="3" t="s">
        <v>1622</v>
      </c>
      <c r="T1142" s="3"/>
    </row>
    <row r="1143" spans="1:20">
      <c r="A1143" s="3" t="s">
        <v>1594</v>
      </c>
      <c r="B1143" s="3" t="s">
        <v>1612</v>
      </c>
      <c r="C1143" s="3" t="s">
        <v>1596</v>
      </c>
      <c r="D1143" s="3" t="s">
        <v>306</v>
      </c>
      <c r="E1143" s="3" t="s">
        <v>307</v>
      </c>
      <c r="F1143" s="2">
        <v>1</v>
      </c>
      <c r="G1143" s="4">
        <v>1.0371548955478949</v>
      </c>
      <c r="H1143" s="2">
        <v>50</v>
      </c>
      <c r="I1143" s="2">
        <v>5</v>
      </c>
      <c r="J1143" s="2">
        <v>16</v>
      </c>
      <c r="K1143" s="4">
        <v>0.66689363458694051</v>
      </c>
      <c r="L1143" s="14">
        <v>-0.17406555109667163</v>
      </c>
      <c r="M1143" s="4">
        <v>0.17406555109667163</v>
      </c>
      <c r="N1143" s="10">
        <v>0.17399999999999999</v>
      </c>
      <c r="O1143" s="4">
        <v>0.94499172911368012</v>
      </c>
      <c r="P1143" s="4">
        <v>-0.94</v>
      </c>
      <c r="Q1143" s="3" t="s">
        <v>1617</v>
      </c>
      <c r="R1143" s="3" t="s">
        <v>1627</v>
      </c>
      <c r="S1143" s="3" t="s">
        <v>1628</v>
      </c>
      <c r="T1143" s="3"/>
    </row>
    <row r="1144" spans="1:20">
      <c r="A1144" s="3" t="s">
        <v>1600</v>
      </c>
      <c r="B1144" s="3" t="s">
        <v>1606</v>
      </c>
      <c r="C1144" s="3" t="s">
        <v>1616</v>
      </c>
      <c r="D1144" s="3" t="s">
        <v>306</v>
      </c>
      <c r="E1144" s="3" t="s">
        <v>307</v>
      </c>
      <c r="F1144" s="2">
        <v>1</v>
      </c>
      <c r="G1144" s="4">
        <v>1.0371548955478949</v>
      </c>
      <c r="H1144" s="2">
        <v>25</v>
      </c>
      <c r="I1144" s="2">
        <v>5</v>
      </c>
      <c r="J1144" s="2">
        <v>16</v>
      </c>
      <c r="K1144" s="11">
        <v>1</v>
      </c>
      <c r="L1144" s="11">
        <v>-0.17606585210808537</v>
      </c>
      <c r="M1144" s="4">
        <v>0.17606585210808537</v>
      </c>
      <c r="N1144" s="10">
        <v>0.17599999999999999</v>
      </c>
      <c r="O1144" s="4">
        <v>0.88211483178446926</v>
      </c>
      <c r="P1144" s="4">
        <v>-0.88</v>
      </c>
      <c r="Q1144" s="3" t="s">
        <v>1617</v>
      </c>
      <c r="R1144" s="3" t="s">
        <v>1621</v>
      </c>
      <c r="S1144" s="3" t="s">
        <v>1622</v>
      </c>
      <c r="T1144" s="3"/>
    </row>
    <row r="1145" spans="1:20">
      <c r="A1145" s="3" t="s">
        <v>1600</v>
      </c>
      <c r="B1145" s="3" t="s">
        <v>1601</v>
      </c>
      <c r="C1145" s="3" t="s">
        <v>1596</v>
      </c>
      <c r="D1145" s="3" t="s">
        <v>306</v>
      </c>
      <c r="E1145" s="3" t="s">
        <v>307</v>
      </c>
      <c r="F1145" s="2">
        <v>1</v>
      </c>
      <c r="G1145" s="4">
        <v>1.0371548955478949</v>
      </c>
      <c r="H1145" s="2">
        <v>25</v>
      </c>
      <c r="I1145" s="2">
        <v>5</v>
      </c>
      <c r="J1145" s="2">
        <v>1</v>
      </c>
      <c r="K1145" s="4">
        <v>0.50507473095148581</v>
      </c>
      <c r="L1145" s="4">
        <v>-0.18122442977431236</v>
      </c>
      <c r="M1145" s="4">
        <v>0.18122442977431236</v>
      </c>
      <c r="N1145" s="10">
        <v>0.18099999999999999</v>
      </c>
      <c r="O1145" s="4">
        <v>0.90853393950823547</v>
      </c>
      <c r="P1145" s="4">
        <v>-0.91</v>
      </c>
      <c r="Q1145" s="3" t="s">
        <v>1617</v>
      </c>
      <c r="R1145" s="3" t="s">
        <v>1618</v>
      </c>
      <c r="S1145" s="3" t="s">
        <v>1619</v>
      </c>
      <c r="T1145" s="3"/>
    </row>
    <row r="1146" spans="1:20">
      <c r="A1146" s="3" t="s">
        <v>1600</v>
      </c>
      <c r="B1146" s="3" t="s">
        <v>1609</v>
      </c>
      <c r="C1146" s="3" t="s">
        <v>1596</v>
      </c>
      <c r="D1146" s="3" t="s">
        <v>306</v>
      </c>
      <c r="E1146" s="3" t="s">
        <v>307</v>
      </c>
      <c r="F1146" s="2">
        <v>1</v>
      </c>
      <c r="G1146" s="4">
        <v>1.0371548955478949</v>
      </c>
      <c r="H1146" s="2">
        <v>25</v>
      </c>
      <c r="I1146" s="2">
        <v>5</v>
      </c>
      <c r="J1146" s="2">
        <v>16</v>
      </c>
      <c r="K1146" s="4">
        <v>1</v>
      </c>
      <c r="L1146" s="4">
        <v>-0.18465213641288844</v>
      </c>
      <c r="M1146" s="4">
        <v>0.18465213641288844</v>
      </c>
      <c r="N1146" s="10">
        <v>0.185</v>
      </c>
      <c r="O1146" s="4">
        <v>0.92611674388391141</v>
      </c>
      <c r="P1146" s="4">
        <v>-0.93</v>
      </c>
      <c r="Q1146" s="3" t="s">
        <v>1617</v>
      </c>
      <c r="R1146" s="3" t="s">
        <v>1623</v>
      </c>
      <c r="S1146" s="3" t="s">
        <v>1624</v>
      </c>
      <c r="T1146" s="3"/>
    </row>
    <row r="1147" spans="1:20">
      <c r="A1147" s="3" t="s">
        <v>1600</v>
      </c>
      <c r="B1147" s="3" t="s">
        <v>1606</v>
      </c>
      <c r="C1147" s="3" t="s">
        <v>1616</v>
      </c>
      <c r="D1147" s="3" t="s">
        <v>306</v>
      </c>
      <c r="E1147" s="3" t="s">
        <v>307</v>
      </c>
      <c r="F1147" s="2">
        <v>1</v>
      </c>
      <c r="G1147" s="4">
        <v>1.0371548955478949</v>
      </c>
      <c r="H1147" s="2">
        <v>25</v>
      </c>
      <c r="I1147" s="2">
        <v>5</v>
      </c>
      <c r="J1147" s="2">
        <v>1</v>
      </c>
      <c r="K1147" s="4">
        <v>1</v>
      </c>
      <c r="L1147" s="4">
        <v>-0.19017719743651343</v>
      </c>
      <c r="M1147" s="4">
        <v>0.19017719743651343</v>
      </c>
      <c r="N1147" s="10">
        <v>0.19</v>
      </c>
      <c r="O1147" s="4">
        <v>0.95450691104422491</v>
      </c>
      <c r="P1147" s="4">
        <v>-0.95</v>
      </c>
      <c r="Q1147" s="3" t="s">
        <v>1617</v>
      </c>
      <c r="R1147" s="3" t="s">
        <v>1621</v>
      </c>
      <c r="S1147" s="3" t="s">
        <v>1622</v>
      </c>
      <c r="T1147" s="3"/>
    </row>
    <row r="1148" spans="1:20">
      <c r="A1148" s="3" t="s">
        <v>1600</v>
      </c>
      <c r="B1148" s="3" t="s">
        <v>1609</v>
      </c>
      <c r="C1148" s="3" t="s">
        <v>1616</v>
      </c>
      <c r="D1148" s="3" t="s">
        <v>306</v>
      </c>
      <c r="E1148" s="3" t="s">
        <v>307</v>
      </c>
      <c r="F1148" s="2">
        <v>1</v>
      </c>
      <c r="G1148" s="4">
        <v>1.0371548955478949</v>
      </c>
      <c r="H1148" s="2">
        <v>25</v>
      </c>
      <c r="I1148" s="2">
        <v>5</v>
      </c>
      <c r="J1148" s="2">
        <v>1</v>
      </c>
      <c r="K1148" s="4">
        <v>1</v>
      </c>
      <c r="L1148" s="4">
        <v>-0.20888240407734149</v>
      </c>
      <c r="M1148" s="4">
        <v>0.20888240407734149</v>
      </c>
      <c r="N1148" s="10">
        <v>0.20899999999999999</v>
      </c>
      <c r="O1148" s="4">
        <v>1.0510947886335855</v>
      </c>
      <c r="P1148" s="4">
        <v>-1.05</v>
      </c>
      <c r="Q1148" s="3" t="s">
        <v>1617</v>
      </c>
      <c r="R1148" s="3" t="s">
        <v>1623</v>
      </c>
      <c r="S1148" s="3" t="s">
        <v>1624</v>
      </c>
      <c r="T1148" s="3"/>
    </row>
    <row r="1149" spans="1:20">
      <c r="A1149" s="3" t="s">
        <v>1600</v>
      </c>
      <c r="B1149" s="3" t="s">
        <v>1609</v>
      </c>
      <c r="C1149" s="3" t="s">
        <v>1596</v>
      </c>
      <c r="D1149" s="3" t="s">
        <v>306</v>
      </c>
      <c r="E1149" s="3" t="s">
        <v>307</v>
      </c>
      <c r="F1149" s="2">
        <v>1</v>
      </c>
      <c r="G1149" s="4">
        <v>1.0371548955478949</v>
      </c>
      <c r="H1149" s="2">
        <v>25</v>
      </c>
      <c r="I1149" s="2">
        <v>5</v>
      </c>
      <c r="J1149" s="2">
        <v>1</v>
      </c>
      <c r="K1149" s="11">
        <v>1</v>
      </c>
      <c r="L1149" s="11">
        <v>-0.22640858068151082</v>
      </c>
      <c r="M1149" s="4">
        <v>0.22640858068151082</v>
      </c>
      <c r="N1149" s="10">
        <v>0.22600000000000001</v>
      </c>
      <c r="O1149" s="4">
        <v>1.1423121840351127</v>
      </c>
      <c r="P1149" s="4">
        <v>-1.1399999999999999</v>
      </c>
      <c r="Q1149" s="3" t="s">
        <v>1617</v>
      </c>
      <c r="R1149" s="3" t="s">
        <v>1623</v>
      </c>
      <c r="S1149" s="3" t="s">
        <v>1624</v>
      </c>
      <c r="T1149" s="3"/>
    </row>
    <row r="1150" spans="1:20">
      <c r="A1150" s="3" t="s">
        <v>1600</v>
      </c>
      <c r="B1150" s="3" t="s">
        <v>1609</v>
      </c>
      <c r="C1150" s="3" t="s">
        <v>1616</v>
      </c>
      <c r="D1150" s="3" t="s">
        <v>306</v>
      </c>
      <c r="E1150" s="3" t="s">
        <v>307</v>
      </c>
      <c r="F1150" s="2">
        <v>1</v>
      </c>
      <c r="G1150" s="4">
        <v>1.0371548955478949</v>
      </c>
      <c r="H1150" s="2">
        <v>25</v>
      </c>
      <c r="I1150" s="2">
        <v>5</v>
      </c>
      <c r="J1150" s="2">
        <v>16</v>
      </c>
      <c r="K1150" s="11">
        <v>1</v>
      </c>
      <c r="L1150" s="11">
        <v>-0.25590895960474674</v>
      </c>
      <c r="M1150" s="4">
        <v>0.25590895960474674</v>
      </c>
      <c r="N1150" s="10">
        <v>0.25600000000000001</v>
      </c>
      <c r="O1150" s="4">
        <v>1.2976195267104256</v>
      </c>
      <c r="P1150" s="4">
        <v>-1.3</v>
      </c>
      <c r="Q1150" s="3" t="s">
        <v>1617</v>
      </c>
      <c r="R1150" s="3" t="s">
        <v>1623</v>
      </c>
      <c r="S1150" s="3" t="s">
        <v>1624</v>
      </c>
      <c r="T1150" s="3"/>
    </row>
    <row r="1151" spans="1:20">
      <c r="A1151" s="3" t="s">
        <v>1604</v>
      </c>
      <c r="B1151" s="3" t="s">
        <v>1601</v>
      </c>
      <c r="C1151" s="3" t="s">
        <v>1616</v>
      </c>
      <c r="D1151" s="3" t="s">
        <v>306</v>
      </c>
      <c r="E1151" s="3" t="s">
        <v>307</v>
      </c>
      <c r="F1151" s="2">
        <v>1</v>
      </c>
      <c r="G1151" s="4">
        <v>1.0371548955478949</v>
      </c>
      <c r="H1151" s="2">
        <v>25</v>
      </c>
      <c r="I1151" s="2">
        <v>30</v>
      </c>
      <c r="J1151" s="2">
        <v>16</v>
      </c>
      <c r="K1151" s="4">
        <v>1</v>
      </c>
      <c r="L1151" s="4">
        <v>-0.26198824416156979</v>
      </c>
      <c r="M1151" s="4">
        <v>0.26198824416156979</v>
      </c>
      <c r="N1151" s="10">
        <v>0.26200000000000001</v>
      </c>
      <c r="O1151" s="4">
        <v>1.3299266979916318</v>
      </c>
      <c r="P1151" s="4">
        <v>-1.33</v>
      </c>
      <c r="Q1151" s="3" t="s">
        <v>1617</v>
      </c>
      <c r="R1151" s="3" t="s">
        <v>1618</v>
      </c>
      <c r="S1151" s="3" t="s">
        <v>1619</v>
      </c>
      <c r="T1151" s="3"/>
    </row>
    <row r="1152" spans="1:20">
      <c r="A1152" s="3" t="s">
        <v>1600</v>
      </c>
      <c r="B1152" s="3" t="s">
        <v>1601</v>
      </c>
      <c r="C1152" s="3" t="s">
        <v>1616</v>
      </c>
      <c r="D1152" s="3" t="s">
        <v>306</v>
      </c>
      <c r="E1152" s="3" t="s">
        <v>307</v>
      </c>
      <c r="F1152" s="2">
        <v>1</v>
      </c>
      <c r="G1152" s="4">
        <v>1.0371548955478949</v>
      </c>
      <c r="H1152" s="2">
        <v>25</v>
      </c>
      <c r="I1152" s="2">
        <v>5</v>
      </c>
      <c r="J1152" s="2">
        <v>16</v>
      </c>
      <c r="K1152" s="4">
        <v>1</v>
      </c>
      <c r="L1152" s="4">
        <v>-0.27522555857892572</v>
      </c>
      <c r="M1152" s="4">
        <v>0.27522555857892572</v>
      </c>
      <c r="N1152" s="10">
        <v>0.27500000000000002</v>
      </c>
      <c r="O1152" s="4">
        <v>1.4006612919287476</v>
      </c>
      <c r="P1152" s="4">
        <v>-1.4</v>
      </c>
      <c r="Q1152" s="3" t="s">
        <v>1617</v>
      </c>
      <c r="R1152" s="3" t="s">
        <v>1618</v>
      </c>
      <c r="S1152" s="3" t="s">
        <v>1619</v>
      </c>
      <c r="T1152" s="3"/>
    </row>
    <row r="1153" spans="1:20">
      <c r="A1153" s="3" t="s">
        <v>1600</v>
      </c>
      <c r="B1153" s="3" t="s">
        <v>1601</v>
      </c>
      <c r="C1153" s="3" t="s">
        <v>1616</v>
      </c>
      <c r="D1153" s="3" t="s">
        <v>306</v>
      </c>
      <c r="E1153" s="3" t="s">
        <v>307</v>
      </c>
      <c r="F1153" s="2">
        <v>1</v>
      </c>
      <c r="G1153" s="4">
        <v>1.0371548955478949</v>
      </c>
      <c r="H1153" s="2">
        <v>25</v>
      </c>
      <c r="I1153" s="2">
        <v>5</v>
      </c>
      <c r="J1153" s="2">
        <v>1</v>
      </c>
      <c r="K1153" s="4">
        <v>1</v>
      </c>
      <c r="L1153" s="4">
        <v>-0.27552284414002493</v>
      </c>
      <c r="M1153" s="4">
        <v>0.27552284414002493</v>
      </c>
      <c r="N1153" s="10">
        <v>0.27600000000000002</v>
      </c>
      <c r="O1153" s="4">
        <v>1.4022561548020938</v>
      </c>
      <c r="P1153" s="4">
        <v>-1.4</v>
      </c>
      <c r="Q1153" s="3" t="s">
        <v>1617</v>
      </c>
      <c r="R1153" s="3" t="s">
        <v>1618</v>
      </c>
      <c r="S1153" s="3" t="s">
        <v>1619</v>
      </c>
      <c r="T1153" s="3"/>
    </row>
    <row r="1154" spans="1:20">
      <c r="A1154" s="3" t="s">
        <v>1600</v>
      </c>
      <c r="B1154" s="3" t="s">
        <v>1601</v>
      </c>
      <c r="C1154" s="3" t="s">
        <v>1616</v>
      </c>
      <c r="D1154" s="3" t="s">
        <v>969</v>
      </c>
      <c r="E1154" s="3" t="s">
        <v>970</v>
      </c>
      <c r="F1154" s="2">
        <v>1</v>
      </c>
      <c r="G1154" s="4">
        <v>1.0377721886116964</v>
      </c>
      <c r="H1154" s="2">
        <v>25</v>
      </c>
      <c r="I1154" s="2">
        <v>5</v>
      </c>
      <c r="J1154" s="2">
        <v>1</v>
      </c>
      <c r="K1154" s="4">
        <v>0.10060153167350516</v>
      </c>
      <c r="L1154" s="4">
        <v>0.81303839778254849</v>
      </c>
      <c r="M1154" s="4">
        <v>0.81303839778254849</v>
      </c>
      <c r="N1154" s="10">
        <v>0.81299999999999994</v>
      </c>
      <c r="O1154" s="4">
        <v>5.6318590435482152</v>
      </c>
      <c r="P1154" s="4">
        <v>5.63</v>
      </c>
      <c r="Q1154" s="3" t="s">
        <v>1597</v>
      </c>
      <c r="R1154" s="3" t="s">
        <v>1602</v>
      </c>
      <c r="S1154" s="3" t="s">
        <v>1603</v>
      </c>
      <c r="T1154" s="3"/>
    </row>
    <row r="1155" spans="1:20">
      <c r="A1155" s="3" t="s">
        <v>1600</v>
      </c>
      <c r="B1155" s="3" t="s">
        <v>1601</v>
      </c>
      <c r="C1155" s="3" t="s">
        <v>1616</v>
      </c>
      <c r="D1155" s="3" t="s">
        <v>969</v>
      </c>
      <c r="E1155" s="3" t="s">
        <v>970</v>
      </c>
      <c r="F1155" s="2">
        <v>1</v>
      </c>
      <c r="G1155" s="4">
        <v>1.0377721886116964</v>
      </c>
      <c r="H1155" s="2">
        <v>25</v>
      </c>
      <c r="I1155" s="2">
        <v>5</v>
      </c>
      <c r="J1155" s="2">
        <v>16</v>
      </c>
      <c r="K1155" s="4">
        <v>0.44653109673797586</v>
      </c>
      <c r="L1155" s="4">
        <v>0.76171821753611946</v>
      </c>
      <c r="M1155" s="4">
        <v>0.76171821753611946</v>
      </c>
      <c r="N1155" s="10">
        <v>0.76200000000000001</v>
      </c>
      <c r="O1155" s="4">
        <v>4.9594012677055437</v>
      </c>
      <c r="P1155" s="4">
        <v>4.96</v>
      </c>
      <c r="Q1155" s="3" t="s">
        <v>1597</v>
      </c>
      <c r="R1155" s="3" t="s">
        <v>1602</v>
      </c>
      <c r="S1155" s="3" t="s">
        <v>1603</v>
      </c>
      <c r="T1155" s="3"/>
    </row>
    <row r="1156" spans="1:20">
      <c r="A1156" s="3" t="s">
        <v>1600</v>
      </c>
      <c r="B1156" s="3" t="s">
        <v>1606</v>
      </c>
      <c r="C1156" s="3" t="s">
        <v>1616</v>
      </c>
      <c r="D1156" s="3" t="s">
        <v>969</v>
      </c>
      <c r="E1156" s="3" t="s">
        <v>970</v>
      </c>
      <c r="F1156" s="2">
        <v>1</v>
      </c>
      <c r="G1156" s="4">
        <v>1.0377721886116964</v>
      </c>
      <c r="H1156" s="2">
        <v>25</v>
      </c>
      <c r="I1156" s="2">
        <v>5</v>
      </c>
      <c r="J1156" s="2">
        <v>1</v>
      </c>
      <c r="K1156" s="4">
        <v>0.41938070581179565</v>
      </c>
      <c r="L1156" s="4">
        <v>0.72392279330838649</v>
      </c>
      <c r="M1156" s="4">
        <v>0.72392279330838649</v>
      </c>
      <c r="N1156" s="10">
        <v>0.72399999999999998</v>
      </c>
      <c r="O1156" s="4">
        <v>4.5406692520758032</v>
      </c>
      <c r="P1156" s="4">
        <v>4.54</v>
      </c>
      <c r="Q1156" s="3" t="s">
        <v>1597</v>
      </c>
      <c r="R1156" s="3" t="s">
        <v>1607</v>
      </c>
      <c r="S1156" s="3" t="s">
        <v>1608</v>
      </c>
      <c r="T1156" s="3"/>
    </row>
    <row r="1157" spans="1:20">
      <c r="A1157" s="3" t="s">
        <v>1600</v>
      </c>
      <c r="B1157" s="3" t="s">
        <v>1606</v>
      </c>
      <c r="C1157" s="3" t="s">
        <v>1596</v>
      </c>
      <c r="D1157" s="3" t="s">
        <v>969</v>
      </c>
      <c r="E1157" s="3" t="s">
        <v>970</v>
      </c>
      <c r="F1157" s="2">
        <v>1</v>
      </c>
      <c r="G1157" s="4">
        <v>1.0377721886116964</v>
      </c>
      <c r="H1157" s="2">
        <v>25</v>
      </c>
      <c r="I1157" s="2">
        <v>5</v>
      </c>
      <c r="J1157" s="2">
        <v>16</v>
      </c>
      <c r="K1157" s="4">
        <v>1</v>
      </c>
      <c r="L1157" s="4">
        <v>0.70362156335095194</v>
      </c>
      <c r="M1157" s="4">
        <v>0.70362156335095194</v>
      </c>
      <c r="N1157" s="10">
        <v>0.70399999999999996</v>
      </c>
      <c r="O1157" s="4">
        <v>4.3354041174039102</v>
      </c>
      <c r="P1157" s="4">
        <v>4.34</v>
      </c>
      <c r="Q1157" s="3" t="s">
        <v>1597</v>
      </c>
      <c r="R1157" s="3" t="s">
        <v>1607</v>
      </c>
      <c r="S1157" s="3" t="s">
        <v>1608</v>
      </c>
      <c r="T1157" s="3"/>
    </row>
    <row r="1158" spans="1:20">
      <c r="A1158" s="3" t="s">
        <v>1600</v>
      </c>
      <c r="B1158" s="3" t="s">
        <v>1606</v>
      </c>
      <c r="C1158" s="3" t="s">
        <v>1596</v>
      </c>
      <c r="D1158" s="3" t="s">
        <v>969</v>
      </c>
      <c r="E1158" s="3" t="s">
        <v>970</v>
      </c>
      <c r="F1158" s="2">
        <v>1</v>
      </c>
      <c r="G1158" s="4">
        <v>1.0377721886116964</v>
      </c>
      <c r="H1158" s="2">
        <v>25</v>
      </c>
      <c r="I1158" s="2">
        <v>5</v>
      </c>
      <c r="J1158" s="2">
        <v>1</v>
      </c>
      <c r="K1158" s="4">
        <v>0.63543523513687694</v>
      </c>
      <c r="L1158" s="4">
        <v>0.70336522487772568</v>
      </c>
      <c r="M1158" s="4">
        <v>0.70336522487772568</v>
      </c>
      <c r="N1158" s="10">
        <v>0.70299999999999996</v>
      </c>
      <c r="O1158" s="4">
        <v>4.3328879476577473</v>
      </c>
      <c r="P1158" s="4">
        <v>4.33</v>
      </c>
      <c r="Q1158" s="3" t="s">
        <v>1597</v>
      </c>
      <c r="R1158" s="3" t="s">
        <v>1607</v>
      </c>
      <c r="S1158" s="3" t="s">
        <v>1608</v>
      </c>
      <c r="T1158" s="3"/>
    </row>
    <row r="1159" spans="1:20">
      <c r="A1159" s="3" t="s">
        <v>1600</v>
      </c>
      <c r="B1159" s="3" t="s">
        <v>1606</v>
      </c>
      <c r="C1159" s="3" t="s">
        <v>1616</v>
      </c>
      <c r="D1159" s="3" t="s">
        <v>969</v>
      </c>
      <c r="E1159" s="3" t="s">
        <v>970</v>
      </c>
      <c r="F1159" s="2">
        <v>1</v>
      </c>
      <c r="G1159" s="4">
        <v>1.0377721886116964</v>
      </c>
      <c r="H1159" s="2">
        <v>25</v>
      </c>
      <c r="I1159" s="2">
        <v>5</v>
      </c>
      <c r="J1159" s="2">
        <v>16</v>
      </c>
      <c r="K1159" s="4">
        <v>1</v>
      </c>
      <c r="L1159" s="4">
        <v>0.67902336293906773</v>
      </c>
      <c r="M1159" s="4">
        <v>0.67902336293906773</v>
      </c>
      <c r="N1159" s="10">
        <v>0.67900000000000005</v>
      </c>
      <c r="O1159" s="4">
        <v>4.101698841073282</v>
      </c>
      <c r="P1159" s="4">
        <v>4.0999999999999996</v>
      </c>
      <c r="Q1159" s="3" t="s">
        <v>1597</v>
      </c>
      <c r="R1159" s="3" t="s">
        <v>1607</v>
      </c>
      <c r="S1159" s="3" t="s">
        <v>1608</v>
      </c>
      <c r="T1159" s="3"/>
    </row>
    <row r="1160" spans="1:20">
      <c r="A1160" s="3" t="s">
        <v>1604</v>
      </c>
      <c r="B1160" s="3" t="s">
        <v>1601</v>
      </c>
      <c r="C1160" s="3" t="s">
        <v>1616</v>
      </c>
      <c r="D1160" s="3" t="s">
        <v>969</v>
      </c>
      <c r="E1160" s="3" t="s">
        <v>970</v>
      </c>
      <c r="F1160" s="2">
        <v>1</v>
      </c>
      <c r="G1160" s="4">
        <v>1.0377721886116964</v>
      </c>
      <c r="H1160" s="2">
        <v>25</v>
      </c>
      <c r="I1160" s="2">
        <v>30</v>
      </c>
      <c r="J1160" s="2">
        <v>16</v>
      </c>
      <c r="K1160" s="4">
        <v>0.19010326862817661</v>
      </c>
      <c r="L1160" s="4">
        <v>0.6410403331309692</v>
      </c>
      <c r="M1160" s="4">
        <v>0.6410403331309692</v>
      </c>
      <c r="N1160" s="10">
        <v>0.64100000000000001</v>
      </c>
      <c r="O1160" s="4">
        <v>3.767723330489555</v>
      </c>
      <c r="P1160" s="4">
        <v>3.77</v>
      </c>
      <c r="Q1160" s="3" t="s">
        <v>1597</v>
      </c>
      <c r="R1160" s="3" t="s">
        <v>1602</v>
      </c>
      <c r="S1160" s="3" t="s">
        <v>1603</v>
      </c>
      <c r="T1160" s="3"/>
    </row>
    <row r="1161" spans="1:20">
      <c r="A1161" s="3" t="s">
        <v>1600</v>
      </c>
      <c r="B1161" s="3" t="s">
        <v>1609</v>
      </c>
      <c r="C1161" s="3" t="s">
        <v>1596</v>
      </c>
      <c r="D1161" s="3" t="s">
        <v>969</v>
      </c>
      <c r="E1161" s="3" t="s">
        <v>970</v>
      </c>
      <c r="F1161" s="2">
        <v>1</v>
      </c>
      <c r="G1161" s="4">
        <v>1.0377721886116964</v>
      </c>
      <c r="H1161" s="2">
        <v>25</v>
      </c>
      <c r="I1161" s="2">
        <v>5</v>
      </c>
      <c r="J1161" s="2">
        <v>16</v>
      </c>
      <c r="K1161" s="4">
        <v>0.36626739688270527</v>
      </c>
      <c r="L1161" s="4">
        <v>0.5261065472583214</v>
      </c>
      <c r="M1161" s="4">
        <v>0.5261065472583214</v>
      </c>
      <c r="N1161" s="10">
        <v>0.52600000000000002</v>
      </c>
      <c r="O1161" s="4">
        <v>2.899134731770924</v>
      </c>
      <c r="P1161" s="4">
        <v>2.9</v>
      </c>
      <c r="Q1161" s="3" t="s">
        <v>1597</v>
      </c>
      <c r="R1161" s="3" t="s">
        <v>1610</v>
      </c>
      <c r="S1161" s="3" t="s">
        <v>1611</v>
      </c>
      <c r="T1161" s="3"/>
    </row>
    <row r="1162" spans="1:20">
      <c r="A1162" s="3" t="s">
        <v>1600</v>
      </c>
      <c r="B1162" s="3" t="s">
        <v>1601</v>
      </c>
      <c r="C1162" s="3" t="s">
        <v>1596</v>
      </c>
      <c r="D1162" s="3" t="s">
        <v>969</v>
      </c>
      <c r="E1162" s="3" t="s">
        <v>970</v>
      </c>
      <c r="F1162" s="2">
        <v>1</v>
      </c>
      <c r="G1162" s="4">
        <v>1.0377721886116964</v>
      </c>
      <c r="H1162" s="2">
        <v>25</v>
      </c>
      <c r="I1162" s="2">
        <v>5</v>
      </c>
      <c r="J1162" s="2">
        <v>16</v>
      </c>
      <c r="K1162" s="4">
        <v>2.883971952826403E-2</v>
      </c>
      <c r="L1162" s="4">
        <v>0.47922943485802977</v>
      </c>
      <c r="M1162" s="4">
        <v>0.47922943485802977</v>
      </c>
      <c r="N1162" s="10">
        <v>0.47899999999999998</v>
      </c>
      <c r="O1162" s="4">
        <v>2.5879609893164996</v>
      </c>
      <c r="P1162" s="4">
        <v>2.59</v>
      </c>
      <c r="Q1162" s="3" t="s">
        <v>1597</v>
      </c>
      <c r="R1162" s="3" t="s">
        <v>1602</v>
      </c>
      <c r="S1162" s="3" t="s">
        <v>1603</v>
      </c>
      <c r="T1162" s="3"/>
    </row>
    <row r="1163" spans="1:20">
      <c r="A1163" s="3" t="s">
        <v>1600</v>
      </c>
      <c r="B1163" s="3" t="s">
        <v>1609</v>
      </c>
      <c r="C1163" s="3" t="s">
        <v>1616</v>
      </c>
      <c r="D1163" s="3" t="s">
        <v>969</v>
      </c>
      <c r="E1163" s="3" t="s">
        <v>970</v>
      </c>
      <c r="F1163" s="2">
        <v>1</v>
      </c>
      <c r="G1163" s="4">
        <v>1.0377721886116964</v>
      </c>
      <c r="H1163" s="2">
        <v>25</v>
      </c>
      <c r="I1163" s="2">
        <v>5</v>
      </c>
      <c r="J1163" s="2">
        <v>1</v>
      </c>
      <c r="K1163" s="4">
        <v>2.1351889320146422E-2</v>
      </c>
      <c r="L1163" s="4">
        <v>0.41331470206607446</v>
      </c>
      <c r="M1163" s="4">
        <v>0.41331470206607446</v>
      </c>
      <c r="N1163" s="10">
        <v>0.41299999999999998</v>
      </c>
      <c r="O1163" s="4">
        <v>2.1795200250626166</v>
      </c>
      <c r="P1163" s="4">
        <v>2.1800000000000002</v>
      </c>
      <c r="Q1163" s="3" t="s">
        <v>1597</v>
      </c>
      <c r="R1163" s="3" t="s">
        <v>1610</v>
      </c>
      <c r="S1163" s="3" t="s">
        <v>1611</v>
      </c>
      <c r="T1163" s="3"/>
    </row>
    <row r="1164" spans="1:20">
      <c r="A1164" s="3" t="s">
        <v>1605</v>
      </c>
      <c r="B1164" s="3" t="s">
        <v>1601</v>
      </c>
      <c r="C1164" s="3" t="s">
        <v>1596</v>
      </c>
      <c r="D1164" s="3" t="s">
        <v>969</v>
      </c>
      <c r="E1164" s="3" t="s">
        <v>970</v>
      </c>
      <c r="F1164" s="2">
        <v>1</v>
      </c>
      <c r="G1164" s="4">
        <v>1.0377721886116964</v>
      </c>
      <c r="H1164" s="2">
        <v>25</v>
      </c>
      <c r="I1164" s="2">
        <v>5</v>
      </c>
      <c r="J1164" s="2">
        <v>16</v>
      </c>
      <c r="K1164" s="4">
        <v>0.4626382079313931</v>
      </c>
      <c r="L1164" s="4">
        <v>0.39558868514788759</v>
      </c>
      <c r="M1164" s="4">
        <v>0.39558868514788759</v>
      </c>
      <c r="N1164" s="10">
        <v>0.39600000000000002</v>
      </c>
      <c r="O1164" s="4">
        <v>2.0744418454881699</v>
      </c>
      <c r="P1164" s="4">
        <v>2.08</v>
      </c>
      <c r="Q1164" s="3" t="s">
        <v>1597</v>
      </c>
      <c r="R1164" s="3" t="s">
        <v>1602</v>
      </c>
      <c r="S1164" s="3" t="s">
        <v>1603</v>
      </c>
      <c r="T1164" s="3"/>
    </row>
    <row r="1165" spans="1:20">
      <c r="A1165" s="3" t="s">
        <v>1604</v>
      </c>
      <c r="B1165" s="3" t="s">
        <v>1601</v>
      </c>
      <c r="C1165" s="3" t="s">
        <v>1596</v>
      </c>
      <c r="D1165" s="3" t="s">
        <v>969</v>
      </c>
      <c r="E1165" s="3" t="s">
        <v>970</v>
      </c>
      <c r="F1165" s="2">
        <v>1</v>
      </c>
      <c r="G1165" s="4">
        <v>1.0377721886116964</v>
      </c>
      <c r="H1165" s="2">
        <v>25</v>
      </c>
      <c r="I1165" s="2">
        <v>30</v>
      </c>
      <c r="J1165" s="2">
        <v>16</v>
      </c>
      <c r="K1165" s="4">
        <v>0.46986051311781785</v>
      </c>
      <c r="L1165" s="4">
        <v>0.38270464644951818</v>
      </c>
      <c r="M1165" s="4">
        <v>0.38270464644951818</v>
      </c>
      <c r="N1165" s="10">
        <v>0.38300000000000001</v>
      </c>
      <c r="O1165" s="4">
        <v>1.9991617688986603</v>
      </c>
      <c r="P1165" s="4">
        <v>2</v>
      </c>
      <c r="Q1165" s="3" t="s">
        <v>1597</v>
      </c>
      <c r="R1165" s="3" t="s">
        <v>1602</v>
      </c>
      <c r="S1165" s="3" t="s">
        <v>1603</v>
      </c>
      <c r="T1165" s="3"/>
    </row>
    <row r="1166" spans="1:20">
      <c r="A1166" s="3" t="s">
        <v>1600</v>
      </c>
      <c r="B1166" s="3" t="s">
        <v>1609</v>
      </c>
      <c r="C1166" s="3" t="s">
        <v>1616</v>
      </c>
      <c r="D1166" s="3" t="s">
        <v>969</v>
      </c>
      <c r="E1166" s="3" t="s">
        <v>970</v>
      </c>
      <c r="F1166" s="2">
        <v>1</v>
      </c>
      <c r="G1166" s="4">
        <v>1.0377721886116964</v>
      </c>
      <c r="H1166" s="2">
        <v>25</v>
      </c>
      <c r="I1166" s="2">
        <v>5</v>
      </c>
      <c r="J1166" s="2">
        <v>16</v>
      </c>
      <c r="K1166" s="4">
        <v>0.12098047252535715</v>
      </c>
      <c r="L1166" s="4">
        <v>0.3486033287676919</v>
      </c>
      <c r="M1166" s="4">
        <v>0.3486033287676919</v>
      </c>
      <c r="N1166" s="10">
        <v>0.34899999999999998</v>
      </c>
      <c r="O1166" s="4">
        <v>1.8039599700272195</v>
      </c>
      <c r="P1166" s="4">
        <v>1.81</v>
      </c>
      <c r="Q1166" s="3" t="s">
        <v>1597</v>
      </c>
      <c r="R1166" s="3" t="s">
        <v>1610</v>
      </c>
      <c r="S1166" s="3" t="s">
        <v>1611</v>
      </c>
      <c r="T1166" s="3"/>
    </row>
    <row r="1167" spans="1:20">
      <c r="A1167" s="3" t="s">
        <v>1600</v>
      </c>
      <c r="B1167" s="3" t="s">
        <v>1609</v>
      </c>
      <c r="C1167" s="3" t="s">
        <v>1596</v>
      </c>
      <c r="D1167" s="3" t="s">
        <v>969</v>
      </c>
      <c r="E1167" s="3" t="s">
        <v>970</v>
      </c>
      <c r="F1167" s="2">
        <v>1</v>
      </c>
      <c r="G1167" s="4">
        <v>1.0377721886116964</v>
      </c>
      <c r="H1167" s="2">
        <v>25</v>
      </c>
      <c r="I1167" s="2">
        <v>5</v>
      </c>
      <c r="J1167" s="2">
        <v>1</v>
      </c>
      <c r="K1167" s="4">
        <v>7.4160264891336869E-2</v>
      </c>
      <c r="L1167" s="4">
        <v>0.32711085499413545</v>
      </c>
      <c r="M1167" s="4">
        <v>0.32711085499413545</v>
      </c>
      <c r="N1167" s="10">
        <v>0.32700000000000001</v>
      </c>
      <c r="O1167" s="4">
        <v>1.6836630529751371</v>
      </c>
      <c r="P1167" s="4">
        <v>1.68</v>
      </c>
      <c r="Q1167" s="3" t="s">
        <v>1597</v>
      </c>
      <c r="R1167" s="3" t="s">
        <v>1610</v>
      </c>
      <c r="S1167" s="3" t="s">
        <v>1611</v>
      </c>
      <c r="T1167" s="3"/>
    </row>
    <row r="1168" spans="1:20">
      <c r="A1168" s="3" t="s">
        <v>1600</v>
      </c>
      <c r="B1168" s="3" t="s">
        <v>1601</v>
      </c>
      <c r="C1168" s="3" t="s">
        <v>1596</v>
      </c>
      <c r="D1168" s="3" t="s">
        <v>969</v>
      </c>
      <c r="E1168" s="3" t="s">
        <v>970</v>
      </c>
      <c r="F1168" s="2">
        <v>1</v>
      </c>
      <c r="G1168" s="4">
        <v>1.0377721886116964</v>
      </c>
      <c r="H1168" s="2">
        <v>25</v>
      </c>
      <c r="I1168" s="2">
        <v>5</v>
      </c>
      <c r="J1168" s="2">
        <v>1</v>
      </c>
      <c r="K1168" s="4">
        <v>0</v>
      </c>
      <c r="L1168" s="4">
        <v>0</v>
      </c>
      <c r="M1168" s="4">
        <v>0</v>
      </c>
      <c r="N1168" s="10">
        <v>0</v>
      </c>
      <c r="O1168" s="4">
        <v>0</v>
      </c>
      <c r="P1168" s="4">
        <v>0</v>
      </c>
      <c r="Q1168" s="3" t="s">
        <v>1617</v>
      </c>
      <c r="R1168" s="3" t="s">
        <v>1618</v>
      </c>
      <c r="S1168" s="3" t="s">
        <v>1619</v>
      </c>
      <c r="T1168" s="3"/>
    </row>
    <row r="1169" spans="1:20">
      <c r="A1169" s="3" t="s">
        <v>1594</v>
      </c>
      <c r="B1169" s="3" t="s">
        <v>1612</v>
      </c>
      <c r="C1169" s="3" t="s">
        <v>1596</v>
      </c>
      <c r="D1169" s="3" t="s">
        <v>969</v>
      </c>
      <c r="E1169" s="3" t="s">
        <v>970</v>
      </c>
      <c r="F1169" s="2">
        <v>1</v>
      </c>
      <c r="G1169" s="4">
        <v>1.0377721886116964</v>
      </c>
      <c r="H1169" s="2">
        <v>50</v>
      </c>
      <c r="I1169" s="2">
        <v>5</v>
      </c>
      <c r="J1169" s="2">
        <v>16</v>
      </c>
      <c r="K1169" s="4">
        <v>0.75562691023267936</v>
      </c>
      <c r="L1169" s="4">
        <v>-8.1382649771707519E-2</v>
      </c>
      <c r="M1169" s="4">
        <v>8.1382649771707519E-2</v>
      </c>
      <c r="N1169" s="10">
        <v>8.1000000000000003E-2</v>
      </c>
      <c r="O1169" s="4">
        <v>0.43829213734408079</v>
      </c>
      <c r="P1169" s="4">
        <v>-0.44</v>
      </c>
      <c r="Q1169" s="3" t="s">
        <v>1617</v>
      </c>
      <c r="R1169" s="3" t="s">
        <v>1627</v>
      </c>
      <c r="S1169" s="3" t="s">
        <v>1628</v>
      </c>
      <c r="T1169" s="3"/>
    </row>
    <row r="1170" spans="1:20">
      <c r="A1170" s="3" t="s">
        <v>1594</v>
      </c>
      <c r="B1170" s="3" t="s">
        <v>1595</v>
      </c>
      <c r="C1170" s="3" t="s">
        <v>1596</v>
      </c>
      <c r="D1170" s="3" t="s">
        <v>969</v>
      </c>
      <c r="E1170" s="3" t="s">
        <v>970</v>
      </c>
      <c r="F1170" s="2">
        <v>1</v>
      </c>
      <c r="G1170" s="4">
        <v>1.0377721886116964</v>
      </c>
      <c r="H1170" s="2">
        <v>50</v>
      </c>
      <c r="I1170" s="2">
        <v>5</v>
      </c>
      <c r="J1170" s="2">
        <v>16</v>
      </c>
      <c r="K1170" s="4">
        <v>0.64750382542609819</v>
      </c>
      <c r="L1170" s="4">
        <v>-9.3805318490865805E-2</v>
      </c>
      <c r="M1170" s="4">
        <v>9.3805318490865805E-2</v>
      </c>
      <c r="N1170" s="10">
        <v>9.4E-2</v>
      </c>
      <c r="O1170" s="4">
        <v>0.50556440433812821</v>
      </c>
      <c r="P1170" s="4">
        <v>-0.51</v>
      </c>
      <c r="Q1170" s="3" t="s">
        <v>1617</v>
      </c>
      <c r="R1170" s="3" t="s">
        <v>1625</v>
      </c>
      <c r="S1170" s="3" t="s">
        <v>1626</v>
      </c>
      <c r="T1170" s="3"/>
    </row>
    <row r="1171" spans="1:20">
      <c r="A1171" s="3" t="s">
        <v>1594</v>
      </c>
      <c r="B1171" s="3" t="s">
        <v>1595</v>
      </c>
      <c r="C1171" s="3" t="s">
        <v>1596</v>
      </c>
      <c r="D1171" s="3" t="s">
        <v>969</v>
      </c>
      <c r="E1171" s="3" t="s">
        <v>970</v>
      </c>
      <c r="F1171" s="2">
        <v>1</v>
      </c>
      <c r="G1171" s="4">
        <v>1.0377721886116964</v>
      </c>
      <c r="H1171" s="2">
        <v>25</v>
      </c>
      <c r="I1171" s="2">
        <v>5</v>
      </c>
      <c r="J1171" s="2">
        <v>16</v>
      </c>
      <c r="K1171" s="4">
        <v>5.959138867773428E-2</v>
      </c>
      <c r="L1171" s="4">
        <v>-0.13947681731761366</v>
      </c>
      <c r="M1171" s="4">
        <v>0.13947681731761366</v>
      </c>
      <c r="N1171" s="10">
        <v>0.13900000000000001</v>
      </c>
      <c r="O1171" s="4">
        <v>0.69605447024206402</v>
      </c>
      <c r="P1171" s="4">
        <v>-0.69</v>
      </c>
      <c r="Q1171" s="3" t="s">
        <v>1617</v>
      </c>
      <c r="R1171" s="3" t="s">
        <v>1625</v>
      </c>
      <c r="S1171" s="3" t="s">
        <v>1626</v>
      </c>
      <c r="T1171" s="3"/>
    </row>
    <row r="1172" spans="1:20">
      <c r="A1172" s="3" t="s">
        <v>1594</v>
      </c>
      <c r="B1172" s="3" t="s">
        <v>1612</v>
      </c>
      <c r="C1172" s="3" t="s">
        <v>1596</v>
      </c>
      <c r="D1172" s="3" t="s">
        <v>983</v>
      </c>
      <c r="E1172" s="3" t="s">
        <v>984</v>
      </c>
      <c r="F1172" s="2">
        <v>1</v>
      </c>
      <c r="G1172" s="4">
        <v>1.0378450765131755</v>
      </c>
      <c r="H1172" s="2">
        <v>50</v>
      </c>
      <c r="I1172" s="2">
        <v>5</v>
      </c>
      <c r="J1172" s="2">
        <v>16</v>
      </c>
      <c r="K1172" s="4">
        <v>0.99326981777950829</v>
      </c>
      <c r="L1172" s="4">
        <v>6.445187621495628E-2</v>
      </c>
      <c r="M1172" s="4">
        <v>6.445187621495628E-2</v>
      </c>
      <c r="N1172" s="10">
        <v>6.4000000000000001E-2</v>
      </c>
      <c r="O1172" s="4">
        <v>0.34682332912531971</v>
      </c>
      <c r="P1172" s="4">
        <v>0.34</v>
      </c>
      <c r="Q1172" s="3" t="s">
        <v>1597</v>
      </c>
      <c r="R1172" s="3" t="s">
        <v>1613</v>
      </c>
      <c r="S1172" s="3" t="s">
        <v>1614</v>
      </c>
      <c r="T1172" s="3"/>
    </row>
    <row r="1173" spans="1:20">
      <c r="A1173" s="3" t="s">
        <v>1604</v>
      </c>
      <c r="B1173" s="3" t="s">
        <v>1601</v>
      </c>
      <c r="C1173" s="3" t="s">
        <v>1616</v>
      </c>
      <c r="D1173" s="3" t="s">
        <v>983</v>
      </c>
      <c r="E1173" s="3" t="s">
        <v>984</v>
      </c>
      <c r="F1173" s="2">
        <v>1</v>
      </c>
      <c r="G1173" s="4">
        <v>1.0378450765131755</v>
      </c>
      <c r="H1173" s="2">
        <v>25</v>
      </c>
      <c r="I1173" s="2">
        <v>30</v>
      </c>
      <c r="J1173" s="2">
        <v>16</v>
      </c>
      <c r="K1173" s="4">
        <v>0.16510492157969281</v>
      </c>
      <c r="L1173" s="4">
        <v>5.1710228325368771E-2</v>
      </c>
      <c r="M1173" s="4">
        <v>5.1710228325368771E-2</v>
      </c>
      <c r="N1173" s="10">
        <v>5.1999999999999998E-2</v>
      </c>
      <c r="O1173" s="4">
        <v>0.25660490002511643</v>
      </c>
      <c r="P1173" s="4">
        <v>0.26</v>
      </c>
      <c r="Q1173" s="3" t="s">
        <v>1597</v>
      </c>
      <c r="R1173" s="3" t="s">
        <v>1602</v>
      </c>
      <c r="S1173" s="3" t="s">
        <v>1603</v>
      </c>
      <c r="T1173" s="3"/>
    </row>
    <row r="1174" spans="1:20">
      <c r="A1174" s="3" t="s">
        <v>1604</v>
      </c>
      <c r="B1174" s="3" t="s">
        <v>1601</v>
      </c>
      <c r="C1174" s="3" t="s">
        <v>1596</v>
      </c>
      <c r="D1174" s="3" t="s">
        <v>983</v>
      </c>
      <c r="E1174" s="3" t="s">
        <v>984</v>
      </c>
      <c r="F1174" s="2">
        <v>1</v>
      </c>
      <c r="G1174" s="4">
        <v>1.0378450765131755</v>
      </c>
      <c r="H1174" s="2">
        <v>25</v>
      </c>
      <c r="I1174" s="2">
        <v>30</v>
      </c>
      <c r="J1174" s="2">
        <v>16</v>
      </c>
      <c r="K1174" s="4">
        <v>1</v>
      </c>
      <c r="L1174" s="4">
        <v>3.9411713210189971E-2</v>
      </c>
      <c r="M1174" s="4">
        <v>3.9411713210189971E-2</v>
      </c>
      <c r="N1174" s="10">
        <v>3.9E-2</v>
      </c>
      <c r="O1174" s="4">
        <v>0.19550203083831622</v>
      </c>
      <c r="P1174" s="4">
        <v>0.19</v>
      </c>
      <c r="Q1174" s="3" t="s">
        <v>1597</v>
      </c>
      <c r="R1174" s="3" t="s">
        <v>1602</v>
      </c>
      <c r="S1174" s="3" t="s">
        <v>1603</v>
      </c>
      <c r="T1174" s="3"/>
    </row>
    <row r="1175" spans="1:20">
      <c r="A1175" s="3" t="s">
        <v>1594</v>
      </c>
      <c r="B1175" s="3" t="s">
        <v>1595</v>
      </c>
      <c r="C1175" s="3" t="s">
        <v>1596</v>
      </c>
      <c r="D1175" s="3" t="s">
        <v>983</v>
      </c>
      <c r="E1175" s="3" t="s">
        <v>984</v>
      </c>
      <c r="F1175" s="2">
        <v>1</v>
      </c>
      <c r="G1175" s="4">
        <v>1.0378450765131755</v>
      </c>
      <c r="H1175" s="2">
        <v>50</v>
      </c>
      <c r="I1175" s="2">
        <v>5</v>
      </c>
      <c r="J1175" s="2">
        <v>16</v>
      </c>
      <c r="K1175" s="4">
        <v>1</v>
      </c>
      <c r="L1175" s="4">
        <v>1.1868421964330109E-2</v>
      </c>
      <c r="M1175" s="4">
        <v>1.1868421964330109E-2</v>
      </c>
      <c r="N1175" s="10">
        <v>1.2E-2</v>
      </c>
      <c r="O1175" s="4">
        <v>6.3779875173539155E-2</v>
      </c>
      <c r="P1175" s="4">
        <v>0.06</v>
      </c>
      <c r="Q1175" s="3" t="s">
        <v>1597</v>
      </c>
      <c r="R1175" s="3" t="s">
        <v>1598</v>
      </c>
      <c r="S1175" s="3" t="s">
        <v>1599</v>
      </c>
      <c r="T1175" s="3"/>
    </row>
    <row r="1176" spans="1:20">
      <c r="A1176" s="3" t="s">
        <v>1594</v>
      </c>
      <c r="B1176" s="3" t="s">
        <v>1595</v>
      </c>
      <c r="C1176" s="3" t="s">
        <v>1596</v>
      </c>
      <c r="D1176" s="3" t="s">
        <v>983</v>
      </c>
      <c r="E1176" s="3" t="s">
        <v>984</v>
      </c>
      <c r="F1176" s="2">
        <v>1</v>
      </c>
      <c r="G1176" s="4">
        <v>1.0378450765131755</v>
      </c>
      <c r="H1176" s="2">
        <v>25</v>
      </c>
      <c r="I1176" s="2">
        <v>5</v>
      </c>
      <c r="J1176" s="2">
        <v>16</v>
      </c>
      <c r="K1176" s="4">
        <v>1</v>
      </c>
      <c r="L1176" s="4">
        <v>8.2253393690791127E-3</v>
      </c>
      <c r="M1176" s="4">
        <v>8.2253393690791127E-3</v>
      </c>
      <c r="N1176" s="10">
        <v>8.0000000000000002E-3</v>
      </c>
      <c r="O1176" s="4">
        <v>4.0781628775753545E-2</v>
      </c>
      <c r="P1176" s="4">
        <v>0.04</v>
      </c>
      <c r="Q1176" s="3" t="s">
        <v>1597</v>
      </c>
      <c r="R1176" s="3" t="s">
        <v>1598</v>
      </c>
      <c r="S1176" s="3" t="s">
        <v>1599</v>
      </c>
      <c r="T1176" s="3"/>
    </row>
    <row r="1177" spans="1:20">
      <c r="A1177" s="3" t="s">
        <v>1600</v>
      </c>
      <c r="B1177" s="3" t="s">
        <v>1601</v>
      </c>
      <c r="C1177" s="3" t="s">
        <v>1616</v>
      </c>
      <c r="D1177" s="3" t="s">
        <v>983</v>
      </c>
      <c r="E1177" s="3" t="s">
        <v>984</v>
      </c>
      <c r="F1177" s="2">
        <v>1</v>
      </c>
      <c r="G1177" s="4">
        <v>1.0378450765131755</v>
      </c>
      <c r="H1177" s="2">
        <v>25</v>
      </c>
      <c r="I1177" s="2">
        <v>5</v>
      </c>
      <c r="J1177" s="2">
        <v>1</v>
      </c>
      <c r="K1177" s="4">
        <v>0</v>
      </c>
      <c r="L1177" s="4">
        <v>0</v>
      </c>
      <c r="M1177" s="4">
        <v>0</v>
      </c>
      <c r="N1177" s="10">
        <v>0</v>
      </c>
      <c r="O1177" s="4">
        <v>0</v>
      </c>
      <c r="P1177" s="4">
        <v>0</v>
      </c>
      <c r="Q1177" s="3" t="s">
        <v>1617</v>
      </c>
      <c r="R1177" s="3" t="s">
        <v>1618</v>
      </c>
      <c r="S1177" s="3" t="s">
        <v>1619</v>
      </c>
      <c r="T1177" s="3"/>
    </row>
    <row r="1178" spans="1:20">
      <c r="A1178" s="3" t="s">
        <v>1600</v>
      </c>
      <c r="B1178" s="3" t="s">
        <v>1601</v>
      </c>
      <c r="C1178" s="3" t="s">
        <v>1616</v>
      </c>
      <c r="D1178" s="3" t="s">
        <v>983</v>
      </c>
      <c r="E1178" s="3" t="s">
        <v>984</v>
      </c>
      <c r="F1178" s="2">
        <v>1</v>
      </c>
      <c r="G1178" s="4">
        <v>1.0378450765131755</v>
      </c>
      <c r="H1178" s="2">
        <v>25</v>
      </c>
      <c r="I1178" s="2">
        <v>5</v>
      </c>
      <c r="J1178" s="2">
        <v>16</v>
      </c>
      <c r="K1178" s="4">
        <v>0</v>
      </c>
      <c r="L1178" s="4">
        <v>0</v>
      </c>
      <c r="M1178" s="4">
        <v>0</v>
      </c>
      <c r="N1178" s="10">
        <v>0</v>
      </c>
      <c r="O1178" s="4">
        <v>0</v>
      </c>
      <c r="P1178" s="4">
        <v>0</v>
      </c>
      <c r="Q1178" s="3" t="s">
        <v>1617</v>
      </c>
      <c r="R1178" s="3" t="s">
        <v>1618</v>
      </c>
      <c r="S1178" s="3" t="s">
        <v>1619</v>
      </c>
      <c r="T1178" s="3"/>
    </row>
    <row r="1179" spans="1:20">
      <c r="A1179" s="3" t="s">
        <v>1600</v>
      </c>
      <c r="B1179" s="3" t="s">
        <v>1601</v>
      </c>
      <c r="C1179" s="3" t="s">
        <v>1596</v>
      </c>
      <c r="D1179" s="3" t="s">
        <v>983</v>
      </c>
      <c r="E1179" s="3" t="s">
        <v>984</v>
      </c>
      <c r="F1179" s="2">
        <v>1</v>
      </c>
      <c r="G1179" s="4">
        <v>1.0378450765131755</v>
      </c>
      <c r="H1179" s="2">
        <v>25</v>
      </c>
      <c r="I1179" s="2">
        <v>5</v>
      </c>
      <c r="J1179" s="2">
        <v>1</v>
      </c>
      <c r="K1179" s="4">
        <v>0</v>
      </c>
      <c r="L1179" s="4">
        <v>0</v>
      </c>
      <c r="M1179" s="4">
        <v>0</v>
      </c>
      <c r="N1179" s="10">
        <v>0</v>
      </c>
      <c r="O1179" s="4">
        <v>0</v>
      </c>
      <c r="P1179" s="4">
        <v>0</v>
      </c>
      <c r="Q1179" s="3" t="s">
        <v>1617</v>
      </c>
      <c r="R1179" s="3" t="s">
        <v>1618</v>
      </c>
      <c r="S1179" s="3" t="s">
        <v>1619</v>
      </c>
      <c r="T1179" s="3"/>
    </row>
    <row r="1180" spans="1:20">
      <c r="A1180" s="3" t="s">
        <v>1600</v>
      </c>
      <c r="B1180" s="3" t="s">
        <v>1606</v>
      </c>
      <c r="C1180" s="3" t="s">
        <v>1616</v>
      </c>
      <c r="D1180" s="3" t="s">
        <v>983</v>
      </c>
      <c r="E1180" s="3" t="s">
        <v>984</v>
      </c>
      <c r="F1180" s="2">
        <v>1</v>
      </c>
      <c r="G1180" s="4">
        <v>1.0378450765131755</v>
      </c>
      <c r="H1180" s="2">
        <v>25</v>
      </c>
      <c r="I1180" s="2">
        <v>5</v>
      </c>
      <c r="J1180" s="2">
        <v>1</v>
      </c>
      <c r="K1180" s="4">
        <v>0</v>
      </c>
      <c r="L1180" s="4">
        <v>0</v>
      </c>
      <c r="M1180" s="4">
        <v>0</v>
      </c>
      <c r="N1180" s="10">
        <v>0</v>
      </c>
      <c r="O1180" s="4">
        <v>0</v>
      </c>
      <c r="P1180" s="4">
        <v>0</v>
      </c>
      <c r="Q1180" s="3" t="s">
        <v>1617</v>
      </c>
      <c r="R1180" s="3" t="s">
        <v>1621</v>
      </c>
      <c r="S1180" s="3" t="s">
        <v>1622</v>
      </c>
      <c r="T1180" s="3"/>
    </row>
    <row r="1181" spans="1:20">
      <c r="A1181" s="3" t="s">
        <v>1600</v>
      </c>
      <c r="B1181" s="3" t="s">
        <v>1606</v>
      </c>
      <c r="C1181" s="3" t="s">
        <v>1616</v>
      </c>
      <c r="D1181" s="3" t="s">
        <v>983</v>
      </c>
      <c r="E1181" s="3" t="s">
        <v>984</v>
      </c>
      <c r="F1181" s="2">
        <v>1</v>
      </c>
      <c r="G1181" s="4">
        <v>1.0378450765131755</v>
      </c>
      <c r="H1181" s="2">
        <v>25</v>
      </c>
      <c r="I1181" s="2">
        <v>5</v>
      </c>
      <c r="J1181" s="2">
        <v>16</v>
      </c>
      <c r="K1181" s="4">
        <v>0</v>
      </c>
      <c r="L1181" s="4">
        <v>0</v>
      </c>
      <c r="M1181" s="4">
        <v>0</v>
      </c>
      <c r="N1181" s="10">
        <v>0</v>
      </c>
      <c r="O1181" s="4">
        <v>0</v>
      </c>
      <c r="P1181" s="4">
        <v>0</v>
      </c>
      <c r="Q1181" s="3" t="s">
        <v>1617</v>
      </c>
      <c r="R1181" s="3" t="s">
        <v>1621</v>
      </c>
      <c r="S1181" s="3" t="s">
        <v>1622</v>
      </c>
      <c r="T1181" s="3"/>
    </row>
    <row r="1182" spans="1:20">
      <c r="A1182" s="3" t="s">
        <v>1600</v>
      </c>
      <c r="B1182" s="3" t="s">
        <v>1609</v>
      </c>
      <c r="C1182" s="3" t="s">
        <v>1616</v>
      </c>
      <c r="D1182" s="3" t="s">
        <v>983</v>
      </c>
      <c r="E1182" s="3" t="s">
        <v>984</v>
      </c>
      <c r="F1182" s="2">
        <v>1</v>
      </c>
      <c r="G1182" s="4">
        <v>1.0378450765131755</v>
      </c>
      <c r="H1182" s="2">
        <v>25</v>
      </c>
      <c r="I1182" s="2">
        <v>5</v>
      </c>
      <c r="J1182" s="2">
        <v>1</v>
      </c>
      <c r="K1182" s="4">
        <v>0</v>
      </c>
      <c r="L1182" s="4">
        <v>0</v>
      </c>
      <c r="M1182" s="4">
        <v>0</v>
      </c>
      <c r="N1182" s="10">
        <v>0</v>
      </c>
      <c r="O1182" s="4">
        <v>0</v>
      </c>
      <c r="P1182" s="4">
        <v>0</v>
      </c>
      <c r="Q1182" s="3" t="s">
        <v>1617</v>
      </c>
      <c r="R1182" s="3" t="s">
        <v>1623</v>
      </c>
      <c r="S1182" s="3" t="s">
        <v>1624</v>
      </c>
      <c r="T1182" s="3"/>
    </row>
    <row r="1183" spans="1:20">
      <c r="A1183" s="3" t="s">
        <v>1600</v>
      </c>
      <c r="B1183" s="3" t="s">
        <v>1601</v>
      </c>
      <c r="C1183" s="3" t="s">
        <v>1596</v>
      </c>
      <c r="D1183" s="3" t="s">
        <v>983</v>
      </c>
      <c r="E1183" s="3" t="s">
        <v>984</v>
      </c>
      <c r="F1183" s="2">
        <v>1</v>
      </c>
      <c r="G1183" s="4">
        <v>1.0378450765131755</v>
      </c>
      <c r="H1183" s="2">
        <v>25</v>
      </c>
      <c r="I1183" s="2">
        <v>5</v>
      </c>
      <c r="J1183" s="2">
        <v>16</v>
      </c>
      <c r="K1183" s="4">
        <v>0.61342488333558964</v>
      </c>
      <c r="L1183" s="4">
        <v>-3.265670330064524E-2</v>
      </c>
      <c r="M1183" s="4">
        <v>3.265670330064524E-2</v>
      </c>
      <c r="N1183" s="10">
        <v>3.3000000000000002E-2</v>
      </c>
      <c r="O1183" s="4">
        <v>0.16196745003247992</v>
      </c>
      <c r="P1183" s="4">
        <v>-0.16</v>
      </c>
      <c r="Q1183" s="3" t="s">
        <v>1617</v>
      </c>
      <c r="R1183" s="3" t="s">
        <v>1618</v>
      </c>
      <c r="S1183" s="3" t="s">
        <v>1619</v>
      </c>
      <c r="T1183" s="3"/>
    </row>
    <row r="1184" spans="1:20">
      <c r="A1184" s="3" t="s">
        <v>1600</v>
      </c>
      <c r="B1184" s="3" t="s">
        <v>1606</v>
      </c>
      <c r="C1184" s="3" t="s">
        <v>1596</v>
      </c>
      <c r="D1184" s="3" t="s">
        <v>983</v>
      </c>
      <c r="E1184" s="3" t="s">
        <v>984</v>
      </c>
      <c r="F1184" s="2">
        <v>1</v>
      </c>
      <c r="G1184" s="4">
        <v>1.0378450765131755</v>
      </c>
      <c r="H1184" s="2">
        <v>25</v>
      </c>
      <c r="I1184" s="2">
        <v>5</v>
      </c>
      <c r="J1184" s="2">
        <v>16</v>
      </c>
      <c r="K1184" s="4">
        <v>1</v>
      </c>
      <c r="L1184" s="4">
        <v>-3.5970764774689835E-2</v>
      </c>
      <c r="M1184" s="4">
        <v>3.5970764774689835E-2</v>
      </c>
      <c r="N1184" s="10">
        <v>3.5999999999999997E-2</v>
      </c>
      <c r="O1184" s="4">
        <v>0.17841774011151876</v>
      </c>
      <c r="P1184" s="4">
        <v>-0.18</v>
      </c>
      <c r="Q1184" s="3" t="s">
        <v>1617</v>
      </c>
      <c r="R1184" s="3" t="s">
        <v>1621</v>
      </c>
      <c r="S1184" s="3" t="s">
        <v>1622</v>
      </c>
      <c r="T1184" s="3"/>
    </row>
    <row r="1185" spans="1:20">
      <c r="A1185" s="3" t="s">
        <v>1600</v>
      </c>
      <c r="B1185" s="3" t="s">
        <v>1606</v>
      </c>
      <c r="C1185" s="3" t="s">
        <v>1596</v>
      </c>
      <c r="D1185" s="3" t="s">
        <v>983</v>
      </c>
      <c r="E1185" s="3" t="s">
        <v>984</v>
      </c>
      <c r="F1185" s="2">
        <v>1</v>
      </c>
      <c r="G1185" s="4">
        <v>1.0378450765131755</v>
      </c>
      <c r="H1185" s="2">
        <v>25</v>
      </c>
      <c r="I1185" s="2">
        <v>5</v>
      </c>
      <c r="J1185" s="2">
        <v>1</v>
      </c>
      <c r="K1185" s="4">
        <v>1</v>
      </c>
      <c r="L1185" s="4">
        <v>-3.8286363263824653E-2</v>
      </c>
      <c r="M1185" s="4">
        <v>3.8286363263824653E-2</v>
      </c>
      <c r="N1185" s="10">
        <v>3.7999999999999999E-2</v>
      </c>
      <c r="O1185" s="4">
        <v>0.189914183393179</v>
      </c>
      <c r="P1185" s="4">
        <v>-0.19</v>
      </c>
      <c r="Q1185" s="3" t="s">
        <v>1617</v>
      </c>
      <c r="R1185" s="3" t="s">
        <v>1621</v>
      </c>
      <c r="S1185" s="3" t="s">
        <v>1622</v>
      </c>
      <c r="T1185" s="3"/>
    </row>
    <row r="1186" spans="1:20">
      <c r="A1186" s="3" t="s">
        <v>1605</v>
      </c>
      <c r="B1186" s="3" t="s">
        <v>1601</v>
      </c>
      <c r="C1186" s="3" t="s">
        <v>1596</v>
      </c>
      <c r="D1186" s="3" t="s">
        <v>983</v>
      </c>
      <c r="E1186" s="3" t="s">
        <v>984</v>
      </c>
      <c r="F1186" s="2">
        <v>1</v>
      </c>
      <c r="G1186" s="4">
        <v>1.0378450765131755</v>
      </c>
      <c r="H1186" s="2">
        <v>25</v>
      </c>
      <c r="I1186" s="2">
        <v>5</v>
      </c>
      <c r="J1186" s="2">
        <v>16</v>
      </c>
      <c r="K1186" s="4">
        <v>0.70101754757086709</v>
      </c>
      <c r="L1186" s="4">
        <v>-6.2513559536276644E-2</v>
      </c>
      <c r="M1186" s="4">
        <v>6.2513559536276644E-2</v>
      </c>
      <c r="N1186" s="10">
        <v>6.3E-2</v>
      </c>
      <c r="O1186" s="4">
        <v>0.31034293907771726</v>
      </c>
      <c r="P1186" s="4">
        <v>-0.31</v>
      </c>
      <c r="Q1186" s="3" t="s">
        <v>1617</v>
      </c>
      <c r="R1186" s="3" t="s">
        <v>1618</v>
      </c>
      <c r="S1186" s="3" t="s">
        <v>1619</v>
      </c>
      <c r="T1186" s="3"/>
    </row>
    <row r="1187" spans="1:20">
      <c r="A1187" s="3" t="s">
        <v>1600</v>
      </c>
      <c r="B1187" s="3" t="s">
        <v>1609</v>
      </c>
      <c r="C1187" s="3" t="s">
        <v>1596</v>
      </c>
      <c r="D1187" s="3" t="s">
        <v>983</v>
      </c>
      <c r="E1187" s="3" t="s">
        <v>984</v>
      </c>
      <c r="F1187" s="2">
        <v>1</v>
      </c>
      <c r="G1187" s="4">
        <v>1.0378450765131755</v>
      </c>
      <c r="H1187" s="2">
        <v>25</v>
      </c>
      <c r="I1187" s="2">
        <v>5</v>
      </c>
      <c r="J1187" s="2">
        <v>16</v>
      </c>
      <c r="K1187" s="4">
        <v>0.36270785485804302</v>
      </c>
      <c r="L1187" s="4">
        <v>-7.3361172428984475E-2</v>
      </c>
      <c r="M1187" s="4">
        <v>7.3361172428984475E-2</v>
      </c>
      <c r="N1187" s="10">
        <v>7.2999999999999995E-2</v>
      </c>
      <c r="O1187" s="4">
        <v>0.36437463553187405</v>
      </c>
      <c r="P1187" s="4">
        <v>-0.36</v>
      </c>
      <c r="Q1187" s="3" t="s">
        <v>1617</v>
      </c>
      <c r="R1187" s="3" t="s">
        <v>1623</v>
      </c>
      <c r="S1187" s="3" t="s">
        <v>1624</v>
      </c>
      <c r="T1187" s="3"/>
    </row>
    <row r="1188" spans="1:20">
      <c r="A1188" s="3" t="s">
        <v>1600</v>
      </c>
      <c r="B1188" s="3" t="s">
        <v>1609</v>
      </c>
      <c r="C1188" s="3" t="s">
        <v>1596</v>
      </c>
      <c r="D1188" s="3" t="s">
        <v>983</v>
      </c>
      <c r="E1188" s="3" t="s">
        <v>984</v>
      </c>
      <c r="F1188" s="2">
        <v>1</v>
      </c>
      <c r="G1188" s="4">
        <v>1.0378450765131755</v>
      </c>
      <c r="H1188" s="2">
        <v>25</v>
      </c>
      <c r="I1188" s="2">
        <v>5</v>
      </c>
      <c r="J1188" s="2">
        <v>1</v>
      </c>
      <c r="K1188" s="4">
        <v>1.3179000859779078E-2</v>
      </c>
      <c r="L1188" s="4">
        <v>-0.16330390920554855</v>
      </c>
      <c r="M1188" s="4">
        <v>0.16330390920554855</v>
      </c>
      <c r="N1188" s="10">
        <v>0.16300000000000001</v>
      </c>
      <c r="O1188" s="4">
        <v>0.81696508819109237</v>
      </c>
      <c r="P1188" s="4">
        <v>-0.82</v>
      </c>
      <c r="Q1188" s="3" t="s">
        <v>1617</v>
      </c>
      <c r="R1188" s="3" t="s">
        <v>1623</v>
      </c>
      <c r="S1188" s="3" t="s">
        <v>1624</v>
      </c>
      <c r="T1188" s="3"/>
    </row>
    <row r="1189" spans="1:20">
      <c r="A1189" s="3" t="s">
        <v>1600</v>
      </c>
      <c r="B1189" s="3" t="s">
        <v>1609</v>
      </c>
      <c r="C1189" s="3" t="s">
        <v>1616</v>
      </c>
      <c r="D1189" s="3" t="s">
        <v>983</v>
      </c>
      <c r="E1189" s="3" t="s">
        <v>984</v>
      </c>
      <c r="F1189" s="2">
        <v>1</v>
      </c>
      <c r="G1189" s="4">
        <v>1.0378450765131755</v>
      </c>
      <c r="H1189" s="2">
        <v>25</v>
      </c>
      <c r="I1189" s="2">
        <v>5</v>
      </c>
      <c r="J1189" s="2">
        <v>16</v>
      </c>
      <c r="K1189" s="4">
        <v>4.8758556332398895E-3</v>
      </c>
      <c r="L1189" s="4">
        <v>-1</v>
      </c>
      <c r="M1189" s="4">
        <v>1</v>
      </c>
      <c r="N1189" s="10">
        <v>0.995</v>
      </c>
      <c r="O1189" s="4">
        <v>14.85</v>
      </c>
      <c r="P1189" s="4">
        <v>-14.85</v>
      </c>
      <c r="Q1189" s="3" t="s">
        <v>1617</v>
      </c>
      <c r="R1189" s="3" t="s">
        <v>1623</v>
      </c>
      <c r="S1189" s="3" t="s">
        <v>1624</v>
      </c>
      <c r="T1189" s="3"/>
    </row>
    <row r="1190" spans="1:20">
      <c r="A1190" s="3" t="s">
        <v>1600</v>
      </c>
      <c r="B1190" s="3" t="s">
        <v>1601</v>
      </c>
      <c r="C1190" s="3" t="s">
        <v>1596</v>
      </c>
      <c r="D1190" s="3" t="s">
        <v>1443</v>
      </c>
      <c r="E1190" s="3" t="s">
        <v>1444</v>
      </c>
      <c r="F1190" s="2">
        <v>1</v>
      </c>
      <c r="G1190" s="4">
        <v>1.0379500486539086</v>
      </c>
      <c r="H1190" s="2">
        <v>25</v>
      </c>
      <c r="I1190" s="2">
        <v>5</v>
      </c>
      <c r="J1190" s="2">
        <v>16</v>
      </c>
      <c r="K1190" s="4">
        <v>0.10617915924444243</v>
      </c>
      <c r="L1190" s="4">
        <v>0.6985833030620312</v>
      </c>
      <c r="M1190" s="4">
        <v>0.6985833030620312</v>
      </c>
      <c r="N1190" s="10">
        <v>0.69899999999999995</v>
      </c>
      <c r="O1190" s="4">
        <v>4.2862751658617073</v>
      </c>
      <c r="P1190" s="4">
        <v>4.29</v>
      </c>
      <c r="Q1190" s="3" t="s">
        <v>1597</v>
      </c>
      <c r="R1190" s="3" t="s">
        <v>1602</v>
      </c>
      <c r="S1190" s="3" t="s">
        <v>1603</v>
      </c>
      <c r="T1190" s="3"/>
    </row>
    <row r="1191" spans="1:20">
      <c r="A1191" s="3" t="s">
        <v>1605</v>
      </c>
      <c r="B1191" s="3" t="s">
        <v>1601</v>
      </c>
      <c r="C1191" s="3" t="s">
        <v>1596</v>
      </c>
      <c r="D1191" s="3" t="s">
        <v>1443</v>
      </c>
      <c r="E1191" s="3" t="s">
        <v>1444</v>
      </c>
      <c r="F1191" s="2">
        <v>1</v>
      </c>
      <c r="G1191" s="4">
        <v>1.0379500486539086</v>
      </c>
      <c r="H1191" s="2">
        <v>25</v>
      </c>
      <c r="I1191" s="2">
        <v>5</v>
      </c>
      <c r="J1191" s="2">
        <v>16</v>
      </c>
      <c r="K1191" s="4">
        <v>5.8567595238002035E-2</v>
      </c>
      <c r="L1191" s="4">
        <v>0.59954552118457705</v>
      </c>
      <c r="M1191" s="4">
        <v>0.59954552118457705</v>
      </c>
      <c r="N1191" s="10">
        <v>0.6</v>
      </c>
      <c r="O1191" s="4">
        <v>3.4330603558920174</v>
      </c>
      <c r="P1191" s="4">
        <v>3.44</v>
      </c>
      <c r="Q1191" s="3" t="s">
        <v>1597</v>
      </c>
      <c r="R1191" s="3" t="s">
        <v>1602</v>
      </c>
      <c r="S1191" s="3" t="s">
        <v>1603</v>
      </c>
      <c r="T1191" s="3"/>
    </row>
    <row r="1192" spans="1:20">
      <c r="A1192" s="3" t="s">
        <v>1594</v>
      </c>
      <c r="B1192" s="3" t="s">
        <v>1612</v>
      </c>
      <c r="C1192" s="3" t="s">
        <v>1596</v>
      </c>
      <c r="D1192" s="3" t="s">
        <v>1443</v>
      </c>
      <c r="E1192" s="3" t="s">
        <v>1444</v>
      </c>
      <c r="F1192" s="2">
        <v>1</v>
      </c>
      <c r="G1192" s="4">
        <v>1.0379500486539086</v>
      </c>
      <c r="H1192" s="2">
        <v>50</v>
      </c>
      <c r="I1192" s="2">
        <v>5</v>
      </c>
      <c r="J1192" s="2">
        <v>16</v>
      </c>
      <c r="K1192" s="4">
        <v>0.99191014628204788</v>
      </c>
      <c r="L1192" s="4">
        <v>0.57901614229551779</v>
      </c>
      <c r="M1192" s="4">
        <v>0.57901614229551779</v>
      </c>
      <c r="N1192" s="10">
        <v>0.57899999999999996</v>
      </c>
      <c r="O1192" s="4">
        <v>3.5518900601527932</v>
      </c>
      <c r="P1192" s="4">
        <v>3.55</v>
      </c>
      <c r="Q1192" s="3" t="s">
        <v>1597</v>
      </c>
      <c r="R1192" s="3" t="s">
        <v>1613</v>
      </c>
      <c r="S1192" s="3" t="s">
        <v>1614</v>
      </c>
      <c r="T1192" s="3"/>
    </row>
    <row r="1193" spans="1:20">
      <c r="A1193" s="3" t="s">
        <v>1600</v>
      </c>
      <c r="B1193" s="3" t="s">
        <v>1609</v>
      </c>
      <c r="C1193" s="3" t="s">
        <v>1616</v>
      </c>
      <c r="D1193" s="3" t="s">
        <v>1443</v>
      </c>
      <c r="E1193" s="3" t="s">
        <v>1444</v>
      </c>
      <c r="F1193" s="2">
        <v>1</v>
      </c>
      <c r="G1193" s="4">
        <v>1.0379500486539086</v>
      </c>
      <c r="H1193" s="2">
        <v>25</v>
      </c>
      <c r="I1193" s="2">
        <v>5</v>
      </c>
      <c r="J1193" s="2">
        <v>16</v>
      </c>
      <c r="K1193" s="4">
        <v>3.7721248647169081E-2</v>
      </c>
      <c r="L1193" s="4">
        <v>0.40213603401414255</v>
      </c>
      <c r="M1193" s="4">
        <v>0.40213603401414255</v>
      </c>
      <c r="N1193" s="10">
        <v>0.40200000000000002</v>
      </c>
      <c r="O1193" s="4">
        <v>2.1130448194417539</v>
      </c>
      <c r="P1193" s="4">
        <v>2.11</v>
      </c>
      <c r="Q1193" s="3" t="s">
        <v>1597</v>
      </c>
      <c r="R1193" s="3" t="s">
        <v>1610</v>
      </c>
      <c r="S1193" s="3" t="s">
        <v>1611</v>
      </c>
      <c r="T1193" s="3"/>
    </row>
    <row r="1194" spans="1:20">
      <c r="A1194" s="3" t="s">
        <v>1594</v>
      </c>
      <c r="B1194" s="3" t="s">
        <v>1595</v>
      </c>
      <c r="C1194" s="3" t="s">
        <v>1596</v>
      </c>
      <c r="D1194" s="3" t="s">
        <v>1443</v>
      </c>
      <c r="E1194" s="3" t="s">
        <v>1444</v>
      </c>
      <c r="F1194" s="2">
        <v>1</v>
      </c>
      <c r="G1194" s="4">
        <v>1.0379500486539086</v>
      </c>
      <c r="H1194" s="2">
        <v>50</v>
      </c>
      <c r="I1194" s="2">
        <v>5</v>
      </c>
      <c r="J1194" s="2">
        <v>16</v>
      </c>
      <c r="K1194" s="4">
        <v>0.26286196542490914</v>
      </c>
      <c r="L1194" s="4">
        <v>0.38771909521256537</v>
      </c>
      <c r="M1194" s="4">
        <v>0.38771909521256537</v>
      </c>
      <c r="N1194" s="10">
        <v>0.38800000000000001</v>
      </c>
      <c r="O1194" s="4">
        <v>2.1984335542501579</v>
      </c>
      <c r="P1194" s="4">
        <v>2.2000000000000002</v>
      </c>
      <c r="Q1194" s="3" t="s">
        <v>1597</v>
      </c>
      <c r="R1194" s="3" t="s">
        <v>1598</v>
      </c>
      <c r="S1194" s="3" t="s">
        <v>1599</v>
      </c>
      <c r="T1194" s="3"/>
    </row>
    <row r="1195" spans="1:20">
      <c r="A1195" s="3" t="s">
        <v>1600</v>
      </c>
      <c r="B1195" s="3" t="s">
        <v>1609</v>
      </c>
      <c r="C1195" s="3" t="s">
        <v>1596</v>
      </c>
      <c r="D1195" s="3" t="s">
        <v>1443</v>
      </c>
      <c r="E1195" s="3" t="s">
        <v>1444</v>
      </c>
      <c r="F1195" s="2">
        <v>1</v>
      </c>
      <c r="G1195" s="4">
        <v>1.0379500486539086</v>
      </c>
      <c r="H1195" s="2">
        <v>25</v>
      </c>
      <c r="I1195" s="2">
        <v>5</v>
      </c>
      <c r="J1195" s="2">
        <v>16</v>
      </c>
      <c r="K1195" s="4">
        <v>7.9886342883049966E-2</v>
      </c>
      <c r="L1195" s="4">
        <v>0.27879146410382677</v>
      </c>
      <c r="M1195" s="4">
        <v>0.27879146410382677</v>
      </c>
      <c r="N1195" s="10">
        <v>0.27900000000000003</v>
      </c>
      <c r="O1195" s="4">
        <v>1.4198102199826141</v>
      </c>
      <c r="P1195" s="4">
        <v>1.42</v>
      </c>
      <c r="Q1195" s="3" t="s">
        <v>1597</v>
      </c>
      <c r="R1195" s="3" t="s">
        <v>1610</v>
      </c>
      <c r="S1195" s="3" t="s">
        <v>1611</v>
      </c>
      <c r="T1195" s="3"/>
    </row>
    <row r="1196" spans="1:20">
      <c r="A1196" s="3" t="s">
        <v>1604</v>
      </c>
      <c r="B1196" s="3" t="s">
        <v>1601</v>
      </c>
      <c r="C1196" s="3" t="s">
        <v>1596</v>
      </c>
      <c r="D1196" s="3" t="s">
        <v>1443</v>
      </c>
      <c r="E1196" s="3" t="s">
        <v>1444</v>
      </c>
      <c r="F1196" s="2">
        <v>1</v>
      </c>
      <c r="G1196" s="4">
        <v>1.0379500486539086</v>
      </c>
      <c r="H1196" s="2">
        <v>25</v>
      </c>
      <c r="I1196" s="2">
        <v>30</v>
      </c>
      <c r="J1196" s="2">
        <v>16</v>
      </c>
      <c r="K1196" s="4">
        <v>6.370906987829239E-2</v>
      </c>
      <c r="L1196" s="4">
        <v>0.24439561973801793</v>
      </c>
      <c r="M1196" s="4">
        <v>0.24439561973801793</v>
      </c>
      <c r="N1196" s="10">
        <v>0.24399999999999999</v>
      </c>
      <c r="O1196" s="4">
        <v>1.2367257702593657</v>
      </c>
      <c r="P1196" s="4">
        <v>1.23</v>
      </c>
      <c r="Q1196" s="3" t="s">
        <v>1597</v>
      </c>
      <c r="R1196" s="3" t="s">
        <v>1602</v>
      </c>
      <c r="S1196" s="3" t="s">
        <v>1603</v>
      </c>
      <c r="T1196" s="3"/>
    </row>
    <row r="1197" spans="1:20">
      <c r="A1197" s="3" t="s">
        <v>1604</v>
      </c>
      <c r="B1197" s="3" t="s">
        <v>1601</v>
      </c>
      <c r="C1197" s="3" t="s">
        <v>1616</v>
      </c>
      <c r="D1197" s="3" t="s">
        <v>1443</v>
      </c>
      <c r="E1197" s="3" t="s">
        <v>1444</v>
      </c>
      <c r="F1197" s="2">
        <v>1</v>
      </c>
      <c r="G1197" s="4">
        <v>1.0379500486539086</v>
      </c>
      <c r="H1197" s="2">
        <v>25</v>
      </c>
      <c r="I1197" s="2">
        <v>30</v>
      </c>
      <c r="J1197" s="2">
        <v>16</v>
      </c>
      <c r="K1197" s="4">
        <v>1.4236079255144363E-2</v>
      </c>
      <c r="L1197" s="4">
        <v>4.8064918851435705E-2</v>
      </c>
      <c r="M1197" s="4">
        <v>4.8064918851435705E-2</v>
      </c>
      <c r="N1197" s="10">
        <v>4.8000000000000001E-2</v>
      </c>
      <c r="O1197" s="4">
        <v>0.23848657507003268</v>
      </c>
      <c r="P1197" s="4">
        <v>0.24</v>
      </c>
      <c r="Q1197" s="3" t="s">
        <v>1597</v>
      </c>
      <c r="R1197" s="3" t="s">
        <v>1602</v>
      </c>
      <c r="S1197" s="3" t="s">
        <v>1603</v>
      </c>
      <c r="T1197" s="3"/>
    </row>
    <row r="1198" spans="1:20">
      <c r="A1198" s="3" t="s">
        <v>1600</v>
      </c>
      <c r="B1198" s="3" t="s">
        <v>1601</v>
      </c>
      <c r="C1198" s="3" t="s">
        <v>1616</v>
      </c>
      <c r="D1198" s="3" t="s">
        <v>1443</v>
      </c>
      <c r="E1198" s="3" t="s">
        <v>1444</v>
      </c>
      <c r="F1198" s="2">
        <v>1</v>
      </c>
      <c r="G1198" s="4">
        <v>1.0379500486539086</v>
      </c>
      <c r="H1198" s="2">
        <v>25</v>
      </c>
      <c r="I1198" s="2">
        <v>5</v>
      </c>
      <c r="J1198" s="2">
        <v>1</v>
      </c>
      <c r="K1198" s="4">
        <v>0</v>
      </c>
      <c r="L1198" s="4">
        <v>0</v>
      </c>
      <c r="M1198" s="4">
        <v>0</v>
      </c>
      <c r="N1198" s="10">
        <v>0</v>
      </c>
      <c r="O1198" s="4">
        <v>0</v>
      </c>
      <c r="P1198" s="4">
        <v>0</v>
      </c>
      <c r="Q1198" s="3" t="s">
        <v>1617</v>
      </c>
      <c r="R1198" s="3" t="s">
        <v>1618</v>
      </c>
      <c r="S1198" s="3" t="s">
        <v>1619</v>
      </c>
      <c r="T1198" s="3"/>
    </row>
    <row r="1199" spans="1:20">
      <c r="A1199" s="3" t="s">
        <v>1600</v>
      </c>
      <c r="B1199" s="3" t="s">
        <v>1601</v>
      </c>
      <c r="C1199" s="3" t="s">
        <v>1616</v>
      </c>
      <c r="D1199" s="3" t="s">
        <v>1443</v>
      </c>
      <c r="E1199" s="3" t="s">
        <v>1444</v>
      </c>
      <c r="F1199" s="2">
        <v>1</v>
      </c>
      <c r="G1199" s="4">
        <v>1.0379500486539086</v>
      </c>
      <c r="H1199" s="2">
        <v>25</v>
      </c>
      <c r="I1199" s="2">
        <v>5</v>
      </c>
      <c r="J1199" s="2">
        <v>16</v>
      </c>
      <c r="K1199" s="4">
        <v>0</v>
      </c>
      <c r="L1199" s="4">
        <v>0</v>
      </c>
      <c r="M1199" s="4">
        <v>0</v>
      </c>
      <c r="N1199" s="10">
        <v>0</v>
      </c>
      <c r="O1199" s="4">
        <v>0</v>
      </c>
      <c r="P1199" s="4">
        <v>0</v>
      </c>
      <c r="Q1199" s="3" t="s">
        <v>1617</v>
      </c>
      <c r="R1199" s="3" t="s">
        <v>1618</v>
      </c>
      <c r="S1199" s="3" t="s">
        <v>1619</v>
      </c>
      <c r="T1199" s="3"/>
    </row>
    <row r="1200" spans="1:20">
      <c r="A1200" s="3" t="s">
        <v>1600</v>
      </c>
      <c r="B1200" s="3" t="s">
        <v>1601</v>
      </c>
      <c r="C1200" s="3" t="s">
        <v>1596</v>
      </c>
      <c r="D1200" s="3" t="s">
        <v>1443</v>
      </c>
      <c r="E1200" s="3" t="s">
        <v>1444</v>
      </c>
      <c r="F1200" s="2">
        <v>1</v>
      </c>
      <c r="G1200" s="4">
        <v>1.0379500486539086</v>
      </c>
      <c r="H1200" s="2">
        <v>25</v>
      </c>
      <c r="I1200" s="2">
        <v>5</v>
      </c>
      <c r="J1200" s="2">
        <v>1</v>
      </c>
      <c r="K1200" s="4">
        <v>0</v>
      </c>
      <c r="L1200" s="4">
        <v>0</v>
      </c>
      <c r="M1200" s="4">
        <v>0</v>
      </c>
      <c r="N1200" s="10">
        <v>0</v>
      </c>
      <c r="O1200" s="4">
        <v>0</v>
      </c>
      <c r="P1200" s="4">
        <v>0</v>
      </c>
      <c r="Q1200" s="3" t="s">
        <v>1617</v>
      </c>
      <c r="R1200" s="3" t="s">
        <v>1618</v>
      </c>
      <c r="S1200" s="3" t="s">
        <v>1619</v>
      </c>
      <c r="T1200" s="3"/>
    </row>
    <row r="1201" spans="1:20">
      <c r="A1201" s="3" t="s">
        <v>1600</v>
      </c>
      <c r="B1201" s="3" t="s">
        <v>1606</v>
      </c>
      <c r="C1201" s="3" t="s">
        <v>1596</v>
      </c>
      <c r="D1201" s="3" t="s">
        <v>1443</v>
      </c>
      <c r="E1201" s="3" t="s">
        <v>1444</v>
      </c>
      <c r="F1201" s="2">
        <v>1</v>
      </c>
      <c r="G1201" s="4">
        <v>1.0379500486539086</v>
      </c>
      <c r="H1201" s="2">
        <v>25</v>
      </c>
      <c r="I1201" s="2">
        <v>5</v>
      </c>
      <c r="J1201" s="2">
        <v>1</v>
      </c>
      <c r="K1201" s="4">
        <v>0</v>
      </c>
      <c r="L1201" s="4">
        <v>0</v>
      </c>
      <c r="M1201" s="4">
        <v>0</v>
      </c>
      <c r="N1201" s="10">
        <v>0</v>
      </c>
      <c r="O1201" s="4">
        <v>0</v>
      </c>
      <c r="P1201" s="4">
        <v>0</v>
      </c>
      <c r="Q1201" s="3" t="s">
        <v>1617</v>
      </c>
      <c r="R1201" s="3" t="s">
        <v>1621</v>
      </c>
      <c r="S1201" s="3" t="s">
        <v>1622</v>
      </c>
      <c r="T1201" s="3"/>
    </row>
    <row r="1202" spans="1:20">
      <c r="A1202" s="3" t="s">
        <v>1600</v>
      </c>
      <c r="B1202" s="3" t="s">
        <v>1606</v>
      </c>
      <c r="C1202" s="3" t="s">
        <v>1596</v>
      </c>
      <c r="D1202" s="3" t="s">
        <v>1443</v>
      </c>
      <c r="E1202" s="3" t="s">
        <v>1444</v>
      </c>
      <c r="F1202" s="2">
        <v>1</v>
      </c>
      <c r="G1202" s="4">
        <v>1.0379500486539086</v>
      </c>
      <c r="H1202" s="2">
        <v>25</v>
      </c>
      <c r="I1202" s="2">
        <v>5</v>
      </c>
      <c r="J1202" s="2">
        <v>16</v>
      </c>
      <c r="K1202" s="4">
        <v>0</v>
      </c>
      <c r="L1202" s="4">
        <v>0</v>
      </c>
      <c r="M1202" s="4">
        <v>0</v>
      </c>
      <c r="N1202" s="10">
        <v>0</v>
      </c>
      <c r="O1202" s="4">
        <v>0</v>
      </c>
      <c r="P1202" s="4">
        <v>0</v>
      </c>
      <c r="Q1202" s="3" t="s">
        <v>1617</v>
      </c>
      <c r="R1202" s="3" t="s">
        <v>1621</v>
      </c>
      <c r="S1202" s="3" t="s">
        <v>1622</v>
      </c>
      <c r="T1202" s="3"/>
    </row>
    <row r="1203" spans="1:20">
      <c r="A1203" s="3" t="s">
        <v>1600</v>
      </c>
      <c r="B1203" s="3" t="s">
        <v>1609</v>
      </c>
      <c r="C1203" s="3" t="s">
        <v>1596</v>
      </c>
      <c r="D1203" s="3" t="s">
        <v>1443</v>
      </c>
      <c r="E1203" s="3" t="s">
        <v>1444</v>
      </c>
      <c r="F1203" s="2">
        <v>1</v>
      </c>
      <c r="G1203" s="4">
        <v>1.0379500486539086</v>
      </c>
      <c r="H1203" s="2">
        <v>25</v>
      </c>
      <c r="I1203" s="2">
        <v>5</v>
      </c>
      <c r="J1203" s="2">
        <v>1</v>
      </c>
      <c r="K1203" s="4">
        <v>0</v>
      </c>
      <c r="L1203" s="4">
        <v>0</v>
      </c>
      <c r="M1203" s="4">
        <v>0</v>
      </c>
      <c r="N1203" s="10">
        <v>0</v>
      </c>
      <c r="O1203" s="4">
        <v>0</v>
      </c>
      <c r="P1203" s="4">
        <v>0</v>
      </c>
      <c r="Q1203" s="3" t="s">
        <v>1617</v>
      </c>
      <c r="R1203" s="3" t="s">
        <v>1623</v>
      </c>
      <c r="S1203" s="3" t="s">
        <v>1624</v>
      </c>
      <c r="T1203" s="3"/>
    </row>
    <row r="1204" spans="1:20">
      <c r="A1204" s="3" t="s">
        <v>1600</v>
      </c>
      <c r="B1204" s="3" t="s">
        <v>1606</v>
      </c>
      <c r="C1204" s="3" t="s">
        <v>1616</v>
      </c>
      <c r="D1204" s="3" t="s">
        <v>1443</v>
      </c>
      <c r="E1204" s="3" t="s">
        <v>1444</v>
      </c>
      <c r="F1204" s="2">
        <v>1</v>
      </c>
      <c r="G1204" s="4">
        <v>1.0379500486539086</v>
      </c>
      <c r="H1204" s="2">
        <v>25</v>
      </c>
      <c r="I1204" s="2">
        <v>5</v>
      </c>
      <c r="J1204" s="2">
        <v>1</v>
      </c>
      <c r="K1204" s="4">
        <v>0</v>
      </c>
      <c r="L1204" s="4">
        <v>0</v>
      </c>
      <c r="M1204" s="4">
        <v>0</v>
      </c>
      <c r="N1204" s="10">
        <v>0</v>
      </c>
      <c r="O1204" s="4">
        <v>0</v>
      </c>
      <c r="P1204" s="4">
        <v>0</v>
      </c>
      <c r="Q1204" s="3" t="s">
        <v>1617</v>
      </c>
      <c r="R1204" s="3" t="s">
        <v>1621</v>
      </c>
      <c r="S1204" s="3" t="s">
        <v>1622</v>
      </c>
      <c r="T1204" s="3"/>
    </row>
    <row r="1205" spans="1:20">
      <c r="A1205" s="3" t="s">
        <v>1600</v>
      </c>
      <c r="B1205" s="3" t="s">
        <v>1606</v>
      </c>
      <c r="C1205" s="3" t="s">
        <v>1616</v>
      </c>
      <c r="D1205" s="3" t="s">
        <v>1443</v>
      </c>
      <c r="E1205" s="3" t="s">
        <v>1444</v>
      </c>
      <c r="F1205" s="2">
        <v>1</v>
      </c>
      <c r="G1205" s="4">
        <v>1.0379500486539086</v>
      </c>
      <c r="H1205" s="2">
        <v>25</v>
      </c>
      <c r="I1205" s="2">
        <v>5</v>
      </c>
      <c r="J1205" s="2">
        <v>16</v>
      </c>
      <c r="K1205" s="4">
        <v>0</v>
      </c>
      <c r="L1205" s="4">
        <v>0</v>
      </c>
      <c r="M1205" s="4">
        <v>0</v>
      </c>
      <c r="N1205" s="10">
        <v>0</v>
      </c>
      <c r="O1205" s="4">
        <v>0</v>
      </c>
      <c r="P1205" s="4">
        <v>0</v>
      </c>
      <c r="Q1205" s="3" t="s">
        <v>1617</v>
      </c>
      <c r="R1205" s="3" t="s">
        <v>1621</v>
      </c>
      <c r="S1205" s="3" t="s">
        <v>1622</v>
      </c>
      <c r="T1205" s="3"/>
    </row>
    <row r="1206" spans="1:20">
      <c r="A1206" s="3" t="s">
        <v>1600</v>
      </c>
      <c r="B1206" s="3" t="s">
        <v>1609</v>
      </c>
      <c r="C1206" s="3" t="s">
        <v>1616</v>
      </c>
      <c r="D1206" s="3" t="s">
        <v>1443</v>
      </c>
      <c r="E1206" s="3" t="s">
        <v>1444</v>
      </c>
      <c r="F1206" s="2">
        <v>1</v>
      </c>
      <c r="G1206" s="4">
        <v>1.0379500486539086</v>
      </c>
      <c r="H1206" s="2">
        <v>25</v>
      </c>
      <c r="I1206" s="2">
        <v>5</v>
      </c>
      <c r="J1206" s="2">
        <v>1</v>
      </c>
      <c r="K1206" s="4">
        <v>0</v>
      </c>
      <c r="L1206" s="4">
        <v>0</v>
      </c>
      <c r="M1206" s="4">
        <v>0</v>
      </c>
      <c r="N1206" s="10">
        <v>0</v>
      </c>
      <c r="O1206" s="4">
        <v>0</v>
      </c>
      <c r="P1206" s="4">
        <v>0</v>
      </c>
      <c r="Q1206" s="3" t="s">
        <v>1617</v>
      </c>
      <c r="R1206" s="3" t="s">
        <v>1623</v>
      </c>
      <c r="S1206" s="3" t="s">
        <v>1624</v>
      </c>
      <c r="T1206" s="3"/>
    </row>
    <row r="1207" spans="1:20">
      <c r="A1207" s="3" t="s">
        <v>1594</v>
      </c>
      <c r="B1207" s="3" t="s">
        <v>1595</v>
      </c>
      <c r="C1207" s="3" t="s">
        <v>1596</v>
      </c>
      <c r="D1207" s="3" t="s">
        <v>1443</v>
      </c>
      <c r="E1207" s="3" t="s">
        <v>1444</v>
      </c>
      <c r="F1207" s="2">
        <v>1</v>
      </c>
      <c r="G1207" s="4">
        <v>1.0379500486539086</v>
      </c>
      <c r="H1207" s="2">
        <v>25</v>
      </c>
      <c r="I1207" s="2">
        <v>5</v>
      </c>
      <c r="J1207" s="2">
        <v>16</v>
      </c>
      <c r="K1207" s="4">
        <v>1.3245656040497988E-2</v>
      </c>
      <c r="L1207" s="4">
        <v>-7.8095238095238093E-2</v>
      </c>
      <c r="M1207" s="4">
        <v>7.8095238095238093E-2</v>
      </c>
      <c r="N1207" s="10">
        <v>7.8E-2</v>
      </c>
      <c r="O1207" s="4">
        <v>0.38798125521077792</v>
      </c>
      <c r="P1207" s="4">
        <v>-0.39</v>
      </c>
      <c r="Q1207" s="3" t="s">
        <v>1617</v>
      </c>
      <c r="R1207" s="3" t="s">
        <v>1625</v>
      </c>
      <c r="S1207" s="3" t="s">
        <v>1626</v>
      </c>
      <c r="T1207" s="3"/>
    </row>
    <row r="1208" spans="1:20">
      <c r="A1208" s="3" t="s">
        <v>1604</v>
      </c>
      <c r="B1208" s="3" t="s">
        <v>1601</v>
      </c>
      <c r="C1208" s="3" t="s">
        <v>1596</v>
      </c>
      <c r="D1208" s="3" t="s">
        <v>281</v>
      </c>
      <c r="E1208" s="3" t="s">
        <v>282</v>
      </c>
      <c r="F1208" s="2">
        <v>1</v>
      </c>
      <c r="G1208" s="4">
        <v>1.0382015237686446</v>
      </c>
      <c r="H1208" s="2">
        <v>25</v>
      </c>
      <c r="I1208" s="2">
        <v>30</v>
      </c>
      <c r="J1208" s="2">
        <v>16</v>
      </c>
      <c r="K1208" s="4">
        <v>0.92063402980265718</v>
      </c>
      <c r="L1208" s="4">
        <v>0.58510099592584441</v>
      </c>
      <c r="M1208" s="4">
        <v>0.58510099592584441</v>
      </c>
      <c r="N1208" s="10">
        <v>0.58499999999999996</v>
      </c>
      <c r="O1208" s="4">
        <v>3.322730301889389</v>
      </c>
      <c r="P1208" s="4">
        <v>3.32</v>
      </c>
      <c r="Q1208" s="3" t="s">
        <v>1597</v>
      </c>
      <c r="R1208" s="3" t="s">
        <v>1602</v>
      </c>
      <c r="S1208" s="3" t="s">
        <v>1603</v>
      </c>
      <c r="T1208" s="3"/>
    </row>
    <row r="1209" spans="1:20">
      <c r="A1209" s="3" t="s">
        <v>1600</v>
      </c>
      <c r="B1209" s="3" t="s">
        <v>1601</v>
      </c>
      <c r="C1209" s="3" t="s">
        <v>1596</v>
      </c>
      <c r="D1209" s="3" t="s">
        <v>281</v>
      </c>
      <c r="E1209" s="3" t="s">
        <v>282</v>
      </c>
      <c r="F1209" s="2">
        <v>1</v>
      </c>
      <c r="G1209" s="4">
        <v>1.0382015237686446</v>
      </c>
      <c r="H1209" s="2">
        <v>25</v>
      </c>
      <c r="I1209" s="2">
        <v>5</v>
      </c>
      <c r="J1209" s="2">
        <v>16</v>
      </c>
      <c r="K1209" s="4">
        <v>0.85712183604288361</v>
      </c>
      <c r="L1209" s="4">
        <v>0.48591735517954321</v>
      </c>
      <c r="M1209" s="4">
        <v>0.48591735517954321</v>
      </c>
      <c r="N1209" s="10">
        <v>0.48599999999999999</v>
      </c>
      <c r="O1209" s="4">
        <v>2.6311856658694519</v>
      </c>
      <c r="P1209" s="4">
        <v>2.63</v>
      </c>
      <c r="Q1209" s="3" t="s">
        <v>1597</v>
      </c>
      <c r="R1209" s="3" t="s">
        <v>1602</v>
      </c>
      <c r="S1209" s="3" t="s">
        <v>1603</v>
      </c>
      <c r="T1209" s="3"/>
    </row>
    <row r="1210" spans="1:20">
      <c r="A1210" s="3" t="s">
        <v>1604</v>
      </c>
      <c r="B1210" s="3" t="s">
        <v>1601</v>
      </c>
      <c r="C1210" s="3" t="s">
        <v>1616</v>
      </c>
      <c r="D1210" s="3" t="s">
        <v>281</v>
      </c>
      <c r="E1210" s="3" t="s">
        <v>282</v>
      </c>
      <c r="F1210" s="2">
        <v>1</v>
      </c>
      <c r="G1210" s="4">
        <v>1.0382015237686446</v>
      </c>
      <c r="H1210" s="2">
        <v>25</v>
      </c>
      <c r="I1210" s="2">
        <v>30</v>
      </c>
      <c r="J1210" s="2">
        <v>16</v>
      </c>
      <c r="K1210" s="4">
        <v>0.42009871622881423</v>
      </c>
      <c r="L1210" s="4">
        <v>0.16592804441643741</v>
      </c>
      <c r="M1210" s="4">
        <v>0.16592804441643741</v>
      </c>
      <c r="N1210" s="10">
        <v>0.16600000000000001</v>
      </c>
      <c r="O1210" s="4">
        <v>0.8303377706321492</v>
      </c>
      <c r="P1210" s="4">
        <v>0.83</v>
      </c>
      <c r="Q1210" s="3" t="s">
        <v>1597</v>
      </c>
      <c r="R1210" s="3" t="s">
        <v>1602</v>
      </c>
      <c r="S1210" s="3" t="s">
        <v>1603</v>
      </c>
      <c r="T1210" s="3"/>
    </row>
    <row r="1211" spans="1:20">
      <c r="A1211" s="12" t="s">
        <v>1605</v>
      </c>
      <c r="B1211" s="3" t="s">
        <v>1601</v>
      </c>
      <c r="C1211" s="3" t="s">
        <v>1596</v>
      </c>
      <c r="D1211" s="3" t="s">
        <v>281</v>
      </c>
      <c r="E1211" s="3" t="s">
        <v>282</v>
      </c>
      <c r="F1211" s="2">
        <v>1</v>
      </c>
      <c r="G1211" s="4">
        <v>1.0382015237686446</v>
      </c>
      <c r="H1211" s="2">
        <v>25</v>
      </c>
      <c r="I1211" s="2">
        <v>5</v>
      </c>
      <c r="J1211" s="2">
        <v>16</v>
      </c>
      <c r="K1211" s="11">
        <v>1</v>
      </c>
      <c r="L1211" s="11">
        <v>0.125624993352977</v>
      </c>
      <c r="M1211" s="4">
        <v>0.125624993352977</v>
      </c>
      <c r="N1211" s="10">
        <v>0.126</v>
      </c>
      <c r="O1211" s="4">
        <v>0.62614858251392713</v>
      </c>
      <c r="P1211" s="4">
        <v>0.63</v>
      </c>
      <c r="Q1211" s="3" t="s">
        <v>1597</v>
      </c>
      <c r="R1211" s="3" t="s">
        <v>1602</v>
      </c>
      <c r="S1211" s="3" t="s">
        <v>1603</v>
      </c>
      <c r="T1211" s="3"/>
    </row>
    <row r="1212" spans="1:20">
      <c r="A1212" s="3" t="s">
        <v>1600</v>
      </c>
      <c r="B1212" s="3" t="s">
        <v>1606</v>
      </c>
      <c r="C1212" s="3" t="s">
        <v>1596</v>
      </c>
      <c r="D1212" s="3" t="s">
        <v>281</v>
      </c>
      <c r="E1212" s="3" t="s">
        <v>282</v>
      </c>
      <c r="F1212" s="2">
        <v>1</v>
      </c>
      <c r="G1212" s="4">
        <v>1.0382015237686446</v>
      </c>
      <c r="H1212" s="2">
        <v>25</v>
      </c>
      <c r="I1212" s="2">
        <v>5</v>
      </c>
      <c r="J1212" s="2">
        <v>16</v>
      </c>
      <c r="K1212" s="11">
        <v>1</v>
      </c>
      <c r="L1212" s="11">
        <v>7.6081493795183072E-2</v>
      </c>
      <c r="M1212" s="4">
        <v>7.6081493795183072E-2</v>
      </c>
      <c r="N1212" s="10">
        <v>7.5999999999999998E-2</v>
      </c>
      <c r="O1212" s="4">
        <v>0.37793754978447941</v>
      </c>
      <c r="P1212" s="4">
        <v>0.38</v>
      </c>
      <c r="Q1212" s="3" t="s">
        <v>1597</v>
      </c>
      <c r="R1212" s="3" t="s">
        <v>1607</v>
      </c>
      <c r="S1212" s="3" t="s">
        <v>1608</v>
      </c>
      <c r="T1212" s="3"/>
    </row>
    <row r="1213" spans="1:20">
      <c r="A1213" s="3" t="s">
        <v>1594</v>
      </c>
      <c r="B1213" s="3" t="s">
        <v>1595</v>
      </c>
      <c r="C1213" s="3" t="s">
        <v>1596</v>
      </c>
      <c r="D1213" s="3" t="s">
        <v>281</v>
      </c>
      <c r="E1213" s="3" t="s">
        <v>282</v>
      </c>
      <c r="F1213" s="2">
        <v>1</v>
      </c>
      <c r="G1213" s="4">
        <v>1.0382015237686446</v>
      </c>
      <c r="H1213" s="2">
        <v>50</v>
      </c>
      <c r="I1213" s="2">
        <v>5</v>
      </c>
      <c r="J1213" s="2">
        <v>16</v>
      </c>
      <c r="K1213" s="4">
        <v>1</v>
      </c>
      <c r="L1213" s="14">
        <v>-5.4082345176744796E-2</v>
      </c>
      <c r="M1213" s="4">
        <v>5.4082345176744796E-2</v>
      </c>
      <c r="N1213" s="10">
        <v>5.3999999999999999E-2</v>
      </c>
      <c r="O1213" s="4">
        <v>0.29090405130964042</v>
      </c>
      <c r="P1213" s="4">
        <v>-0.28999999999999998</v>
      </c>
      <c r="Q1213" s="3" t="s">
        <v>1617</v>
      </c>
      <c r="R1213" s="3" t="s">
        <v>1625</v>
      </c>
      <c r="S1213" s="3" t="s">
        <v>1626</v>
      </c>
      <c r="T1213" s="3"/>
    </row>
    <row r="1214" spans="1:20">
      <c r="A1214" s="3" t="s">
        <v>1600</v>
      </c>
      <c r="B1214" s="3" t="s">
        <v>1601</v>
      </c>
      <c r="C1214" s="3" t="s">
        <v>1596</v>
      </c>
      <c r="D1214" s="3" t="s">
        <v>281</v>
      </c>
      <c r="E1214" s="3" t="s">
        <v>282</v>
      </c>
      <c r="F1214" s="2">
        <v>1</v>
      </c>
      <c r="G1214" s="4">
        <v>1.0382015237686446</v>
      </c>
      <c r="H1214" s="2">
        <v>25</v>
      </c>
      <c r="I1214" s="2">
        <v>5</v>
      </c>
      <c r="J1214" s="2">
        <v>1</v>
      </c>
      <c r="K1214" s="4">
        <v>0.10346689733498471</v>
      </c>
      <c r="L1214" s="4">
        <v>-6.7820780463624469E-2</v>
      </c>
      <c r="M1214" s="4">
        <v>6.7820780463624469E-2</v>
      </c>
      <c r="N1214" s="10">
        <v>6.8000000000000005E-2</v>
      </c>
      <c r="O1214" s="4">
        <v>0.33676808697698191</v>
      </c>
      <c r="P1214" s="4">
        <v>-0.34</v>
      </c>
      <c r="Q1214" s="3" t="s">
        <v>1617</v>
      </c>
      <c r="R1214" s="3" t="s">
        <v>1618</v>
      </c>
      <c r="S1214" s="3" t="s">
        <v>1619</v>
      </c>
      <c r="T1214" s="3"/>
    </row>
    <row r="1215" spans="1:20">
      <c r="A1215" s="3" t="s">
        <v>1600</v>
      </c>
      <c r="B1215" s="3" t="s">
        <v>1601</v>
      </c>
      <c r="C1215" s="3" t="s">
        <v>1616</v>
      </c>
      <c r="D1215" s="3" t="s">
        <v>281</v>
      </c>
      <c r="E1215" s="3" t="s">
        <v>282</v>
      </c>
      <c r="F1215" s="2">
        <v>1</v>
      </c>
      <c r="G1215" s="4">
        <v>1.0382015237686446</v>
      </c>
      <c r="H1215" s="2">
        <v>25</v>
      </c>
      <c r="I1215" s="2">
        <v>5</v>
      </c>
      <c r="J1215" s="2">
        <v>16</v>
      </c>
      <c r="K1215" s="4">
        <v>0.27486273094059455</v>
      </c>
      <c r="L1215" s="4">
        <v>-0.11042508885431446</v>
      </c>
      <c r="M1215" s="4">
        <v>0.11042508885431446</v>
      </c>
      <c r="N1215" s="10">
        <v>0.11</v>
      </c>
      <c r="O1215" s="4">
        <v>0.54972225700436006</v>
      </c>
      <c r="P1215" s="4">
        <v>-0.55000000000000004</v>
      </c>
      <c r="Q1215" s="3" t="s">
        <v>1617</v>
      </c>
      <c r="R1215" s="3" t="s">
        <v>1618</v>
      </c>
      <c r="S1215" s="3" t="s">
        <v>1619</v>
      </c>
      <c r="T1215" s="3"/>
    </row>
    <row r="1216" spans="1:20">
      <c r="A1216" s="3" t="s">
        <v>1600</v>
      </c>
      <c r="B1216" s="3" t="s">
        <v>1606</v>
      </c>
      <c r="C1216" s="3" t="s">
        <v>1616</v>
      </c>
      <c r="D1216" s="3" t="s">
        <v>281</v>
      </c>
      <c r="E1216" s="3" t="s">
        <v>282</v>
      </c>
      <c r="F1216" s="2">
        <v>1</v>
      </c>
      <c r="G1216" s="4">
        <v>1.0382015237686446</v>
      </c>
      <c r="H1216" s="2">
        <v>25</v>
      </c>
      <c r="I1216" s="2">
        <v>5</v>
      </c>
      <c r="J1216" s="2">
        <v>16</v>
      </c>
      <c r="K1216" s="11">
        <v>0.89242634725898629</v>
      </c>
      <c r="L1216" s="11">
        <v>-0.11429430578715724</v>
      </c>
      <c r="M1216" s="4">
        <v>0.11429430578715724</v>
      </c>
      <c r="N1216" s="10">
        <v>0.114</v>
      </c>
      <c r="O1216" s="4">
        <v>0.5691508945106839</v>
      </c>
      <c r="P1216" s="4">
        <v>-0.56999999999999995</v>
      </c>
      <c r="Q1216" s="3" t="s">
        <v>1617</v>
      </c>
      <c r="R1216" s="3" t="s">
        <v>1621</v>
      </c>
      <c r="S1216" s="3" t="s">
        <v>1622</v>
      </c>
      <c r="T1216" s="3"/>
    </row>
    <row r="1217" spans="1:20">
      <c r="A1217" s="3" t="s">
        <v>1600</v>
      </c>
      <c r="B1217" s="3" t="s">
        <v>1606</v>
      </c>
      <c r="C1217" s="3" t="s">
        <v>1616</v>
      </c>
      <c r="D1217" s="3" t="s">
        <v>281</v>
      </c>
      <c r="E1217" s="3" t="s">
        <v>282</v>
      </c>
      <c r="F1217" s="2">
        <v>1</v>
      </c>
      <c r="G1217" s="4">
        <v>1.0382015237686446</v>
      </c>
      <c r="H1217" s="2">
        <v>25</v>
      </c>
      <c r="I1217" s="2">
        <v>5</v>
      </c>
      <c r="J1217" s="2">
        <v>1</v>
      </c>
      <c r="K1217" s="4">
        <v>0.7457951472455544</v>
      </c>
      <c r="L1217" s="4">
        <v>-0.14156998570978757</v>
      </c>
      <c r="M1217" s="4">
        <v>0.14156998570978757</v>
      </c>
      <c r="N1217" s="10">
        <v>0.14199999999999999</v>
      </c>
      <c r="O1217" s="4">
        <v>0.70664132689736892</v>
      </c>
      <c r="P1217" s="4">
        <v>-0.71</v>
      </c>
      <c r="Q1217" s="3" t="s">
        <v>1617</v>
      </c>
      <c r="R1217" s="3" t="s">
        <v>1621</v>
      </c>
      <c r="S1217" s="3" t="s">
        <v>1622</v>
      </c>
      <c r="T1217" s="3"/>
    </row>
    <row r="1218" spans="1:20">
      <c r="A1218" s="3" t="s">
        <v>1600</v>
      </c>
      <c r="B1218" s="3" t="s">
        <v>1606</v>
      </c>
      <c r="C1218" s="3" t="s">
        <v>1596</v>
      </c>
      <c r="D1218" s="3" t="s">
        <v>281</v>
      </c>
      <c r="E1218" s="3" t="s">
        <v>282</v>
      </c>
      <c r="F1218" s="2">
        <v>1</v>
      </c>
      <c r="G1218" s="4">
        <v>1.0382015237686446</v>
      </c>
      <c r="H1218" s="2">
        <v>25</v>
      </c>
      <c r="I1218" s="2">
        <v>5</v>
      </c>
      <c r="J1218" s="2">
        <v>1</v>
      </c>
      <c r="K1218" s="11">
        <v>0.98206613863370462</v>
      </c>
      <c r="L1218" s="11">
        <v>-0.14236645794595751</v>
      </c>
      <c r="M1218" s="4">
        <v>0.14236645794595751</v>
      </c>
      <c r="N1218" s="10">
        <v>0.14199999999999999</v>
      </c>
      <c r="O1218" s="4">
        <v>0.71067141204896156</v>
      </c>
      <c r="P1218" s="4">
        <v>-0.71</v>
      </c>
      <c r="Q1218" s="3" t="s">
        <v>1617</v>
      </c>
      <c r="R1218" s="3" t="s">
        <v>1621</v>
      </c>
      <c r="S1218" s="3" t="s">
        <v>1622</v>
      </c>
      <c r="T1218" s="3"/>
    </row>
    <row r="1219" spans="1:20">
      <c r="A1219" s="3" t="s">
        <v>1600</v>
      </c>
      <c r="B1219" s="3" t="s">
        <v>1609</v>
      </c>
      <c r="C1219" s="3" t="s">
        <v>1596</v>
      </c>
      <c r="D1219" s="3" t="s">
        <v>281</v>
      </c>
      <c r="E1219" s="3" t="s">
        <v>282</v>
      </c>
      <c r="F1219" s="2">
        <v>1</v>
      </c>
      <c r="G1219" s="4">
        <v>1.0382015237686446</v>
      </c>
      <c r="H1219" s="2">
        <v>25</v>
      </c>
      <c r="I1219" s="2">
        <v>5</v>
      </c>
      <c r="J1219" s="2">
        <v>16</v>
      </c>
      <c r="K1219" s="4">
        <v>0.18383888533076909</v>
      </c>
      <c r="L1219" s="4">
        <v>-0.30698154488930646</v>
      </c>
      <c r="M1219" s="4">
        <v>0.30698154488930646</v>
      </c>
      <c r="N1219" s="10">
        <v>0.307</v>
      </c>
      <c r="O1219" s="4">
        <v>1.5727044207050032</v>
      </c>
      <c r="P1219" s="4">
        <v>-1.57</v>
      </c>
      <c r="Q1219" s="3" t="s">
        <v>1617</v>
      </c>
      <c r="R1219" s="3" t="s">
        <v>1623</v>
      </c>
      <c r="S1219" s="3" t="s">
        <v>1624</v>
      </c>
      <c r="T1219" s="3"/>
    </row>
    <row r="1220" spans="1:20">
      <c r="A1220" s="3" t="s">
        <v>1600</v>
      </c>
      <c r="B1220" s="3" t="s">
        <v>1601</v>
      </c>
      <c r="C1220" s="3" t="s">
        <v>1616</v>
      </c>
      <c r="D1220" s="3" t="s">
        <v>281</v>
      </c>
      <c r="E1220" s="3" t="s">
        <v>282</v>
      </c>
      <c r="F1220" s="2">
        <v>1</v>
      </c>
      <c r="G1220" s="4">
        <v>1.0382015237686446</v>
      </c>
      <c r="H1220" s="2">
        <v>25</v>
      </c>
      <c r="I1220" s="2">
        <v>5</v>
      </c>
      <c r="J1220" s="2">
        <v>1</v>
      </c>
      <c r="K1220" s="4">
        <v>8.6992625695323511E-2</v>
      </c>
      <c r="L1220" s="4">
        <v>-0.44210343781159234</v>
      </c>
      <c r="M1220" s="4">
        <v>0.44210343781159234</v>
      </c>
      <c r="N1220" s="10">
        <v>0.442</v>
      </c>
      <c r="O1220" s="4">
        <v>2.3542375890290721</v>
      </c>
      <c r="P1220" s="4">
        <v>-2.35</v>
      </c>
      <c r="Q1220" s="3" t="s">
        <v>1617</v>
      </c>
      <c r="R1220" s="3" t="s">
        <v>1618</v>
      </c>
      <c r="S1220" s="3" t="s">
        <v>1619</v>
      </c>
      <c r="T1220" s="3"/>
    </row>
    <row r="1221" spans="1:20">
      <c r="A1221" s="3" t="s">
        <v>1600</v>
      </c>
      <c r="B1221" s="3" t="s">
        <v>1609</v>
      </c>
      <c r="C1221" s="3" t="s">
        <v>1596</v>
      </c>
      <c r="D1221" s="3" t="s">
        <v>281</v>
      </c>
      <c r="E1221" s="3" t="s">
        <v>282</v>
      </c>
      <c r="F1221" s="2">
        <v>1</v>
      </c>
      <c r="G1221" s="4">
        <v>1.0382015237686446</v>
      </c>
      <c r="H1221" s="2">
        <v>25</v>
      </c>
      <c r="I1221" s="2">
        <v>5</v>
      </c>
      <c r="J1221" s="2">
        <v>1</v>
      </c>
      <c r="K1221" s="11">
        <v>0.35884661233218207</v>
      </c>
      <c r="L1221" s="11">
        <v>-0.7087454111416478</v>
      </c>
      <c r="M1221" s="4">
        <v>0.7087454111416478</v>
      </c>
      <c r="N1221" s="10">
        <v>0.70899999999999996</v>
      </c>
      <c r="O1221" s="4">
        <v>4.3860803907954313</v>
      </c>
      <c r="P1221" s="4">
        <v>-4.3899999999999997</v>
      </c>
      <c r="Q1221" s="3" t="s">
        <v>1617</v>
      </c>
      <c r="R1221" s="3" t="s">
        <v>1623</v>
      </c>
      <c r="S1221" s="3" t="s">
        <v>1624</v>
      </c>
      <c r="T1221" s="3"/>
    </row>
    <row r="1222" spans="1:20">
      <c r="A1222" s="3" t="s">
        <v>1600</v>
      </c>
      <c r="B1222" s="3" t="s">
        <v>1609</v>
      </c>
      <c r="C1222" s="3" t="s">
        <v>1616</v>
      </c>
      <c r="D1222" s="3" t="s">
        <v>281</v>
      </c>
      <c r="E1222" s="3" t="s">
        <v>282</v>
      </c>
      <c r="F1222" s="2">
        <v>1</v>
      </c>
      <c r="G1222" s="4">
        <v>1.0382015237686446</v>
      </c>
      <c r="H1222" s="2">
        <v>25</v>
      </c>
      <c r="I1222" s="2">
        <v>5</v>
      </c>
      <c r="J1222" s="2">
        <v>1</v>
      </c>
      <c r="K1222" s="4">
        <v>0.28727683243710056</v>
      </c>
      <c r="L1222" s="4">
        <v>-0.80047696949420988</v>
      </c>
      <c r="M1222" s="4">
        <v>0.80047696949420988</v>
      </c>
      <c r="N1222" s="10">
        <v>0.8</v>
      </c>
      <c r="O1222" s="4">
        <v>5.4534256198554454</v>
      </c>
      <c r="P1222" s="4">
        <v>-5.45</v>
      </c>
      <c r="Q1222" s="3" t="s">
        <v>1617</v>
      </c>
      <c r="R1222" s="3" t="s">
        <v>1623</v>
      </c>
      <c r="S1222" s="3" t="s">
        <v>1624</v>
      </c>
      <c r="T1222" s="3"/>
    </row>
    <row r="1223" spans="1:20">
      <c r="A1223" s="3" t="s">
        <v>1594</v>
      </c>
      <c r="B1223" s="3" t="s">
        <v>1612</v>
      </c>
      <c r="C1223" s="3" t="s">
        <v>1596</v>
      </c>
      <c r="D1223" s="3" t="s">
        <v>281</v>
      </c>
      <c r="E1223" s="3" t="s">
        <v>282</v>
      </c>
      <c r="F1223" s="2">
        <v>1</v>
      </c>
      <c r="G1223" s="4">
        <v>1.0382015237686446</v>
      </c>
      <c r="H1223" s="2">
        <v>50</v>
      </c>
      <c r="I1223" s="2">
        <v>5</v>
      </c>
      <c r="J1223" s="2">
        <v>16</v>
      </c>
      <c r="K1223" s="4">
        <v>1</v>
      </c>
      <c r="L1223" s="14">
        <v>-0.82075129994190155</v>
      </c>
      <c r="M1223" s="4">
        <v>0.82075129994190155</v>
      </c>
      <c r="N1223" s="10">
        <v>0.82099999999999995</v>
      </c>
      <c r="O1223" s="4">
        <v>6.2286922003986174</v>
      </c>
      <c r="P1223" s="4">
        <v>-6.23</v>
      </c>
      <c r="Q1223" s="3" t="s">
        <v>1617</v>
      </c>
      <c r="R1223" s="3" t="s">
        <v>1627</v>
      </c>
      <c r="S1223" s="3" t="s">
        <v>1628</v>
      </c>
      <c r="T1223" s="3"/>
    </row>
    <row r="1224" spans="1:20">
      <c r="A1224" s="3" t="s">
        <v>1600</v>
      </c>
      <c r="B1224" s="3" t="s">
        <v>1609</v>
      </c>
      <c r="C1224" s="3" t="s">
        <v>1616</v>
      </c>
      <c r="D1224" s="3" t="s">
        <v>281</v>
      </c>
      <c r="E1224" s="3" t="s">
        <v>282</v>
      </c>
      <c r="F1224" s="2">
        <v>1</v>
      </c>
      <c r="G1224" s="4">
        <v>1.0382015237686446</v>
      </c>
      <c r="H1224" s="2">
        <v>25</v>
      </c>
      <c r="I1224" s="2">
        <v>5</v>
      </c>
      <c r="J1224" s="2">
        <v>16</v>
      </c>
      <c r="K1224" s="11">
        <v>0.7770081662265147</v>
      </c>
      <c r="L1224" s="11">
        <v>-0.89875754607931102</v>
      </c>
      <c r="M1224" s="4">
        <v>0.89875754607931102</v>
      </c>
      <c r="N1224" s="10">
        <v>0.89900000000000002</v>
      </c>
      <c r="O1224" s="4">
        <v>7.2669386683523127</v>
      </c>
      <c r="P1224" s="4">
        <v>-7.27</v>
      </c>
      <c r="Q1224" s="3" t="s">
        <v>1617</v>
      </c>
      <c r="R1224" s="3" t="s">
        <v>1623</v>
      </c>
      <c r="S1224" s="3" t="s">
        <v>1624</v>
      </c>
      <c r="T1224" s="3"/>
    </row>
    <row r="1225" spans="1:20">
      <c r="A1225" s="3" t="s">
        <v>1594</v>
      </c>
      <c r="B1225" s="3" t="s">
        <v>1612</v>
      </c>
      <c r="C1225" s="3" t="s">
        <v>1596</v>
      </c>
      <c r="D1225" s="3" t="s">
        <v>513</v>
      </c>
      <c r="E1225" s="3" t="s">
        <v>514</v>
      </c>
      <c r="F1225" s="2">
        <v>1</v>
      </c>
      <c r="G1225" s="4">
        <v>1.0387090330589124</v>
      </c>
      <c r="H1225" s="2">
        <v>50</v>
      </c>
      <c r="I1225" s="2">
        <v>5</v>
      </c>
      <c r="J1225" s="2">
        <v>16</v>
      </c>
      <c r="K1225" s="4">
        <v>0.94513651315338254</v>
      </c>
      <c r="L1225" s="14">
        <v>1.2036337235143862E-2</v>
      </c>
      <c r="M1225" s="4">
        <v>1.2036337235143862E-2</v>
      </c>
      <c r="N1225" s="10">
        <v>1.2E-2</v>
      </c>
      <c r="O1225" s="4">
        <v>6.4682323899771549E-2</v>
      </c>
      <c r="P1225" s="4">
        <v>0.06</v>
      </c>
      <c r="Q1225" s="3" t="s">
        <v>1597</v>
      </c>
      <c r="R1225" s="3" t="s">
        <v>1613</v>
      </c>
      <c r="S1225" s="3" t="s">
        <v>1614</v>
      </c>
      <c r="T1225" s="3"/>
    </row>
    <row r="1226" spans="1:20">
      <c r="A1226" s="3" t="s">
        <v>1594</v>
      </c>
      <c r="B1226" s="3" t="s">
        <v>1595</v>
      </c>
      <c r="C1226" s="3" t="s">
        <v>1596</v>
      </c>
      <c r="D1226" s="3" t="s">
        <v>513</v>
      </c>
      <c r="E1226" s="3" t="s">
        <v>514</v>
      </c>
      <c r="F1226" s="2">
        <v>1</v>
      </c>
      <c r="G1226" s="4">
        <v>1.0387090330589124</v>
      </c>
      <c r="H1226" s="2">
        <v>50</v>
      </c>
      <c r="I1226" s="2">
        <v>5</v>
      </c>
      <c r="J1226" s="2">
        <v>16</v>
      </c>
      <c r="K1226" s="4">
        <v>1</v>
      </c>
      <c r="L1226" s="14">
        <v>-1.1621399487600343E-2</v>
      </c>
      <c r="M1226" s="4">
        <v>1.1621399487600343E-2</v>
      </c>
      <c r="N1226" s="10">
        <v>1.2E-2</v>
      </c>
      <c r="O1226" s="4">
        <v>6.245227689820769E-2</v>
      </c>
      <c r="P1226" s="4">
        <v>-0.06</v>
      </c>
      <c r="Q1226" s="3" t="s">
        <v>1617</v>
      </c>
      <c r="R1226" s="3" t="s">
        <v>1625</v>
      </c>
      <c r="S1226" s="3" t="s">
        <v>1626</v>
      </c>
      <c r="T1226" s="3"/>
    </row>
    <row r="1227" spans="1:20">
      <c r="A1227" s="3" t="s">
        <v>1600</v>
      </c>
      <c r="B1227" s="3" t="s">
        <v>1609</v>
      </c>
      <c r="C1227" s="3" t="s">
        <v>1596</v>
      </c>
      <c r="D1227" s="3" t="s">
        <v>513</v>
      </c>
      <c r="E1227" s="3" t="s">
        <v>514</v>
      </c>
      <c r="F1227" s="2">
        <v>1</v>
      </c>
      <c r="G1227" s="4">
        <v>1.0387090330589124</v>
      </c>
      <c r="H1227" s="2">
        <v>25</v>
      </c>
      <c r="I1227" s="2">
        <v>5</v>
      </c>
      <c r="J1227" s="2">
        <v>16</v>
      </c>
      <c r="K1227" s="4">
        <v>0.3044281520721257</v>
      </c>
      <c r="L1227" s="4">
        <v>-0.29867118956823679</v>
      </c>
      <c r="M1227" s="4">
        <v>0.29867118956823679</v>
      </c>
      <c r="N1227" s="10">
        <v>0.29899999999999999</v>
      </c>
      <c r="O1227" s="4">
        <v>1.5273419281315557</v>
      </c>
      <c r="P1227" s="4">
        <v>-1.53</v>
      </c>
      <c r="Q1227" s="3" t="s">
        <v>1617</v>
      </c>
      <c r="R1227" s="3" t="s">
        <v>1623</v>
      </c>
      <c r="S1227" s="3" t="s">
        <v>1624</v>
      </c>
      <c r="T1227" s="3"/>
    </row>
    <row r="1228" spans="1:20">
      <c r="A1228" s="3" t="s">
        <v>1600</v>
      </c>
      <c r="B1228" s="3" t="s">
        <v>1601</v>
      </c>
      <c r="C1228" s="3" t="s">
        <v>1596</v>
      </c>
      <c r="D1228" s="3" t="s">
        <v>513</v>
      </c>
      <c r="E1228" s="3" t="s">
        <v>514</v>
      </c>
      <c r="F1228" s="2">
        <v>1</v>
      </c>
      <c r="G1228" s="4">
        <v>1.0387090330589124</v>
      </c>
      <c r="H1228" s="2">
        <v>25</v>
      </c>
      <c r="I1228" s="2">
        <v>5</v>
      </c>
      <c r="J1228" s="2">
        <v>16</v>
      </c>
      <c r="K1228" s="4">
        <v>1</v>
      </c>
      <c r="L1228" s="4">
        <v>-0.34078153896826036</v>
      </c>
      <c r="M1228" s="4">
        <v>0.34078153896826036</v>
      </c>
      <c r="N1228" s="10">
        <v>0.34100000000000003</v>
      </c>
      <c r="O1228" s="4">
        <v>1.7599508371046737</v>
      </c>
      <c r="P1228" s="4">
        <v>-1.76</v>
      </c>
      <c r="Q1228" s="3" t="s">
        <v>1617</v>
      </c>
      <c r="R1228" s="3" t="s">
        <v>1618</v>
      </c>
      <c r="S1228" s="3" t="s">
        <v>1619</v>
      </c>
      <c r="T1228" s="3"/>
    </row>
    <row r="1229" spans="1:20">
      <c r="A1229" s="3" t="s">
        <v>1600</v>
      </c>
      <c r="B1229" s="3" t="s">
        <v>1609</v>
      </c>
      <c r="C1229" s="3" t="s">
        <v>1596</v>
      </c>
      <c r="D1229" s="3" t="s">
        <v>513</v>
      </c>
      <c r="E1229" s="3" t="s">
        <v>514</v>
      </c>
      <c r="F1229" s="2">
        <v>1</v>
      </c>
      <c r="G1229" s="4">
        <v>1.0387090330589124</v>
      </c>
      <c r="H1229" s="2">
        <v>25</v>
      </c>
      <c r="I1229" s="2">
        <v>5</v>
      </c>
      <c r="J1229" s="2">
        <v>1</v>
      </c>
      <c r="K1229" s="11">
        <v>0.17616206889324082</v>
      </c>
      <c r="L1229" s="11">
        <v>-0.35284334167025455</v>
      </c>
      <c r="M1229" s="4">
        <v>0.35284334167025455</v>
      </c>
      <c r="N1229" s="10">
        <v>0.35299999999999998</v>
      </c>
      <c r="O1229" s="4">
        <v>1.8279302488613804</v>
      </c>
      <c r="P1229" s="4">
        <v>-1.83</v>
      </c>
      <c r="Q1229" s="3" t="s">
        <v>1617</v>
      </c>
      <c r="R1229" s="3" t="s">
        <v>1623</v>
      </c>
      <c r="S1229" s="3" t="s">
        <v>1624</v>
      </c>
      <c r="T1229" s="3"/>
    </row>
    <row r="1230" spans="1:20">
      <c r="A1230" s="12" t="s">
        <v>1605</v>
      </c>
      <c r="B1230" s="3" t="s">
        <v>1601</v>
      </c>
      <c r="C1230" s="3" t="s">
        <v>1596</v>
      </c>
      <c r="D1230" s="3" t="s">
        <v>513</v>
      </c>
      <c r="E1230" s="3" t="s">
        <v>514</v>
      </c>
      <c r="F1230" s="2">
        <v>1</v>
      </c>
      <c r="G1230" s="4">
        <v>1.0387090330589124</v>
      </c>
      <c r="H1230" s="2">
        <v>25</v>
      </c>
      <c r="I1230" s="2">
        <v>5</v>
      </c>
      <c r="J1230" s="2">
        <v>16</v>
      </c>
      <c r="K1230" s="11">
        <v>1</v>
      </c>
      <c r="L1230" s="11">
        <v>-0.36707004835031731</v>
      </c>
      <c r="M1230" s="4">
        <v>0.36707004835031731</v>
      </c>
      <c r="N1230" s="10">
        <v>0.36699999999999999</v>
      </c>
      <c r="O1230" s="4">
        <v>1.9089674276037569</v>
      </c>
      <c r="P1230" s="4">
        <v>-1.91</v>
      </c>
      <c r="Q1230" s="3" t="s">
        <v>1617</v>
      </c>
      <c r="R1230" s="3" t="s">
        <v>1618</v>
      </c>
      <c r="S1230" s="3" t="s">
        <v>1619</v>
      </c>
      <c r="T1230" s="3"/>
    </row>
    <row r="1231" spans="1:20">
      <c r="A1231" s="3" t="s">
        <v>1600</v>
      </c>
      <c r="B1231" s="3" t="s">
        <v>1601</v>
      </c>
      <c r="C1231" s="3" t="s">
        <v>1596</v>
      </c>
      <c r="D1231" s="3" t="s">
        <v>513</v>
      </c>
      <c r="E1231" s="3" t="s">
        <v>514</v>
      </c>
      <c r="F1231" s="2">
        <v>1</v>
      </c>
      <c r="G1231" s="4">
        <v>1.0387090330589124</v>
      </c>
      <c r="H1231" s="2">
        <v>25</v>
      </c>
      <c r="I1231" s="2">
        <v>5</v>
      </c>
      <c r="J1231" s="2">
        <v>1</v>
      </c>
      <c r="K1231" s="4">
        <v>0.24253147813250697</v>
      </c>
      <c r="L1231" s="4">
        <v>-0.39514568610936301</v>
      </c>
      <c r="M1231" s="4">
        <v>0.39514568610936301</v>
      </c>
      <c r="N1231" s="10">
        <v>0.39500000000000002</v>
      </c>
      <c r="O1231" s="4">
        <v>2.0718385496363214</v>
      </c>
      <c r="P1231" s="4">
        <v>-2.0699999999999998</v>
      </c>
      <c r="Q1231" s="3" t="s">
        <v>1617</v>
      </c>
      <c r="R1231" s="3" t="s">
        <v>1618</v>
      </c>
      <c r="S1231" s="3" t="s">
        <v>1619</v>
      </c>
      <c r="T1231" s="3"/>
    </row>
    <row r="1232" spans="1:20">
      <c r="A1232" s="3" t="s">
        <v>1604</v>
      </c>
      <c r="B1232" s="3" t="s">
        <v>1601</v>
      </c>
      <c r="C1232" s="3" t="s">
        <v>1596</v>
      </c>
      <c r="D1232" s="3" t="s">
        <v>513</v>
      </c>
      <c r="E1232" s="3" t="s">
        <v>514</v>
      </c>
      <c r="F1232" s="2">
        <v>1</v>
      </c>
      <c r="G1232" s="4">
        <v>1.0387090330589124</v>
      </c>
      <c r="H1232" s="2">
        <v>25</v>
      </c>
      <c r="I1232" s="2">
        <v>30</v>
      </c>
      <c r="J1232" s="2">
        <v>16</v>
      </c>
      <c r="K1232" s="4">
        <v>1</v>
      </c>
      <c r="L1232" s="4">
        <v>-0.43456921487241912</v>
      </c>
      <c r="M1232" s="4">
        <v>0.43456921487241912</v>
      </c>
      <c r="N1232" s="10">
        <v>0.435</v>
      </c>
      <c r="O1232" s="4">
        <v>2.3079986786914675</v>
      </c>
      <c r="P1232" s="4">
        <v>-2.31</v>
      </c>
      <c r="Q1232" s="3" t="s">
        <v>1617</v>
      </c>
      <c r="R1232" s="3" t="s">
        <v>1618</v>
      </c>
      <c r="S1232" s="3" t="s">
        <v>1619</v>
      </c>
      <c r="T1232" s="3"/>
    </row>
    <row r="1233" spans="1:20">
      <c r="A1233" s="3" t="s">
        <v>1604</v>
      </c>
      <c r="B1233" s="3" t="s">
        <v>1601</v>
      </c>
      <c r="C1233" s="3" t="s">
        <v>1616</v>
      </c>
      <c r="D1233" s="3" t="s">
        <v>513</v>
      </c>
      <c r="E1233" s="3" t="s">
        <v>514</v>
      </c>
      <c r="F1233" s="2">
        <v>1</v>
      </c>
      <c r="G1233" s="4">
        <v>1.0387090330589124</v>
      </c>
      <c r="H1233" s="2">
        <v>25</v>
      </c>
      <c r="I1233" s="2">
        <v>30</v>
      </c>
      <c r="J1233" s="2">
        <v>16</v>
      </c>
      <c r="K1233" s="4">
        <v>1</v>
      </c>
      <c r="L1233" s="4">
        <v>-0.45188757162493104</v>
      </c>
      <c r="M1233" s="4">
        <v>0.45188757162493104</v>
      </c>
      <c r="N1233" s="10">
        <v>0.45200000000000001</v>
      </c>
      <c r="O1233" s="4">
        <v>2.414860409983425</v>
      </c>
      <c r="P1233" s="4">
        <v>-2.42</v>
      </c>
      <c r="Q1233" s="3" t="s">
        <v>1617</v>
      </c>
      <c r="R1233" s="3" t="s">
        <v>1618</v>
      </c>
      <c r="S1233" s="3" t="s">
        <v>1619</v>
      </c>
      <c r="T1233" s="3"/>
    </row>
    <row r="1234" spans="1:20">
      <c r="A1234" s="3" t="s">
        <v>1600</v>
      </c>
      <c r="B1234" s="3" t="s">
        <v>1601</v>
      </c>
      <c r="C1234" s="3" t="s">
        <v>1616</v>
      </c>
      <c r="D1234" s="3" t="s">
        <v>513</v>
      </c>
      <c r="E1234" s="3" t="s">
        <v>514</v>
      </c>
      <c r="F1234" s="2">
        <v>1</v>
      </c>
      <c r="G1234" s="4">
        <v>1.0387090330589124</v>
      </c>
      <c r="H1234" s="2">
        <v>25</v>
      </c>
      <c r="I1234" s="2">
        <v>5</v>
      </c>
      <c r="J1234" s="2">
        <v>1</v>
      </c>
      <c r="K1234" s="4">
        <v>0.92055094729955889</v>
      </c>
      <c r="L1234" s="4">
        <v>-0.45244336171238653</v>
      </c>
      <c r="M1234" s="4">
        <v>0.45244336171238653</v>
      </c>
      <c r="N1234" s="10">
        <v>0.45200000000000001</v>
      </c>
      <c r="O1234" s="4">
        <v>2.4183241577804351</v>
      </c>
      <c r="P1234" s="4">
        <v>-2.42</v>
      </c>
      <c r="Q1234" s="3" t="s">
        <v>1617</v>
      </c>
      <c r="R1234" s="3" t="s">
        <v>1618</v>
      </c>
      <c r="S1234" s="3" t="s">
        <v>1619</v>
      </c>
      <c r="T1234" s="3"/>
    </row>
    <row r="1235" spans="1:20">
      <c r="A1235" s="3" t="s">
        <v>1600</v>
      </c>
      <c r="B1235" s="3" t="s">
        <v>1601</v>
      </c>
      <c r="C1235" s="3" t="s">
        <v>1616</v>
      </c>
      <c r="D1235" s="3" t="s">
        <v>513</v>
      </c>
      <c r="E1235" s="3" t="s">
        <v>514</v>
      </c>
      <c r="F1235" s="2">
        <v>1</v>
      </c>
      <c r="G1235" s="4">
        <v>1.0387090330589124</v>
      </c>
      <c r="H1235" s="2">
        <v>25</v>
      </c>
      <c r="I1235" s="2">
        <v>5</v>
      </c>
      <c r="J1235" s="2">
        <v>16</v>
      </c>
      <c r="K1235" s="4">
        <v>0.99630289615180545</v>
      </c>
      <c r="L1235" s="4">
        <v>-0.45689852472840792</v>
      </c>
      <c r="M1235" s="4">
        <v>0.45689852472840792</v>
      </c>
      <c r="N1235" s="10">
        <v>0.45700000000000002</v>
      </c>
      <c r="O1235" s="4">
        <v>2.4461688866441227</v>
      </c>
      <c r="P1235" s="4">
        <v>-2.4500000000000002</v>
      </c>
      <c r="Q1235" s="3" t="s">
        <v>1617</v>
      </c>
      <c r="R1235" s="3" t="s">
        <v>1618</v>
      </c>
      <c r="S1235" s="3" t="s">
        <v>1619</v>
      </c>
      <c r="T1235" s="3"/>
    </row>
    <row r="1236" spans="1:20">
      <c r="A1236" s="3" t="s">
        <v>1600</v>
      </c>
      <c r="B1236" s="3" t="s">
        <v>1609</v>
      </c>
      <c r="C1236" s="3" t="s">
        <v>1616</v>
      </c>
      <c r="D1236" s="3" t="s">
        <v>513</v>
      </c>
      <c r="E1236" s="3" t="s">
        <v>514</v>
      </c>
      <c r="F1236" s="2">
        <v>1</v>
      </c>
      <c r="G1236" s="4">
        <v>1.0387090330589124</v>
      </c>
      <c r="H1236" s="2">
        <v>25</v>
      </c>
      <c r="I1236" s="2">
        <v>5</v>
      </c>
      <c r="J1236" s="2">
        <v>1</v>
      </c>
      <c r="K1236" s="4">
        <v>0.55446883695398275</v>
      </c>
      <c r="L1236" s="4">
        <v>-0.47406757659060017</v>
      </c>
      <c r="M1236" s="4">
        <v>0.47406757659060017</v>
      </c>
      <c r="N1236" s="10">
        <v>0.47399999999999998</v>
      </c>
      <c r="O1236" s="4">
        <v>2.554844892846281</v>
      </c>
      <c r="P1236" s="4">
        <v>-2.5499999999999998</v>
      </c>
      <c r="Q1236" s="3" t="s">
        <v>1617</v>
      </c>
      <c r="R1236" s="3" t="s">
        <v>1623</v>
      </c>
      <c r="S1236" s="3" t="s">
        <v>1624</v>
      </c>
      <c r="T1236" s="3"/>
    </row>
    <row r="1237" spans="1:20">
      <c r="A1237" s="3" t="s">
        <v>1600</v>
      </c>
      <c r="B1237" s="3" t="s">
        <v>1609</v>
      </c>
      <c r="C1237" s="3" t="s">
        <v>1616</v>
      </c>
      <c r="D1237" s="3" t="s">
        <v>513</v>
      </c>
      <c r="E1237" s="3" t="s">
        <v>514</v>
      </c>
      <c r="F1237" s="2">
        <v>1</v>
      </c>
      <c r="G1237" s="4">
        <v>1.0387090330589124</v>
      </c>
      <c r="H1237" s="2">
        <v>25</v>
      </c>
      <c r="I1237" s="2">
        <v>5</v>
      </c>
      <c r="J1237" s="2">
        <v>16</v>
      </c>
      <c r="K1237" s="11">
        <v>1</v>
      </c>
      <c r="L1237" s="11">
        <v>-0.50287298629789656</v>
      </c>
      <c r="M1237" s="4">
        <v>0.50287298629789656</v>
      </c>
      <c r="N1237" s="10">
        <v>0.503</v>
      </c>
      <c r="O1237" s="4">
        <v>2.7424535504925198</v>
      </c>
      <c r="P1237" s="4">
        <v>-2.74</v>
      </c>
      <c r="Q1237" s="3" t="s">
        <v>1617</v>
      </c>
      <c r="R1237" s="3" t="s">
        <v>1623</v>
      </c>
      <c r="S1237" s="3" t="s">
        <v>1624</v>
      </c>
      <c r="T1237" s="3"/>
    </row>
    <row r="1238" spans="1:20">
      <c r="A1238" s="3" t="s">
        <v>1600</v>
      </c>
      <c r="B1238" s="3" t="s">
        <v>1606</v>
      </c>
      <c r="C1238" s="3" t="s">
        <v>1616</v>
      </c>
      <c r="D1238" s="3" t="s">
        <v>513</v>
      </c>
      <c r="E1238" s="3" t="s">
        <v>514</v>
      </c>
      <c r="F1238" s="2">
        <v>1</v>
      </c>
      <c r="G1238" s="4">
        <v>1.0387090330589124</v>
      </c>
      <c r="H1238" s="2">
        <v>25</v>
      </c>
      <c r="I1238" s="2">
        <v>5</v>
      </c>
      <c r="J1238" s="2">
        <v>16</v>
      </c>
      <c r="K1238" s="11">
        <v>1</v>
      </c>
      <c r="L1238" s="11">
        <v>-0.84867983137341918</v>
      </c>
      <c r="M1238" s="4">
        <v>0.84867983137341918</v>
      </c>
      <c r="N1238" s="10">
        <v>0.84899999999999998</v>
      </c>
      <c r="O1238" s="4">
        <v>6.204433796770692</v>
      </c>
      <c r="P1238" s="4">
        <v>-6.21</v>
      </c>
      <c r="Q1238" s="3" t="s">
        <v>1617</v>
      </c>
      <c r="R1238" s="3" t="s">
        <v>1621</v>
      </c>
      <c r="S1238" s="3" t="s">
        <v>1622</v>
      </c>
      <c r="T1238" s="3"/>
    </row>
    <row r="1239" spans="1:20">
      <c r="A1239" s="3" t="s">
        <v>1600</v>
      </c>
      <c r="B1239" s="3" t="s">
        <v>1606</v>
      </c>
      <c r="C1239" s="3" t="s">
        <v>1596</v>
      </c>
      <c r="D1239" s="3" t="s">
        <v>513</v>
      </c>
      <c r="E1239" s="3" t="s">
        <v>514</v>
      </c>
      <c r="F1239" s="2">
        <v>1</v>
      </c>
      <c r="G1239" s="4">
        <v>1.0387090330589124</v>
      </c>
      <c r="H1239" s="2">
        <v>25</v>
      </c>
      <c r="I1239" s="2">
        <v>5</v>
      </c>
      <c r="J1239" s="2">
        <v>16</v>
      </c>
      <c r="K1239" s="11">
        <v>1</v>
      </c>
      <c r="L1239" s="11">
        <v>-0.86075804091469887</v>
      </c>
      <c r="M1239" s="4">
        <v>0.86075804091469887</v>
      </c>
      <c r="N1239" s="10">
        <v>0.86099999999999999</v>
      </c>
      <c r="O1239" s="4">
        <v>6.4267896944365175</v>
      </c>
      <c r="P1239" s="4">
        <v>-6.43</v>
      </c>
      <c r="Q1239" s="3" t="s">
        <v>1617</v>
      </c>
      <c r="R1239" s="3" t="s">
        <v>1621</v>
      </c>
      <c r="S1239" s="3" t="s">
        <v>1622</v>
      </c>
      <c r="T1239" s="3"/>
    </row>
    <row r="1240" spans="1:20">
      <c r="A1240" s="3" t="s">
        <v>1600</v>
      </c>
      <c r="B1240" s="3" t="s">
        <v>1606</v>
      </c>
      <c r="C1240" s="3" t="s">
        <v>1616</v>
      </c>
      <c r="D1240" s="3" t="s">
        <v>513</v>
      </c>
      <c r="E1240" s="3" t="s">
        <v>514</v>
      </c>
      <c r="F1240" s="2">
        <v>1</v>
      </c>
      <c r="G1240" s="4">
        <v>1.0387090330589124</v>
      </c>
      <c r="H1240" s="2">
        <v>25</v>
      </c>
      <c r="I1240" s="2">
        <v>5</v>
      </c>
      <c r="J1240" s="2">
        <v>1</v>
      </c>
      <c r="K1240" s="4">
        <v>1</v>
      </c>
      <c r="L1240" s="4">
        <v>-0.87305944211745834</v>
      </c>
      <c r="M1240" s="4">
        <v>0.87305944211745834</v>
      </c>
      <c r="N1240" s="10">
        <v>0.873</v>
      </c>
      <c r="O1240" s="4">
        <v>6.6724143136629444</v>
      </c>
      <c r="P1240" s="4">
        <v>-6.67</v>
      </c>
      <c r="Q1240" s="3" t="s">
        <v>1617</v>
      </c>
      <c r="R1240" s="3" t="s">
        <v>1621</v>
      </c>
      <c r="S1240" s="3" t="s">
        <v>1622</v>
      </c>
      <c r="T1240" s="3"/>
    </row>
    <row r="1241" spans="1:20">
      <c r="A1241" s="3" t="s">
        <v>1600</v>
      </c>
      <c r="B1241" s="3" t="s">
        <v>1606</v>
      </c>
      <c r="C1241" s="3" t="s">
        <v>1596</v>
      </c>
      <c r="D1241" s="3" t="s">
        <v>513</v>
      </c>
      <c r="E1241" s="3" t="s">
        <v>514</v>
      </c>
      <c r="F1241" s="2">
        <v>1</v>
      </c>
      <c r="G1241" s="4">
        <v>1.0387090330589124</v>
      </c>
      <c r="H1241" s="2">
        <v>25</v>
      </c>
      <c r="I1241" s="2">
        <v>5</v>
      </c>
      <c r="J1241" s="2">
        <v>1</v>
      </c>
      <c r="K1241" s="11">
        <v>1</v>
      </c>
      <c r="L1241" s="11">
        <v>-0.87621656802942471</v>
      </c>
      <c r="M1241" s="4">
        <v>0.87621656802942471</v>
      </c>
      <c r="N1241" s="10">
        <v>0.876</v>
      </c>
      <c r="O1241" s="4">
        <v>6.7390230294797453</v>
      </c>
      <c r="P1241" s="4">
        <v>-6.73</v>
      </c>
      <c r="Q1241" s="3" t="s">
        <v>1617</v>
      </c>
      <c r="R1241" s="3" t="s">
        <v>1621</v>
      </c>
      <c r="S1241" s="3" t="s">
        <v>1622</v>
      </c>
      <c r="T1241" s="3"/>
    </row>
    <row r="1242" spans="1:20">
      <c r="A1242" s="3" t="s">
        <v>1600</v>
      </c>
      <c r="B1242" s="3" t="s">
        <v>1601</v>
      </c>
      <c r="C1242" s="3" t="s">
        <v>1596</v>
      </c>
      <c r="D1242" s="3" t="s">
        <v>200</v>
      </c>
      <c r="E1242" s="3" t="s">
        <v>201</v>
      </c>
      <c r="F1242" s="2">
        <v>1</v>
      </c>
      <c r="G1242" s="4">
        <v>1.0388475818780922</v>
      </c>
      <c r="H1242" s="2">
        <v>25</v>
      </c>
      <c r="I1242" s="2">
        <v>5</v>
      </c>
      <c r="J1242" s="2">
        <v>16</v>
      </c>
      <c r="K1242" s="4">
        <v>1</v>
      </c>
      <c r="L1242" s="4">
        <v>0.9643043660861661</v>
      </c>
      <c r="M1242" s="4">
        <v>0.9643043660861661</v>
      </c>
      <c r="N1242" s="10">
        <v>0.96399999999999997</v>
      </c>
      <c r="O1242" s="4">
        <v>9.935369951982933</v>
      </c>
      <c r="P1242" s="4">
        <v>9.91</v>
      </c>
      <c r="Q1242" s="3" t="s">
        <v>1597</v>
      </c>
      <c r="R1242" s="3" t="s">
        <v>1602</v>
      </c>
      <c r="S1242" s="3" t="s">
        <v>1603</v>
      </c>
      <c r="T1242" s="3"/>
    </row>
    <row r="1243" spans="1:20">
      <c r="A1243" s="3" t="s">
        <v>1600</v>
      </c>
      <c r="B1243" s="3" t="s">
        <v>1601</v>
      </c>
      <c r="C1243" s="3" t="s">
        <v>1596</v>
      </c>
      <c r="D1243" s="3" t="s">
        <v>200</v>
      </c>
      <c r="E1243" s="3" t="s">
        <v>201</v>
      </c>
      <c r="F1243" s="2">
        <v>1</v>
      </c>
      <c r="G1243" s="4">
        <v>1.0388475818780922</v>
      </c>
      <c r="H1243" s="2">
        <v>25</v>
      </c>
      <c r="I1243" s="2">
        <v>5</v>
      </c>
      <c r="J1243" s="2">
        <v>1</v>
      </c>
      <c r="K1243" s="4">
        <v>1</v>
      </c>
      <c r="L1243" s="4">
        <v>0.96389739061964919</v>
      </c>
      <c r="M1243" s="4">
        <v>0.96389739061964919</v>
      </c>
      <c r="N1243" s="10">
        <v>0.96399999999999997</v>
      </c>
      <c r="O1243" s="4">
        <v>9.9067528183209692</v>
      </c>
      <c r="P1243" s="4">
        <v>9.91</v>
      </c>
      <c r="Q1243" s="3" t="s">
        <v>1597</v>
      </c>
      <c r="R1243" s="3" t="s">
        <v>1602</v>
      </c>
      <c r="S1243" s="3" t="s">
        <v>1603</v>
      </c>
      <c r="T1243" s="3"/>
    </row>
    <row r="1244" spans="1:20">
      <c r="A1244" s="12" t="s">
        <v>1605</v>
      </c>
      <c r="B1244" s="3" t="s">
        <v>1601</v>
      </c>
      <c r="C1244" s="3" t="s">
        <v>1596</v>
      </c>
      <c r="D1244" s="3" t="s">
        <v>200</v>
      </c>
      <c r="E1244" s="3" t="s">
        <v>201</v>
      </c>
      <c r="F1244" s="2">
        <v>1</v>
      </c>
      <c r="G1244" s="4">
        <v>1.0388475818780922</v>
      </c>
      <c r="H1244" s="2">
        <v>25</v>
      </c>
      <c r="I1244" s="2">
        <v>5</v>
      </c>
      <c r="J1244" s="2">
        <v>16</v>
      </c>
      <c r="K1244" s="11">
        <v>1</v>
      </c>
      <c r="L1244" s="11">
        <v>0.96311465341930758</v>
      </c>
      <c r="M1244" s="4">
        <v>0.96311465341930758</v>
      </c>
      <c r="N1244" s="10">
        <v>0.96299999999999997</v>
      </c>
      <c r="O1244" s="4">
        <v>9.8525926725446009</v>
      </c>
      <c r="P1244" s="4">
        <v>9.84</v>
      </c>
      <c r="Q1244" s="3" t="s">
        <v>1597</v>
      </c>
      <c r="R1244" s="3" t="s">
        <v>1602</v>
      </c>
      <c r="S1244" s="3" t="s">
        <v>1603</v>
      </c>
      <c r="T1244" s="3"/>
    </row>
    <row r="1245" spans="1:20">
      <c r="A1245" s="3" t="s">
        <v>1600</v>
      </c>
      <c r="B1245" s="3" t="s">
        <v>1601</v>
      </c>
      <c r="C1245" s="3" t="s">
        <v>1616</v>
      </c>
      <c r="D1245" s="3" t="s">
        <v>200</v>
      </c>
      <c r="E1245" s="3" t="s">
        <v>201</v>
      </c>
      <c r="F1245" s="2">
        <v>1</v>
      </c>
      <c r="G1245" s="4">
        <v>1.0388475818780922</v>
      </c>
      <c r="H1245" s="2">
        <v>25</v>
      </c>
      <c r="I1245" s="2">
        <v>5</v>
      </c>
      <c r="J1245" s="2">
        <v>1</v>
      </c>
      <c r="K1245" s="4">
        <v>1</v>
      </c>
      <c r="L1245" s="4">
        <v>0.95143227824596022</v>
      </c>
      <c r="M1245" s="4">
        <v>0.95143227824596022</v>
      </c>
      <c r="N1245" s="10">
        <v>0.95099999999999996</v>
      </c>
      <c r="O1245" s="4">
        <v>9.1557212413808386</v>
      </c>
      <c r="P1245" s="4">
        <v>9.1300000000000008</v>
      </c>
      <c r="Q1245" s="3" t="s">
        <v>1597</v>
      </c>
      <c r="R1245" s="3" t="s">
        <v>1602</v>
      </c>
      <c r="S1245" s="3" t="s">
        <v>1603</v>
      </c>
      <c r="T1245" s="3"/>
    </row>
    <row r="1246" spans="1:20">
      <c r="A1246" s="3" t="s">
        <v>1600</v>
      </c>
      <c r="B1246" s="3" t="s">
        <v>1609</v>
      </c>
      <c r="C1246" s="3" t="s">
        <v>1616</v>
      </c>
      <c r="D1246" s="3" t="s">
        <v>200</v>
      </c>
      <c r="E1246" s="3" t="s">
        <v>201</v>
      </c>
      <c r="F1246" s="2">
        <v>1</v>
      </c>
      <c r="G1246" s="4">
        <v>1.0388475818780922</v>
      </c>
      <c r="H1246" s="2">
        <v>25</v>
      </c>
      <c r="I1246" s="2">
        <v>5</v>
      </c>
      <c r="J1246" s="2">
        <v>1</v>
      </c>
      <c r="K1246" s="4">
        <v>0.97726602314858946</v>
      </c>
      <c r="L1246" s="4">
        <v>0.93624785629865115</v>
      </c>
      <c r="M1246" s="4">
        <v>0.93624785629865115</v>
      </c>
      <c r="N1246" s="10">
        <v>0.93600000000000005</v>
      </c>
      <c r="O1246" s="4">
        <v>8.4619689573288053</v>
      </c>
      <c r="P1246" s="4">
        <v>8.4499999999999993</v>
      </c>
      <c r="Q1246" s="3" t="s">
        <v>1597</v>
      </c>
      <c r="R1246" s="3" t="s">
        <v>1610</v>
      </c>
      <c r="S1246" s="3" t="s">
        <v>1611</v>
      </c>
      <c r="T1246" s="3"/>
    </row>
    <row r="1247" spans="1:20">
      <c r="A1247" s="3" t="s">
        <v>1600</v>
      </c>
      <c r="B1247" s="3" t="s">
        <v>1601</v>
      </c>
      <c r="C1247" s="3" t="s">
        <v>1616</v>
      </c>
      <c r="D1247" s="3" t="s">
        <v>200</v>
      </c>
      <c r="E1247" s="3" t="s">
        <v>201</v>
      </c>
      <c r="F1247" s="2">
        <v>1</v>
      </c>
      <c r="G1247" s="4">
        <v>1.0388475818780922</v>
      </c>
      <c r="H1247" s="2">
        <v>25</v>
      </c>
      <c r="I1247" s="2">
        <v>5</v>
      </c>
      <c r="J1247" s="2">
        <v>16</v>
      </c>
      <c r="K1247" s="4">
        <v>1</v>
      </c>
      <c r="L1247" s="4">
        <v>0.91922104032244811</v>
      </c>
      <c r="M1247" s="4">
        <v>0.91922104032244811</v>
      </c>
      <c r="N1247" s="10">
        <v>0.91900000000000004</v>
      </c>
      <c r="O1247" s="4">
        <v>7.8532674160997828</v>
      </c>
      <c r="P1247" s="4">
        <v>7.85</v>
      </c>
      <c r="Q1247" s="3" t="s">
        <v>1597</v>
      </c>
      <c r="R1247" s="3" t="s">
        <v>1602</v>
      </c>
      <c r="S1247" s="3" t="s">
        <v>1603</v>
      </c>
      <c r="T1247" s="3"/>
    </row>
    <row r="1248" spans="1:20">
      <c r="A1248" s="3" t="s">
        <v>1600</v>
      </c>
      <c r="B1248" s="3" t="s">
        <v>1609</v>
      </c>
      <c r="C1248" s="3" t="s">
        <v>1616</v>
      </c>
      <c r="D1248" s="3" t="s">
        <v>200</v>
      </c>
      <c r="E1248" s="3" t="s">
        <v>201</v>
      </c>
      <c r="F1248" s="2">
        <v>1</v>
      </c>
      <c r="G1248" s="4">
        <v>1.0388475818780922</v>
      </c>
      <c r="H1248" s="2">
        <v>25</v>
      </c>
      <c r="I1248" s="2">
        <v>5</v>
      </c>
      <c r="J1248" s="2">
        <v>16</v>
      </c>
      <c r="K1248" s="11">
        <v>1</v>
      </c>
      <c r="L1248" s="11">
        <v>0.90705075269306523</v>
      </c>
      <c r="M1248" s="4">
        <v>0.90705075269306523</v>
      </c>
      <c r="N1248" s="10">
        <v>0.90700000000000003</v>
      </c>
      <c r="O1248" s="4">
        <v>7.4896064038327657</v>
      </c>
      <c r="P1248" s="4">
        <v>7.49</v>
      </c>
      <c r="Q1248" s="3" t="s">
        <v>1597</v>
      </c>
      <c r="R1248" s="3" t="s">
        <v>1610</v>
      </c>
      <c r="S1248" s="3" t="s">
        <v>1611</v>
      </c>
      <c r="T1248" s="3"/>
    </row>
    <row r="1249" spans="1:20">
      <c r="A1249" s="3" t="s">
        <v>1604</v>
      </c>
      <c r="B1249" s="3" t="s">
        <v>1601</v>
      </c>
      <c r="C1249" s="3" t="s">
        <v>1616</v>
      </c>
      <c r="D1249" s="3" t="s">
        <v>200</v>
      </c>
      <c r="E1249" s="3" t="s">
        <v>201</v>
      </c>
      <c r="F1249" s="2">
        <v>1</v>
      </c>
      <c r="G1249" s="4">
        <v>1.0388475818780922</v>
      </c>
      <c r="H1249" s="2">
        <v>25</v>
      </c>
      <c r="I1249" s="2">
        <v>30</v>
      </c>
      <c r="J1249" s="2">
        <v>16</v>
      </c>
      <c r="K1249" s="4">
        <v>1</v>
      </c>
      <c r="L1249" s="4">
        <v>0.89212601021941695</v>
      </c>
      <c r="M1249" s="4">
        <v>0.89212601021941695</v>
      </c>
      <c r="N1249" s="10">
        <v>0.89200000000000002</v>
      </c>
      <c r="O1249" s="4">
        <v>7.1009859045539088</v>
      </c>
      <c r="P1249" s="4">
        <v>7.1</v>
      </c>
      <c r="Q1249" s="3" t="s">
        <v>1597</v>
      </c>
      <c r="R1249" s="3" t="s">
        <v>1602</v>
      </c>
      <c r="S1249" s="3" t="s">
        <v>1603</v>
      </c>
      <c r="T1249" s="3"/>
    </row>
    <row r="1250" spans="1:20">
      <c r="A1250" s="3" t="s">
        <v>1600</v>
      </c>
      <c r="B1250" s="3" t="s">
        <v>1609</v>
      </c>
      <c r="C1250" s="3" t="s">
        <v>1596</v>
      </c>
      <c r="D1250" s="3" t="s">
        <v>200</v>
      </c>
      <c r="E1250" s="3" t="s">
        <v>201</v>
      </c>
      <c r="F1250" s="2">
        <v>1</v>
      </c>
      <c r="G1250" s="4">
        <v>1.0388475818780922</v>
      </c>
      <c r="H1250" s="2">
        <v>25</v>
      </c>
      <c r="I1250" s="2">
        <v>5</v>
      </c>
      <c r="J1250" s="2">
        <v>16</v>
      </c>
      <c r="K1250" s="4">
        <v>0.96490937040917524</v>
      </c>
      <c r="L1250" s="4">
        <v>0.87697594711230198</v>
      </c>
      <c r="M1250" s="4">
        <v>0.87697594711230198</v>
      </c>
      <c r="N1250" s="10">
        <v>0.877</v>
      </c>
      <c r="O1250" s="4">
        <v>6.7552808261258246</v>
      </c>
      <c r="P1250" s="4">
        <v>6.76</v>
      </c>
      <c r="Q1250" s="3" t="s">
        <v>1597</v>
      </c>
      <c r="R1250" s="3" t="s">
        <v>1610</v>
      </c>
      <c r="S1250" s="3" t="s">
        <v>1611</v>
      </c>
      <c r="T1250" s="3"/>
    </row>
    <row r="1251" spans="1:20">
      <c r="A1251" s="3" t="s">
        <v>1600</v>
      </c>
      <c r="B1251" s="3" t="s">
        <v>1609</v>
      </c>
      <c r="C1251" s="3" t="s">
        <v>1596</v>
      </c>
      <c r="D1251" s="3" t="s">
        <v>200</v>
      </c>
      <c r="E1251" s="3" t="s">
        <v>201</v>
      </c>
      <c r="F1251" s="2">
        <v>1</v>
      </c>
      <c r="G1251" s="4">
        <v>1.0388475818780922</v>
      </c>
      <c r="H1251" s="2">
        <v>25</v>
      </c>
      <c r="I1251" s="2">
        <v>5</v>
      </c>
      <c r="J1251" s="2">
        <v>1</v>
      </c>
      <c r="K1251" s="11">
        <v>0.75138033747873256</v>
      </c>
      <c r="L1251" s="11">
        <v>0.87318477352802304</v>
      </c>
      <c r="M1251" s="4">
        <v>0.87318477352802304</v>
      </c>
      <c r="N1251" s="10">
        <v>0.873</v>
      </c>
      <c r="O1251" s="4">
        <v>6.6750289353721133</v>
      </c>
      <c r="P1251" s="4">
        <v>6.67</v>
      </c>
      <c r="Q1251" s="3" t="s">
        <v>1597</v>
      </c>
      <c r="R1251" s="3" t="s">
        <v>1610</v>
      </c>
      <c r="S1251" s="3" t="s">
        <v>1611</v>
      </c>
      <c r="T1251" s="3"/>
    </row>
    <row r="1252" spans="1:20">
      <c r="A1252" s="3" t="s">
        <v>1604</v>
      </c>
      <c r="B1252" s="3" t="s">
        <v>1601</v>
      </c>
      <c r="C1252" s="3" t="s">
        <v>1596</v>
      </c>
      <c r="D1252" s="3" t="s">
        <v>200</v>
      </c>
      <c r="E1252" s="3" t="s">
        <v>201</v>
      </c>
      <c r="F1252" s="2">
        <v>1</v>
      </c>
      <c r="G1252" s="4">
        <v>1.0388475818780922</v>
      </c>
      <c r="H1252" s="2">
        <v>25</v>
      </c>
      <c r="I1252" s="2">
        <v>30</v>
      </c>
      <c r="J1252" s="2">
        <v>16</v>
      </c>
      <c r="K1252" s="4">
        <v>1</v>
      </c>
      <c r="L1252" s="4">
        <v>0.86982066206705411</v>
      </c>
      <c r="M1252" s="4">
        <v>0.86982066206705411</v>
      </c>
      <c r="N1252" s="10">
        <v>0.87</v>
      </c>
      <c r="O1252" s="4">
        <v>6.6056687666765503</v>
      </c>
      <c r="P1252" s="4">
        <v>6.61</v>
      </c>
      <c r="Q1252" s="3" t="s">
        <v>1597</v>
      </c>
      <c r="R1252" s="3" t="s">
        <v>1602</v>
      </c>
      <c r="S1252" s="3" t="s">
        <v>1603</v>
      </c>
      <c r="T1252" s="3"/>
    </row>
    <row r="1253" spans="1:20">
      <c r="A1253" s="3" t="s">
        <v>1600</v>
      </c>
      <c r="B1253" s="3" t="s">
        <v>1606</v>
      </c>
      <c r="C1253" s="3" t="s">
        <v>1596</v>
      </c>
      <c r="D1253" s="3" t="s">
        <v>200</v>
      </c>
      <c r="E1253" s="3" t="s">
        <v>201</v>
      </c>
      <c r="F1253" s="2">
        <v>1</v>
      </c>
      <c r="G1253" s="4">
        <v>1.0388475818780922</v>
      </c>
      <c r="H1253" s="2">
        <v>25</v>
      </c>
      <c r="I1253" s="2">
        <v>5</v>
      </c>
      <c r="J1253" s="2">
        <v>16</v>
      </c>
      <c r="K1253" s="11">
        <v>1</v>
      </c>
      <c r="L1253" s="11">
        <v>0.82121573301549466</v>
      </c>
      <c r="M1253" s="4">
        <v>0.82121573301549466</v>
      </c>
      <c r="N1253" s="10">
        <v>0.82099999999999995</v>
      </c>
      <c r="O1253" s="4">
        <v>5.7538826475266145</v>
      </c>
      <c r="P1253" s="4">
        <v>5.75</v>
      </c>
      <c r="Q1253" s="3" t="s">
        <v>1597</v>
      </c>
      <c r="R1253" s="3" t="s">
        <v>1607</v>
      </c>
      <c r="S1253" s="3" t="s">
        <v>1608</v>
      </c>
      <c r="T1253" s="3"/>
    </row>
    <row r="1254" spans="1:20">
      <c r="A1254" s="3" t="s">
        <v>1600</v>
      </c>
      <c r="B1254" s="3" t="s">
        <v>1606</v>
      </c>
      <c r="C1254" s="3" t="s">
        <v>1596</v>
      </c>
      <c r="D1254" s="3" t="s">
        <v>200</v>
      </c>
      <c r="E1254" s="3" t="s">
        <v>201</v>
      </c>
      <c r="F1254" s="2">
        <v>1</v>
      </c>
      <c r="G1254" s="4">
        <v>1.0388475818780922</v>
      </c>
      <c r="H1254" s="2">
        <v>25</v>
      </c>
      <c r="I1254" s="2">
        <v>5</v>
      </c>
      <c r="J1254" s="2">
        <v>1</v>
      </c>
      <c r="K1254" s="11">
        <v>1</v>
      </c>
      <c r="L1254" s="11">
        <v>0.78322075437862393</v>
      </c>
      <c r="M1254" s="4">
        <v>0.78322075437862393</v>
      </c>
      <c r="N1254" s="10">
        <v>0.78300000000000003</v>
      </c>
      <c r="O1254" s="4">
        <v>5.2239219166352209</v>
      </c>
      <c r="P1254" s="4">
        <v>5.22</v>
      </c>
      <c r="Q1254" s="3" t="s">
        <v>1597</v>
      </c>
      <c r="R1254" s="3" t="s">
        <v>1607</v>
      </c>
      <c r="S1254" s="3" t="s">
        <v>1608</v>
      </c>
      <c r="T1254" s="3"/>
    </row>
    <row r="1255" spans="1:20">
      <c r="A1255" s="3" t="s">
        <v>1600</v>
      </c>
      <c r="B1255" s="3" t="s">
        <v>1606</v>
      </c>
      <c r="C1255" s="3" t="s">
        <v>1616</v>
      </c>
      <c r="D1255" s="3" t="s">
        <v>200</v>
      </c>
      <c r="E1255" s="3" t="s">
        <v>201</v>
      </c>
      <c r="F1255" s="2">
        <v>1</v>
      </c>
      <c r="G1255" s="4">
        <v>1.0388475818780922</v>
      </c>
      <c r="H1255" s="2">
        <v>25</v>
      </c>
      <c r="I1255" s="2">
        <v>5</v>
      </c>
      <c r="J1255" s="2">
        <v>1</v>
      </c>
      <c r="K1255" s="4">
        <v>1</v>
      </c>
      <c r="L1255" s="4">
        <v>0.72903042365652548</v>
      </c>
      <c r="M1255" s="4">
        <v>0.72903042365652548</v>
      </c>
      <c r="N1255" s="10">
        <v>0.72899999999999998</v>
      </c>
      <c r="O1255" s="4">
        <v>4.5942953469281465</v>
      </c>
      <c r="P1255" s="4">
        <v>4.59</v>
      </c>
      <c r="Q1255" s="3" t="s">
        <v>1597</v>
      </c>
      <c r="R1255" s="3" t="s">
        <v>1607</v>
      </c>
      <c r="S1255" s="3" t="s">
        <v>1608</v>
      </c>
      <c r="T1255" s="3"/>
    </row>
    <row r="1256" spans="1:20">
      <c r="A1256" s="3" t="s">
        <v>1600</v>
      </c>
      <c r="B1256" s="3" t="s">
        <v>1606</v>
      </c>
      <c r="C1256" s="3" t="s">
        <v>1616</v>
      </c>
      <c r="D1256" s="3" t="s">
        <v>200</v>
      </c>
      <c r="E1256" s="3" t="s">
        <v>201</v>
      </c>
      <c r="F1256" s="2">
        <v>1</v>
      </c>
      <c r="G1256" s="4">
        <v>1.0388475818780922</v>
      </c>
      <c r="H1256" s="2">
        <v>25</v>
      </c>
      <c r="I1256" s="2">
        <v>5</v>
      </c>
      <c r="J1256" s="2">
        <v>16</v>
      </c>
      <c r="K1256" s="11">
        <v>1</v>
      </c>
      <c r="L1256" s="11">
        <v>0.72271028400258275</v>
      </c>
      <c r="M1256" s="4">
        <v>0.72271028400258275</v>
      </c>
      <c r="N1256" s="10">
        <v>0.72299999999999998</v>
      </c>
      <c r="O1256" s="4">
        <v>4.5280614793120355</v>
      </c>
      <c r="P1256" s="4">
        <v>4.53</v>
      </c>
      <c r="Q1256" s="3" t="s">
        <v>1597</v>
      </c>
      <c r="R1256" s="3" t="s">
        <v>1607</v>
      </c>
      <c r="S1256" s="3" t="s">
        <v>1608</v>
      </c>
      <c r="T1256" s="3"/>
    </row>
    <row r="1257" spans="1:20">
      <c r="A1257" s="3" t="s">
        <v>1594</v>
      </c>
      <c r="B1257" s="3" t="s">
        <v>1595</v>
      </c>
      <c r="C1257" s="3" t="s">
        <v>1596</v>
      </c>
      <c r="D1257" s="3" t="s">
        <v>200</v>
      </c>
      <c r="E1257" s="3" t="s">
        <v>201</v>
      </c>
      <c r="F1257" s="2">
        <v>1</v>
      </c>
      <c r="G1257" s="4">
        <v>1.0388475818780922</v>
      </c>
      <c r="H1257" s="2">
        <v>50</v>
      </c>
      <c r="I1257" s="2">
        <v>5</v>
      </c>
      <c r="J1257" s="2">
        <v>16</v>
      </c>
      <c r="K1257" s="4">
        <v>0.66861588835193464</v>
      </c>
      <c r="L1257" s="14">
        <v>0.46475267746756349</v>
      </c>
      <c r="M1257" s="4">
        <v>0.46475267746756349</v>
      </c>
      <c r="N1257" s="10">
        <v>0.46500000000000002</v>
      </c>
      <c r="O1257" s="4">
        <v>2.7048667276404106</v>
      </c>
      <c r="P1257" s="4">
        <v>2.71</v>
      </c>
      <c r="Q1257" s="3" t="s">
        <v>1597</v>
      </c>
      <c r="R1257" s="3" t="s">
        <v>1598</v>
      </c>
      <c r="S1257" s="3" t="s">
        <v>1599</v>
      </c>
      <c r="T1257" s="3"/>
    </row>
    <row r="1258" spans="1:20">
      <c r="A1258" s="3" t="s">
        <v>1594</v>
      </c>
      <c r="B1258" s="3" t="s">
        <v>1612</v>
      </c>
      <c r="C1258" s="3" t="s">
        <v>1596</v>
      </c>
      <c r="D1258" s="3" t="s">
        <v>200</v>
      </c>
      <c r="E1258" s="3" t="s">
        <v>201</v>
      </c>
      <c r="F1258" s="2">
        <v>1</v>
      </c>
      <c r="G1258" s="4">
        <v>1.0388475818780922</v>
      </c>
      <c r="H1258" s="2">
        <v>50</v>
      </c>
      <c r="I1258" s="2">
        <v>5</v>
      </c>
      <c r="J1258" s="2">
        <v>16</v>
      </c>
      <c r="K1258" s="4">
        <v>1</v>
      </c>
      <c r="L1258" s="14">
        <v>-0.79837116871943825</v>
      </c>
      <c r="M1258" s="4">
        <v>0.79837116871943825</v>
      </c>
      <c r="N1258" s="10">
        <v>0.79800000000000004</v>
      </c>
      <c r="O1258" s="4">
        <v>5.8793446185981226</v>
      </c>
      <c r="P1258" s="4">
        <v>-5.87</v>
      </c>
      <c r="Q1258" s="3" t="s">
        <v>1617</v>
      </c>
      <c r="R1258" s="3" t="s">
        <v>1627</v>
      </c>
      <c r="S1258" s="3" t="s">
        <v>1628</v>
      </c>
      <c r="T1258" s="3"/>
    </row>
    <row r="1259" spans="1:20">
      <c r="A1259" s="3" t="s">
        <v>1594</v>
      </c>
      <c r="B1259" s="3" t="s">
        <v>1612</v>
      </c>
      <c r="C1259" s="3" t="s">
        <v>1596</v>
      </c>
      <c r="D1259" s="3" t="s">
        <v>953</v>
      </c>
      <c r="E1259" s="3" t="s">
        <v>954</v>
      </c>
      <c r="F1259" s="2">
        <v>1</v>
      </c>
      <c r="G1259" s="4">
        <v>1.0395754548142613</v>
      </c>
      <c r="H1259" s="2">
        <v>50</v>
      </c>
      <c r="I1259" s="2">
        <v>5</v>
      </c>
      <c r="J1259" s="2">
        <v>16</v>
      </c>
      <c r="K1259" s="4">
        <v>1</v>
      </c>
      <c r="L1259" s="4">
        <v>0.22467882481519361</v>
      </c>
      <c r="M1259" s="4">
        <v>0.22467882481519361</v>
      </c>
      <c r="N1259" s="10">
        <v>0.22500000000000001</v>
      </c>
      <c r="O1259" s="4">
        <v>1.2283022194620545</v>
      </c>
      <c r="P1259" s="4">
        <v>1.23</v>
      </c>
      <c r="Q1259" s="3" t="s">
        <v>1597</v>
      </c>
      <c r="R1259" s="3" t="s">
        <v>1613</v>
      </c>
      <c r="S1259" s="3" t="s">
        <v>1614</v>
      </c>
      <c r="T1259" s="3"/>
    </row>
    <row r="1260" spans="1:20">
      <c r="A1260" s="3" t="s">
        <v>1600</v>
      </c>
      <c r="B1260" s="3" t="s">
        <v>1606</v>
      </c>
      <c r="C1260" s="3" t="s">
        <v>1616</v>
      </c>
      <c r="D1260" s="3" t="s">
        <v>953</v>
      </c>
      <c r="E1260" s="3" t="s">
        <v>954</v>
      </c>
      <c r="F1260" s="2">
        <v>1</v>
      </c>
      <c r="G1260" s="4">
        <v>1.0395754548142613</v>
      </c>
      <c r="H1260" s="2">
        <v>25</v>
      </c>
      <c r="I1260" s="2">
        <v>5</v>
      </c>
      <c r="J1260" s="2">
        <v>1</v>
      </c>
      <c r="K1260" s="4">
        <v>1</v>
      </c>
      <c r="L1260" s="4">
        <v>0.18023097011076594</v>
      </c>
      <c r="M1260" s="4">
        <v>0.18023097011076594</v>
      </c>
      <c r="N1260" s="10">
        <v>0.18</v>
      </c>
      <c r="O1260" s="4">
        <v>0.90344211761434967</v>
      </c>
      <c r="P1260" s="4">
        <v>0.9</v>
      </c>
      <c r="Q1260" s="3" t="s">
        <v>1597</v>
      </c>
      <c r="R1260" s="3" t="s">
        <v>1607</v>
      </c>
      <c r="S1260" s="3" t="s">
        <v>1608</v>
      </c>
      <c r="T1260" s="3"/>
    </row>
    <row r="1261" spans="1:20">
      <c r="A1261" s="3" t="s">
        <v>1600</v>
      </c>
      <c r="B1261" s="3" t="s">
        <v>1606</v>
      </c>
      <c r="C1261" s="3" t="s">
        <v>1616</v>
      </c>
      <c r="D1261" s="3" t="s">
        <v>953</v>
      </c>
      <c r="E1261" s="3" t="s">
        <v>954</v>
      </c>
      <c r="F1261" s="2">
        <v>1</v>
      </c>
      <c r="G1261" s="4">
        <v>1.0395754548142613</v>
      </c>
      <c r="H1261" s="2">
        <v>25</v>
      </c>
      <c r="I1261" s="2">
        <v>5</v>
      </c>
      <c r="J1261" s="2">
        <v>16</v>
      </c>
      <c r="K1261" s="4">
        <v>1</v>
      </c>
      <c r="L1261" s="4">
        <v>0.14090873634524806</v>
      </c>
      <c r="M1261" s="4">
        <v>0.14090873634524806</v>
      </c>
      <c r="N1261" s="10">
        <v>0.14099999999999999</v>
      </c>
      <c r="O1261" s="4">
        <v>0.70329616331800693</v>
      </c>
      <c r="P1261" s="4">
        <v>0.7</v>
      </c>
      <c r="Q1261" s="3" t="s">
        <v>1597</v>
      </c>
      <c r="R1261" s="3" t="s">
        <v>1607</v>
      </c>
      <c r="S1261" s="3" t="s">
        <v>1608</v>
      </c>
      <c r="T1261" s="3"/>
    </row>
    <row r="1262" spans="1:20">
      <c r="A1262" s="3" t="s">
        <v>1600</v>
      </c>
      <c r="B1262" s="3" t="s">
        <v>1606</v>
      </c>
      <c r="C1262" s="3" t="s">
        <v>1596</v>
      </c>
      <c r="D1262" s="3" t="s">
        <v>953</v>
      </c>
      <c r="E1262" s="3" t="s">
        <v>954</v>
      </c>
      <c r="F1262" s="2">
        <v>1</v>
      </c>
      <c r="G1262" s="4">
        <v>1.0395754548142613</v>
      </c>
      <c r="H1262" s="2">
        <v>25</v>
      </c>
      <c r="I1262" s="2">
        <v>5</v>
      </c>
      <c r="J1262" s="2">
        <v>1</v>
      </c>
      <c r="K1262" s="4">
        <v>0.99712372246327585</v>
      </c>
      <c r="L1262" s="4">
        <v>0.11532130643374532</v>
      </c>
      <c r="M1262" s="4">
        <v>0.11532130643374532</v>
      </c>
      <c r="N1262" s="10">
        <v>0.115</v>
      </c>
      <c r="O1262" s="4">
        <v>0.57431070948168284</v>
      </c>
      <c r="P1262" s="4">
        <v>0.56999999999999995</v>
      </c>
      <c r="Q1262" s="3" t="s">
        <v>1597</v>
      </c>
      <c r="R1262" s="3" t="s">
        <v>1607</v>
      </c>
      <c r="S1262" s="3" t="s">
        <v>1608</v>
      </c>
      <c r="T1262" s="3"/>
    </row>
    <row r="1263" spans="1:20">
      <c r="A1263" s="3" t="s">
        <v>1600</v>
      </c>
      <c r="B1263" s="3" t="s">
        <v>1606</v>
      </c>
      <c r="C1263" s="3" t="s">
        <v>1596</v>
      </c>
      <c r="D1263" s="3" t="s">
        <v>953</v>
      </c>
      <c r="E1263" s="3" t="s">
        <v>954</v>
      </c>
      <c r="F1263" s="2">
        <v>1</v>
      </c>
      <c r="G1263" s="4">
        <v>1.0395754548142613</v>
      </c>
      <c r="H1263" s="2">
        <v>25</v>
      </c>
      <c r="I1263" s="2">
        <v>5</v>
      </c>
      <c r="J1263" s="2">
        <v>16</v>
      </c>
      <c r="K1263" s="4">
        <v>1</v>
      </c>
      <c r="L1263" s="4">
        <v>0.11303802618677589</v>
      </c>
      <c r="M1263" s="4">
        <v>0.11303802618677589</v>
      </c>
      <c r="N1263" s="10">
        <v>0.113</v>
      </c>
      <c r="O1263" s="4">
        <v>0.56284081310619083</v>
      </c>
      <c r="P1263" s="4">
        <v>0.56000000000000005</v>
      </c>
      <c r="Q1263" s="3" t="s">
        <v>1597</v>
      </c>
      <c r="R1263" s="3" t="s">
        <v>1607</v>
      </c>
      <c r="S1263" s="3" t="s">
        <v>1608</v>
      </c>
      <c r="T1263" s="3"/>
    </row>
    <row r="1264" spans="1:20">
      <c r="A1264" s="3" t="s">
        <v>1605</v>
      </c>
      <c r="B1264" s="3" t="s">
        <v>1601</v>
      </c>
      <c r="C1264" s="3" t="s">
        <v>1596</v>
      </c>
      <c r="D1264" s="3" t="s">
        <v>953</v>
      </c>
      <c r="E1264" s="3" t="s">
        <v>954</v>
      </c>
      <c r="F1264" s="2">
        <v>1</v>
      </c>
      <c r="G1264" s="4">
        <v>1.0395754548142613</v>
      </c>
      <c r="H1264" s="2">
        <v>25</v>
      </c>
      <c r="I1264" s="2">
        <v>5</v>
      </c>
      <c r="J1264" s="2">
        <v>16</v>
      </c>
      <c r="K1264" s="4">
        <v>1</v>
      </c>
      <c r="L1264" s="4">
        <v>-2.2283028056826207E-2</v>
      </c>
      <c r="M1264" s="4">
        <v>2.2283028056826207E-2</v>
      </c>
      <c r="N1264" s="10">
        <v>2.1999999999999999E-2</v>
      </c>
      <c r="O1264" s="4">
        <v>0.11049612554991319</v>
      </c>
      <c r="P1264" s="4">
        <v>-0.11</v>
      </c>
      <c r="Q1264" s="3" t="s">
        <v>1617</v>
      </c>
      <c r="R1264" s="3" t="s">
        <v>1618</v>
      </c>
      <c r="S1264" s="3" t="s">
        <v>1619</v>
      </c>
      <c r="T1264" s="3"/>
    </row>
    <row r="1265" spans="1:20">
      <c r="A1265" s="3" t="s">
        <v>1600</v>
      </c>
      <c r="B1265" s="3" t="s">
        <v>1601</v>
      </c>
      <c r="C1265" s="3" t="s">
        <v>1596</v>
      </c>
      <c r="D1265" s="3" t="s">
        <v>953</v>
      </c>
      <c r="E1265" s="3" t="s">
        <v>954</v>
      </c>
      <c r="F1265" s="2">
        <v>1</v>
      </c>
      <c r="G1265" s="4">
        <v>1.0395754548142613</v>
      </c>
      <c r="H1265" s="2">
        <v>25</v>
      </c>
      <c r="I1265" s="2">
        <v>5</v>
      </c>
      <c r="J1265" s="2">
        <v>1</v>
      </c>
      <c r="K1265" s="4">
        <v>0.26460626729093129</v>
      </c>
      <c r="L1265" s="4">
        <v>-2.411334568584142E-2</v>
      </c>
      <c r="M1265" s="4">
        <v>2.411334568584142E-2</v>
      </c>
      <c r="N1265" s="10">
        <v>2.4E-2</v>
      </c>
      <c r="O1265" s="4">
        <v>0.11957561257432664</v>
      </c>
      <c r="P1265" s="4">
        <v>-0.12</v>
      </c>
      <c r="Q1265" s="3" t="s">
        <v>1617</v>
      </c>
      <c r="R1265" s="3" t="s">
        <v>1618</v>
      </c>
      <c r="S1265" s="3" t="s">
        <v>1619</v>
      </c>
      <c r="T1265" s="3"/>
    </row>
    <row r="1266" spans="1:20">
      <c r="A1266" s="3" t="s">
        <v>1600</v>
      </c>
      <c r="B1266" s="3" t="s">
        <v>1601</v>
      </c>
      <c r="C1266" s="3" t="s">
        <v>1596</v>
      </c>
      <c r="D1266" s="3" t="s">
        <v>953</v>
      </c>
      <c r="E1266" s="3" t="s">
        <v>954</v>
      </c>
      <c r="F1266" s="2">
        <v>1</v>
      </c>
      <c r="G1266" s="4">
        <v>1.0395754548142613</v>
      </c>
      <c r="H1266" s="2">
        <v>25</v>
      </c>
      <c r="I1266" s="2">
        <v>5</v>
      </c>
      <c r="J1266" s="2">
        <v>16</v>
      </c>
      <c r="K1266" s="4">
        <v>1</v>
      </c>
      <c r="L1266" s="4">
        <v>-2.6092742523236803E-2</v>
      </c>
      <c r="M1266" s="4">
        <v>2.6092742523236803E-2</v>
      </c>
      <c r="N1266" s="10">
        <v>2.5999999999999999E-2</v>
      </c>
      <c r="O1266" s="4">
        <v>0.12939552746511662</v>
      </c>
      <c r="P1266" s="4">
        <v>-0.13</v>
      </c>
      <c r="Q1266" s="3" t="s">
        <v>1617</v>
      </c>
      <c r="R1266" s="3" t="s">
        <v>1618</v>
      </c>
      <c r="S1266" s="3" t="s">
        <v>1619</v>
      </c>
      <c r="T1266" s="3"/>
    </row>
    <row r="1267" spans="1:20">
      <c r="A1267" s="3" t="s">
        <v>1604</v>
      </c>
      <c r="B1267" s="3" t="s">
        <v>1601</v>
      </c>
      <c r="C1267" s="3" t="s">
        <v>1596</v>
      </c>
      <c r="D1267" s="3" t="s">
        <v>953</v>
      </c>
      <c r="E1267" s="3" t="s">
        <v>954</v>
      </c>
      <c r="F1267" s="2">
        <v>1</v>
      </c>
      <c r="G1267" s="4">
        <v>1.0395754548142613</v>
      </c>
      <c r="H1267" s="2">
        <v>25</v>
      </c>
      <c r="I1267" s="2">
        <v>30</v>
      </c>
      <c r="J1267" s="2">
        <v>16</v>
      </c>
      <c r="K1267" s="4">
        <v>1</v>
      </c>
      <c r="L1267" s="4">
        <v>-2.9090476760677834E-2</v>
      </c>
      <c r="M1267" s="4">
        <v>2.9090476760677834E-2</v>
      </c>
      <c r="N1267" s="10">
        <v>2.9000000000000001E-2</v>
      </c>
      <c r="O1267" s="4">
        <v>0.1442694376431512</v>
      </c>
      <c r="P1267" s="4">
        <v>-0.14000000000000001</v>
      </c>
      <c r="Q1267" s="3" t="s">
        <v>1617</v>
      </c>
      <c r="R1267" s="3" t="s">
        <v>1618</v>
      </c>
      <c r="S1267" s="3" t="s">
        <v>1619</v>
      </c>
      <c r="T1267" s="3"/>
    </row>
    <row r="1268" spans="1:20">
      <c r="A1268" s="3" t="s">
        <v>1600</v>
      </c>
      <c r="B1268" s="3" t="s">
        <v>1609</v>
      </c>
      <c r="C1268" s="3" t="s">
        <v>1596</v>
      </c>
      <c r="D1268" s="3" t="s">
        <v>953</v>
      </c>
      <c r="E1268" s="3" t="s">
        <v>954</v>
      </c>
      <c r="F1268" s="2">
        <v>1</v>
      </c>
      <c r="G1268" s="4">
        <v>1.0395754548142613</v>
      </c>
      <c r="H1268" s="2">
        <v>25</v>
      </c>
      <c r="I1268" s="2">
        <v>5</v>
      </c>
      <c r="J1268" s="2">
        <v>1</v>
      </c>
      <c r="K1268" s="4">
        <v>1</v>
      </c>
      <c r="L1268" s="4">
        <v>-6.8411211499111321E-2</v>
      </c>
      <c r="M1268" s="4">
        <v>6.8411211499111321E-2</v>
      </c>
      <c r="N1268" s="10">
        <v>6.8000000000000005E-2</v>
      </c>
      <c r="O1268" s="4">
        <v>0.33970905201398005</v>
      </c>
      <c r="P1268" s="4">
        <v>-0.34</v>
      </c>
      <c r="Q1268" s="3" t="s">
        <v>1617</v>
      </c>
      <c r="R1268" s="3" t="s">
        <v>1623</v>
      </c>
      <c r="S1268" s="3" t="s">
        <v>1624</v>
      </c>
      <c r="T1268" s="3"/>
    </row>
    <row r="1269" spans="1:20">
      <c r="A1269" s="3" t="s">
        <v>1600</v>
      </c>
      <c r="B1269" s="3" t="s">
        <v>1609</v>
      </c>
      <c r="C1269" s="3" t="s">
        <v>1596</v>
      </c>
      <c r="D1269" s="3" t="s">
        <v>953</v>
      </c>
      <c r="E1269" s="3" t="s">
        <v>954</v>
      </c>
      <c r="F1269" s="2">
        <v>1</v>
      </c>
      <c r="G1269" s="4">
        <v>1.0395754548142613</v>
      </c>
      <c r="H1269" s="2">
        <v>25</v>
      </c>
      <c r="I1269" s="2">
        <v>5</v>
      </c>
      <c r="J1269" s="2">
        <v>16</v>
      </c>
      <c r="K1269" s="4">
        <v>1</v>
      </c>
      <c r="L1269" s="4">
        <v>-7.7563576948773999E-2</v>
      </c>
      <c r="M1269" s="4">
        <v>7.7563576948773999E-2</v>
      </c>
      <c r="N1269" s="10">
        <v>7.8E-2</v>
      </c>
      <c r="O1269" s="4">
        <v>0.38532924871447549</v>
      </c>
      <c r="P1269" s="4">
        <v>-0.39</v>
      </c>
      <c r="Q1269" s="3" t="s">
        <v>1617</v>
      </c>
      <c r="R1269" s="3" t="s">
        <v>1623</v>
      </c>
      <c r="S1269" s="3" t="s">
        <v>1624</v>
      </c>
      <c r="T1269" s="3"/>
    </row>
    <row r="1270" spans="1:20">
      <c r="A1270" s="3" t="s">
        <v>1600</v>
      </c>
      <c r="B1270" s="3" t="s">
        <v>1601</v>
      </c>
      <c r="C1270" s="3" t="s">
        <v>1616</v>
      </c>
      <c r="D1270" s="3" t="s">
        <v>953</v>
      </c>
      <c r="E1270" s="3" t="s">
        <v>954</v>
      </c>
      <c r="F1270" s="2">
        <v>1</v>
      </c>
      <c r="G1270" s="4">
        <v>1.0395754548142613</v>
      </c>
      <c r="H1270" s="2">
        <v>25</v>
      </c>
      <c r="I1270" s="2">
        <v>5</v>
      </c>
      <c r="J1270" s="2">
        <v>1</v>
      </c>
      <c r="K1270" s="4">
        <v>1</v>
      </c>
      <c r="L1270" s="4">
        <v>-8.7499210608337971E-2</v>
      </c>
      <c r="M1270" s="4">
        <v>8.7499210608337971E-2</v>
      </c>
      <c r="N1270" s="10">
        <v>8.6999999999999994E-2</v>
      </c>
      <c r="O1270" s="4">
        <v>0.43492774393448519</v>
      </c>
      <c r="P1270" s="4">
        <v>-0.43</v>
      </c>
      <c r="Q1270" s="3" t="s">
        <v>1617</v>
      </c>
      <c r="R1270" s="3" t="s">
        <v>1618</v>
      </c>
      <c r="S1270" s="3" t="s">
        <v>1619</v>
      </c>
      <c r="T1270" s="3"/>
    </row>
    <row r="1271" spans="1:20">
      <c r="A1271" s="3" t="s">
        <v>1600</v>
      </c>
      <c r="B1271" s="3" t="s">
        <v>1601</v>
      </c>
      <c r="C1271" s="3" t="s">
        <v>1616</v>
      </c>
      <c r="D1271" s="3" t="s">
        <v>953</v>
      </c>
      <c r="E1271" s="3" t="s">
        <v>954</v>
      </c>
      <c r="F1271" s="2">
        <v>1</v>
      </c>
      <c r="G1271" s="4">
        <v>1.0395754548142613</v>
      </c>
      <c r="H1271" s="2">
        <v>25</v>
      </c>
      <c r="I1271" s="2">
        <v>5</v>
      </c>
      <c r="J1271" s="2">
        <v>16</v>
      </c>
      <c r="K1271" s="4">
        <v>1</v>
      </c>
      <c r="L1271" s="4">
        <v>-9.1614032773489687E-2</v>
      </c>
      <c r="M1271" s="4">
        <v>9.1614032773489687E-2</v>
      </c>
      <c r="N1271" s="10">
        <v>9.1999999999999998E-2</v>
      </c>
      <c r="O1271" s="4">
        <v>0.45549374761680572</v>
      </c>
      <c r="P1271" s="4">
        <v>-0.46</v>
      </c>
      <c r="Q1271" s="3" t="s">
        <v>1617</v>
      </c>
      <c r="R1271" s="3" t="s">
        <v>1618</v>
      </c>
      <c r="S1271" s="3" t="s">
        <v>1619</v>
      </c>
      <c r="T1271" s="3"/>
    </row>
    <row r="1272" spans="1:20">
      <c r="A1272" s="3" t="s">
        <v>1594</v>
      </c>
      <c r="B1272" s="3" t="s">
        <v>1595</v>
      </c>
      <c r="C1272" s="3" t="s">
        <v>1596</v>
      </c>
      <c r="D1272" s="3" t="s">
        <v>953</v>
      </c>
      <c r="E1272" s="3" t="s">
        <v>954</v>
      </c>
      <c r="F1272" s="2">
        <v>1</v>
      </c>
      <c r="G1272" s="4">
        <v>1.0395754548142613</v>
      </c>
      <c r="H1272" s="2">
        <v>25</v>
      </c>
      <c r="I1272" s="2">
        <v>5</v>
      </c>
      <c r="J1272" s="2">
        <v>16</v>
      </c>
      <c r="K1272" s="4">
        <v>1</v>
      </c>
      <c r="L1272" s="4">
        <v>-0.10329624097531906</v>
      </c>
      <c r="M1272" s="4">
        <v>0.10329624097531906</v>
      </c>
      <c r="N1272" s="10">
        <v>0.10299999999999999</v>
      </c>
      <c r="O1272" s="4">
        <v>0.51396945611540101</v>
      </c>
      <c r="P1272" s="4">
        <v>-0.51</v>
      </c>
      <c r="Q1272" s="3" t="s">
        <v>1617</v>
      </c>
      <c r="R1272" s="3" t="s">
        <v>1625</v>
      </c>
      <c r="S1272" s="3" t="s">
        <v>1626</v>
      </c>
      <c r="T1272" s="3"/>
    </row>
    <row r="1273" spans="1:20">
      <c r="A1273" s="3" t="s">
        <v>1594</v>
      </c>
      <c r="B1273" s="3" t="s">
        <v>1595</v>
      </c>
      <c r="C1273" s="3" t="s">
        <v>1596</v>
      </c>
      <c r="D1273" s="3" t="s">
        <v>953</v>
      </c>
      <c r="E1273" s="3" t="s">
        <v>954</v>
      </c>
      <c r="F1273" s="2">
        <v>1</v>
      </c>
      <c r="G1273" s="4">
        <v>1.0395754548142613</v>
      </c>
      <c r="H1273" s="2">
        <v>50</v>
      </c>
      <c r="I1273" s="2">
        <v>5</v>
      </c>
      <c r="J1273" s="2">
        <v>16</v>
      </c>
      <c r="K1273" s="4">
        <v>1</v>
      </c>
      <c r="L1273" s="4">
        <v>-0.10927385659904158</v>
      </c>
      <c r="M1273" s="4">
        <v>0.10927385659904158</v>
      </c>
      <c r="N1273" s="10">
        <v>0.109</v>
      </c>
      <c r="O1273" s="4">
        <v>0.58955479941766209</v>
      </c>
      <c r="P1273" s="4">
        <v>-0.59</v>
      </c>
      <c r="Q1273" s="3" t="s">
        <v>1617</v>
      </c>
      <c r="R1273" s="3" t="s">
        <v>1625</v>
      </c>
      <c r="S1273" s="3" t="s">
        <v>1626</v>
      </c>
      <c r="T1273" s="3"/>
    </row>
    <row r="1274" spans="1:20">
      <c r="A1274" s="3" t="s">
        <v>1604</v>
      </c>
      <c r="B1274" s="3" t="s">
        <v>1601</v>
      </c>
      <c r="C1274" s="3" t="s">
        <v>1616</v>
      </c>
      <c r="D1274" s="3" t="s">
        <v>953</v>
      </c>
      <c r="E1274" s="3" t="s">
        <v>954</v>
      </c>
      <c r="F1274" s="2">
        <v>1</v>
      </c>
      <c r="G1274" s="4">
        <v>1.0395754548142613</v>
      </c>
      <c r="H1274" s="2">
        <v>25</v>
      </c>
      <c r="I1274" s="2">
        <v>30</v>
      </c>
      <c r="J1274" s="2">
        <v>16</v>
      </c>
      <c r="K1274" s="4">
        <v>1</v>
      </c>
      <c r="L1274" s="4">
        <v>-0.11850726893208248</v>
      </c>
      <c r="M1274" s="4">
        <v>0.11850726893208248</v>
      </c>
      <c r="N1274" s="10">
        <v>0.11899999999999999</v>
      </c>
      <c r="O1274" s="4">
        <v>0.59032542744891126</v>
      </c>
      <c r="P1274" s="4">
        <v>-0.59</v>
      </c>
      <c r="Q1274" s="3" t="s">
        <v>1617</v>
      </c>
      <c r="R1274" s="3" t="s">
        <v>1618</v>
      </c>
      <c r="S1274" s="3" t="s">
        <v>1619</v>
      </c>
      <c r="T1274" s="3"/>
    </row>
    <row r="1275" spans="1:20">
      <c r="A1275" s="3" t="s">
        <v>1600</v>
      </c>
      <c r="B1275" s="3" t="s">
        <v>1609</v>
      </c>
      <c r="C1275" s="3" t="s">
        <v>1616</v>
      </c>
      <c r="D1275" s="3" t="s">
        <v>953</v>
      </c>
      <c r="E1275" s="3" t="s">
        <v>954</v>
      </c>
      <c r="F1275" s="2">
        <v>1</v>
      </c>
      <c r="G1275" s="4">
        <v>1.0395754548142613</v>
      </c>
      <c r="H1275" s="2">
        <v>25</v>
      </c>
      <c r="I1275" s="2">
        <v>5</v>
      </c>
      <c r="J1275" s="2">
        <v>16</v>
      </c>
      <c r="K1275" s="4">
        <v>1</v>
      </c>
      <c r="L1275" s="4">
        <v>-0.20189563465098304</v>
      </c>
      <c r="M1275" s="4">
        <v>0.20189563465098304</v>
      </c>
      <c r="N1275" s="10">
        <v>0.20200000000000001</v>
      </c>
      <c r="O1275" s="4">
        <v>1.0149290170995351</v>
      </c>
      <c r="P1275" s="4">
        <v>-1.02</v>
      </c>
      <c r="Q1275" s="3" t="s">
        <v>1617</v>
      </c>
      <c r="R1275" s="3" t="s">
        <v>1623</v>
      </c>
      <c r="S1275" s="3" t="s">
        <v>1624</v>
      </c>
      <c r="T1275" s="3"/>
    </row>
    <row r="1276" spans="1:20">
      <c r="A1276" s="3" t="s">
        <v>1600</v>
      </c>
      <c r="B1276" s="3" t="s">
        <v>1609</v>
      </c>
      <c r="C1276" s="3" t="s">
        <v>1616</v>
      </c>
      <c r="D1276" s="3" t="s">
        <v>953</v>
      </c>
      <c r="E1276" s="3" t="s">
        <v>954</v>
      </c>
      <c r="F1276" s="2">
        <v>1</v>
      </c>
      <c r="G1276" s="4">
        <v>1.0395754548142613</v>
      </c>
      <c r="H1276" s="2">
        <v>25</v>
      </c>
      <c r="I1276" s="2">
        <v>5</v>
      </c>
      <c r="J1276" s="2">
        <v>1</v>
      </c>
      <c r="K1276" s="4">
        <v>0.9836468234961645</v>
      </c>
      <c r="L1276" s="4">
        <v>-0.22314269147331714</v>
      </c>
      <c r="M1276" s="4">
        <v>0.22314269147331714</v>
      </c>
      <c r="N1276" s="10">
        <v>0.223</v>
      </c>
      <c r="O1276" s="4">
        <v>1.1252584715862068</v>
      </c>
      <c r="P1276" s="4">
        <v>-1.1200000000000001</v>
      </c>
      <c r="Q1276" s="3" t="s">
        <v>1617</v>
      </c>
      <c r="R1276" s="3" t="s">
        <v>1623</v>
      </c>
      <c r="S1276" s="3" t="s">
        <v>1624</v>
      </c>
      <c r="T1276" s="3"/>
    </row>
    <row r="1277" spans="1:20">
      <c r="A1277" s="3" t="s">
        <v>1600</v>
      </c>
      <c r="B1277" s="3" t="s">
        <v>1606</v>
      </c>
      <c r="C1277" s="3" t="s">
        <v>1616</v>
      </c>
      <c r="D1277" s="3" t="s">
        <v>1014</v>
      </c>
      <c r="E1277" s="3" t="s">
        <v>1015</v>
      </c>
      <c r="F1277" s="2">
        <v>1</v>
      </c>
      <c r="G1277" s="4">
        <v>1.0397800565494415</v>
      </c>
      <c r="H1277" s="2">
        <v>25</v>
      </c>
      <c r="I1277" s="2">
        <v>5</v>
      </c>
      <c r="J1277" s="2">
        <v>1</v>
      </c>
      <c r="K1277" s="4">
        <v>0.86764996471576028</v>
      </c>
      <c r="L1277" s="4">
        <v>0.65728941365834248</v>
      </c>
      <c r="M1277" s="4">
        <v>0.65728941365834248</v>
      </c>
      <c r="N1277" s="10">
        <v>0.65700000000000003</v>
      </c>
      <c r="O1277" s="4">
        <v>3.9069836029437566</v>
      </c>
      <c r="P1277" s="4">
        <v>3.9</v>
      </c>
      <c r="Q1277" s="3" t="s">
        <v>1597</v>
      </c>
      <c r="R1277" s="3" t="s">
        <v>1607</v>
      </c>
      <c r="S1277" s="3" t="s">
        <v>1608</v>
      </c>
      <c r="T1277" s="3"/>
    </row>
    <row r="1278" spans="1:20">
      <c r="A1278" s="3" t="s">
        <v>1600</v>
      </c>
      <c r="B1278" s="3" t="s">
        <v>1606</v>
      </c>
      <c r="C1278" s="3" t="s">
        <v>1596</v>
      </c>
      <c r="D1278" s="3" t="s">
        <v>1014</v>
      </c>
      <c r="E1278" s="3" t="s">
        <v>1015</v>
      </c>
      <c r="F1278" s="2">
        <v>1</v>
      </c>
      <c r="G1278" s="4">
        <v>1.0397800565494415</v>
      </c>
      <c r="H1278" s="2">
        <v>25</v>
      </c>
      <c r="I1278" s="2">
        <v>5</v>
      </c>
      <c r="J1278" s="2">
        <v>1</v>
      </c>
      <c r="K1278" s="4">
        <v>1</v>
      </c>
      <c r="L1278" s="4">
        <v>0.63793334340787267</v>
      </c>
      <c r="M1278" s="4">
        <v>0.63793334340787267</v>
      </c>
      <c r="N1278" s="10">
        <v>0.63800000000000001</v>
      </c>
      <c r="O1278" s="4">
        <v>3.741660958962532</v>
      </c>
      <c r="P1278" s="4">
        <v>3.74</v>
      </c>
      <c r="Q1278" s="3" t="s">
        <v>1597</v>
      </c>
      <c r="R1278" s="3" t="s">
        <v>1607</v>
      </c>
      <c r="S1278" s="3" t="s">
        <v>1608</v>
      </c>
      <c r="T1278" s="3"/>
    </row>
    <row r="1279" spans="1:20">
      <c r="A1279" s="3" t="s">
        <v>1604</v>
      </c>
      <c r="B1279" s="3" t="s">
        <v>1601</v>
      </c>
      <c r="C1279" s="3" t="s">
        <v>1616</v>
      </c>
      <c r="D1279" s="3" t="s">
        <v>1014</v>
      </c>
      <c r="E1279" s="3" t="s">
        <v>1015</v>
      </c>
      <c r="F1279" s="2">
        <v>1</v>
      </c>
      <c r="G1279" s="4">
        <v>1.0397800565494415</v>
      </c>
      <c r="H1279" s="2">
        <v>25</v>
      </c>
      <c r="I1279" s="2">
        <v>30</v>
      </c>
      <c r="J1279" s="2">
        <v>16</v>
      </c>
      <c r="K1279" s="4">
        <v>1</v>
      </c>
      <c r="L1279" s="4">
        <v>0.63669592697587152</v>
      </c>
      <c r="M1279" s="4">
        <v>0.63669592697587152</v>
      </c>
      <c r="N1279" s="10">
        <v>0.63700000000000001</v>
      </c>
      <c r="O1279" s="4">
        <v>3.7313296583257944</v>
      </c>
      <c r="P1279" s="4">
        <v>3.73</v>
      </c>
      <c r="Q1279" s="3" t="s">
        <v>1597</v>
      </c>
      <c r="R1279" s="3" t="s">
        <v>1602</v>
      </c>
      <c r="S1279" s="3" t="s">
        <v>1603</v>
      </c>
      <c r="T1279" s="3"/>
    </row>
    <row r="1280" spans="1:20">
      <c r="A1280" s="3" t="s">
        <v>1600</v>
      </c>
      <c r="B1280" s="3" t="s">
        <v>1606</v>
      </c>
      <c r="C1280" s="3" t="s">
        <v>1596</v>
      </c>
      <c r="D1280" s="3" t="s">
        <v>1014</v>
      </c>
      <c r="E1280" s="3" t="s">
        <v>1015</v>
      </c>
      <c r="F1280" s="2">
        <v>1</v>
      </c>
      <c r="G1280" s="4">
        <v>1.0397800565494415</v>
      </c>
      <c r="H1280" s="2">
        <v>25</v>
      </c>
      <c r="I1280" s="2">
        <v>5</v>
      </c>
      <c r="J1280" s="2">
        <v>16</v>
      </c>
      <c r="K1280" s="4">
        <v>1</v>
      </c>
      <c r="L1280" s="4">
        <v>0.63082553501680538</v>
      </c>
      <c r="M1280" s="4">
        <v>0.63082553501680538</v>
      </c>
      <c r="N1280" s="10">
        <v>0.63100000000000001</v>
      </c>
      <c r="O1280" s="4">
        <v>3.6826864326771807</v>
      </c>
      <c r="P1280" s="4">
        <v>3.68</v>
      </c>
      <c r="Q1280" s="3" t="s">
        <v>1597</v>
      </c>
      <c r="R1280" s="3" t="s">
        <v>1607</v>
      </c>
      <c r="S1280" s="3" t="s">
        <v>1608</v>
      </c>
      <c r="T1280" s="3"/>
    </row>
    <row r="1281" spans="1:20">
      <c r="A1281" s="3" t="s">
        <v>1600</v>
      </c>
      <c r="B1281" s="3" t="s">
        <v>1601</v>
      </c>
      <c r="C1281" s="3" t="s">
        <v>1616</v>
      </c>
      <c r="D1281" s="3" t="s">
        <v>1014</v>
      </c>
      <c r="E1281" s="3" t="s">
        <v>1015</v>
      </c>
      <c r="F1281" s="2">
        <v>1</v>
      </c>
      <c r="G1281" s="4">
        <v>1.0397800565494415</v>
      </c>
      <c r="H1281" s="2">
        <v>25</v>
      </c>
      <c r="I1281" s="2">
        <v>5</v>
      </c>
      <c r="J1281" s="2">
        <v>1</v>
      </c>
      <c r="K1281" s="4">
        <v>1</v>
      </c>
      <c r="L1281" s="4">
        <v>0.62016998258830147</v>
      </c>
      <c r="M1281" s="4">
        <v>0.62016998258830147</v>
      </c>
      <c r="N1281" s="10">
        <v>0.62</v>
      </c>
      <c r="O1281" s="4">
        <v>3.5958983234348185</v>
      </c>
      <c r="P1281" s="4">
        <v>3.59</v>
      </c>
      <c r="Q1281" s="3" t="s">
        <v>1597</v>
      </c>
      <c r="R1281" s="3" t="s">
        <v>1602</v>
      </c>
      <c r="S1281" s="3" t="s">
        <v>1603</v>
      </c>
      <c r="T1281" s="3"/>
    </row>
    <row r="1282" spans="1:20">
      <c r="A1282" s="3" t="s">
        <v>1600</v>
      </c>
      <c r="B1282" s="3" t="s">
        <v>1601</v>
      </c>
      <c r="C1282" s="3" t="s">
        <v>1616</v>
      </c>
      <c r="D1282" s="3" t="s">
        <v>1014</v>
      </c>
      <c r="E1282" s="3" t="s">
        <v>1015</v>
      </c>
      <c r="F1282" s="2">
        <v>1</v>
      </c>
      <c r="G1282" s="4">
        <v>1.0397800565494415</v>
      </c>
      <c r="H1282" s="2">
        <v>25</v>
      </c>
      <c r="I1282" s="2">
        <v>5</v>
      </c>
      <c r="J1282" s="2">
        <v>16</v>
      </c>
      <c r="K1282" s="4">
        <v>1</v>
      </c>
      <c r="L1282" s="4">
        <v>0.61687234216959419</v>
      </c>
      <c r="M1282" s="4">
        <v>0.61687234216959419</v>
      </c>
      <c r="N1282" s="10">
        <v>0.61699999999999999</v>
      </c>
      <c r="O1282" s="4">
        <v>3.5694183448898329</v>
      </c>
      <c r="P1282" s="4">
        <v>3.57</v>
      </c>
      <c r="Q1282" s="3" t="s">
        <v>1597</v>
      </c>
      <c r="R1282" s="3" t="s">
        <v>1602</v>
      </c>
      <c r="S1282" s="3" t="s">
        <v>1603</v>
      </c>
      <c r="T1282" s="3"/>
    </row>
    <row r="1283" spans="1:20">
      <c r="A1283" s="3" t="s">
        <v>1600</v>
      </c>
      <c r="B1283" s="3" t="s">
        <v>1606</v>
      </c>
      <c r="C1283" s="3" t="s">
        <v>1616</v>
      </c>
      <c r="D1283" s="3" t="s">
        <v>1014</v>
      </c>
      <c r="E1283" s="3" t="s">
        <v>1015</v>
      </c>
      <c r="F1283" s="2">
        <v>1</v>
      </c>
      <c r="G1283" s="4">
        <v>1.0397800565494415</v>
      </c>
      <c r="H1283" s="2">
        <v>25</v>
      </c>
      <c r="I1283" s="2">
        <v>5</v>
      </c>
      <c r="J1283" s="2">
        <v>16</v>
      </c>
      <c r="K1283" s="4">
        <v>1</v>
      </c>
      <c r="L1283" s="4">
        <v>0.61619470713210545</v>
      </c>
      <c r="M1283" s="4">
        <v>0.61619470713210545</v>
      </c>
      <c r="N1283" s="10">
        <v>0.61599999999999999</v>
      </c>
      <c r="O1283" s="4">
        <v>3.5639985259840965</v>
      </c>
      <c r="P1283" s="4">
        <v>3.56</v>
      </c>
      <c r="Q1283" s="3" t="s">
        <v>1597</v>
      </c>
      <c r="R1283" s="3" t="s">
        <v>1607</v>
      </c>
      <c r="S1283" s="3" t="s">
        <v>1608</v>
      </c>
      <c r="T1283" s="3"/>
    </row>
    <row r="1284" spans="1:20">
      <c r="A1284" s="3" t="s">
        <v>1604</v>
      </c>
      <c r="B1284" s="3" t="s">
        <v>1601</v>
      </c>
      <c r="C1284" s="3" t="s">
        <v>1596</v>
      </c>
      <c r="D1284" s="3" t="s">
        <v>1014</v>
      </c>
      <c r="E1284" s="3" t="s">
        <v>1015</v>
      </c>
      <c r="F1284" s="2">
        <v>1</v>
      </c>
      <c r="G1284" s="4">
        <v>1.0397800565494415</v>
      </c>
      <c r="H1284" s="2">
        <v>25</v>
      </c>
      <c r="I1284" s="2">
        <v>30</v>
      </c>
      <c r="J1284" s="2">
        <v>16</v>
      </c>
      <c r="K1284" s="4">
        <v>1</v>
      </c>
      <c r="L1284" s="4">
        <v>0.575664082245812</v>
      </c>
      <c r="M1284" s="4">
        <v>0.575664082245812</v>
      </c>
      <c r="N1284" s="10">
        <v>0.57599999999999996</v>
      </c>
      <c r="O1284" s="4">
        <v>3.2521749615905242</v>
      </c>
      <c r="P1284" s="4">
        <v>3.25</v>
      </c>
      <c r="Q1284" s="3" t="s">
        <v>1597</v>
      </c>
      <c r="R1284" s="3" t="s">
        <v>1602</v>
      </c>
      <c r="S1284" s="3" t="s">
        <v>1603</v>
      </c>
      <c r="T1284" s="3"/>
    </row>
    <row r="1285" spans="1:20">
      <c r="A1285" s="3" t="s">
        <v>1600</v>
      </c>
      <c r="B1285" s="3" t="s">
        <v>1601</v>
      </c>
      <c r="C1285" s="3" t="s">
        <v>1596</v>
      </c>
      <c r="D1285" s="3" t="s">
        <v>1014</v>
      </c>
      <c r="E1285" s="3" t="s">
        <v>1015</v>
      </c>
      <c r="F1285" s="2">
        <v>1</v>
      </c>
      <c r="G1285" s="4">
        <v>1.0397800565494415</v>
      </c>
      <c r="H1285" s="2">
        <v>25</v>
      </c>
      <c r="I1285" s="2">
        <v>5</v>
      </c>
      <c r="J1285" s="2">
        <v>16</v>
      </c>
      <c r="K1285" s="4">
        <v>1</v>
      </c>
      <c r="L1285" s="4">
        <v>0.55152945830173872</v>
      </c>
      <c r="M1285" s="4">
        <v>0.55152945830173872</v>
      </c>
      <c r="N1285" s="10">
        <v>0.55200000000000005</v>
      </c>
      <c r="O1285" s="4">
        <v>3.0767799603042714</v>
      </c>
      <c r="P1285" s="4">
        <v>3.08</v>
      </c>
      <c r="Q1285" s="3" t="s">
        <v>1597</v>
      </c>
      <c r="R1285" s="3" t="s">
        <v>1602</v>
      </c>
      <c r="S1285" s="3" t="s">
        <v>1603</v>
      </c>
      <c r="T1285" s="3"/>
    </row>
    <row r="1286" spans="1:20">
      <c r="A1286" s="3" t="s">
        <v>1600</v>
      </c>
      <c r="B1286" s="3" t="s">
        <v>1609</v>
      </c>
      <c r="C1286" s="3" t="s">
        <v>1596</v>
      </c>
      <c r="D1286" s="3" t="s">
        <v>1014</v>
      </c>
      <c r="E1286" s="3" t="s">
        <v>1015</v>
      </c>
      <c r="F1286" s="2">
        <v>1</v>
      </c>
      <c r="G1286" s="4">
        <v>1.0397800565494415</v>
      </c>
      <c r="H1286" s="2">
        <v>25</v>
      </c>
      <c r="I1286" s="2">
        <v>5</v>
      </c>
      <c r="J1286" s="2">
        <v>1</v>
      </c>
      <c r="K1286" s="4">
        <v>0.71306302019082857</v>
      </c>
      <c r="L1286" s="4">
        <v>0.537736711008308</v>
      </c>
      <c r="M1286" s="4">
        <v>0.537736711008308</v>
      </c>
      <c r="N1286" s="10">
        <v>0.53800000000000003</v>
      </c>
      <c r="O1286" s="4">
        <v>2.9795519892709472</v>
      </c>
      <c r="P1286" s="4">
        <v>2.98</v>
      </c>
      <c r="Q1286" s="3" t="s">
        <v>1597</v>
      </c>
      <c r="R1286" s="3" t="s">
        <v>1610</v>
      </c>
      <c r="S1286" s="3" t="s">
        <v>1611</v>
      </c>
      <c r="T1286" s="3"/>
    </row>
    <row r="1287" spans="1:20">
      <c r="A1287" s="3" t="s">
        <v>1600</v>
      </c>
      <c r="B1287" s="3" t="s">
        <v>1609</v>
      </c>
      <c r="C1287" s="3" t="s">
        <v>1596</v>
      </c>
      <c r="D1287" s="3" t="s">
        <v>1014</v>
      </c>
      <c r="E1287" s="3" t="s">
        <v>1015</v>
      </c>
      <c r="F1287" s="2">
        <v>1</v>
      </c>
      <c r="G1287" s="4">
        <v>1.0397800565494415</v>
      </c>
      <c r="H1287" s="2">
        <v>25</v>
      </c>
      <c r="I1287" s="2">
        <v>5</v>
      </c>
      <c r="J1287" s="2">
        <v>16</v>
      </c>
      <c r="K1287" s="4">
        <v>1</v>
      </c>
      <c r="L1287" s="4">
        <v>0.51473108088479613</v>
      </c>
      <c r="M1287" s="4">
        <v>0.51473108088479613</v>
      </c>
      <c r="N1287" s="10">
        <v>0.51500000000000001</v>
      </c>
      <c r="O1287" s="4">
        <v>2.8217846545308283</v>
      </c>
      <c r="P1287" s="4">
        <v>2.82</v>
      </c>
      <c r="Q1287" s="3" t="s">
        <v>1597</v>
      </c>
      <c r="R1287" s="3" t="s">
        <v>1610</v>
      </c>
      <c r="S1287" s="3" t="s">
        <v>1611</v>
      </c>
      <c r="T1287" s="3"/>
    </row>
    <row r="1288" spans="1:20">
      <c r="A1288" s="3" t="s">
        <v>1600</v>
      </c>
      <c r="B1288" s="3" t="s">
        <v>1609</v>
      </c>
      <c r="C1288" s="3" t="s">
        <v>1616</v>
      </c>
      <c r="D1288" s="3" t="s">
        <v>1014</v>
      </c>
      <c r="E1288" s="3" t="s">
        <v>1015</v>
      </c>
      <c r="F1288" s="2">
        <v>1</v>
      </c>
      <c r="G1288" s="4">
        <v>1.0397800565494415</v>
      </c>
      <c r="H1288" s="2">
        <v>25</v>
      </c>
      <c r="I1288" s="2">
        <v>5</v>
      </c>
      <c r="J1288" s="2">
        <v>1</v>
      </c>
      <c r="K1288" s="4">
        <v>0.97737133451674385</v>
      </c>
      <c r="L1288" s="4">
        <v>0.50842394311884065</v>
      </c>
      <c r="M1288" s="4">
        <v>0.50842394311884065</v>
      </c>
      <c r="N1288" s="10">
        <v>0.50800000000000001</v>
      </c>
      <c r="O1288" s="4">
        <v>2.7794289504256544</v>
      </c>
      <c r="P1288" s="4">
        <v>2.78</v>
      </c>
      <c r="Q1288" s="3" t="s">
        <v>1597</v>
      </c>
      <c r="R1288" s="3" t="s">
        <v>1610</v>
      </c>
      <c r="S1288" s="3" t="s">
        <v>1611</v>
      </c>
      <c r="T1288" s="3"/>
    </row>
    <row r="1289" spans="1:20">
      <c r="A1289" s="3" t="s">
        <v>1600</v>
      </c>
      <c r="B1289" s="3" t="s">
        <v>1609</v>
      </c>
      <c r="C1289" s="3" t="s">
        <v>1616</v>
      </c>
      <c r="D1289" s="3" t="s">
        <v>1014</v>
      </c>
      <c r="E1289" s="3" t="s">
        <v>1015</v>
      </c>
      <c r="F1289" s="2">
        <v>1</v>
      </c>
      <c r="G1289" s="4">
        <v>1.0397800565494415</v>
      </c>
      <c r="H1289" s="2">
        <v>25</v>
      </c>
      <c r="I1289" s="2">
        <v>5</v>
      </c>
      <c r="J1289" s="2">
        <v>16</v>
      </c>
      <c r="K1289" s="4">
        <v>0.9896154328297182</v>
      </c>
      <c r="L1289" s="4">
        <v>0.48842378191193608</v>
      </c>
      <c r="M1289" s="4">
        <v>0.48842378191193608</v>
      </c>
      <c r="N1289" s="10">
        <v>0.48799999999999999</v>
      </c>
      <c r="O1289" s="4">
        <v>2.6474794855763113</v>
      </c>
      <c r="P1289" s="4">
        <v>2.64</v>
      </c>
      <c r="Q1289" s="3" t="s">
        <v>1597</v>
      </c>
      <c r="R1289" s="3" t="s">
        <v>1610</v>
      </c>
      <c r="S1289" s="3" t="s">
        <v>1611</v>
      </c>
      <c r="T1289" s="3"/>
    </row>
    <row r="1290" spans="1:20">
      <c r="A1290" s="3" t="s">
        <v>1605</v>
      </c>
      <c r="B1290" s="3" t="s">
        <v>1601</v>
      </c>
      <c r="C1290" s="3" t="s">
        <v>1596</v>
      </c>
      <c r="D1290" s="3" t="s">
        <v>1014</v>
      </c>
      <c r="E1290" s="3" t="s">
        <v>1015</v>
      </c>
      <c r="F1290" s="2">
        <v>1</v>
      </c>
      <c r="G1290" s="4">
        <v>1.0397800565494415</v>
      </c>
      <c r="H1290" s="2">
        <v>25</v>
      </c>
      <c r="I1290" s="2">
        <v>5</v>
      </c>
      <c r="J1290" s="2">
        <v>16</v>
      </c>
      <c r="K1290" s="4">
        <v>1</v>
      </c>
      <c r="L1290" s="4">
        <v>0.29319419962922766</v>
      </c>
      <c r="M1290" s="4">
        <v>0.29319419962922766</v>
      </c>
      <c r="N1290" s="10">
        <v>0.29299999999999998</v>
      </c>
      <c r="O1290" s="4">
        <v>1.4975809012182395</v>
      </c>
      <c r="P1290" s="4">
        <v>1.5</v>
      </c>
      <c r="Q1290" s="3" t="s">
        <v>1597</v>
      </c>
      <c r="R1290" s="3" t="s">
        <v>1602</v>
      </c>
      <c r="S1290" s="3" t="s">
        <v>1603</v>
      </c>
      <c r="T1290" s="3"/>
    </row>
    <row r="1291" spans="1:20">
      <c r="A1291" s="3" t="s">
        <v>1600</v>
      </c>
      <c r="B1291" s="3" t="s">
        <v>1601</v>
      </c>
      <c r="C1291" s="3" t="s">
        <v>1596</v>
      </c>
      <c r="D1291" s="3" t="s">
        <v>1014</v>
      </c>
      <c r="E1291" s="3" t="s">
        <v>1015</v>
      </c>
      <c r="F1291" s="2">
        <v>1</v>
      </c>
      <c r="G1291" s="4">
        <v>1.0397800565494415</v>
      </c>
      <c r="H1291" s="2">
        <v>25</v>
      </c>
      <c r="I1291" s="2">
        <v>5</v>
      </c>
      <c r="J1291" s="2">
        <v>1</v>
      </c>
      <c r="K1291" s="4">
        <v>2.6558675501240359E-2</v>
      </c>
      <c r="L1291" s="4">
        <v>0.21359560714533954</v>
      </c>
      <c r="M1291" s="4">
        <v>0.21359560714533954</v>
      </c>
      <c r="N1291" s="10">
        <v>0.214</v>
      </c>
      <c r="O1291" s="4">
        <v>1.075554021037558</v>
      </c>
      <c r="P1291" s="4">
        <v>1.08</v>
      </c>
      <c r="Q1291" s="3" t="s">
        <v>1597</v>
      </c>
      <c r="R1291" s="3" t="s">
        <v>1602</v>
      </c>
      <c r="S1291" s="3" t="s">
        <v>1603</v>
      </c>
      <c r="T1291" s="3"/>
    </row>
    <row r="1292" spans="1:20">
      <c r="A1292" s="3" t="s">
        <v>1594</v>
      </c>
      <c r="B1292" s="3" t="s">
        <v>1595</v>
      </c>
      <c r="C1292" s="3" t="s">
        <v>1596</v>
      </c>
      <c r="D1292" s="3" t="s">
        <v>1014</v>
      </c>
      <c r="E1292" s="3" t="s">
        <v>1015</v>
      </c>
      <c r="F1292" s="2">
        <v>1</v>
      </c>
      <c r="G1292" s="4">
        <v>1.0397800565494415</v>
      </c>
      <c r="H1292" s="2">
        <v>50</v>
      </c>
      <c r="I1292" s="2">
        <v>5</v>
      </c>
      <c r="J1292" s="2">
        <v>16</v>
      </c>
      <c r="K1292" s="4">
        <v>0.3728837074289002</v>
      </c>
      <c r="L1292" s="4">
        <v>2.2497123546477676E-2</v>
      </c>
      <c r="M1292" s="4">
        <v>2.2497123546477676E-2</v>
      </c>
      <c r="N1292" s="10">
        <v>2.1999999999999999E-2</v>
      </c>
      <c r="O1292" s="4">
        <v>0.12091232477989799</v>
      </c>
      <c r="P1292" s="4">
        <v>0.12</v>
      </c>
      <c r="Q1292" s="3" t="s">
        <v>1597</v>
      </c>
      <c r="R1292" s="3" t="s">
        <v>1598</v>
      </c>
      <c r="S1292" s="3" t="s">
        <v>1599</v>
      </c>
      <c r="T1292" s="3"/>
    </row>
    <row r="1293" spans="1:20">
      <c r="A1293" s="3" t="s">
        <v>1594</v>
      </c>
      <c r="B1293" s="3" t="s">
        <v>1595</v>
      </c>
      <c r="C1293" s="3" t="s">
        <v>1596</v>
      </c>
      <c r="D1293" s="3" t="s">
        <v>1014</v>
      </c>
      <c r="E1293" s="3" t="s">
        <v>1015</v>
      </c>
      <c r="F1293" s="2">
        <v>1</v>
      </c>
      <c r="G1293" s="4">
        <v>1.0397800565494415</v>
      </c>
      <c r="H1293" s="2">
        <v>25</v>
      </c>
      <c r="I1293" s="2">
        <v>5</v>
      </c>
      <c r="J1293" s="2">
        <v>16</v>
      </c>
      <c r="K1293" s="4">
        <v>2.4932157111779651E-2</v>
      </c>
      <c r="L1293" s="4">
        <v>-1.4313838485491424E-2</v>
      </c>
      <c r="M1293" s="4">
        <v>1.4313838485491424E-2</v>
      </c>
      <c r="N1293" s="10">
        <v>1.4E-2</v>
      </c>
      <c r="O1293" s="4">
        <v>7.0971947452250647E-2</v>
      </c>
      <c r="P1293" s="4">
        <v>-7.0000000000000007E-2</v>
      </c>
      <c r="Q1293" s="3" t="s">
        <v>1617</v>
      </c>
      <c r="R1293" s="3" t="s">
        <v>1625</v>
      </c>
      <c r="S1293" s="3" t="s">
        <v>1626</v>
      </c>
      <c r="T1293" s="3"/>
    </row>
    <row r="1294" spans="1:20">
      <c r="A1294" s="3" t="s">
        <v>1594</v>
      </c>
      <c r="B1294" s="3" t="s">
        <v>1612</v>
      </c>
      <c r="C1294" s="3" t="s">
        <v>1596</v>
      </c>
      <c r="D1294" s="3" t="s">
        <v>1014</v>
      </c>
      <c r="E1294" s="3" t="s">
        <v>1015</v>
      </c>
      <c r="F1294" s="2">
        <v>1</v>
      </c>
      <c r="G1294" s="4">
        <v>1.0397800565494415</v>
      </c>
      <c r="H1294" s="2">
        <v>50</v>
      </c>
      <c r="I1294" s="2">
        <v>5</v>
      </c>
      <c r="J1294" s="2">
        <v>16</v>
      </c>
      <c r="K1294" s="4">
        <v>0.31514839422808483</v>
      </c>
      <c r="L1294" s="4">
        <v>-3.5442216376866051E-2</v>
      </c>
      <c r="M1294" s="4">
        <v>3.5442216376866051E-2</v>
      </c>
      <c r="N1294" s="10">
        <v>3.5000000000000003E-2</v>
      </c>
      <c r="O1294" s="4">
        <v>0.19053427496552663</v>
      </c>
      <c r="P1294" s="4">
        <v>-0.19</v>
      </c>
      <c r="Q1294" s="3" t="s">
        <v>1617</v>
      </c>
      <c r="R1294" s="3" t="s">
        <v>1627</v>
      </c>
      <c r="S1294" s="3" t="s">
        <v>1628</v>
      </c>
      <c r="T1294" s="3"/>
    </row>
    <row r="1295" spans="1:20">
      <c r="A1295" s="3" t="s">
        <v>1600</v>
      </c>
      <c r="B1295" s="3" t="s">
        <v>1601</v>
      </c>
      <c r="C1295" s="3" t="s">
        <v>1616</v>
      </c>
      <c r="D1295" s="3" t="s">
        <v>32</v>
      </c>
      <c r="E1295" s="3" t="s">
        <v>33</v>
      </c>
      <c r="F1295" s="2">
        <v>1</v>
      </c>
      <c r="G1295" s="4">
        <v>1.0418383831723319</v>
      </c>
      <c r="H1295" s="2">
        <v>25</v>
      </c>
      <c r="I1295" s="2">
        <v>5</v>
      </c>
      <c r="J1295" s="2">
        <v>1</v>
      </c>
      <c r="K1295" s="4">
        <v>1</v>
      </c>
      <c r="L1295" s="4">
        <v>0.73635959243887739</v>
      </c>
      <c r="M1295" s="4">
        <v>0.73635959243887739</v>
      </c>
      <c r="N1295" s="10">
        <v>0.73599999999999999</v>
      </c>
      <c r="O1295" s="4">
        <v>4.6727556780868555</v>
      </c>
      <c r="P1295" s="4">
        <v>4.67</v>
      </c>
      <c r="Q1295" s="3" t="s">
        <v>1597</v>
      </c>
      <c r="R1295" s="3" t="s">
        <v>1602</v>
      </c>
      <c r="S1295" s="3" t="s">
        <v>1603</v>
      </c>
      <c r="T1295" s="3"/>
    </row>
    <row r="1296" spans="1:20">
      <c r="A1296" s="3" t="s">
        <v>1600</v>
      </c>
      <c r="B1296" s="3" t="s">
        <v>1601</v>
      </c>
      <c r="C1296" s="3" t="s">
        <v>1616</v>
      </c>
      <c r="D1296" s="3" t="s">
        <v>32</v>
      </c>
      <c r="E1296" s="3" t="s">
        <v>33</v>
      </c>
      <c r="F1296" s="2">
        <v>1</v>
      </c>
      <c r="G1296" s="4">
        <v>1.0418383831723319</v>
      </c>
      <c r="H1296" s="2">
        <v>25</v>
      </c>
      <c r="I1296" s="2">
        <v>5</v>
      </c>
      <c r="J1296" s="2">
        <v>16</v>
      </c>
      <c r="K1296" s="4">
        <v>1</v>
      </c>
      <c r="L1296" s="4">
        <v>0.72422633111959445</v>
      </c>
      <c r="M1296" s="4">
        <v>0.72422633111959445</v>
      </c>
      <c r="N1296" s="10">
        <v>0.72399999999999998</v>
      </c>
      <c r="O1296" s="4">
        <v>4.5438327386716963</v>
      </c>
      <c r="P1296" s="4">
        <v>4.54</v>
      </c>
      <c r="Q1296" s="3" t="s">
        <v>1597</v>
      </c>
      <c r="R1296" s="3" t="s">
        <v>1602</v>
      </c>
      <c r="S1296" s="3" t="s">
        <v>1603</v>
      </c>
      <c r="T1296" s="3"/>
    </row>
    <row r="1297" spans="1:20">
      <c r="A1297" s="12" t="s">
        <v>1605</v>
      </c>
      <c r="B1297" s="3" t="s">
        <v>1601</v>
      </c>
      <c r="C1297" s="3" t="s">
        <v>1596</v>
      </c>
      <c r="D1297" s="3" t="s">
        <v>32</v>
      </c>
      <c r="E1297" s="3" t="s">
        <v>33</v>
      </c>
      <c r="F1297" s="2">
        <v>1</v>
      </c>
      <c r="G1297" s="4">
        <v>1.0418383831723319</v>
      </c>
      <c r="H1297" s="2">
        <v>25</v>
      </c>
      <c r="I1297" s="2">
        <v>5</v>
      </c>
      <c r="J1297" s="2">
        <v>16</v>
      </c>
      <c r="K1297" s="11">
        <v>1</v>
      </c>
      <c r="L1297" s="11">
        <v>0.6573928196341674</v>
      </c>
      <c r="M1297" s="4">
        <v>0.6573928196341674</v>
      </c>
      <c r="N1297" s="10">
        <v>0.65700000000000003</v>
      </c>
      <c r="O1297" s="4">
        <v>3.9078863637318162</v>
      </c>
      <c r="P1297" s="4">
        <v>3.9</v>
      </c>
      <c r="Q1297" s="3" t="s">
        <v>1597</v>
      </c>
      <c r="R1297" s="3" t="s">
        <v>1602</v>
      </c>
      <c r="S1297" s="3" t="s">
        <v>1603</v>
      </c>
      <c r="T1297" s="3"/>
    </row>
    <row r="1298" spans="1:20">
      <c r="A1298" s="3" t="s">
        <v>1600</v>
      </c>
      <c r="B1298" s="3" t="s">
        <v>1601</v>
      </c>
      <c r="C1298" s="3" t="s">
        <v>1596</v>
      </c>
      <c r="D1298" s="3" t="s">
        <v>32</v>
      </c>
      <c r="E1298" s="3" t="s">
        <v>33</v>
      </c>
      <c r="F1298" s="2">
        <v>1</v>
      </c>
      <c r="G1298" s="4">
        <v>1.0418383831723319</v>
      </c>
      <c r="H1298" s="2">
        <v>25</v>
      </c>
      <c r="I1298" s="2">
        <v>5</v>
      </c>
      <c r="J1298" s="2">
        <v>1</v>
      </c>
      <c r="K1298" s="4">
        <v>1</v>
      </c>
      <c r="L1298" s="4">
        <v>0.63888329113146147</v>
      </c>
      <c r="M1298" s="4">
        <v>0.63888329113146147</v>
      </c>
      <c r="N1298" s="10">
        <v>0.63900000000000001</v>
      </c>
      <c r="O1298" s="4">
        <v>3.7496108336657401</v>
      </c>
      <c r="P1298" s="4">
        <v>3.75</v>
      </c>
      <c r="Q1298" s="3" t="s">
        <v>1597</v>
      </c>
      <c r="R1298" s="3" t="s">
        <v>1602</v>
      </c>
      <c r="S1298" s="3" t="s">
        <v>1603</v>
      </c>
      <c r="T1298" s="3"/>
    </row>
    <row r="1299" spans="1:20">
      <c r="A1299" s="3" t="s">
        <v>1600</v>
      </c>
      <c r="B1299" s="3" t="s">
        <v>1601</v>
      </c>
      <c r="C1299" s="3" t="s">
        <v>1596</v>
      </c>
      <c r="D1299" s="3" t="s">
        <v>32</v>
      </c>
      <c r="E1299" s="3" t="s">
        <v>33</v>
      </c>
      <c r="F1299" s="2">
        <v>1</v>
      </c>
      <c r="G1299" s="4">
        <v>1.0418383831723319</v>
      </c>
      <c r="H1299" s="2">
        <v>25</v>
      </c>
      <c r="I1299" s="2">
        <v>5</v>
      </c>
      <c r="J1299" s="2">
        <v>16</v>
      </c>
      <c r="K1299" s="4">
        <v>1</v>
      </c>
      <c r="L1299" s="4">
        <v>0.62305108888087923</v>
      </c>
      <c r="M1299" s="4">
        <v>0.62305108888087923</v>
      </c>
      <c r="N1299" s="10">
        <v>0.623</v>
      </c>
      <c r="O1299" s="4">
        <v>3.6191779686821191</v>
      </c>
      <c r="P1299" s="4">
        <v>3.62</v>
      </c>
      <c r="Q1299" s="3" t="s">
        <v>1597</v>
      </c>
      <c r="R1299" s="3" t="s">
        <v>1602</v>
      </c>
      <c r="S1299" s="3" t="s">
        <v>1603</v>
      </c>
      <c r="T1299" s="3"/>
    </row>
    <row r="1300" spans="1:20">
      <c r="A1300" s="3" t="s">
        <v>1600</v>
      </c>
      <c r="B1300" s="3" t="s">
        <v>1609</v>
      </c>
      <c r="C1300" s="3" t="s">
        <v>1596</v>
      </c>
      <c r="D1300" s="3" t="s">
        <v>32</v>
      </c>
      <c r="E1300" s="3" t="s">
        <v>33</v>
      </c>
      <c r="F1300" s="2">
        <v>1</v>
      </c>
      <c r="G1300" s="4">
        <v>1.0418383831723319</v>
      </c>
      <c r="H1300" s="2">
        <v>25</v>
      </c>
      <c r="I1300" s="2">
        <v>5</v>
      </c>
      <c r="J1300" s="2">
        <v>1</v>
      </c>
      <c r="K1300" s="11">
        <v>1</v>
      </c>
      <c r="L1300" s="11">
        <v>0.60839949344131583</v>
      </c>
      <c r="M1300" s="4">
        <v>0.60839949344131583</v>
      </c>
      <c r="N1300" s="10">
        <v>0.60799999999999998</v>
      </c>
      <c r="O1300" s="4">
        <v>3.5021688730245004</v>
      </c>
      <c r="P1300" s="4">
        <v>3.5</v>
      </c>
      <c r="Q1300" s="3" t="s">
        <v>1597</v>
      </c>
      <c r="R1300" s="3" t="s">
        <v>1610</v>
      </c>
      <c r="S1300" s="3" t="s">
        <v>1611</v>
      </c>
      <c r="T1300" s="3"/>
    </row>
    <row r="1301" spans="1:20">
      <c r="A1301" s="3" t="s">
        <v>1600</v>
      </c>
      <c r="B1301" s="3" t="s">
        <v>1609</v>
      </c>
      <c r="C1301" s="3" t="s">
        <v>1596</v>
      </c>
      <c r="D1301" s="3" t="s">
        <v>32</v>
      </c>
      <c r="E1301" s="3" t="s">
        <v>33</v>
      </c>
      <c r="F1301" s="2">
        <v>1</v>
      </c>
      <c r="G1301" s="4">
        <v>1.0418383831723319</v>
      </c>
      <c r="H1301" s="2">
        <v>25</v>
      </c>
      <c r="I1301" s="2">
        <v>5</v>
      </c>
      <c r="J1301" s="2">
        <v>16</v>
      </c>
      <c r="K1301" s="4">
        <v>1</v>
      </c>
      <c r="L1301" s="4">
        <v>0.55724733569352147</v>
      </c>
      <c r="M1301" s="4">
        <v>0.55724733569352147</v>
      </c>
      <c r="N1301" s="10">
        <v>0.55700000000000005</v>
      </c>
      <c r="O1301" s="4">
        <v>3.1177083341325909</v>
      </c>
      <c r="P1301" s="4">
        <v>3.12</v>
      </c>
      <c r="Q1301" s="3" t="s">
        <v>1597</v>
      </c>
      <c r="R1301" s="3" t="s">
        <v>1610</v>
      </c>
      <c r="S1301" s="3" t="s">
        <v>1611</v>
      </c>
      <c r="T1301" s="3"/>
    </row>
    <row r="1302" spans="1:20">
      <c r="A1302" s="3" t="s">
        <v>1600</v>
      </c>
      <c r="B1302" s="3" t="s">
        <v>1609</v>
      </c>
      <c r="C1302" s="3" t="s">
        <v>1616</v>
      </c>
      <c r="D1302" s="3" t="s">
        <v>32</v>
      </c>
      <c r="E1302" s="3" t="s">
        <v>33</v>
      </c>
      <c r="F1302" s="2">
        <v>1</v>
      </c>
      <c r="G1302" s="4">
        <v>1.0418383831723319</v>
      </c>
      <c r="H1302" s="2">
        <v>25</v>
      </c>
      <c r="I1302" s="2">
        <v>5</v>
      </c>
      <c r="J1302" s="2">
        <v>1</v>
      </c>
      <c r="K1302" s="4">
        <v>0.10152735047293326</v>
      </c>
      <c r="L1302" s="4">
        <v>0.54381423202283108</v>
      </c>
      <c r="M1302" s="4">
        <v>0.54381423202283108</v>
      </c>
      <c r="N1302" s="10">
        <v>0.54400000000000004</v>
      </c>
      <c r="O1302" s="4">
        <v>3.0221381016632836</v>
      </c>
      <c r="P1302" s="4">
        <v>3.02</v>
      </c>
      <c r="Q1302" s="3" t="s">
        <v>1597</v>
      </c>
      <c r="R1302" s="3" t="s">
        <v>1610</v>
      </c>
      <c r="S1302" s="3" t="s">
        <v>1611</v>
      </c>
      <c r="T1302" s="3"/>
    </row>
    <row r="1303" spans="1:20">
      <c r="A1303" s="3" t="s">
        <v>1604</v>
      </c>
      <c r="B1303" s="3" t="s">
        <v>1601</v>
      </c>
      <c r="C1303" s="3" t="s">
        <v>1616</v>
      </c>
      <c r="D1303" s="3" t="s">
        <v>32</v>
      </c>
      <c r="E1303" s="3" t="s">
        <v>33</v>
      </c>
      <c r="F1303" s="2">
        <v>1</v>
      </c>
      <c r="G1303" s="4">
        <v>1.0418383831723319</v>
      </c>
      <c r="H1303" s="2">
        <v>25</v>
      </c>
      <c r="I1303" s="2">
        <v>30</v>
      </c>
      <c r="J1303" s="2">
        <v>16</v>
      </c>
      <c r="K1303" s="4">
        <v>1</v>
      </c>
      <c r="L1303" s="4">
        <v>0.52616765345007777</v>
      </c>
      <c r="M1303" s="4">
        <v>0.52616765345007777</v>
      </c>
      <c r="N1303" s="10">
        <v>0.52600000000000002</v>
      </c>
      <c r="O1303" s="4">
        <v>2.8995536602723999</v>
      </c>
      <c r="P1303" s="4">
        <v>2.9</v>
      </c>
      <c r="Q1303" s="3" t="s">
        <v>1597</v>
      </c>
      <c r="R1303" s="3" t="s">
        <v>1602</v>
      </c>
      <c r="S1303" s="3" t="s">
        <v>1603</v>
      </c>
      <c r="T1303" s="3"/>
    </row>
    <row r="1304" spans="1:20">
      <c r="A1304" s="3" t="s">
        <v>1604</v>
      </c>
      <c r="B1304" s="3" t="s">
        <v>1601</v>
      </c>
      <c r="C1304" s="3" t="s">
        <v>1596</v>
      </c>
      <c r="D1304" s="3" t="s">
        <v>32</v>
      </c>
      <c r="E1304" s="3" t="s">
        <v>33</v>
      </c>
      <c r="F1304" s="2">
        <v>1</v>
      </c>
      <c r="G1304" s="4">
        <v>1.0418383831723319</v>
      </c>
      <c r="H1304" s="2">
        <v>25</v>
      </c>
      <c r="I1304" s="2">
        <v>30</v>
      </c>
      <c r="J1304" s="2">
        <v>16</v>
      </c>
      <c r="K1304" s="4">
        <v>1</v>
      </c>
      <c r="L1304" s="4">
        <v>0.35277381687027903</v>
      </c>
      <c r="M1304" s="4">
        <v>0.35277381687027903</v>
      </c>
      <c r="N1304" s="10">
        <v>0.35299999999999998</v>
      </c>
      <c r="O1304" s="4">
        <v>1.8275365432588211</v>
      </c>
      <c r="P1304" s="4">
        <v>1.83</v>
      </c>
      <c r="Q1304" s="3" t="s">
        <v>1597</v>
      </c>
      <c r="R1304" s="3" t="s">
        <v>1602</v>
      </c>
      <c r="S1304" s="3" t="s">
        <v>1603</v>
      </c>
      <c r="T1304" s="3"/>
    </row>
    <row r="1305" spans="1:20">
      <c r="A1305" s="3" t="s">
        <v>1600</v>
      </c>
      <c r="B1305" s="3" t="s">
        <v>1606</v>
      </c>
      <c r="C1305" s="3" t="s">
        <v>1596</v>
      </c>
      <c r="D1305" s="3" t="s">
        <v>32</v>
      </c>
      <c r="E1305" s="3" t="s">
        <v>33</v>
      </c>
      <c r="F1305" s="2">
        <v>1</v>
      </c>
      <c r="G1305" s="4">
        <v>1.0418383831723319</v>
      </c>
      <c r="H1305" s="2">
        <v>25</v>
      </c>
      <c r="I1305" s="2">
        <v>5</v>
      </c>
      <c r="J1305" s="2">
        <v>16</v>
      </c>
      <c r="K1305" s="11">
        <v>1</v>
      </c>
      <c r="L1305" s="11">
        <v>0.32530928915915286</v>
      </c>
      <c r="M1305" s="4">
        <v>0.32530928915915286</v>
      </c>
      <c r="N1305" s="10">
        <v>0.32500000000000001</v>
      </c>
      <c r="O1305" s="4">
        <v>1.6736673246994034</v>
      </c>
      <c r="P1305" s="4">
        <v>1.67</v>
      </c>
      <c r="Q1305" s="3" t="s">
        <v>1597</v>
      </c>
      <c r="R1305" s="3" t="s">
        <v>1607</v>
      </c>
      <c r="S1305" s="3" t="s">
        <v>1608</v>
      </c>
      <c r="T1305" s="3"/>
    </row>
    <row r="1306" spans="1:20">
      <c r="A1306" s="3" t="s">
        <v>1600</v>
      </c>
      <c r="B1306" s="3" t="s">
        <v>1606</v>
      </c>
      <c r="C1306" s="3" t="s">
        <v>1596</v>
      </c>
      <c r="D1306" s="3" t="s">
        <v>32</v>
      </c>
      <c r="E1306" s="3" t="s">
        <v>33</v>
      </c>
      <c r="F1306" s="2">
        <v>1</v>
      </c>
      <c r="G1306" s="4">
        <v>1.0418383831723319</v>
      </c>
      <c r="H1306" s="2">
        <v>25</v>
      </c>
      <c r="I1306" s="2">
        <v>5</v>
      </c>
      <c r="J1306" s="2">
        <v>1</v>
      </c>
      <c r="K1306" s="11">
        <v>1</v>
      </c>
      <c r="L1306" s="11">
        <v>0.29964781558343279</v>
      </c>
      <c r="M1306" s="4">
        <v>0.29964781558343279</v>
      </c>
      <c r="N1306" s="10">
        <v>0.3</v>
      </c>
      <c r="O1306" s="4">
        <v>1.5326599194634107</v>
      </c>
      <c r="P1306" s="4">
        <v>1.53</v>
      </c>
      <c r="Q1306" s="3" t="s">
        <v>1597</v>
      </c>
      <c r="R1306" s="3" t="s">
        <v>1607</v>
      </c>
      <c r="S1306" s="3" t="s">
        <v>1608</v>
      </c>
      <c r="T1306" s="3"/>
    </row>
    <row r="1307" spans="1:20">
      <c r="A1307" s="3" t="s">
        <v>1600</v>
      </c>
      <c r="B1307" s="3" t="s">
        <v>1609</v>
      </c>
      <c r="C1307" s="3" t="s">
        <v>1616</v>
      </c>
      <c r="D1307" s="3" t="s">
        <v>32</v>
      </c>
      <c r="E1307" s="3" t="s">
        <v>33</v>
      </c>
      <c r="F1307" s="2">
        <v>1</v>
      </c>
      <c r="G1307" s="4">
        <v>1.0418383831723319</v>
      </c>
      <c r="H1307" s="2">
        <v>25</v>
      </c>
      <c r="I1307" s="2">
        <v>5</v>
      </c>
      <c r="J1307" s="2">
        <v>16</v>
      </c>
      <c r="K1307" s="11">
        <v>0.16329230689500907</v>
      </c>
      <c r="L1307" s="11">
        <v>0.28511951085303039</v>
      </c>
      <c r="M1307" s="4">
        <v>0.28511951085303039</v>
      </c>
      <c r="N1307" s="10">
        <v>0.28499999999999998</v>
      </c>
      <c r="O1307" s="4">
        <v>1.4538940531560907</v>
      </c>
      <c r="P1307" s="4">
        <v>1.45</v>
      </c>
      <c r="Q1307" s="3" t="s">
        <v>1597</v>
      </c>
      <c r="R1307" s="3" t="s">
        <v>1610</v>
      </c>
      <c r="S1307" s="3" t="s">
        <v>1611</v>
      </c>
      <c r="T1307" s="3"/>
    </row>
    <row r="1308" spans="1:20">
      <c r="A1308" s="3" t="s">
        <v>1600</v>
      </c>
      <c r="B1308" s="3" t="s">
        <v>1606</v>
      </c>
      <c r="C1308" s="3" t="s">
        <v>1616</v>
      </c>
      <c r="D1308" s="3" t="s">
        <v>32</v>
      </c>
      <c r="E1308" s="3" t="s">
        <v>33</v>
      </c>
      <c r="F1308" s="2">
        <v>1</v>
      </c>
      <c r="G1308" s="4">
        <v>1.0418383831723319</v>
      </c>
      <c r="H1308" s="2">
        <v>25</v>
      </c>
      <c r="I1308" s="2">
        <v>5</v>
      </c>
      <c r="J1308" s="2">
        <v>1</v>
      </c>
      <c r="K1308" s="4">
        <v>1</v>
      </c>
      <c r="L1308" s="4">
        <v>0.21025742454234134</v>
      </c>
      <c r="M1308" s="4">
        <v>0.21025742454234134</v>
      </c>
      <c r="N1308" s="10">
        <v>0.21</v>
      </c>
      <c r="O1308" s="4">
        <v>1.0582252192035768</v>
      </c>
      <c r="P1308" s="4">
        <v>1.06</v>
      </c>
      <c r="Q1308" s="3" t="s">
        <v>1597</v>
      </c>
      <c r="R1308" s="3" t="s">
        <v>1607</v>
      </c>
      <c r="S1308" s="3" t="s">
        <v>1608</v>
      </c>
      <c r="T1308" s="3"/>
    </row>
    <row r="1309" spans="1:20">
      <c r="A1309" s="3" t="s">
        <v>1600</v>
      </c>
      <c r="B1309" s="3" t="s">
        <v>1606</v>
      </c>
      <c r="C1309" s="3" t="s">
        <v>1616</v>
      </c>
      <c r="D1309" s="3" t="s">
        <v>32</v>
      </c>
      <c r="E1309" s="3" t="s">
        <v>33</v>
      </c>
      <c r="F1309" s="2">
        <v>1</v>
      </c>
      <c r="G1309" s="4">
        <v>1.0418383831723319</v>
      </c>
      <c r="H1309" s="2">
        <v>25</v>
      </c>
      <c r="I1309" s="2">
        <v>5</v>
      </c>
      <c r="J1309" s="2">
        <v>16</v>
      </c>
      <c r="K1309" s="11">
        <v>1</v>
      </c>
      <c r="L1309" s="11">
        <v>0.18877276304344826</v>
      </c>
      <c r="M1309" s="4">
        <v>0.18877276304344826</v>
      </c>
      <c r="N1309" s="10">
        <v>0.189</v>
      </c>
      <c r="O1309" s="4">
        <v>0.94728452411307962</v>
      </c>
      <c r="P1309" s="4">
        <v>0.95</v>
      </c>
      <c r="Q1309" s="3" t="s">
        <v>1597</v>
      </c>
      <c r="R1309" s="3" t="s">
        <v>1607</v>
      </c>
      <c r="S1309" s="3" t="s">
        <v>1608</v>
      </c>
      <c r="T1309" s="3"/>
    </row>
    <row r="1310" spans="1:20">
      <c r="A1310" s="3" t="s">
        <v>1594</v>
      </c>
      <c r="B1310" s="3" t="s">
        <v>1595</v>
      </c>
      <c r="C1310" s="3" t="s">
        <v>1596</v>
      </c>
      <c r="D1310" s="3" t="s">
        <v>32</v>
      </c>
      <c r="E1310" s="3" t="s">
        <v>33</v>
      </c>
      <c r="F1310" s="2">
        <v>1</v>
      </c>
      <c r="G1310" s="4">
        <v>1.0418383831723319</v>
      </c>
      <c r="H1310" s="2">
        <v>50</v>
      </c>
      <c r="I1310" s="2">
        <v>5</v>
      </c>
      <c r="J1310" s="2">
        <v>16</v>
      </c>
      <c r="K1310" s="4">
        <v>1</v>
      </c>
      <c r="L1310" s="14">
        <v>7.9023861386465832E-2</v>
      </c>
      <c r="M1310" s="4">
        <v>7.9023861386465832E-2</v>
      </c>
      <c r="N1310" s="10">
        <v>7.9000000000000001E-2</v>
      </c>
      <c r="O1310" s="4">
        <v>0.42553473853582419</v>
      </c>
      <c r="P1310" s="4">
        <v>0.43</v>
      </c>
      <c r="Q1310" s="3" t="s">
        <v>1597</v>
      </c>
      <c r="R1310" s="3" t="s">
        <v>1598</v>
      </c>
      <c r="S1310" s="3" t="s">
        <v>1599</v>
      </c>
      <c r="T1310" s="3"/>
    </row>
    <row r="1311" spans="1:20">
      <c r="A1311" s="3" t="s">
        <v>1594</v>
      </c>
      <c r="B1311" s="3" t="s">
        <v>1612</v>
      </c>
      <c r="C1311" s="3" t="s">
        <v>1596</v>
      </c>
      <c r="D1311" s="3" t="s">
        <v>32</v>
      </c>
      <c r="E1311" s="3" t="s">
        <v>33</v>
      </c>
      <c r="F1311" s="2">
        <v>1</v>
      </c>
      <c r="G1311" s="4">
        <v>1.0418383831723319</v>
      </c>
      <c r="H1311" s="2">
        <v>50</v>
      </c>
      <c r="I1311" s="2">
        <v>5</v>
      </c>
      <c r="J1311" s="2">
        <v>16</v>
      </c>
      <c r="K1311" s="4">
        <v>1</v>
      </c>
      <c r="L1311" s="14">
        <v>-0.11650069196101996</v>
      </c>
      <c r="M1311" s="4">
        <v>0.11650069196101996</v>
      </c>
      <c r="N1311" s="10">
        <v>0.11700000000000001</v>
      </c>
      <c r="O1311" s="4">
        <v>0.62889082541677177</v>
      </c>
      <c r="P1311" s="4">
        <v>-0.63</v>
      </c>
      <c r="Q1311" s="3" t="s">
        <v>1617</v>
      </c>
      <c r="R1311" s="3" t="s">
        <v>1627</v>
      </c>
      <c r="S1311" s="3" t="s">
        <v>1628</v>
      </c>
      <c r="T1311" s="3"/>
    </row>
    <row r="1312" spans="1:20">
      <c r="A1312" s="3" t="s">
        <v>1594</v>
      </c>
      <c r="B1312" s="3" t="s">
        <v>1612</v>
      </c>
      <c r="C1312" s="3" t="s">
        <v>1596</v>
      </c>
      <c r="D1312" s="3" t="s">
        <v>937</v>
      </c>
      <c r="E1312" s="3" t="s">
        <v>938</v>
      </c>
      <c r="F1312" s="2">
        <v>1</v>
      </c>
      <c r="G1312" s="4">
        <v>1.0422604022473738</v>
      </c>
      <c r="H1312" s="2">
        <v>50</v>
      </c>
      <c r="I1312" s="2">
        <v>5</v>
      </c>
      <c r="J1312" s="2">
        <v>16</v>
      </c>
      <c r="K1312" s="4">
        <v>0.69014177226329998</v>
      </c>
      <c r="L1312" s="4">
        <v>0.23200357258164284</v>
      </c>
      <c r="M1312" s="4">
        <v>0.23200357258164284</v>
      </c>
      <c r="N1312" s="10">
        <v>0.23200000000000001</v>
      </c>
      <c r="O1312" s="4">
        <v>1.26982831841627</v>
      </c>
      <c r="P1312" s="4">
        <v>1.27</v>
      </c>
      <c r="Q1312" s="3" t="s">
        <v>1597</v>
      </c>
      <c r="R1312" s="3" t="s">
        <v>1613</v>
      </c>
      <c r="S1312" s="3" t="s">
        <v>1614</v>
      </c>
      <c r="T1312" s="3"/>
    </row>
    <row r="1313" spans="1:20">
      <c r="A1313" s="3" t="s">
        <v>1594</v>
      </c>
      <c r="B1313" s="3" t="s">
        <v>1595</v>
      </c>
      <c r="C1313" s="3" t="s">
        <v>1596</v>
      </c>
      <c r="D1313" s="3" t="s">
        <v>937</v>
      </c>
      <c r="E1313" s="3" t="s">
        <v>938</v>
      </c>
      <c r="F1313" s="2">
        <v>1</v>
      </c>
      <c r="G1313" s="4">
        <v>1.0422604022473738</v>
      </c>
      <c r="H1313" s="2">
        <v>50</v>
      </c>
      <c r="I1313" s="2">
        <v>5</v>
      </c>
      <c r="J1313" s="2">
        <v>16</v>
      </c>
      <c r="K1313" s="4">
        <v>1</v>
      </c>
      <c r="L1313" s="4">
        <v>-0.24497272848643806</v>
      </c>
      <c r="M1313" s="4">
        <v>0.24497272848643806</v>
      </c>
      <c r="N1313" s="10">
        <v>0.245</v>
      </c>
      <c r="O1313" s="4">
        <v>1.343724414439081</v>
      </c>
      <c r="P1313" s="4">
        <v>-1.34</v>
      </c>
      <c r="Q1313" s="3" t="s">
        <v>1617</v>
      </c>
      <c r="R1313" s="3" t="s">
        <v>1625</v>
      </c>
      <c r="S1313" s="3" t="s">
        <v>1626</v>
      </c>
      <c r="T1313" s="3"/>
    </row>
    <row r="1314" spans="1:20">
      <c r="A1314" s="3" t="s">
        <v>1594</v>
      </c>
      <c r="B1314" s="3" t="s">
        <v>1595</v>
      </c>
      <c r="C1314" s="3" t="s">
        <v>1596</v>
      </c>
      <c r="D1314" s="3" t="s">
        <v>937</v>
      </c>
      <c r="E1314" s="3" t="s">
        <v>938</v>
      </c>
      <c r="F1314" s="2">
        <v>1</v>
      </c>
      <c r="G1314" s="4">
        <v>1.0422604022473738</v>
      </c>
      <c r="H1314" s="2">
        <v>25</v>
      </c>
      <c r="I1314" s="2">
        <v>5</v>
      </c>
      <c r="J1314" s="2">
        <v>16</v>
      </c>
      <c r="K1314" s="4">
        <v>0.43658610260013575</v>
      </c>
      <c r="L1314" s="4">
        <v>-0.28541491847345168</v>
      </c>
      <c r="M1314" s="4">
        <v>0.28541491847345168</v>
      </c>
      <c r="N1314" s="10">
        <v>0.28499999999999998</v>
      </c>
      <c r="O1314" s="4">
        <v>1.455488409934562</v>
      </c>
      <c r="P1314" s="4">
        <v>-1.45</v>
      </c>
      <c r="Q1314" s="3" t="s">
        <v>1617</v>
      </c>
      <c r="R1314" s="3" t="s">
        <v>1625</v>
      </c>
      <c r="S1314" s="3" t="s">
        <v>1626</v>
      </c>
      <c r="T1314" s="3"/>
    </row>
    <row r="1315" spans="1:20">
      <c r="A1315" s="3" t="s">
        <v>1604</v>
      </c>
      <c r="B1315" s="3" t="s">
        <v>1601</v>
      </c>
      <c r="C1315" s="3" t="s">
        <v>1616</v>
      </c>
      <c r="D1315" s="3" t="s">
        <v>937</v>
      </c>
      <c r="E1315" s="3" t="s">
        <v>938</v>
      </c>
      <c r="F1315" s="2">
        <v>1</v>
      </c>
      <c r="G1315" s="4">
        <v>1.0422604022473738</v>
      </c>
      <c r="H1315" s="2">
        <v>25</v>
      </c>
      <c r="I1315" s="2">
        <v>30</v>
      </c>
      <c r="J1315" s="2">
        <v>16</v>
      </c>
      <c r="K1315" s="4">
        <v>1</v>
      </c>
      <c r="L1315" s="4">
        <v>-0.94887144359786024</v>
      </c>
      <c r="M1315" s="4">
        <v>0.94887144359786024</v>
      </c>
      <c r="N1315" s="10">
        <v>0.94899999999999995</v>
      </c>
      <c r="O1315" s="4">
        <v>9.0250866279167976</v>
      </c>
      <c r="P1315" s="4">
        <v>-9.0299999999999994</v>
      </c>
      <c r="Q1315" s="3" t="s">
        <v>1617</v>
      </c>
      <c r="R1315" s="3" t="s">
        <v>1618</v>
      </c>
      <c r="S1315" s="3" t="s">
        <v>1619</v>
      </c>
      <c r="T1315" s="3"/>
    </row>
    <row r="1316" spans="1:20">
      <c r="A1316" s="3" t="s">
        <v>1600</v>
      </c>
      <c r="B1316" s="3" t="s">
        <v>1609</v>
      </c>
      <c r="C1316" s="3" t="s">
        <v>1616</v>
      </c>
      <c r="D1316" s="3" t="s">
        <v>937</v>
      </c>
      <c r="E1316" s="3" t="s">
        <v>938</v>
      </c>
      <c r="F1316" s="2">
        <v>1</v>
      </c>
      <c r="G1316" s="4">
        <v>1.0422604022473738</v>
      </c>
      <c r="H1316" s="2">
        <v>25</v>
      </c>
      <c r="I1316" s="2">
        <v>5</v>
      </c>
      <c r="J1316" s="2">
        <v>16</v>
      </c>
      <c r="K1316" s="4">
        <v>0.943525563810235</v>
      </c>
      <c r="L1316" s="4">
        <v>-0.97218800542386163</v>
      </c>
      <c r="M1316" s="4">
        <v>0.97218800542386163</v>
      </c>
      <c r="N1316" s="10">
        <v>0.97199999999999998</v>
      </c>
      <c r="O1316" s="4">
        <v>10.563953020936298</v>
      </c>
      <c r="P1316" s="4">
        <v>-10.55</v>
      </c>
      <c r="Q1316" s="3" t="s">
        <v>1617</v>
      </c>
      <c r="R1316" s="3" t="s">
        <v>1623</v>
      </c>
      <c r="S1316" s="3" t="s">
        <v>1624</v>
      </c>
      <c r="T1316" s="3"/>
    </row>
    <row r="1317" spans="1:20">
      <c r="A1317" s="3" t="s">
        <v>1600</v>
      </c>
      <c r="B1317" s="3" t="s">
        <v>1609</v>
      </c>
      <c r="C1317" s="3" t="s">
        <v>1616</v>
      </c>
      <c r="D1317" s="3" t="s">
        <v>937</v>
      </c>
      <c r="E1317" s="3" t="s">
        <v>938</v>
      </c>
      <c r="F1317" s="2">
        <v>1</v>
      </c>
      <c r="G1317" s="4">
        <v>1.0422604022473738</v>
      </c>
      <c r="H1317" s="2">
        <v>25</v>
      </c>
      <c r="I1317" s="2">
        <v>5</v>
      </c>
      <c r="J1317" s="2">
        <v>1</v>
      </c>
      <c r="K1317" s="4">
        <v>0.84242824792445181</v>
      </c>
      <c r="L1317" s="4">
        <v>-0.98471322805540396</v>
      </c>
      <c r="M1317" s="4">
        <v>0.98471322805540396</v>
      </c>
      <c r="N1317" s="10">
        <v>0.98499999999999999</v>
      </c>
      <c r="O1317" s="4">
        <v>12.063258647117788</v>
      </c>
      <c r="P1317" s="4">
        <v>-12.11</v>
      </c>
      <c r="Q1317" s="3" t="s">
        <v>1617</v>
      </c>
      <c r="R1317" s="3" t="s">
        <v>1623</v>
      </c>
      <c r="S1317" s="3" t="s">
        <v>1624</v>
      </c>
      <c r="T1317" s="3"/>
    </row>
    <row r="1318" spans="1:20">
      <c r="A1318" s="3" t="s">
        <v>1600</v>
      </c>
      <c r="B1318" s="3" t="s">
        <v>1601</v>
      </c>
      <c r="C1318" s="3" t="s">
        <v>1616</v>
      </c>
      <c r="D1318" s="3" t="s">
        <v>937</v>
      </c>
      <c r="E1318" s="3" t="s">
        <v>938</v>
      </c>
      <c r="F1318" s="2">
        <v>1</v>
      </c>
      <c r="G1318" s="4">
        <v>1.0422604022473738</v>
      </c>
      <c r="H1318" s="2">
        <v>25</v>
      </c>
      <c r="I1318" s="2">
        <v>5</v>
      </c>
      <c r="J1318" s="2">
        <v>16</v>
      </c>
      <c r="K1318" s="4">
        <v>1</v>
      </c>
      <c r="L1318" s="4">
        <v>-0.98669475016888142</v>
      </c>
      <c r="M1318" s="4">
        <v>0.98669475016888142</v>
      </c>
      <c r="N1318" s="10">
        <v>0.98699999999999999</v>
      </c>
      <c r="O1318" s="4">
        <v>12.409885548898622</v>
      </c>
      <c r="P1318" s="4">
        <v>-12.47</v>
      </c>
      <c r="Q1318" s="3" t="s">
        <v>1617</v>
      </c>
      <c r="R1318" s="3" t="s">
        <v>1618</v>
      </c>
      <c r="S1318" s="3" t="s">
        <v>1619</v>
      </c>
      <c r="T1318" s="3"/>
    </row>
    <row r="1319" spans="1:20">
      <c r="A1319" s="3" t="s">
        <v>1600</v>
      </c>
      <c r="B1319" s="3" t="s">
        <v>1609</v>
      </c>
      <c r="C1319" s="3" t="s">
        <v>1596</v>
      </c>
      <c r="D1319" s="3" t="s">
        <v>937</v>
      </c>
      <c r="E1319" s="3" t="s">
        <v>938</v>
      </c>
      <c r="F1319" s="2">
        <v>1</v>
      </c>
      <c r="G1319" s="4">
        <v>1.0422604022473738</v>
      </c>
      <c r="H1319" s="2">
        <v>25</v>
      </c>
      <c r="I1319" s="2">
        <v>5</v>
      </c>
      <c r="J1319" s="2">
        <v>1</v>
      </c>
      <c r="K1319" s="4">
        <v>0.98076997735629923</v>
      </c>
      <c r="L1319" s="4">
        <v>-0.98740357366521658</v>
      </c>
      <c r="M1319" s="4">
        <v>0.98740357366521658</v>
      </c>
      <c r="N1319" s="10">
        <v>0.98699999999999999</v>
      </c>
      <c r="O1319" s="4">
        <v>12.546482282088057</v>
      </c>
      <c r="P1319" s="4">
        <v>-12.47</v>
      </c>
      <c r="Q1319" s="3" t="s">
        <v>1617</v>
      </c>
      <c r="R1319" s="3" t="s">
        <v>1623</v>
      </c>
      <c r="S1319" s="3" t="s">
        <v>1624</v>
      </c>
      <c r="T1319" s="3"/>
    </row>
    <row r="1320" spans="1:20">
      <c r="A1320" s="3" t="s">
        <v>1600</v>
      </c>
      <c r="B1320" s="3" t="s">
        <v>1606</v>
      </c>
      <c r="C1320" s="3" t="s">
        <v>1616</v>
      </c>
      <c r="D1320" s="3" t="s">
        <v>937</v>
      </c>
      <c r="E1320" s="3" t="s">
        <v>938</v>
      </c>
      <c r="F1320" s="2">
        <v>1</v>
      </c>
      <c r="G1320" s="4">
        <v>1.0422604022473738</v>
      </c>
      <c r="H1320" s="2">
        <v>25</v>
      </c>
      <c r="I1320" s="2">
        <v>5</v>
      </c>
      <c r="J1320" s="2">
        <v>16</v>
      </c>
      <c r="K1320" s="4">
        <v>1</v>
      </c>
      <c r="L1320" s="4">
        <v>-0.9874954429066275</v>
      </c>
      <c r="M1320" s="4">
        <v>0.9874954429066275</v>
      </c>
      <c r="N1320" s="10">
        <v>0.98699999999999999</v>
      </c>
      <c r="O1320" s="4">
        <v>12.564742928995505</v>
      </c>
      <c r="P1320" s="4">
        <v>-12.47</v>
      </c>
      <c r="Q1320" s="3" t="s">
        <v>1617</v>
      </c>
      <c r="R1320" s="3" t="s">
        <v>1621</v>
      </c>
      <c r="S1320" s="3" t="s">
        <v>1622</v>
      </c>
      <c r="T1320" s="3"/>
    </row>
    <row r="1321" spans="1:20">
      <c r="A1321" s="3" t="s">
        <v>1600</v>
      </c>
      <c r="B1321" s="3" t="s">
        <v>1606</v>
      </c>
      <c r="C1321" s="3" t="s">
        <v>1616</v>
      </c>
      <c r="D1321" s="3" t="s">
        <v>937</v>
      </c>
      <c r="E1321" s="3" t="s">
        <v>938</v>
      </c>
      <c r="F1321" s="2">
        <v>1</v>
      </c>
      <c r="G1321" s="4">
        <v>1.0422604022473738</v>
      </c>
      <c r="H1321" s="2">
        <v>25</v>
      </c>
      <c r="I1321" s="2">
        <v>5</v>
      </c>
      <c r="J1321" s="2">
        <v>1</v>
      </c>
      <c r="K1321" s="4">
        <v>1</v>
      </c>
      <c r="L1321" s="4">
        <v>-0.98814323794576864</v>
      </c>
      <c r="M1321" s="4">
        <v>0.98814323794576864</v>
      </c>
      <c r="N1321" s="10">
        <v>0.98799999999999999</v>
      </c>
      <c r="O1321" s="4">
        <v>12.697419004496302</v>
      </c>
      <c r="P1321" s="4">
        <v>-12.67</v>
      </c>
      <c r="Q1321" s="3" t="s">
        <v>1617</v>
      </c>
      <c r="R1321" s="3" t="s">
        <v>1621</v>
      </c>
      <c r="S1321" s="3" t="s">
        <v>1622</v>
      </c>
      <c r="T1321" s="3"/>
    </row>
    <row r="1322" spans="1:20">
      <c r="A1322" s="3" t="s">
        <v>1600</v>
      </c>
      <c r="B1322" s="3" t="s">
        <v>1609</v>
      </c>
      <c r="C1322" s="3" t="s">
        <v>1596</v>
      </c>
      <c r="D1322" s="3" t="s">
        <v>937</v>
      </c>
      <c r="E1322" s="3" t="s">
        <v>938</v>
      </c>
      <c r="F1322" s="2">
        <v>1</v>
      </c>
      <c r="G1322" s="4">
        <v>1.0422604022473738</v>
      </c>
      <c r="H1322" s="2">
        <v>25</v>
      </c>
      <c r="I1322" s="2">
        <v>5</v>
      </c>
      <c r="J1322" s="2">
        <v>16</v>
      </c>
      <c r="K1322" s="4">
        <v>1</v>
      </c>
      <c r="L1322" s="4">
        <v>-0.98890057501487105</v>
      </c>
      <c r="M1322" s="4">
        <v>0.98890057501487105</v>
      </c>
      <c r="N1322" s="10">
        <v>0.98899999999999999</v>
      </c>
      <c r="O1322" s="4">
        <v>12.861987519922472</v>
      </c>
      <c r="P1322" s="4">
        <v>-12.88</v>
      </c>
      <c r="Q1322" s="3" t="s">
        <v>1617</v>
      </c>
      <c r="R1322" s="3" t="s">
        <v>1623</v>
      </c>
      <c r="S1322" s="3" t="s">
        <v>1624</v>
      </c>
      <c r="T1322" s="3"/>
    </row>
    <row r="1323" spans="1:20">
      <c r="A1323" s="3" t="s">
        <v>1600</v>
      </c>
      <c r="B1323" s="3" t="s">
        <v>1601</v>
      </c>
      <c r="C1323" s="3" t="s">
        <v>1616</v>
      </c>
      <c r="D1323" s="3" t="s">
        <v>937</v>
      </c>
      <c r="E1323" s="3" t="s">
        <v>938</v>
      </c>
      <c r="F1323" s="2">
        <v>1</v>
      </c>
      <c r="G1323" s="4">
        <v>1.0422604022473738</v>
      </c>
      <c r="H1323" s="2">
        <v>25</v>
      </c>
      <c r="I1323" s="2">
        <v>5</v>
      </c>
      <c r="J1323" s="2">
        <v>1</v>
      </c>
      <c r="K1323" s="4">
        <v>1</v>
      </c>
      <c r="L1323" s="4">
        <v>-0.99264852274697779</v>
      </c>
      <c r="M1323" s="4">
        <v>0.99264852274697779</v>
      </c>
      <c r="N1323" s="10">
        <v>0.99299999999999999</v>
      </c>
      <c r="O1323" s="4">
        <v>13.887969686542499</v>
      </c>
      <c r="P1323" s="4">
        <v>-14.01</v>
      </c>
      <c r="Q1323" s="3" t="s">
        <v>1617</v>
      </c>
      <c r="R1323" s="3" t="s">
        <v>1618</v>
      </c>
      <c r="S1323" s="3" t="s">
        <v>1619</v>
      </c>
      <c r="T1323" s="3"/>
    </row>
    <row r="1324" spans="1:20">
      <c r="A1324" s="3" t="s">
        <v>1604</v>
      </c>
      <c r="B1324" s="3" t="s">
        <v>1601</v>
      </c>
      <c r="C1324" s="3" t="s">
        <v>1596</v>
      </c>
      <c r="D1324" s="3" t="s">
        <v>937</v>
      </c>
      <c r="E1324" s="3" t="s">
        <v>938</v>
      </c>
      <c r="F1324" s="2">
        <v>1</v>
      </c>
      <c r="G1324" s="4">
        <v>1.0422604022473738</v>
      </c>
      <c r="H1324" s="2">
        <v>25</v>
      </c>
      <c r="I1324" s="2">
        <v>30</v>
      </c>
      <c r="J1324" s="2">
        <v>16</v>
      </c>
      <c r="K1324" s="4">
        <v>0.98188459922518379</v>
      </c>
      <c r="L1324" s="4">
        <v>-0.99387630531603166</v>
      </c>
      <c r="M1324" s="4">
        <v>0.99387630531603166</v>
      </c>
      <c r="N1324" s="10">
        <v>0.99399999999999999</v>
      </c>
      <c r="O1324" s="4">
        <v>14.342492530507943</v>
      </c>
      <c r="P1324" s="4">
        <v>-14.39</v>
      </c>
      <c r="Q1324" s="3" t="s">
        <v>1617</v>
      </c>
      <c r="R1324" s="3" t="s">
        <v>1618</v>
      </c>
      <c r="S1324" s="3" t="s">
        <v>1619</v>
      </c>
      <c r="T1324" s="3"/>
    </row>
    <row r="1325" spans="1:20">
      <c r="A1325" s="3" t="s">
        <v>1605</v>
      </c>
      <c r="B1325" s="3" t="s">
        <v>1601</v>
      </c>
      <c r="C1325" s="3" t="s">
        <v>1596</v>
      </c>
      <c r="D1325" s="3" t="s">
        <v>937</v>
      </c>
      <c r="E1325" s="3" t="s">
        <v>938</v>
      </c>
      <c r="F1325" s="2">
        <v>1</v>
      </c>
      <c r="G1325" s="4">
        <v>1.0422604022473738</v>
      </c>
      <c r="H1325" s="2">
        <v>25</v>
      </c>
      <c r="I1325" s="2">
        <v>5</v>
      </c>
      <c r="J1325" s="2">
        <v>16</v>
      </c>
      <c r="K1325" s="4">
        <v>1</v>
      </c>
      <c r="L1325" s="4">
        <v>-0.99484301371313599</v>
      </c>
      <c r="M1325" s="4">
        <v>0.99484301371313599</v>
      </c>
      <c r="N1325" s="10">
        <v>0.995</v>
      </c>
      <c r="O1325" s="4">
        <v>14.769613754832717</v>
      </c>
      <c r="P1325" s="4">
        <v>-14.85</v>
      </c>
      <c r="Q1325" s="3" t="s">
        <v>1617</v>
      </c>
      <c r="R1325" s="3" t="s">
        <v>1618</v>
      </c>
      <c r="S1325" s="3" t="s">
        <v>1619</v>
      </c>
      <c r="T1325" s="3"/>
    </row>
    <row r="1326" spans="1:20">
      <c r="A1326" s="3" t="s">
        <v>1600</v>
      </c>
      <c r="B1326" s="3" t="s">
        <v>1601</v>
      </c>
      <c r="C1326" s="3" t="s">
        <v>1596</v>
      </c>
      <c r="D1326" s="3" t="s">
        <v>937</v>
      </c>
      <c r="E1326" s="3" t="s">
        <v>938</v>
      </c>
      <c r="F1326" s="2">
        <v>1</v>
      </c>
      <c r="G1326" s="4">
        <v>1.0422604022473738</v>
      </c>
      <c r="H1326" s="2">
        <v>25</v>
      </c>
      <c r="I1326" s="2">
        <v>5</v>
      </c>
      <c r="J1326" s="2">
        <v>1</v>
      </c>
      <c r="K1326" s="4">
        <v>1</v>
      </c>
      <c r="L1326" s="4">
        <v>-1</v>
      </c>
      <c r="M1326" s="4">
        <v>1</v>
      </c>
      <c r="N1326" s="10">
        <v>0.995</v>
      </c>
      <c r="O1326" s="4">
        <v>14.85</v>
      </c>
      <c r="P1326" s="4">
        <v>-14.85</v>
      </c>
      <c r="Q1326" s="3" t="s">
        <v>1617</v>
      </c>
      <c r="R1326" s="3" t="s">
        <v>1618</v>
      </c>
      <c r="S1326" s="3" t="s">
        <v>1619</v>
      </c>
      <c r="T1326" s="3"/>
    </row>
    <row r="1327" spans="1:20">
      <c r="A1327" s="3" t="s">
        <v>1600</v>
      </c>
      <c r="B1327" s="3" t="s">
        <v>1601</v>
      </c>
      <c r="C1327" s="3" t="s">
        <v>1596</v>
      </c>
      <c r="D1327" s="3" t="s">
        <v>937</v>
      </c>
      <c r="E1327" s="3" t="s">
        <v>938</v>
      </c>
      <c r="F1327" s="2">
        <v>1</v>
      </c>
      <c r="G1327" s="4">
        <v>1.0422604022473738</v>
      </c>
      <c r="H1327" s="2">
        <v>25</v>
      </c>
      <c r="I1327" s="2">
        <v>5</v>
      </c>
      <c r="J1327" s="2">
        <v>16</v>
      </c>
      <c r="K1327" s="4">
        <v>1</v>
      </c>
      <c r="L1327" s="4">
        <v>-1</v>
      </c>
      <c r="M1327" s="4">
        <v>1</v>
      </c>
      <c r="N1327" s="10">
        <v>0.995</v>
      </c>
      <c r="O1327" s="4">
        <v>14.85</v>
      </c>
      <c r="P1327" s="4">
        <v>-14.85</v>
      </c>
      <c r="Q1327" s="3" t="s">
        <v>1617</v>
      </c>
      <c r="R1327" s="3" t="s">
        <v>1618</v>
      </c>
      <c r="S1327" s="3" t="s">
        <v>1619</v>
      </c>
      <c r="T1327" s="3"/>
    </row>
    <row r="1328" spans="1:20">
      <c r="A1328" s="3" t="s">
        <v>1600</v>
      </c>
      <c r="B1328" s="3" t="s">
        <v>1606</v>
      </c>
      <c r="C1328" s="3" t="s">
        <v>1596</v>
      </c>
      <c r="D1328" s="3" t="s">
        <v>937</v>
      </c>
      <c r="E1328" s="3" t="s">
        <v>938</v>
      </c>
      <c r="F1328" s="2">
        <v>1</v>
      </c>
      <c r="G1328" s="4">
        <v>1.0422604022473738</v>
      </c>
      <c r="H1328" s="2">
        <v>25</v>
      </c>
      <c r="I1328" s="2">
        <v>5</v>
      </c>
      <c r="J1328" s="2">
        <v>1</v>
      </c>
      <c r="K1328" s="4">
        <v>1</v>
      </c>
      <c r="L1328" s="4">
        <v>-1</v>
      </c>
      <c r="M1328" s="4">
        <v>1</v>
      </c>
      <c r="N1328" s="10">
        <v>0.995</v>
      </c>
      <c r="O1328" s="4">
        <v>14.85</v>
      </c>
      <c r="P1328" s="4">
        <v>-14.85</v>
      </c>
      <c r="Q1328" s="3" t="s">
        <v>1617</v>
      </c>
      <c r="R1328" s="3" t="s">
        <v>1621</v>
      </c>
      <c r="S1328" s="3" t="s">
        <v>1622</v>
      </c>
      <c r="T1328" s="3"/>
    </row>
    <row r="1329" spans="1:20">
      <c r="A1329" s="3" t="s">
        <v>1600</v>
      </c>
      <c r="B1329" s="3" t="s">
        <v>1606</v>
      </c>
      <c r="C1329" s="3" t="s">
        <v>1596</v>
      </c>
      <c r="D1329" s="3" t="s">
        <v>937</v>
      </c>
      <c r="E1329" s="3" t="s">
        <v>938</v>
      </c>
      <c r="F1329" s="2">
        <v>1</v>
      </c>
      <c r="G1329" s="4">
        <v>1.0422604022473738</v>
      </c>
      <c r="H1329" s="2">
        <v>25</v>
      </c>
      <c r="I1329" s="2">
        <v>5</v>
      </c>
      <c r="J1329" s="2">
        <v>16</v>
      </c>
      <c r="K1329" s="4">
        <v>1</v>
      </c>
      <c r="L1329" s="4">
        <v>-1</v>
      </c>
      <c r="M1329" s="4">
        <v>1</v>
      </c>
      <c r="N1329" s="10">
        <v>0.995</v>
      </c>
      <c r="O1329" s="4">
        <v>14.85</v>
      </c>
      <c r="P1329" s="4">
        <v>-14.85</v>
      </c>
      <c r="Q1329" s="3" t="s">
        <v>1617</v>
      </c>
      <c r="R1329" s="3" t="s">
        <v>1621</v>
      </c>
      <c r="S1329" s="3" t="s">
        <v>1622</v>
      </c>
      <c r="T1329" s="3"/>
    </row>
    <row r="1330" spans="1:20">
      <c r="A1330" s="3" t="s">
        <v>1600</v>
      </c>
      <c r="B1330" s="3" t="s">
        <v>1606</v>
      </c>
      <c r="C1330" s="3" t="s">
        <v>1596</v>
      </c>
      <c r="D1330" s="3" t="s">
        <v>589</v>
      </c>
      <c r="E1330" s="3" t="s">
        <v>590</v>
      </c>
      <c r="F1330" s="2">
        <v>1</v>
      </c>
      <c r="G1330" s="4">
        <v>1.0428449250972491</v>
      </c>
      <c r="H1330" s="2">
        <v>25</v>
      </c>
      <c r="I1330" s="2">
        <v>5</v>
      </c>
      <c r="J1330" s="2">
        <v>1</v>
      </c>
      <c r="K1330" s="11">
        <v>1</v>
      </c>
      <c r="L1330" s="11">
        <v>1</v>
      </c>
      <c r="M1330" s="4">
        <v>1</v>
      </c>
      <c r="N1330" s="10">
        <v>0.995</v>
      </c>
      <c r="O1330" s="4">
        <v>14.85</v>
      </c>
      <c r="P1330" s="4">
        <v>14.85</v>
      </c>
      <c r="Q1330" s="3" t="s">
        <v>1597</v>
      </c>
      <c r="R1330" s="3" t="s">
        <v>1607</v>
      </c>
      <c r="S1330" s="3" t="s">
        <v>1608</v>
      </c>
      <c r="T1330" s="3"/>
    </row>
    <row r="1331" spans="1:20">
      <c r="A1331" s="3" t="s">
        <v>1600</v>
      </c>
      <c r="B1331" s="3" t="s">
        <v>1606</v>
      </c>
      <c r="C1331" s="3" t="s">
        <v>1596</v>
      </c>
      <c r="D1331" s="3" t="s">
        <v>589</v>
      </c>
      <c r="E1331" s="3" t="s">
        <v>590</v>
      </c>
      <c r="F1331" s="2">
        <v>1</v>
      </c>
      <c r="G1331" s="4">
        <v>1.0428449250972491</v>
      </c>
      <c r="H1331" s="2">
        <v>25</v>
      </c>
      <c r="I1331" s="2">
        <v>5</v>
      </c>
      <c r="J1331" s="2">
        <v>16</v>
      </c>
      <c r="K1331" s="11">
        <v>1</v>
      </c>
      <c r="L1331" s="11">
        <v>1</v>
      </c>
      <c r="M1331" s="4">
        <v>1</v>
      </c>
      <c r="N1331" s="10">
        <v>0.995</v>
      </c>
      <c r="O1331" s="4">
        <v>14.85</v>
      </c>
      <c r="P1331" s="4">
        <v>14.85</v>
      </c>
      <c r="Q1331" s="3" t="s">
        <v>1597</v>
      </c>
      <c r="R1331" s="3" t="s">
        <v>1607</v>
      </c>
      <c r="S1331" s="3" t="s">
        <v>1608</v>
      </c>
      <c r="T1331" s="3"/>
    </row>
    <row r="1332" spans="1:20">
      <c r="A1332" s="3" t="s">
        <v>1600</v>
      </c>
      <c r="B1332" s="3" t="s">
        <v>1609</v>
      </c>
      <c r="C1332" s="3" t="s">
        <v>1596</v>
      </c>
      <c r="D1332" s="3" t="s">
        <v>589</v>
      </c>
      <c r="E1332" s="3" t="s">
        <v>590</v>
      </c>
      <c r="F1332" s="2">
        <v>1</v>
      </c>
      <c r="G1332" s="4">
        <v>1.0428449250972491</v>
      </c>
      <c r="H1332" s="2">
        <v>25</v>
      </c>
      <c r="I1332" s="2">
        <v>5</v>
      </c>
      <c r="J1332" s="2">
        <v>1</v>
      </c>
      <c r="K1332" s="11">
        <v>1</v>
      </c>
      <c r="L1332" s="11">
        <v>1</v>
      </c>
      <c r="M1332" s="4">
        <v>1</v>
      </c>
      <c r="N1332" s="10">
        <v>0.995</v>
      </c>
      <c r="O1332" s="4">
        <v>14.85</v>
      </c>
      <c r="P1332" s="4">
        <v>14.85</v>
      </c>
      <c r="Q1332" s="3" t="s">
        <v>1597</v>
      </c>
      <c r="R1332" s="3" t="s">
        <v>1610</v>
      </c>
      <c r="S1332" s="3" t="s">
        <v>1611</v>
      </c>
      <c r="T1332" s="3"/>
    </row>
    <row r="1333" spans="1:20">
      <c r="A1333" s="3" t="s">
        <v>1600</v>
      </c>
      <c r="B1333" s="3" t="s">
        <v>1606</v>
      </c>
      <c r="C1333" s="3" t="s">
        <v>1616</v>
      </c>
      <c r="D1333" s="3" t="s">
        <v>589</v>
      </c>
      <c r="E1333" s="3" t="s">
        <v>590</v>
      </c>
      <c r="F1333" s="2">
        <v>1</v>
      </c>
      <c r="G1333" s="4">
        <v>1.0428449250972491</v>
      </c>
      <c r="H1333" s="2">
        <v>25</v>
      </c>
      <c r="I1333" s="2">
        <v>5</v>
      </c>
      <c r="J1333" s="2">
        <v>1</v>
      </c>
      <c r="K1333" s="4">
        <v>1</v>
      </c>
      <c r="L1333" s="4">
        <v>1</v>
      </c>
      <c r="M1333" s="4">
        <v>1</v>
      </c>
      <c r="N1333" s="10">
        <v>0.995</v>
      </c>
      <c r="O1333" s="4">
        <v>14.85</v>
      </c>
      <c r="P1333" s="4">
        <v>14.85</v>
      </c>
      <c r="Q1333" s="3" t="s">
        <v>1597</v>
      </c>
      <c r="R1333" s="3" t="s">
        <v>1607</v>
      </c>
      <c r="S1333" s="3" t="s">
        <v>1608</v>
      </c>
      <c r="T1333" s="3"/>
    </row>
    <row r="1334" spans="1:20">
      <c r="A1334" s="3" t="s">
        <v>1600</v>
      </c>
      <c r="B1334" s="3" t="s">
        <v>1606</v>
      </c>
      <c r="C1334" s="3" t="s">
        <v>1616</v>
      </c>
      <c r="D1334" s="3" t="s">
        <v>589</v>
      </c>
      <c r="E1334" s="3" t="s">
        <v>590</v>
      </c>
      <c r="F1334" s="2">
        <v>1</v>
      </c>
      <c r="G1334" s="4">
        <v>1.0428449250972491</v>
      </c>
      <c r="H1334" s="2">
        <v>25</v>
      </c>
      <c r="I1334" s="2">
        <v>5</v>
      </c>
      <c r="J1334" s="2">
        <v>16</v>
      </c>
      <c r="K1334" s="11">
        <v>1</v>
      </c>
      <c r="L1334" s="11">
        <v>1</v>
      </c>
      <c r="M1334" s="4">
        <v>1</v>
      </c>
      <c r="N1334" s="10">
        <v>0.995</v>
      </c>
      <c r="O1334" s="4">
        <v>14.85</v>
      </c>
      <c r="P1334" s="4">
        <v>14.85</v>
      </c>
      <c r="Q1334" s="3" t="s">
        <v>1597</v>
      </c>
      <c r="R1334" s="3" t="s">
        <v>1607</v>
      </c>
      <c r="S1334" s="3" t="s">
        <v>1608</v>
      </c>
      <c r="T1334" s="3"/>
    </row>
    <row r="1335" spans="1:20">
      <c r="A1335" s="3" t="s">
        <v>1600</v>
      </c>
      <c r="B1335" s="3" t="s">
        <v>1609</v>
      </c>
      <c r="C1335" s="3" t="s">
        <v>1616</v>
      </c>
      <c r="D1335" s="3" t="s">
        <v>589</v>
      </c>
      <c r="E1335" s="3" t="s">
        <v>590</v>
      </c>
      <c r="F1335" s="2">
        <v>1</v>
      </c>
      <c r="G1335" s="4">
        <v>1.0428449250972491</v>
      </c>
      <c r="H1335" s="2">
        <v>25</v>
      </c>
      <c r="I1335" s="2">
        <v>5</v>
      </c>
      <c r="J1335" s="2">
        <v>16</v>
      </c>
      <c r="K1335" s="11">
        <v>1</v>
      </c>
      <c r="L1335" s="11">
        <v>1</v>
      </c>
      <c r="M1335" s="4">
        <v>1</v>
      </c>
      <c r="N1335" s="10">
        <v>0.995</v>
      </c>
      <c r="O1335" s="4">
        <v>14.85</v>
      </c>
      <c r="P1335" s="4">
        <v>14.85</v>
      </c>
      <c r="Q1335" s="3" t="s">
        <v>1597</v>
      </c>
      <c r="R1335" s="3" t="s">
        <v>1610</v>
      </c>
      <c r="S1335" s="3" t="s">
        <v>1611</v>
      </c>
      <c r="T1335" s="3"/>
    </row>
    <row r="1336" spans="1:20">
      <c r="A1336" s="3" t="s">
        <v>1600</v>
      </c>
      <c r="B1336" s="3" t="s">
        <v>1601</v>
      </c>
      <c r="C1336" s="3" t="s">
        <v>1616</v>
      </c>
      <c r="D1336" s="3" t="s">
        <v>589</v>
      </c>
      <c r="E1336" s="3" t="s">
        <v>590</v>
      </c>
      <c r="F1336" s="2">
        <v>1</v>
      </c>
      <c r="G1336" s="4">
        <v>1.0428449250972491</v>
      </c>
      <c r="H1336" s="2">
        <v>25</v>
      </c>
      <c r="I1336" s="2">
        <v>5</v>
      </c>
      <c r="J1336" s="2">
        <v>16</v>
      </c>
      <c r="K1336" s="4">
        <v>1</v>
      </c>
      <c r="L1336" s="4">
        <v>0.99205920155235805</v>
      </c>
      <c r="M1336" s="4">
        <v>0.99205920155235805</v>
      </c>
      <c r="N1336" s="10">
        <v>0.99199999999999999</v>
      </c>
      <c r="O1336" s="4">
        <v>13.696076870357118</v>
      </c>
      <c r="P1336" s="4">
        <v>13.68</v>
      </c>
      <c r="Q1336" s="3" t="s">
        <v>1597</v>
      </c>
      <c r="R1336" s="3" t="s">
        <v>1602</v>
      </c>
      <c r="S1336" s="3" t="s">
        <v>1603</v>
      </c>
      <c r="T1336" s="3"/>
    </row>
    <row r="1337" spans="1:20">
      <c r="A1337" s="12" t="s">
        <v>1605</v>
      </c>
      <c r="B1337" s="3" t="s">
        <v>1601</v>
      </c>
      <c r="C1337" s="3" t="s">
        <v>1596</v>
      </c>
      <c r="D1337" s="3" t="s">
        <v>589</v>
      </c>
      <c r="E1337" s="3" t="s">
        <v>590</v>
      </c>
      <c r="F1337" s="2">
        <v>1</v>
      </c>
      <c r="G1337" s="4">
        <v>1.0428449250972491</v>
      </c>
      <c r="H1337" s="2">
        <v>25</v>
      </c>
      <c r="I1337" s="2">
        <v>5</v>
      </c>
      <c r="J1337" s="2">
        <v>16</v>
      </c>
      <c r="K1337" s="11">
        <v>1</v>
      </c>
      <c r="L1337" s="11">
        <v>0.99110461283852958</v>
      </c>
      <c r="M1337" s="4">
        <v>0.99110461283852958</v>
      </c>
      <c r="N1337" s="10">
        <v>0.99099999999999999</v>
      </c>
      <c r="O1337" s="4">
        <v>13.41347864481819</v>
      </c>
      <c r="P1337" s="4">
        <v>13.38</v>
      </c>
      <c r="Q1337" s="3" t="s">
        <v>1597</v>
      </c>
      <c r="R1337" s="3" t="s">
        <v>1602</v>
      </c>
      <c r="S1337" s="3" t="s">
        <v>1603</v>
      </c>
      <c r="T1337" s="3"/>
    </row>
    <row r="1338" spans="1:20">
      <c r="A1338" s="3" t="s">
        <v>1600</v>
      </c>
      <c r="B1338" s="3" t="s">
        <v>1601</v>
      </c>
      <c r="C1338" s="3" t="s">
        <v>1596</v>
      </c>
      <c r="D1338" s="3" t="s">
        <v>589</v>
      </c>
      <c r="E1338" s="3" t="s">
        <v>590</v>
      </c>
      <c r="F1338" s="2">
        <v>1</v>
      </c>
      <c r="G1338" s="4">
        <v>1.0428449250972491</v>
      </c>
      <c r="H1338" s="2">
        <v>25</v>
      </c>
      <c r="I1338" s="2">
        <v>5</v>
      </c>
      <c r="J1338" s="2">
        <v>16</v>
      </c>
      <c r="K1338" s="4">
        <v>1</v>
      </c>
      <c r="L1338" s="4">
        <v>0.99012656621652839</v>
      </c>
      <c r="M1338" s="4">
        <v>0.99012656621652839</v>
      </c>
      <c r="N1338" s="10">
        <v>0.99</v>
      </c>
      <c r="O1338" s="4">
        <v>13.153667467921002</v>
      </c>
      <c r="P1338" s="4">
        <v>13.12</v>
      </c>
      <c r="Q1338" s="3" t="s">
        <v>1597</v>
      </c>
      <c r="R1338" s="3" t="s">
        <v>1602</v>
      </c>
      <c r="S1338" s="3" t="s">
        <v>1603</v>
      </c>
      <c r="T1338" s="3"/>
    </row>
    <row r="1339" spans="1:20">
      <c r="A1339" s="3" t="s">
        <v>1604</v>
      </c>
      <c r="B1339" s="3" t="s">
        <v>1601</v>
      </c>
      <c r="C1339" s="3" t="s">
        <v>1596</v>
      </c>
      <c r="D1339" s="3" t="s">
        <v>589</v>
      </c>
      <c r="E1339" s="3" t="s">
        <v>590</v>
      </c>
      <c r="F1339" s="2">
        <v>1</v>
      </c>
      <c r="G1339" s="4">
        <v>1.0428449250972491</v>
      </c>
      <c r="H1339" s="2">
        <v>25</v>
      </c>
      <c r="I1339" s="2">
        <v>30</v>
      </c>
      <c r="J1339" s="2">
        <v>16</v>
      </c>
      <c r="K1339" s="4">
        <v>1</v>
      </c>
      <c r="L1339" s="4">
        <v>0.98569952858916599</v>
      </c>
      <c r="M1339" s="4">
        <v>0.98569952858916599</v>
      </c>
      <c r="N1339" s="10">
        <v>0.98599999999999999</v>
      </c>
      <c r="O1339" s="4">
        <v>12.229825968395986</v>
      </c>
      <c r="P1339" s="4">
        <v>12.28</v>
      </c>
      <c r="Q1339" s="3" t="s">
        <v>1597</v>
      </c>
      <c r="R1339" s="3" t="s">
        <v>1602</v>
      </c>
      <c r="S1339" s="3" t="s">
        <v>1603</v>
      </c>
      <c r="T1339" s="3"/>
    </row>
    <row r="1340" spans="1:20">
      <c r="A1340" s="3" t="s">
        <v>1600</v>
      </c>
      <c r="B1340" s="3" t="s">
        <v>1601</v>
      </c>
      <c r="C1340" s="3" t="s">
        <v>1616</v>
      </c>
      <c r="D1340" s="3" t="s">
        <v>589</v>
      </c>
      <c r="E1340" s="3" t="s">
        <v>590</v>
      </c>
      <c r="F1340" s="2">
        <v>1</v>
      </c>
      <c r="G1340" s="4">
        <v>1.0428449250972491</v>
      </c>
      <c r="H1340" s="2">
        <v>25</v>
      </c>
      <c r="I1340" s="2">
        <v>5</v>
      </c>
      <c r="J1340" s="2">
        <v>1</v>
      </c>
      <c r="K1340" s="4">
        <v>1</v>
      </c>
      <c r="L1340" s="4">
        <v>0.98433671873824125</v>
      </c>
      <c r="M1340" s="4">
        <v>0.98433671873824125</v>
      </c>
      <c r="N1340" s="10">
        <v>0.98399999999999999</v>
      </c>
      <c r="O1340" s="4">
        <v>12.002471751970198</v>
      </c>
      <c r="P1340" s="4">
        <v>11.95</v>
      </c>
      <c r="Q1340" s="3" t="s">
        <v>1597</v>
      </c>
      <c r="R1340" s="3" t="s">
        <v>1602</v>
      </c>
      <c r="S1340" s="3" t="s">
        <v>1603</v>
      </c>
      <c r="T1340" s="3"/>
    </row>
    <row r="1341" spans="1:20">
      <c r="A1341" s="3" t="s">
        <v>1600</v>
      </c>
      <c r="B1341" s="3" t="s">
        <v>1601</v>
      </c>
      <c r="C1341" s="3" t="s">
        <v>1596</v>
      </c>
      <c r="D1341" s="3" t="s">
        <v>589</v>
      </c>
      <c r="E1341" s="3" t="s">
        <v>590</v>
      </c>
      <c r="F1341" s="2">
        <v>1</v>
      </c>
      <c r="G1341" s="4">
        <v>1.0428449250972491</v>
      </c>
      <c r="H1341" s="2">
        <v>25</v>
      </c>
      <c r="I1341" s="2">
        <v>5</v>
      </c>
      <c r="J1341" s="2">
        <v>1</v>
      </c>
      <c r="K1341" s="4">
        <v>0.97288559535529562</v>
      </c>
      <c r="L1341" s="4">
        <v>0.97891671893789289</v>
      </c>
      <c r="M1341" s="4">
        <v>0.97891671893789289</v>
      </c>
      <c r="N1341" s="10">
        <v>0.97899999999999998</v>
      </c>
      <c r="O1341" s="4">
        <v>11.25903839850967</v>
      </c>
      <c r="P1341" s="4">
        <v>11.27</v>
      </c>
      <c r="Q1341" s="3" t="s">
        <v>1597</v>
      </c>
      <c r="R1341" s="3" t="s">
        <v>1602</v>
      </c>
      <c r="S1341" s="3" t="s">
        <v>1603</v>
      </c>
      <c r="T1341" s="3"/>
    </row>
    <row r="1342" spans="1:20">
      <c r="A1342" s="3" t="s">
        <v>1604</v>
      </c>
      <c r="B1342" s="3" t="s">
        <v>1601</v>
      </c>
      <c r="C1342" s="3" t="s">
        <v>1616</v>
      </c>
      <c r="D1342" s="3" t="s">
        <v>589</v>
      </c>
      <c r="E1342" s="3" t="s">
        <v>590</v>
      </c>
      <c r="F1342" s="2">
        <v>1</v>
      </c>
      <c r="G1342" s="4">
        <v>1.0428449250972491</v>
      </c>
      <c r="H1342" s="2">
        <v>25</v>
      </c>
      <c r="I1342" s="2">
        <v>30</v>
      </c>
      <c r="J1342" s="2">
        <v>16</v>
      </c>
      <c r="K1342" s="4">
        <v>1</v>
      </c>
      <c r="L1342" s="4">
        <v>0.97158441946606033</v>
      </c>
      <c r="M1342" s="4">
        <v>0.97158441946606033</v>
      </c>
      <c r="N1342" s="10">
        <v>0.97199999999999998</v>
      </c>
      <c r="O1342" s="4">
        <v>10.509970232543107</v>
      </c>
      <c r="P1342" s="4">
        <v>10.55</v>
      </c>
      <c r="Q1342" s="3" t="s">
        <v>1597</v>
      </c>
      <c r="R1342" s="3" t="s">
        <v>1602</v>
      </c>
      <c r="S1342" s="3" t="s">
        <v>1603</v>
      </c>
      <c r="T1342" s="3"/>
    </row>
    <row r="1343" spans="1:20">
      <c r="A1343" s="3" t="s">
        <v>1600</v>
      </c>
      <c r="B1343" s="3" t="s">
        <v>1609</v>
      </c>
      <c r="C1343" s="3" t="s">
        <v>1616</v>
      </c>
      <c r="D1343" s="3" t="s">
        <v>589</v>
      </c>
      <c r="E1343" s="3" t="s">
        <v>590</v>
      </c>
      <c r="F1343" s="2">
        <v>1</v>
      </c>
      <c r="G1343" s="4">
        <v>1.0428449250972491</v>
      </c>
      <c r="H1343" s="2">
        <v>25</v>
      </c>
      <c r="I1343" s="2">
        <v>5</v>
      </c>
      <c r="J1343" s="2">
        <v>1</v>
      </c>
      <c r="K1343" s="4">
        <v>1</v>
      </c>
      <c r="L1343" s="4">
        <v>0.95305474852851291</v>
      </c>
      <c r="M1343" s="4">
        <v>0.95305474852851291</v>
      </c>
      <c r="N1343" s="10">
        <v>0.95299999999999996</v>
      </c>
      <c r="O1343" s="4">
        <v>9.242009582847901</v>
      </c>
      <c r="P1343" s="4">
        <v>9.24</v>
      </c>
      <c r="Q1343" s="3" t="s">
        <v>1597</v>
      </c>
      <c r="R1343" s="3" t="s">
        <v>1610</v>
      </c>
      <c r="S1343" s="3" t="s">
        <v>1611</v>
      </c>
      <c r="T1343" s="3"/>
    </row>
    <row r="1344" spans="1:20">
      <c r="A1344" s="3" t="s">
        <v>1600</v>
      </c>
      <c r="B1344" s="3" t="s">
        <v>1609</v>
      </c>
      <c r="C1344" s="3" t="s">
        <v>1596</v>
      </c>
      <c r="D1344" s="3" t="s">
        <v>589</v>
      </c>
      <c r="E1344" s="3" t="s">
        <v>590</v>
      </c>
      <c r="F1344" s="2">
        <v>1</v>
      </c>
      <c r="G1344" s="4">
        <v>1.0428449250972491</v>
      </c>
      <c r="H1344" s="2">
        <v>25</v>
      </c>
      <c r="I1344" s="2">
        <v>5</v>
      </c>
      <c r="J1344" s="2">
        <v>16</v>
      </c>
      <c r="K1344" s="4">
        <v>1</v>
      </c>
      <c r="L1344" s="4">
        <v>0.93422686976386793</v>
      </c>
      <c r="M1344" s="4">
        <v>0.93422686976386793</v>
      </c>
      <c r="N1344" s="10">
        <v>0.93400000000000005</v>
      </c>
      <c r="O1344" s="4">
        <v>8.3820150467258312</v>
      </c>
      <c r="P1344" s="4">
        <v>8.3699999999999992</v>
      </c>
      <c r="Q1344" s="3" t="s">
        <v>1597</v>
      </c>
      <c r="R1344" s="3" t="s">
        <v>1610</v>
      </c>
      <c r="S1344" s="3" t="s">
        <v>1611</v>
      </c>
      <c r="T1344" s="3"/>
    </row>
    <row r="1345" spans="1:20">
      <c r="A1345" s="3" t="s">
        <v>1594</v>
      </c>
      <c r="B1345" s="3" t="s">
        <v>1595</v>
      </c>
      <c r="C1345" s="3" t="s">
        <v>1596</v>
      </c>
      <c r="D1345" s="3" t="s">
        <v>589</v>
      </c>
      <c r="E1345" s="3" t="s">
        <v>590</v>
      </c>
      <c r="F1345" s="2">
        <v>1</v>
      </c>
      <c r="G1345" s="4">
        <v>1.0428449250972491</v>
      </c>
      <c r="H1345" s="2">
        <v>50</v>
      </c>
      <c r="I1345" s="2">
        <v>5</v>
      </c>
      <c r="J1345" s="2">
        <v>16</v>
      </c>
      <c r="K1345" s="4">
        <v>0.94791552221811604</v>
      </c>
      <c r="L1345" s="14">
        <v>0.26717155087257161</v>
      </c>
      <c r="M1345" s="4">
        <v>0.26717155087257161</v>
      </c>
      <c r="N1345" s="10">
        <v>0.26700000000000002</v>
      </c>
      <c r="O1345" s="4">
        <v>1.4713915955911585</v>
      </c>
      <c r="P1345" s="4">
        <v>1.47</v>
      </c>
      <c r="Q1345" s="3" t="s">
        <v>1597</v>
      </c>
      <c r="R1345" s="3" t="s">
        <v>1598</v>
      </c>
      <c r="S1345" s="3" t="s">
        <v>1599</v>
      </c>
      <c r="T1345" s="3"/>
    </row>
    <row r="1346" spans="1:20">
      <c r="A1346" s="3" t="s">
        <v>1594</v>
      </c>
      <c r="B1346" s="3" t="s">
        <v>1612</v>
      </c>
      <c r="C1346" s="3" t="s">
        <v>1596</v>
      </c>
      <c r="D1346" s="3" t="s">
        <v>589</v>
      </c>
      <c r="E1346" s="3" t="s">
        <v>590</v>
      </c>
      <c r="F1346" s="2">
        <v>1</v>
      </c>
      <c r="G1346" s="4">
        <v>1.0428449250972491</v>
      </c>
      <c r="H1346" s="2">
        <v>50</v>
      </c>
      <c r="I1346" s="2">
        <v>5</v>
      </c>
      <c r="J1346" s="2">
        <v>16</v>
      </c>
      <c r="K1346" s="4">
        <v>9.4511039566744739E-2</v>
      </c>
      <c r="L1346" s="14">
        <v>0.10588406083469264</v>
      </c>
      <c r="M1346" s="4">
        <v>0.10588406083469264</v>
      </c>
      <c r="N1346" s="10">
        <v>0.106</v>
      </c>
      <c r="O1346" s="4">
        <v>0.57112588434484424</v>
      </c>
      <c r="P1346" s="4">
        <v>0.56999999999999995</v>
      </c>
      <c r="Q1346" s="3" t="s">
        <v>1597</v>
      </c>
      <c r="R1346" s="3" t="s">
        <v>1613</v>
      </c>
      <c r="S1346" s="3" t="s">
        <v>1614</v>
      </c>
      <c r="T1346" s="3"/>
    </row>
    <row r="1347" spans="1:20">
      <c r="A1347" s="3" t="s">
        <v>1594</v>
      </c>
      <c r="B1347" s="3" t="s">
        <v>1595</v>
      </c>
      <c r="C1347" s="3" t="s">
        <v>1596</v>
      </c>
      <c r="D1347" s="3" t="s">
        <v>1058</v>
      </c>
      <c r="E1347" s="3" t="s">
        <v>1059</v>
      </c>
      <c r="F1347" s="2">
        <v>1</v>
      </c>
      <c r="G1347" s="4">
        <v>1.0434459710360193</v>
      </c>
      <c r="H1347" s="2">
        <v>25</v>
      </c>
      <c r="I1347" s="2">
        <v>5</v>
      </c>
      <c r="J1347" s="2">
        <v>16</v>
      </c>
      <c r="K1347" s="4">
        <v>0.30366010844570379</v>
      </c>
      <c r="L1347" s="4">
        <v>0.35701902182881218</v>
      </c>
      <c r="M1347" s="4">
        <v>0.35701902182881218</v>
      </c>
      <c r="N1347" s="10">
        <v>0.35699999999999998</v>
      </c>
      <c r="O1347" s="4">
        <v>1.8516170287555851</v>
      </c>
      <c r="P1347" s="4">
        <v>1.85</v>
      </c>
      <c r="Q1347" s="3" t="s">
        <v>1597</v>
      </c>
      <c r="R1347" s="3" t="s">
        <v>1598</v>
      </c>
      <c r="S1347" s="3" t="s">
        <v>1599</v>
      </c>
      <c r="T1347" s="3"/>
    </row>
    <row r="1348" spans="1:20">
      <c r="A1348" s="3" t="s">
        <v>1594</v>
      </c>
      <c r="B1348" s="3" t="s">
        <v>1595</v>
      </c>
      <c r="C1348" s="3" t="s">
        <v>1596</v>
      </c>
      <c r="D1348" s="3" t="s">
        <v>1058</v>
      </c>
      <c r="E1348" s="3" t="s">
        <v>1059</v>
      </c>
      <c r="F1348" s="2">
        <v>1</v>
      </c>
      <c r="G1348" s="4">
        <v>1.0434459710360193</v>
      </c>
      <c r="H1348" s="2">
        <v>50</v>
      </c>
      <c r="I1348" s="2">
        <v>5</v>
      </c>
      <c r="J1348" s="2">
        <v>16</v>
      </c>
      <c r="K1348" s="4">
        <v>1</v>
      </c>
      <c r="L1348" s="4">
        <v>0.32499831974697568</v>
      </c>
      <c r="M1348" s="4">
        <v>0.32499831974697568</v>
      </c>
      <c r="N1348" s="10">
        <v>0.32500000000000001</v>
      </c>
      <c r="O1348" s="4">
        <v>1.8121364152243851</v>
      </c>
      <c r="P1348" s="4">
        <v>1.81</v>
      </c>
      <c r="Q1348" s="3" t="s">
        <v>1597</v>
      </c>
      <c r="R1348" s="3" t="s">
        <v>1598</v>
      </c>
      <c r="S1348" s="3" t="s">
        <v>1599</v>
      </c>
      <c r="T1348" s="3"/>
    </row>
    <row r="1349" spans="1:20">
      <c r="A1349" s="3" t="s">
        <v>1600</v>
      </c>
      <c r="B1349" s="3" t="s">
        <v>1601</v>
      </c>
      <c r="C1349" s="3" t="s">
        <v>1596</v>
      </c>
      <c r="D1349" s="3" t="s">
        <v>1058</v>
      </c>
      <c r="E1349" s="3" t="s">
        <v>1059</v>
      </c>
      <c r="F1349" s="2">
        <v>1</v>
      </c>
      <c r="G1349" s="4">
        <v>1.0434459710360193</v>
      </c>
      <c r="H1349" s="2">
        <v>25</v>
      </c>
      <c r="I1349" s="2">
        <v>5</v>
      </c>
      <c r="J1349" s="2">
        <v>1</v>
      </c>
      <c r="K1349" s="4">
        <v>2.9042922194536636E-2</v>
      </c>
      <c r="L1349" s="4">
        <v>0.30380397532556547</v>
      </c>
      <c r="M1349" s="4">
        <v>0.30380397532556547</v>
      </c>
      <c r="N1349" s="10">
        <v>0.30399999999999999</v>
      </c>
      <c r="O1349" s="4">
        <v>1.5553297702003137</v>
      </c>
      <c r="P1349" s="4">
        <v>1.56</v>
      </c>
      <c r="Q1349" s="3" t="s">
        <v>1597</v>
      </c>
      <c r="R1349" s="3" t="s">
        <v>1602</v>
      </c>
      <c r="S1349" s="3" t="s">
        <v>1603</v>
      </c>
      <c r="T1349" s="3"/>
    </row>
    <row r="1350" spans="1:20">
      <c r="A1350" s="3" t="s">
        <v>1600</v>
      </c>
      <c r="B1350" s="3" t="s">
        <v>1609</v>
      </c>
      <c r="C1350" s="3" t="s">
        <v>1596</v>
      </c>
      <c r="D1350" s="3" t="s">
        <v>1058</v>
      </c>
      <c r="E1350" s="3" t="s">
        <v>1059</v>
      </c>
      <c r="F1350" s="2">
        <v>1</v>
      </c>
      <c r="G1350" s="4">
        <v>1.0434459710360193</v>
      </c>
      <c r="H1350" s="2">
        <v>25</v>
      </c>
      <c r="I1350" s="2">
        <v>5</v>
      </c>
      <c r="J1350" s="2">
        <v>1</v>
      </c>
      <c r="K1350" s="4">
        <v>0.34629877591401981</v>
      </c>
      <c r="L1350" s="4">
        <v>-1.601120290387854E-2</v>
      </c>
      <c r="M1350" s="4">
        <v>1.601120290387854E-2</v>
      </c>
      <c r="N1350" s="10">
        <v>1.6E-2</v>
      </c>
      <c r="O1350" s="4">
        <v>7.9389309392758456E-2</v>
      </c>
      <c r="P1350" s="4">
        <v>-0.08</v>
      </c>
      <c r="Q1350" s="3" t="s">
        <v>1617</v>
      </c>
      <c r="R1350" s="3" t="s">
        <v>1623</v>
      </c>
      <c r="S1350" s="3" t="s">
        <v>1624</v>
      </c>
      <c r="T1350" s="3"/>
    </row>
    <row r="1351" spans="1:20">
      <c r="A1351" s="3" t="s">
        <v>1600</v>
      </c>
      <c r="B1351" s="3" t="s">
        <v>1609</v>
      </c>
      <c r="C1351" s="3" t="s">
        <v>1596</v>
      </c>
      <c r="D1351" s="3" t="s">
        <v>1058</v>
      </c>
      <c r="E1351" s="3" t="s">
        <v>1059</v>
      </c>
      <c r="F1351" s="2">
        <v>1</v>
      </c>
      <c r="G1351" s="4">
        <v>1.0434459710360193</v>
      </c>
      <c r="H1351" s="2">
        <v>25</v>
      </c>
      <c r="I1351" s="2">
        <v>5</v>
      </c>
      <c r="J1351" s="2">
        <v>16</v>
      </c>
      <c r="K1351" s="4">
        <v>0.71016279479736277</v>
      </c>
      <c r="L1351" s="4">
        <v>-0.1756420844476686</v>
      </c>
      <c r="M1351" s="4">
        <v>0.1756420844476686</v>
      </c>
      <c r="N1351" s="10">
        <v>0.17599999999999999</v>
      </c>
      <c r="O1351" s="4">
        <v>0.87994677224700635</v>
      </c>
      <c r="P1351" s="4">
        <v>-0.88</v>
      </c>
      <c r="Q1351" s="3" t="s">
        <v>1617</v>
      </c>
      <c r="R1351" s="3" t="s">
        <v>1623</v>
      </c>
      <c r="S1351" s="3" t="s">
        <v>1624</v>
      </c>
      <c r="T1351" s="3"/>
    </row>
    <row r="1352" spans="1:20">
      <c r="A1352" s="3" t="s">
        <v>1594</v>
      </c>
      <c r="B1352" s="3" t="s">
        <v>1612</v>
      </c>
      <c r="C1352" s="3" t="s">
        <v>1596</v>
      </c>
      <c r="D1352" s="3" t="s">
        <v>1058</v>
      </c>
      <c r="E1352" s="3" t="s">
        <v>1059</v>
      </c>
      <c r="F1352" s="2">
        <v>1</v>
      </c>
      <c r="G1352" s="4">
        <v>1.0434459710360193</v>
      </c>
      <c r="H1352" s="2">
        <v>50</v>
      </c>
      <c r="I1352" s="2">
        <v>5</v>
      </c>
      <c r="J1352" s="2">
        <v>16</v>
      </c>
      <c r="K1352" s="4">
        <v>0.99827084597420135</v>
      </c>
      <c r="L1352" s="4">
        <v>-0.27433666097464865</v>
      </c>
      <c r="M1352" s="4">
        <v>0.27433666097464865</v>
      </c>
      <c r="N1352" s="10">
        <v>0.27400000000000002</v>
      </c>
      <c r="O1352" s="4">
        <v>1.5129405679920682</v>
      </c>
      <c r="P1352" s="4">
        <v>-1.51</v>
      </c>
      <c r="Q1352" s="3" t="s">
        <v>1617</v>
      </c>
      <c r="R1352" s="3" t="s">
        <v>1627</v>
      </c>
      <c r="S1352" s="3" t="s">
        <v>1628</v>
      </c>
      <c r="T1352" s="3"/>
    </row>
    <row r="1353" spans="1:20">
      <c r="A1353" s="3" t="s">
        <v>1600</v>
      </c>
      <c r="B1353" s="3" t="s">
        <v>1606</v>
      </c>
      <c r="C1353" s="3" t="s">
        <v>1596</v>
      </c>
      <c r="D1353" s="3" t="s">
        <v>1058</v>
      </c>
      <c r="E1353" s="3" t="s">
        <v>1059</v>
      </c>
      <c r="F1353" s="2">
        <v>1</v>
      </c>
      <c r="G1353" s="4">
        <v>1.0434459710360193</v>
      </c>
      <c r="H1353" s="2">
        <v>25</v>
      </c>
      <c r="I1353" s="2">
        <v>5</v>
      </c>
      <c r="J1353" s="2">
        <v>16</v>
      </c>
      <c r="K1353" s="4">
        <v>0.98922655131225179</v>
      </c>
      <c r="L1353" s="4">
        <v>-0.44004858230168575</v>
      </c>
      <c r="M1353" s="4">
        <v>0.44004858230168575</v>
      </c>
      <c r="N1353" s="10">
        <v>0.44</v>
      </c>
      <c r="O1353" s="4">
        <v>2.341588974130496</v>
      </c>
      <c r="P1353" s="4">
        <v>-2.34</v>
      </c>
      <c r="Q1353" s="3" t="s">
        <v>1617</v>
      </c>
      <c r="R1353" s="3" t="s">
        <v>1621</v>
      </c>
      <c r="S1353" s="3" t="s">
        <v>1622</v>
      </c>
      <c r="T1353" s="3"/>
    </row>
    <row r="1354" spans="1:20">
      <c r="A1354" s="3" t="s">
        <v>1600</v>
      </c>
      <c r="B1354" s="3" t="s">
        <v>1606</v>
      </c>
      <c r="C1354" s="3" t="s">
        <v>1596</v>
      </c>
      <c r="D1354" s="3" t="s">
        <v>1058</v>
      </c>
      <c r="E1354" s="3" t="s">
        <v>1059</v>
      </c>
      <c r="F1354" s="2">
        <v>1</v>
      </c>
      <c r="G1354" s="4">
        <v>1.0434459710360193</v>
      </c>
      <c r="H1354" s="2">
        <v>25</v>
      </c>
      <c r="I1354" s="2">
        <v>5</v>
      </c>
      <c r="J1354" s="2">
        <v>1</v>
      </c>
      <c r="K1354" s="4">
        <v>0.53597686860981675</v>
      </c>
      <c r="L1354" s="4">
        <v>-0.47498737558846044</v>
      </c>
      <c r="M1354" s="4">
        <v>0.47498737558846044</v>
      </c>
      <c r="N1354" s="10">
        <v>0.47499999999999998</v>
      </c>
      <c r="O1354" s="4">
        <v>2.560730497447635</v>
      </c>
      <c r="P1354" s="4">
        <v>-2.56</v>
      </c>
      <c r="Q1354" s="3" t="s">
        <v>1617</v>
      </c>
      <c r="R1354" s="3" t="s">
        <v>1621</v>
      </c>
      <c r="S1354" s="3" t="s">
        <v>1622</v>
      </c>
      <c r="T1354" s="3"/>
    </row>
    <row r="1355" spans="1:20">
      <c r="A1355" s="3" t="s">
        <v>1600</v>
      </c>
      <c r="B1355" s="3" t="s">
        <v>1601</v>
      </c>
      <c r="C1355" s="3" t="s">
        <v>1596</v>
      </c>
      <c r="D1355" s="3" t="s">
        <v>1058</v>
      </c>
      <c r="E1355" s="3" t="s">
        <v>1059</v>
      </c>
      <c r="F1355" s="2">
        <v>1</v>
      </c>
      <c r="G1355" s="4">
        <v>1.0434459710360193</v>
      </c>
      <c r="H1355" s="2">
        <v>25</v>
      </c>
      <c r="I1355" s="2">
        <v>5</v>
      </c>
      <c r="J1355" s="2">
        <v>16</v>
      </c>
      <c r="K1355" s="4">
        <v>0.87365652702734309</v>
      </c>
      <c r="L1355" s="4">
        <v>-0.5899697635465837</v>
      </c>
      <c r="M1355" s="4">
        <v>0.5899697635465837</v>
      </c>
      <c r="N1355" s="10">
        <v>0.59</v>
      </c>
      <c r="O1355" s="4">
        <v>3.3595952775775344</v>
      </c>
      <c r="P1355" s="4">
        <v>-3.36</v>
      </c>
      <c r="Q1355" s="3" t="s">
        <v>1617</v>
      </c>
      <c r="R1355" s="3" t="s">
        <v>1618</v>
      </c>
      <c r="S1355" s="3" t="s">
        <v>1619</v>
      </c>
      <c r="T1355" s="3"/>
    </row>
    <row r="1356" spans="1:20">
      <c r="A1356" s="3" t="s">
        <v>1604</v>
      </c>
      <c r="B1356" s="3" t="s">
        <v>1601</v>
      </c>
      <c r="C1356" s="3" t="s">
        <v>1596</v>
      </c>
      <c r="D1356" s="3" t="s">
        <v>1058</v>
      </c>
      <c r="E1356" s="3" t="s">
        <v>1059</v>
      </c>
      <c r="F1356" s="2">
        <v>1</v>
      </c>
      <c r="G1356" s="4">
        <v>1.0434459710360193</v>
      </c>
      <c r="H1356" s="2">
        <v>25</v>
      </c>
      <c r="I1356" s="2">
        <v>30</v>
      </c>
      <c r="J1356" s="2">
        <v>16</v>
      </c>
      <c r="K1356" s="4">
        <v>1</v>
      </c>
      <c r="L1356" s="4">
        <v>-0.6262119041423303</v>
      </c>
      <c r="M1356" s="4">
        <v>0.6262119041423303</v>
      </c>
      <c r="N1356" s="10">
        <v>0.626</v>
      </c>
      <c r="O1356" s="4">
        <v>3.6448753857610914</v>
      </c>
      <c r="P1356" s="4">
        <v>-3.64</v>
      </c>
      <c r="Q1356" s="3" t="s">
        <v>1617</v>
      </c>
      <c r="R1356" s="3" t="s">
        <v>1618</v>
      </c>
      <c r="S1356" s="3" t="s">
        <v>1619</v>
      </c>
      <c r="T1356" s="3"/>
    </row>
    <row r="1357" spans="1:20">
      <c r="A1357" s="3" t="s">
        <v>1600</v>
      </c>
      <c r="B1357" s="3" t="s">
        <v>1609</v>
      </c>
      <c r="C1357" s="3" t="s">
        <v>1616</v>
      </c>
      <c r="D1357" s="3" t="s">
        <v>1058</v>
      </c>
      <c r="E1357" s="3" t="s">
        <v>1059</v>
      </c>
      <c r="F1357" s="2">
        <v>1</v>
      </c>
      <c r="G1357" s="4">
        <v>1.0434459710360193</v>
      </c>
      <c r="H1357" s="2">
        <v>25</v>
      </c>
      <c r="I1357" s="2">
        <v>5</v>
      </c>
      <c r="J1357" s="2">
        <v>1</v>
      </c>
      <c r="K1357" s="4">
        <v>0.72942797266964687</v>
      </c>
      <c r="L1357" s="4">
        <v>-0.69221689812325049</v>
      </c>
      <c r="M1357" s="4">
        <v>0.69221689812325049</v>
      </c>
      <c r="N1357" s="10">
        <v>0.69199999999999995</v>
      </c>
      <c r="O1357" s="4">
        <v>4.2251518753410222</v>
      </c>
      <c r="P1357" s="4">
        <v>-4.22</v>
      </c>
      <c r="Q1357" s="3" t="s">
        <v>1617</v>
      </c>
      <c r="R1357" s="3" t="s">
        <v>1623</v>
      </c>
      <c r="S1357" s="3" t="s">
        <v>1624</v>
      </c>
      <c r="T1357" s="3"/>
    </row>
    <row r="1358" spans="1:20">
      <c r="A1358" s="3" t="s">
        <v>1600</v>
      </c>
      <c r="B1358" s="3" t="s">
        <v>1606</v>
      </c>
      <c r="C1358" s="3" t="s">
        <v>1616</v>
      </c>
      <c r="D1358" s="3" t="s">
        <v>1058</v>
      </c>
      <c r="E1358" s="3" t="s">
        <v>1059</v>
      </c>
      <c r="F1358" s="2">
        <v>1</v>
      </c>
      <c r="G1358" s="4">
        <v>1.0434459710360193</v>
      </c>
      <c r="H1358" s="2">
        <v>25</v>
      </c>
      <c r="I1358" s="2">
        <v>5</v>
      </c>
      <c r="J1358" s="2">
        <v>1</v>
      </c>
      <c r="K1358" s="4">
        <v>1</v>
      </c>
      <c r="L1358" s="4">
        <v>-0.7079772760814752</v>
      </c>
      <c r="M1358" s="4">
        <v>0.7079772760814752</v>
      </c>
      <c r="N1358" s="10">
        <v>0.70799999999999996</v>
      </c>
      <c r="O1358" s="4">
        <v>4.3784365096392923</v>
      </c>
      <c r="P1358" s="4">
        <v>-4.38</v>
      </c>
      <c r="Q1358" s="3" t="s">
        <v>1617</v>
      </c>
      <c r="R1358" s="3" t="s">
        <v>1621</v>
      </c>
      <c r="S1358" s="3" t="s">
        <v>1622</v>
      </c>
      <c r="T1358" s="3"/>
    </row>
    <row r="1359" spans="1:20">
      <c r="A1359" s="3" t="s">
        <v>1600</v>
      </c>
      <c r="B1359" s="3" t="s">
        <v>1606</v>
      </c>
      <c r="C1359" s="3" t="s">
        <v>1616</v>
      </c>
      <c r="D1359" s="3" t="s">
        <v>1058</v>
      </c>
      <c r="E1359" s="3" t="s">
        <v>1059</v>
      </c>
      <c r="F1359" s="2">
        <v>1</v>
      </c>
      <c r="G1359" s="4">
        <v>1.0434459710360193</v>
      </c>
      <c r="H1359" s="2">
        <v>25</v>
      </c>
      <c r="I1359" s="2">
        <v>5</v>
      </c>
      <c r="J1359" s="2">
        <v>16</v>
      </c>
      <c r="K1359" s="4">
        <v>1</v>
      </c>
      <c r="L1359" s="4">
        <v>-0.7108189560687096</v>
      </c>
      <c r="M1359" s="4">
        <v>0.7108189560687096</v>
      </c>
      <c r="N1359" s="10">
        <v>0.71099999999999997</v>
      </c>
      <c r="O1359" s="4">
        <v>4.4067985481040495</v>
      </c>
      <c r="P1359" s="4">
        <v>-4.41</v>
      </c>
      <c r="Q1359" s="3" t="s">
        <v>1617</v>
      </c>
      <c r="R1359" s="3" t="s">
        <v>1621</v>
      </c>
      <c r="S1359" s="3" t="s">
        <v>1622</v>
      </c>
      <c r="T1359" s="3"/>
    </row>
    <row r="1360" spans="1:20">
      <c r="A1360" s="3" t="s">
        <v>1605</v>
      </c>
      <c r="B1360" s="3" t="s">
        <v>1601</v>
      </c>
      <c r="C1360" s="3" t="s">
        <v>1596</v>
      </c>
      <c r="D1360" s="3" t="s">
        <v>1058</v>
      </c>
      <c r="E1360" s="3" t="s">
        <v>1059</v>
      </c>
      <c r="F1360" s="2">
        <v>1</v>
      </c>
      <c r="G1360" s="4">
        <v>1.0434459710360193</v>
      </c>
      <c r="H1360" s="2">
        <v>25</v>
      </c>
      <c r="I1360" s="2">
        <v>5</v>
      </c>
      <c r="J1360" s="2">
        <v>16</v>
      </c>
      <c r="K1360" s="4">
        <v>1</v>
      </c>
      <c r="L1360" s="4">
        <v>-0.7414677845705574</v>
      </c>
      <c r="M1360" s="4">
        <v>0.7414677845705574</v>
      </c>
      <c r="N1360" s="10">
        <v>0.74099999999999999</v>
      </c>
      <c r="O1360" s="4">
        <v>4.7285407668415553</v>
      </c>
      <c r="P1360" s="4">
        <v>-4.72</v>
      </c>
      <c r="Q1360" s="3" t="s">
        <v>1617</v>
      </c>
      <c r="R1360" s="3" t="s">
        <v>1618</v>
      </c>
      <c r="S1360" s="3" t="s">
        <v>1619</v>
      </c>
      <c r="T1360" s="3"/>
    </row>
    <row r="1361" spans="1:20">
      <c r="A1361" s="3" t="s">
        <v>1604</v>
      </c>
      <c r="B1361" s="3" t="s">
        <v>1601</v>
      </c>
      <c r="C1361" s="3" t="s">
        <v>1616</v>
      </c>
      <c r="D1361" s="3" t="s">
        <v>1058</v>
      </c>
      <c r="E1361" s="3" t="s">
        <v>1059</v>
      </c>
      <c r="F1361" s="2">
        <v>1</v>
      </c>
      <c r="G1361" s="4">
        <v>1.0434459710360193</v>
      </c>
      <c r="H1361" s="2">
        <v>25</v>
      </c>
      <c r="I1361" s="2">
        <v>30</v>
      </c>
      <c r="J1361" s="2">
        <v>16</v>
      </c>
      <c r="K1361" s="4">
        <v>1</v>
      </c>
      <c r="L1361" s="4">
        <v>-0.84264832072916507</v>
      </c>
      <c r="M1361" s="4">
        <v>0.84264832072916507</v>
      </c>
      <c r="N1361" s="10">
        <v>0.84299999999999997</v>
      </c>
      <c r="O1361" s="4">
        <v>6.0994412652501797</v>
      </c>
      <c r="P1361" s="4">
        <v>-6.11</v>
      </c>
      <c r="Q1361" s="3" t="s">
        <v>1617</v>
      </c>
      <c r="R1361" s="3" t="s">
        <v>1618</v>
      </c>
      <c r="S1361" s="3" t="s">
        <v>1619</v>
      </c>
      <c r="T1361" s="3"/>
    </row>
    <row r="1362" spans="1:20">
      <c r="A1362" s="3" t="s">
        <v>1600</v>
      </c>
      <c r="B1362" s="3" t="s">
        <v>1601</v>
      </c>
      <c r="C1362" s="3" t="s">
        <v>1616</v>
      </c>
      <c r="D1362" s="3" t="s">
        <v>1058</v>
      </c>
      <c r="E1362" s="3" t="s">
        <v>1059</v>
      </c>
      <c r="F1362" s="2">
        <v>1</v>
      </c>
      <c r="G1362" s="4">
        <v>1.0434459710360193</v>
      </c>
      <c r="H1362" s="2">
        <v>25</v>
      </c>
      <c r="I1362" s="2">
        <v>5</v>
      </c>
      <c r="J1362" s="2">
        <v>1</v>
      </c>
      <c r="K1362" s="4">
        <v>1</v>
      </c>
      <c r="L1362" s="4">
        <v>-0.8957706067052984</v>
      </c>
      <c r="M1362" s="4">
        <v>0.8957706067052984</v>
      </c>
      <c r="N1362" s="10">
        <v>0.89600000000000002</v>
      </c>
      <c r="O1362" s="4">
        <v>7.1909574471258129</v>
      </c>
      <c r="P1362" s="4">
        <v>-7.2</v>
      </c>
      <c r="Q1362" s="3" t="s">
        <v>1617</v>
      </c>
      <c r="R1362" s="3" t="s">
        <v>1618</v>
      </c>
      <c r="S1362" s="3" t="s">
        <v>1619</v>
      </c>
      <c r="T1362" s="3"/>
    </row>
    <row r="1363" spans="1:20">
      <c r="A1363" s="3" t="s">
        <v>1600</v>
      </c>
      <c r="B1363" s="3" t="s">
        <v>1601</v>
      </c>
      <c r="C1363" s="3" t="s">
        <v>1616</v>
      </c>
      <c r="D1363" s="3" t="s">
        <v>1058</v>
      </c>
      <c r="E1363" s="3" t="s">
        <v>1059</v>
      </c>
      <c r="F1363" s="2">
        <v>1</v>
      </c>
      <c r="G1363" s="4">
        <v>1.0434459710360193</v>
      </c>
      <c r="H1363" s="2">
        <v>25</v>
      </c>
      <c r="I1363" s="2">
        <v>5</v>
      </c>
      <c r="J1363" s="2">
        <v>16</v>
      </c>
      <c r="K1363" s="4">
        <v>1</v>
      </c>
      <c r="L1363" s="4">
        <v>-0.8963706466764787</v>
      </c>
      <c r="M1363" s="4">
        <v>0.8963706466764787</v>
      </c>
      <c r="N1363" s="10">
        <v>0.89600000000000002</v>
      </c>
      <c r="O1363" s="4">
        <v>7.2060544053598736</v>
      </c>
      <c r="P1363" s="4">
        <v>-7.2</v>
      </c>
      <c r="Q1363" s="3" t="s">
        <v>1617</v>
      </c>
      <c r="R1363" s="3" t="s">
        <v>1618</v>
      </c>
      <c r="S1363" s="3" t="s">
        <v>1619</v>
      </c>
      <c r="T1363" s="3"/>
    </row>
    <row r="1364" spans="1:20">
      <c r="A1364" s="3" t="s">
        <v>1600</v>
      </c>
      <c r="B1364" s="3" t="s">
        <v>1609</v>
      </c>
      <c r="C1364" s="3" t="s">
        <v>1616</v>
      </c>
      <c r="D1364" s="3" t="s">
        <v>1058</v>
      </c>
      <c r="E1364" s="3" t="s">
        <v>1059</v>
      </c>
      <c r="F1364" s="2">
        <v>1</v>
      </c>
      <c r="G1364" s="4">
        <v>1.0434459710360193</v>
      </c>
      <c r="H1364" s="2">
        <v>25</v>
      </c>
      <c r="I1364" s="2">
        <v>5</v>
      </c>
      <c r="J1364" s="2">
        <v>16</v>
      </c>
      <c r="K1364" s="4">
        <v>0.98472845949104371</v>
      </c>
      <c r="L1364" s="4">
        <v>-0.91916645503638039</v>
      </c>
      <c r="M1364" s="4">
        <v>0.91916645503638039</v>
      </c>
      <c r="N1364" s="10">
        <v>0.91900000000000004</v>
      </c>
      <c r="O1364" s="4">
        <v>7.8515223464388271</v>
      </c>
      <c r="P1364" s="4">
        <v>-7.85</v>
      </c>
      <c r="Q1364" s="3" t="s">
        <v>1617</v>
      </c>
      <c r="R1364" s="3" t="s">
        <v>1623</v>
      </c>
      <c r="S1364" s="3" t="s">
        <v>1624</v>
      </c>
      <c r="T1364" s="3"/>
    </row>
    <row r="1365" spans="1:20">
      <c r="A1365" s="3" t="s">
        <v>1600</v>
      </c>
      <c r="B1365" s="3" t="s">
        <v>1606</v>
      </c>
      <c r="C1365" s="3" t="s">
        <v>1596</v>
      </c>
      <c r="D1365" s="3" t="s">
        <v>94</v>
      </c>
      <c r="E1365" s="3" t="s">
        <v>95</v>
      </c>
      <c r="F1365" s="2">
        <v>1</v>
      </c>
      <c r="G1365" s="4">
        <v>1.0435551625027635</v>
      </c>
      <c r="H1365" s="2">
        <v>25</v>
      </c>
      <c r="I1365" s="2">
        <v>5</v>
      </c>
      <c r="J1365" s="2">
        <v>16</v>
      </c>
      <c r="K1365" s="11">
        <v>1</v>
      </c>
      <c r="L1365" s="11">
        <v>0.39635125350235589</v>
      </c>
      <c r="M1365" s="4">
        <v>0.39635125350235589</v>
      </c>
      <c r="N1365" s="10">
        <v>0.39600000000000002</v>
      </c>
      <c r="O1365" s="4">
        <v>2.0789256344395222</v>
      </c>
      <c r="P1365" s="4">
        <v>2.08</v>
      </c>
      <c r="Q1365" s="3" t="s">
        <v>1597</v>
      </c>
      <c r="R1365" s="3" t="s">
        <v>1607</v>
      </c>
      <c r="S1365" s="3" t="s">
        <v>1608</v>
      </c>
      <c r="T1365" s="3"/>
    </row>
    <row r="1366" spans="1:20">
      <c r="A1366" s="3" t="s">
        <v>1600</v>
      </c>
      <c r="B1366" s="3" t="s">
        <v>1606</v>
      </c>
      <c r="C1366" s="3" t="s">
        <v>1596</v>
      </c>
      <c r="D1366" s="3" t="s">
        <v>94</v>
      </c>
      <c r="E1366" s="3" t="s">
        <v>95</v>
      </c>
      <c r="F1366" s="2">
        <v>1</v>
      </c>
      <c r="G1366" s="4">
        <v>1.0435551625027635</v>
      </c>
      <c r="H1366" s="2">
        <v>25</v>
      </c>
      <c r="I1366" s="2">
        <v>5</v>
      </c>
      <c r="J1366" s="2">
        <v>1</v>
      </c>
      <c r="K1366" s="11">
        <v>0.61431170079017172</v>
      </c>
      <c r="L1366" s="11">
        <v>0.37660990451978638</v>
      </c>
      <c r="M1366" s="4">
        <v>0.37660990451978638</v>
      </c>
      <c r="N1366" s="10">
        <v>0.377</v>
      </c>
      <c r="O1366" s="4">
        <v>1.9638551615029256</v>
      </c>
      <c r="P1366" s="4">
        <v>1.97</v>
      </c>
      <c r="Q1366" s="3" t="s">
        <v>1597</v>
      </c>
      <c r="R1366" s="3" t="s">
        <v>1607</v>
      </c>
      <c r="S1366" s="3" t="s">
        <v>1608</v>
      </c>
      <c r="T1366" s="3"/>
    </row>
    <row r="1367" spans="1:20">
      <c r="A1367" s="3" t="s">
        <v>1600</v>
      </c>
      <c r="B1367" s="3" t="s">
        <v>1606</v>
      </c>
      <c r="C1367" s="3" t="s">
        <v>1616</v>
      </c>
      <c r="D1367" s="3" t="s">
        <v>94</v>
      </c>
      <c r="E1367" s="3" t="s">
        <v>95</v>
      </c>
      <c r="F1367" s="2">
        <v>1</v>
      </c>
      <c r="G1367" s="4">
        <v>1.0435551625027635</v>
      </c>
      <c r="H1367" s="2">
        <v>25</v>
      </c>
      <c r="I1367" s="2">
        <v>5</v>
      </c>
      <c r="J1367" s="2">
        <v>16</v>
      </c>
      <c r="K1367" s="11">
        <v>1</v>
      </c>
      <c r="L1367" s="11">
        <v>0.35196028169774157</v>
      </c>
      <c r="M1367" s="4">
        <v>0.35196028169774157</v>
      </c>
      <c r="N1367" s="10">
        <v>0.35199999999999998</v>
      </c>
      <c r="O1367" s="4">
        <v>1.8229312869478216</v>
      </c>
      <c r="P1367" s="4">
        <v>1.82</v>
      </c>
      <c r="Q1367" s="3" t="s">
        <v>1597</v>
      </c>
      <c r="R1367" s="3" t="s">
        <v>1607</v>
      </c>
      <c r="S1367" s="3" t="s">
        <v>1608</v>
      </c>
      <c r="T1367" s="3"/>
    </row>
    <row r="1368" spans="1:20">
      <c r="A1368" s="3" t="s">
        <v>1600</v>
      </c>
      <c r="B1368" s="3" t="s">
        <v>1606</v>
      </c>
      <c r="C1368" s="3" t="s">
        <v>1616</v>
      </c>
      <c r="D1368" s="3" t="s">
        <v>94</v>
      </c>
      <c r="E1368" s="3" t="s">
        <v>95</v>
      </c>
      <c r="F1368" s="2">
        <v>1</v>
      </c>
      <c r="G1368" s="4">
        <v>1.0435551625027635</v>
      </c>
      <c r="H1368" s="2">
        <v>25</v>
      </c>
      <c r="I1368" s="2">
        <v>5</v>
      </c>
      <c r="J1368" s="2">
        <v>1</v>
      </c>
      <c r="K1368" s="4">
        <v>0.99324684989758971</v>
      </c>
      <c r="L1368" s="4">
        <v>0.34288932460055899</v>
      </c>
      <c r="M1368" s="4">
        <v>0.34288932460055899</v>
      </c>
      <c r="N1368" s="10">
        <v>0.34300000000000003</v>
      </c>
      <c r="O1368" s="4">
        <v>1.771783811128028</v>
      </c>
      <c r="P1368" s="4">
        <v>1.77</v>
      </c>
      <c r="Q1368" s="3" t="s">
        <v>1597</v>
      </c>
      <c r="R1368" s="3" t="s">
        <v>1607</v>
      </c>
      <c r="S1368" s="3" t="s">
        <v>1608</v>
      </c>
      <c r="T1368" s="3"/>
    </row>
    <row r="1369" spans="1:20">
      <c r="A1369" s="3" t="s">
        <v>1594</v>
      </c>
      <c r="B1369" s="3" t="s">
        <v>1612</v>
      </c>
      <c r="C1369" s="3" t="s">
        <v>1596</v>
      </c>
      <c r="D1369" s="3" t="s">
        <v>94</v>
      </c>
      <c r="E1369" s="3" t="s">
        <v>95</v>
      </c>
      <c r="F1369" s="2">
        <v>1</v>
      </c>
      <c r="G1369" s="4">
        <v>1.0435551625027635</v>
      </c>
      <c r="H1369" s="2">
        <v>50</v>
      </c>
      <c r="I1369" s="2">
        <v>5</v>
      </c>
      <c r="J1369" s="2">
        <v>16</v>
      </c>
      <c r="K1369" s="4">
        <v>1</v>
      </c>
      <c r="L1369" s="14">
        <v>0.22721803895891304</v>
      </c>
      <c r="M1369" s="4">
        <v>0.22721803895891304</v>
      </c>
      <c r="N1369" s="10">
        <v>0.22700000000000001</v>
      </c>
      <c r="O1369" s="4">
        <v>1.2426811909853233</v>
      </c>
      <c r="P1369" s="4">
        <v>1.24</v>
      </c>
      <c r="Q1369" s="3" t="s">
        <v>1597</v>
      </c>
      <c r="R1369" s="3" t="s">
        <v>1613</v>
      </c>
      <c r="S1369" s="3" t="s">
        <v>1614</v>
      </c>
      <c r="T1369" s="3"/>
    </row>
    <row r="1370" spans="1:20">
      <c r="A1370" s="3" t="s">
        <v>1594</v>
      </c>
      <c r="B1370" s="3" t="s">
        <v>1595</v>
      </c>
      <c r="C1370" s="3" t="s">
        <v>1596</v>
      </c>
      <c r="D1370" s="3" t="s">
        <v>94</v>
      </c>
      <c r="E1370" s="3" t="s">
        <v>95</v>
      </c>
      <c r="F1370" s="2">
        <v>1</v>
      </c>
      <c r="G1370" s="4">
        <v>1.0435551625027635</v>
      </c>
      <c r="H1370" s="2">
        <v>50</v>
      </c>
      <c r="I1370" s="2">
        <v>5</v>
      </c>
      <c r="J1370" s="2">
        <v>16</v>
      </c>
      <c r="K1370" s="4">
        <v>1</v>
      </c>
      <c r="L1370" s="14">
        <v>3.1909216694951441E-2</v>
      </c>
      <c r="M1370" s="4">
        <v>3.1909216694951441E-2</v>
      </c>
      <c r="N1370" s="10">
        <v>3.2000000000000001E-2</v>
      </c>
      <c r="O1370" s="4">
        <v>0.17152755662240388</v>
      </c>
      <c r="P1370" s="4">
        <v>0.17</v>
      </c>
      <c r="Q1370" s="3" t="s">
        <v>1597</v>
      </c>
      <c r="R1370" s="3" t="s">
        <v>1598</v>
      </c>
      <c r="S1370" s="3" t="s">
        <v>1599</v>
      </c>
      <c r="T1370" s="3"/>
    </row>
    <row r="1371" spans="1:20">
      <c r="A1371" s="3" t="s">
        <v>1600</v>
      </c>
      <c r="B1371" s="3" t="s">
        <v>1601</v>
      </c>
      <c r="C1371" s="3" t="s">
        <v>1616</v>
      </c>
      <c r="D1371" s="3" t="s">
        <v>94</v>
      </c>
      <c r="E1371" s="3" t="s">
        <v>95</v>
      </c>
      <c r="F1371" s="2">
        <v>1</v>
      </c>
      <c r="G1371" s="4">
        <v>1.0435551625027635</v>
      </c>
      <c r="H1371" s="2">
        <v>25</v>
      </c>
      <c r="I1371" s="2">
        <v>5</v>
      </c>
      <c r="J1371" s="2">
        <v>1</v>
      </c>
      <c r="K1371" s="4">
        <v>1</v>
      </c>
      <c r="L1371" s="4">
        <v>2.8083395053484821E-2</v>
      </c>
      <c r="M1371" s="4">
        <v>2.8083395053484821E-2</v>
      </c>
      <c r="N1371" s="10">
        <v>2.8000000000000001E-2</v>
      </c>
      <c r="O1371" s="4">
        <v>0.13927230649585129</v>
      </c>
      <c r="P1371" s="4">
        <v>0.14000000000000001</v>
      </c>
      <c r="Q1371" s="3" t="s">
        <v>1597</v>
      </c>
      <c r="R1371" s="3" t="s">
        <v>1602</v>
      </c>
      <c r="S1371" s="3" t="s">
        <v>1603</v>
      </c>
      <c r="T1371" s="3"/>
    </row>
    <row r="1372" spans="1:20">
      <c r="A1372" s="3" t="s">
        <v>1604</v>
      </c>
      <c r="B1372" s="3" t="s">
        <v>1601</v>
      </c>
      <c r="C1372" s="3" t="s">
        <v>1616</v>
      </c>
      <c r="D1372" s="3" t="s">
        <v>94</v>
      </c>
      <c r="E1372" s="3" t="s">
        <v>95</v>
      </c>
      <c r="F1372" s="2">
        <v>1</v>
      </c>
      <c r="G1372" s="4">
        <v>1.0435551625027635</v>
      </c>
      <c r="H1372" s="2">
        <v>25</v>
      </c>
      <c r="I1372" s="2">
        <v>30</v>
      </c>
      <c r="J1372" s="2">
        <v>16</v>
      </c>
      <c r="K1372" s="4">
        <v>1</v>
      </c>
      <c r="L1372" s="4">
        <v>1.2921868158157612E-2</v>
      </c>
      <c r="M1372" s="4">
        <v>1.2921868158157612E-2</v>
      </c>
      <c r="N1372" s="10">
        <v>1.2999999999999999E-2</v>
      </c>
      <c r="O1372" s="4">
        <v>6.4069365997256933E-2</v>
      </c>
      <c r="P1372" s="4">
        <v>0.06</v>
      </c>
      <c r="Q1372" s="3" t="s">
        <v>1597</v>
      </c>
      <c r="R1372" s="3" t="s">
        <v>1602</v>
      </c>
      <c r="S1372" s="3" t="s">
        <v>1603</v>
      </c>
      <c r="T1372" s="3"/>
    </row>
    <row r="1373" spans="1:20">
      <c r="A1373" s="3" t="s">
        <v>1600</v>
      </c>
      <c r="B1373" s="3" t="s">
        <v>1601</v>
      </c>
      <c r="C1373" s="3" t="s">
        <v>1616</v>
      </c>
      <c r="D1373" s="3" t="s">
        <v>94</v>
      </c>
      <c r="E1373" s="3" t="s">
        <v>95</v>
      </c>
      <c r="F1373" s="2">
        <v>1</v>
      </c>
      <c r="G1373" s="4">
        <v>1.0435551625027635</v>
      </c>
      <c r="H1373" s="2">
        <v>25</v>
      </c>
      <c r="I1373" s="2">
        <v>5</v>
      </c>
      <c r="J1373" s="2">
        <v>16</v>
      </c>
      <c r="K1373" s="4">
        <v>1</v>
      </c>
      <c r="L1373" s="4">
        <v>1.136530899084371E-2</v>
      </c>
      <c r="M1373" s="4">
        <v>1.136530899084371E-2</v>
      </c>
      <c r="N1373" s="10">
        <v>1.0999999999999999E-2</v>
      </c>
      <c r="O1373" s="4">
        <v>5.6350904945063174E-2</v>
      </c>
      <c r="P1373" s="4">
        <v>0.05</v>
      </c>
      <c r="Q1373" s="3" t="s">
        <v>1597</v>
      </c>
      <c r="R1373" s="3" t="s">
        <v>1602</v>
      </c>
      <c r="S1373" s="3" t="s">
        <v>1603</v>
      </c>
      <c r="T1373" s="3"/>
    </row>
    <row r="1374" spans="1:20">
      <c r="A1374" s="3" t="s">
        <v>1600</v>
      </c>
      <c r="B1374" s="3" t="s">
        <v>1601</v>
      </c>
      <c r="C1374" s="3" t="s">
        <v>1596</v>
      </c>
      <c r="D1374" s="3" t="s">
        <v>94</v>
      </c>
      <c r="E1374" s="3" t="s">
        <v>95</v>
      </c>
      <c r="F1374" s="2">
        <v>1</v>
      </c>
      <c r="G1374" s="4">
        <v>1.0435551625027635</v>
      </c>
      <c r="H1374" s="2">
        <v>25</v>
      </c>
      <c r="I1374" s="2">
        <v>5</v>
      </c>
      <c r="J1374" s="2">
        <v>1</v>
      </c>
      <c r="K1374" s="4">
        <v>1</v>
      </c>
      <c r="L1374" s="4">
        <v>-1.5460128743871727E-3</v>
      </c>
      <c r="M1374" s="4">
        <v>1.5460128743871727E-3</v>
      </c>
      <c r="N1374" s="10">
        <v>2E-3</v>
      </c>
      <c r="O1374" s="4">
        <v>7.6650395343758337E-3</v>
      </c>
      <c r="P1374" s="4">
        <v>-0.01</v>
      </c>
      <c r="Q1374" s="3" t="s">
        <v>1617</v>
      </c>
      <c r="R1374" s="3" t="s">
        <v>1618</v>
      </c>
      <c r="S1374" s="3" t="s">
        <v>1619</v>
      </c>
      <c r="T1374" s="3"/>
    </row>
    <row r="1375" spans="1:20">
      <c r="A1375" s="3" t="s">
        <v>1600</v>
      </c>
      <c r="B1375" s="3" t="s">
        <v>1601</v>
      </c>
      <c r="C1375" s="3" t="s">
        <v>1596</v>
      </c>
      <c r="D1375" s="3" t="s">
        <v>94</v>
      </c>
      <c r="E1375" s="3" t="s">
        <v>95</v>
      </c>
      <c r="F1375" s="2">
        <v>1</v>
      </c>
      <c r="G1375" s="4">
        <v>1.0435551625027635</v>
      </c>
      <c r="H1375" s="2">
        <v>25</v>
      </c>
      <c r="I1375" s="2">
        <v>5</v>
      </c>
      <c r="J1375" s="2">
        <v>16</v>
      </c>
      <c r="K1375" s="4">
        <v>1</v>
      </c>
      <c r="L1375" s="4">
        <v>-1.5483604996606331E-3</v>
      </c>
      <c r="M1375" s="4">
        <v>1.5483604996606331E-3</v>
      </c>
      <c r="N1375" s="10">
        <v>2E-3</v>
      </c>
      <c r="O1375" s="4">
        <v>7.6766789389176721E-3</v>
      </c>
      <c r="P1375" s="4">
        <v>-0.01</v>
      </c>
      <c r="Q1375" s="3" t="s">
        <v>1617</v>
      </c>
      <c r="R1375" s="3" t="s">
        <v>1618</v>
      </c>
      <c r="S1375" s="3" t="s">
        <v>1619</v>
      </c>
      <c r="T1375" s="3"/>
    </row>
    <row r="1376" spans="1:20">
      <c r="A1376" s="3" t="s">
        <v>1604</v>
      </c>
      <c r="B1376" s="3" t="s">
        <v>1601</v>
      </c>
      <c r="C1376" s="3" t="s">
        <v>1596</v>
      </c>
      <c r="D1376" s="3" t="s">
        <v>94</v>
      </c>
      <c r="E1376" s="3" t="s">
        <v>95</v>
      </c>
      <c r="F1376" s="2">
        <v>1</v>
      </c>
      <c r="G1376" s="4">
        <v>1.0435551625027635</v>
      </c>
      <c r="H1376" s="2">
        <v>25</v>
      </c>
      <c r="I1376" s="2">
        <v>30</v>
      </c>
      <c r="J1376" s="2">
        <v>16</v>
      </c>
      <c r="K1376" s="4">
        <v>1</v>
      </c>
      <c r="L1376" s="4">
        <v>-4.8983715476123455E-3</v>
      </c>
      <c r="M1376" s="4">
        <v>4.8983715476123455E-3</v>
      </c>
      <c r="N1376" s="10">
        <v>5.0000000000000001E-3</v>
      </c>
      <c r="O1376" s="4">
        <v>2.4286008592807287E-2</v>
      </c>
      <c r="P1376" s="4">
        <v>-0.02</v>
      </c>
      <c r="Q1376" s="3" t="s">
        <v>1617</v>
      </c>
      <c r="R1376" s="3" t="s">
        <v>1618</v>
      </c>
      <c r="S1376" s="3" t="s">
        <v>1619</v>
      </c>
      <c r="T1376" s="3"/>
    </row>
    <row r="1377" spans="1:20">
      <c r="A1377" s="12" t="s">
        <v>1605</v>
      </c>
      <c r="B1377" s="3" t="s">
        <v>1601</v>
      </c>
      <c r="C1377" s="3" t="s">
        <v>1596</v>
      </c>
      <c r="D1377" s="3" t="s">
        <v>94</v>
      </c>
      <c r="E1377" s="3" t="s">
        <v>95</v>
      </c>
      <c r="F1377" s="2">
        <v>1</v>
      </c>
      <c r="G1377" s="4">
        <v>1.0435551625027635</v>
      </c>
      <c r="H1377" s="2">
        <v>25</v>
      </c>
      <c r="I1377" s="2">
        <v>5</v>
      </c>
      <c r="J1377" s="2">
        <v>16</v>
      </c>
      <c r="K1377" s="11">
        <v>1</v>
      </c>
      <c r="L1377" s="11">
        <v>-4.9001028141773479E-3</v>
      </c>
      <c r="M1377" s="4">
        <v>4.9001028141773479E-3</v>
      </c>
      <c r="N1377" s="10">
        <v>5.0000000000000001E-3</v>
      </c>
      <c r="O1377" s="4">
        <v>2.4294592308272061E-2</v>
      </c>
      <c r="P1377" s="4">
        <v>-0.02</v>
      </c>
      <c r="Q1377" s="3" t="s">
        <v>1617</v>
      </c>
      <c r="R1377" s="3" t="s">
        <v>1618</v>
      </c>
      <c r="S1377" s="3" t="s">
        <v>1619</v>
      </c>
      <c r="T1377" s="3"/>
    </row>
    <row r="1378" spans="1:20">
      <c r="A1378" s="3" t="s">
        <v>1600</v>
      </c>
      <c r="B1378" s="3" t="s">
        <v>1609</v>
      </c>
      <c r="C1378" s="3" t="s">
        <v>1616</v>
      </c>
      <c r="D1378" s="3" t="s">
        <v>94</v>
      </c>
      <c r="E1378" s="3" t="s">
        <v>95</v>
      </c>
      <c r="F1378" s="2">
        <v>1</v>
      </c>
      <c r="G1378" s="4">
        <v>1.0435551625027635</v>
      </c>
      <c r="H1378" s="2">
        <v>25</v>
      </c>
      <c r="I1378" s="2">
        <v>5</v>
      </c>
      <c r="J1378" s="2">
        <v>1</v>
      </c>
      <c r="K1378" s="4">
        <v>1</v>
      </c>
      <c r="L1378" s="4">
        <v>-4.3477148675682288E-2</v>
      </c>
      <c r="M1378" s="4">
        <v>4.3477148675682288E-2</v>
      </c>
      <c r="N1378" s="10">
        <v>4.2999999999999997E-2</v>
      </c>
      <c r="O1378" s="4">
        <v>0.2156929097904717</v>
      </c>
      <c r="P1378" s="4">
        <v>-0.21</v>
      </c>
      <c r="Q1378" s="3" t="s">
        <v>1617</v>
      </c>
      <c r="R1378" s="3" t="s">
        <v>1623</v>
      </c>
      <c r="S1378" s="3" t="s">
        <v>1624</v>
      </c>
      <c r="T1378" s="3"/>
    </row>
    <row r="1379" spans="1:20">
      <c r="A1379" s="3" t="s">
        <v>1600</v>
      </c>
      <c r="B1379" s="3" t="s">
        <v>1609</v>
      </c>
      <c r="C1379" s="3" t="s">
        <v>1616</v>
      </c>
      <c r="D1379" s="3" t="s">
        <v>94</v>
      </c>
      <c r="E1379" s="3" t="s">
        <v>95</v>
      </c>
      <c r="F1379" s="2">
        <v>1</v>
      </c>
      <c r="G1379" s="4">
        <v>1.0435551625027635</v>
      </c>
      <c r="H1379" s="2">
        <v>25</v>
      </c>
      <c r="I1379" s="2">
        <v>5</v>
      </c>
      <c r="J1379" s="2">
        <v>16</v>
      </c>
      <c r="K1379" s="11">
        <v>1</v>
      </c>
      <c r="L1379" s="11">
        <v>-5.4784496005159222E-2</v>
      </c>
      <c r="M1379" s="4">
        <v>5.4784496005159222E-2</v>
      </c>
      <c r="N1379" s="10">
        <v>5.5E-2</v>
      </c>
      <c r="O1379" s="4">
        <v>0.27189027401926114</v>
      </c>
      <c r="P1379" s="4">
        <v>-0.27</v>
      </c>
      <c r="Q1379" s="3" t="s">
        <v>1617</v>
      </c>
      <c r="R1379" s="3" t="s">
        <v>1623</v>
      </c>
      <c r="S1379" s="3" t="s">
        <v>1624</v>
      </c>
      <c r="T1379" s="3"/>
    </row>
    <row r="1380" spans="1:20">
      <c r="A1380" s="3" t="s">
        <v>1600</v>
      </c>
      <c r="B1380" s="3" t="s">
        <v>1609</v>
      </c>
      <c r="C1380" s="3" t="s">
        <v>1596</v>
      </c>
      <c r="D1380" s="3" t="s">
        <v>94</v>
      </c>
      <c r="E1380" s="3" t="s">
        <v>95</v>
      </c>
      <c r="F1380" s="2">
        <v>1</v>
      </c>
      <c r="G1380" s="4">
        <v>1.0435551625027635</v>
      </c>
      <c r="H1380" s="2">
        <v>25</v>
      </c>
      <c r="I1380" s="2">
        <v>5</v>
      </c>
      <c r="J1380" s="2">
        <v>16</v>
      </c>
      <c r="K1380" s="4">
        <v>1</v>
      </c>
      <c r="L1380" s="4">
        <v>-7.3145982816903987E-2</v>
      </c>
      <c r="M1380" s="4">
        <v>7.3145982816903987E-2</v>
      </c>
      <c r="N1380" s="10">
        <v>7.2999999999999995E-2</v>
      </c>
      <c r="O1380" s="4">
        <v>0.36330198318233331</v>
      </c>
      <c r="P1380" s="4">
        <v>-0.36</v>
      </c>
      <c r="Q1380" s="3" t="s">
        <v>1617</v>
      </c>
      <c r="R1380" s="3" t="s">
        <v>1623</v>
      </c>
      <c r="S1380" s="3" t="s">
        <v>1624</v>
      </c>
      <c r="T1380" s="3"/>
    </row>
    <row r="1381" spans="1:20">
      <c r="A1381" s="3" t="s">
        <v>1600</v>
      </c>
      <c r="B1381" s="3" t="s">
        <v>1609</v>
      </c>
      <c r="C1381" s="3" t="s">
        <v>1596</v>
      </c>
      <c r="D1381" s="3" t="s">
        <v>94</v>
      </c>
      <c r="E1381" s="3" t="s">
        <v>95</v>
      </c>
      <c r="F1381" s="2">
        <v>1</v>
      </c>
      <c r="G1381" s="4">
        <v>1.0435551625027635</v>
      </c>
      <c r="H1381" s="2">
        <v>25</v>
      </c>
      <c r="I1381" s="2">
        <v>5</v>
      </c>
      <c r="J1381" s="2">
        <v>1</v>
      </c>
      <c r="K1381" s="11">
        <v>1</v>
      </c>
      <c r="L1381" s="11">
        <v>-0.11317571005906536</v>
      </c>
      <c r="M1381" s="4">
        <v>0.11317571005906536</v>
      </c>
      <c r="N1381" s="10">
        <v>0.113</v>
      </c>
      <c r="O1381" s="4">
        <v>0.56353228712280401</v>
      </c>
      <c r="P1381" s="4">
        <v>-0.56000000000000005</v>
      </c>
      <c r="Q1381" s="3" t="s">
        <v>1617</v>
      </c>
      <c r="R1381" s="3" t="s">
        <v>1623</v>
      </c>
      <c r="S1381" s="3" t="s">
        <v>1624</v>
      </c>
      <c r="T1381" s="3"/>
    </row>
    <row r="1382" spans="1:20">
      <c r="A1382" s="3" t="s">
        <v>1600</v>
      </c>
      <c r="B1382" s="3" t="s">
        <v>1609</v>
      </c>
      <c r="C1382" s="3" t="s">
        <v>1616</v>
      </c>
      <c r="D1382" s="3" t="s">
        <v>1504</v>
      </c>
      <c r="E1382" s="3" t="s">
        <v>1505</v>
      </c>
      <c r="F1382" s="2">
        <v>1</v>
      </c>
      <c r="G1382" s="4">
        <v>1.0442130677531309</v>
      </c>
      <c r="H1382" s="2">
        <v>25</v>
      </c>
      <c r="I1382" s="2">
        <v>5</v>
      </c>
      <c r="J1382" s="2">
        <v>16</v>
      </c>
      <c r="K1382" s="4">
        <v>1</v>
      </c>
      <c r="L1382" s="4">
        <v>0.19330367707471943</v>
      </c>
      <c r="M1382" s="4">
        <v>0.19330367707471943</v>
      </c>
      <c r="N1382" s="10">
        <v>0.193</v>
      </c>
      <c r="O1382" s="4">
        <v>0.97059944549754795</v>
      </c>
      <c r="P1382" s="4">
        <v>0.97</v>
      </c>
      <c r="Q1382" s="3" t="s">
        <v>1597</v>
      </c>
      <c r="R1382" s="3" t="s">
        <v>1610</v>
      </c>
      <c r="S1382" s="3" t="s">
        <v>1611</v>
      </c>
      <c r="T1382" s="3"/>
    </row>
    <row r="1383" spans="1:20">
      <c r="A1383" s="3" t="s">
        <v>1600</v>
      </c>
      <c r="B1383" s="3" t="s">
        <v>1609</v>
      </c>
      <c r="C1383" s="3" t="s">
        <v>1616</v>
      </c>
      <c r="D1383" s="3" t="s">
        <v>1504</v>
      </c>
      <c r="E1383" s="3" t="s">
        <v>1505</v>
      </c>
      <c r="F1383" s="2">
        <v>1</v>
      </c>
      <c r="G1383" s="4">
        <v>1.0442130677531309</v>
      </c>
      <c r="H1383" s="2">
        <v>25</v>
      </c>
      <c r="I1383" s="2">
        <v>5</v>
      </c>
      <c r="J1383" s="2">
        <v>1</v>
      </c>
      <c r="K1383" s="4">
        <v>0.17462085422988971</v>
      </c>
      <c r="L1383" s="4">
        <v>0.12858205487463362</v>
      </c>
      <c r="M1383" s="4">
        <v>0.12858205487463362</v>
      </c>
      <c r="N1383" s="10">
        <v>0.129</v>
      </c>
      <c r="O1383" s="4">
        <v>0.64105025801851856</v>
      </c>
      <c r="P1383" s="4">
        <v>0.64</v>
      </c>
      <c r="Q1383" s="3" t="s">
        <v>1597</v>
      </c>
      <c r="R1383" s="3" t="s">
        <v>1610</v>
      </c>
      <c r="S1383" s="3" t="s">
        <v>1611</v>
      </c>
      <c r="T1383" s="3"/>
    </row>
    <row r="1384" spans="1:20">
      <c r="A1384" s="3" t="s">
        <v>1600</v>
      </c>
      <c r="B1384" s="3" t="s">
        <v>1609</v>
      </c>
      <c r="C1384" s="3" t="s">
        <v>1596</v>
      </c>
      <c r="D1384" s="3" t="s">
        <v>1504</v>
      </c>
      <c r="E1384" s="3" t="s">
        <v>1505</v>
      </c>
      <c r="F1384" s="2">
        <v>1</v>
      </c>
      <c r="G1384" s="4">
        <v>1.0442130677531309</v>
      </c>
      <c r="H1384" s="2">
        <v>25</v>
      </c>
      <c r="I1384" s="2">
        <v>5</v>
      </c>
      <c r="J1384" s="2">
        <v>1</v>
      </c>
      <c r="K1384" s="4">
        <v>0.38824651231919338</v>
      </c>
      <c r="L1384" s="4">
        <v>0.11642519514434124</v>
      </c>
      <c r="M1384" s="4">
        <v>0.11642519514434124</v>
      </c>
      <c r="N1384" s="10">
        <v>0.11600000000000001</v>
      </c>
      <c r="O1384" s="4">
        <v>0.57985820408823907</v>
      </c>
      <c r="P1384" s="4">
        <v>0.57999999999999996</v>
      </c>
      <c r="Q1384" s="3" t="s">
        <v>1597</v>
      </c>
      <c r="R1384" s="3" t="s">
        <v>1610</v>
      </c>
      <c r="S1384" s="3" t="s">
        <v>1611</v>
      </c>
      <c r="T1384" s="3"/>
    </row>
    <row r="1385" spans="1:20">
      <c r="A1385" s="3" t="s">
        <v>1600</v>
      </c>
      <c r="B1385" s="3" t="s">
        <v>1601</v>
      </c>
      <c r="C1385" s="3" t="s">
        <v>1596</v>
      </c>
      <c r="D1385" s="3" t="s">
        <v>1504</v>
      </c>
      <c r="E1385" s="3" t="s">
        <v>1505</v>
      </c>
      <c r="F1385" s="2">
        <v>1</v>
      </c>
      <c r="G1385" s="4">
        <v>1.0442130677531309</v>
      </c>
      <c r="H1385" s="2">
        <v>25</v>
      </c>
      <c r="I1385" s="2">
        <v>5</v>
      </c>
      <c r="J1385" s="2">
        <v>1</v>
      </c>
      <c r="K1385" s="4">
        <v>5.7322610560079146E-2</v>
      </c>
      <c r="L1385" s="4">
        <v>9.1682095590756366E-2</v>
      </c>
      <c r="M1385" s="4">
        <v>9.1682095590756366E-2</v>
      </c>
      <c r="N1385" s="10">
        <v>9.1999999999999998E-2</v>
      </c>
      <c r="O1385" s="4">
        <v>0.45583405711736757</v>
      </c>
      <c r="P1385" s="4">
        <v>0.46</v>
      </c>
      <c r="Q1385" s="3" t="s">
        <v>1597</v>
      </c>
      <c r="R1385" s="3" t="s">
        <v>1602</v>
      </c>
      <c r="S1385" s="3" t="s">
        <v>1603</v>
      </c>
      <c r="T1385" s="3"/>
    </row>
    <row r="1386" spans="1:20">
      <c r="A1386" s="3" t="s">
        <v>1600</v>
      </c>
      <c r="B1386" s="3" t="s">
        <v>1609</v>
      </c>
      <c r="C1386" s="3" t="s">
        <v>1596</v>
      </c>
      <c r="D1386" s="3" t="s">
        <v>1504</v>
      </c>
      <c r="E1386" s="3" t="s">
        <v>1505</v>
      </c>
      <c r="F1386" s="2">
        <v>1</v>
      </c>
      <c r="G1386" s="4">
        <v>1.0442130677531309</v>
      </c>
      <c r="H1386" s="2">
        <v>25</v>
      </c>
      <c r="I1386" s="2">
        <v>5</v>
      </c>
      <c r="J1386" s="2">
        <v>16</v>
      </c>
      <c r="K1386" s="4">
        <v>1</v>
      </c>
      <c r="L1386" s="4">
        <v>7.9372218264764094E-2</v>
      </c>
      <c r="M1386" s="4">
        <v>7.9372218264764094E-2</v>
      </c>
      <c r="N1386" s="10">
        <v>7.9000000000000001E-2</v>
      </c>
      <c r="O1386" s="4">
        <v>0.39435193433842408</v>
      </c>
      <c r="P1386" s="4">
        <v>0.39</v>
      </c>
      <c r="Q1386" s="3" t="s">
        <v>1597</v>
      </c>
      <c r="R1386" s="3" t="s">
        <v>1610</v>
      </c>
      <c r="S1386" s="3" t="s">
        <v>1611</v>
      </c>
      <c r="T1386" s="3"/>
    </row>
    <row r="1387" spans="1:20">
      <c r="A1387" s="3" t="s">
        <v>1600</v>
      </c>
      <c r="B1387" s="3" t="s">
        <v>1601</v>
      </c>
      <c r="C1387" s="3" t="s">
        <v>1616</v>
      </c>
      <c r="D1387" s="3" t="s">
        <v>1504</v>
      </c>
      <c r="E1387" s="3" t="s">
        <v>1505</v>
      </c>
      <c r="F1387" s="2">
        <v>1</v>
      </c>
      <c r="G1387" s="4">
        <v>1.0442130677531309</v>
      </c>
      <c r="H1387" s="2">
        <v>25</v>
      </c>
      <c r="I1387" s="2">
        <v>5</v>
      </c>
      <c r="J1387" s="2">
        <v>16</v>
      </c>
      <c r="K1387" s="4">
        <v>1</v>
      </c>
      <c r="L1387" s="4">
        <v>5.5819212785775361E-2</v>
      </c>
      <c r="M1387" s="4">
        <v>5.5819212785775361E-2</v>
      </c>
      <c r="N1387" s="10">
        <v>5.6000000000000001E-2</v>
      </c>
      <c r="O1387" s="4">
        <v>0.27703607179068124</v>
      </c>
      <c r="P1387" s="4">
        <v>0.28000000000000003</v>
      </c>
      <c r="Q1387" s="3" t="s">
        <v>1597</v>
      </c>
      <c r="R1387" s="3" t="s">
        <v>1602</v>
      </c>
      <c r="S1387" s="3" t="s">
        <v>1603</v>
      </c>
      <c r="T1387" s="3"/>
    </row>
    <row r="1388" spans="1:20">
      <c r="A1388" s="3" t="s">
        <v>1600</v>
      </c>
      <c r="B1388" s="3" t="s">
        <v>1601</v>
      </c>
      <c r="C1388" s="3" t="s">
        <v>1616</v>
      </c>
      <c r="D1388" s="3" t="s">
        <v>1504</v>
      </c>
      <c r="E1388" s="3" t="s">
        <v>1505</v>
      </c>
      <c r="F1388" s="2">
        <v>1</v>
      </c>
      <c r="G1388" s="4">
        <v>1.0442130677531309</v>
      </c>
      <c r="H1388" s="2">
        <v>25</v>
      </c>
      <c r="I1388" s="2">
        <v>5</v>
      </c>
      <c r="J1388" s="2">
        <v>1</v>
      </c>
      <c r="K1388" s="4">
        <v>0.75614677457514423</v>
      </c>
      <c r="L1388" s="4">
        <v>5.4137884425800122E-2</v>
      </c>
      <c r="M1388" s="4">
        <v>5.4137884425800122E-2</v>
      </c>
      <c r="N1388" s="10">
        <v>5.3999999999999999E-2</v>
      </c>
      <c r="O1388" s="4">
        <v>0.26867487791913336</v>
      </c>
      <c r="P1388" s="4">
        <v>0.27</v>
      </c>
      <c r="Q1388" s="3" t="s">
        <v>1597</v>
      </c>
      <c r="R1388" s="3" t="s">
        <v>1602</v>
      </c>
      <c r="S1388" s="3" t="s">
        <v>1603</v>
      </c>
      <c r="T1388" s="3"/>
    </row>
    <row r="1389" spans="1:20">
      <c r="A1389" s="3" t="s">
        <v>1604</v>
      </c>
      <c r="B1389" s="3" t="s">
        <v>1601</v>
      </c>
      <c r="C1389" s="3" t="s">
        <v>1616</v>
      </c>
      <c r="D1389" s="3" t="s">
        <v>1504</v>
      </c>
      <c r="E1389" s="3" t="s">
        <v>1505</v>
      </c>
      <c r="F1389" s="2">
        <v>1</v>
      </c>
      <c r="G1389" s="4">
        <v>1.0442130677531309</v>
      </c>
      <c r="H1389" s="2">
        <v>25</v>
      </c>
      <c r="I1389" s="2">
        <v>30</v>
      </c>
      <c r="J1389" s="2">
        <v>16</v>
      </c>
      <c r="K1389" s="4">
        <v>1</v>
      </c>
      <c r="L1389" s="4">
        <v>3.8570036213228104E-2</v>
      </c>
      <c r="M1389" s="4">
        <v>3.8570036213228104E-2</v>
      </c>
      <c r="N1389" s="10">
        <v>3.9E-2</v>
      </c>
      <c r="O1389" s="4">
        <v>0.19132269581771205</v>
      </c>
      <c r="P1389" s="4">
        <v>0.19</v>
      </c>
      <c r="Q1389" s="3" t="s">
        <v>1597</v>
      </c>
      <c r="R1389" s="3" t="s">
        <v>1602</v>
      </c>
      <c r="S1389" s="3" t="s">
        <v>1603</v>
      </c>
      <c r="T1389" s="3"/>
    </row>
    <row r="1390" spans="1:20">
      <c r="A1390" s="3" t="s">
        <v>1600</v>
      </c>
      <c r="B1390" s="3" t="s">
        <v>1606</v>
      </c>
      <c r="C1390" s="3" t="s">
        <v>1596</v>
      </c>
      <c r="D1390" s="3" t="s">
        <v>1504</v>
      </c>
      <c r="E1390" s="3" t="s">
        <v>1505</v>
      </c>
      <c r="F1390" s="2">
        <v>1</v>
      </c>
      <c r="G1390" s="4">
        <v>1.0442130677531309</v>
      </c>
      <c r="H1390" s="2">
        <v>25</v>
      </c>
      <c r="I1390" s="2">
        <v>5</v>
      </c>
      <c r="J1390" s="2">
        <v>16</v>
      </c>
      <c r="K1390" s="4">
        <v>1</v>
      </c>
      <c r="L1390" s="4">
        <v>-1.5671262547217228E-2</v>
      </c>
      <c r="M1390" s="4">
        <v>1.5671262547217228E-2</v>
      </c>
      <c r="N1390" s="10">
        <v>1.6E-2</v>
      </c>
      <c r="O1390" s="4">
        <v>7.7703483676433011E-2</v>
      </c>
      <c r="P1390" s="4">
        <v>-0.08</v>
      </c>
      <c r="Q1390" s="3" t="s">
        <v>1617</v>
      </c>
      <c r="R1390" s="3" t="s">
        <v>1621</v>
      </c>
      <c r="S1390" s="3" t="s">
        <v>1622</v>
      </c>
      <c r="T1390" s="3"/>
    </row>
    <row r="1391" spans="1:20">
      <c r="A1391" s="3" t="s">
        <v>1594</v>
      </c>
      <c r="B1391" s="3" t="s">
        <v>1595</v>
      </c>
      <c r="C1391" s="3" t="s">
        <v>1596</v>
      </c>
      <c r="D1391" s="3" t="s">
        <v>1504</v>
      </c>
      <c r="E1391" s="3" t="s">
        <v>1505</v>
      </c>
      <c r="F1391" s="2">
        <v>1</v>
      </c>
      <c r="G1391" s="4">
        <v>1.0442130677531309</v>
      </c>
      <c r="H1391" s="2">
        <v>25</v>
      </c>
      <c r="I1391" s="2">
        <v>5</v>
      </c>
      <c r="J1391" s="2">
        <v>16</v>
      </c>
      <c r="K1391" s="4">
        <v>0.14478289534818922</v>
      </c>
      <c r="L1391" s="4">
        <v>-2.0117808370424116E-2</v>
      </c>
      <c r="M1391" s="4">
        <v>2.0117808370424116E-2</v>
      </c>
      <c r="N1391" s="10">
        <v>0.02</v>
      </c>
      <c r="O1391" s="4">
        <v>9.9756272847713809E-2</v>
      </c>
      <c r="P1391" s="4">
        <v>-0.1</v>
      </c>
      <c r="Q1391" s="3" t="s">
        <v>1617</v>
      </c>
      <c r="R1391" s="3" t="s">
        <v>1625</v>
      </c>
      <c r="S1391" s="3" t="s">
        <v>1626</v>
      </c>
      <c r="T1391" s="3"/>
    </row>
    <row r="1392" spans="1:20">
      <c r="A1392" s="3" t="s">
        <v>1594</v>
      </c>
      <c r="B1392" s="3" t="s">
        <v>1612</v>
      </c>
      <c r="C1392" s="3" t="s">
        <v>1596</v>
      </c>
      <c r="D1392" s="3" t="s">
        <v>1504</v>
      </c>
      <c r="E1392" s="3" t="s">
        <v>1505</v>
      </c>
      <c r="F1392" s="2">
        <v>1</v>
      </c>
      <c r="G1392" s="4">
        <v>1.0442130677531309</v>
      </c>
      <c r="H1392" s="2">
        <v>50</v>
      </c>
      <c r="I1392" s="2">
        <v>5</v>
      </c>
      <c r="J1392" s="2">
        <v>16</v>
      </c>
      <c r="K1392" s="4">
        <v>0.85314909176862219</v>
      </c>
      <c r="L1392" s="4">
        <v>-2.9342227476146246E-2</v>
      </c>
      <c r="M1392" s="4">
        <v>2.9342227476146246E-2</v>
      </c>
      <c r="N1392" s="10">
        <v>2.9000000000000001E-2</v>
      </c>
      <c r="O1392" s="4">
        <v>0.15772046811169169</v>
      </c>
      <c r="P1392" s="4">
        <v>-0.16</v>
      </c>
      <c r="Q1392" s="3" t="s">
        <v>1617</v>
      </c>
      <c r="R1392" s="3" t="s">
        <v>1627</v>
      </c>
      <c r="S1392" s="3" t="s">
        <v>1628</v>
      </c>
      <c r="T1392" s="3"/>
    </row>
    <row r="1393" spans="1:20">
      <c r="A1393" s="3" t="s">
        <v>1600</v>
      </c>
      <c r="B1393" s="3" t="s">
        <v>1606</v>
      </c>
      <c r="C1393" s="3" t="s">
        <v>1596</v>
      </c>
      <c r="D1393" s="3" t="s">
        <v>1504</v>
      </c>
      <c r="E1393" s="3" t="s">
        <v>1505</v>
      </c>
      <c r="F1393" s="2">
        <v>1</v>
      </c>
      <c r="G1393" s="4">
        <v>1.0442130677531309</v>
      </c>
      <c r="H1393" s="2">
        <v>25</v>
      </c>
      <c r="I1393" s="2">
        <v>5</v>
      </c>
      <c r="J1393" s="2">
        <v>1</v>
      </c>
      <c r="K1393" s="4">
        <v>1</v>
      </c>
      <c r="L1393" s="4">
        <v>-4.2213283455980549E-2</v>
      </c>
      <c r="M1393" s="4">
        <v>4.2213283455980549E-2</v>
      </c>
      <c r="N1393" s="10">
        <v>4.2000000000000003E-2</v>
      </c>
      <c r="O1393" s="4">
        <v>0.20941522160349746</v>
      </c>
      <c r="P1393" s="4">
        <v>-0.21</v>
      </c>
      <c r="Q1393" s="3" t="s">
        <v>1617</v>
      </c>
      <c r="R1393" s="3" t="s">
        <v>1621</v>
      </c>
      <c r="S1393" s="3" t="s">
        <v>1622</v>
      </c>
      <c r="T1393" s="3"/>
    </row>
    <row r="1394" spans="1:20">
      <c r="A1394" s="3" t="s">
        <v>1600</v>
      </c>
      <c r="B1394" s="3" t="s">
        <v>1601</v>
      </c>
      <c r="C1394" s="3" t="s">
        <v>1596</v>
      </c>
      <c r="D1394" s="3" t="s">
        <v>1504</v>
      </c>
      <c r="E1394" s="3" t="s">
        <v>1505</v>
      </c>
      <c r="F1394" s="2">
        <v>1</v>
      </c>
      <c r="G1394" s="4">
        <v>1.0442130677531309</v>
      </c>
      <c r="H1394" s="2">
        <v>25</v>
      </c>
      <c r="I1394" s="2">
        <v>5</v>
      </c>
      <c r="J1394" s="2">
        <v>16</v>
      </c>
      <c r="K1394" s="4">
        <v>0.98397259088730371</v>
      </c>
      <c r="L1394" s="4">
        <v>-5.1255257737780412E-2</v>
      </c>
      <c r="M1394" s="4">
        <v>5.1255257737780412E-2</v>
      </c>
      <c r="N1394" s="10">
        <v>5.0999999999999997E-2</v>
      </c>
      <c r="O1394" s="4">
        <v>0.25434319017078422</v>
      </c>
      <c r="P1394" s="4">
        <v>-0.25</v>
      </c>
      <c r="Q1394" s="3" t="s">
        <v>1617</v>
      </c>
      <c r="R1394" s="3" t="s">
        <v>1618</v>
      </c>
      <c r="S1394" s="3" t="s">
        <v>1619</v>
      </c>
      <c r="T1394" s="3"/>
    </row>
    <row r="1395" spans="1:20">
      <c r="A1395" s="3" t="s">
        <v>1604</v>
      </c>
      <c r="B1395" s="3" t="s">
        <v>1601</v>
      </c>
      <c r="C1395" s="3" t="s">
        <v>1596</v>
      </c>
      <c r="D1395" s="3" t="s">
        <v>1504</v>
      </c>
      <c r="E1395" s="3" t="s">
        <v>1505</v>
      </c>
      <c r="F1395" s="2">
        <v>1</v>
      </c>
      <c r="G1395" s="4">
        <v>1.0442130677531309</v>
      </c>
      <c r="H1395" s="2">
        <v>25</v>
      </c>
      <c r="I1395" s="2">
        <v>30</v>
      </c>
      <c r="J1395" s="2">
        <v>16</v>
      </c>
      <c r="K1395" s="4">
        <v>0.88679397141904626</v>
      </c>
      <c r="L1395" s="4">
        <v>-5.6342605537497689E-2</v>
      </c>
      <c r="M1395" s="4">
        <v>5.6342605537497689E-2</v>
      </c>
      <c r="N1395" s="10">
        <v>5.6000000000000001E-2</v>
      </c>
      <c r="O1395" s="4">
        <v>0.2796392068376522</v>
      </c>
      <c r="P1395" s="4">
        <v>-0.28000000000000003</v>
      </c>
      <c r="Q1395" s="3" t="s">
        <v>1617</v>
      </c>
      <c r="R1395" s="3" t="s">
        <v>1618</v>
      </c>
      <c r="S1395" s="3" t="s">
        <v>1619</v>
      </c>
      <c r="T1395" s="3"/>
    </row>
    <row r="1396" spans="1:20">
      <c r="A1396" s="3" t="s">
        <v>1605</v>
      </c>
      <c r="B1396" s="3" t="s">
        <v>1601</v>
      </c>
      <c r="C1396" s="3" t="s">
        <v>1596</v>
      </c>
      <c r="D1396" s="3" t="s">
        <v>1504</v>
      </c>
      <c r="E1396" s="3" t="s">
        <v>1505</v>
      </c>
      <c r="F1396" s="2">
        <v>1</v>
      </c>
      <c r="G1396" s="4">
        <v>1.0442130677531309</v>
      </c>
      <c r="H1396" s="2">
        <v>25</v>
      </c>
      <c r="I1396" s="2">
        <v>5</v>
      </c>
      <c r="J1396" s="2">
        <v>16</v>
      </c>
      <c r="K1396" s="4">
        <v>0.70653394016791804</v>
      </c>
      <c r="L1396" s="4">
        <v>-5.7026769926402231E-2</v>
      </c>
      <c r="M1396" s="4">
        <v>5.7026769926402231E-2</v>
      </c>
      <c r="N1396" s="10">
        <v>5.7000000000000002E-2</v>
      </c>
      <c r="O1396" s="4">
        <v>0.28304218475673953</v>
      </c>
      <c r="P1396" s="4">
        <v>-0.28000000000000003</v>
      </c>
      <c r="Q1396" s="3" t="s">
        <v>1617</v>
      </c>
      <c r="R1396" s="3" t="s">
        <v>1618</v>
      </c>
      <c r="S1396" s="3" t="s">
        <v>1619</v>
      </c>
      <c r="T1396" s="3"/>
    </row>
    <row r="1397" spans="1:20">
      <c r="A1397" s="3" t="s">
        <v>1594</v>
      </c>
      <c r="B1397" s="3" t="s">
        <v>1595</v>
      </c>
      <c r="C1397" s="3" t="s">
        <v>1596</v>
      </c>
      <c r="D1397" s="3" t="s">
        <v>1504</v>
      </c>
      <c r="E1397" s="3" t="s">
        <v>1505</v>
      </c>
      <c r="F1397" s="2">
        <v>1</v>
      </c>
      <c r="G1397" s="4">
        <v>1.0442130677531309</v>
      </c>
      <c r="H1397" s="2">
        <v>50</v>
      </c>
      <c r="I1397" s="2">
        <v>5</v>
      </c>
      <c r="J1397" s="2">
        <v>16</v>
      </c>
      <c r="K1397" s="4">
        <v>1</v>
      </c>
      <c r="L1397" s="4">
        <v>-0.11981491241456917</v>
      </c>
      <c r="M1397" s="4">
        <v>0.11981491241456917</v>
      </c>
      <c r="N1397" s="10">
        <v>0.12</v>
      </c>
      <c r="O1397" s="4">
        <v>0.64695250516153902</v>
      </c>
      <c r="P1397" s="4">
        <v>-0.65</v>
      </c>
      <c r="Q1397" s="3" t="s">
        <v>1617</v>
      </c>
      <c r="R1397" s="3" t="s">
        <v>1625</v>
      </c>
      <c r="S1397" s="3" t="s">
        <v>1626</v>
      </c>
      <c r="T1397" s="3"/>
    </row>
    <row r="1398" spans="1:20">
      <c r="A1398" s="3" t="s">
        <v>1600</v>
      </c>
      <c r="B1398" s="3" t="s">
        <v>1606</v>
      </c>
      <c r="C1398" s="3" t="s">
        <v>1616</v>
      </c>
      <c r="D1398" s="3" t="s">
        <v>1504</v>
      </c>
      <c r="E1398" s="3" t="s">
        <v>1505</v>
      </c>
      <c r="F1398" s="2">
        <v>1</v>
      </c>
      <c r="G1398" s="4">
        <v>1.0442130677531309</v>
      </c>
      <c r="H1398" s="2">
        <v>25</v>
      </c>
      <c r="I1398" s="2">
        <v>5</v>
      </c>
      <c r="J1398" s="2">
        <v>1</v>
      </c>
      <c r="K1398" s="4">
        <v>1</v>
      </c>
      <c r="L1398" s="4">
        <v>-0.1520395735001554</v>
      </c>
      <c r="M1398" s="4">
        <v>0.1520395735001554</v>
      </c>
      <c r="N1398" s="10">
        <v>0.152</v>
      </c>
      <c r="O1398" s="4">
        <v>0.75969274939844555</v>
      </c>
      <c r="P1398" s="4">
        <v>-0.76</v>
      </c>
      <c r="Q1398" s="3" t="s">
        <v>1617</v>
      </c>
      <c r="R1398" s="3" t="s">
        <v>1621</v>
      </c>
      <c r="S1398" s="3" t="s">
        <v>1622</v>
      </c>
      <c r="T1398" s="3"/>
    </row>
    <row r="1399" spans="1:20">
      <c r="A1399" s="3" t="s">
        <v>1600</v>
      </c>
      <c r="B1399" s="3" t="s">
        <v>1606</v>
      </c>
      <c r="C1399" s="3" t="s">
        <v>1616</v>
      </c>
      <c r="D1399" s="3" t="s">
        <v>1504</v>
      </c>
      <c r="E1399" s="3" t="s">
        <v>1505</v>
      </c>
      <c r="F1399" s="2">
        <v>1</v>
      </c>
      <c r="G1399" s="4">
        <v>1.0442130677531309</v>
      </c>
      <c r="H1399" s="2">
        <v>25</v>
      </c>
      <c r="I1399" s="2">
        <v>5</v>
      </c>
      <c r="J1399" s="2">
        <v>16</v>
      </c>
      <c r="K1399" s="4">
        <v>1</v>
      </c>
      <c r="L1399" s="4">
        <v>-0.1671839441532855</v>
      </c>
      <c r="M1399" s="4">
        <v>0.1671839441532855</v>
      </c>
      <c r="N1399" s="10">
        <v>0.16700000000000001</v>
      </c>
      <c r="O1399" s="4">
        <v>0.8367421045079837</v>
      </c>
      <c r="P1399" s="4">
        <v>-0.84</v>
      </c>
      <c r="Q1399" s="3" t="s">
        <v>1617</v>
      </c>
      <c r="R1399" s="3" t="s">
        <v>1621</v>
      </c>
      <c r="S1399" s="3" t="s">
        <v>1622</v>
      </c>
      <c r="T1399" s="3"/>
    </row>
    <row r="1400" spans="1:20">
      <c r="A1400" s="3" t="s">
        <v>1600</v>
      </c>
      <c r="B1400" s="3" t="s">
        <v>1601</v>
      </c>
      <c r="C1400" s="3" t="s">
        <v>1616</v>
      </c>
      <c r="D1400" s="3" t="s">
        <v>767</v>
      </c>
      <c r="E1400" s="3" t="s">
        <v>768</v>
      </c>
      <c r="F1400" s="2">
        <v>1</v>
      </c>
      <c r="G1400" s="4">
        <v>1.0452039691289967</v>
      </c>
      <c r="H1400" s="2">
        <v>25</v>
      </c>
      <c r="I1400" s="2">
        <v>5</v>
      </c>
      <c r="J1400" s="2">
        <v>1</v>
      </c>
      <c r="K1400" s="4">
        <v>3.0735862259552049E-2</v>
      </c>
      <c r="L1400" s="4">
        <v>0.24359722492381508</v>
      </c>
      <c r="M1400" s="4">
        <v>0.24359722492381508</v>
      </c>
      <c r="N1400" s="10">
        <v>0.24399999999999999</v>
      </c>
      <c r="O1400" s="4">
        <v>1.2325168014920509</v>
      </c>
      <c r="P1400" s="4">
        <v>1.23</v>
      </c>
      <c r="Q1400" s="3" t="s">
        <v>1597</v>
      </c>
      <c r="R1400" s="3" t="s">
        <v>1602</v>
      </c>
      <c r="S1400" s="3" t="s">
        <v>1603</v>
      </c>
      <c r="T1400" s="3"/>
    </row>
    <row r="1401" spans="1:20">
      <c r="A1401" s="3" t="s">
        <v>1594</v>
      </c>
      <c r="B1401" s="3" t="s">
        <v>1612</v>
      </c>
      <c r="C1401" s="3" t="s">
        <v>1596</v>
      </c>
      <c r="D1401" s="3" t="s">
        <v>767</v>
      </c>
      <c r="E1401" s="3" t="s">
        <v>768</v>
      </c>
      <c r="F1401" s="2">
        <v>1</v>
      </c>
      <c r="G1401" s="4">
        <v>1.0452039691289967</v>
      </c>
      <c r="H1401" s="2">
        <v>50</v>
      </c>
      <c r="I1401" s="2">
        <v>5</v>
      </c>
      <c r="J1401" s="2">
        <v>16</v>
      </c>
      <c r="K1401" s="4">
        <v>0.66770589905839384</v>
      </c>
      <c r="L1401" s="14">
        <v>0.20918734026976329</v>
      </c>
      <c r="M1401" s="4">
        <v>0.20918734026976329</v>
      </c>
      <c r="N1401" s="10">
        <v>0.20899999999999999</v>
      </c>
      <c r="O1401" s="4">
        <v>1.1409430145676287</v>
      </c>
      <c r="P1401" s="4">
        <v>1.1399999999999999</v>
      </c>
      <c r="Q1401" s="3" t="s">
        <v>1597</v>
      </c>
      <c r="R1401" s="3" t="s">
        <v>1613</v>
      </c>
      <c r="S1401" s="3" t="s">
        <v>1614</v>
      </c>
      <c r="T1401" s="3"/>
    </row>
    <row r="1402" spans="1:20">
      <c r="A1402" s="3" t="s">
        <v>1604</v>
      </c>
      <c r="B1402" s="3" t="s">
        <v>1601</v>
      </c>
      <c r="C1402" s="3" t="s">
        <v>1616</v>
      </c>
      <c r="D1402" s="3" t="s">
        <v>767</v>
      </c>
      <c r="E1402" s="3" t="s">
        <v>768</v>
      </c>
      <c r="F1402" s="2">
        <v>1</v>
      </c>
      <c r="G1402" s="4">
        <v>1.0452039691289967</v>
      </c>
      <c r="H1402" s="2">
        <v>25</v>
      </c>
      <c r="I1402" s="2">
        <v>30</v>
      </c>
      <c r="J1402" s="2">
        <v>16</v>
      </c>
      <c r="K1402" s="4">
        <v>7.5724941917860056E-2</v>
      </c>
      <c r="L1402" s="4">
        <v>0.14485152038168964</v>
      </c>
      <c r="M1402" s="4">
        <v>0.14485152038168964</v>
      </c>
      <c r="N1402" s="10">
        <v>0.14499999999999999</v>
      </c>
      <c r="O1402" s="4">
        <v>0.72325164950316423</v>
      </c>
      <c r="P1402" s="4">
        <v>0.72</v>
      </c>
      <c r="Q1402" s="3" t="s">
        <v>1597</v>
      </c>
      <c r="R1402" s="3" t="s">
        <v>1602</v>
      </c>
      <c r="S1402" s="3" t="s">
        <v>1603</v>
      </c>
      <c r="T1402" s="3"/>
    </row>
    <row r="1403" spans="1:20">
      <c r="A1403" s="3" t="s">
        <v>1594</v>
      </c>
      <c r="B1403" s="3" t="s">
        <v>1595</v>
      </c>
      <c r="C1403" s="3" t="s">
        <v>1596</v>
      </c>
      <c r="D1403" s="3" t="s">
        <v>767</v>
      </c>
      <c r="E1403" s="3" t="s">
        <v>768</v>
      </c>
      <c r="F1403" s="2">
        <v>1</v>
      </c>
      <c r="G1403" s="4">
        <v>1.0452039691289967</v>
      </c>
      <c r="H1403" s="2">
        <v>50</v>
      </c>
      <c r="I1403" s="2">
        <v>5</v>
      </c>
      <c r="J1403" s="2">
        <v>16</v>
      </c>
      <c r="K1403" s="4">
        <v>0.46093504058768919</v>
      </c>
      <c r="L1403" s="14">
        <v>0.11749974088600627</v>
      </c>
      <c r="M1403" s="4">
        <v>0.11749974088600627</v>
      </c>
      <c r="N1403" s="10">
        <v>0.11700000000000001</v>
      </c>
      <c r="O1403" s="4">
        <v>0.63433388683296987</v>
      </c>
      <c r="P1403" s="4">
        <v>0.63</v>
      </c>
      <c r="Q1403" s="3" t="s">
        <v>1597</v>
      </c>
      <c r="R1403" s="3" t="s">
        <v>1598</v>
      </c>
      <c r="S1403" s="3" t="s">
        <v>1599</v>
      </c>
      <c r="T1403" s="3"/>
    </row>
    <row r="1404" spans="1:20">
      <c r="A1404" s="3" t="s">
        <v>1600</v>
      </c>
      <c r="B1404" s="3" t="s">
        <v>1601</v>
      </c>
      <c r="C1404" s="3" t="s">
        <v>1596</v>
      </c>
      <c r="D1404" s="3" t="s">
        <v>767</v>
      </c>
      <c r="E1404" s="3" t="s">
        <v>768</v>
      </c>
      <c r="F1404" s="2">
        <v>1</v>
      </c>
      <c r="G1404" s="4">
        <v>1.0452039691289967</v>
      </c>
      <c r="H1404" s="2">
        <v>25</v>
      </c>
      <c r="I1404" s="2">
        <v>5</v>
      </c>
      <c r="J1404" s="2">
        <v>16</v>
      </c>
      <c r="K1404" s="4">
        <v>1.4372992315435207E-2</v>
      </c>
      <c r="L1404" s="4">
        <v>6.2845122271890611E-2</v>
      </c>
      <c r="M1404" s="4">
        <v>6.2845122271890611E-2</v>
      </c>
      <c r="N1404" s="10">
        <v>6.3E-2</v>
      </c>
      <c r="O1404" s="4">
        <v>0.31199328976465523</v>
      </c>
      <c r="P1404" s="4">
        <v>0.31</v>
      </c>
      <c r="Q1404" s="3" t="s">
        <v>1597</v>
      </c>
      <c r="R1404" s="3" t="s">
        <v>1602</v>
      </c>
      <c r="S1404" s="3" t="s">
        <v>1603</v>
      </c>
      <c r="T1404" s="3"/>
    </row>
    <row r="1405" spans="1:20">
      <c r="A1405" s="3" t="s">
        <v>1600</v>
      </c>
      <c r="B1405" s="3" t="s">
        <v>1601</v>
      </c>
      <c r="C1405" s="3" t="s">
        <v>1616</v>
      </c>
      <c r="D1405" s="3" t="s">
        <v>767</v>
      </c>
      <c r="E1405" s="3" t="s">
        <v>768</v>
      </c>
      <c r="F1405" s="2">
        <v>1</v>
      </c>
      <c r="G1405" s="4">
        <v>1.0452039691289967</v>
      </c>
      <c r="H1405" s="2">
        <v>25</v>
      </c>
      <c r="I1405" s="2">
        <v>5</v>
      </c>
      <c r="J1405" s="2">
        <v>16</v>
      </c>
      <c r="K1405" s="4">
        <v>0</v>
      </c>
      <c r="L1405" s="4">
        <v>0</v>
      </c>
      <c r="M1405" s="4">
        <v>0</v>
      </c>
      <c r="N1405" s="10">
        <v>0</v>
      </c>
      <c r="O1405" s="4">
        <v>0</v>
      </c>
      <c r="P1405" s="4">
        <v>0</v>
      </c>
      <c r="Q1405" s="3" t="s">
        <v>1617</v>
      </c>
      <c r="R1405" s="3" t="s">
        <v>1618</v>
      </c>
      <c r="S1405" s="3" t="s">
        <v>1619</v>
      </c>
      <c r="T1405" s="3"/>
    </row>
    <row r="1406" spans="1:20">
      <c r="A1406" s="3" t="s">
        <v>1600</v>
      </c>
      <c r="B1406" s="3" t="s">
        <v>1601</v>
      </c>
      <c r="C1406" s="3" t="s">
        <v>1596</v>
      </c>
      <c r="D1406" s="3" t="s">
        <v>767</v>
      </c>
      <c r="E1406" s="3" t="s">
        <v>768</v>
      </c>
      <c r="F1406" s="2">
        <v>1</v>
      </c>
      <c r="G1406" s="4">
        <v>1.0452039691289967</v>
      </c>
      <c r="H1406" s="2">
        <v>25</v>
      </c>
      <c r="I1406" s="2">
        <v>5</v>
      </c>
      <c r="J1406" s="2">
        <v>1</v>
      </c>
      <c r="K1406" s="4">
        <v>0</v>
      </c>
      <c r="L1406" s="4">
        <v>0</v>
      </c>
      <c r="M1406" s="4">
        <v>0</v>
      </c>
      <c r="N1406" s="10">
        <v>0</v>
      </c>
      <c r="O1406" s="4">
        <v>0</v>
      </c>
      <c r="P1406" s="4">
        <v>0</v>
      </c>
      <c r="Q1406" s="3" t="s">
        <v>1617</v>
      </c>
      <c r="R1406" s="3" t="s">
        <v>1618</v>
      </c>
      <c r="S1406" s="3" t="s">
        <v>1619</v>
      </c>
      <c r="T1406" s="3"/>
    </row>
    <row r="1407" spans="1:20">
      <c r="A1407" s="3" t="s">
        <v>1600</v>
      </c>
      <c r="B1407" s="3" t="s">
        <v>1606</v>
      </c>
      <c r="C1407" s="3" t="s">
        <v>1596</v>
      </c>
      <c r="D1407" s="3" t="s">
        <v>767</v>
      </c>
      <c r="E1407" s="3" t="s">
        <v>768</v>
      </c>
      <c r="F1407" s="2">
        <v>1</v>
      </c>
      <c r="G1407" s="4">
        <v>1.0452039691289967</v>
      </c>
      <c r="H1407" s="2">
        <v>25</v>
      </c>
      <c r="I1407" s="2">
        <v>5</v>
      </c>
      <c r="J1407" s="2">
        <v>1</v>
      </c>
      <c r="K1407" s="11">
        <v>0</v>
      </c>
      <c r="L1407" s="11">
        <v>0</v>
      </c>
      <c r="M1407" s="4">
        <v>0</v>
      </c>
      <c r="N1407" s="10">
        <v>0</v>
      </c>
      <c r="O1407" s="4">
        <v>0</v>
      </c>
      <c r="P1407" s="4">
        <v>0</v>
      </c>
      <c r="Q1407" s="3" t="s">
        <v>1617</v>
      </c>
      <c r="R1407" s="3" t="s">
        <v>1621</v>
      </c>
      <c r="S1407" s="3" t="s">
        <v>1622</v>
      </c>
      <c r="T1407" s="3"/>
    </row>
    <row r="1408" spans="1:20">
      <c r="A1408" s="3" t="s">
        <v>1600</v>
      </c>
      <c r="B1408" s="3" t="s">
        <v>1606</v>
      </c>
      <c r="C1408" s="3" t="s">
        <v>1596</v>
      </c>
      <c r="D1408" s="3" t="s">
        <v>767</v>
      </c>
      <c r="E1408" s="3" t="s">
        <v>768</v>
      </c>
      <c r="F1408" s="2">
        <v>1</v>
      </c>
      <c r="G1408" s="4">
        <v>1.0452039691289967</v>
      </c>
      <c r="H1408" s="2">
        <v>25</v>
      </c>
      <c r="I1408" s="2">
        <v>5</v>
      </c>
      <c r="J1408" s="2">
        <v>16</v>
      </c>
      <c r="K1408" s="11">
        <v>0</v>
      </c>
      <c r="L1408" s="11">
        <v>0</v>
      </c>
      <c r="M1408" s="4">
        <v>0</v>
      </c>
      <c r="N1408" s="10">
        <v>0</v>
      </c>
      <c r="O1408" s="4">
        <v>0</v>
      </c>
      <c r="P1408" s="4">
        <v>0</v>
      </c>
      <c r="Q1408" s="3" t="s">
        <v>1617</v>
      </c>
      <c r="R1408" s="3" t="s">
        <v>1621</v>
      </c>
      <c r="S1408" s="3" t="s">
        <v>1622</v>
      </c>
      <c r="T1408" s="3"/>
    </row>
    <row r="1409" spans="1:20">
      <c r="A1409" s="3" t="s">
        <v>1600</v>
      </c>
      <c r="B1409" s="3" t="s">
        <v>1609</v>
      </c>
      <c r="C1409" s="3" t="s">
        <v>1596</v>
      </c>
      <c r="D1409" s="3" t="s">
        <v>767</v>
      </c>
      <c r="E1409" s="3" t="s">
        <v>768</v>
      </c>
      <c r="F1409" s="2">
        <v>1</v>
      </c>
      <c r="G1409" s="4">
        <v>1.0452039691289967</v>
      </c>
      <c r="H1409" s="2">
        <v>25</v>
      </c>
      <c r="I1409" s="2">
        <v>5</v>
      </c>
      <c r="J1409" s="2">
        <v>1</v>
      </c>
      <c r="K1409" s="11">
        <v>0</v>
      </c>
      <c r="L1409" s="11">
        <v>0</v>
      </c>
      <c r="M1409" s="4">
        <v>0</v>
      </c>
      <c r="N1409" s="10">
        <v>0</v>
      </c>
      <c r="O1409" s="4">
        <v>0</v>
      </c>
      <c r="P1409" s="4">
        <v>0</v>
      </c>
      <c r="Q1409" s="3" t="s">
        <v>1617</v>
      </c>
      <c r="R1409" s="3" t="s">
        <v>1623</v>
      </c>
      <c r="S1409" s="3" t="s">
        <v>1624</v>
      </c>
      <c r="T1409" s="3"/>
    </row>
    <row r="1410" spans="1:20">
      <c r="A1410" s="3" t="s">
        <v>1600</v>
      </c>
      <c r="B1410" s="3" t="s">
        <v>1606</v>
      </c>
      <c r="C1410" s="3" t="s">
        <v>1616</v>
      </c>
      <c r="D1410" s="3" t="s">
        <v>767</v>
      </c>
      <c r="E1410" s="3" t="s">
        <v>768</v>
      </c>
      <c r="F1410" s="2">
        <v>1</v>
      </c>
      <c r="G1410" s="4">
        <v>1.0452039691289967</v>
      </c>
      <c r="H1410" s="2">
        <v>25</v>
      </c>
      <c r="I1410" s="2">
        <v>5</v>
      </c>
      <c r="J1410" s="2">
        <v>1</v>
      </c>
      <c r="K1410" s="4">
        <v>0</v>
      </c>
      <c r="L1410" s="4">
        <v>0</v>
      </c>
      <c r="M1410" s="4">
        <v>0</v>
      </c>
      <c r="N1410" s="10">
        <v>0</v>
      </c>
      <c r="O1410" s="4">
        <v>0</v>
      </c>
      <c r="P1410" s="4">
        <v>0</v>
      </c>
      <c r="Q1410" s="3" t="s">
        <v>1617</v>
      </c>
      <c r="R1410" s="3" t="s">
        <v>1621</v>
      </c>
      <c r="S1410" s="3" t="s">
        <v>1622</v>
      </c>
      <c r="T1410" s="3"/>
    </row>
    <row r="1411" spans="1:20">
      <c r="A1411" s="3" t="s">
        <v>1600</v>
      </c>
      <c r="B1411" s="3" t="s">
        <v>1606</v>
      </c>
      <c r="C1411" s="3" t="s">
        <v>1616</v>
      </c>
      <c r="D1411" s="3" t="s">
        <v>767</v>
      </c>
      <c r="E1411" s="3" t="s">
        <v>768</v>
      </c>
      <c r="F1411" s="2">
        <v>1</v>
      </c>
      <c r="G1411" s="4">
        <v>1.0452039691289967</v>
      </c>
      <c r="H1411" s="2">
        <v>25</v>
      </c>
      <c r="I1411" s="2">
        <v>5</v>
      </c>
      <c r="J1411" s="2">
        <v>16</v>
      </c>
      <c r="K1411" s="11">
        <v>0</v>
      </c>
      <c r="L1411" s="11">
        <v>0</v>
      </c>
      <c r="M1411" s="4">
        <v>0</v>
      </c>
      <c r="N1411" s="10">
        <v>0</v>
      </c>
      <c r="O1411" s="4">
        <v>0</v>
      </c>
      <c r="P1411" s="4">
        <v>0</v>
      </c>
      <c r="Q1411" s="3" t="s">
        <v>1617</v>
      </c>
      <c r="R1411" s="3" t="s">
        <v>1621</v>
      </c>
      <c r="S1411" s="3" t="s">
        <v>1622</v>
      </c>
      <c r="T1411" s="3"/>
    </row>
    <row r="1412" spans="1:20">
      <c r="A1412" s="3" t="s">
        <v>1600</v>
      </c>
      <c r="B1412" s="3" t="s">
        <v>1609</v>
      </c>
      <c r="C1412" s="3" t="s">
        <v>1616</v>
      </c>
      <c r="D1412" s="3" t="s">
        <v>767</v>
      </c>
      <c r="E1412" s="3" t="s">
        <v>768</v>
      </c>
      <c r="F1412" s="2">
        <v>1</v>
      </c>
      <c r="G1412" s="4">
        <v>1.0452039691289967</v>
      </c>
      <c r="H1412" s="2">
        <v>25</v>
      </c>
      <c r="I1412" s="2">
        <v>5</v>
      </c>
      <c r="J1412" s="2">
        <v>1</v>
      </c>
      <c r="K1412" s="4">
        <v>0</v>
      </c>
      <c r="L1412" s="4">
        <v>0</v>
      </c>
      <c r="M1412" s="4">
        <v>0</v>
      </c>
      <c r="N1412" s="10">
        <v>0</v>
      </c>
      <c r="O1412" s="4">
        <v>0</v>
      </c>
      <c r="P1412" s="4">
        <v>0</v>
      </c>
      <c r="Q1412" s="3" t="s">
        <v>1617</v>
      </c>
      <c r="R1412" s="3" t="s">
        <v>1623</v>
      </c>
      <c r="S1412" s="3" t="s">
        <v>1624</v>
      </c>
      <c r="T1412" s="3"/>
    </row>
    <row r="1413" spans="1:20">
      <c r="A1413" s="3" t="s">
        <v>1600</v>
      </c>
      <c r="B1413" s="3" t="s">
        <v>1609</v>
      </c>
      <c r="C1413" s="3" t="s">
        <v>1616</v>
      </c>
      <c r="D1413" s="3" t="s">
        <v>767</v>
      </c>
      <c r="E1413" s="3" t="s">
        <v>768</v>
      </c>
      <c r="F1413" s="2">
        <v>1</v>
      </c>
      <c r="G1413" s="4">
        <v>1.0452039691289967</v>
      </c>
      <c r="H1413" s="2">
        <v>25</v>
      </c>
      <c r="I1413" s="2">
        <v>5</v>
      </c>
      <c r="J1413" s="2">
        <v>16</v>
      </c>
      <c r="K1413" s="11">
        <v>0</v>
      </c>
      <c r="L1413" s="11">
        <v>0</v>
      </c>
      <c r="M1413" s="4">
        <v>0</v>
      </c>
      <c r="N1413" s="10">
        <v>0</v>
      </c>
      <c r="O1413" s="4">
        <v>0</v>
      </c>
      <c r="P1413" s="4">
        <v>0</v>
      </c>
      <c r="Q1413" s="3" t="s">
        <v>1617</v>
      </c>
      <c r="R1413" s="3" t="s">
        <v>1623</v>
      </c>
      <c r="S1413" s="3" t="s">
        <v>1624</v>
      </c>
      <c r="T1413" s="3"/>
    </row>
    <row r="1414" spans="1:20">
      <c r="A1414" s="3" t="s">
        <v>1604</v>
      </c>
      <c r="B1414" s="3" t="s">
        <v>1601</v>
      </c>
      <c r="C1414" s="3" t="s">
        <v>1596</v>
      </c>
      <c r="D1414" s="3" t="s">
        <v>767</v>
      </c>
      <c r="E1414" s="3" t="s">
        <v>768</v>
      </c>
      <c r="F1414" s="2">
        <v>1</v>
      </c>
      <c r="G1414" s="4">
        <v>1.0452039691289967</v>
      </c>
      <c r="H1414" s="2">
        <v>25</v>
      </c>
      <c r="I1414" s="2">
        <v>30</v>
      </c>
      <c r="J1414" s="2">
        <v>16</v>
      </c>
      <c r="K1414" s="4">
        <v>5.9254245250193738E-2</v>
      </c>
      <c r="L1414" s="4">
        <v>-8.4678318097825847E-2</v>
      </c>
      <c r="M1414" s="4">
        <v>8.4678318097825847E-2</v>
      </c>
      <c r="N1414" s="10">
        <v>8.5000000000000006E-2</v>
      </c>
      <c r="O1414" s="4">
        <v>0.42083750213288779</v>
      </c>
      <c r="P1414" s="4">
        <v>-0.42</v>
      </c>
      <c r="Q1414" s="3" t="s">
        <v>1617</v>
      </c>
      <c r="R1414" s="3" t="s">
        <v>1618</v>
      </c>
      <c r="S1414" s="3" t="s">
        <v>1619</v>
      </c>
      <c r="T1414" s="3"/>
    </row>
    <row r="1415" spans="1:20">
      <c r="A1415" s="12" t="s">
        <v>1605</v>
      </c>
      <c r="B1415" s="3" t="s">
        <v>1601</v>
      </c>
      <c r="C1415" s="3" t="s">
        <v>1596</v>
      </c>
      <c r="D1415" s="3" t="s">
        <v>767</v>
      </c>
      <c r="E1415" s="3" t="s">
        <v>768</v>
      </c>
      <c r="F1415" s="2">
        <v>1</v>
      </c>
      <c r="G1415" s="4">
        <v>1.0452039691289967</v>
      </c>
      <c r="H1415" s="2">
        <v>25</v>
      </c>
      <c r="I1415" s="2">
        <v>5</v>
      </c>
      <c r="J1415" s="2">
        <v>16</v>
      </c>
      <c r="K1415" s="11">
        <v>1.3689458956586242E-2</v>
      </c>
      <c r="L1415" s="11">
        <v>-9.0988245537657816E-2</v>
      </c>
      <c r="M1415" s="4">
        <v>9.0988245537657816E-2</v>
      </c>
      <c r="N1415" s="10">
        <v>9.0999999999999998E-2</v>
      </c>
      <c r="O1415" s="4">
        <v>0.4523650537544287</v>
      </c>
      <c r="P1415" s="4">
        <v>-0.45</v>
      </c>
      <c r="Q1415" s="3" t="s">
        <v>1617</v>
      </c>
      <c r="R1415" s="3" t="s">
        <v>1618</v>
      </c>
      <c r="S1415" s="3" t="s">
        <v>1619</v>
      </c>
      <c r="T1415" s="3"/>
    </row>
    <row r="1416" spans="1:20">
      <c r="A1416" s="3" t="s">
        <v>1600</v>
      </c>
      <c r="B1416" s="3" t="s">
        <v>1609</v>
      </c>
      <c r="C1416" s="3" t="s">
        <v>1596</v>
      </c>
      <c r="D1416" s="3" t="s">
        <v>767</v>
      </c>
      <c r="E1416" s="3" t="s">
        <v>768</v>
      </c>
      <c r="F1416" s="2">
        <v>1</v>
      </c>
      <c r="G1416" s="4">
        <v>1.0452039691289967</v>
      </c>
      <c r="H1416" s="2">
        <v>25</v>
      </c>
      <c r="I1416" s="2">
        <v>5</v>
      </c>
      <c r="J1416" s="2">
        <v>16</v>
      </c>
      <c r="K1416" s="4">
        <v>2.1679305333951793E-2</v>
      </c>
      <c r="L1416" s="4">
        <v>-0.21876602290206804</v>
      </c>
      <c r="M1416" s="4">
        <v>0.21876602290206804</v>
      </c>
      <c r="N1416" s="10">
        <v>0.219</v>
      </c>
      <c r="O1416" s="4">
        <v>1.1024454320123931</v>
      </c>
      <c r="P1416" s="4">
        <v>-1.1000000000000001</v>
      </c>
      <c r="Q1416" s="3" t="s">
        <v>1617</v>
      </c>
      <c r="R1416" s="3" t="s">
        <v>1623</v>
      </c>
      <c r="S1416" s="3" t="s">
        <v>1624</v>
      </c>
      <c r="T1416" s="3"/>
    </row>
    <row r="1417" spans="1:20">
      <c r="A1417" s="3" t="s">
        <v>1600</v>
      </c>
      <c r="B1417" s="3" t="s">
        <v>1606</v>
      </c>
      <c r="C1417" s="3" t="s">
        <v>1596</v>
      </c>
      <c r="D1417" s="3" t="s">
        <v>1139</v>
      </c>
      <c r="E1417" s="3" t="s">
        <v>1140</v>
      </c>
      <c r="F1417" s="2">
        <v>1</v>
      </c>
      <c r="G1417" s="4">
        <v>1.0459406024787943</v>
      </c>
      <c r="H1417" s="2">
        <v>25</v>
      </c>
      <c r="I1417" s="2">
        <v>5</v>
      </c>
      <c r="J1417" s="2">
        <v>16</v>
      </c>
      <c r="K1417" s="4">
        <v>0.99125666324000583</v>
      </c>
      <c r="L1417" s="4">
        <v>0.72688354641477559</v>
      </c>
      <c r="M1417" s="4">
        <v>0.72688354641477559</v>
      </c>
      <c r="N1417" s="10">
        <v>0.72699999999999998</v>
      </c>
      <c r="O1417" s="4">
        <v>4.5716520528120297</v>
      </c>
      <c r="P1417" s="4">
        <v>4.57</v>
      </c>
      <c r="Q1417" s="3" t="s">
        <v>1597</v>
      </c>
      <c r="R1417" s="3" t="s">
        <v>1607</v>
      </c>
      <c r="S1417" s="3" t="s">
        <v>1608</v>
      </c>
      <c r="T1417" s="3"/>
    </row>
    <row r="1418" spans="1:20">
      <c r="A1418" s="3" t="s">
        <v>1600</v>
      </c>
      <c r="B1418" s="3" t="s">
        <v>1606</v>
      </c>
      <c r="C1418" s="3" t="s">
        <v>1596</v>
      </c>
      <c r="D1418" s="3" t="s">
        <v>1139</v>
      </c>
      <c r="E1418" s="3" t="s">
        <v>1140</v>
      </c>
      <c r="F1418" s="2">
        <v>1</v>
      </c>
      <c r="G1418" s="4">
        <v>1.0459406024787943</v>
      </c>
      <c r="H1418" s="2">
        <v>25</v>
      </c>
      <c r="I1418" s="2">
        <v>5</v>
      </c>
      <c r="J1418" s="2">
        <v>1</v>
      </c>
      <c r="K1418" s="4">
        <v>0.99811592926818715</v>
      </c>
      <c r="L1418" s="4">
        <v>0.7106063069178824</v>
      </c>
      <c r="M1418" s="4">
        <v>0.7106063069178824</v>
      </c>
      <c r="N1418" s="10">
        <v>0.71099999999999997</v>
      </c>
      <c r="O1418" s="4">
        <v>4.404668163163258</v>
      </c>
      <c r="P1418" s="4">
        <v>4.41</v>
      </c>
      <c r="Q1418" s="3" t="s">
        <v>1597</v>
      </c>
      <c r="R1418" s="3" t="s">
        <v>1607</v>
      </c>
      <c r="S1418" s="3" t="s">
        <v>1608</v>
      </c>
      <c r="T1418" s="3"/>
    </row>
    <row r="1419" spans="1:20">
      <c r="A1419" s="3" t="s">
        <v>1600</v>
      </c>
      <c r="B1419" s="3" t="s">
        <v>1601</v>
      </c>
      <c r="C1419" s="3" t="s">
        <v>1616</v>
      </c>
      <c r="D1419" s="3" t="s">
        <v>1139</v>
      </c>
      <c r="E1419" s="3" t="s">
        <v>1140</v>
      </c>
      <c r="F1419" s="2">
        <v>1</v>
      </c>
      <c r="G1419" s="4">
        <v>1.0459406024787943</v>
      </c>
      <c r="H1419" s="2">
        <v>25</v>
      </c>
      <c r="I1419" s="2">
        <v>5</v>
      </c>
      <c r="J1419" s="2">
        <v>16</v>
      </c>
      <c r="K1419" s="4">
        <v>1</v>
      </c>
      <c r="L1419" s="4">
        <v>0.62093800479159511</v>
      </c>
      <c r="M1419" s="4">
        <v>0.62093800479159511</v>
      </c>
      <c r="N1419" s="10">
        <v>0.621</v>
      </c>
      <c r="O1419" s="4">
        <v>3.6020907569507101</v>
      </c>
      <c r="P1419" s="4">
        <v>3.6</v>
      </c>
      <c r="Q1419" s="3" t="s">
        <v>1597</v>
      </c>
      <c r="R1419" s="3" t="s">
        <v>1602</v>
      </c>
      <c r="S1419" s="3" t="s">
        <v>1603</v>
      </c>
      <c r="T1419" s="3"/>
    </row>
    <row r="1420" spans="1:20">
      <c r="A1420" s="3" t="s">
        <v>1600</v>
      </c>
      <c r="B1420" s="3" t="s">
        <v>1601</v>
      </c>
      <c r="C1420" s="3" t="s">
        <v>1616</v>
      </c>
      <c r="D1420" s="3" t="s">
        <v>1139</v>
      </c>
      <c r="E1420" s="3" t="s">
        <v>1140</v>
      </c>
      <c r="F1420" s="2">
        <v>1</v>
      </c>
      <c r="G1420" s="4">
        <v>1.0459406024787943</v>
      </c>
      <c r="H1420" s="2">
        <v>25</v>
      </c>
      <c r="I1420" s="2">
        <v>5</v>
      </c>
      <c r="J1420" s="2">
        <v>1</v>
      </c>
      <c r="K1420" s="4">
        <v>1</v>
      </c>
      <c r="L1420" s="4">
        <v>0.61530027406398879</v>
      </c>
      <c r="M1420" s="4">
        <v>0.61530027406398879</v>
      </c>
      <c r="N1420" s="10">
        <v>0.61499999999999999</v>
      </c>
      <c r="O1420" s="4">
        <v>3.5568558861379165</v>
      </c>
      <c r="P1420" s="4">
        <v>3.55</v>
      </c>
      <c r="Q1420" s="3" t="s">
        <v>1597</v>
      </c>
      <c r="R1420" s="3" t="s">
        <v>1602</v>
      </c>
      <c r="S1420" s="3" t="s">
        <v>1603</v>
      </c>
      <c r="T1420" s="3"/>
    </row>
    <row r="1421" spans="1:20">
      <c r="A1421" s="3" t="s">
        <v>1600</v>
      </c>
      <c r="B1421" s="3" t="s">
        <v>1609</v>
      </c>
      <c r="C1421" s="3" t="s">
        <v>1616</v>
      </c>
      <c r="D1421" s="3" t="s">
        <v>1139</v>
      </c>
      <c r="E1421" s="3" t="s">
        <v>1140</v>
      </c>
      <c r="F1421" s="2">
        <v>1</v>
      </c>
      <c r="G1421" s="4">
        <v>1.0459406024787943</v>
      </c>
      <c r="H1421" s="2">
        <v>25</v>
      </c>
      <c r="I1421" s="2">
        <v>5</v>
      </c>
      <c r="J1421" s="2">
        <v>1</v>
      </c>
      <c r="K1421" s="4">
        <v>0.24426417924487576</v>
      </c>
      <c r="L1421" s="4">
        <v>0.60070088269474176</v>
      </c>
      <c r="M1421" s="4">
        <v>0.60070088269474176</v>
      </c>
      <c r="N1421" s="10">
        <v>0.60099999999999998</v>
      </c>
      <c r="O1421" s="4">
        <v>3.4420127554952535</v>
      </c>
      <c r="P1421" s="4">
        <v>3.44</v>
      </c>
      <c r="Q1421" s="3" t="s">
        <v>1597</v>
      </c>
      <c r="R1421" s="3" t="s">
        <v>1610</v>
      </c>
      <c r="S1421" s="3" t="s">
        <v>1611</v>
      </c>
      <c r="T1421" s="3"/>
    </row>
    <row r="1422" spans="1:20">
      <c r="A1422" s="3" t="s">
        <v>1600</v>
      </c>
      <c r="B1422" s="3" t="s">
        <v>1609</v>
      </c>
      <c r="C1422" s="3" t="s">
        <v>1596</v>
      </c>
      <c r="D1422" s="3" t="s">
        <v>1139</v>
      </c>
      <c r="E1422" s="3" t="s">
        <v>1140</v>
      </c>
      <c r="F1422" s="2">
        <v>1</v>
      </c>
      <c r="G1422" s="4">
        <v>1.0459406024787943</v>
      </c>
      <c r="H1422" s="2">
        <v>25</v>
      </c>
      <c r="I1422" s="2">
        <v>5</v>
      </c>
      <c r="J1422" s="2">
        <v>1</v>
      </c>
      <c r="K1422" s="4">
        <v>1</v>
      </c>
      <c r="L1422" s="4">
        <v>0.56627233329998361</v>
      </c>
      <c r="M1422" s="4">
        <v>0.56627233329998361</v>
      </c>
      <c r="N1422" s="10">
        <v>0.56599999999999995</v>
      </c>
      <c r="O1422" s="4">
        <v>3.1830866704663698</v>
      </c>
      <c r="P1422" s="4">
        <v>3.18</v>
      </c>
      <c r="Q1422" s="3" t="s">
        <v>1597</v>
      </c>
      <c r="R1422" s="3" t="s">
        <v>1610</v>
      </c>
      <c r="S1422" s="3" t="s">
        <v>1611</v>
      </c>
      <c r="T1422" s="3"/>
    </row>
    <row r="1423" spans="1:20">
      <c r="A1423" s="3" t="s">
        <v>1600</v>
      </c>
      <c r="B1423" s="3" t="s">
        <v>1609</v>
      </c>
      <c r="C1423" s="3" t="s">
        <v>1596</v>
      </c>
      <c r="D1423" s="3" t="s">
        <v>1139</v>
      </c>
      <c r="E1423" s="3" t="s">
        <v>1140</v>
      </c>
      <c r="F1423" s="2">
        <v>1</v>
      </c>
      <c r="G1423" s="4">
        <v>1.0459406024787943</v>
      </c>
      <c r="H1423" s="2">
        <v>25</v>
      </c>
      <c r="I1423" s="2">
        <v>5</v>
      </c>
      <c r="J1423" s="2">
        <v>16</v>
      </c>
      <c r="K1423" s="4">
        <v>1</v>
      </c>
      <c r="L1423" s="4">
        <v>0.55393859238636745</v>
      </c>
      <c r="M1423" s="4">
        <v>0.55393859238636745</v>
      </c>
      <c r="N1423" s="10">
        <v>0.55400000000000005</v>
      </c>
      <c r="O1423" s="4">
        <v>3.0939788267075525</v>
      </c>
      <c r="P1423" s="4">
        <v>3.09</v>
      </c>
      <c r="Q1423" s="3" t="s">
        <v>1597</v>
      </c>
      <c r="R1423" s="3" t="s">
        <v>1610</v>
      </c>
      <c r="S1423" s="3" t="s">
        <v>1611</v>
      </c>
      <c r="T1423" s="3"/>
    </row>
    <row r="1424" spans="1:20">
      <c r="A1424" s="3" t="s">
        <v>1600</v>
      </c>
      <c r="B1424" s="3" t="s">
        <v>1609</v>
      </c>
      <c r="C1424" s="3" t="s">
        <v>1616</v>
      </c>
      <c r="D1424" s="3" t="s">
        <v>1139</v>
      </c>
      <c r="E1424" s="3" t="s">
        <v>1140</v>
      </c>
      <c r="F1424" s="2">
        <v>1</v>
      </c>
      <c r="G1424" s="4">
        <v>1.0459406024787943</v>
      </c>
      <c r="H1424" s="2">
        <v>25</v>
      </c>
      <c r="I1424" s="2">
        <v>5</v>
      </c>
      <c r="J1424" s="2">
        <v>16</v>
      </c>
      <c r="K1424" s="4">
        <v>1</v>
      </c>
      <c r="L1424" s="4">
        <v>0.54330194328016979</v>
      </c>
      <c r="M1424" s="4">
        <v>0.54330194328016979</v>
      </c>
      <c r="N1424" s="10">
        <v>0.54300000000000004</v>
      </c>
      <c r="O1424" s="4">
        <v>3.0185330847903327</v>
      </c>
      <c r="P1424" s="4">
        <v>3.02</v>
      </c>
      <c r="Q1424" s="3" t="s">
        <v>1597</v>
      </c>
      <c r="R1424" s="3" t="s">
        <v>1610</v>
      </c>
      <c r="S1424" s="3" t="s">
        <v>1611</v>
      </c>
      <c r="T1424" s="3"/>
    </row>
    <row r="1425" spans="1:20">
      <c r="A1425" s="3" t="s">
        <v>1600</v>
      </c>
      <c r="B1425" s="3" t="s">
        <v>1606</v>
      </c>
      <c r="C1425" s="3" t="s">
        <v>1616</v>
      </c>
      <c r="D1425" s="3" t="s">
        <v>1139</v>
      </c>
      <c r="E1425" s="3" t="s">
        <v>1140</v>
      </c>
      <c r="F1425" s="2">
        <v>1</v>
      </c>
      <c r="G1425" s="4">
        <v>1.0459406024787943</v>
      </c>
      <c r="H1425" s="2">
        <v>25</v>
      </c>
      <c r="I1425" s="2">
        <v>5</v>
      </c>
      <c r="J1425" s="2">
        <v>1</v>
      </c>
      <c r="K1425" s="4">
        <v>1</v>
      </c>
      <c r="L1425" s="4">
        <v>0.46696434941278275</v>
      </c>
      <c r="M1425" s="4">
        <v>0.46696434941278275</v>
      </c>
      <c r="N1425" s="10">
        <v>0.46700000000000003</v>
      </c>
      <c r="O1425" s="4">
        <v>2.5096135949751446</v>
      </c>
      <c r="P1425" s="4">
        <v>2.5099999999999998</v>
      </c>
      <c r="Q1425" s="3" t="s">
        <v>1597</v>
      </c>
      <c r="R1425" s="3" t="s">
        <v>1607</v>
      </c>
      <c r="S1425" s="3" t="s">
        <v>1608</v>
      </c>
      <c r="T1425" s="3"/>
    </row>
    <row r="1426" spans="1:20">
      <c r="A1426" s="3" t="s">
        <v>1594</v>
      </c>
      <c r="B1426" s="3" t="s">
        <v>1612</v>
      </c>
      <c r="C1426" s="3" t="s">
        <v>1596</v>
      </c>
      <c r="D1426" s="3" t="s">
        <v>1139</v>
      </c>
      <c r="E1426" s="3" t="s">
        <v>1140</v>
      </c>
      <c r="F1426" s="2">
        <v>1</v>
      </c>
      <c r="G1426" s="4">
        <v>1.0459406024787943</v>
      </c>
      <c r="H1426" s="2">
        <v>50</v>
      </c>
      <c r="I1426" s="2">
        <v>5</v>
      </c>
      <c r="J1426" s="2">
        <v>16</v>
      </c>
      <c r="K1426" s="4">
        <v>1</v>
      </c>
      <c r="L1426" s="4">
        <v>0.44628298344987005</v>
      </c>
      <c r="M1426" s="4">
        <v>0.44628298344987005</v>
      </c>
      <c r="N1426" s="10">
        <v>0.44600000000000001</v>
      </c>
      <c r="O1426" s="4">
        <v>2.5796216404139636</v>
      </c>
      <c r="P1426" s="4">
        <v>2.58</v>
      </c>
      <c r="Q1426" s="3" t="s">
        <v>1597</v>
      </c>
      <c r="R1426" s="3" t="s">
        <v>1613</v>
      </c>
      <c r="S1426" s="3" t="s">
        <v>1614</v>
      </c>
      <c r="T1426" s="3"/>
    </row>
    <row r="1427" spans="1:20">
      <c r="A1427" s="3" t="s">
        <v>1600</v>
      </c>
      <c r="B1427" s="3" t="s">
        <v>1606</v>
      </c>
      <c r="C1427" s="3" t="s">
        <v>1616</v>
      </c>
      <c r="D1427" s="3" t="s">
        <v>1139</v>
      </c>
      <c r="E1427" s="3" t="s">
        <v>1140</v>
      </c>
      <c r="F1427" s="2">
        <v>1</v>
      </c>
      <c r="G1427" s="4">
        <v>1.0459406024787943</v>
      </c>
      <c r="H1427" s="2">
        <v>25</v>
      </c>
      <c r="I1427" s="2">
        <v>5</v>
      </c>
      <c r="J1427" s="2">
        <v>16</v>
      </c>
      <c r="K1427" s="4">
        <v>1</v>
      </c>
      <c r="L1427" s="4">
        <v>0.43400892111164863</v>
      </c>
      <c r="M1427" s="4">
        <v>0.43400892111164863</v>
      </c>
      <c r="N1427" s="10">
        <v>0.434</v>
      </c>
      <c r="O1427" s="4">
        <v>2.3045750591168859</v>
      </c>
      <c r="P1427" s="4">
        <v>2.2999999999999998</v>
      </c>
      <c r="Q1427" s="3" t="s">
        <v>1597</v>
      </c>
      <c r="R1427" s="3" t="s">
        <v>1607</v>
      </c>
      <c r="S1427" s="3" t="s">
        <v>1608</v>
      </c>
      <c r="T1427" s="3"/>
    </row>
    <row r="1428" spans="1:20">
      <c r="A1428" s="3" t="s">
        <v>1600</v>
      </c>
      <c r="B1428" s="3" t="s">
        <v>1601</v>
      </c>
      <c r="C1428" s="3" t="s">
        <v>1596</v>
      </c>
      <c r="D1428" s="3" t="s">
        <v>1139</v>
      </c>
      <c r="E1428" s="3" t="s">
        <v>1140</v>
      </c>
      <c r="F1428" s="2">
        <v>1</v>
      </c>
      <c r="G1428" s="4">
        <v>1.0459406024787943</v>
      </c>
      <c r="H1428" s="2">
        <v>25</v>
      </c>
      <c r="I1428" s="2">
        <v>5</v>
      </c>
      <c r="J1428" s="2">
        <v>1</v>
      </c>
      <c r="K1428" s="4">
        <v>0.20121083991714384</v>
      </c>
      <c r="L1428" s="4">
        <v>0.38954457525513819</v>
      </c>
      <c r="M1428" s="4">
        <v>0.38954457525513819</v>
      </c>
      <c r="N1428" s="10">
        <v>0.39</v>
      </c>
      <c r="O1428" s="4">
        <v>2.0390159064931535</v>
      </c>
      <c r="P1428" s="4">
        <v>2.04</v>
      </c>
      <c r="Q1428" s="3" t="s">
        <v>1597</v>
      </c>
      <c r="R1428" s="3" t="s">
        <v>1602</v>
      </c>
      <c r="S1428" s="3" t="s">
        <v>1603</v>
      </c>
      <c r="T1428" s="3"/>
    </row>
    <row r="1429" spans="1:20">
      <c r="A1429" s="3" t="s">
        <v>1605</v>
      </c>
      <c r="B1429" s="3" t="s">
        <v>1601</v>
      </c>
      <c r="C1429" s="3" t="s">
        <v>1596</v>
      </c>
      <c r="D1429" s="3" t="s">
        <v>1139</v>
      </c>
      <c r="E1429" s="3" t="s">
        <v>1140</v>
      </c>
      <c r="F1429" s="2">
        <v>1</v>
      </c>
      <c r="G1429" s="4">
        <v>1.0459406024787943</v>
      </c>
      <c r="H1429" s="2">
        <v>25</v>
      </c>
      <c r="I1429" s="2">
        <v>5</v>
      </c>
      <c r="J1429" s="2">
        <v>16</v>
      </c>
      <c r="K1429" s="4">
        <v>1</v>
      </c>
      <c r="L1429" s="4">
        <v>0.38187538235493823</v>
      </c>
      <c r="M1429" s="4">
        <v>0.38187538235493823</v>
      </c>
      <c r="N1429" s="10">
        <v>0.38200000000000001</v>
      </c>
      <c r="O1429" s="4">
        <v>1.9943466161882</v>
      </c>
      <c r="P1429" s="4">
        <v>2</v>
      </c>
      <c r="Q1429" s="3" t="s">
        <v>1597</v>
      </c>
      <c r="R1429" s="3" t="s">
        <v>1602</v>
      </c>
      <c r="S1429" s="3" t="s">
        <v>1603</v>
      </c>
      <c r="T1429" s="3"/>
    </row>
    <row r="1430" spans="1:20">
      <c r="A1430" s="3" t="s">
        <v>1600</v>
      </c>
      <c r="B1430" s="3" t="s">
        <v>1601</v>
      </c>
      <c r="C1430" s="3" t="s">
        <v>1596</v>
      </c>
      <c r="D1430" s="3" t="s">
        <v>1139</v>
      </c>
      <c r="E1430" s="3" t="s">
        <v>1140</v>
      </c>
      <c r="F1430" s="2">
        <v>1</v>
      </c>
      <c r="G1430" s="4">
        <v>1.0459406024787943</v>
      </c>
      <c r="H1430" s="2">
        <v>25</v>
      </c>
      <c r="I1430" s="2">
        <v>5</v>
      </c>
      <c r="J1430" s="2">
        <v>16</v>
      </c>
      <c r="K1430" s="4">
        <v>1</v>
      </c>
      <c r="L1430" s="4">
        <v>0.33134843640972084</v>
      </c>
      <c r="M1430" s="4">
        <v>0.33134843640972084</v>
      </c>
      <c r="N1430" s="10">
        <v>0.33100000000000002</v>
      </c>
      <c r="O1430" s="4">
        <v>1.7072269006592933</v>
      </c>
      <c r="P1430" s="4">
        <v>1.71</v>
      </c>
      <c r="Q1430" s="3" t="s">
        <v>1597</v>
      </c>
      <c r="R1430" s="3" t="s">
        <v>1602</v>
      </c>
      <c r="S1430" s="3" t="s">
        <v>1603</v>
      </c>
      <c r="T1430" s="3"/>
    </row>
    <row r="1431" spans="1:20">
      <c r="A1431" s="3" t="s">
        <v>1604</v>
      </c>
      <c r="B1431" s="3" t="s">
        <v>1601</v>
      </c>
      <c r="C1431" s="3" t="s">
        <v>1616</v>
      </c>
      <c r="D1431" s="3" t="s">
        <v>1139</v>
      </c>
      <c r="E1431" s="3" t="s">
        <v>1140</v>
      </c>
      <c r="F1431" s="2">
        <v>1</v>
      </c>
      <c r="G1431" s="4">
        <v>1.0459406024787943</v>
      </c>
      <c r="H1431" s="2">
        <v>25</v>
      </c>
      <c r="I1431" s="2">
        <v>30</v>
      </c>
      <c r="J1431" s="2">
        <v>16</v>
      </c>
      <c r="K1431" s="4">
        <v>1</v>
      </c>
      <c r="L1431" s="4">
        <v>0.2317844770276955</v>
      </c>
      <c r="M1431" s="4">
        <v>0.2317844770276955</v>
      </c>
      <c r="N1431" s="10">
        <v>0.23200000000000001</v>
      </c>
      <c r="O1431" s="4">
        <v>1.170442019279458</v>
      </c>
      <c r="P1431" s="4">
        <v>1.17</v>
      </c>
      <c r="Q1431" s="3" t="s">
        <v>1597</v>
      </c>
      <c r="R1431" s="3" t="s">
        <v>1602</v>
      </c>
      <c r="S1431" s="3" t="s">
        <v>1603</v>
      </c>
      <c r="T1431" s="3"/>
    </row>
    <row r="1432" spans="1:20">
      <c r="A1432" s="3" t="s">
        <v>1604</v>
      </c>
      <c r="B1432" s="3" t="s">
        <v>1601</v>
      </c>
      <c r="C1432" s="3" t="s">
        <v>1596</v>
      </c>
      <c r="D1432" s="3" t="s">
        <v>1139</v>
      </c>
      <c r="E1432" s="3" t="s">
        <v>1140</v>
      </c>
      <c r="F1432" s="2">
        <v>1</v>
      </c>
      <c r="G1432" s="4">
        <v>1.0459406024787943</v>
      </c>
      <c r="H1432" s="2">
        <v>25</v>
      </c>
      <c r="I1432" s="2">
        <v>30</v>
      </c>
      <c r="J1432" s="2">
        <v>16</v>
      </c>
      <c r="K1432" s="4">
        <v>1</v>
      </c>
      <c r="L1432" s="4">
        <v>0.13043262874155334</v>
      </c>
      <c r="M1432" s="4">
        <v>0.13043262874155334</v>
      </c>
      <c r="N1432" s="10">
        <v>0.13</v>
      </c>
      <c r="O1432" s="4">
        <v>0.65038179831482013</v>
      </c>
      <c r="P1432" s="4">
        <v>0.65</v>
      </c>
      <c r="Q1432" s="3" t="s">
        <v>1597</v>
      </c>
      <c r="R1432" s="3" t="s">
        <v>1602</v>
      </c>
      <c r="S1432" s="3" t="s">
        <v>1603</v>
      </c>
      <c r="T1432" s="3"/>
    </row>
    <row r="1433" spans="1:20">
      <c r="A1433" s="3" t="s">
        <v>1594</v>
      </c>
      <c r="B1433" s="3" t="s">
        <v>1595</v>
      </c>
      <c r="C1433" s="3" t="s">
        <v>1596</v>
      </c>
      <c r="D1433" s="3" t="s">
        <v>1139</v>
      </c>
      <c r="E1433" s="3" t="s">
        <v>1140</v>
      </c>
      <c r="F1433" s="2">
        <v>1</v>
      </c>
      <c r="G1433" s="4">
        <v>1.0459406024787943</v>
      </c>
      <c r="H1433" s="2">
        <v>50</v>
      </c>
      <c r="I1433" s="2">
        <v>5</v>
      </c>
      <c r="J1433" s="2">
        <v>16</v>
      </c>
      <c r="K1433" s="4">
        <v>1</v>
      </c>
      <c r="L1433" s="4">
        <v>5.3903739937574392E-2</v>
      </c>
      <c r="M1433" s="4">
        <v>5.3903739937574392E-2</v>
      </c>
      <c r="N1433" s="10">
        <v>5.3999999999999999E-2</v>
      </c>
      <c r="O1433" s="4">
        <v>0.28994148110492945</v>
      </c>
      <c r="P1433" s="4">
        <v>0.28999999999999998</v>
      </c>
      <c r="Q1433" s="3" t="s">
        <v>1597</v>
      </c>
      <c r="R1433" s="3" t="s">
        <v>1598</v>
      </c>
      <c r="S1433" s="3" t="s">
        <v>1599</v>
      </c>
      <c r="T1433" s="3"/>
    </row>
    <row r="1434" spans="1:20">
      <c r="A1434" s="3" t="s">
        <v>1594</v>
      </c>
      <c r="B1434" s="3" t="s">
        <v>1595</v>
      </c>
      <c r="C1434" s="3" t="s">
        <v>1596</v>
      </c>
      <c r="D1434" s="3" t="s">
        <v>1139</v>
      </c>
      <c r="E1434" s="3" t="s">
        <v>1140</v>
      </c>
      <c r="F1434" s="2">
        <v>1</v>
      </c>
      <c r="G1434" s="4">
        <v>1.0459406024787943</v>
      </c>
      <c r="H1434" s="2">
        <v>25</v>
      </c>
      <c r="I1434" s="2">
        <v>5</v>
      </c>
      <c r="J1434" s="2">
        <v>16</v>
      </c>
      <c r="K1434" s="4">
        <v>0.95178738580441513</v>
      </c>
      <c r="L1434" s="4">
        <v>4.5861399906242016E-2</v>
      </c>
      <c r="M1434" s="4">
        <v>4.5861399906242016E-2</v>
      </c>
      <c r="N1434" s="10">
        <v>4.5999999999999999E-2</v>
      </c>
      <c r="O1434" s="4">
        <v>0.22753751535333228</v>
      </c>
      <c r="P1434" s="4">
        <v>0.23</v>
      </c>
      <c r="Q1434" s="3" t="s">
        <v>1597</v>
      </c>
      <c r="R1434" s="3" t="s">
        <v>1598</v>
      </c>
      <c r="S1434" s="3" t="s">
        <v>1599</v>
      </c>
      <c r="T1434" s="3"/>
    </row>
    <row r="1435" spans="1:20">
      <c r="A1435" s="3" t="s">
        <v>1600</v>
      </c>
      <c r="B1435" s="3" t="s">
        <v>1606</v>
      </c>
      <c r="C1435" s="3" t="s">
        <v>1616</v>
      </c>
      <c r="D1435" s="3" t="s">
        <v>450</v>
      </c>
      <c r="E1435" s="3" t="s">
        <v>451</v>
      </c>
      <c r="F1435" s="2">
        <v>1</v>
      </c>
      <c r="G1435" s="4">
        <v>1.0460462143890215</v>
      </c>
      <c r="H1435" s="2">
        <v>25</v>
      </c>
      <c r="I1435" s="2">
        <v>5</v>
      </c>
      <c r="J1435" s="2">
        <v>16</v>
      </c>
      <c r="K1435" s="11">
        <v>1</v>
      </c>
      <c r="L1435" s="11">
        <v>0.56092272030508084</v>
      </c>
      <c r="M1435" s="4">
        <v>0.56092272030508084</v>
      </c>
      <c r="N1435" s="10">
        <v>0.56100000000000005</v>
      </c>
      <c r="O1435" s="4">
        <v>3.1442165865329721</v>
      </c>
      <c r="P1435" s="4">
        <v>3.14</v>
      </c>
      <c r="Q1435" s="3" t="s">
        <v>1597</v>
      </c>
      <c r="R1435" s="3" t="s">
        <v>1607</v>
      </c>
      <c r="S1435" s="3" t="s">
        <v>1608</v>
      </c>
      <c r="T1435" s="3"/>
    </row>
    <row r="1436" spans="1:20">
      <c r="A1436" s="3" t="s">
        <v>1600</v>
      </c>
      <c r="B1436" s="3" t="s">
        <v>1606</v>
      </c>
      <c r="C1436" s="3" t="s">
        <v>1596</v>
      </c>
      <c r="D1436" s="3" t="s">
        <v>450</v>
      </c>
      <c r="E1436" s="3" t="s">
        <v>451</v>
      </c>
      <c r="F1436" s="2">
        <v>1</v>
      </c>
      <c r="G1436" s="4">
        <v>1.0460462143890215</v>
      </c>
      <c r="H1436" s="2">
        <v>25</v>
      </c>
      <c r="I1436" s="2">
        <v>5</v>
      </c>
      <c r="J1436" s="2">
        <v>16</v>
      </c>
      <c r="K1436" s="11">
        <v>1</v>
      </c>
      <c r="L1436" s="11">
        <v>0.55617259440203271</v>
      </c>
      <c r="M1436" s="4">
        <v>0.55617259440203271</v>
      </c>
      <c r="N1436" s="10">
        <v>0.55600000000000005</v>
      </c>
      <c r="O1436" s="4">
        <v>3.1099866972066952</v>
      </c>
      <c r="P1436" s="4">
        <v>3.11</v>
      </c>
      <c r="Q1436" s="3" t="s">
        <v>1597</v>
      </c>
      <c r="R1436" s="3" t="s">
        <v>1607</v>
      </c>
      <c r="S1436" s="3" t="s">
        <v>1608</v>
      </c>
      <c r="T1436" s="3"/>
    </row>
    <row r="1437" spans="1:20">
      <c r="A1437" s="3" t="s">
        <v>1600</v>
      </c>
      <c r="B1437" s="3" t="s">
        <v>1606</v>
      </c>
      <c r="C1437" s="3" t="s">
        <v>1616</v>
      </c>
      <c r="D1437" s="3" t="s">
        <v>450</v>
      </c>
      <c r="E1437" s="3" t="s">
        <v>451</v>
      </c>
      <c r="F1437" s="2">
        <v>1</v>
      </c>
      <c r="G1437" s="4">
        <v>1.0460462143890215</v>
      </c>
      <c r="H1437" s="2">
        <v>25</v>
      </c>
      <c r="I1437" s="2">
        <v>5</v>
      </c>
      <c r="J1437" s="2">
        <v>1</v>
      </c>
      <c r="K1437" s="4">
        <v>1</v>
      </c>
      <c r="L1437" s="4">
        <v>0.55201298502655127</v>
      </c>
      <c r="M1437" s="4">
        <v>0.55201298502655127</v>
      </c>
      <c r="N1437" s="10">
        <v>0.55200000000000005</v>
      </c>
      <c r="O1437" s="4">
        <v>3.0802265852981829</v>
      </c>
      <c r="P1437" s="4">
        <v>3.08</v>
      </c>
      <c r="Q1437" s="3" t="s">
        <v>1597</v>
      </c>
      <c r="R1437" s="3" t="s">
        <v>1607</v>
      </c>
      <c r="S1437" s="3" t="s">
        <v>1608</v>
      </c>
      <c r="T1437" s="3"/>
    </row>
    <row r="1438" spans="1:20">
      <c r="A1438" s="3" t="s">
        <v>1600</v>
      </c>
      <c r="B1438" s="3" t="s">
        <v>1609</v>
      </c>
      <c r="C1438" s="3" t="s">
        <v>1616</v>
      </c>
      <c r="D1438" s="3" t="s">
        <v>450</v>
      </c>
      <c r="E1438" s="3" t="s">
        <v>451</v>
      </c>
      <c r="F1438" s="2">
        <v>1</v>
      </c>
      <c r="G1438" s="4">
        <v>1.0460462143890215</v>
      </c>
      <c r="H1438" s="2">
        <v>25</v>
      </c>
      <c r="I1438" s="2">
        <v>5</v>
      </c>
      <c r="J1438" s="2">
        <v>1</v>
      </c>
      <c r="K1438" s="4">
        <v>1</v>
      </c>
      <c r="L1438" s="4">
        <v>0.53026397832719796</v>
      </c>
      <c r="M1438" s="4">
        <v>0.53026397832719796</v>
      </c>
      <c r="N1438" s="10">
        <v>0.53</v>
      </c>
      <c r="O1438" s="4">
        <v>2.927722529811466</v>
      </c>
      <c r="P1438" s="4">
        <v>2.93</v>
      </c>
      <c r="Q1438" s="3" t="s">
        <v>1597</v>
      </c>
      <c r="R1438" s="3" t="s">
        <v>1610</v>
      </c>
      <c r="S1438" s="3" t="s">
        <v>1611</v>
      </c>
      <c r="T1438" s="3"/>
    </row>
    <row r="1439" spans="1:20">
      <c r="A1439" s="3" t="s">
        <v>1600</v>
      </c>
      <c r="B1439" s="3" t="s">
        <v>1601</v>
      </c>
      <c r="C1439" s="3" t="s">
        <v>1596</v>
      </c>
      <c r="D1439" s="3" t="s">
        <v>450</v>
      </c>
      <c r="E1439" s="3" t="s">
        <v>451</v>
      </c>
      <c r="F1439" s="2">
        <v>1</v>
      </c>
      <c r="G1439" s="4">
        <v>1.0460462143890215</v>
      </c>
      <c r="H1439" s="2">
        <v>25</v>
      </c>
      <c r="I1439" s="2">
        <v>5</v>
      </c>
      <c r="J1439" s="2">
        <v>1</v>
      </c>
      <c r="K1439" s="4">
        <v>0.65402510137298253</v>
      </c>
      <c r="L1439" s="4">
        <v>0.52905899100589948</v>
      </c>
      <c r="M1439" s="4">
        <v>0.52905899100589948</v>
      </c>
      <c r="N1439" s="10">
        <v>0.52900000000000003</v>
      </c>
      <c r="O1439" s="4">
        <v>2.9194187134608662</v>
      </c>
      <c r="P1439" s="4">
        <v>2.92</v>
      </c>
      <c r="Q1439" s="3" t="s">
        <v>1597</v>
      </c>
      <c r="R1439" s="3" t="s">
        <v>1602</v>
      </c>
      <c r="S1439" s="3" t="s">
        <v>1603</v>
      </c>
      <c r="T1439" s="3"/>
    </row>
    <row r="1440" spans="1:20">
      <c r="A1440" s="3" t="s">
        <v>1600</v>
      </c>
      <c r="B1440" s="3" t="s">
        <v>1601</v>
      </c>
      <c r="C1440" s="3" t="s">
        <v>1596</v>
      </c>
      <c r="D1440" s="3" t="s">
        <v>450</v>
      </c>
      <c r="E1440" s="3" t="s">
        <v>451</v>
      </c>
      <c r="F1440" s="2">
        <v>1</v>
      </c>
      <c r="G1440" s="4">
        <v>1.0460462143890215</v>
      </c>
      <c r="H1440" s="2">
        <v>25</v>
      </c>
      <c r="I1440" s="2">
        <v>5</v>
      </c>
      <c r="J1440" s="2">
        <v>16</v>
      </c>
      <c r="K1440" s="4">
        <v>1</v>
      </c>
      <c r="L1440" s="4">
        <v>0.52094452917198575</v>
      </c>
      <c r="M1440" s="4">
        <v>0.52094452917198575</v>
      </c>
      <c r="N1440" s="10">
        <v>0.52100000000000002</v>
      </c>
      <c r="O1440" s="4">
        <v>2.8638786181582279</v>
      </c>
      <c r="P1440" s="4">
        <v>2.86</v>
      </c>
      <c r="Q1440" s="3" t="s">
        <v>1597</v>
      </c>
      <c r="R1440" s="3" t="s">
        <v>1602</v>
      </c>
      <c r="S1440" s="3" t="s">
        <v>1603</v>
      </c>
      <c r="T1440" s="3"/>
    </row>
    <row r="1441" spans="1:20">
      <c r="A1441" s="3" t="s">
        <v>1600</v>
      </c>
      <c r="B1441" s="3" t="s">
        <v>1606</v>
      </c>
      <c r="C1441" s="3" t="s">
        <v>1596</v>
      </c>
      <c r="D1441" s="3" t="s">
        <v>450</v>
      </c>
      <c r="E1441" s="3" t="s">
        <v>451</v>
      </c>
      <c r="F1441" s="2">
        <v>1</v>
      </c>
      <c r="G1441" s="4">
        <v>1.0460462143890215</v>
      </c>
      <c r="H1441" s="2">
        <v>25</v>
      </c>
      <c r="I1441" s="2">
        <v>5</v>
      </c>
      <c r="J1441" s="2">
        <v>1</v>
      </c>
      <c r="K1441" s="11">
        <v>0.80194280024595921</v>
      </c>
      <c r="L1441" s="11">
        <v>0.51946260518948384</v>
      </c>
      <c r="M1441" s="4">
        <v>0.51946260518948384</v>
      </c>
      <c r="N1441" s="10">
        <v>0.51900000000000002</v>
      </c>
      <c r="O1441" s="4">
        <v>2.8538053966972892</v>
      </c>
      <c r="P1441" s="4">
        <v>2.85</v>
      </c>
      <c r="Q1441" s="3" t="s">
        <v>1597</v>
      </c>
      <c r="R1441" s="3" t="s">
        <v>1607</v>
      </c>
      <c r="S1441" s="3" t="s">
        <v>1608</v>
      </c>
      <c r="T1441" s="3"/>
    </row>
    <row r="1442" spans="1:20">
      <c r="A1442" s="12" t="s">
        <v>1605</v>
      </c>
      <c r="B1442" s="3" t="s">
        <v>1601</v>
      </c>
      <c r="C1442" s="3" t="s">
        <v>1596</v>
      </c>
      <c r="D1442" s="3" t="s">
        <v>450</v>
      </c>
      <c r="E1442" s="3" t="s">
        <v>451</v>
      </c>
      <c r="F1442" s="2">
        <v>1</v>
      </c>
      <c r="G1442" s="4">
        <v>1.0460462143890215</v>
      </c>
      <c r="H1442" s="2">
        <v>25</v>
      </c>
      <c r="I1442" s="2">
        <v>5</v>
      </c>
      <c r="J1442" s="2">
        <v>16</v>
      </c>
      <c r="K1442" s="11">
        <v>1</v>
      </c>
      <c r="L1442" s="11">
        <v>0.5129453828480558</v>
      </c>
      <c r="M1442" s="4">
        <v>0.5129453828480558</v>
      </c>
      <c r="N1442" s="10">
        <v>0.51300000000000001</v>
      </c>
      <c r="O1442" s="4">
        <v>2.8097551129402096</v>
      </c>
      <c r="P1442" s="4">
        <v>2.81</v>
      </c>
      <c r="Q1442" s="3" t="s">
        <v>1597</v>
      </c>
      <c r="R1442" s="3" t="s">
        <v>1602</v>
      </c>
      <c r="S1442" s="3" t="s">
        <v>1603</v>
      </c>
      <c r="T1442" s="3"/>
    </row>
    <row r="1443" spans="1:20">
      <c r="A1443" s="3" t="s">
        <v>1600</v>
      </c>
      <c r="B1443" s="3" t="s">
        <v>1609</v>
      </c>
      <c r="C1443" s="3" t="s">
        <v>1616</v>
      </c>
      <c r="D1443" s="3" t="s">
        <v>450</v>
      </c>
      <c r="E1443" s="3" t="s">
        <v>451</v>
      </c>
      <c r="F1443" s="2">
        <v>1</v>
      </c>
      <c r="G1443" s="4">
        <v>1.0460462143890215</v>
      </c>
      <c r="H1443" s="2">
        <v>25</v>
      </c>
      <c r="I1443" s="2">
        <v>5</v>
      </c>
      <c r="J1443" s="2">
        <v>16</v>
      </c>
      <c r="K1443" s="11">
        <v>1</v>
      </c>
      <c r="L1443" s="11">
        <v>0.51087234820888472</v>
      </c>
      <c r="M1443" s="4">
        <v>0.51087234820888472</v>
      </c>
      <c r="N1443" s="10">
        <v>0.51100000000000001</v>
      </c>
      <c r="O1443" s="4">
        <v>2.7958273462514187</v>
      </c>
      <c r="P1443" s="4">
        <v>2.8</v>
      </c>
      <c r="Q1443" s="3" t="s">
        <v>1597</v>
      </c>
      <c r="R1443" s="3" t="s">
        <v>1610</v>
      </c>
      <c r="S1443" s="3" t="s">
        <v>1611</v>
      </c>
      <c r="T1443" s="3"/>
    </row>
    <row r="1444" spans="1:20">
      <c r="A1444" s="3" t="s">
        <v>1604</v>
      </c>
      <c r="B1444" s="3" t="s">
        <v>1601</v>
      </c>
      <c r="C1444" s="3" t="s">
        <v>1596</v>
      </c>
      <c r="D1444" s="3" t="s">
        <v>450</v>
      </c>
      <c r="E1444" s="3" t="s">
        <v>451</v>
      </c>
      <c r="F1444" s="2">
        <v>1</v>
      </c>
      <c r="G1444" s="4">
        <v>1.0460462143890215</v>
      </c>
      <c r="H1444" s="2">
        <v>25</v>
      </c>
      <c r="I1444" s="2">
        <v>30</v>
      </c>
      <c r="J1444" s="2">
        <v>16</v>
      </c>
      <c r="K1444" s="4">
        <v>1</v>
      </c>
      <c r="L1444" s="4">
        <v>0.50179060544981091</v>
      </c>
      <c r="M1444" s="4">
        <v>0.50179060544981091</v>
      </c>
      <c r="N1444" s="10">
        <v>0.502</v>
      </c>
      <c r="O1444" s="4">
        <v>2.7352760137260699</v>
      </c>
      <c r="P1444" s="4">
        <v>2.74</v>
      </c>
      <c r="Q1444" s="3" t="s">
        <v>1597</v>
      </c>
      <c r="R1444" s="3" t="s">
        <v>1602</v>
      </c>
      <c r="S1444" s="3" t="s">
        <v>1603</v>
      </c>
      <c r="T1444" s="3"/>
    </row>
    <row r="1445" spans="1:20">
      <c r="A1445" s="3" t="s">
        <v>1600</v>
      </c>
      <c r="B1445" s="3" t="s">
        <v>1609</v>
      </c>
      <c r="C1445" s="3" t="s">
        <v>1596</v>
      </c>
      <c r="D1445" s="3" t="s">
        <v>450</v>
      </c>
      <c r="E1445" s="3" t="s">
        <v>451</v>
      </c>
      <c r="F1445" s="2">
        <v>1</v>
      </c>
      <c r="G1445" s="4">
        <v>1.0460462143890215</v>
      </c>
      <c r="H1445" s="2">
        <v>25</v>
      </c>
      <c r="I1445" s="2">
        <v>5</v>
      </c>
      <c r="J1445" s="2">
        <v>1</v>
      </c>
      <c r="K1445" s="11">
        <v>1</v>
      </c>
      <c r="L1445" s="11">
        <v>0.49741654203360053</v>
      </c>
      <c r="M1445" s="4">
        <v>0.49741654203360053</v>
      </c>
      <c r="N1445" s="10">
        <v>0.497</v>
      </c>
      <c r="O1445" s="4">
        <v>2.7063760360932529</v>
      </c>
      <c r="P1445" s="4">
        <v>2.7</v>
      </c>
      <c r="Q1445" s="3" t="s">
        <v>1597</v>
      </c>
      <c r="R1445" s="3" t="s">
        <v>1610</v>
      </c>
      <c r="S1445" s="3" t="s">
        <v>1611</v>
      </c>
      <c r="T1445" s="3"/>
    </row>
    <row r="1446" spans="1:20">
      <c r="A1446" s="3" t="s">
        <v>1604</v>
      </c>
      <c r="B1446" s="3" t="s">
        <v>1601</v>
      </c>
      <c r="C1446" s="3" t="s">
        <v>1616</v>
      </c>
      <c r="D1446" s="3" t="s">
        <v>450</v>
      </c>
      <c r="E1446" s="3" t="s">
        <v>451</v>
      </c>
      <c r="F1446" s="2">
        <v>1</v>
      </c>
      <c r="G1446" s="4">
        <v>1.0460462143890215</v>
      </c>
      <c r="H1446" s="2">
        <v>25</v>
      </c>
      <c r="I1446" s="2">
        <v>30</v>
      </c>
      <c r="J1446" s="2">
        <v>16</v>
      </c>
      <c r="K1446" s="4">
        <v>1</v>
      </c>
      <c r="L1446" s="4">
        <v>0.48995596579393008</v>
      </c>
      <c r="M1446" s="4">
        <v>0.48995596579393008</v>
      </c>
      <c r="N1446" s="10">
        <v>0.49</v>
      </c>
      <c r="O1446" s="4">
        <v>2.6574657374623052</v>
      </c>
      <c r="P1446" s="4">
        <v>2.66</v>
      </c>
      <c r="Q1446" s="3" t="s">
        <v>1597</v>
      </c>
      <c r="R1446" s="3" t="s">
        <v>1602</v>
      </c>
      <c r="S1446" s="3" t="s">
        <v>1603</v>
      </c>
      <c r="T1446" s="3"/>
    </row>
    <row r="1447" spans="1:20">
      <c r="A1447" s="3" t="s">
        <v>1600</v>
      </c>
      <c r="B1447" s="3" t="s">
        <v>1601</v>
      </c>
      <c r="C1447" s="3" t="s">
        <v>1616</v>
      </c>
      <c r="D1447" s="3" t="s">
        <v>450</v>
      </c>
      <c r="E1447" s="3" t="s">
        <v>451</v>
      </c>
      <c r="F1447" s="2">
        <v>1</v>
      </c>
      <c r="G1447" s="4">
        <v>1.0460462143890215</v>
      </c>
      <c r="H1447" s="2">
        <v>25</v>
      </c>
      <c r="I1447" s="2">
        <v>5</v>
      </c>
      <c r="J1447" s="2">
        <v>1</v>
      </c>
      <c r="K1447" s="4">
        <v>1</v>
      </c>
      <c r="L1447" s="4">
        <v>0.47562717061907461</v>
      </c>
      <c r="M1447" s="4">
        <v>0.47562717061907461</v>
      </c>
      <c r="N1447" s="10">
        <v>0.47599999999999998</v>
      </c>
      <c r="O1447" s="4">
        <v>2.564828331087746</v>
      </c>
      <c r="P1447" s="4">
        <v>2.57</v>
      </c>
      <c r="Q1447" s="3" t="s">
        <v>1597</v>
      </c>
      <c r="R1447" s="3" t="s">
        <v>1602</v>
      </c>
      <c r="S1447" s="3" t="s">
        <v>1603</v>
      </c>
      <c r="T1447" s="3"/>
    </row>
    <row r="1448" spans="1:20">
      <c r="A1448" s="3" t="s">
        <v>1600</v>
      </c>
      <c r="B1448" s="3" t="s">
        <v>1609</v>
      </c>
      <c r="C1448" s="3" t="s">
        <v>1596</v>
      </c>
      <c r="D1448" s="3" t="s">
        <v>450</v>
      </c>
      <c r="E1448" s="3" t="s">
        <v>451</v>
      </c>
      <c r="F1448" s="2">
        <v>1</v>
      </c>
      <c r="G1448" s="4">
        <v>1.0460462143890215</v>
      </c>
      <c r="H1448" s="2">
        <v>25</v>
      </c>
      <c r="I1448" s="2">
        <v>5</v>
      </c>
      <c r="J1448" s="2">
        <v>16</v>
      </c>
      <c r="K1448" s="4">
        <v>1</v>
      </c>
      <c r="L1448" s="4">
        <v>0.46649604169542724</v>
      </c>
      <c r="M1448" s="4">
        <v>0.46649604169542724</v>
      </c>
      <c r="N1448" s="10">
        <v>0.46600000000000003</v>
      </c>
      <c r="O1448" s="4">
        <v>2.5066451086193577</v>
      </c>
      <c r="P1448" s="4">
        <v>2.5</v>
      </c>
      <c r="Q1448" s="3" t="s">
        <v>1597</v>
      </c>
      <c r="R1448" s="3" t="s">
        <v>1610</v>
      </c>
      <c r="S1448" s="3" t="s">
        <v>1611</v>
      </c>
      <c r="T1448" s="3"/>
    </row>
    <row r="1449" spans="1:20">
      <c r="A1449" s="3" t="s">
        <v>1600</v>
      </c>
      <c r="B1449" s="3" t="s">
        <v>1601</v>
      </c>
      <c r="C1449" s="3" t="s">
        <v>1616</v>
      </c>
      <c r="D1449" s="3" t="s">
        <v>450</v>
      </c>
      <c r="E1449" s="3" t="s">
        <v>451</v>
      </c>
      <c r="F1449" s="2">
        <v>1</v>
      </c>
      <c r="G1449" s="4">
        <v>1.0460462143890215</v>
      </c>
      <c r="H1449" s="2">
        <v>25</v>
      </c>
      <c r="I1449" s="2">
        <v>5</v>
      </c>
      <c r="J1449" s="2">
        <v>16</v>
      </c>
      <c r="K1449" s="4">
        <v>1</v>
      </c>
      <c r="L1449" s="4">
        <v>0.46615104894206644</v>
      </c>
      <c r="M1449" s="4">
        <v>0.46615104894206644</v>
      </c>
      <c r="N1449" s="10">
        <v>0.46600000000000003</v>
      </c>
      <c r="O1449" s="4">
        <v>2.5044593455666782</v>
      </c>
      <c r="P1449" s="4">
        <v>2.5</v>
      </c>
      <c r="Q1449" s="3" t="s">
        <v>1597</v>
      </c>
      <c r="R1449" s="3" t="s">
        <v>1602</v>
      </c>
      <c r="S1449" s="3" t="s">
        <v>1603</v>
      </c>
      <c r="T1449" s="3"/>
    </row>
    <row r="1450" spans="1:20">
      <c r="A1450" s="3" t="s">
        <v>1594</v>
      </c>
      <c r="B1450" s="3" t="s">
        <v>1612</v>
      </c>
      <c r="C1450" s="3" t="s">
        <v>1596</v>
      </c>
      <c r="D1450" s="3" t="s">
        <v>450</v>
      </c>
      <c r="E1450" s="3" t="s">
        <v>451</v>
      </c>
      <c r="F1450" s="2">
        <v>1</v>
      </c>
      <c r="G1450" s="4">
        <v>1.0460462143890215</v>
      </c>
      <c r="H1450" s="2">
        <v>50</v>
      </c>
      <c r="I1450" s="2">
        <v>5</v>
      </c>
      <c r="J1450" s="2">
        <v>16</v>
      </c>
      <c r="K1450" s="4">
        <v>0.43733074408310535</v>
      </c>
      <c r="L1450" s="14">
        <v>6.7457933110624868E-2</v>
      </c>
      <c r="M1450" s="4">
        <v>6.7457933110624868E-2</v>
      </c>
      <c r="N1450" s="10">
        <v>6.7000000000000004E-2</v>
      </c>
      <c r="O1450" s="4">
        <v>0.36304744903614833</v>
      </c>
      <c r="P1450" s="4">
        <v>0.36</v>
      </c>
      <c r="Q1450" s="3" t="s">
        <v>1597</v>
      </c>
      <c r="R1450" s="3" t="s">
        <v>1613</v>
      </c>
      <c r="S1450" s="3" t="s">
        <v>1614</v>
      </c>
      <c r="T1450" s="3"/>
    </row>
    <row r="1451" spans="1:20">
      <c r="A1451" s="3" t="s">
        <v>1594</v>
      </c>
      <c r="B1451" s="3" t="s">
        <v>1595</v>
      </c>
      <c r="C1451" s="3" t="s">
        <v>1596</v>
      </c>
      <c r="D1451" s="3" t="s">
        <v>450</v>
      </c>
      <c r="E1451" s="3" t="s">
        <v>451</v>
      </c>
      <c r="F1451" s="2">
        <v>1</v>
      </c>
      <c r="G1451" s="4">
        <v>1.0460462143890215</v>
      </c>
      <c r="H1451" s="2">
        <v>50</v>
      </c>
      <c r="I1451" s="2">
        <v>5</v>
      </c>
      <c r="J1451" s="2">
        <v>16</v>
      </c>
      <c r="K1451" s="4">
        <v>0.79877036458062933</v>
      </c>
      <c r="L1451" s="14">
        <v>-8.7091198936318628E-2</v>
      </c>
      <c r="M1451" s="4">
        <v>8.7091198936318628E-2</v>
      </c>
      <c r="N1451" s="10">
        <v>8.6999999999999994E-2</v>
      </c>
      <c r="O1451" s="4">
        <v>0.46918726110790288</v>
      </c>
      <c r="P1451" s="4">
        <v>-0.47</v>
      </c>
      <c r="Q1451" s="3" t="s">
        <v>1617</v>
      </c>
      <c r="R1451" s="3" t="s">
        <v>1625</v>
      </c>
      <c r="S1451" s="3" t="s">
        <v>1626</v>
      </c>
      <c r="T1451" s="3"/>
    </row>
    <row r="1452" spans="1:20">
      <c r="A1452" s="3" t="s">
        <v>1594</v>
      </c>
      <c r="B1452" s="3" t="s">
        <v>1612</v>
      </c>
      <c r="C1452" s="3" t="s">
        <v>1596</v>
      </c>
      <c r="D1452" s="3" t="s">
        <v>898</v>
      </c>
      <c r="E1452" s="3" t="s">
        <v>899</v>
      </c>
      <c r="F1452" s="2">
        <v>1</v>
      </c>
      <c r="G1452" s="4">
        <v>1.0468357011759908</v>
      </c>
      <c r="H1452" s="2">
        <v>50</v>
      </c>
      <c r="I1452" s="2">
        <v>5</v>
      </c>
      <c r="J1452" s="2">
        <v>16</v>
      </c>
      <c r="K1452" s="4">
        <v>0.62959400642454122</v>
      </c>
      <c r="L1452" s="4">
        <v>0.27971058096614881</v>
      </c>
      <c r="M1452" s="4">
        <v>0.27971058096614881</v>
      </c>
      <c r="N1452" s="10">
        <v>0.28000000000000003</v>
      </c>
      <c r="O1452" s="4">
        <v>1.5442186388727108</v>
      </c>
      <c r="P1452" s="4">
        <v>1.55</v>
      </c>
      <c r="Q1452" s="3" t="s">
        <v>1597</v>
      </c>
      <c r="R1452" s="3" t="s">
        <v>1613</v>
      </c>
      <c r="S1452" s="3" t="s">
        <v>1614</v>
      </c>
      <c r="T1452" s="3"/>
    </row>
    <row r="1453" spans="1:20">
      <c r="A1453" s="3" t="s">
        <v>1594</v>
      </c>
      <c r="B1453" s="3" t="s">
        <v>1595</v>
      </c>
      <c r="C1453" s="3" t="s">
        <v>1596</v>
      </c>
      <c r="D1453" s="3" t="s">
        <v>898</v>
      </c>
      <c r="E1453" s="3" t="s">
        <v>899</v>
      </c>
      <c r="F1453" s="2">
        <v>1</v>
      </c>
      <c r="G1453" s="4">
        <v>1.0468357011759908</v>
      </c>
      <c r="H1453" s="2">
        <v>50</v>
      </c>
      <c r="I1453" s="2">
        <v>5</v>
      </c>
      <c r="J1453" s="2">
        <v>16</v>
      </c>
      <c r="K1453" s="4">
        <v>0.56071685382261416</v>
      </c>
      <c r="L1453" s="4">
        <v>0.11678551696215886</v>
      </c>
      <c r="M1453" s="4">
        <v>0.11678551696215886</v>
      </c>
      <c r="N1453" s="10">
        <v>0.11700000000000001</v>
      </c>
      <c r="O1453" s="4">
        <v>0.63044248987537366</v>
      </c>
      <c r="P1453" s="4">
        <v>0.63</v>
      </c>
      <c r="Q1453" s="3" t="s">
        <v>1597</v>
      </c>
      <c r="R1453" s="3" t="s">
        <v>1598</v>
      </c>
      <c r="S1453" s="3" t="s">
        <v>1599</v>
      </c>
      <c r="T1453" s="3"/>
    </row>
    <row r="1454" spans="1:20">
      <c r="A1454" s="3" t="s">
        <v>1594</v>
      </c>
      <c r="B1454" s="3" t="s">
        <v>1595</v>
      </c>
      <c r="C1454" s="3" t="s">
        <v>1596</v>
      </c>
      <c r="D1454" s="3" t="s">
        <v>898</v>
      </c>
      <c r="E1454" s="3" t="s">
        <v>899</v>
      </c>
      <c r="F1454" s="2">
        <v>1</v>
      </c>
      <c r="G1454" s="4">
        <v>1.0468357011759908</v>
      </c>
      <c r="H1454" s="2">
        <v>25</v>
      </c>
      <c r="I1454" s="2">
        <v>5</v>
      </c>
      <c r="J1454" s="2">
        <v>16</v>
      </c>
      <c r="K1454" s="4">
        <v>5.5572924656283718E-2</v>
      </c>
      <c r="L1454" s="4">
        <v>7.087359930963924E-2</v>
      </c>
      <c r="M1454" s="4">
        <v>7.087359930963924E-2</v>
      </c>
      <c r="N1454" s="10">
        <v>7.0999999999999994E-2</v>
      </c>
      <c r="O1454" s="4">
        <v>0.35197692032130951</v>
      </c>
      <c r="P1454" s="4">
        <v>0.35</v>
      </c>
      <c r="Q1454" s="3" t="s">
        <v>1597</v>
      </c>
      <c r="R1454" s="3" t="s">
        <v>1598</v>
      </c>
      <c r="S1454" s="3" t="s">
        <v>1599</v>
      </c>
      <c r="T1454" s="3"/>
    </row>
    <row r="1455" spans="1:20">
      <c r="A1455" s="3" t="s">
        <v>1600</v>
      </c>
      <c r="B1455" s="3" t="s">
        <v>1601</v>
      </c>
      <c r="C1455" s="3" t="s">
        <v>1596</v>
      </c>
      <c r="D1455" s="3" t="s">
        <v>898</v>
      </c>
      <c r="E1455" s="3" t="s">
        <v>899</v>
      </c>
      <c r="F1455" s="2">
        <v>1</v>
      </c>
      <c r="G1455" s="4">
        <v>1.0468357011759908</v>
      </c>
      <c r="H1455" s="2">
        <v>25</v>
      </c>
      <c r="I1455" s="2">
        <v>5</v>
      </c>
      <c r="J1455" s="2">
        <v>1</v>
      </c>
      <c r="K1455" s="4">
        <v>0</v>
      </c>
      <c r="L1455" s="4">
        <v>0</v>
      </c>
      <c r="M1455" s="4">
        <v>0</v>
      </c>
      <c r="N1455" s="10">
        <v>0</v>
      </c>
      <c r="O1455" s="4">
        <v>0</v>
      </c>
      <c r="P1455" s="4">
        <v>0</v>
      </c>
      <c r="Q1455" s="3" t="s">
        <v>1617</v>
      </c>
      <c r="R1455" s="3" t="s">
        <v>1618</v>
      </c>
      <c r="S1455" s="3" t="s">
        <v>1619</v>
      </c>
      <c r="T1455" s="3"/>
    </row>
    <row r="1456" spans="1:20">
      <c r="A1456" s="3" t="s">
        <v>1600</v>
      </c>
      <c r="B1456" s="3" t="s">
        <v>1609</v>
      </c>
      <c r="C1456" s="3" t="s">
        <v>1596</v>
      </c>
      <c r="D1456" s="3" t="s">
        <v>898</v>
      </c>
      <c r="E1456" s="3" t="s">
        <v>899</v>
      </c>
      <c r="F1456" s="2">
        <v>1</v>
      </c>
      <c r="G1456" s="4">
        <v>1.0468357011759908</v>
      </c>
      <c r="H1456" s="2">
        <v>25</v>
      </c>
      <c r="I1456" s="2">
        <v>5</v>
      </c>
      <c r="J1456" s="2">
        <v>1</v>
      </c>
      <c r="K1456" s="4">
        <v>0.18109172523022099</v>
      </c>
      <c r="L1456" s="4">
        <v>-0.20437151905898229</v>
      </c>
      <c r="M1456" s="4">
        <v>0.20437151905898229</v>
      </c>
      <c r="N1456" s="10">
        <v>0.20399999999999999</v>
      </c>
      <c r="O1456" s="4">
        <v>1.0277326203534156</v>
      </c>
      <c r="P1456" s="4">
        <v>-1.03</v>
      </c>
      <c r="Q1456" s="3" t="s">
        <v>1617</v>
      </c>
      <c r="R1456" s="3" t="s">
        <v>1623</v>
      </c>
      <c r="S1456" s="3" t="s">
        <v>1624</v>
      </c>
      <c r="T1456" s="3"/>
    </row>
    <row r="1457" spans="1:20">
      <c r="A1457" s="3" t="s">
        <v>1604</v>
      </c>
      <c r="B1457" s="3" t="s">
        <v>1601</v>
      </c>
      <c r="C1457" s="3" t="s">
        <v>1596</v>
      </c>
      <c r="D1457" s="3" t="s">
        <v>898</v>
      </c>
      <c r="E1457" s="3" t="s">
        <v>899</v>
      </c>
      <c r="F1457" s="2">
        <v>1</v>
      </c>
      <c r="G1457" s="4">
        <v>1.0468357011759908</v>
      </c>
      <c r="H1457" s="2">
        <v>25</v>
      </c>
      <c r="I1457" s="2">
        <v>30</v>
      </c>
      <c r="J1457" s="2">
        <v>16</v>
      </c>
      <c r="K1457" s="4">
        <v>0.49040194836549234</v>
      </c>
      <c r="L1457" s="4">
        <v>-0.32419000448485358</v>
      </c>
      <c r="M1457" s="4">
        <v>0.32419000448485358</v>
      </c>
      <c r="N1457" s="10">
        <v>0.32400000000000001</v>
      </c>
      <c r="O1457" s="4">
        <v>1.6674637367106684</v>
      </c>
      <c r="P1457" s="4">
        <v>-1.67</v>
      </c>
      <c r="Q1457" s="3" t="s">
        <v>1617</v>
      </c>
      <c r="R1457" s="3" t="s">
        <v>1618</v>
      </c>
      <c r="S1457" s="3" t="s">
        <v>1619</v>
      </c>
      <c r="T1457" s="3"/>
    </row>
    <row r="1458" spans="1:20">
      <c r="A1458" s="3" t="s">
        <v>1605</v>
      </c>
      <c r="B1458" s="3" t="s">
        <v>1601</v>
      </c>
      <c r="C1458" s="3" t="s">
        <v>1596</v>
      </c>
      <c r="D1458" s="3" t="s">
        <v>898</v>
      </c>
      <c r="E1458" s="3" t="s">
        <v>899</v>
      </c>
      <c r="F1458" s="2">
        <v>1</v>
      </c>
      <c r="G1458" s="4">
        <v>1.0468357011759908</v>
      </c>
      <c r="H1458" s="2">
        <v>25</v>
      </c>
      <c r="I1458" s="2">
        <v>5</v>
      </c>
      <c r="J1458" s="2">
        <v>16</v>
      </c>
      <c r="K1458" s="4">
        <v>0.40792715588206185</v>
      </c>
      <c r="L1458" s="4">
        <v>-0.35653699527553234</v>
      </c>
      <c r="M1458" s="4">
        <v>0.35653699527553234</v>
      </c>
      <c r="N1458" s="10">
        <v>0.35699999999999998</v>
      </c>
      <c r="O1458" s="4">
        <v>1.8488785949653106</v>
      </c>
      <c r="P1458" s="4">
        <v>-1.85</v>
      </c>
      <c r="Q1458" s="3" t="s">
        <v>1617</v>
      </c>
      <c r="R1458" s="3" t="s">
        <v>1618</v>
      </c>
      <c r="S1458" s="3" t="s">
        <v>1619</v>
      </c>
      <c r="T1458" s="3"/>
    </row>
    <row r="1459" spans="1:20">
      <c r="A1459" s="3" t="s">
        <v>1600</v>
      </c>
      <c r="B1459" s="3" t="s">
        <v>1601</v>
      </c>
      <c r="C1459" s="3" t="s">
        <v>1596</v>
      </c>
      <c r="D1459" s="3" t="s">
        <v>898</v>
      </c>
      <c r="E1459" s="3" t="s">
        <v>899</v>
      </c>
      <c r="F1459" s="2">
        <v>1</v>
      </c>
      <c r="G1459" s="4">
        <v>1.0468357011759908</v>
      </c>
      <c r="H1459" s="2">
        <v>25</v>
      </c>
      <c r="I1459" s="2">
        <v>5</v>
      </c>
      <c r="J1459" s="2">
        <v>16</v>
      </c>
      <c r="K1459" s="4">
        <v>7.3547558029987581E-2</v>
      </c>
      <c r="L1459" s="4">
        <v>-0.38871814356201156</v>
      </c>
      <c r="M1459" s="4">
        <v>0.38871814356201156</v>
      </c>
      <c r="N1459" s="10">
        <v>0.38900000000000001</v>
      </c>
      <c r="O1459" s="4">
        <v>2.0341873555889207</v>
      </c>
      <c r="P1459" s="4">
        <v>-2.04</v>
      </c>
      <c r="Q1459" s="3" t="s">
        <v>1617</v>
      </c>
      <c r="R1459" s="3" t="s">
        <v>1618</v>
      </c>
      <c r="S1459" s="3" t="s">
        <v>1619</v>
      </c>
      <c r="T1459" s="3"/>
    </row>
    <row r="1460" spans="1:20">
      <c r="A1460" s="3" t="s">
        <v>1600</v>
      </c>
      <c r="B1460" s="3" t="s">
        <v>1609</v>
      </c>
      <c r="C1460" s="3" t="s">
        <v>1596</v>
      </c>
      <c r="D1460" s="3" t="s">
        <v>898</v>
      </c>
      <c r="E1460" s="3" t="s">
        <v>899</v>
      </c>
      <c r="F1460" s="2">
        <v>1</v>
      </c>
      <c r="G1460" s="4">
        <v>1.0468357011759908</v>
      </c>
      <c r="H1460" s="2">
        <v>25</v>
      </c>
      <c r="I1460" s="2">
        <v>5</v>
      </c>
      <c r="J1460" s="2">
        <v>16</v>
      </c>
      <c r="K1460" s="4">
        <v>0.40417674730586828</v>
      </c>
      <c r="L1460" s="4">
        <v>-0.44823952732514494</v>
      </c>
      <c r="M1460" s="4">
        <v>0.44823952732514494</v>
      </c>
      <c r="N1460" s="10">
        <v>0.44800000000000001</v>
      </c>
      <c r="O1460" s="4">
        <v>2.3921793824305269</v>
      </c>
      <c r="P1460" s="4">
        <v>-2.39</v>
      </c>
      <c r="Q1460" s="3" t="s">
        <v>1617</v>
      </c>
      <c r="R1460" s="3" t="s">
        <v>1623</v>
      </c>
      <c r="S1460" s="3" t="s">
        <v>1624</v>
      </c>
      <c r="T1460" s="3"/>
    </row>
    <row r="1461" spans="1:20">
      <c r="A1461" s="3" t="s">
        <v>1600</v>
      </c>
      <c r="B1461" s="3" t="s">
        <v>1609</v>
      </c>
      <c r="C1461" s="3" t="s">
        <v>1616</v>
      </c>
      <c r="D1461" s="3" t="s">
        <v>898</v>
      </c>
      <c r="E1461" s="3" t="s">
        <v>899</v>
      </c>
      <c r="F1461" s="2">
        <v>1</v>
      </c>
      <c r="G1461" s="4">
        <v>1.0468357011759908</v>
      </c>
      <c r="H1461" s="2">
        <v>25</v>
      </c>
      <c r="I1461" s="2">
        <v>5</v>
      </c>
      <c r="J1461" s="2">
        <v>16</v>
      </c>
      <c r="K1461" s="4">
        <v>7.2094084199648689E-2</v>
      </c>
      <c r="L1461" s="4">
        <v>-0.53367336777933905</v>
      </c>
      <c r="M1461" s="4">
        <v>0.53367336777933905</v>
      </c>
      <c r="N1461" s="10">
        <v>0.53400000000000003</v>
      </c>
      <c r="O1461" s="4">
        <v>2.9512976690136599</v>
      </c>
      <c r="P1461" s="4">
        <v>-2.95</v>
      </c>
      <c r="Q1461" s="3" t="s">
        <v>1617</v>
      </c>
      <c r="R1461" s="3" t="s">
        <v>1623</v>
      </c>
      <c r="S1461" s="3" t="s">
        <v>1624</v>
      </c>
      <c r="T1461" s="3"/>
    </row>
    <row r="1462" spans="1:20">
      <c r="A1462" s="3" t="s">
        <v>1600</v>
      </c>
      <c r="B1462" s="3" t="s">
        <v>1601</v>
      </c>
      <c r="C1462" s="3" t="s">
        <v>1616</v>
      </c>
      <c r="D1462" s="3" t="s">
        <v>898</v>
      </c>
      <c r="E1462" s="3" t="s">
        <v>899</v>
      </c>
      <c r="F1462" s="2">
        <v>1</v>
      </c>
      <c r="G1462" s="4">
        <v>1.0468357011759908</v>
      </c>
      <c r="H1462" s="2">
        <v>25</v>
      </c>
      <c r="I1462" s="2">
        <v>5</v>
      </c>
      <c r="J1462" s="2">
        <v>16</v>
      </c>
      <c r="K1462" s="4">
        <v>0.36938174191367734</v>
      </c>
      <c r="L1462" s="4">
        <v>-0.56765029511943499</v>
      </c>
      <c r="M1462" s="4">
        <v>0.56765029511943499</v>
      </c>
      <c r="N1462" s="10">
        <v>0.56799999999999995</v>
      </c>
      <c r="O1462" s="4">
        <v>3.1931549080190291</v>
      </c>
      <c r="P1462" s="4">
        <v>-3.2</v>
      </c>
      <c r="Q1462" s="3" t="s">
        <v>1617</v>
      </c>
      <c r="R1462" s="3" t="s">
        <v>1618</v>
      </c>
      <c r="S1462" s="3" t="s">
        <v>1619</v>
      </c>
      <c r="T1462" s="3"/>
    </row>
    <row r="1463" spans="1:20">
      <c r="A1463" s="3" t="s">
        <v>1600</v>
      </c>
      <c r="B1463" s="3" t="s">
        <v>1601</v>
      </c>
      <c r="C1463" s="3" t="s">
        <v>1616</v>
      </c>
      <c r="D1463" s="3" t="s">
        <v>898</v>
      </c>
      <c r="E1463" s="3" t="s">
        <v>899</v>
      </c>
      <c r="F1463" s="2">
        <v>1</v>
      </c>
      <c r="G1463" s="4">
        <v>1.0468357011759908</v>
      </c>
      <c r="H1463" s="2">
        <v>25</v>
      </c>
      <c r="I1463" s="2">
        <v>5</v>
      </c>
      <c r="J1463" s="2">
        <v>1</v>
      </c>
      <c r="K1463" s="4">
        <v>0.11306165900985754</v>
      </c>
      <c r="L1463" s="4">
        <v>-0.6315856192556335</v>
      </c>
      <c r="M1463" s="4">
        <v>0.6315856192556335</v>
      </c>
      <c r="N1463" s="10">
        <v>0.63200000000000001</v>
      </c>
      <c r="O1463" s="4">
        <v>3.6889506924397044</v>
      </c>
      <c r="P1463" s="4">
        <v>-3.69</v>
      </c>
      <c r="Q1463" s="3" t="s">
        <v>1617</v>
      </c>
      <c r="R1463" s="3" t="s">
        <v>1618</v>
      </c>
      <c r="S1463" s="3" t="s">
        <v>1619</v>
      </c>
      <c r="T1463" s="3"/>
    </row>
    <row r="1464" spans="1:20">
      <c r="A1464" s="3" t="s">
        <v>1604</v>
      </c>
      <c r="B1464" s="3" t="s">
        <v>1601</v>
      </c>
      <c r="C1464" s="3" t="s">
        <v>1616</v>
      </c>
      <c r="D1464" s="3" t="s">
        <v>898</v>
      </c>
      <c r="E1464" s="3" t="s">
        <v>899</v>
      </c>
      <c r="F1464" s="2">
        <v>1</v>
      </c>
      <c r="G1464" s="4">
        <v>1.0468357011759908</v>
      </c>
      <c r="H1464" s="2">
        <v>25</v>
      </c>
      <c r="I1464" s="2">
        <v>30</v>
      </c>
      <c r="J1464" s="2">
        <v>16</v>
      </c>
      <c r="K1464" s="4">
        <v>0.53666930943881219</v>
      </c>
      <c r="L1464" s="4">
        <v>-0.67657167948025665</v>
      </c>
      <c r="M1464" s="4">
        <v>0.67657167948025665</v>
      </c>
      <c r="N1464" s="10">
        <v>0.67700000000000005</v>
      </c>
      <c r="O1464" s="4">
        <v>4.0792135409564487</v>
      </c>
      <c r="P1464" s="4">
        <v>-4.08</v>
      </c>
      <c r="Q1464" s="3" t="s">
        <v>1617</v>
      </c>
      <c r="R1464" s="3" t="s">
        <v>1618</v>
      </c>
      <c r="S1464" s="3" t="s">
        <v>1619</v>
      </c>
      <c r="T1464" s="3"/>
    </row>
    <row r="1465" spans="1:20">
      <c r="A1465" s="3" t="s">
        <v>1600</v>
      </c>
      <c r="B1465" s="3" t="s">
        <v>1606</v>
      </c>
      <c r="C1465" s="3" t="s">
        <v>1616</v>
      </c>
      <c r="D1465" s="3" t="s">
        <v>898</v>
      </c>
      <c r="E1465" s="3" t="s">
        <v>899</v>
      </c>
      <c r="F1465" s="2">
        <v>1</v>
      </c>
      <c r="G1465" s="4">
        <v>1.0468357011759908</v>
      </c>
      <c r="H1465" s="2">
        <v>25</v>
      </c>
      <c r="I1465" s="2">
        <v>5</v>
      </c>
      <c r="J1465" s="2">
        <v>16</v>
      </c>
      <c r="K1465" s="4">
        <v>1</v>
      </c>
      <c r="L1465" s="4">
        <v>-0.69520191217475058</v>
      </c>
      <c r="M1465" s="4">
        <v>0.69520191217475058</v>
      </c>
      <c r="N1465" s="10">
        <v>0.69499999999999995</v>
      </c>
      <c r="O1465" s="4">
        <v>4.253680293696176</v>
      </c>
      <c r="P1465" s="4">
        <v>-4.25</v>
      </c>
      <c r="Q1465" s="3" t="s">
        <v>1617</v>
      </c>
      <c r="R1465" s="3" t="s">
        <v>1621</v>
      </c>
      <c r="S1465" s="3" t="s">
        <v>1622</v>
      </c>
      <c r="T1465" s="3"/>
    </row>
    <row r="1466" spans="1:20">
      <c r="A1466" s="3" t="s">
        <v>1600</v>
      </c>
      <c r="B1466" s="3" t="s">
        <v>1606</v>
      </c>
      <c r="C1466" s="3" t="s">
        <v>1616</v>
      </c>
      <c r="D1466" s="3" t="s">
        <v>898</v>
      </c>
      <c r="E1466" s="3" t="s">
        <v>899</v>
      </c>
      <c r="F1466" s="2">
        <v>1</v>
      </c>
      <c r="G1466" s="4">
        <v>1.0468357011759908</v>
      </c>
      <c r="H1466" s="2">
        <v>25</v>
      </c>
      <c r="I1466" s="2">
        <v>5</v>
      </c>
      <c r="J1466" s="2">
        <v>1</v>
      </c>
      <c r="K1466" s="4">
        <v>0.73298200120852319</v>
      </c>
      <c r="L1466" s="4">
        <v>-0.72787140665326666</v>
      </c>
      <c r="M1466" s="4">
        <v>0.72787140665326666</v>
      </c>
      <c r="N1466" s="10">
        <v>0.72799999999999998</v>
      </c>
      <c r="O1466" s="4">
        <v>4.5820524009861892</v>
      </c>
      <c r="P1466" s="4">
        <v>-4.58</v>
      </c>
      <c r="Q1466" s="3" t="s">
        <v>1617</v>
      </c>
      <c r="R1466" s="3" t="s">
        <v>1621</v>
      </c>
      <c r="S1466" s="3" t="s">
        <v>1622</v>
      </c>
      <c r="T1466" s="3"/>
    </row>
    <row r="1467" spans="1:20">
      <c r="A1467" s="3" t="s">
        <v>1600</v>
      </c>
      <c r="B1467" s="3" t="s">
        <v>1606</v>
      </c>
      <c r="C1467" s="3" t="s">
        <v>1596</v>
      </c>
      <c r="D1467" s="3" t="s">
        <v>898</v>
      </c>
      <c r="E1467" s="3" t="s">
        <v>899</v>
      </c>
      <c r="F1467" s="2">
        <v>1</v>
      </c>
      <c r="G1467" s="4">
        <v>1.0468357011759908</v>
      </c>
      <c r="H1467" s="2">
        <v>25</v>
      </c>
      <c r="I1467" s="2">
        <v>5</v>
      </c>
      <c r="J1467" s="2">
        <v>16</v>
      </c>
      <c r="K1467" s="4">
        <v>1</v>
      </c>
      <c r="L1467" s="4">
        <v>-0.73926869384628502</v>
      </c>
      <c r="M1467" s="4">
        <v>0.73926869384628502</v>
      </c>
      <c r="N1467" s="10">
        <v>0.73899999999999999</v>
      </c>
      <c r="O1467" s="4">
        <v>4.7044113185080958</v>
      </c>
      <c r="P1467" s="4">
        <v>-4.7</v>
      </c>
      <c r="Q1467" s="3" t="s">
        <v>1617</v>
      </c>
      <c r="R1467" s="3" t="s">
        <v>1621</v>
      </c>
      <c r="S1467" s="3" t="s">
        <v>1622</v>
      </c>
      <c r="T1467" s="3"/>
    </row>
    <row r="1468" spans="1:20">
      <c r="A1468" s="3" t="s">
        <v>1600</v>
      </c>
      <c r="B1468" s="3" t="s">
        <v>1606</v>
      </c>
      <c r="C1468" s="3" t="s">
        <v>1596</v>
      </c>
      <c r="D1468" s="3" t="s">
        <v>898</v>
      </c>
      <c r="E1468" s="3" t="s">
        <v>899</v>
      </c>
      <c r="F1468" s="2">
        <v>1</v>
      </c>
      <c r="G1468" s="4">
        <v>1.0468357011759908</v>
      </c>
      <c r="H1468" s="2">
        <v>25</v>
      </c>
      <c r="I1468" s="2">
        <v>5</v>
      </c>
      <c r="J1468" s="2">
        <v>1</v>
      </c>
      <c r="K1468" s="4">
        <v>0.70481241495471747</v>
      </c>
      <c r="L1468" s="4">
        <v>-0.75689828793488712</v>
      </c>
      <c r="M1468" s="4">
        <v>0.75689828793488712</v>
      </c>
      <c r="N1468" s="10">
        <v>0.75700000000000001</v>
      </c>
      <c r="O1468" s="4">
        <v>4.9029659073669576</v>
      </c>
      <c r="P1468" s="4">
        <v>-4.9000000000000004</v>
      </c>
      <c r="Q1468" s="3" t="s">
        <v>1617</v>
      </c>
      <c r="R1468" s="3" t="s">
        <v>1621</v>
      </c>
      <c r="S1468" s="3" t="s">
        <v>1622</v>
      </c>
      <c r="T1468" s="3"/>
    </row>
    <row r="1469" spans="1:20">
      <c r="A1469" s="3" t="s">
        <v>1600</v>
      </c>
      <c r="B1469" s="3" t="s">
        <v>1609</v>
      </c>
      <c r="C1469" s="3" t="s">
        <v>1616</v>
      </c>
      <c r="D1469" s="3" t="s">
        <v>898</v>
      </c>
      <c r="E1469" s="3" t="s">
        <v>899</v>
      </c>
      <c r="F1469" s="2">
        <v>1</v>
      </c>
      <c r="G1469" s="4">
        <v>1.0468357011759908</v>
      </c>
      <c r="H1469" s="2">
        <v>25</v>
      </c>
      <c r="I1469" s="2">
        <v>5</v>
      </c>
      <c r="J1469" s="2">
        <v>1</v>
      </c>
      <c r="K1469" s="4">
        <v>2.525674662369648E-2</v>
      </c>
      <c r="L1469" s="4">
        <v>-1</v>
      </c>
      <c r="M1469" s="4">
        <v>1</v>
      </c>
      <c r="N1469" s="10">
        <v>0.995</v>
      </c>
      <c r="O1469" s="4">
        <v>14.85</v>
      </c>
      <c r="P1469" s="4">
        <v>-14.85</v>
      </c>
      <c r="Q1469" s="3" t="s">
        <v>1617</v>
      </c>
      <c r="R1469" s="3" t="s">
        <v>1623</v>
      </c>
      <c r="S1469" s="3" t="s">
        <v>1624</v>
      </c>
      <c r="T1469" s="3"/>
    </row>
    <row r="1470" spans="1:20">
      <c r="A1470" s="3" t="s">
        <v>1600</v>
      </c>
      <c r="B1470" s="3" t="s">
        <v>1606</v>
      </c>
      <c r="C1470" s="3" t="s">
        <v>1616</v>
      </c>
      <c r="D1470" s="3" t="s">
        <v>1488</v>
      </c>
      <c r="E1470" s="3" t="s">
        <v>1489</v>
      </c>
      <c r="F1470" s="2">
        <v>1</v>
      </c>
      <c r="G1470" s="4">
        <v>1.048647904768458</v>
      </c>
      <c r="H1470" s="2">
        <v>25</v>
      </c>
      <c r="I1470" s="2">
        <v>5</v>
      </c>
      <c r="J1470" s="2">
        <v>16</v>
      </c>
      <c r="K1470" s="4">
        <v>1</v>
      </c>
      <c r="L1470" s="4">
        <v>0.68248484014441024</v>
      </c>
      <c r="M1470" s="4">
        <v>0.68248484014441024</v>
      </c>
      <c r="N1470" s="10">
        <v>0.68200000000000005</v>
      </c>
      <c r="O1470" s="4">
        <v>4.1336831165344448</v>
      </c>
      <c r="P1470" s="4">
        <v>4.13</v>
      </c>
      <c r="Q1470" s="3" t="s">
        <v>1597</v>
      </c>
      <c r="R1470" s="3" t="s">
        <v>1607</v>
      </c>
      <c r="S1470" s="3" t="s">
        <v>1608</v>
      </c>
      <c r="T1470" s="3"/>
    </row>
    <row r="1471" spans="1:20">
      <c r="A1471" s="3" t="s">
        <v>1600</v>
      </c>
      <c r="B1471" s="3" t="s">
        <v>1606</v>
      </c>
      <c r="C1471" s="3" t="s">
        <v>1616</v>
      </c>
      <c r="D1471" s="3" t="s">
        <v>1488</v>
      </c>
      <c r="E1471" s="3" t="s">
        <v>1489</v>
      </c>
      <c r="F1471" s="2">
        <v>1</v>
      </c>
      <c r="G1471" s="4">
        <v>1.048647904768458</v>
      </c>
      <c r="H1471" s="2">
        <v>25</v>
      </c>
      <c r="I1471" s="2">
        <v>5</v>
      </c>
      <c r="J1471" s="2">
        <v>1</v>
      </c>
      <c r="K1471" s="4">
        <v>1</v>
      </c>
      <c r="L1471" s="4">
        <v>0.67264101629161466</v>
      </c>
      <c r="M1471" s="4">
        <v>0.67264101629161466</v>
      </c>
      <c r="N1471" s="10">
        <v>0.67300000000000004</v>
      </c>
      <c r="O1471" s="4">
        <v>4.0434492661425434</v>
      </c>
      <c r="P1471" s="4">
        <v>4.05</v>
      </c>
      <c r="Q1471" s="3" t="s">
        <v>1597</v>
      </c>
      <c r="R1471" s="3" t="s">
        <v>1607</v>
      </c>
      <c r="S1471" s="3" t="s">
        <v>1608</v>
      </c>
      <c r="T1471" s="3"/>
    </row>
    <row r="1472" spans="1:20">
      <c r="A1472" s="3" t="s">
        <v>1594</v>
      </c>
      <c r="B1472" s="3" t="s">
        <v>1612</v>
      </c>
      <c r="C1472" s="3" t="s">
        <v>1596</v>
      </c>
      <c r="D1472" s="3" t="s">
        <v>1488</v>
      </c>
      <c r="E1472" s="3" t="s">
        <v>1489</v>
      </c>
      <c r="F1472" s="2">
        <v>1</v>
      </c>
      <c r="G1472" s="4">
        <v>1.048647904768458</v>
      </c>
      <c r="H1472" s="2">
        <v>50</v>
      </c>
      <c r="I1472" s="2">
        <v>5</v>
      </c>
      <c r="J1472" s="2">
        <v>16</v>
      </c>
      <c r="K1472" s="4">
        <v>0.84184278913090393</v>
      </c>
      <c r="L1472" s="4">
        <v>0.55090969207991891</v>
      </c>
      <c r="M1472" s="4">
        <v>0.55090969207991891</v>
      </c>
      <c r="N1472" s="10">
        <v>0.55100000000000005</v>
      </c>
      <c r="O1472" s="4">
        <v>3.329985225242559</v>
      </c>
      <c r="P1472" s="4">
        <v>3.33</v>
      </c>
      <c r="Q1472" s="3" t="s">
        <v>1597</v>
      </c>
      <c r="R1472" s="3" t="s">
        <v>1613</v>
      </c>
      <c r="S1472" s="3" t="s">
        <v>1614</v>
      </c>
      <c r="T1472" s="3"/>
    </row>
    <row r="1473" spans="1:20">
      <c r="A1473" s="3" t="s">
        <v>1600</v>
      </c>
      <c r="B1473" s="3" t="s">
        <v>1606</v>
      </c>
      <c r="C1473" s="3" t="s">
        <v>1596</v>
      </c>
      <c r="D1473" s="3" t="s">
        <v>1488</v>
      </c>
      <c r="E1473" s="3" t="s">
        <v>1489</v>
      </c>
      <c r="F1473" s="2">
        <v>1</v>
      </c>
      <c r="G1473" s="4">
        <v>1.048647904768458</v>
      </c>
      <c r="H1473" s="2">
        <v>25</v>
      </c>
      <c r="I1473" s="2">
        <v>5</v>
      </c>
      <c r="J1473" s="2">
        <v>16</v>
      </c>
      <c r="K1473" s="4">
        <v>1</v>
      </c>
      <c r="L1473" s="4">
        <v>0.48733128064740322</v>
      </c>
      <c r="M1473" s="4">
        <v>0.48733128064740322</v>
      </c>
      <c r="N1473" s="10">
        <v>0.48699999999999999</v>
      </c>
      <c r="O1473" s="4">
        <v>2.6403709194616938</v>
      </c>
      <c r="P1473" s="4">
        <v>2.64</v>
      </c>
      <c r="Q1473" s="3" t="s">
        <v>1597</v>
      </c>
      <c r="R1473" s="3" t="s">
        <v>1607</v>
      </c>
      <c r="S1473" s="3" t="s">
        <v>1608</v>
      </c>
      <c r="T1473" s="3"/>
    </row>
    <row r="1474" spans="1:20">
      <c r="A1474" s="3" t="s">
        <v>1600</v>
      </c>
      <c r="B1474" s="3" t="s">
        <v>1606</v>
      </c>
      <c r="C1474" s="3" t="s">
        <v>1596</v>
      </c>
      <c r="D1474" s="3" t="s">
        <v>1488</v>
      </c>
      <c r="E1474" s="3" t="s">
        <v>1489</v>
      </c>
      <c r="F1474" s="2">
        <v>1</v>
      </c>
      <c r="G1474" s="4">
        <v>1.048647904768458</v>
      </c>
      <c r="H1474" s="2">
        <v>25</v>
      </c>
      <c r="I1474" s="2">
        <v>5</v>
      </c>
      <c r="J1474" s="2">
        <v>1</v>
      </c>
      <c r="K1474" s="4">
        <v>0.99539453008167433</v>
      </c>
      <c r="L1474" s="4">
        <v>0.47824167413823909</v>
      </c>
      <c r="M1474" s="4">
        <v>0.47824167413823909</v>
      </c>
      <c r="N1474" s="10">
        <v>0.47799999999999998</v>
      </c>
      <c r="O1474" s="4">
        <v>2.5816076188441608</v>
      </c>
      <c r="P1474" s="4">
        <v>2.58</v>
      </c>
      <c r="Q1474" s="3" t="s">
        <v>1597</v>
      </c>
      <c r="R1474" s="3" t="s">
        <v>1607</v>
      </c>
      <c r="S1474" s="3" t="s">
        <v>1608</v>
      </c>
      <c r="T1474" s="3"/>
    </row>
    <row r="1475" spans="1:20">
      <c r="A1475" s="3" t="s">
        <v>1600</v>
      </c>
      <c r="B1475" s="3" t="s">
        <v>1601</v>
      </c>
      <c r="C1475" s="3" t="s">
        <v>1616</v>
      </c>
      <c r="D1475" s="3" t="s">
        <v>1488</v>
      </c>
      <c r="E1475" s="3" t="s">
        <v>1489</v>
      </c>
      <c r="F1475" s="2">
        <v>1</v>
      </c>
      <c r="G1475" s="4">
        <v>1.048647904768458</v>
      </c>
      <c r="H1475" s="2">
        <v>25</v>
      </c>
      <c r="I1475" s="2">
        <v>5</v>
      </c>
      <c r="J1475" s="2">
        <v>1</v>
      </c>
      <c r="K1475" s="4">
        <v>0.27082254663208749</v>
      </c>
      <c r="L1475" s="4">
        <v>0.45498441333826606</v>
      </c>
      <c r="M1475" s="4">
        <v>0.45498441333826606</v>
      </c>
      <c r="N1475" s="10">
        <v>0.45500000000000002</v>
      </c>
      <c r="O1475" s="4">
        <v>2.4341882759231463</v>
      </c>
      <c r="P1475" s="4">
        <v>2.4300000000000002</v>
      </c>
      <c r="Q1475" s="3" t="s">
        <v>1597</v>
      </c>
      <c r="R1475" s="3" t="s">
        <v>1602</v>
      </c>
      <c r="S1475" s="3" t="s">
        <v>1603</v>
      </c>
      <c r="T1475" s="3"/>
    </row>
    <row r="1476" spans="1:20">
      <c r="A1476" s="3" t="s">
        <v>1600</v>
      </c>
      <c r="B1476" s="3" t="s">
        <v>1601</v>
      </c>
      <c r="C1476" s="3" t="s">
        <v>1616</v>
      </c>
      <c r="D1476" s="3" t="s">
        <v>1488</v>
      </c>
      <c r="E1476" s="3" t="s">
        <v>1489</v>
      </c>
      <c r="F1476" s="2">
        <v>1</v>
      </c>
      <c r="G1476" s="4">
        <v>1.048647904768458</v>
      </c>
      <c r="H1476" s="2">
        <v>25</v>
      </c>
      <c r="I1476" s="2">
        <v>5</v>
      </c>
      <c r="J1476" s="2">
        <v>16</v>
      </c>
      <c r="K1476" s="4">
        <v>1</v>
      </c>
      <c r="L1476" s="4">
        <v>0.43992487347757742</v>
      </c>
      <c r="M1476" s="4">
        <v>0.43992487347757742</v>
      </c>
      <c r="N1476" s="10">
        <v>0.44</v>
      </c>
      <c r="O1476" s="4">
        <v>2.3408283942759089</v>
      </c>
      <c r="P1476" s="4">
        <v>2.34</v>
      </c>
      <c r="Q1476" s="3" t="s">
        <v>1597</v>
      </c>
      <c r="R1476" s="3" t="s">
        <v>1602</v>
      </c>
      <c r="S1476" s="3" t="s">
        <v>1603</v>
      </c>
      <c r="T1476" s="3"/>
    </row>
    <row r="1477" spans="1:20">
      <c r="A1477" s="3" t="s">
        <v>1604</v>
      </c>
      <c r="B1477" s="3" t="s">
        <v>1601</v>
      </c>
      <c r="C1477" s="3" t="s">
        <v>1616</v>
      </c>
      <c r="D1477" s="3" t="s">
        <v>1488</v>
      </c>
      <c r="E1477" s="3" t="s">
        <v>1489</v>
      </c>
      <c r="F1477" s="2">
        <v>1</v>
      </c>
      <c r="G1477" s="4">
        <v>1.048647904768458</v>
      </c>
      <c r="H1477" s="2">
        <v>25</v>
      </c>
      <c r="I1477" s="2">
        <v>30</v>
      </c>
      <c r="J1477" s="2">
        <v>16</v>
      </c>
      <c r="K1477" s="4">
        <v>1</v>
      </c>
      <c r="L1477" s="4">
        <v>0.41712433850172226</v>
      </c>
      <c r="M1477" s="4">
        <v>0.41712433850172226</v>
      </c>
      <c r="N1477" s="10">
        <v>0.41699999999999998</v>
      </c>
      <c r="O1477" s="4">
        <v>2.2023428271830894</v>
      </c>
      <c r="P1477" s="4">
        <v>2.2000000000000002</v>
      </c>
      <c r="Q1477" s="3" t="s">
        <v>1597</v>
      </c>
      <c r="R1477" s="3" t="s">
        <v>1602</v>
      </c>
      <c r="S1477" s="3" t="s">
        <v>1603</v>
      </c>
      <c r="T1477" s="3"/>
    </row>
    <row r="1478" spans="1:20">
      <c r="A1478" s="3" t="s">
        <v>1600</v>
      </c>
      <c r="B1478" s="3" t="s">
        <v>1609</v>
      </c>
      <c r="C1478" s="3" t="s">
        <v>1616</v>
      </c>
      <c r="D1478" s="3" t="s">
        <v>1488</v>
      </c>
      <c r="E1478" s="3" t="s">
        <v>1489</v>
      </c>
      <c r="F1478" s="2">
        <v>1</v>
      </c>
      <c r="G1478" s="4">
        <v>1.048647904768458</v>
      </c>
      <c r="H1478" s="2">
        <v>25</v>
      </c>
      <c r="I1478" s="2">
        <v>5</v>
      </c>
      <c r="J1478" s="2">
        <v>16</v>
      </c>
      <c r="K1478" s="4">
        <v>1</v>
      </c>
      <c r="L1478" s="4">
        <v>0.36904106592177149</v>
      </c>
      <c r="M1478" s="4">
        <v>0.36904106592177149</v>
      </c>
      <c r="N1478" s="10">
        <v>0.36899999999999999</v>
      </c>
      <c r="O1478" s="4">
        <v>1.920270827013933</v>
      </c>
      <c r="P1478" s="4">
        <v>1.92</v>
      </c>
      <c r="Q1478" s="3" t="s">
        <v>1597</v>
      </c>
      <c r="R1478" s="3" t="s">
        <v>1610</v>
      </c>
      <c r="S1478" s="3" t="s">
        <v>1611</v>
      </c>
      <c r="T1478" s="3"/>
    </row>
    <row r="1479" spans="1:20">
      <c r="A1479" s="3" t="s">
        <v>1604</v>
      </c>
      <c r="B1479" s="3" t="s">
        <v>1601</v>
      </c>
      <c r="C1479" s="3" t="s">
        <v>1596</v>
      </c>
      <c r="D1479" s="3" t="s">
        <v>1488</v>
      </c>
      <c r="E1479" s="3" t="s">
        <v>1489</v>
      </c>
      <c r="F1479" s="2">
        <v>1</v>
      </c>
      <c r="G1479" s="4">
        <v>1.048647904768458</v>
      </c>
      <c r="H1479" s="2">
        <v>25</v>
      </c>
      <c r="I1479" s="2">
        <v>30</v>
      </c>
      <c r="J1479" s="2">
        <v>16</v>
      </c>
      <c r="K1479" s="4">
        <v>1</v>
      </c>
      <c r="L1479" s="4">
        <v>0.26638209257291623</v>
      </c>
      <c r="M1479" s="4">
        <v>0.26638209257291623</v>
      </c>
      <c r="N1479" s="10">
        <v>0.26600000000000001</v>
      </c>
      <c r="O1479" s="4">
        <v>1.3533456666186439</v>
      </c>
      <c r="P1479" s="4">
        <v>1.35</v>
      </c>
      <c r="Q1479" s="3" t="s">
        <v>1597</v>
      </c>
      <c r="R1479" s="3" t="s">
        <v>1602</v>
      </c>
      <c r="S1479" s="3" t="s">
        <v>1603</v>
      </c>
      <c r="T1479" s="3"/>
    </row>
    <row r="1480" spans="1:20">
      <c r="A1480" s="3" t="s">
        <v>1600</v>
      </c>
      <c r="B1480" s="3" t="s">
        <v>1609</v>
      </c>
      <c r="C1480" s="3" t="s">
        <v>1616</v>
      </c>
      <c r="D1480" s="3" t="s">
        <v>1488</v>
      </c>
      <c r="E1480" s="3" t="s">
        <v>1489</v>
      </c>
      <c r="F1480" s="2">
        <v>1</v>
      </c>
      <c r="G1480" s="4">
        <v>1.048647904768458</v>
      </c>
      <c r="H1480" s="2">
        <v>25</v>
      </c>
      <c r="I1480" s="2">
        <v>5</v>
      </c>
      <c r="J1480" s="2">
        <v>1</v>
      </c>
      <c r="K1480" s="4">
        <v>0.18528649202930159</v>
      </c>
      <c r="L1480" s="4">
        <v>0.26092368760650425</v>
      </c>
      <c r="M1480" s="4">
        <v>0.26092368760650425</v>
      </c>
      <c r="N1480" s="10">
        <v>0.26100000000000001</v>
      </c>
      <c r="O1480" s="4">
        <v>1.3242614196373206</v>
      </c>
      <c r="P1480" s="4">
        <v>1.32</v>
      </c>
      <c r="Q1480" s="3" t="s">
        <v>1597</v>
      </c>
      <c r="R1480" s="3" t="s">
        <v>1610</v>
      </c>
      <c r="S1480" s="3" t="s">
        <v>1611</v>
      </c>
      <c r="T1480" s="3"/>
    </row>
    <row r="1481" spans="1:20">
      <c r="A1481" s="3" t="s">
        <v>1605</v>
      </c>
      <c r="B1481" s="3" t="s">
        <v>1601</v>
      </c>
      <c r="C1481" s="3" t="s">
        <v>1596</v>
      </c>
      <c r="D1481" s="3" t="s">
        <v>1488</v>
      </c>
      <c r="E1481" s="3" t="s">
        <v>1489</v>
      </c>
      <c r="F1481" s="2">
        <v>1</v>
      </c>
      <c r="G1481" s="4">
        <v>1.048647904768458</v>
      </c>
      <c r="H1481" s="2">
        <v>25</v>
      </c>
      <c r="I1481" s="2">
        <v>5</v>
      </c>
      <c r="J1481" s="2">
        <v>16</v>
      </c>
      <c r="K1481" s="4">
        <v>0.9244928799682135</v>
      </c>
      <c r="L1481" s="4">
        <v>0.25677505850853027</v>
      </c>
      <c r="M1481" s="4">
        <v>0.25677505850853027</v>
      </c>
      <c r="N1481" s="10">
        <v>0.25700000000000001</v>
      </c>
      <c r="O1481" s="4">
        <v>1.3022156042012261</v>
      </c>
      <c r="P1481" s="4">
        <v>1.3</v>
      </c>
      <c r="Q1481" s="3" t="s">
        <v>1597</v>
      </c>
      <c r="R1481" s="3" t="s">
        <v>1602</v>
      </c>
      <c r="S1481" s="3" t="s">
        <v>1603</v>
      </c>
      <c r="T1481" s="3"/>
    </row>
    <row r="1482" spans="1:20">
      <c r="A1482" s="3" t="s">
        <v>1600</v>
      </c>
      <c r="B1482" s="3" t="s">
        <v>1601</v>
      </c>
      <c r="C1482" s="3" t="s">
        <v>1596</v>
      </c>
      <c r="D1482" s="3" t="s">
        <v>1488</v>
      </c>
      <c r="E1482" s="3" t="s">
        <v>1489</v>
      </c>
      <c r="F1482" s="2">
        <v>1</v>
      </c>
      <c r="G1482" s="4">
        <v>1.048647904768458</v>
      </c>
      <c r="H1482" s="2">
        <v>25</v>
      </c>
      <c r="I1482" s="2">
        <v>5</v>
      </c>
      <c r="J1482" s="2">
        <v>1</v>
      </c>
      <c r="K1482" s="4">
        <v>7.7961992294202087E-2</v>
      </c>
      <c r="L1482" s="4">
        <v>0.23899386081774152</v>
      </c>
      <c r="M1482" s="4">
        <v>0.23899386081774152</v>
      </c>
      <c r="N1482" s="10">
        <v>0.23899999999999999</v>
      </c>
      <c r="O1482" s="4">
        <v>1.2082825584865409</v>
      </c>
      <c r="P1482" s="4">
        <v>1.21</v>
      </c>
      <c r="Q1482" s="3" t="s">
        <v>1597</v>
      </c>
      <c r="R1482" s="3" t="s">
        <v>1602</v>
      </c>
      <c r="S1482" s="3" t="s">
        <v>1603</v>
      </c>
      <c r="T1482" s="3"/>
    </row>
    <row r="1483" spans="1:20">
      <c r="A1483" s="3" t="s">
        <v>1600</v>
      </c>
      <c r="B1483" s="3" t="s">
        <v>1601</v>
      </c>
      <c r="C1483" s="3" t="s">
        <v>1596</v>
      </c>
      <c r="D1483" s="3" t="s">
        <v>1488</v>
      </c>
      <c r="E1483" s="3" t="s">
        <v>1489</v>
      </c>
      <c r="F1483" s="2">
        <v>1</v>
      </c>
      <c r="G1483" s="4">
        <v>1.048647904768458</v>
      </c>
      <c r="H1483" s="2">
        <v>25</v>
      </c>
      <c r="I1483" s="2">
        <v>5</v>
      </c>
      <c r="J1483" s="2">
        <v>16</v>
      </c>
      <c r="K1483" s="4">
        <v>0.65429523060180506</v>
      </c>
      <c r="L1483" s="4">
        <v>0.23719272910036637</v>
      </c>
      <c r="M1483" s="4">
        <v>0.23719272910036637</v>
      </c>
      <c r="N1483" s="10">
        <v>0.23699999999999999</v>
      </c>
      <c r="O1483" s="4">
        <v>1.1988160155658425</v>
      </c>
      <c r="P1483" s="4">
        <v>1.2</v>
      </c>
      <c r="Q1483" s="3" t="s">
        <v>1597</v>
      </c>
      <c r="R1483" s="3" t="s">
        <v>1602</v>
      </c>
      <c r="S1483" s="3" t="s">
        <v>1603</v>
      </c>
      <c r="T1483" s="3"/>
    </row>
    <row r="1484" spans="1:20">
      <c r="A1484" s="3" t="s">
        <v>1594</v>
      </c>
      <c r="B1484" s="3" t="s">
        <v>1595</v>
      </c>
      <c r="C1484" s="3" t="s">
        <v>1596</v>
      </c>
      <c r="D1484" s="3" t="s">
        <v>1488</v>
      </c>
      <c r="E1484" s="3" t="s">
        <v>1489</v>
      </c>
      <c r="F1484" s="2">
        <v>1</v>
      </c>
      <c r="G1484" s="4">
        <v>1.048647904768458</v>
      </c>
      <c r="H1484" s="2">
        <v>50</v>
      </c>
      <c r="I1484" s="2">
        <v>5</v>
      </c>
      <c r="J1484" s="2">
        <v>16</v>
      </c>
      <c r="K1484" s="4">
        <v>0.13406921214254586</v>
      </c>
      <c r="L1484" s="4">
        <v>0.22562970348141004</v>
      </c>
      <c r="M1484" s="4">
        <v>0.22562970348141004</v>
      </c>
      <c r="N1484" s="10">
        <v>0.22600000000000001</v>
      </c>
      <c r="O1484" s="4">
        <v>1.2336847861076361</v>
      </c>
      <c r="P1484" s="4">
        <v>1.24</v>
      </c>
      <c r="Q1484" s="3" t="s">
        <v>1597</v>
      </c>
      <c r="R1484" s="3" t="s">
        <v>1598</v>
      </c>
      <c r="S1484" s="3" t="s">
        <v>1599</v>
      </c>
      <c r="T1484" s="3"/>
    </row>
    <row r="1485" spans="1:20">
      <c r="A1485" s="3" t="s">
        <v>1594</v>
      </c>
      <c r="B1485" s="3" t="s">
        <v>1595</v>
      </c>
      <c r="C1485" s="3" t="s">
        <v>1596</v>
      </c>
      <c r="D1485" s="3" t="s">
        <v>1488</v>
      </c>
      <c r="E1485" s="3" t="s">
        <v>1489</v>
      </c>
      <c r="F1485" s="2">
        <v>1</v>
      </c>
      <c r="G1485" s="4">
        <v>1.048647904768458</v>
      </c>
      <c r="H1485" s="2">
        <v>25</v>
      </c>
      <c r="I1485" s="2">
        <v>5</v>
      </c>
      <c r="J1485" s="2">
        <v>16</v>
      </c>
      <c r="K1485" s="4">
        <v>2.6495513247665969E-2</v>
      </c>
      <c r="L1485" s="4">
        <v>0.16672449086438834</v>
      </c>
      <c r="M1485" s="4">
        <v>0.16672449086438834</v>
      </c>
      <c r="N1485" s="10">
        <v>0.16700000000000001</v>
      </c>
      <c r="O1485" s="4">
        <v>0.83439884907576756</v>
      </c>
      <c r="P1485" s="4">
        <v>0.84</v>
      </c>
      <c r="Q1485" s="3" t="s">
        <v>1597</v>
      </c>
      <c r="R1485" s="3" t="s">
        <v>1598</v>
      </c>
      <c r="S1485" s="3" t="s">
        <v>1599</v>
      </c>
      <c r="T1485" s="3"/>
    </row>
    <row r="1486" spans="1:20">
      <c r="A1486" s="3" t="s">
        <v>1600</v>
      </c>
      <c r="B1486" s="3" t="s">
        <v>1609</v>
      </c>
      <c r="C1486" s="3" t="s">
        <v>1596</v>
      </c>
      <c r="D1486" s="3" t="s">
        <v>1488</v>
      </c>
      <c r="E1486" s="3" t="s">
        <v>1489</v>
      </c>
      <c r="F1486" s="2">
        <v>1</v>
      </c>
      <c r="G1486" s="4">
        <v>1.048647904768458</v>
      </c>
      <c r="H1486" s="2">
        <v>25</v>
      </c>
      <c r="I1486" s="2">
        <v>5</v>
      </c>
      <c r="J1486" s="2">
        <v>1</v>
      </c>
      <c r="K1486" s="4">
        <v>0.438674356563308</v>
      </c>
      <c r="L1486" s="4">
        <v>-0.22543579614284495</v>
      </c>
      <c r="M1486" s="4">
        <v>0.22543579614284495</v>
      </c>
      <c r="N1486" s="10">
        <v>0.22500000000000001</v>
      </c>
      <c r="O1486" s="4">
        <v>1.1372297690156046</v>
      </c>
      <c r="P1486" s="4">
        <v>-1.1299999999999999</v>
      </c>
      <c r="Q1486" s="3" t="s">
        <v>1617</v>
      </c>
      <c r="R1486" s="3" t="s">
        <v>1623</v>
      </c>
      <c r="S1486" s="3" t="s">
        <v>1624</v>
      </c>
      <c r="T1486" s="3"/>
    </row>
    <row r="1487" spans="1:20">
      <c r="A1487" s="3" t="s">
        <v>1600</v>
      </c>
      <c r="B1487" s="3" t="s">
        <v>1609</v>
      </c>
      <c r="C1487" s="3" t="s">
        <v>1596</v>
      </c>
      <c r="D1487" s="3" t="s">
        <v>1488</v>
      </c>
      <c r="E1487" s="3" t="s">
        <v>1489</v>
      </c>
      <c r="F1487" s="2">
        <v>1</v>
      </c>
      <c r="G1487" s="4">
        <v>1.048647904768458</v>
      </c>
      <c r="H1487" s="2">
        <v>25</v>
      </c>
      <c r="I1487" s="2">
        <v>5</v>
      </c>
      <c r="J1487" s="2">
        <v>16</v>
      </c>
      <c r="K1487" s="4">
        <v>1</v>
      </c>
      <c r="L1487" s="4">
        <v>-0.23131915466974418</v>
      </c>
      <c r="M1487" s="4">
        <v>0.23131915466974418</v>
      </c>
      <c r="N1487" s="10">
        <v>0.23100000000000001</v>
      </c>
      <c r="O1487" s="4">
        <v>1.1680042780662603</v>
      </c>
      <c r="P1487" s="4">
        <v>-1.17</v>
      </c>
      <c r="Q1487" s="3" t="s">
        <v>1617</v>
      </c>
      <c r="R1487" s="3" t="s">
        <v>1623</v>
      </c>
      <c r="S1487" s="3" t="s">
        <v>1624</v>
      </c>
      <c r="T1487" s="3"/>
    </row>
    <row r="1488" spans="1:20">
      <c r="A1488" s="3" t="s">
        <v>1594</v>
      </c>
      <c r="B1488" s="3" t="s">
        <v>1612</v>
      </c>
      <c r="C1488" s="3" t="s">
        <v>1596</v>
      </c>
      <c r="D1488" s="3" t="s">
        <v>139</v>
      </c>
      <c r="E1488" s="3" t="s">
        <v>140</v>
      </c>
      <c r="F1488" s="2">
        <v>1</v>
      </c>
      <c r="G1488" s="4">
        <v>1.0501177148083536</v>
      </c>
      <c r="H1488" s="2">
        <v>50</v>
      </c>
      <c r="I1488" s="2">
        <v>5</v>
      </c>
      <c r="J1488" s="2">
        <v>16</v>
      </c>
      <c r="K1488" s="4">
        <v>1</v>
      </c>
      <c r="L1488" s="14">
        <v>0.53795949987493952</v>
      </c>
      <c r="M1488" s="4">
        <v>0.53795949987493952</v>
      </c>
      <c r="N1488" s="10">
        <v>0.53800000000000003</v>
      </c>
      <c r="O1488" s="4">
        <v>3.2310731267848483</v>
      </c>
      <c r="P1488" s="4">
        <v>3.23</v>
      </c>
      <c r="Q1488" s="3" t="s">
        <v>1597</v>
      </c>
      <c r="R1488" s="3" t="s">
        <v>1613</v>
      </c>
      <c r="S1488" s="3" t="s">
        <v>1614</v>
      </c>
      <c r="T1488" s="3"/>
    </row>
    <row r="1489" spans="1:20">
      <c r="A1489" s="3" t="s">
        <v>1600</v>
      </c>
      <c r="B1489" s="3" t="s">
        <v>1609</v>
      </c>
      <c r="C1489" s="3" t="s">
        <v>1616</v>
      </c>
      <c r="D1489" s="3" t="s">
        <v>139</v>
      </c>
      <c r="E1489" s="3" t="s">
        <v>140</v>
      </c>
      <c r="F1489" s="2">
        <v>1</v>
      </c>
      <c r="G1489" s="4">
        <v>1.0501177148083536</v>
      </c>
      <c r="H1489" s="2">
        <v>25</v>
      </c>
      <c r="I1489" s="2">
        <v>5</v>
      </c>
      <c r="J1489" s="2">
        <v>1</v>
      </c>
      <c r="K1489" s="4">
        <v>0.1205941002396701</v>
      </c>
      <c r="L1489" s="4">
        <v>0.29983993455101643</v>
      </c>
      <c r="M1489" s="4">
        <v>0.29983993455101643</v>
      </c>
      <c r="N1489" s="10">
        <v>0.3</v>
      </c>
      <c r="O1489" s="4">
        <v>1.533706461066501</v>
      </c>
      <c r="P1489" s="4">
        <v>1.53</v>
      </c>
      <c r="Q1489" s="3" t="s">
        <v>1597</v>
      </c>
      <c r="R1489" s="3" t="s">
        <v>1610</v>
      </c>
      <c r="S1489" s="3" t="s">
        <v>1611</v>
      </c>
      <c r="T1489" s="3"/>
    </row>
    <row r="1490" spans="1:20">
      <c r="A1490" s="3" t="s">
        <v>1600</v>
      </c>
      <c r="B1490" s="3" t="s">
        <v>1606</v>
      </c>
      <c r="C1490" s="3" t="s">
        <v>1616</v>
      </c>
      <c r="D1490" s="3" t="s">
        <v>139</v>
      </c>
      <c r="E1490" s="3" t="s">
        <v>140</v>
      </c>
      <c r="F1490" s="2">
        <v>1</v>
      </c>
      <c r="G1490" s="4">
        <v>1.0501177148083536</v>
      </c>
      <c r="H1490" s="2">
        <v>25</v>
      </c>
      <c r="I1490" s="2">
        <v>5</v>
      </c>
      <c r="J1490" s="2">
        <v>16</v>
      </c>
      <c r="K1490" s="11">
        <v>1</v>
      </c>
      <c r="L1490" s="11">
        <v>0.24193552746447849</v>
      </c>
      <c r="M1490" s="4">
        <v>0.24193552746447849</v>
      </c>
      <c r="N1490" s="10">
        <v>0.24199999999999999</v>
      </c>
      <c r="O1490" s="4">
        <v>1.2237622550472211</v>
      </c>
      <c r="P1490" s="4">
        <v>1.22</v>
      </c>
      <c r="Q1490" s="3" t="s">
        <v>1597</v>
      </c>
      <c r="R1490" s="3" t="s">
        <v>1607</v>
      </c>
      <c r="S1490" s="3" t="s">
        <v>1608</v>
      </c>
      <c r="T1490" s="3"/>
    </row>
    <row r="1491" spans="1:20">
      <c r="A1491" s="3" t="s">
        <v>1600</v>
      </c>
      <c r="B1491" s="3" t="s">
        <v>1606</v>
      </c>
      <c r="C1491" s="3" t="s">
        <v>1616</v>
      </c>
      <c r="D1491" s="3" t="s">
        <v>139</v>
      </c>
      <c r="E1491" s="3" t="s">
        <v>140</v>
      </c>
      <c r="F1491" s="2">
        <v>1</v>
      </c>
      <c r="G1491" s="4">
        <v>1.0501177148083536</v>
      </c>
      <c r="H1491" s="2">
        <v>25</v>
      </c>
      <c r="I1491" s="2">
        <v>5</v>
      </c>
      <c r="J1491" s="2">
        <v>1</v>
      </c>
      <c r="K1491" s="4">
        <v>1</v>
      </c>
      <c r="L1491" s="4">
        <v>0.22800605119145523</v>
      </c>
      <c r="M1491" s="4">
        <v>0.22800605119145523</v>
      </c>
      <c r="N1491" s="10">
        <v>0.22800000000000001</v>
      </c>
      <c r="O1491" s="4">
        <v>1.1506634627407843</v>
      </c>
      <c r="P1491" s="4">
        <v>1.1499999999999999</v>
      </c>
      <c r="Q1491" s="3" t="s">
        <v>1597</v>
      </c>
      <c r="R1491" s="3" t="s">
        <v>1607</v>
      </c>
      <c r="S1491" s="3" t="s">
        <v>1608</v>
      </c>
      <c r="T1491" s="3"/>
    </row>
    <row r="1492" spans="1:20">
      <c r="A1492" s="3" t="s">
        <v>1600</v>
      </c>
      <c r="B1492" s="3" t="s">
        <v>1609</v>
      </c>
      <c r="C1492" s="3" t="s">
        <v>1596</v>
      </c>
      <c r="D1492" s="3" t="s">
        <v>139</v>
      </c>
      <c r="E1492" s="3" t="s">
        <v>140</v>
      </c>
      <c r="F1492" s="2">
        <v>1</v>
      </c>
      <c r="G1492" s="4">
        <v>1.0501177148083536</v>
      </c>
      <c r="H1492" s="2">
        <v>25</v>
      </c>
      <c r="I1492" s="2">
        <v>5</v>
      </c>
      <c r="J1492" s="2">
        <v>16</v>
      </c>
      <c r="K1492" s="4">
        <v>1</v>
      </c>
      <c r="L1492" s="4">
        <v>0.18769832202784714</v>
      </c>
      <c r="M1492" s="4">
        <v>0.18769832202784714</v>
      </c>
      <c r="N1492" s="10">
        <v>0.188</v>
      </c>
      <c r="O1492" s="4">
        <v>0.94176182981085954</v>
      </c>
      <c r="P1492" s="4">
        <v>0.94</v>
      </c>
      <c r="Q1492" s="3" t="s">
        <v>1597</v>
      </c>
      <c r="R1492" s="3" t="s">
        <v>1610</v>
      </c>
      <c r="S1492" s="3" t="s">
        <v>1611</v>
      </c>
      <c r="T1492" s="3"/>
    </row>
    <row r="1493" spans="1:20">
      <c r="A1493" s="3" t="s">
        <v>1600</v>
      </c>
      <c r="B1493" s="3" t="s">
        <v>1609</v>
      </c>
      <c r="C1493" s="3" t="s">
        <v>1616</v>
      </c>
      <c r="D1493" s="3" t="s">
        <v>139</v>
      </c>
      <c r="E1493" s="3" t="s">
        <v>140</v>
      </c>
      <c r="F1493" s="2">
        <v>1</v>
      </c>
      <c r="G1493" s="4">
        <v>1.0501177148083536</v>
      </c>
      <c r="H1493" s="2">
        <v>25</v>
      </c>
      <c r="I1493" s="2">
        <v>5</v>
      </c>
      <c r="J1493" s="2">
        <v>16</v>
      </c>
      <c r="K1493" s="11">
        <v>0.96165717799914674</v>
      </c>
      <c r="L1493" s="11">
        <v>0.14533979963825569</v>
      </c>
      <c r="M1493" s="4">
        <v>0.14533979963825569</v>
      </c>
      <c r="N1493" s="10">
        <v>0.14499999999999999</v>
      </c>
      <c r="O1493" s="4">
        <v>0.72572456878436953</v>
      </c>
      <c r="P1493" s="4">
        <v>0.72</v>
      </c>
      <c r="Q1493" s="3" t="s">
        <v>1597</v>
      </c>
      <c r="R1493" s="3" t="s">
        <v>1610</v>
      </c>
      <c r="S1493" s="3" t="s">
        <v>1611</v>
      </c>
      <c r="T1493" s="3"/>
    </row>
    <row r="1494" spans="1:20">
      <c r="A1494" s="3" t="s">
        <v>1600</v>
      </c>
      <c r="B1494" s="3" t="s">
        <v>1609</v>
      </c>
      <c r="C1494" s="3" t="s">
        <v>1596</v>
      </c>
      <c r="D1494" s="3" t="s">
        <v>139</v>
      </c>
      <c r="E1494" s="3" t="s">
        <v>140</v>
      </c>
      <c r="F1494" s="2">
        <v>1</v>
      </c>
      <c r="G1494" s="4">
        <v>1.0501177148083536</v>
      </c>
      <c r="H1494" s="2">
        <v>25</v>
      </c>
      <c r="I1494" s="2">
        <v>5</v>
      </c>
      <c r="J1494" s="2">
        <v>1</v>
      </c>
      <c r="K1494" s="11">
        <v>0.20522242627445408</v>
      </c>
      <c r="L1494" s="11">
        <v>0.13600330578808079</v>
      </c>
      <c r="M1494" s="4">
        <v>0.13600330578808079</v>
      </c>
      <c r="N1494" s="10">
        <v>0.13600000000000001</v>
      </c>
      <c r="O1494" s="4">
        <v>0.67849995213734271</v>
      </c>
      <c r="P1494" s="4">
        <v>0.68</v>
      </c>
      <c r="Q1494" s="3" t="s">
        <v>1597</v>
      </c>
      <c r="R1494" s="3" t="s">
        <v>1610</v>
      </c>
      <c r="S1494" s="3" t="s">
        <v>1611</v>
      </c>
      <c r="T1494" s="3"/>
    </row>
    <row r="1495" spans="1:20">
      <c r="A1495" s="3" t="s">
        <v>1600</v>
      </c>
      <c r="B1495" s="3" t="s">
        <v>1601</v>
      </c>
      <c r="C1495" s="3" t="s">
        <v>1616</v>
      </c>
      <c r="D1495" s="3" t="s">
        <v>139</v>
      </c>
      <c r="E1495" s="3" t="s">
        <v>140</v>
      </c>
      <c r="F1495" s="2">
        <v>1</v>
      </c>
      <c r="G1495" s="4">
        <v>1.0501177148083536</v>
      </c>
      <c r="H1495" s="2">
        <v>25</v>
      </c>
      <c r="I1495" s="2">
        <v>5</v>
      </c>
      <c r="J1495" s="2">
        <v>16</v>
      </c>
      <c r="K1495" s="4">
        <v>0.60409916111012307</v>
      </c>
      <c r="L1495" s="4">
        <v>1.4103083088249399E-4</v>
      </c>
      <c r="M1495" s="4">
        <v>1.4103083088249399E-4</v>
      </c>
      <c r="N1495" s="10">
        <v>0</v>
      </c>
      <c r="O1495" s="4">
        <v>6.9922188753883331E-4</v>
      </c>
      <c r="P1495" s="4">
        <v>0</v>
      </c>
      <c r="Q1495" s="3" t="s">
        <v>1597</v>
      </c>
      <c r="R1495" s="3" t="s">
        <v>1602</v>
      </c>
      <c r="S1495" s="3" t="s">
        <v>1603</v>
      </c>
      <c r="T1495" s="3"/>
    </row>
    <row r="1496" spans="1:20">
      <c r="A1496" s="3" t="s">
        <v>1600</v>
      </c>
      <c r="B1496" s="3" t="s">
        <v>1601</v>
      </c>
      <c r="C1496" s="3" t="s">
        <v>1616</v>
      </c>
      <c r="D1496" s="3" t="s">
        <v>139</v>
      </c>
      <c r="E1496" s="3" t="s">
        <v>140</v>
      </c>
      <c r="F1496" s="2">
        <v>1</v>
      </c>
      <c r="G1496" s="4">
        <v>1.0501177148083536</v>
      </c>
      <c r="H1496" s="2">
        <v>25</v>
      </c>
      <c r="I1496" s="2">
        <v>5</v>
      </c>
      <c r="J1496" s="2">
        <v>1</v>
      </c>
      <c r="K1496" s="4">
        <v>0.1155660298567579</v>
      </c>
      <c r="L1496" s="4">
        <v>-3.2216522951219607E-2</v>
      </c>
      <c r="M1496" s="4">
        <v>3.2216522951219607E-2</v>
      </c>
      <c r="N1496" s="10">
        <v>3.2000000000000001E-2</v>
      </c>
      <c r="O1496" s="4">
        <v>0.15978276526123733</v>
      </c>
      <c r="P1496" s="4">
        <v>-0.16</v>
      </c>
      <c r="Q1496" s="3" t="s">
        <v>1617</v>
      </c>
      <c r="R1496" s="3" t="s">
        <v>1618</v>
      </c>
      <c r="S1496" s="3" t="s">
        <v>1619</v>
      </c>
      <c r="T1496" s="3"/>
    </row>
    <row r="1497" spans="1:20">
      <c r="A1497" s="3" t="s">
        <v>1600</v>
      </c>
      <c r="B1497" s="3" t="s">
        <v>1606</v>
      </c>
      <c r="C1497" s="3" t="s">
        <v>1596</v>
      </c>
      <c r="D1497" s="3" t="s">
        <v>139</v>
      </c>
      <c r="E1497" s="3" t="s">
        <v>140</v>
      </c>
      <c r="F1497" s="2">
        <v>1</v>
      </c>
      <c r="G1497" s="4">
        <v>1.0501177148083536</v>
      </c>
      <c r="H1497" s="2">
        <v>25</v>
      </c>
      <c r="I1497" s="2">
        <v>5</v>
      </c>
      <c r="J1497" s="2">
        <v>1</v>
      </c>
      <c r="K1497" s="11">
        <v>0.85200970659305331</v>
      </c>
      <c r="L1497" s="11">
        <v>-6.5124759290367498E-2</v>
      </c>
      <c r="M1497" s="4">
        <v>6.5124759290367498E-2</v>
      </c>
      <c r="N1497" s="10">
        <v>6.5000000000000002E-2</v>
      </c>
      <c r="O1497" s="4">
        <v>0.32334205265864241</v>
      </c>
      <c r="P1497" s="4">
        <v>-0.32</v>
      </c>
      <c r="Q1497" s="3" t="s">
        <v>1617</v>
      </c>
      <c r="R1497" s="3" t="s">
        <v>1621</v>
      </c>
      <c r="S1497" s="3" t="s">
        <v>1622</v>
      </c>
      <c r="T1497" s="3"/>
    </row>
    <row r="1498" spans="1:20">
      <c r="A1498" s="3" t="s">
        <v>1604</v>
      </c>
      <c r="B1498" s="3" t="s">
        <v>1601</v>
      </c>
      <c r="C1498" s="3" t="s">
        <v>1616</v>
      </c>
      <c r="D1498" s="3" t="s">
        <v>139</v>
      </c>
      <c r="E1498" s="3" t="s">
        <v>140</v>
      </c>
      <c r="F1498" s="2">
        <v>1</v>
      </c>
      <c r="G1498" s="4">
        <v>1.0501177148083536</v>
      </c>
      <c r="H1498" s="2">
        <v>25</v>
      </c>
      <c r="I1498" s="2">
        <v>30</v>
      </c>
      <c r="J1498" s="2">
        <v>16</v>
      </c>
      <c r="K1498" s="4">
        <v>1</v>
      </c>
      <c r="L1498" s="4">
        <v>-6.919692337831472E-2</v>
      </c>
      <c r="M1498" s="4">
        <v>6.919692337831472E-2</v>
      </c>
      <c r="N1498" s="10">
        <v>6.9000000000000006E-2</v>
      </c>
      <c r="O1498" s="4">
        <v>0.34362309076395214</v>
      </c>
      <c r="P1498" s="4">
        <v>-0.34</v>
      </c>
      <c r="Q1498" s="3" t="s">
        <v>1617</v>
      </c>
      <c r="R1498" s="3" t="s">
        <v>1618</v>
      </c>
      <c r="S1498" s="3" t="s">
        <v>1619</v>
      </c>
      <c r="T1498" s="3"/>
    </row>
    <row r="1499" spans="1:20">
      <c r="A1499" s="3" t="s">
        <v>1600</v>
      </c>
      <c r="B1499" s="3" t="s">
        <v>1606</v>
      </c>
      <c r="C1499" s="3" t="s">
        <v>1596</v>
      </c>
      <c r="D1499" s="3" t="s">
        <v>139</v>
      </c>
      <c r="E1499" s="3" t="s">
        <v>140</v>
      </c>
      <c r="F1499" s="2">
        <v>1</v>
      </c>
      <c r="G1499" s="4">
        <v>1.0501177148083536</v>
      </c>
      <c r="H1499" s="2">
        <v>25</v>
      </c>
      <c r="I1499" s="2">
        <v>5</v>
      </c>
      <c r="J1499" s="2">
        <v>16</v>
      </c>
      <c r="K1499" s="11">
        <v>1</v>
      </c>
      <c r="L1499" s="11">
        <v>-7.2871939927962398E-2</v>
      </c>
      <c r="M1499" s="4">
        <v>7.2871939927962398E-2</v>
      </c>
      <c r="N1499" s="10">
        <v>7.2999999999999995E-2</v>
      </c>
      <c r="O1499" s="4">
        <v>0.36193601494101207</v>
      </c>
      <c r="P1499" s="4">
        <v>-0.36</v>
      </c>
      <c r="Q1499" s="3" t="s">
        <v>1617</v>
      </c>
      <c r="R1499" s="3" t="s">
        <v>1621</v>
      </c>
      <c r="S1499" s="3" t="s">
        <v>1622</v>
      </c>
      <c r="T1499" s="3"/>
    </row>
    <row r="1500" spans="1:20">
      <c r="A1500" s="3" t="s">
        <v>1604</v>
      </c>
      <c r="B1500" s="3" t="s">
        <v>1601</v>
      </c>
      <c r="C1500" s="3" t="s">
        <v>1596</v>
      </c>
      <c r="D1500" s="3" t="s">
        <v>139</v>
      </c>
      <c r="E1500" s="3" t="s">
        <v>140</v>
      </c>
      <c r="F1500" s="2">
        <v>1</v>
      </c>
      <c r="G1500" s="4">
        <v>1.0501177148083536</v>
      </c>
      <c r="H1500" s="2">
        <v>25</v>
      </c>
      <c r="I1500" s="2">
        <v>30</v>
      </c>
      <c r="J1500" s="2">
        <v>16</v>
      </c>
      <c r="K1500" s="4">
        <v>1</v>
      </c>
      <c r="L1500" s="4">
        <v>-9.5172661542450895E-2</v>
      </c>
      <c r="M1500" s="4">
        <v>9.5172661542450895E-2</v>
      </c>
      <c r="N1500" s="10">
        <v>9.5000000000000001E-2</v>
      </c>
      <c r="O1500" s="4">
        <v>0.47329246807834108</v>
      </c>
      <c r="P1500" s="4">
        <v>-0.47</v>
      </c>
      <c r="Q1500" s="3" t="s">
        <v>1617</v>
      </c>
      <c r="R1500" s="3" t="s">
        <v>1618</v>
      </c>
      <c r="S1500" s="3" t="s">
        <v>1619</v>
      </c>
      <c r="T1500" s="3"/>
    </row>
    <row r="1501" spans="1:20">
      <c r="A1501" s="3" t="s">
        <v>1600</v>
      </c>
      <c r="B1501" s="3" t="s">
        <v>1601</v>
      </c>
      <c r="C1501" s="3" t="s">
        <v>1596</v>
      </c>
      <c r="D1501" s="3" t="s">
        <v>139</v>
      </c>
      <c r="E1501" s="3" t="s">
        <v>140</v>
      </c>
      <c r="F1501" s="2">
        <v>1</v>
      </c>
      <c r="G1501" s="4">
        <v>1.0501177148083536</v>
      </c>
      <c r="H1501" s="2">
        <v>25</v>
      </c>
      <c r="I1501" s="2">
        <v>5</v>
      </c>
      <c r="J1501" s="2">
        <v>1</v>
      </c>
      <c r="K1501" s="4">
        <v>6.5025282793148675E-2</v>
      </c>
      <c r="L1501" s="4">
        <v>-0.1530895874300868</v>
      </c>
      <c r="M1501" s="4">
        <v>0.1530895874300868</v>
      </c>
      <c r="N1501" s="10">
        <v>0.153</v>
      </c>
      <c r="O1501" s="4">
        <v>0.76502271211827344</v>
      </c>
      <c r="P1501" s="4">
        <v>-0.76</v>
      </c>
      <c r="Q1501" s="3" t="s">
        <v>1617</v>
      </c>
      <c r="R1501" s="3" t="s">
        <v>1618</v>
      </c>
      <c r="S1501" s="3" t="s">
        <v>1619</v>
      </c>
      <c r="T1501" s="3"/>
    </row>
    <row r="1502" spans="1:20">
      <c r="A1502" s="3" t="s">
        <v>1600</v>
      </c>
      <c r="B1502" s="3" t="s">
        <v>1601</v>
      </c>
      <c r="C1502" s="3" t="s">
        <v>1596</v>
      </c>
      <c r="D1502" s="3" t="s">
        <v>139</v>
      </c>
      <c r="E1502" s="3" t="s">
        <v>140</v>
      </c>
      <c r="F1502" s="2">
        <v>1</v>
      </c>
      <c r="G1502" s="4">
        <v>1.0501177148083536</v>
      </c>
      <c r="H1502" s="2">
        <v>25</v>
      </c>
      <c r="I1502" s="2">
        <v>5</v>
      </c>
      <c r="J1502" s="2">
        <v>16</v>
      </c>
      <c r="K1502" s="4">
        <v>0.97049337806198366</v>
      </c>
      <c r="L1502" s="4">
        <v>-0.19167515284022751</v>
      </c>
      <c r="M1502" s="4">
        <v>0.19167515284022751</v>
      </c>
      <c r="N1502" s="10">
        <v>0.192</v>
      </c>
      <c r="O1502" s="4">
        <v>0.96221464891079944</v>
      </c>
      <c r="P1502" s="4">
        <v>-0.96</v>
      </c>
      <c r="Q1502" s="3" t="s">
        <v>1617</v>
      </c>
      <c r="R1502" s="3" t="s">
        <v>1618</v>
      </c>
      <c r="S1502" s="3" t="s">
        <v>1619</v>
      </c>
      <c r="T1502" s="3"/>
    </row>
    <row r="1503" spans="1:20">
      <c r="A1503" s="12" t="s">
        <v>1605</v>
      </c>
      <c r="B1503" s="3" t="s">
        <v>1601</v>
      </c>
      <c r="C1503" s="3" t="s">
        <v>1596</v>
      </c>
      <c r="D1503" s="3" t="s">
        <v>139</v>
      </c>
      <c r="E1503" s="3" t="s">
        <v>140</v>
      </c>
      <c r="F1503" s="2">
        <v>1</v>
      </c>
      <c r="G1503" s="4">
        <v>1.0501177148083536</v>
      </c>
      <c r="H1503" s="2">
        <v>25</v>
      </c>
      <c r="I1503" s="2">
        <v>5</v>
      </c>
      <c r="J1503" s="2">
        <v>16</v>
      </c>
      <c r="K1503" s="11">
        <v>1</v>
      </c>
      <c r="L1503" s="11">
        <v>-0.22257448682296746</v>
      </c>
      <c r="M1503" s="4">
        <v>0.22257448682296746</v>
      </c>
      <c r="N1503" s="10">
        <v>0.223</v>
      </c>
      <c r="O1503" s="4">
        <v>1.1222941217464009</v>
      </c>
      <c r="P1503" s="4">
        <v>-1.1200000000000001</v>
      </c>
      <c r="Q1503" s="3" t="s">
        <v>1617</v>
      </c>
      <c r="R1503" s="3" t="s">
        <v>1618</v>
      </c>
      <c r="S1503" s="3" t="s">
        <v>1619</v>
      </c>
      <c r="T1503" s="3"/>
    </row>
    <row r="1504" spans="1:20">
      <c r="A1504" s="3" t="s">
        <v>1594</v>
      </c>
      <c r="B1504" s="3" t="s">
        <v>1595</v>
      </c>
      <c r="C1504" s="3" t="s">
        <v>1596</v>
      </c>
      <c r="D1504" s="3" t="s">
        <v>139</v>
      </c>
      <c r="E1504" s="3" t="s">
        <v>140</v>
      </c>
      <c r="F1504" s="2">
        <v>1</v>
      </c>
      <c r="G1504" s="4">
        <v>1.0501177148083536</v>
      </c>
      <c r="H1504" s="2">
        <v>50</v>
      </c>
      <c r="I1504" s="2">
        <v>5</v>
      </c>
      <c r="J1504" s="2">
        <v>16</v>
      </c>
      <c r="K1504" s="4">
        <v>1</v>
      </c>
      <c r="L1504" s="14">
        <v>-0.60764413879441548</v>
      </c>
      <c r="M1504" s="4">
        <v>0.60764413879441548</v>
      </c>
      <c r="N1504" s="10">
        <v>0.60799999999999998</v>
      </c>
      <c r="O1504" s="4">
        <v>3.7893874446731437</v>
      </c>
      <c r="P1504" s="4">
        <v>-3.79</v>
      </c>
      <c r="Q1504" s="3" t="s">
        <v>1617</v>
      </c>
      <c r="R1504" s="3" t="s">
        <v>1625</v>
      </c>
      <c r="S1504" s="3" t="s">
        <v>1626</v>
      </c>
      <c r="T1504" s="3"/>
    </row>
    <row r="1505" spans="1:20">
      <c r="A1505" s="12" t="s">
        <v>1605</v>
      </c>
      <c r="B1505" s="3" t="s">
        <v>1601</v>
      </c>
      <c r="C1505" s="3" t="s">
        <v>1596</v>
      </c>
      <c r="D1505" s="3" t="s">
        <v>314</v>
      </c>
      <c r="E1505" s="3" t="s">
        <v>315</v>
      </c>
      <c r="F1505" s="2">
        <v>1</v>
      </c>
      <c r="G1505" s="4">
        <v>1.0504973533453985</v>
      </c>
      <c r="H1505" s="2">
        <v>25</v>
      </c>
      <c r="I1505" s="2">
        <v>5</v>
      </c>
      <c r="J1505" s="2">
        <v>16</v>
      </c>
      <c r="K1505" s="11">
        <v>1</v>
      </c>
      <c r="L1505" s="11">
        <v>0.66672886644181295</v>
      </c>
      <c r="M1505" s="4">
        <v>0.66672886644181295</v>
      </c>
      <c r="N1505" s="10">
        <v>0.66700000000000004</v>
      </c>
      <c r="O1505" s="4">
        <v>3.9903004945467306</v>
      </c>
      <c r="P1505" s="4">
        <v>3.99</v>
      </c>
      <c r="Q1505" s="3" t="s">
        <v>1597</v>
      </c>
      <c r="R1505" s="3" t="s">
        <v>1602</v>
      </c>
      <c r="S1505" s="3" t="s">
        <v>1603</v>
      </c>
      <c r="T1505" s="3"/>
    </row>
    <row r="1506" spans="1:20">
      <c r="A1506" s="3" t="s">
        <v>1600</v>
      </c>
      <c r="B1506" s="3" t="s">
        <v>1601</v>
      </c>
      <c r="C1506" s="3" t="s">
        <v>1596</v>
      </c>
      <c r="D1506" s="3" t="s">
        <v>314</v>
      </c>
      <c r="E1506" s="3" t="s">
        <v>315</v>
      </c>
      <c r="F1506" s="2">
        <v>1</v>
      </c>
      <c r="G1506" s="4">
        <v>1.0504973533453985</v>
      </c>
      <c r="H1506" s="2">
        <v>25</v>
      </c>
      <c r="I1506" s="2">
        <v>5</v>
      </c>
      <c r="J1506" s="2">
        <v>1</v>
      </c>
      <c r="K1506" s="4">
        <v>1</v>
      </c>
      <c r="L1506" s="4">
        <v>0.65874834294924367</v>
      </c>
      <c r="M1506" s="4">
        <v>0.65874834294924367</v>
      </c>
      <c r="N1506" s="10">
        <v>0.65900000000000003</v>
      </c>
      <c r="O1506" s="4">
        <v>3.9197404731813257</v>
      </c>
      <c r="P1506" s="4">
        <v>3.92</v>
      </c>
      <c r="Q1506" s="3" t="s">
        <v>1597</v>
      </c>
      <c r="R1506" s="3" t="s">
        <v>1602</v>
      </c>
      <c r="S1506" s="3" t="s">
        <v>1603</v>
      </c>
      <c r="T1506" s="3"/>
    </row>
    <row r="1507" spans="1:20">
      <c r="A1507" s="3" t="s">
        <v>1600</v>
      </c>
      <c r="B1507" s="3" t="s">
        <v>1601</v>
      </c>
      <c r="C1507" s="3" t="s">
        <v>1596</v>
      </c>
      <c r="D1507" s="3" t="s">
        <v>314</v>
      </c>
      <c r="E1507" s="3" t="s">
        <v>315</v>
      </c>
      <c r="F1507" s="2">
        <v>1</v>
      </c>
      <c r="G1507" s="4">
        <v>1.0504973533453985</v>
      </c>
      <c r="H1507" s="2">
        <v>25</v>
      </c>
      <c r="I1507" s="2">
        <v>5</v>
      </c>
      <c r="J1507" s="2">
        <v>16</v>
      </c>
      <c r="K1507" s="4">
        <v>1</v>
      </c>
      <c r="L1507" s="4">
        <v>0.63760108407765881</v>
      </c>
      <c r="M1507" s="4">
        <v>0.63760108407765881</v>
      </c>
      <c r="N1507" s="10">
        <v>0.63800000000000001</v>
      </c>
      <c r="O1507" s="4">
        <v>3.7388841997062818</v>
      </c>
      <c r="P1507" s="4">
        <v>3.74</v>
      </c>
      <c r="Q1507" s="3" t="s">
        <v>1597</v>
      </c>
      <c r="R1507" s="3" t="s">
        <v>1602</v>
      </c>
      <c r="S1507" s="3" t="s">
        <v>1603</v>
      </c>
      <c r="T1507" s="3"/>
    </row>
    <row r="1508" spans="1:20">
      <c r="A1508" s="3" t="s">
        <v>1604</v>
      </c>
      <c r="B1508" s="3" t="s">
        <v>1601</v>
      </c>
      <c r="C1508" s="3" t="s">
        <v>1596</v>
      </c>
      <c r="D1508" s="3" t="s">
        <v>314</v>
      </c>
      <c r="E1508" s="3" t="s">
        <v>315</v>
      </c>
      <c r="F1508" s="2">
        <v>1</v>
      </c>
      <c r="G1508" s="4">
        <v>1.0504973533453985</v>
      </c>
      <c r="H1508" s="2">
        <v>25</v>
      </c>
      <c r="I1508" s="2">
        <v>30</v>
      </c>
      <c r="J1508" s="2">
        <v>16</v>
      </c>
      <c r="K1508" s="4">
        <v>1</v>
      </c>
      <c r="L1508" s="4">
        <v>0.63310736059541184</v>
      </c>
      <c r="M1508" s="4">
        <v>0.63310736059541184</v>
      </c>
      <c r="N1508" s="10">
        <v>0.63300000000000001</v>
      </c>
      <c r="O1508" s="4">
        <v>3.7015223120387182</v>
      </c>
      <c r="P1508" s="4">
        <v>3.7</v>
      </c>
      <c r="Q1508" s="3" t="s">
        <v>1597</v>
      </c>
      <c r="R1508" s="3" t="s">
        <v>1602</v>
      </c>
      <c r="S1508" s="3" t="s">
        <v>1603</v>
      </c>
      <c r="T1508" s="3"/>
    </row>
    <row r="1509" spans="1:20">
      <c r="A1509" s="3" t="s">
        <v>1600</v>
      </c>
      <c r="B1509" s="3" t="s">
        <v>1601</v>
      </c>
      <c r="C1509" s="3" t="s">
        <v>1616</v>
      </c>
      <c r="D1509" s="3" t="s">
        <v>314</v>
      </c>
      <c r="E1509" s="3" t="s">
        <v>315</v>
      </c>
      <c r="F1509" s="2">
        <v>1</v>
      </c>
      <c r="G1509" s="4">
        <v>1.0504973533453985</v>
      </c>
      <c r="H1509" s="2">
        <v>25</v>
      </c>
      <c r="I1509" s="2">
        <v>5</v>
      </c>
      <c r="J1509" s="2">
        <v>1</v>
      </c>
      <c r="K1509" s="4">
        <v>1</v>
      </c>
      <c r="L1509" s="4">
        <v>0.56846185388775872</v>
      </c>
      <c r="M1509" s="4">
        <v>0.56846185388775872</v>
      </c>
      <c r="N1509" s="10">
        <v>0.56799999999999995</v>
      </c>
      <c r="O1509" s="4">
        <v>3.1990955319933878</v>
      </c>
      <c r="P1509" s="4">
        <v>3.2</v>
      </c>
      <c r="Q1509" s="3" t="s">
        <v>1597</v>
      </c>
      <c r="R1509" s="3" t="s">
        <v>1602</v>
      </c>
      <c r="S1509" s="3" t="s">
        <v>1603</v>
      </c>
      <c r="T1509" s="3"/>
    </row>
    <row r="1510" spans="1:20">
      <c r="A1510" s="3" t="s">
        <v>1604</v>
      </c>
      <c r="B1510" s="3" t="s">
        <v>1601</v>
      </c>
      <c r="C1510" s="3" t="s">
        <v>1616</v>
      </c>
      <c r="D1510" s="3" t="s">
        <v>314</v>
      </c>
      <c r="E1510" s="3" t="s">
        <v>315</v>
      </c>
      <c r="F1510" s="2">
        <v>1</v>
      </c>
      <c r="G1510" s="4">
        <v>1.0504973533453985</v>
      </c>
      <c r="H1510" s="2">
        <v>25</v>
      </c>
      <c r="I1510" s="2">
        <v>30</v>
      </c>
      <c r="J1510" s="2">
        <v>16</v>
      </c>
      <c r="K1510" s="4">
        <v>1</v>
      </c>
      <c r="L1510" s="4">
        <v>0.5624338108103647</v>
      </c>
      <c r="M1510" s="4">
        <v>0.5624338108103647</v>
      </c>
      <c r="N1510" s="10">
        <v>0.56200000000000006</v>
      </c>
      <c r="O1510" s="4">
        <v>3.1551613705329151</v>
      </c>
      <c r="P1510" s="4">
        <v>3.15</v>
      </c>
      <c r="Q1510" s="3" t="s">
        <v>1597</v>
      </c>
      <c r="R1510" s="3" t="s">
        <v>1602</v>
      </c>
      <c r="S1510" s="3" t="s">
        <v>1603</v>
      </c>
      <c r="T1510" s="3"/>
    </row>
    <row r="1511" spans="1:20">
      <c r="A1511" s="3" t="s">
        <v>1600</v>
      </c>
      <c r="B1511" s="3" t="s">
        <v>1601</v>
      </c>
      <c r="C1511" s="3" t="s">
        <v>1616</v>
      </c>
      <c r="D1511" s="3" t="s">
        <v>314</v>
      </c>
      <c r="E1511" s="3" t="s">
        <v>315</v>
      </c>
      <c r="F1511" s="2">
        <v>1</v>
      </c>
      <c r="G1511" s="4">
        <v>1.0504973533453985</v>
      </c>
      <c r="H1511" s="2">
        <v>25</v>
      </c>
      <c r="I1511" s="2">
        <v>5</v>
      </c>
      <c r="J1511" s="2">
        <v>16</v>
      </c>
      <c r="K1511" s="4">
        <v>1</v>
      </c>
      <c r="L1511" s="4">
        <v>0.55092033653390582</v>
      </c>
      <c r="M1511" s="4">
        <v>0.55092033653390582</v>
      </c>
      <c r="N1511" s="10">
        <v>0.55100000000000005</v>
      </c>
      <c r="O1511" s="4">
        <v>3.0724418399327882</v>
      </c>
      <c r="P1511" s="4">
        <v>3.07</v>
      </c>
      <c r="Q1511" s="3" t="s">
        <v>1597</v>
      </c>
      <c r="R1511" s="3" t="s">
        <v>1602</v>
      </c>
      <c r="S1511" s="3" t="s">
        <v>1603</v>
      </c>
      <c r="T1511" s="3"/>
    </row>
    <row r="1512" spans="1:20">
      <c r="A1512" s="3" t="s">
        <v>1600</v>
      </c>
      <c r="B1512" s="3" t="s">
        <v>1606</v>
      </c>
      <c r="C1512" s="3" t="s">
        <v>1596</v>
      </c>
      <c r="D1512" s="3" t="s">
        <v>314</v>
      </c>
      <c r="E1512" s="3" t="s">
        <v>315</v>
      </c>
      <c r="F1512" s="2">
        <v>1</v>
      </c>
      <c r="G1512" s="4">
        <v>1.0504973533453985</v>
      </c>
      <c r="H1512" s="2">
        <v>25</v>
      </c>
      <c r="I1512" s="2">
        <v>5</v>
      </c>
      <c r="J1512" s="2">
        <v>16</v>
      </c>
      <c r="K1512" s="11">
        <v>1</v>
      </c>
      <c r="L1512" s="11">
        <v>0.5018057844601389</v>
      </c>
      <c r="M1512" s="4">
        <v>0.5018057844601389</v>
      </c>
      <c r="N1512" s="10">
        <v>0.502</v>
      </c>
      <c r="O1512" s="4">
        <v>2.7353765974079014</v>
      </c>
      <c r="P1512" s="4">
        <v>2.74</v>
      </c>
      <c r="Q1512" s="3" t="s">
        <v>1597</v>
      </c>
      <c r="R1512" s="3" t="s">
        <v>1607</v>
      </c>
      <c r="S1512" s="3" t="s">
        <v>1608</v>
      </c>
      <c r="T1512" s="3"/>
    </row>
    <row r="1513" spans="1:20">
      <c r="A1513" s="3" t="s">
        <v>1600</v>
      </c>
      <c r="B1513" s="3" t="s">
        <v>1606</v>
      </c>
      <c r="C1513" s="3" t="s">
        <v>1596</v>
      </c>
      <c r="D1513" s="3" t="s">
        <v>314</v>
      </c>
      <c r="E1513" s="3" t="s">
        <v>315</v>
      </c>
      <c r="F1513" s="2">
        <v>1</v>
      </c>
      <c r="G1513" s="4">
        <v>1.0504973533453985</v>
      </c>
      <c r="H1513" s="2">
        <v>25</v>
      </c>
      <c r="I1513" s="2">
        <v>5</v>
      </c>
      <c r="J1513" s="2">
        <v>1</v>
      </c>
      <c r="K1513" s="11">
        <v>1</v>
      </c>
      <c r="L1513" s="11">
        <v>0.48268431800577422</v>
      </c>
      <c r="M1513" s="4">
        <v>0.48268431800577422</v>
      </c>
      <c r="N1513" s="10">
        <v>0.48299999999999998</v>
      </c>
      <c r="O1513" s="4">
        <v>2.6102448120078061</v>
      </c>
      <c r="P1513" s="4">
        <v>2.61</v>
      </c>
      <c r="Q1513" s="3" t="s">
        <v>1597</v>
      </c>
      <c r="R1513" s="3" t="s">
        <v>1607</v>
      </c>
      <c r="S1513" s="3" t="s">
        <v>1608</v>
      </c>
      <c r="T1513" s="3"/>
    </row>
    <row r="1514" spans="1:20">
      <c r="A1514" s="3" t="s">
        <v>1600</v>
      </c>
      <c r="B1514" s="3" t="s">
        <v>1609</v>
      </c>
      <c r="C1514" s="3" t="s">
        <v>1596</v>
      </c>
      <c r="D1514" s="3" t="s">
        <v>314</v>
      </c>
      <c r="E1514" s="3" t="s">
        <v>315</v>
      </c>
      <c r="F1514" s="2">
        <v>1</v>
      </c>
      <c r="G1514" s="4">
        <v>1.0504973533453985</v>
      </c>
      <c r="H1514" s="2">
        <v>25</v>
      </c>
      <c r="I1514" s="2">
        <v>5</v>
      </c>
      <c r="J1514" s="2">
        <v>16</v>
      </c>
      <c r="K1514" s="4">
        <v>1</v>
      </c>
      <c r="L1514" s="4">
        <v>0.32341566950332035</v>
      </c>
      <c r="M1514" s="4">
        <v>0.32341566950332035</v>
      </c>
      <c r="N1514" s="10">
        <v>0.32300000000000001</v>
      </c>
      <c r="O1514" s="4">
        <v>1.6631749622279473</v>
      </c>
      <c r="P1514" s="4">
        <v>1.66</v>
      </c>
      <c r="Q1514" s="3" t="s">
        <v>1597</v>
      </c>
      <c r="R1514" s="3" t="s">
        <v>1610</v>
      </c>
      <c r="S1514" s="3" t="s">
        <v>1611</v>
      </c>
      <c r="T1514" s="3"/>
    </row>
    <row r="1515" spans="1:20">
      <c r="A1515" s="3" t="s">
        <v>1600</v>
      </c>
      <c r="B1515" s="3" t="s">
        <v>1609</v>
      </c>
      <c r="C1515" s="3" t="s">
        <v>1596</v>
      </c>
      <c r="D1515" s="3" t="s">
        <v>314</v>
      </c>
      <c r="E1515" s="3" t="s">
        <v>315</v>
      </c>
      <c r="F1515" s="2">
        <v>1</v>
      </c>
      <c r="G1515" s="4">
        <v>1.0504973533453985</v>
      </c>
      <c r="H1515" s="2">
        <v>25</v>
      </c>
      <c r="I1515" s="2">
        <v>5</v>
      </c>
      <c r="J1515" s="2">
        <v>1</v>
      </c>
      <c r="K1515" s="11">
        <v>1</v>
      </c>
      <c r="L1515" s="11">
        <v>0.29415016154687995</v>
      </c>
      <c r="M1515" s="4">
        <v>0.29415016154687995</v>
      </c>
      <c r="N1515" s="10">
        <v>0.29399999999999998</v>
      </c>
      <c r="O1515" s="4">
        <v>1.5027678389910906</v>
      </c>
      <c r="P1515" s="4">
        <v>1.5</v>
      </c>
      <c r="Q1515" s="3" t="s">
        <v>1597</v>
      </c>
      <c r="R1515" s="3" t="s">
        <v>1610</v>
      </c>
      <c r="S1515" s="3" t="s">
        <v>1611</v>
      </c>
      <c r="T1515" s="3"/>
    </row>
    <row r="1516" spans="1:20">
      <c r="A1516" s="3" t="s">
        <v>1600</v>
      </c>
      <c r="B1516" s="3" t="s">
        <v>1606</v>
      </c>
      <c r="C1516" s="3" t="s">
        <v>1616</v>
      </c>
      <c r="D1516" s="3" t="s">
        <v>314</v>
      </c>
      <c r="E1516" s="3" t="s">
        <v>315</v>
      </c>
      <c r="F1516" s="2">
        <v>1</v>
      </c>
      <c r="G1516" s="4">
        <v>1.0504973533453985</v>
      </c>
      <c r="H1516" s="2">
        <v>25</v>
      </c>
      <c r="I1516" s="2">
        <v>5</v>
      </c>
      <c r="J1516" s="2">
        <v>1</v>
      </c>
      <c r="K1516" s="4">
        <v>1</v>
      </c>
      <c r="L1516" s="4">
        <v>0.27794477409952112</v>
      </c>
      <c r="M1516" s="4">
        <v>0.27794477409952112</v>
      </c>
      <c r="N1516" s="10">
        <v>0.27800000000000002</v>
      </c>
      <c r="O1516" s="4">
        <v>1.4152597759804206</v>
      </c>
      <c r="P1516" s="4">
        <v>1.42</v>
      </c>
      <c r="Q1516" s="3" t="s">
        <v>1597</v>
      </c>
      <c r="R1516" s="3" t="s">
        <v>1607</v>
      </c>
      <c r="S1516" s="3" t="s">
        <v>1608</v>
      </c>
      <c r="T1516" s="3"/>
    </row>
    <row r="1517" spans="1:20">
      <c r="A1517" s="3" t="s">
        <v>1600</v>
      </c>
      <c r="B1517" s="3" t="s">
        <v>1606</v>
      </c>
      <c r="C1517" s="3" t="s">
        <v>1616</v>
      </c>
      <c r="D1517" s="3" t="s">
        <v>314</v>
      </c>
      <c r="E1517" s="3" t="s">
        <v>315</v>
      </c>
      <c r="F1517" s="2">
        <v>1</v>
      </c>
      <c r="G1517" s="4">
        <v>1.0504973533453985</v>
      </c>
      <c r="H1517" s="2">
        <v>25</v>
      </c>
      <c r="I1517" s="2">
        <v>5</v>
      </c>
      <c r="J1517" s="2">
        <v>16</v>
      </c>
      <c r="K1517" s="11">
        <v>1</v>
      </c>
      <c r="L1517" s="11">
        <v>0.27008403524031699</v>
      </c>
      <c r="M1517" s="4">
        <v>0.27008403524031699</v>
      </c>
      <c r="N1517" s="10">
        <v>0.27</v>
      </c>
      <c r="O1517" s="4">
        <v>1.373122624181359</v>
      </c>
      <c r="P1517" s="4">
        <v>1.37</v>
      </c>
      <c r="Q1517" s="3" t="s">
        <v>1597</v>
      </c>
      <c r="R1517" s="3" t="s">
        <v>1607</v>
      </c>
      <c r="S1517" s="3" t="s">
        <v>1608</v>
      </c>
      <c r="T1517" s="3"/>
    </row>
    <row r="1518" spans="1:20">
      <c r="A1518" s="3" t="s">
        <v>1600</v>
      </c>
      <c r="B1518" s="3" t="s">
        <v>1609</v>
      </c>
      <c r="C1518" s="3" t="s">
        <v>1616</v>
      </c>
      <c r="D1518" s="3" t="s">
        <v>314</v>
      </c>
      <c r="E1518" s="3" t="s">
        <v>315</v>
      </c>
      <c r="F1518" s="2">
        <v>1</v>
      </c>
      <c r="G1518" s="4">
        <v>1.0504973533453985</v>
      </c>
      <c r="H1518" s="2">
        <v>25</v>
      </c>
      <c r="I1518" s="2">
        <v>5</v>
      </c>
      <c r="J1518" s="2">
        <v>1</v>
      </c>
      <c r="K1518" s="4">
        <v>1</v>
      </c>
      <c r="L1518" s="4">
        <v>0.23159615520059901</v>
      </c>
      <c r="M1518" s="4">
        <v>0.23159615520059901</v>
      </c>
      <c r="N1518" s="10">
        <v>0.23200000000000001</v>
      </c>
      <c r="O1518" s="4">
        <v>1.1694553677949224</v>
      </c>
      <c r="P1518" s="4">
        <v>1.17</v>
      </c>
      <c r="Q1518" s="3" t="s">
        <v>1597</v>
      </c>
      <c r="R1518" s="3" t="s">
        <v>1610</v>
      </c>
      <c r="S1518" s="3" t="s">
        <v>1611</v>
      </c>
      <c r="T1518" s="3"/>
    </row>
    <row r="1519" spans="1:20">
      <c r="A1519" s="3" t="s">
        <v>1600</v>
      </c>
      <c r="B1519" s="3" t="s">
        <v>1609</v>
      </c>
      <c r="C1519" s="3" t="s">
        <v>1616</v>
      </c>
      <c r="D1519" s="3" t="s">
        <v>314</v>
      </c>
      <c r="E1519" s="3" t="s">
        <v>315</v>
      </c>
      <c r="F1519" s="2">
        <v>1</v>
      </c>
      <c r="G1519" s="4">
        <v>1.0504973533453985</v>
      </c>
      <c r="H1519" s="2">
        <v>25</v>
      </c>
      <c r="I1519" s="2">
        <v>5</v>
      </c>
      <c r="J1519" s="2">
        <v>16</v>
      </c>
      <c r="K1519" s="11">
        <v>1</v>
      </c>
      <c r="L1519" s="11">
        <v>0.1816243215125464</v>
      </c>
      <c r="M1519" s="4">
        <v>0.1816243215125464</v>
      </c>
      <c r="N1519" s="10">
        <v>0.182</v>
      </c>
      <c r="O1519" s="4">
        <v>0.91058405652424812</v>
      </c>
      <c r="P1519" s="4">
        <v>0.91</v>
      </c>
      <c r="Q1519" s="3" t="s">
        <v>1597</v>
      </c>
      <c r="R1519" s="3" t="s">
        <v>1610</v>
      </c>
      <c r="S1519" s="3" t="s">
        <v>1611</v>
      </c>
      <c r="T1519" s="3"/>
    </row>
    <row r="1520" spans="1:20">
      <c r="A1520" s="3" t="s">
        <v>1594</v>
      </c>
      <c r="B1520" s="3" t="s">
        <v>1612</v>
      </c>
      <c r="C1520" s="3" t="s">
        <v>1596</v>
      </c>
      <c r="D1520" s="3" t="s">
        <v>314</v>
      </c>
      <c r="E1520" s="3" t="s">
        <v>315</v>
      </c>
      <c r="F1520" s="2">
        <v>1</v>
      </c>
      <c r="G1520" s="4">
        <v>1.0504973533453985</v>
      </c>
      <c r="H1520" s="2">
        <v>50</v>
      </c>
      <c r="I1520" s="2">
        <v>5</v>
      </c>
      <c r="J1520" s="2">
        <v>16</v>
      </c>
      <c r="K1520" s="4">
        <v>0.75248961793266933</v>
      </c>
      <c r="L1520" s="14">
        <v>6.5026144432931823E-2</v>
      </c>
      <c r="M1520" s="4">
        <v>6.5026144432931823E-2</v>
      </c>
      <c r="N1520" s="10">
        <v>6.5000000000000002E-2</v>
      </c>
      <c r="O1520" s="4">
        <v>0.34992224010748002</v>
      </c>
      <c r="P1520" s="4">
        <v>0.35</v>
      </c>
      <c r="Q1520" s="3" t="s">
        <v>1597</v>
      </c>
      <c r="R1520" s="3" t="s">
        <v>1613</v>
      </c>
      <c r="S1520" s="3" t="s">
        <v>1614</v>
      </c>
      <c r="T1520" s="3"/>
    </row>
    <row r="1521" spans="1:20">
      <c r="A1521" s="3" t="s">
        <v>1594</v>
      </c>
      <c r="B1521" s="3" t="s">
        <v>1595</v>
      </c>
      <c r="C1521" s="3" t="s">
        <v>1596</v>
      </c>
      <c r="D1521" s="3" t="s">
        <v>314</v>
      </c>
      <c r="E1521" s="3" t="s">
        <v>315</v>
      </c>
      <c r="F1521" s="2">
        <v>1</v>
      </c>
      <c r="G1521" s="4">
        <v>1.0504973533453985</v>
      </c>
      <c r="H1521" s="2">
        <v>50</v>
      </c>
      <c r="I1521" s="2">
        <v>5</v>
      </c>
      <c r="J1521" s="2">
        <v>16</v>
      </c>
      <c r="K1521" s="4">
        <v>0.37262786550349314</v>
      </c>
      <c r="L1521" s="14">
        <v>-0.11395783858994633</v>
      </c>
      <c r="M1521" s="4">
        <v>0.11395783858994633</v>
      </c>
      <c r="N1521" s="10">
        <v>0.114</v>
      </c>
      <c r="O1521" s="4">
        <v>0.61504250973570307</v>
      </c>
      <c r="P1521" s="4">
        <v>-0.62</v>
      </c>
      <c r="Q1521" s="3" t="s">
        <v>1617</v>
      </c>
      <c r="R1521" s="3" t="s">
        <v>1625</v>
      </c>
      <c r="S1521" s="3" t="s">
        <v>1626</v>
      </c>
      <c r="T1521" s="3"/>
    </row>
    <row r="1522" spans="1:20">
      <c r="A1522" s="3" t="s">
        <v>1600</v>
      </c>
      <c r="B1522" s="3" t="s">
        <v>1606</v>
      </c>
      <c r="C1522" s="3" t="s">
        <v>1596</v>
      </c>
      <c r="D1522" s="3" t="s">
        <v>1267</v>
      </c>
      <c r="E1522" s="3" t="s">
        <v>1268</v>
      </c>
      <c r="F1522" s="2">
        <v>1</v>
      </c>
      <c r="G1522" s="4">
        <v>1.0507246376811594</v>
      </c>
      <c r="H1522" s="2">
        <v>25</v>
      </c>
      <c r="I1522" s="2">
        <v>5</v>
      </c>
      <c r="J1522" s="2">
        <v>16</v>
      </c>
      <c r="K1522" s="4">
        <v>1</v>
      </c>
      <c r="L1522" s="4">
        <v>0.98887370262687035</v>
      </c>
      <c r="M1522" s="4">
        <v>0.98887370262687035</v>
      </c>
      <c r="N1522" s="10">
        <v>0.98899999999999999</v>
      </c>
      <c r="O1522" s="4">
        <v>12.855959545646323</v>
      </c>
      <c r="P1522" s="4">
        <v>12.88</v>
      </c>
      <c r="Q1522" s="3" t="s">
        <v>1597</v>
      </c>
      <c r="R1522" s="3" t="s">
        <v>1607</v>
      </c>
      <c r="S1522" s="3" t="s">
        <v>1608</v>
      </c>
      <c r="T1522" s="3"/>
    </row>
    <row r="1523" spans="1:20">
      <c r="A1523" s="3" t="s">
        <v>1600</v>
      </c>
      <c r="B1523" s="3" t="s">
        <v>1606</v>
      </c>
      <c r="C1523" s="3" t="s">
        <v>1616</v>
      </c>
      <c r="D1523" s="3" t="s">
        <v>1267</v>
      </c>
      <c r="E1523" s="3" t="s">
        <v>1268</v>
      </c>
      <c r="F1523" s="2">
        <v>1</v>
      </c>
      <c r="G1523" s="4">
        <v>1.0507246376811594</v>
      </c>
      <c r="H1523" s="2">
        <v>25</v>
      </c>
      <c r="I1523" s="2">
        <v>5</v>
      </c>
      <c r="J1523" s="2">
        <v>1</v>
      </c>
      <c r="K1523" s="4">
        <v>0.99743980621682637</v>
      </c>
      <c r="L1523" s="4">
        <v>0.97333079340889606</v>
      </c>
      <c r="M1523" s="4">
        <v>0.97333079340889606</v>
      </c>
      <c r="N1523" s="10">
        <v>0.97299999999999998</v>
      </c>
      <c r="O1523" s="4">
        <v>10.669401094990034</v>
      </c>
      <c r="P1523" s="4">
        <v>10.64</v>
      </c>
      <c r="Q1523" s="3" t="s">
        <v>1597</v>
      </c>
      <c r="R1523" s="3" t="s">
        <v>1607</v>
      </c>
      <c r="S1523" s="3" t="s">
        <v>1608</v>
      </c>
      <c r="T1523" s="3"/>
    </row>
    <row r="1524" spans="1:20">
      <c r="A1524" s="3" t="s">
        <v>1600</v>
      </c>
      <c r="B1524" s="3" t="s">
        <v>1606</v>
      </c>
      <c r="C1524" s="3" t="s">
        <v>1616</v>
      </c>
      <c r="D1524" s="3" t="s">
        <v>1267</v>
      </c>
      <c r="E1524" s="3" t="s">
        <v>1268</v>
      </c>
      <c r="F1524" s="2">
        <v>1</v>
      </c>
      <c r="G1524" s="4">
        <v>1.0507246376811594</v>
      </c>
      <c r="H1524" s="2">
        <v>25</v>
      </c>
      <c r="I1524" s="2">
        <v>5</v>
      </c>
      <c r="J1524" s="2">
        <v>16</v>
      </c>
      <c r="K1524" s="4">
        <v>1</v>
      </c>
      <c r="L1524" s="4">
        <v>0.9697338928989333</v>
      </c>
      <c r="M1524" s="4">
        <v>0.9697338928989333</v>
      </c>
      <c r="N1524" s="10">
        <v>0.97</v>
      </c>
      <c r="O1524" s="4">
        <v>10.351242040882424</v>
      </c>
      <c r="P1524" s="4">
        <v>10.37</v>
      </c>
      <c r="Q1524" s="3" t="s">
        <v>1597</v>
      </c>
      <c r="R1524" s="3" t="s">
        <v>1607</v>
      </c>
      <c r="S1524" s="3" t="s">
        <v>1608</v>
      </c>
      <c r="T1524" s="3"/>
    </row>
    <row r="1525" spans="1:20">
      <c r="A1525" s="3" t="s">
        <v>1600</v>
      </c>
      <c r="B1525" s="3" t="s">
        <v>1601</v>
      </c>
      <c r="C1525" s="3" t="s">
        <v>1616</v>
      </c>
      <c r="D1525" s="3" t="s">
        <v>1267</v>
      </c>
      <c r="E1525" s="3" t="s">
        <v>1268</v>
      </c>
      <c r="F1525" s="2">
        <v>1</v>
      </c>
      <c r="G1525" s="4">
        <v>1.0507246376811594</v>
      </c>
      <c r="H1525" s="2">
        <v>25</v>
      </c>
      <c r="I1525" s="2">
        <v>5</v>
      </c>
      <c r="J1525" s="2">
        <v>1</v>
      </c>
      <c r="K1525" s="4">
        <v>1</v>
      </c>
      <c r="L1525" s="4">
        <v>0.96029529909890343</v>
      </c>
      <c r="M1525" s="4">
        <v>0.96029529909890343</v>
      </c>
      <c r="N1525" s="10">
        <v>0.96</v>
      </c>
      <c r="O1525" s="4">
        <v>9.6664409361241646</v>
      </c>
      <c r="P1525" s="4">
        <v>9.65</v>
      </c>
      <c r="Q1525" s="3" t="s">
        <v>1597</v>
      </c>
      <c r="R1525" s="3" t="s">
        <v>1602</v>
      </c>
      <c r="S1525" s="3" t="s">
        <v>1603</v>
      </c>
      <c r="T1525" s="3"/>
    </row>
    <row r="1526" spans="1:20">
      <c r="A1526" s="3" t="s">
        <v>1600</v>
      </c>
      <c r="B1526" s="3" t="s">
        <v>1601</v>
      </c>
      <c r="C1526" s="3" t="s">
        <v>1616</v>
      </c>
      <c r="D1526" s="3" t="s">
        <v>1267</v>
      </c>
      <c r="E1526" s="3" t="s">
        <v>1268</v>
      </c>
      <c r="F1526" s="2">
        <v>1</v>
      </c>
      <c r="G1526" s="4">
        <v>1.0507246376811594</v>
      </c>
      <c r="H1526" s="2">
        <v>25</v>
      </c>
      <c r="I1526" s="2">
        <v>5</v>
      </c>
      <c r="J1526" s="2">
        <v>16</v>
      </c>
      <c r="K1526" s="4">
        <v>1</v>
      </c>
      <c r="L1526" s="4">
        <v>0.95825116073645789</v>
      </c>
      <c r="M1526" s="4">
        <v>0.95825116073645789</v>
      </c>
      <c r="N1526" s="10">
        <v>0.95799999999999996</v>
      </c>
      <c r="O1526" s="4">
        <v>9.5394052892198609</v>
      </c>
      <c r="P1526" s="4">
        <v>9.52</v>
      </c>
      <c r="Q1526" s="3" t="s">
        <v>1597</v>
      </c>
      <c r="R1526" s="3" t="s">
        <v>1602</v>
      </c>
      <c r="S1526" s="3" t="s">
        <v>1603</v>
      </c>
      <c r="T1526" s="3"/>
    </row>
    <row r="1527" spans="1:20">
      <c r="A1527" s="3" t="s">
        <v>1604</v>
      </c>
      <c r="B1527" s="3" t="s">
        <v>1601</v>
      </c>
      <c r="C1527" s="3" t="s">
        <v>1616</v>
      </c>
      <c r="D1527" s="3" t="s">
        <v>1267</v>
      </c>
      <c r="E1527" s="3" t="s">
        <v>1268</v>
      </c>
      <c r="F1527" s="2">
        <v>1</v>
      </c>
      <c r="G1527" s="4">
        <v>1.0507246376811594</v>
      </c>
      <c r="H1527" s="2">
        <v>25</v>
      </c>
      <c r="I1527" s="2">
        <v>30</v>
      </c>
      <c r="J1527" s="2">
        <v>16</v>
      </c>
      <c r="K1527" s="4">
        <v>1</v>
      </c>
      <c r="L1527" s="4">
        <v>0.95798203903906776</v>
      </c>
      <c r="M1527" s="4">
        <v>0.95798203903906776</v>
      </c>
      <c r="N1527" s="10">
        <v>0.95799999999999996</v>
      </c>
      <c r="O1527" s="4">
        <v>9.5231359226892174</v>
      </c>
      <c r="P1527" s="4">
        <v>9.52</v>
      </c>
      <c r="Q1527" s="3" t="s">
        <v>1597</v>
      </c>
      <c r="R1527" s="3" t="s">
        <v>1602</v>
      </c>
      <c r="S1527" s="3" t="s">
        <v>1603</v>
      </c>
      <c r="T1527" s="3"/>
    </row>
    <row r="1528" spans="1:20">
      <c r="A1528" s="3" t="s">
        <v>1600</v>
      </c>
      <c r="B1528" s="3" t="s">
        <v>1601</v>
      </c>
      <c r="C1528" s="3" t="s">
        <v>1596</v>
      </c>
      <c r="D1528" s="3" t="s">
        <v>1267</v>
      </c>
      <c r="E1528" s="3" t="s">
        <v>1268</v>
      </c>
      <c r="F1528" s="2">
        <v>1</v>
      </c>
      <c r="G1528" s="4">
        <v>1.0507246376811594</v>
      </c>
      <c r="H1528" s="2">
        <v>25</v>
      </c>
      <c r="I1528" s="2">
        <v>5</v>
      </c>
      <c r="J1528" s="2">
        <v>1</v>
      </c>
      <c r="K1528" s="4">
        <v>0.72005697619209119</v>
      </c>
      <c r="L1528" s="4">
        <v>0.95545758837456118</v>
      </c>
      <c r="M1528" s="4">
        <v>0.95545758837456118</v>
      </c>
      <c r="N1528" s="10">
        <v>0.95499999999999996</v>
      </c>
      <c r="O1528" s="4">
        <v>9.3753031982752706</v>
      </c>
      <c r="P1528" s="4">
        <v>9.35</v>
      </c>
      <c r="Q1528" s="3" t="s">
        <v>1597</v>
      </c>
      <c r="R1528" s="3" t="s">
        <v>1602</v>
      </c>
      <c r="S1528" s="3" t="s">
        <v>1603</v>
      </c>
      <c r="T1528" s="3"/>
    </row>
    <row r="1529" spans="1:20">
      <c r="A1529" s="3" t="s">
        <v>1600</v>
      </c>
      <c r="B1529" s="3" t="s">
        <v>1606</v>
      </c>
      <c r="C1529" s="3" t="s">
        <v>1596</v>
      </c>
      <c r="D1529" s="3" t="s">
        <v>1267</v>
      </c>
      <c r="E1529" s="3" t="s">
        <v>1268</v>
      </c>
      <c r="F1529" s="2">
        <v>1</v>
      </c>
      <c r="G1529" s="4">
        <v>1.0507246376811594</v>
      </c>
      <c r="H1529" s="2">
        <v>25</v>
      </c>
      <c r="I1529" s="2">
        <v>5</v>
      </c>
      <c r="J1529" s="2">
        <v>1</v>
      </c>
      <c r="K1529" s="4">
        <v>1</v>
      </c>
      <c r="L1529" s="4">
        <v>0.9510089712312646</v>
      </c>
      <c r="M1529" s="4">
        <v>0.9510089712312646</v>
      </c>
      <c r="N1529" s="10">
        <v>0.95099999999999996</v>
      </c>
      <c r="O1529" s="4">
        <v>9.1336708420126698</v>
      </c>
      <c r="P1529" s="4">
        <v>9.1300000000000008</v>
      </c>
      <c r="Q1529" s="3" t="s">
        <v>1597</v>
      </c>
      <c r="R1529" s="3" t="s">
        <v>1607</v>
      </c>
      <c r="S1529" s="3" t="s">
        <v>1608</v>
      </c>
      <c r="T1529" s="3"/>
    </row>
    <row r="1530" spans="1:20">
      <c r="A1530" s="3" t="s">
        <v>1600</v>
      </c>
      <c r="B1530" s="3" t="s">
        <v>1601</v>
      </c>
      <c r="C1530" s="3" t="s">
        <v>1596</v>
      </c>
      <c r="D1530" s="3" t="s">
        <v>1267</v>
      </c>
      <c r="E1530" s="3" t="s">
        <v>1268</v>
      </c>
      <c r="F1530" s="2">
        <v>1</v>
      </c>
      <c r="G1530" s="4">
        <v>1.0507246376811594</v>
      </c>
      <c r="H1530" s="2">
        <v>25</v>
      </c>
      <c r="I1530" s="2">
        <v>5</v>
      </c>
      <c r="J1530" s="2">
        <v>16</v>
      </c>
      <c r="K1530" s="4">
        <v>1</v>
      </c>
      <c r="L1530" s="4">
        <v>0.95020548573270458</v>
      </c>
      <c r="M1530" s="4">
        <v>0.95020548573270458</v>
      </c>
      <c r="N1530" s="10">
        <v>0.95</v>
      </c>
      <c r="O1530" s="4">
        <v>9.092322785065388</v>
      </c>
      <c r="P1530" s="4">
        <v>9.08</v>
      </c>
      <c r="Q1530" s="3" t="s">
        <v>1597</v>
      </c>
      <c r="R1530" s="3" t="s">
        <v>1602</v>
      </c>
      <c r="S1530" s="3" t="s">
        <v>1603</v>
      </c>
      <c r="T1530" s="3"/>
    </row>
    <row r="1531" spans="1:20">
      <c r="A1531" s="3" t="s">
        <v>1604</v>
      </c>
      <c r="B1531" s="3" t="s">
        <v>1601</v>
      </c>
      <c r="C1531" s="3" t="s">
        <v>1596</v>
      </c>
      <c r="D1531" s="3" t="s">
        <v>1267</v>
      </c>
      <c r="E1531" s="3" t="s">
        <v>1268</v>
      </c>
      <c r="F1531" s="2">
        <v>1</v>
      </c>
      <c r="G1531" s="4">
        <v>1.0507246376811594</v>
      </c>
      <c r="H1531" s="2">
        <v>25</v>
      </c>
      <c r="I1531" s="2">
        <v>30</v>
      </c>
      <c r="J1531" s="2">
        <v>16</v>
      </c>
      <c r="K1531" s="4">
        <v>1</v>
      </c>
      <c r="L1531" s="4">
        <v>0.94545969685645093</v>
      </c>
      <c r="M1531" s="4">
        <v>0.94545969685645093</v>
      </c>
      <c r="N1531" s="10">
        <v>0.94499999999999995</v>
      </c>
      <c r="O1531" s="4">
        <v>8.8606097623556135</v>
      </c>
      <c r="P1531" s="4">
        <v>8.84</v>
      </c>
      <c r="Q1531" s="3" t="s">
        <v>1597</v>
      </c>
      <c r="R1531" s="3" t="s">
        <v>1602</v>
      </c>
      <c r="S1531" s="3" t="s">
        <v>1603</v>
      </c>
      <c r="T1531" s="3"/>
    </row>
    <row r="1532" spans="1:20">
      <c r="A1532" s="3" t="s">
        <v>1605</v>
      </c>
      <c r="B1532" s="3" t="s">
        <v>1601</v>
      </c>
      <c r="C1532" s="3" t="s">
        <v>1596</v>
      </c>
      <c r="D1532" s="3" t="s">
        <v>1267</v>
      </c>
      <c r="E1532" s="3" t="s">
        <v>1268</v>
      </c>
      <c r="F1532" s="2">
        <v>1</v>
      </c>
      <c r="G1532" s="4">
        <v>1.0507246376811594</v>
      </c>
      <c r="H1532" s="2">
        <v>25</v>
      </c>
      <c r="I1532" s="2">
        <v>5</v>
      </c>
      <c r="J1532" s="2">
        <v>16</v>
      </c>
      <c r="K1532" s="4">
        <v>1</v>
      </c>
      <c r="L1532" s="4">
        <v>0.94150018282620351</v>
      </c>
      <c r="M1532" s="4">
        <v>0.94150018282620351</v>
      </c>
      <c r="N1532" s="10">
        <v>0.94199999999999995</v>
      </c>
      <c r="O1532" s="4">
        <v>8.6818240336702477</v>
      </c>
      <c r="P1532" s="4">
        <v>8.6999999999999993</v>
      </c>
      <c r="Q1532" s="3" t="s">
        <v>1597</v>
      </c>
      <c r="R1532" s="3" t="s">
        <v>1602</v>
      </c>
      <c r="S1532" s="3" t="s">
        <v>1603</v>
      </c>
      <c r="T1532" s="3"/>
    </row>
    <row r="1533" spans="1:20">
      <c r="A1533" s="3" t="s">
        <v>1600</v>
      </c>
      <c r="B1533" s="3" t="s">
        <v>1609</v>
      </c>
      <c r="C1533" s="3" t="s">
        <v>1596</v>
      </c>
      <c r="D1533" s="3" t="s">
        <v>1267</v>
      </c>
      <c r="E1533" s="3" t="s">
        <v>1268</v>
      </c>
      <c r="F1533" s="2">
        <v>1</v>
      </c>
      <c r="G1533" s="4">
        <v>1.0507246376811594</v>
      </c>
      <c r="H1533" s="2">
        <v>25</v>
      </c>
      <c r="I1533" s="2">
        <v>5</v>
      </c>
      <c r="J1533" s="2">
        <v>1</v>
      </c>
      <c r="K1533" s="4">
        <v>0.97678127181843155</v>
      </c>
      <c r="L1533" s="4">
        <v>0.93839216369664225</v>
      </c>
      <c r="M1533" s="4">
        <v>0.93839216369664225</v>
      </c>
      <c r="N1533" s="10">
        <v>0.93799999999999994</v>
      </c>
      <c r="O1533" s="4">
        <v>8.5495275442150369</v>
      </c>
      <c r="P1533" s="4">
        <v>8.5299999999999994</v>
      </c>
      <c r="Q1533" s="3" t="s">
        <v>1597</v>
      </c>
      <c r="R1533" s="3" t="s">
        <v>1610</v>
      </c>
      <c r="S1533" s="3" t="s">
        <v>1611</v>
      </c>
      <c r="T1533" s="3"/>
    </row>
    <row r="1534" spans="1:20">
      <c r="A1534" s="3" t="s">
        <v>1600</v>
      </c>
      <c r="B1534" s="3" t="s">
        <v>1609</v>
      </c>
      <c r="C1534" s="3" t="s">
        <v>1616</v>
      </c>
      <c r="D1534" s="3" t="s">
        <v>1267</v>
      </c>
      <c r="E1534" s="3" t="s">
        <v>1268</v>
      </c>
      <c r="F1534" s="2">
        <v>1</v>
      </c>
      <c r="G1534" s="4">
        <v>1.0507246376811594</v>
      </c>
      <c r="H1534" s="2">
        <v>25</v>
      </c>
      <c r="I1534" s="2">
        <v>5</v>
      </c>
      <c r="J1534" s="2">
        <v>1</v>
      </c>
      <c r="K1534" s="4">
        <v>0.96601099439247406</v>
      </c>
      <c r="L1534" s="4">
        <v>0.93061147150433354</v>
      </c>
      <c r="M1534" s="4">
        <v>0.93061147150433354</v>
      </c>
      <c r="N1534" s="10">
        <v>0.93100000000000005</v>
      </c>
      <c r="O1534" s="4">
        <v>8.2447271185542217</v>
      </c>
      <c r="P1534" s="4">
        <v>8.26</v>
      </c>
      <c r="Q1534" s="3" t="s">
        <v>1597</v>
      </c>
      <c r="R1534" s="3" t="s">
        <v>1610</v>
      </c>
      <c r="S1534" s="3" t="s">
        <v>1611</v>
      </c>
      <c r="T1534" s="3"/>
    </row>
    <row r="1535" spans="1:20">
      <c r="A1535" s="3" t="s">
        <v>1600</v>
      </c>
      <c r="B1535" s="3" t="s">
        <v>1609</v>
      </c>
      <c r="C1535" s="3" t="s">
        <v>1596</v>
      </c>
      <c r="D1535" s="3" t="s">
        <v>1267</v>
      </c>
      <c r="E1535" s="3" t="s">
        <v>1268</v>
      </c>
      <c r="F1535" s="2">
        <v>1</v>
      </c>
      <c r="G1535" s="4">
        <v>1.0507246376811594</v>
      </c>
      <c r="H1535" s="2">
        <v>25</v>
      </c>
      <c r="I1535" s="2">
        <v>5</v>
      </c>
      <c r="J1535" s="2">
        <v>16</v>
      </c>
      <c r="K1535" s="4">
        <v>0.98182684617267191</v>
      </c>
      <c r="L1535" s="4">
        <v>0.92566295328241177</v>
      </c>
      <c r="M1535" s="4">
        <v>0.92566295328241177</v>
      </c>
      <c r="N1535" s="10">
        <v>0.92600000000000005</v>
      </c>
      <c r="O1535" s="4">
        <v>8.0675940426429342</v>
      </c>
      <c r="P1535" s="4">
        <v>8.08</v>
      </c>
      <c r="Q1535" s="3" t="s">
        <v>1597</v>
      </c>
      <c r="R1535" s="3" t="s">
        <v>1610</v>
      </c>
      <c r="S1535" s="3" t="s">
        <v>1611</v>
      </c>
      <c r="T1535" s="3"/>
    </row>
    <row r="1536" spans="1:20">
      <c r="A1536" s="3" t="s">
        <v>1600</v>
      </c>
      <c r="B1536" s="3" t="s">
        <v>1609</v>
      </c>
      <c r="C1536" s="3" t="s">
        <v>1616</v>
      </c>
      <c r="D1536" s="3" t="s">
        <v>1267</v>
      </c>
      <c r="E1536" s="3" t="s">
        <v>1268</v>
      </c>
      <c r="F1536" s="2">
        <v>1</v>
      </c>
      <c r="G1536" s="4">
        <v>1.0507246376811594</v>
      </c>
      <c r="H1536" s="2">
        <v>25</v>
      </c>
      <c r="I1536" s="2">
        <v>5</v>
      </c>
      <c r="J1536" s="2">
        <v>16</v>
      </c>
      <c r="K1536" s="4">
        <v>0.95562860351385037</v>
      </c>
      <c r="L1536" s="4">
        <v>0.90786449485360243</v>
      </c>
      <c r="M1536" s="4">
        <v>0.90786449485360243</v>
      </c>
      <c r="N1536" s="10">
        <v>0.90800000000000003</v>
      </c>
      <c r="O1536" s="4">
        <v>7.5124621228683885</v>
      </c>
      <c r="P1536" s="4">
        <v>7.52</v>
      </c>
      <c r="Q1536" s="3" t="s">
        <v>1597</v>
      </c>
      <c r="R1536" s="3" t="s">
        <v>1610</v>
      </c>
      <c r="S1536" s="3" t="s">
        <v>1611</v>
      </c>
      <c r="T1536" s="3"/>
    </row>
    <row r="1537" spans="1:20">
      <c r="A1537" s="3" t="s">
        <v>1594</v>
      </c>
      <c r="B1537" s="3" t="s">
        <v>1612</v>
      </c>
      <c r="C1537" s="3" t="s">
        <v>1596</v>
      </c>
      <c r="D1537" s="3" t="s">
        <v>1267</v>
      </c>
      <c r="E1537" s="3" t="s">
        <v>1268</v>
      </c>
      <c r="F1537" s="2">
        <v>1</v>
      </c>
      <c r="G1537" s="4">
        <v>1.0507246376811594</v>
      </c>
      <c r="H1537" s="2">
        <v>50</v>
      </c>
      <c r="I1537" s="2">
        <v>5</v>
      </c>
      <c r="J1537" s="2">
        <v>16</v>
      </c>
      <c r="K1537" s="4">
        <v>0.90530985248080964</v>
      </c>
      <c r="L1537" s="4">
        <v>0.32003487062755021</v>
      </c>
      <c r="M1537" s="4">
        <v>0.32003487062755021</v>
      </c>
      <c r="N1537" s="10">
        <v>0.32</v>
      </c>
      <c r="O1537" s="4">
        <v>1.7823680124471848</v>
      </c>
      <c r="P1537" s="4">
        <v>1.78</v>
      </c>
      <c r="Q1537" s="3" t="s">
        <v>1597</v>
      </c>
      <c r="R1537" s="3" t="s">
        <v>1613</v>
      </c>
      <c r="S1537" s="3" t="s">
        <v>1614</v>
      </c>
      <c r="T1537" s="3"/>
    </row>
    <row r="1538" spans="1:20">
      <c r="A1538" s="3" t="s">
        <v>1594</v>
      </c>
      <c r="B1538" s="3" t="s">
        <v>1595</v>
      </c>
      <c r="C1538" s="3" t="s">
        <v>1596</v>
      </c>
      <c r="D1538" s="3" t="s">
        <v>1267</v>
      </c>
      <c r="E1538" s="3" t="s">
        <v>1268</v>
      </c>
      <c r="F1538" s="2">
        <v>1</v>
      </c>
      <c r="G1538" s="4">
        <v>1.0507246376811594</v>
      </c>
      <c r="H1538" s="2">
        <v>50</v>
      </c>
      <c r="I1538" s="2">
        <v>5</v>
      </c>
      <c r="J1538" s="2">
        <v>16</v>
      </c>
      <c r="K1538" s="4">
        <v>1</v>
      </c>
      <c r="L1538" s="4">
        <v>-0.12136726584544168</v>
      </c>
      <c r="M1538" s="4">
        <v>0.12136726584544168</v>
      </c>
      <c r="N1538" s="10">
        <v>0.121</v>
      </c>
      <c r="O1538" s="4">
        <v>0.65541742727640739</v>
      </c>
      <c r="P1538" s="4">
        <v>-0.65</v>
      </c>
      <c r="Q1538" s="3" t="s">
        <v>1617</v>
      </c>
      <c r="R1538" s="3" t="s">
        <v>1625</v>
      </c>
      <c r="S1538" s="3" t="s">
        <v>1626</v>
      </c>
      <c r="T1538" s="3"/>
    </row>
    <row r="1539" spans="1:20">
      <c r="A1539" s="3" t="s">
        <v>1594</v>
      </c>
      <c r="B1539" s="3" t="s">
        <v>1595</v>
      </c>
      <c r="C1539" s="3" t="s">
        <v>1596</v>
      </c>
      <c r="D1539" s="3" t="s">
        <v>1267</v>
      </c>
      <c r="E1539" s="3" t="s">
        <v>1268</v>
      </c>
      <c r="F1539" s="2">
        <v>1</v>
      </c>
      <c r="G1539" s="4">
        <v>1.0507246376811594</v>
      </c>
      <c r="H1539" s="2">
        <v>25</v>
      </c>
      <c r="I1539" s="2">
        <v>5</v>
      </c>
      <c r="J1539" s="2">
        <v>16</v>
      </c>
      <c r="K1539" s="4">
        <v>0.45865240959247855</v>
      </c>
      <c r="L1539" s="4">
        <v>-0.16919704839631661</v>
      </c>
      <c r="M1539" s="4">
        <v>0.16919704839631661</v>
      </c>
      <c r="N1539" s="10">
        <v>0.16900000000000001</v>
      </c>
      <c r="O1539" s="4">
        <v>0.84701350901637884</v>
      </c>
      <c r="P1539" s="4">
        <v>-0.85</v>
      </c>
      <c r="Q1539" s="3" t="s">
        <v>1617</v>
      </c>
      <c r="R1539" s="3" t="s">
        <v>1625</v>
      </c>
      <c r="S1539" s="3" t="s">
        <v>1626</v>
      </c>
      <c r="T1539" s="3"/>
    </row>
    <row r="1540" spans="1:20">
      <c r="A1540" s="3" t="s">
        <v>1594</v>
      </c>
      <c r="B1540" s="3" t="s">
        <v>1595</v>
      </c>
      <c r="C1540" s="3" t="s">
        <v>1596</v>
      </c>
      <c r="D1540" s="3" t="s">
        <v>227</v>
      </c>
      <c r="E1540" s="3" t="s">
        <v>228</v>
      </c>
      <c r="F1540" s="2">
        <v>1</v>
      </c>
      <c r="G1540" s="4">
        <v>1.0510252332029402</v>
      </c>
      <c r="H1540" s="2">
        <v>50</v>
      </c>
      <c r="I1540" s="2">
        <v>5</v>
      </c>
      <c r="J1540" s="2">
        <v>16</v>
      </c>
      <c r="K1540" s="4">
        <v>1</v>
      </c>
      <c r="L1540" s="14">
        <v>0.32792171696176031</v>
      </c>
      <c r="M1540" s="4">
        <v>0.32792171696176031</v>
      </c>
      <c r="N1540" s="10">
        <v>0.32800000000000001</v>
      </c>
      <c r="O1540" s="4">
        <v>1.8297197436847799</v>
      </c>
      <c r="P1540" s="4">
        <v>1.83</v>
      </c>
      <c r="Q1540" s="3" t="s">
        <v>1597</v>
      </c>
      <c r="R1540" s="3" t="s">
        <v>1598</v>
      </c>
      <c r="S1540" s="3" t="s">
        <v>1599</v>
      </c>
      <c r="T1540" s="3"/>
    </row>
    <row r="1541" spans="1:20">
      <c r="A1541" s="3" t="s">
        <v>1604</v>
      </c>
      <c r="B1541" s="3" t="s">
        <v>1601</v>
      </c>
      <c r="C1541" s="3" t="s">
        <v>1596</v>
      </c>
      <c r="D1541" s="3" t="s">
        <v>227</v>
      </c>
      <c r="E1541" s="3" t="s">
        <v>228</v>
      </c>
      <c r="F1541" s="2">
        <v>1</v>
      </c>
      <c r="G1541" s="4">
        <v>1.0510252332029402</v>
      </c>
      <c r="H1541" s="2">
        <v>25</v>
      </c>
      <c r="I1541" s="2">
        <v>30</v>
      </c>
      <c r="J1541" s="2">
        <v>16</v>
      </c>
      <c r="K1541" s="4">
        <v>1</v>
      </c>
      <c r="L1541" s="4">
        <v>-0.47011025859277233</v>
      </c>
      <c r="M1541" s="4">
        <v>0.47011025859277233</v>
      </c>
      <c r="N1541" s="10">
        <v>0.47</v>
      </c>
      <c r="O1541" s="4">
        <v>2.5295979590776749</v>
      </c>
      <c r="P1541" s="4">
        <v>-2.5299999999999998</v>
      </c>
      <c r="Q1541" s="3" t="s">
        <v>1617</v>
      </c>
      <c r="R1541" s="3" t="s">
        <v>1618</v>
      </c>
      <c r="S1541" s="3" t="s">
        <v>1619</v>
      </c>
      <c r="T1541" s="3"/>
    </row>
    <row r="1542" spans="1:20">
      <c r="A1542" s="3" t="s">
        <v>1600</v>
      </c>
      <c r="B1542" s="3" t="s">
        <v>1601</v>
      </c>
      <c r="C1542" s="3" t="s">
        <v>1596</v>
      </c>
      <c r="D1542" s="3" t="s">
        <v>227</v>
      </c>
      <c r="E1542" s="3" t="s">
        <v>228</v>
      </c>
      <c r="F1542" s="2">
        <v>1</v>
      </c>
      <c r="G1542" s="4">
        <v>1.0510252332029402</v>
      </c>
      <c r="H1542" s="2">
        <v>25</v>
      </c>
      <c r="I1542" s="2">
        <v>5</v>
      </c>
      <c r="J1542" s="2">
        <v>16</v>
      </c>
      <c r="K1542" s="4">
        <v>1</v>
      </c>
      <c r="L1542" s="4">
        <v>-0.52598092306458677</v>
      </c>
      <c r="M1542" s="4">
        <v>0.52598092306458677</v>
      </c>
      <c r="N1542" s="10">
        <v>0.52600000000000002</v>
      </c>
      <c r="O1542" s="4">
        <v>2.8982736012386039</v>
      </c>
      <c r="P1542" s="4">
        <v>-2.9</v>
      </c>
      <c r="Q1542" s="3" t="s">
        <v>1617</v>
      </c>
      <c r="R1542" s="3" t="s">
        <v>1618</v>
      </c>
      <c r="S1542" s="3" t="s">
        <v>1619</v>
      </c>
      <c r="T1542" s="3"/>
    </row>
    <row r="1543" spans="1:20">
      <c r="A1543" s="3" t="s">
        <v>1600</v>
      </c>
      <c r="B1543" s="3" t="s">
        <v>1601</v>
      </c>
      <c r="C1543" s="3" t="s">
        <v>1596</v>
      </c>
      <c r="D1543" s="3" t="s">
        <v>227</v>
      </c>
      <c r="E1543" s="3" t="s">
        <v>228</v>
      </c>
      <c r="F1543" s="2">
        <v>1</v>
      </c>
      <c r="G1543" s="4">
        <v>1.0510252332029402</v>
      </c>
      <c r="H1543" s="2">
        <v>25</v>
      </c>
      <c r="I1543" s="2">
        <v>5</v>
      </c>
      <c r="J1543" s="2">
        <v>1</v>
      </c>
      <c r="K1543" s="4">
        <v>0.96114907765523849</v>
      </c>
      <c r="L1543" s="4">
        <v>-0.537949317548301</v>
      </c>
      <c r="M1543" s="4">
        <v>0.537949317548301</v>
      </c>
      <c r="N1543" s="10">
        <v>0.53800000000000003</v>
      </c>
      <c r="O1543" s="4">
        <v>2.9810351084348286</v>
      </c>
      <c r="P1543" s="4">
        <v>-2.98</v>
      </c>
      <c r="Q1543" s="3" t="s">
        <v>1617</v>
      </c>
      <c r="R1543" s="3" t="s">
        <v>1618</v>
      </c>
      <c r="S1543" s="3" t="s">
        <v>1619</v>
      </c>
      <c r="T1543" s="3"/>
    </row>
    <row r="1544" spans="1:20">
      <c r="A1544" s="12" t="s">
        <v>1605</v>
      </c>
      <c r="B1544" s="3" t="s">
        <v>1601</v>
      </c>
      <c r="C1544" s="3" t="s">
        <v>1596</v>
      </c>
      <c r="D1544" s="3" t="s">
        <v>227</v>
      </c>
      <c r="E1544" s="3" t="s">
        <v>228</v>
      </c>
      <c r="F1544" s="2">
        <v>1</v>
      </c>
      <c r="G1544" s="4">
        <v>1.0510252332029402</v>
      </c>
      <c r="H1544" s="2">
        <v>25</v>
      </c>
      <c r="I1544" s="2">
        <v>5</v>
      </c>
      <c r="J1544" s="2">
        <v>16</v>
      </c>
      <c r="K1544" s="11">
        <v>1</v>
      </c>
      <c r="L1544" s="11">
        <v>-0.55970104822089939</v>
      </c>
      <c r="M1544" s="4">
        <v>0.55970104822089939</v>
      </c>
      <c r="N1544" s="10">
        <v>0.56000000000000005</v>
      </c>
      <c r="O1544" s="4">
        <v>3.135387827241026</v>
      </c>
      <c r="P1544" s="4">
        <v>-3.14</v>
      </c>
      <c r="Q1544" s="3" t="s">
        <v>1617</v>
      </c>
      <c r="R1544" s="3" t="s">
        <v>1618</v>
      </c>
      <c r="S1544" s="3" t="s">
        <v>1619</v>
      </c>
      <c r="T1544" s="3"/>
    </row>
    <row r="1545" spans="1:20">
      <c r="A1545" s="3" t="s">
        <v>1604</v>
      </c>
      <c r="B1545" s="3" t="s">
        <v>1601</v>
      </c>
      <c r="C1545" s="3" t="s">
        <v>1616</v>
      </c>
      <c r="D1545" s="3" t="s">
        <v>227</v>
      </c>
      <c r="E1545" s="3" t="s">
        <v>228</v>
      </c>
      <c r="F1545" s="2">
        <v>1</v>
      </c>
      <c r="G1545" s="4">
        <v>1.0510252332029402</v>
      </c>
      <c r="H1545" s="2">
        <v>25</v>
      </c>
      <c r="I1545" s="2">
        <v>30</v>
      </c>
      <c r="J1545" s="2">
        <v>16</v>
      </c>
      <c r="K1545" s="4">
        <v>1</v>
      </c>
      <c r="L1545" s="4">
        <v>-0.62197544942826521</v>
      </c>
      <c r="M1545" s="4">
        <v>0.62197544942826521</v>
      </c>
      <c r="N1545" s="10">
        <v>0.622</v>
      </c>
      <c r="O1545" s="4">
        <v>3.6104707798316706</v>
      </c>
      <c r="P1545" s="4">
        <v>-3.61</v>
      </c>
      <c r="Q1545" s="3" t="s">
        <v>1617</v>
      </c>
      <c r="R1545" s="3" t="s">
        <v>1618</v>
      </c>
      <c r="S1545" s="3" t="s">
        <v>1619</v>
      </c>
      <c r="T1545" s="3"/>
    </row>
    <row r="1546" spans="1:20">
      <c r="A1546" s="3" t="s">
        <v>1600</v>
      </c>
      <c r="B1546" s="3" t="s">
        <v>1609</v>
      </c>
      <c r="C1546" s="3" t="s">
        <v>1596</v>
      </c>
      <c r="D1546" s="3" t="s">
        <v>227</v>
      </c>
      <c r="E1546" s="3" t="s">
        <v>228</v>
      </c>
      <c r="F1546" s="2">
        <v>1</v>
      </c>
      <c r="G1546" s="4">
        <v>1.0510252332029402</v>
      </c>
      <c r="H1546" s="2">
        <v>25</v>
      </c>
      <c r="I1546" s="2">
        <v>5</v>
      </c>
      <c r="J1546" s="2">
        <v>16</v>
      </c>
      <c r="K1546" s="4">
        <v>1</v>
      </c>
      <c r="L1546" s="4">
        <v>-0.69851721358162644</v>
      </c>
      <c r="M1546" s="4">
        <v>0.69851721358162644</v>
      </c>
      <c r="N1546" s="10">
        <v>0.69899999999999995</v>
      </c>
      <c r="O1546" s="4">
        <v>4.2856352248137135</v>
      </c>
      <c r="P1546" s="4">
        <v>-4.29</v>
      </c>
      <c r="Q1546" s="3" t="s">
        <v>1617</v>
      </c>
      <c r="R1546" s="3" t="s">
        <v>1623</v>
      </c>
      <c r="S1546" s="3" t="s">
        <v>1624</v>
      </c>
      <c r="T1546" s="3"/>
    </row>
    <row r="1547" spans="1:20">
      <c r="A1547" s="3" t="s">
        <v>1600</v>
      </c>
      <c r="B1547" s="3" t="s">
        <v>1609</v>
      </c>
      <c r="C1547" s="3" t="s">
        <v>1596</v>
      </c>
      <c r="D1547" s="3" t="s">
        <v>227</v>
      </c>
      <c r="E1547" s="3" t="s">
        <v>228</v>
      </c>
      <c r="F1547" s="2">
        <v>1</v>
      </c>
      <c r="G1547" s="4">
        <v>1.0510252332029402</v>
      </c>
      <c r="H1547" s="2">
        <v>25</v>
      </c>
      <c r="I1547" s="2">
        <v>5</v>
      </c>
      <c r="J1547" s="2">
        <v>1</v>
      </c>
      <c r="K1547" s="11">
        <v>1</v>
      </c>
      <c r="L1547" s="11">
        <v>-0.73846785536442816</v>
      </c>
      <c r="M1547" s="4">
        <v>0.73846785536442816</v>
      </c>
      <c r="N1547" s="10">
        <v>0.73799999999999999</v>
      </c>
      <c r="O1547" s="4">
        <v>4.6956671230779312</v>
      </c>
      <c r="P1547" s="4">
        <v>-4.6900000000000004</v>
      </c>
      <c r="Q1547" s="3" t="s">
        <v>1617</v>
      </c>
      <c r="R1547" s="3" t="s">
        <v>1623</v>
      </c>
      <c r="S1547" s="3" t="s">
        <v>1624</v>
      </c>
      <c r="T1547" s="3"/>
    </row>
    <row r="1548" spans="1:20">
      <c r="A1548" s="3" t="s">
        <v>1600</v>
      </c>
      <c r="B1548" s="3" t="s">
        <v>1601</v>
      </c>
      <c r="C1548" s="3" t="s">
        <v>1616</v>
      </c>
      <c r="D1548" s="3" t="s">
        <v>227</v>
      </c>
      <c r="E1548" s="3" t="s">
        <v>228</v>
      </c>
      <c r="F1548" s="2">
        <v>1</v>
      </c>
      <c r="G1548" s="4">
        <v>1.0510252332029402</v>
      </c>
      <c r="H1548" s="2">
        <v>25</v>
      </c>
      <c r="I1548" s="2">
        <v>5</v>
      </c>
      <c r="J1548" s="2">
        <v>1</v>
      </c>
      <c r="K1548" s="4">
        <v>1</v>
      </c>
      <c r="L1548" s="4">
        <v>-0.7395085154574027</v>
      </c>
      <c r="M1548" s="4">
        <v>0.7395085154574027</v>
      </c>
      <c r="N1548" s="10">
        <v>0.74</v>
      </c>
      <c r="O1548" s="4">
        <v>4.7070343244109409</v>
      </c>
      <c r="P1548" s="4">
        <v>-4.71</v>
      </c>
      <c r="Q1548" s="3" t="s">
        <v>1617</v>
      </c>
      <c r="R1548" s="3" t="s">
        <v>1618</v>
      </c>
      <c r="S1548" s="3" t="s">
        <v>1619</v>
      </c>
      <c r="T1548" s="3"/>
    </row>
    <row r="1549" spans="1:20">
      <c r="A1549" s="3" t="s">
        <v>1600</v>
      </c>
      <c r="B1549" s="3" t="s">
        <v>1601</v>
      </c>
      <c r="C1549" s="3" t="s">
        <v>1616</v>
      </c>
      <c r="D1549" s="3" t="s">
        <v>227</v>
      </c>
      <c r="E1549" s="3" t="s">
        <v>228</v>
      </c>
      <c r="F1549" s="2">
        <v>1</v>
      </c>
      <c r="G1549" s="4">
        <v>1.0510252332029402</v>
      </c>
      <c r="H1549" s="2">
        <v>25</v>
      </c>
      <c r="I1549" s="2">
        <v>5</v>
      </c>
      <c r="J1549" s="2">
        <v>16</v>
      </c>
      <c r="K1549" s="4">
        <v>1</v>
      </c>
      <c r="L1549" s="4">
        <v>-0.74142082425133438</v>
      </c>
      <c r="M1549" s="4">
        <v>0.74142082425133438</v>
      </c>
      <c r="N1549" s="10">
        <v>0.74099999999999999</v>
      </c>
      <c r="O1549" s="4">
        <v>4.7280236742802719</v>
      </c>
      <c r="P1549" s="4">
        <v>-4.72</v>
      </c>
      <c r="Q1549" s="3" t="s">
        <v>1617</v>
      </c>
      <c r="R1549" s="3" t="s">
        <v>1618</v>
      </c>
      <c r="S1549" s="3" t="s">
        <v>1619</v>
      </c>
      <c r="T1549" s="3"/>
    </row>
    <row r="1550" spans="1:20">
      <c r="A1550" s="3" t="s">
        <v>1600</v>
      </c>
      <c r="B1550" s="3" t="s">
        <v>1609</v>
      </c>
      <c r="C1550" s="3" t="s">
        <v>1616</v>
      </c>
      <c r="D1550" s="3" t="s">
        <v>227</v>
      </c>
      <c r="E1550" s="3" t="s">
        <v>228</v>
      </c>
      <c r="F1550" s="2">
        <v>1</v>
      </c>
      <c r="G1550" s="4">
        <v>1.0510252332029402</v>
      </c>
      <c r="H1550" s="2">
        <v>25</v>
      </c>
      <c r="I1550" s="2">
        <v>5</v>
      </c>
      <c r="J1550" s="2">
        <v>1</v>
      </c>
      <c r="K1550" s="4">
        <v>0.98558401989591349</v>
      </c>
      <c r="L1550" s="4">
        <v>-0.84060937389382095</v>
      </c>
      <c r="M1550" s="4">
        <v>0.84060937389382095</v>
      </c>
      <c r="N1550" s="10">
        <v>0.84099999999999997</v>
      </c>
      <c r="O1550" s="4">
        <v>6.064780815847552</v>
      </c>
      <c r="P1550" s="4">
        <v>-6.07</v>
      </c>
      <c r="Q1550" s="3" t="s">
        <v>1617</v>
      </c>
      <c r="R1550" s="3" t="s">
        <v>1623</v>
      </c>
      <c r="S1550" s="3" t="s">
        <v>1624</v>
      </c>
      <c r="T1550" s="3"/>
    </row>
    <row r="1551" spans="1:20">
      <c r="A1551" s="3" t="s">
        <v>1594</v>
      </c>
      <c r="B1551" s="3" t="s">
        <v>1612</v>
      </c>
      <c r="C1551" s="3" t="s">
        <v>1596</v>
      </c>
      <c r="D1551" s="3" t="s">
        <v>227</v>
      </c>
      <c r="E1551" s="3" t="s">
        <v>228</v>
      </c>
      <c r="F1551" s="2">
        <v>1</v>
      </c>
      <c r="G1551" s="4">
        <v>1.0510252332029402</v>
      </c>
      <c r="H1551" s="2">
        <v>50</v>
      </c>
      <c r="I1551" s="2">
        <v>5</v>
      </c>
      <c r="J1551" s="2">
        <v>16</v>
      </c>
      <c r="K1551" s="4">
        <v>1</v>
      </c>
      <c r="L1551" s="14">
        <v>-0.84063084254688747</v>
      </c>
      <c r="M1551" s="4">
        <v>0.84063084254688747</v>
      </c>
      <c r="N1551" s="10">
        <v>0.84099999999999997</v>
      </c>
      <c r="O1551" s="4">
        <v>6.5737084369262373</v>
      </c>
      <c r="P1551" s="4">
        <v>-6.58</v>
      </c>
      <c r="Q1551" s="3" t="s">
        <v>1617</v>
      </c>
      <c r="R1551" s="3" t="s">
        <v>1627</v>
      </c>
      <c r="S1551" s="3" t="s">
        <v>1628</v>
      </c>
      <c r="T1551" s="3"/>
    </row>
    <row r="1552" spans="1:20">
      <c r="A1552" s="3" t="s">
        <v>1600</v>
      </c>
      <c r="B1552" s="3" t="s">
        <v>1609</v>
      </c>
      <c r="C1552" s="3" t="s">
        <v>1616</v>
      </c>
      <c r="D1552" s="3" t="s">
        <v>227</v>
      </c>
      <c r="E1552" s="3" t="s">
        <v>228</v>
      </c>
      <c r="F1552" s="2">
        <v>1</v>
      </c>
      <c r="G1552" s="4">
        <v>1.0510252332029402</v>
      </c>
      <c r="H1552" s="2">
        <v>25</v>
      </c>
      <c r="I1552" s="2">
        <v>5</v>
      </c>
      <c r="J1552" s="2">
        <v>16</v>
      </c>
      <c r="K1552" s="11">
        <v>1</v>
      </c>
      <c r="L1552" s="11">
        <v>-0.86456833269276678</v>
      </c>
      <c r="M1552" s="4">
        <v>0.86456833269276678</v>
      </c>
      <c r="N1552" s="10">
        <v>0.86499999999999999</v>
      </c>
      <c r="O1552" s="4">
        <v>6.5006419631072045</v>
      </c>
      <c r="P1552" s="4">
        <v>-6.51</v>
      </c>
      <c r="Q1552" s="3" t="s">
        <v>1617</v>
      </c>
      <c r="R1552" s="3" t="s">
        <v>1623</v>
      </c>
      <c r="S1552" s="3" t="s">
        <v>1624</v>
      </c>
      <c r="T1552" s="3"/>
    </row>
    <row r="1553" spans="1:20">
      <c r="A1553" s="3" t="s">
        <v>1600</v>
      </c>
      <c r="B1553" s="3" t="s">
        <v>1606</v>
      </c>
      <c r="C1553" s="3" t="s">
        <v>1616</v>
      </c>
      <c r="D1553" s="3" t="s">
        <v>227</v>
      </c>
      <c r="E1553" s="3" t="s">
        <v>228</v>
      </c>
      <c r="F1553" s="2">
        <v>1</v>
      </c>
      <c r="G1553" s="4">
        <v>1.0510252332029402</v>
      </c>
      <c r="H1553" s="2">
        <v>25</v>
      </c>
      <c r="I1553" s="2">
        <v>5</v>
      </c>
      <c r="J1553" s="2">
        <v>1</v>
      </c>
      <c r="K1553" s="4">
        <v>1</v>
      </c>
      <c r="L1553" s="4">
        <v>-1</v>
      </c>
      <c r="M1553" s="4">
        <v>1</v>
      </c>
      <c r="N1553" s="10">
        <v>0.995</v>
      </c>
      <c r="O1553" s="4">
        <v>14.85</v>
      </c>
      <c r="P1553" s="4">
        <v>-14.85</v>
      </c>
      <c r="Q1553" s="3" t="s">
        <v>1617</v>
      </c>
      <c r="R1553" s="3" t="s">
        <v>1621</v>
      </c>
      <c r="S1553" s="3" t="s">
        <v>1622</v>
      </c>
      <c r="T1553" s="3"/>
    </row>
    <row r="1554" spans="1:20">
      <c r="A1554" s="3" t="s">
        <v>1600</v>
      </c>
      <c r="B1554" s="3" t="s">
        <v>1606</v>
      </c>
      <c r="C1554" s="3" t="s">
        <v>1616</v>
      </c>
      <c r="D1554" s="3" t="s">
        <v>227</v>
      </c>
      <c r="E1554" s="3" t="s">
        <v>228</v>
      </c>
      <c r="F1554" s="2">
        <v>1</v>
      </c>
      <c r="G1554" s="4">
        <v>1.0510252332029402</v>
      </c>
      <c r="H1554" s="2">
        <v>25</v>
      </c>
      <c r="I1554" s="2">
        <v>5</v>
      </c>
      <c r="J1554" s="2">
        <v>16</v>
      </c>
      <c r="K1554" s="11">
        <v>1</v>
      </c>
      <c r="L1554" s="11">
        <v>-1</v>
      </c>
      <c r="M1554" s="4">
        <v>1</v>
      </c>
      <c r="N1554" s="10">
        <v>0.995</v>
      </c>
      <c r="O1554" s="4">
        <v>14.85</v>
      </c>
      <c r="P1554" s="4">
        <v>-14.85</v>
      </c>
      <c r="Q1554" s="3" t="s">
        <v>1617</v>
      </c>
      <c r="R1554" s="3" t="s">
        <v>1621</v>
      </c>
      <c r="S1554" s="3" t="s">
        <v>1622</v>
      </c>
      <c r="T1554" s="3"/>
    </row>
    <row r="1555" spans="1:20">
      <c r="A1555" s="3" t="s">
        <v>1600</v>
      </c>
      <c r="B1555" s="3" t="s">
        <v>1606</v>
      </c>
      <c r="C1555" s="3" t="s">
        <v>1596</v>
      </c>
      <c r="D1555" s="3" t="s">
        <v>227</v>
      </c>
      <c r="E1555" s="3" t="s">
        <v>228</v>
      </c>
      <c r="F1555" s="2">
        <v>1</v>
      </c>
      <c r="G1555" s="4">
        <v>1.0510252332029402</v>
      </c>
      <c r="H1555" s="2">
        <v>25</v>
      </c>
      <c r="I1555" s="2">
        <v>5</v>
      </c>
      <c r="J1555" s="2">
        <v>1</v>
      </c>
      <c r="K1555" s="11">
        <v>0.71028746535311282</v>
      </c>
      <c r="L1555" s="11">
        <v>-1</v>
      </c>
      <c r="M1555" s="4">
        <v>1</v>
      </c>
      <c r="N1555" s="10">
        <v>0.995</v>
      </c>
      <c r="O1555" s="4">
        <v>14.85</v>
      </c>
      <c r="P1555" s="4">
        <v>-14.85</v>
      </c>
      <c r="Q1555" s="3" t="s">
        <v>1617</v>
      </c>
      <c r="R1555" s="3" t="s">
        <v>1621</v>
      </c>
      <c r="S1555" s="3" t="s">
        <v>1622</v>
      </c>
      <c r="T1555" s="3"/>
    </row>
    <row r="1556" spans="1:20">
      <c r="A1556" s="3" t="s">
        <v>1600</v>
      </c>
      <c r="B1556" s="3" t="s">
        <v>1606</v>
      </c>
      <c r="C1556" s="3" t="s">
        <v>1596</v>
      </c>
      <c r="D1556" s="3" t="s">
        <v>227</v>
      </c>
      <c r="E1556" s="3" t="s">
        <v>228</v>
      </c>
      <c r="F1556" s="2">
        <v>1</v>
      </c>
      <c r="G1556" s="4">
        <v>1.0510252332029402</v>
      </c>
      <c r="H1556" s="2">
        <v>25</v>
      </c>
      <c r="I1556" s="2">
        <v>5</v>
      </c>
      <c r="J1556" s="2">
        <v>16</v>
      </c>
      <c r="K1556" s="11">
        <v>1</v>
      </c>
      <c r="L1556" s="11">
        <v>-1</v>
      </c>
      <c r="M1556" s="4">
        <v>1</v>
      </c>
      <c r="N1556" s="10">
        <v>0.995</v>
      </c>
      <c r="O1556" s="4">
        <v>14.85</v>
      </c>
      <c r="P1556" s="4">
        <v>-14.85</v>
      </c>
      <c r="Q1556" s="3" t="s">
        <v>1617</v>
      </c>
      <c r="R1556" s="3" t="s">
        <v>1621</v>
      </c>
      <c r="S1556" s="3" t="s">
        <v>1622</v>
      </c>
      <c r="T1556" s="3"/>
    </row>
    <row r="1557" spans="1:20">
      <c r="A1557" s="3" t="s">
        <v>1594</v>
      </c>
      <c r="B1557" s="3" t="s">
        <v>1612</v>
      </c>
      <c r="C1557" s="3" t="s">
        <v>1596</v>
      </c>
      <c r="D1557" s="3" t="s">
        <v>615</v>
      </c>
      <c r="E1557" s="3" t="s">
        <v>616</v>
      </c>
      <c r="F1557" s="2">
        <v>1</v>
      </c>
      <c r="G1557" s="4">
        <v>1.0511108897080801</v>
      </c>
      <c r="H1557" s="2">
        <v>50</v>
      </c>
      <c r="I1557" s="2">
        <v>5</v>
      </c>
      <c r="J1557" s="2">
        <v>16</v>
      </c>
      <c r="K1557" s="4">
        <v>0.30044992105606799</v>
      </c>
      <c r="L1557" s="14">
        <v>0.3513663427725619</v>
      </c>
      <c r="M1557" s="4">
        <v>0.3513663427725619</v>
      </c>
      <c r="N1557" s="10">
        <v>0.35099999999999998</v>
      </c>
      <c r="O1557" s="4">
        <v>1.9721427988501938</v>
      </c>
      <c r="P1557" s="4">
        <v>1.97</v>
      </c>
      <c r="Q1557" s="3" t="s">
        <v>1597</v>
      </c>
      <c r="R1557" s="3" t="s">
        <v>1613</v>
      </c>
      <c r="S1557" s="3" t="s">
        <v>1614</v>
      </c>
      <c r="T1557" s="3"/>
    </row>
    <row r="1558" spans="1:20">
      <c r="A1558" s="3" t="s">
        <v>1600</v>
      </c>
      <c r="B1558" s="3" t="s">
        <v>1601</v>
      </c>
      <c r="C1558" s="3" t="s">
        <v>1616</v>
      </c>
      <c r="D1558" s="3" t="s">
        <v>615</v>
      </c>
      <c r="E1558" s="3" t="s">
        <v>616</v>
      </c>
      <c r="F1558" s="2">
        <v>1</v>
      </c>
      <c r="G1558" s="4">
        <v>1.0511108897080801</v>
      </c>
      <c r="H1558" s="2">
        <v>25</v>
      </c>
      <c r="I1558" s="2">
        <v>5</v>
      </c>
      <c r="J1558" s="2">
        <v>16</v>
      </c>
      <c r="K1558" s="4">
        <v>1.608362614095793E-2</v>
      </c>
      <c r="L1558" s="4">
        <v>0.21691646334378994</v>
      </c>
      <c r="M1558" s="4">
        <v>0.21691646334378994</v>
      </c>
      <c r="N1558" s="10">
        <v>0.217</v>
      </c>
      <c r="O1558" s="4">
        <v>1.0928185902351484</v>
      </c>
      <c r="P1558" s="4">
        <v>1.0900000000000001</v>
      </c>
      <c r="Q1558" s="3" t="s">
        <v>1597</v>
      </c>
      <c r="R1558" s="3" t="s">
        <v>1602</v>
      </c>
      <c r="S1558" s="3" t="s">
        <v>1603</v>
      </c>
      <c r="T1558" s="3"/>
    </row>
    <row r="1559" spans="1:20">
      <c r="A1559" s="3" t="s">
        <v>1600</v>
      </c>
      <c r="B1559" s="3" t="s">
        <v>1609</v>
      </c>
      <c r="C1559" s="3" t="s">
        <v>1596</v>
      </c>
      <c r="D1559" s="3" t="s">
        <v>615</v>
      </c>
      <c r="E1559" s="3" t="s">
        <v>616</v>
      </c>
      <c r="F1559" s="2">
        <v>1</v>
      </c>
      <c r="G1559" s="4">
        <v>1.0511108897080801</v>
      </c>
      <c r="H1559" s="2">
        <v>25</v>
      </c>
      <c r="I1559" s="2">
        <v>5</v>
      </c>
      <c r="J1559" s="2">
        <v>16</v>
      </c>
      <c r="K1559" s="4">
        <v>2.744551197098688E-2</v>
      </c>
      <c r="L1559" s="4">
        <v>0.14670446491849751</v>
      </c>
      <c r="M1559" s="4">
        <v>0.14670446491849751</v>
      </c>
      <c r="N1559" s="10">
        <v>0.14699999999999999</v>
      </c>
      <c r="O1559" s="4">
        <v>0.73263790286009511</v>
      </c>
      <c r="P1559" s="4">
        <v>0.73</v>
      </c>
      <c r="Q1559" s="3" t="s">
        <v>1597</v>
      </c>
      <c r="R1559" s="3" t="s">
        <v>1610</v>
      </c>
      <c r="S1559" s="3" t="s">
        <v>1611</v>
      </c>
      <c r="T1559" s="3"/>
    </row>
    <row r="1560" spans="1:20">
      <c r="A1560" s="3" t="s">
        <v>1600</v>
      </c>
      <c r="B1560" s="3" t="s">
        <v>1601</v>
      </c>
      <c r="C1560" s="3" t="s">
        <v>1596</v>
      </c>
      <c r="D1560" s="3" t="s">
        <v>615</v>
      </c>
      <c r="E1560" s="3" t="s">
        <v>616</v>
      </c>
      <c r="F1560" s="2">
        <v>1</v>
      </c>
      <c r="G1560" s="4">
        <v>1.0511108897080801</v>
      </c>
      <c r="H1560" s="2">
        <v>25</v>
      </c>
      <c r="I1560" s="2">
        <v>5</v>
      </c>
      <c r="J1560" s="2">
        <v>1</v>
      </c>
      <c r="K1560" s="4">
        <v>0</v>
      </c>
      <c r="L1560" s="4">
        <v>0</v>
      </c>
      <c r="M1560" s="4">
        <v>0</v>
      </c>
      <c r="N1560" s="10">
        <v>0</v>
      </c>
      <c r="O1560" s="4">
        <v>0</v>
      </c>
      <c r="P1560" s="4">
        <v>0</v>
      </c>
      <c r="Q1560" s="3" t="s">
        <v>1617</v>
      </c>
      <c r="R1560" s="3" t="s">
        <v>1618</v>
      </c>
      <c r="S1560" s="3" t="s">
        <v>1619</v>
      </c>
      <c r="T1560" s="3"/>
    </row>
    <row r="1561" spans="1:20">
      <c r="A1561" s="3" t="s">
        <v>1600</v>
      </c>
      <c r="B1561" s="3" t="s">
        <v>1606</v>
      </c>
      <c r="C1561" s="3" t="s">
        <v>1596</v>
      </c>
      <c r="D1561" s="3" t="s">
        <v>615</v>
      </c>
      <c r="E1561" s="3" t="s">
        <v>616</v>
      </c>
      <c r="F1561" s="2">
        <v>1</v>
      </c>
      <c r="G1561" s="4">
        <v>1.0511108897080801</v>
      </c>
      <c r="H1561" s="2">
        <v>25</v>
      </c>
      <c r="I1561" s="2">
        <v>5</v>
      </c>
      <c r="J1561" s="2">
        <v>1</v>
      </c>
      <c r="K1561" s="11">
        <v>0</v>
      </c>
      <c r="L1561" s="11">
        <v>0</v>
      </c>
      <c r="M1561" s="4">
        <v>0</v>
      </c>
      <c r="N1561" s="10">
        <v>0</v>
      </c>
      <c r="O1561" s="4">
        <v>0</v>
      </c>
      <c r="P1561" s="4">
        <v>0</v>
      </c>
      <c r="Q1561" s="3" t="s">
        <v>1617</v>
      </c>
      <c r="R1561" s="3" t="s">
        <v>1621</v>
      </c>
      <c r="S1561" s="3" t="s">
        <v>1622</v>
      </c>
      <c r="T1561" s="3"/>
    </row>
    <row r="1562" spans="1:20">
      <c r="A1562" s="3" t="s">
        <v>1600</v>
      </c>
      <c r="B1562" s="3" t="s">
        <v>1609</v>
      </c>
      <c r="C1562" s="3" t="s">
        <v>1596</v>
      </c>
      <c r="D1562" s="3" t="s">
        <v>615</v>
      </c>
      <c r="E1562" s="3" t="s">
        <v>616</v>
      </c>
      <c r="F1562" s="2">
        <v>1</v>
      </c>
      <c r="G1562" s="4">
        <v>1.0511108897080801</v>
      </c>
      <c r="H1562" s="2">
        <v>25</v>
      </c>
      <c r="I1562" s="2">
        <v>5</v>
      </c>
      <c r="J1562" s="2">
        <v>1</v>
      </c>
      <c r="K1562" s="11">
        <v>0</v>
      </c>
      <c r="L1562" s="11">
        <v>0</v>
      </c>
      <c r="M1562" s="4">
        <v>0</v>
      </c>
      <c r="N1562" s="10">
        <v>0</v>
      </c>
      <c r="O1562" s="4">
        <v>0</v>
      </c>
      <c r="P1562" s="4">
        <v>0</v>
      </c>
      <c r="Q1562" s="3" t="s">
        <v>1617</v>
      </c>
      <c r="R1562" s="3" t="s">
        <v>1623</v>
      </c>
      <c r="S1562" s="3" t="s">
        <v>1624</v>
      </c>
      <c r="T1562" s="3"/>
    </row>
    <row r="1563" spans="1:20">
      <c r="A1563" s="3" t="s">
        <v>1600</v>
      </c>
      <c r="B1563" s="3" t="s">
        <v>1606</v>
      </c>
      <c r="C1563" s="3" t="s">
        <v>1616</v>
      </c>
      <c r="D1563" s="3" t="s">
        <v>615</v>
      </c>
      <c r="E1563" s="3" t="s">
        <v>616</v>
      </c>
      <c r="F1563" s="2">
        <v>1</v>
      </c>
      <c r="G1563" s="4">
        <v>1.0511108897080801</v>
      </c>
      <c r="H1563" s="2">
        <v>25</v>
      </c>
      <c r="I1563" s="2">
        <v>5</v>
      </c>
      <c r="J1563" s="2">
        <v>1</v>
      </c>
      <c r="K1563" s="4">
        <v>0</v>
      </c>
      <c r="L1563" s="4">
        <v>0</v>
      </c>
      <c r="M1563" s="4">
        <v>0</v>
      </c>
      <c r="N1563" s="10">
        <v>0</v>
      </c>
      <c r="O1563" s="4">
        <v>0</v>
      </c>
      <c r="P1563" s="4">
        <v>0</v>
      </c>
      <c r="Q1563" s="3" t="s">
        <v>1617</v>
      </c>
      <c r="R1563" s="3" t="s">
        <v>1621</v>
      </c>
      <c r="S1563" s="3" t="s">
        <v>1622</v>
      </c>
      <c r="T1563" s="3"/>
    </row>
    <row r="1564" spans="1:20">
      <c r="A1564" s="3" t="s">
        <v>1600</v>
      </c>
      <c r="B1564" s="3" t="s">
        <v>1606</v>
      </c>
      <c r="C1564" s="3" t="s">
        <v>1616</v>
      </c>
      <c r="D1564" s="3" t="s">
        <v>615</v>
      </c>
      <c r="E1564" s="3" t="s">
        <v>616</v>
      </c>
      <c r="F1564" s="2">
        <v>1</v>
      </c>
      <c r="G1564" s="4">
        <v>1.0511108897080801</v>
      </c>
      <c r="H1564" s="2">
        <v>25</v>
      </c>
      <c r="I1564" s="2">
        <v>5</v>
      </c>
      <c r="J1564" s="2">
        <v>16</v>
      </c>
      <c r="K1564" s="11">
        <v>0</v>
      </c>
      <c r="L1564" s="11">
        <v>0</v>
      </c>
      <c r="M1564" s="4">
        <v>0</v>
      </c>
      <c r="N1564" s="10">
        <v>0</v>
      </c>
      <c r="O1564" s="4">
        <v>0</v>
      </c>
      <c r="P1564" s="4">
        <v>0</v>
      </c>
      <c r="Q1564" s="3" t="s">
        <v>1617</v>
      </c>
      <c r="R1564" s="3" t="s">
        <v>1621</v>
      </c>
      <c r="S1564" s="3" t="s">
        <v>1622</v>
      </c>
      <c r="T1564" s="3"/>
    </row>
    <row r="1565" spans="1:20">
      <c r="A1565" s="3" t="s">
        <v>1600</v>
      </c>
      <c r="B1565" s="3" t="s">
        <v>1609</v>
      </c>
      <c r="C1565" s="3" t="s">
        <v>1616</v>
      </c>
      <c r="D1565" s="3" t="s">
        <v>615</v>
      </c>
      <c r="E1565" s="3" t="s">
        <v>616</v>
      </c>
      <c r="F1565" s="2">
        <v>1</v>
      </c>
      <c r="G1565" s="4">
        <v>1.0511108897080801</v>
      </c>
      <c r="H1565" s="2">
        <v>25</v>
      </c>
      <c r="I1565" s="2">
        <v>5</v>
      </c>
      <c r="J1565" s="2">
        <v>1</v>
      </c>
      <c r="K1565" s="4">
        <v>0</v>
      </c>
      <c r="L1565" s="4">
        <v>0</v>
      </c>
      <c r="M1565" s="4">
        <v>0</v>
      </c>
      <c r="N1565" s="10">
        <v>0</v>
      </c>
      <c r="O1565" s="4">
        <v>0</v>
      </c>
      <c r="P1565" s="4">
        <v>0</v>
      </c>
      <c r="Q1565" s="3" t="s">
        <v>1617</v>
      </c>
      <c r="R1565" s="3" t="s">
        <v>1623</v>
      </c>
      <c r="S1565" s="3" t="s">
        <v>1624</v>
      </c>
      <c r="T1565" s="3"/>
    </row>
    <row r="1566" spans="1:20">
      <c r="A1566" s="3" t="s">
        <v>1600</v>
      </c>
      <c r="B1566" s="3" t="s">
        <v>1609</v>
      </c>
      <c r="C1566" s="3" t="s">
        <v>1616</v>
      </c>
      <c r="D1566" s="3" t="s">
        <v>615</v>
      </c>
      <c r="E1566" s="3" t="s">
        <v>616</v>
      </c>
      <c r="F1566" s="2">
        <v>1</v>
      </c>
      <c r="G1566" s="4">
        <v>1.0511108897080801</v>
      </c>
      <c r="H1566" s="2">
        <v>25</v>
      </c>
      <c r="I1566" s="2">
        <v>5</v>
      </c>
      <c r="J1566" s="2">
        <v>16</v>
      </c>
      <c r="K1566" s="11">
        <v>0</v>
      </c>
      <c r="L1566" s="11">
        <v>0</v>
      </c>
      <c r="M1566" s="4">
        <v>0</v>
      </c>
      <c r="N1566" s="10">
        <v>0</v>
      </c>
      <c r="O1566" s="4">
        <v>0</v>
      </c>
      <c r="P1566" s="4">
        <v>0</v>
      </c>
      <c r="Q1566" s="3" t="s">
        <v>1617</v>
      </c>
      <c r="R1566" s="3" t="s">
        <v>1623</v>
      </c>
      <c r="S1566" s="3" t="s">
        <v>1624</v>
      </c>
      <c r="T1566" s="3"/>
    </row>
    <row r="1567" spans="1:20">
      <c r="A1567" s="3" t="s">
        <v>1600</v>
      </c>
      <c r="B1567" s="3" t="s">
        <v>1601</v>
      </c>
      <c r="C1567" s="3" t="s">
        <v>1616</v>
      </c>
      <c r="D1567" s="3" t="s">
        <v>615</v>
      </c>
      <c r="E1567" s="3" t="s">
        <v>616</v>
      </c>
      <c r="F1567" s="2">
        <v>1</v>
      </c>
      <c r="G1567" s="4">
        <v>1.0511108897080801</v>
      </c>
      <c r="H1567" s="2">
        <v>25</v>
      </c>
      <c r="I1567" s="2">
        <v>5</v>
      </c>
      <c r="J1567" s="2">
        <v>1</v>
      </c>
      <c r="K1567" s="4">
        <v>1.1435782697112207E-2</v>
      </c>
      <c r="L1567" s="4">
        <v>-1.5017956252040483E-2</v>
      </c>
      <c r="M1567" s="4">
        <v>1.5017956252040483E-2</v>
      </c>
      <c r="N1567" s="10">
        <v>1.4999999999999999E-2</v>
      </c>
      <c r="O1567" s="4">
        <v>7.446366969554942E-2</v>
      </c>
      <c r="P1567" s="4">
        <v>-7.0000000000000007E-2</v>
      </c>
      <c r="Q1567" s="3" t="s">
        <v>1617</v>
      </c>
      <c r="R1567" s="3" t="s">
        <v>1618</v>
      </c>
      <c r="S1567" s="3" t="s">
        <v>1619</v>
      </c>
      <c r="T1567" s="3"/>
    </row>
    <row r="1568" spans="1:20">
      <c r="A1568" s="3" t="s">
        <v>1600</v>
      </c>
      <c r="B1568" s="3" t="s">
        <v>1601</v>
      </c>
      <c r="C1568" s="3" t="s">
        <v>1596</v>
      </c>
      <c r="D1568" s="3" t="s">
        <v>615</v>
      </c>
      <c r="E1568" s="3" t="s">
        <v>616</v>
      </c>
      <c r="F1568" s="2">
        <v>1</v>
      </c>
      <c r="G1568" s="4">
        <v>1.0511108897080801</v>
      </c>
      <c r="H1568" s="2">
        <v>25</v>
      </c>
      <c r="I1568" s="2">
        <v>5</v>
      </c>
      <c r="J1568" s="2">
        <v>16</v>
      </c>
      <c r="K1568" s="4">
        <v>4.7395674861104298E-2</v>
      </c>
      <c r="L1568" s="4">
        <v>-5.3556214042204481E-2</v>
      </c>
      <c r="M1568" s="4">
        <v>5.3556214042204481E-2</v>
      </c>
      <c r="N1568" s="10">
        <v>5.3999999999999999E-2</v>
      </c>
      <c r="O1568" s="4">
        <v>0.26578260694477401</v>
      </c>
      <c r="P1568" s="4">
        <v>-0.27</v>
      </c>
      <c r="Q1568" s="3" t="s">
        <v>1617</v>
      </c>
      <c r="R1568" s="3" t="s">
        <v>1618</v>
      </c>
      <c r="S1568" s="3" t="s">
        <v>1619</v>
      </c>
      <c r="T1568" s="3"/>
    </row>
    <row r="1569" spans="1:20">
      <c r="A1569" s="3" t="s">
        <v>1604</v>
      </c>
      <c r="B1569" s="3" t="s">
        <v>1601</v>
      </c>
      <c r="C1569" s="3" t="s">
        <v>1596</v>
      </c>
      <c r="D1569" s="3" t="s">
        <v>615</v>
      </c>
      <c r="E1569" s="3" t="s">
        <v>616</v>
      </c>
      <c r="F1569" s="2">
        <v>1</v>
      </c>
      <c r="G1569" s="4">
        <v>1.0511108897080801</v>
      </c>
      <c r="H1569" s="2">
        <v>25</v>
      </c>
      <c r="I1569" s="2">
        <v>30</v>
      </c>
      <c r="J1569" s="2">
        <v>16</v>
      </c>
      <c r="K1569" s="4">
        <v>1.9254316842778119E-2</v>
      </c>
      <c r="L1569" s="4">
        <v>-5.6764427625354781E-2</v>
      </c>
      <c r="M1569" s="4">
        <v>5.6764427625354781E-2</v>
      </c>
      <c r="N1569" s="10">
        <v>5.7000000000000002E-2</v>
      </c>
      <c r="O1569" s="4">
        <v>0.28173728421315003</v>
      </c>
      <c r="P1569" s="4">
        <v>-0.28000000000000003</v>
      </c>
      <c r="Q1569" s="3" t="s">
        <v>1617</v>
      </c>
      <c r="R1569" s="3" t="s">
        <v>1618</v>
      </c>
      <c r="S1569" s="3" t="s">
        <v>1619</v>
      </c>
      <c r="T1569" s="3"/>
    </row>
    <row r="1570" spans="1:20">
      <c r="A1570" s="3" t="s">
        <v>1594</v>
      </c>
      <c r="B1570" s="3" t="s">
        <v>1595</v>
      </c>
      <c r="C1570" s="3" t="s">
        <v>1596</v>
      </c>
      <c r="D1570" s="3" t="s">
        <v>615</v>
      </c>
      <c r="E1570" s="3" t="s">
        <v>616</v>
      </c>
      <c r="F1570" s="2">
        <v>1</v>
      </c>
      <c r="G1570" s="4">
        <v>1.0511108897080801</v>
      </c>
      <c r="H1570" s="2">
        <v>50</v>
      </c>
      <c r="I1570" s="2">
        <v>5</v>
      </c>
      <c r="J1570" s="2">
        <v>16</v>
      </c>
      <c r="K1570" s="4">
        <v>0.33552488824683896</v>
      </c>
      <c r="L1570" s="14">
        <v>-0.14456166284012276</v>
      </c>
      <c r="M1570" s="4">
        <v>0.14456166284012276</v>
      </c>
      <c r="N1570" s="10">
        <v>0.14499999999999999</v>
      </c>
      <c r="O1570" s="4">
        <v>0.78230568754382035</v>
      </c>
      <c r="P1570" s="4">
        <v>-0.78</v>
      </c>
      <c r="Q1570" s="3" t="s">
        <v>1617</v>
      </c>
      <c r="R1570" s="3" t="s">
        <v>1625</v>
      </c>
      <c r="S1570" s="3" t="s">
        <v>1626</v>
      </c>
      <c r="T1570" s="3"/>
    </row>
    <row r="1571" spans="1:20">
      <c r="A1571" s="3" t="s">
        <v>1604</v>
      </c>
      <c r="B1571" s="3" t="s">
        <v>1601</v>
      </c>
      <c r="C1571" s="3" t="s">
        <v>1616</v>
      </c>
      <c r="D1571" s="3" t="s">
        <v>615</v>
      </c>
      <c r="E1571" s="3" t="s">
        <v>616</v>
      </c>
      <c r="F1571" s="2">
        <v>1</v>
      </c>
      <c r="G1571" s="4">
        <v>1.0511108897080801</v>
      </c>
      <c r="H1571" s="2">
        <v>25</v>
      </c>
      <c r="I1571" s="2">
        <v>30</v>
      </c>
      <c r="J1571" s="2">
        <v>16</v>
      </c>
      <c r="K1571" s="4">
        <v>2.8608085601412703E-2</v>
      </c>
      <c r="L1571" s="4">
        <v>-0.17167515857335969</v>
      </c>
      <c r="M1571" s="4">
        <v>0.17167515857335969</v>
      </c>
      <c r="N1571" s="10">
        <v>0.17199999999999999</v>
      </c>
      <c r="O1571" s="4">
        <v>0.85966740505391204</v>
      </c>
      <c r="P1571" s="4">
        <v>-0.86</v>
      </c>
      <c r="Q1571" s="3" t="s">
        <v>1617</v>
      </c>
      <c r="R1571" s="3" t="s">
        <v>1618</v>
      </c>
      <c r="S1571" s="3" t="s">
        <v>1619</v>
      </c>
      <c r="T1571" s="3"/>
    </row>
    <row r="1572" spans="1:20">
      <c r="A1572" s="12" t="s">
        <v>1605</v>
      </c>
      <c r="B1572" s="3" t="s">
        <v>1601</v>
      </c>
      <c r="C1572" s="3" t="s">
        <v>1596</v>
      </c>
      <c r="D1572" s="3" t="s">
        <v>615</v>
      </c>
      <c r="E1572" s="3" t="s">
        <v>616</v>
      </c>
      <c r="F1572" s="2">
        <v>1</v>
      </c>
      <c r="G1572" s="4">
        <v>1.0511108897080801</v>
      </c>
      <c r="H1572" s="2">
        <v>25</v>
      </c>
      <c r="I1572" s="2">
        <v>5</v>
      </c>
      <c r="J1572" s="2">
        <v>16</v>
      </c>
      <c r="K1572" s="11">
        <v>8.3232692006013353E-3</v>
      </c>
      <c r="L1572" s="11">
        <v>-0.22719812426729191</v>
      </c>
      <c r="M1572" s="4">
        <v>0.22719812426729191</v>
      </c>
      <c r="N1572" s="10">
        <v>0.22700000000000001</v>
      </c>
      <c r="O1572" s="4">
        <v>1.1464389721319848</v>
      </c>
      <c r="P1572" s="4">
        <v>-1.1499999999999999</v>
      </c>
      <c r="Q1572" s="3" t="s">
        <v>1617</v>
      </c>
      <c r="R1572" s="3" t="s">
        <v>1618</v>
      </c>
      <c r="S1572" s="3" t="s">
        <v>1619</v>
      </c>
      <c r="T1572" s="3"/>
    </row>
    <row r="1573" spans="1:20">
      <c r="A1573" s="3" t="s">
        <v>1600</v>
      </c>
      <c r="B1573" s="3" t="s">
        <v>1606</v>
      </c>
      <c r="C1573" s="3" t="s">
        <v>1596</v>
      </c>
      <c r="D1573" s="3" t="s">
        <v>615</v>
      </c>
      <c r="E1573" s="3" t="s">
        <v>616</v>
      </c>
      <c r="F1573" s="2">
        <v>1</v>
      </c>
      <c r="G1573" s="4">
        <v>1.0511108897080801</v>
      </c>
      <c r="H1573" s="2">
        <v>25</v>
      </c>
      <c r="I1573" s="2">
        <v>5</v>
      </c>
      <c r="J1573" s="2">
        <v>16</v>
      </c>
      <c r="K1573" s="11">
        <v>4.5695410140209058E-2</v>
      </c>
      <c r="L1573" s="11">
        <v>-1</v>
      </c>
      <c r="M1573" s="4">
        <v>1</v>
      </c>
      <c r="N1573" s="10">
        <v>0.995</v>
      </c>
      <c r="O1573" s="4">
        <v>14.85</v>
      </c>
      <c r="P1573" s="4">
        <v>-14.85</v>
      </c>
      <c r="Q1573" s="3" t="s">
        <v>1617</v>
      </c>
      <c r="R1573" s="3" t="s">
        <v>1621</v>
      </c>
      <c r="S1573" s="3" t="s">
        <v>1622</v>
      </c>
      <c r="T1573" s="3"/>
    </row>
    <row r="1574" spans="1:20">
      <c r="A1574" s="3" t="s">
        <v>1594</v>
      </c>
      <c r="B1574" s="3" t="s">
        <v>1595</v>
      </c>
      <c r="C1574" s="3" t="s">
        <v>1596</v>
      </c>
      <c r="D1574" s="3" t="s">
        <v>338</v>
      </c>
      <c r="E1574" s="3" t="s">
        <v>339</v>
      </c>
      <c r="F1574" s="2">
        <v>1</v>
      </c>
      <c r="G1574" s="4">
        <v>1.0514810664231657</v>
      </c>
      <c r="H1574" s="2">
        <v>50</v>
      </c>
      <c r="I1574" s="2">
        <v>5</v>
      </c>
      <c r="J1574" s="2">
        <v>16</v>
      </c>
      <c r="K1574" s="4">
        <v>0.65878287369395805</v>
      </c>
      <c r="L1574" s="14">
        <v>0.1578827082309385</v>
      </c>
      <c r="M1574" s="4">
        <v>0.1578827082309385</v>
      </c>
      <c r="N1574" s="10">
        <v>0.158</v>
      </c>
      <c r="O1574" s="4">
        <v>0.85556496311564811</v>
      </c>
      <c r="P1574" s="4">
        <v>0.86</v>
      </c>
      <c r="Q1574" s="3" t="s">
        <v>1597</v>
      </c>
      <c r="R1574" s="3" t="s">
        <v>1598</v>
      </c>
      <c r="S1574" s="3" t="s">
        <v>1599</v>
      </c>
      <c r="T1574" s="3"/>
    </row>
    <row r="1575" spans="1:20">
      <c r="A1575" s="3" t="s">
        <v>1594</v>
      </c>
      <c r="B1575" s="3" t="s">
        <v>1612</v>
      </c>
      <c r="C1575" s="3" t="s">
        <v>1596</v>
      </c>
      <c r="D1575" s="3" t="s">
        <v>338</v>
      </c>
      <c r="E1575" s="3" t="s">
        <v>339</v>
      </c>
      <c r="F1575" s="2">
        <v>1</v>
      </c>
      <c r="G1575" s="4">
        <v>1.0514810664231657</v>
      </c>
      <c r="H1575" s="2">
        <v>50</v>
      </c>
      <c r="I1575" s="2">
        <v>5</v>
      </c>
      <c r="J1575" s="2">
        <v>16</v>
      </c>
      <c r="K1575" s="4">
        <v>0.63457405675989376</v>
      </c>
      <c r="L1575" s="14">
        <v>-9.8135687529067844E-2</v>
      </c>
      <c r="M1575" s="4">
        <v>9.8135687529067844E-2</v>
      </c>
      <c r="N1575" s="10">
        <v>9.8000000000000004E-2</v>
      </c>
      <c r="O1575" s="4">
        <v>0.52905069580595754</v>
      </c>
      <c r="P1575" s="4">
        <v>-0.53</v>
      </c>
      <c r="Q1575" s="3" t="s">
        <v>1617</v>
      </c>
      <c r="R1575" s="3" t="s">
        <v>1627</v>
      </c>
      <c r="S1575" s="3" t="s">
        <v>1628</v>
      </c>
      <c r="T1575" s="3"/>
    </row>
    <row r="1576" spans="1:20">
      <c r="A1576" s="3" t="s">
        <v>1600</v>
      </c>
      <c r="B1576" s="3" t="s">
        <v>1609</v>
      </c>
      <c r="C1576" s="3" t="s">
        <v>1616</v>
      </c>
      <c r="D1576" s="3" t="s">
        <v>338</v>
      </c>
      <c r="E1576" s="3" t="s">
        <v>339</v>
      </c>
      <c r="F1576" s="2">
        <v>1</v>
      </c>
      <c r="G1576" s="4">
        <v>1.0514810664231657</v>
      </c>
      <c r="H1576" s="2">
        <v>25</v>
      </c>
      <c r="I1576" s="2">
        <v>5</v>
      </c>
      <c r="J1576" s="2">
        <v>1</v>
      </c>
      <c r="K1576" s="4">
        <v>1</v>
      </c>
      <c r="L1576" s="4">
        <v>-0.76921442413180852</v>
      </c>
      <c r="M1576" s="4">
        <v>0.76921442413180852</v>
      </c>
      <c r="N1576" s="10">
        <v>0.76900000000000002</v>
      </c>
      <c r="O1576" s="4">
        <v>5.0491669957453045</v>
      </c>
      <c r="P1576" s="4">
        <v>-5.05</v>
      </c>
      <c r="Q1576" s="3" t="s">
        <v>1617</v>
      </c>
      <c r="R1576" s="3" t="s">
        <v>1623</v>
      </c>
      <c r="S1576" s="3" t="s">
        <v>1624</v>
      </c>
      <c r="T1576" s="3"/>
    </row>
    <row r="1577" spans="1:20">
      <c r="A1577" s="3" t="s">
        <v>1600</v>
      </c>
      <c r="B1577" s="3" t="s">
        <v>1609</v>
      </c>
      <c r="C1577" s="3" t="s">
        <v>1616</v>
      </c>
      <c r="D1577" s="3" t="s">
        <v>338</v>
      </c>
      <c r="E1577" s="3" t="s">
        <v>339</v>
      </c>
      <c r="F1577" s="2">
        <v>1</v>
      </c>
      <c r="G1577" s="4">
        <v>1.0514810664231657</v>
      </c>
      <c r="H1577" s="2">
        <v>25</v>
      </c>
      <c r="I1577" s="2">
        <v>5</v>
      </c>
      <c r="J1577" s="2">
        <v>16</v>
      </c>
      <c r="K1577" s="11">
        <v>0.97438048709105574</v>
      </c>
      <c r="L1577" s="11">
        <v>-0.79007746758310393</v>
      </c>
      <c r="M1577" s="4">
        <v>0.79007746758310393</v>
      </c>
      <c r="N1577" s="10">
        <v>0.79</v>
      </c>
      <c r="O1577" s="4">
        <v>5.3131120186953948</v>
      </c>
      <c r="P1577" s="4">
        <v>-5.31</v>
      </c>
      <c r="Q1577" s="3" t="s">
        <v>1617</v>
      </c>
      <c r="R1577" s="3" t="s">
        <v>1623</v>
      </c>
      <c r="S1577" s="3" t="s">
        <v>1624</v>
      </c>
      <c r="T1577" s="3"/>
    </row>
    <row r="1578" spans="1:20">
      <c r="A1578" s="3" t="s">
        <v>1600</v>
      </c>
      <c r="B1578" s="3" t="s">
        <v>1606</v>
      </c>
      <c r="C1578" s="3" t="s">
        <v>1616</v>
      </c>
      <c r="D1578" s="3" t="s">
        <v>338</v>
      </c>
      <c r="E1578" s="3" t="s">
        <v>339</v>
      </c>
      <c r="F1578" s="2">
        <v>1</v>
      </c>
      <c r="G1578" s="4">
        <v>1.0514810664231657</v>
      </c>
      <c r="H1578" s="2">
        <v>25</v>
      </c>
      <c r="I1578" s="2">
        <v>5</v>
      </c>
      <c r="J1578" s="2">
        <v>16</v>
      </c>
      <c r="K1578" s="11">
        <v>1</v>
      </c>
      <c r="L1578" s="11">
        <v>-0.84988691257364646</v>
      </c>
      <c r="M1578" s="4">
        <v>0.84988691257364646</v>
      </c>
      <c r="N1578" s="10">
        <v>0.85</v>
      </c>
      <c r="O1578" s="4">
        <v>6.2259059178224812</v>
      </c>
      <c r="P1578" s="4">
        <v>-6.23</v>
      </c>
      <c r="Q1578" s="3" t="s">
        <v>1617</v>
      </c>
      <c r="R1578" s="3" t="s">
        <v>1621</v>
      </c>
      <c r="S1578" s="3" t="s">
        <v>1622</v>
      </c>
      <c r="T1578" s="3"/>
    </row>
    <row r="1579" spans="1:20">
      <c r="A1579" s="3" t="s">
        <v>1600</v>
      </c>
      <c r="B1579" s="3" t="s">
        <v>1609</v>
      </c>
      <c r="C1579" s="3" t="s">
        <v>1596</v>
      </c>
      <c r="D1579" s="3" t="s">
        <v>338</v>
      </c>
      <c r="E1579" s="3" t="s">
        <v>339</v>
      </c>
      <c r="F1579" s="2">
        <v>1</v>
      </c>
      <c r="G1579" s="4">
        <v>1.0514810664231657</v>
      </c>
      <c r="H1579" s="2">
        <v>25</v>
      </c>
      <c r="I1579" s="2">
        <v>5</v>
      </c>
      <c r="J1579" s="2">
        <v>16</v>
      </c>
      <c r="K1579" s="4">
        <v>1</v>
      </c>
      <c r="L1579" s="4">
        <v>-0.87665177257798133</v>
      </c>
      <c r="M1579" s="4">
        <v>0.87665177257798133</v>
      </c>
      <c r="N1579" s="10">
        <v>0.877</v>
      </c>
      <c r="O1579" s="4">
        <v>6.748329029978958</v>
      </c>
      <c r="P1579" s="4">
        <v>-6.76</v>
      </c>
      <c r="Q1579" s="3" t="s">
        <v>1617</v>
      </c>
      <c r="R1579" s="3" t="s">
        <v>1623</v>
      </c>
      <c r="S1579" s="3" t="s">
        <v>1624</v>
      </c>
      <c r="T1579" s="3"/>
    </row>
    <row r="1580" spans="1:20">
      <c r="A1580" s="3" t="s">
        <v>1604</v>
      </c>
      <c r="B1580" s="3" t="s">
        <v>1601</v>
      </c>
      <c r="C1580" s="3" t="s">
        <v>1596</v>
      </c>
      <c r="D1580" s="3" t="s">
        <v>338</v>
      </c>
      <c r="E1580" s="3" t="s">
        <v>339</v>
      </c>
      <c r="F1580" s="2">
        <v>1</v>
      </c>
      <c r="G1580" s="4">
        <v>1.0514810664231657</v>
      </c>
      <c r="H1580" s="2">
        <v>25</v>
      </c>
      <c r="I1580" s="2">
        <v>30</v>
      </c>
      <c r="J1580" s="2">
        <v>16</v>
      </c>
      <c r="K1580" s="4">
        <v>1</v>
      </c>
      <c r="L1580" s="4">
        <v>-0.88402023226016935</v>
      </c>
      <c r="M1580" s="4">
        <v>0.88402023226016935</v>
      </c>
      <c r="N1580" s="10">
        <v>0.88400000000000001</v>
      </c>
      <c r="O1580" s="4">
        <v>6.9107371693496198</v>
      </c>
      <c r="P1580" s="4">
        <v>-6.91</v>
      </c>
      <c r="Q1580" s="3" t="s">
        <v>1617</v>
      </c>
      <c r="R1580" s="3" t="s">
        <v>1618</v>
      </c>
      <c r="S1580" s="3" t="s">
        <v>1619</v>
      </c>
      <c r="T1580" s="3"/>
    </row>
    <row r="1581" spans="1:20">
      <c r="A1581" s="3" t="s">
        <v>1600</v>
      </c>
      <c r="B1581" s="3" t="s">
        <v>1609</v>
      </c>
      <c r="C1581" s="3" t="s">
        <v>1596</v>
      </c>
      <c r="D1581" s="3" t="s">
        <v>338</v>
      </c>
      <c r="E1581" s="3" t="s">
        <v>339</v>
      </c>
      <c r="F1581" s="2">
        <v>1</v>
      </c>
      <c r="G1581" s="4">
        <v>1.0514810664231657</v>
      </c>
      <c r="H1581" s="2">
        <v>25</v>
      </c>
      <c r="I1581" s="2">
        <v>5</v>
      </c>
      <c r="J1581" s="2">
        <v>1</v>
      </c>
      <c r="K1581" s="11">
        <v>1</v>
      </c>
      <c r="L1581" s="11">
        <v>-0.90326875824621478</v>
      </c>
      <c r="M1581" s="4">
        <v>0.90326875824621478</v>
      </c>
      <c r="N1581" s="10">
        <v>0.90300000000000002</v>
      </c>
      <c r="O1581" s="4">
        <v>7.3858170975965303</v>
      </c>
      <c r="P1581" s="4">
        <v>-7.38</v>
      </c>
      <c r="Q1581" s="3" t="s">
        <v>1617</v>
      </c>
      <c r="R1581" s="3" t="s">
        <v>1623</v>
      </c>
      <c r="S1581" s="3" t="s">
        <v>1624</v>
      </c>
      <c r="T1581" s="3"/>
    </row>
    <row r="1582" spans="1:20">
      <c r="A1582" s="3" t="s">
        <v>1600</v>
      </c>
      <c r="B1582" s="3" t="s">
        <v>1606</v>
      </c>
      <c r="C1582" s="3" t="s">
        <v>1616</v>
      </c>
      <c r="D1582" s="3" t="s">
        <v>338</v>
      </c>
      <c r="E1582" s="3" t="s">
        <v>339</v>
      </c>
      <c r="F1582" s="2">
        <v>1</v>
      </c>
      <c r="G1582" s="4">
        <v>1.0514810664231657</v>
      </c>
      <c r="H1582" s="2">
        <v>25</v>
      </c>
      <c r="I1582" s="2">
        <v>5</v>
      </c>
      <c r="J1582" s="2">
        <v>1</v>
      </c>
      <c r="K1582" s="4">
        <v>1</v>
      </c>
      <c r="L1582" s="4">
        <v>-0.91419529139328448</v>
      </c>
      <c r="M1582" s="4">
        <v>0.91419529139328448</v>
      </c>
      <c r="N1582" s="10">
        <v>0.91400000000000003</v>
      </c>
      <c r="O1582" s="4">
        <v>7.6971434212008925</v>
      </c>
      <c r="P1582" s="4">
        <v>-7.69</v>
      </c>
      <c r="Q1582" s="3" t="s">
        <v>1617</v>
      </c>
      <c r="R1582" s="3" t="s">
        <v>1621</v>
      </c>
      <c r="S1582" s="3" t="s">
        <v>1622</v>
      </c>
      <c r="T1582" s="3"/>
    </row>
    <row r="1583" spans="1:20">
      <c r="A1583" s="3" t="s">
        <v>1604</v>
      </c>
      <c r="B1583" s="3" t="s">
        <v>1601</v>
      </c>
      <c r="C1583" s="3" t="s">
        <v>1616</v>
      </c>
      <c r="D1583" s="3" t="s">
        <v>338</v>
      </c>
      <c r="E1583" s="3" t="s">
        <v>339</v>
      </c>
      <c r="F1583" s="2">
        <v>1</v>
      </c>
      <c r="G1583" s="4">
        <v>1.0514810664231657</v>
      </c>
      <c r="H1583" s="2">
        <v>25</v>
      </c>
      <c r="I1583" s="2">
        <v>30</v>
      </c>
      <c r="J1583" s="2">
        <v>16</v>
      </c>
      <c r="K1583" s="4">
        <v>1</v>
      </c>
      <c r="L1583" s="4">
        <v>-0.91590521928203728</v>
      </c>
      <c r="M1583" s="4">
        <v>0.91590521928203728</v>
      </c>
      <c r="N1583" s="10">
        <v>0.91600000000000004</v>
      </c>
      <c r="O1583" s="4">
        <v>7.7492569560081952</v>
      </c>
      <c r="P1583" s="4">
        <v>-7.75</v>
      </c>
      <c r="Q1583" s="3" t="s">
        <v>1617</v>
      </c>
      <c r="R1583" s="3" t="s">
        <v>1618</v>
      </c>
      <c r="S1583" s="3" t="s">
        <v>1619</v>
      </c>
      <c r="T1583" s="3"/>
    </row>
    <row r="1584" spans="1:20">
      <c r="A1584" s="3" t="s">
        <v>1600</v>
      </c>
      <c r="B1584" s="3" t="s">
        <v>1601</v>
      </c>
      <c r="C1584" s="3" t="s">
        <v>1596</v>
      </c>
      <c r="D1584" s="3" t="s">
        <v>338</v>
      </c>
      <c r="E1584" s="3" t="s">
        <v>339</v>
      </c>
      <c r="F1584" s="2">
        <v>1</v>
      </c>
      <c r="G1584" s="4">
        <v>1.0514810664231657</v>
      </c>
      <c r="H1584" s="2">
        <v>25</v>
      </c>
      <c r="I1584" s="2">
        <v>5</v>
      </c>
      <c r="J1584" s="2">
        <v>1</v>
      </c>
      <c r="K1584" s="4">
        <v>0.88318209860270658</v>
      </c>
      <c r="L1584" s="4">
        <v>-0.93221650868338124</v>
      </c>
      <c r="M1584" s="4">
        <v>0.93221650868338124</v>
      </c>
      <c r="N1584" s="10">
        <v>0.93200000000000005</v>
      </c>
      <c r="O1584" s="4">
        <v>8.3048021871494182</v>
      </c>
      <c r="P1584" s="4">
        <v>-8.3000000000000007</v>
      </c>
      <c r="Q1584" s="3" t="s">
        <v>1617</v>
      </c>
      <c r="R1584" s="3" t="s">
        <v>1618</v>
      </c>
      <c r="S1584" s="3" t="s">
        <v>1619</v>
      </c>
      <c r="T1584" s="3"/>
    </row>
    <row r="1585" spans="1:20">
      <c r="A1585" s="3" t="s">
        <v>1600</v>
      </c>
      <c r="B1585" s="3" t="s">
        <v>1601</v>
      </c>
      <c r="C1585" s="3" t="s">
        <v>1616</v>
      </c>
      <c r="D1585" s="3" t="s">
        <v>338</v>
      </c>
      <c r="E1585" s="3" t="s">
        <v>339</v>
      </c>
      <c r="F1585" s="2">
        <v>1</v>
      </c>
      <c r="G1585" s="4">
        <v>1.0514810664231657</v>
      </c>
      <c r="H1585" s="2">
        <v>25</v>
      </c>
      <c r="I1585" s="2">
        <v>5</v>
      </c>
      <c r="J1585" s="2">
        <v>16</v>
      </c>
      <c r="K1585" s="4">
        <v>1</v>
      </c>
      <c r="L1585" s="4">
        <v>-0.93795085700923386</v>
      </c>
      <c r="M1585" s="4">
        <v>0.93795085700923386</v>
      </c>
      <c r="N1585" s="10">
        <v>0.93799999999999994</v>
      </c>
      <c r="O1585" s="4">
        <v>8.5312691575796435</v>
      </c>
      <c r="P1585" s="4">
        <v>-8.5299999999999994</v>
      </c>
      <c r="Q1585" s="3" t="s">
        <v>1617</v>
      </c>
      <c r="R1585" s="3" t="s">
        <v>1618</v>
      </c>
      <c r="S1585" s="3" t="s">
        <v>1619</v>
      </c>
      <c r="T1585" s="3"/>
    </row>
    <row r="1586" spans="1:20">
      <c r="A1586" s="12" t="s">
        <v>1605</v>
      </c>
      <c r="B1586" s="3" t="s">
        <v>1601</v>
      </c>
      <c r="C1586" s="3" t="s">
        <v>1596</v>
      </c>
      <c r="D1586" s="3" t="s">
        <v>338</v>
      </c>
      <c r="E1586" s="3" t="s">
        <v>339</v>
      </c>
      <c r="F1586" s="2">
        <v>1</v>
      </c>
      <c r="G1586" s="4">
        <v>1.0514810664231657</v>
      </c>
      <c r="H1586" s="2">
        <v>25</v>
      </c>
      <c r="I1586" s="2">
        <v>5</v>
      </c>
      <c r="J1586" s="2">
        <v>16</v>
      </c>
      <c r="K1586" s="11">
        <v>1</v>
      </c>
      <c r="L1586" s="11">
        <v>-0.93907298603088285</v>
      </c>
      <c r="M1586" s="4">
        <v>0.93907298603088285</v>
      </c>
      <c r="N1586" s="10">
        <v>0.93899999999999995</v>
      </c>
      <c r="O1586" s="4">
        <v>8.5779454151390446</v>
      </c>
      <c r="P1586" s="4">
        <v>-8.57</v>
      </c>
      <c r="Q1586" s="3" t="s">
        <v>1617</v>
      </c>
      <c r="R1586" s="3" t="s">
        <v>1618</v>
      </c>
      <c r="S1586" s="3" t="s">
        <v>1619</v>
      </c>
      <c r="T1586" s="3"/>
    </row>
    <row r="1587" spans="1:20">
      <c r="A1587" s="3" t="s">
        <v>1600</v>
      </c>
      <c r="B1587" s="3" t="s">
        <v>1601</v>
      </c>
      <c r="C1587" s="3" t="s">
        <v>1616</v>
      </c>
      <c r="D1587" s="3" t="s">
        <v>338</v>
      </c>
      <c r="E1587" s="3" t="s">
        <v>339</v>
      </c>
      <c r="F1587" s="2">
        <v>1</v>
      </c>
      <c r="G1587" s="4">
        <v>1.0514810664231657</v>
      </c>
      <c r="H1587" s="2">
        <v>25</v>
      </c>
      <c r="I1587" s="2">
        <v>5</v>
      </c>
      <c r="J1587" s="2">
        <v>1</v>
      </c>
      <c r="K1587" s="4">
        <v>1</v>
      </c>
      <c r="L1587" s="4">
        <v>-0.93911516964614594</v>
      </c>
      <c r="M1587" s="4">
        <v>0.93911516964614594</v>
      </c>
      <c r="N1587" s="10">
        <v>0.93899999999999995</v>
      </c>
      <c r="O1587" s="4">
        <v>8.579716283823462</v>
      </c>
      <c r="P1587" s="4">
        <v>-8.57</v>
      </c>
      <c r="Q1587" s="3" t="s">
        <v>1617</v>
      </c>
      <c r="R1587" s="3" t="s">
        <v>1618</v>
      </c>
      <c r="S1587" s="3" t="s">
        <v>1619</v>
      </c>
      <c r="T1587" s="3"/>
    </row>
    <row r="1588" spans="1:20">
      <c r="A1588" s="3" t="s">
        <v>1600</v>
      </c>
      <c r="B1588" s="3" t="s">
        <v>1601</v>
      </c>
      <c r="C1588" s="3" t="s">
        <v>1596</v>
      </c>
      <c r="D1588" s="3" t="s">
        <v>338</v>
      </c>
      <c r="E1588" s="3" t="s">
        <v>339</v>
      </c>
      <c r="F1588" s="2">
        <v>1</v>
      </c>
      <c r="G1588" s="4">
        <v>1.0514810664231657</v>
      </c>
      <c r="H1588" s="2">
        <v>25</v>
      </c>
      <c r="I1588" s="2">
        <v>5</v>
      </c>
      <c r="J1588" s="2">
        <v>16</v>
      </c>
      <c r="K1588" s="4">
        <v>1</v>
      </c>
      <c r="L1588" s="4">
        <v>-0.94614717179143715</v>
      </c>
      <c r="M1588" s="4">
        <v>0.94614717179143715</v>
      </c>
      <c r="N1588" s="10">
        <v>0.94599999999999995</v>
      </c>
      <c r="O1588" s="4">
        <v>8.8929313547224762</v>
      </c>
      <c r="P1588" s="4">
        <v>-8.89</v>
      </c>
      <c r="Q1588" s="3" t="s">
        <v>1617</v>
      </c>
      <c r="R1588" s="3" t="s">
        <v>1618</v>
      </c>
      <c r="S1588" s="3" t="s">
        <v>1619</v>
      </c>
      <c r="T1588" s="3"/>
    </row>
    <row r="1589" spans="1:20">
      <c r="A1589" s="3" t="s">
        <v>1600</v>
      </c>
      <c r="B1589" s="3" t="s">
        <v>1606</v>
      </c>
      <c r="C1589" s="3" t="s">
        <v>1596</v>
      </c>
      <c r="D1589" s="3" t="s">
        <v>338</v>
      </c>
      <c r="E1589" s="3" t="s">
        <v>339</v>
      </c>
      <c r="F1589" s="2">
        <v>1</v>
      </c>
      <c r="G1589" s="4">
        <v>1.0514810664231657</v>
      </c>
      <c r="H1589" s="2">
        <v>25</v>
      </c>
      <c r="I1589" s="2">
        <v>5</v>
      </c>
      <c r="J1589" s="2">
        <v>16</v>
      </c>
      <c r="K1589" s="11">
        <v>1</v>
      </c>
      <c r="L1589" s="11">
        <v>-0.96287992662607325</v>
      </c>
      <c r="M1589" s="4">
        <v>0.96287992662607325</v>
      </c>
      <c r="N1589" s="10">
        <v>0.96299999999999997</v>
      </c>
      <c r="O1589" s="4">
        <v>9.8365708539492474</v>
      </c>
      <c r="P1589" s="4">
        <v>-9.84</v>
      </c>
      <c r="Q1589" s="3" t="s">
        <v>1617</v>
      </c>
      <c r="R1589" s="3" t="s">
        <v>1621</v>
      </c>
      <c r="S1589" s="3" t="s">
        <v>1622</v>
      </c>
      <c r="T1589" s="3"/>
    </row>
    <row r="1590" spans="1:20">
      <c r="A1590" s="3" t="s">
        <v>1600</v>
      </c>
      <c r="B1590" s="3" t="s">
        <v>1606</v>
      </c>
      <c r="C1590" s="3" t="s">
        <v>1596</v>
      </c>
      <c r="D1590" s="3" t="s">
        <v>338</v>
      </c>
      <c r="E1590" s="3" t="s">
        <v>339</v>
      </c>
      <c r="F1590" s="2">
        <v>1</v>
      </c>
      <c r="G1590" s="4">
        <v>1.0514810664231657</v>
      </c>
      <c r="H1590" s="2">
        <v>25</v>
      </c>
      <c r="I1590" s="2">
        <v>5</v>
      </c>
      <c r="J1590" s="2">
        <v>1</v>
      </c>
      <c r="K1590" s="11">
        <v>1</v>
      </c>
      <c r="L1590" s="11">
        <v>-1</v>
      </c>
      <c r="M1590" s="4">
        <v>1</v>
      </c>
      <c r="N1590" s="10">
        <v>0.995</v>
      </c>
      <c r="O1590" s="4">
        <v>14.85</v>
      </c>
      <c r="P1590" s="4">
        <v>-14.85</v>
      </c>
      <c r="Q1590" s="3" t="s">
        <v>1617</v>
      </c>
      <c r="R1590" s="3" t="s">
        <v>1621</v>
      </c>
      <c r="S1590" s="3" t="s">
        <v>1622</v>
      </c>
      <c r="T1590" s="3"/>
    </row>
    <row r="1591" spans="1:20">
      <c r="A1591" s="3" t="s">
        <v>1600</v>
      </c>
      <c r="B1591" s="3" t="s">
        <v>1609</v>
      </c>
      <c r="C1591" s="3" t="s">
        <v>1616</v>
      </c>
      <c r="D1591" s="3" t="s">
        <v>410</v>
      </c>
      <c r="E1591" s="3" t="s">
        <v>411</v>
      </c>
      <c r="F1591" s="2">
        <v>1</v>
      </c>
      <c r="G1591" s="4">
        <v>1.0520510753828534</v>
      </c>
      <c r="H1591" s="2">
        <v>25</v>
      </c>
      <c r="I1591" s="2">
        <v>5</v>
      </c>
      <c r="J1591" s="2">
        <v>1</v>
      </c>
      <c r="K1591" s="4">
        <v>0.85148114183532697</v>
      </c>
      <c r="L1591" s="4">
        <v>0.6597865362184091</v>
      </c>
      <c r="M1591" s="4">
        <v>0.6597865362184091</v>
      </c>
      <c r="N1591" s="10">
        <v>0.66</v>
      </c>
      <c r="O1591" s="4">
        <v>3.9288448329159906</v>
      </c>
      <c r="P1591" s="4">
        <v>3.93</v>
      </c>
      <c r="Q1591" s="3" t="s">
        <v>1597</v>
      </c>
      <c r="R1591" s="3" t="s">
        <v>1610</v>
      </c>
      <c r="S1591" s="3" t="s">
        <v>1611</v>
      </c>
      <c r="T1591" s="3"/>
    </row>
    <row r="1592" spans="1:20">
      <c r="A1592" s="3" t="s">
        <v>1600</v>
      </c>
      <c r="B1592" s="3" t="s">
        <v>1609</v>
      </c>
      <c r="C1592" s="3" t="s">
        <v>1616</v>
      </c>
      <c r="D1592" s="3" t="s">
        <v>410</v>
      </c>
      <c r="E1592" s="3" t="s">
        <v>411</v>
      </c>
      <c r="F1592" s="2">
        <v>1</v>
      </c>
      <c r="G1592" s="4">
        <v>1.0520510753828534</v>
      </c>
      <c r="H1592" s="2">
        <v>25</v>
      </c>
      <c r="I1592" s="2">
        <v>5</v>
      </c>
      <c r="J1592" s="2">
        <v>16</v>
      </c>
      <c r="K1592" s="11">
        <v>1</v>
      </c>
      <c r="L1592" s="11">
        <v>0.59857523620617914</v>
      </c>
      <c r="M1592" s="4">
        <v>0.59857523620617914</v>
      </c>
      <c r="N1592" s="10">
        <v>0.59899999999999998</v>
      </c>
      <c r="O1592" s="4">
        <v>3.4255569819863205</v>
      </c>
      <c r="P1592" s="4">
        <v>3.43</v>
      </c>
      <c r="Q1592" s="3" t="s">
        <v>1597</v>
      </c>
      <c r="R1592" s="3" t="s">
        <v>1610</v>
      </c>
      <c r="S1592" s="3" t="s">
        <v>1611</v>
      </c>
      <c r="T1592" s="3"/>
    </row>
    <row r="1593" spans="1:20">
      <c r="A1593" s="3" t="s">
        <v>1604</v>
      </c>
      <c r="B1593" s="3" t="s">
        <v>1601</v>
      </c>
      <c r="C1593" s="3" t="s">
        <v>1616</v>
      </c>
      <c r="D1593" s="3" t="s">
        <v>410</v>
      </c>
      <c r="E1593" s="3" t="s">
        <v>411</v>
      </c>
      <c r="F1593" s="2">
        <v>1</v>
      </c>
      <c r="G1593" s="4">
        <v>1.0520510753828534</v>
      </c>
      <c r="H1593" s="2">
        <v>25</v>
      </c>
      <c r="I1593" s="2">
        <v>30</v>
      </c>
      <c r="J1593" s="2">
        <v>16</v>
      </c>
      <c r="K1593" s="4">
        <v>1</v>
      </c>
      <c r="L1593" s="4">
        <v>0.52955449362944151</v>
      </c>
      <c r="M1593" s="4">
        <v>0.52955449362944151</v>
      </c>
      <c r="N1593" s="10">
        <v>0.53</v>
      </c>
      <c r="O1593" s="4">
        <v>2.9228315411071164</v>
      </c>
      <c r="P1593" s="4">
        <v>2.93</v>
      </c>
      <c r="Q1593" s="3" t="s">
        <v>1597</v>
      </c>
      <c r="R1593" s="3" t="s">
        <v>1602</v>
      </c>
      <c r="S1593" s="3" t="s">
        <v>1603</v>
      </c>
      <c r="T1593" s="3"/>
    </row>
    <row r="1594" spans="1:20">
      <c r="A1594" s="3" t="s">
        <v>1600</v>
      </c>
      <c r="B1594" s="3" t="s">
        <v>1606</v>
      </c>
      <c r="C1594" s="3" t="s">
        <v>1616</v>
      </c>
      <c r="D1594" s="3" t="s">
        <v>410</v>
      </c>
      <c r="E1594" s="3" t="s">
        <v>411</v>
      </c>
      <c r="F1594" s="2">
        <v>1</v>
      </c>
      <c r="G1594" s="4">
        <v>1.0520510753828534</v>
      </c>
      <c r="H1594" s="2">
        <v>25</v>
      </c>
      <c r="I1594" s="2">
        <v>5</v>
      </c>
      <c r="J1594" s="2">
        <v>16</v>
      </c>
      <c r="K1594" s="11">
        <v>1</v>
      </c>
      <c r="L1594" s="11">
        <v>0.51176202514358327</v>
      </c>
      <c r="M1594" s="4">
        <v>0.51176202514358327</v>
      </c>
      <c r="N1594" s="10">
        <v>0.51200000000000001</v>
      </c>
      <c r="O1594" s="4">
        <v>2.8017997709876736</v>
      </c>
      <c r="P1594" s="4">
        <v>2.8</v>
      </c>
      <c r="Q1594" s="3" t="s">
        <v>1597</v>
      </c>
      <c r="R1594" s="3" t="s">
        <v>1607</v>
      </c>
      <c r="S1594" s="3" t="s">
        <v>1608</v>
      </c>
      <c r="T1594" s="3"/>
    </row>
    <row r="1595" spans="1:20">
      <c r="A1595" s="3" t="s">
        <v>1600</v>
      </c>
      <c r="B1595" s="3" t="s">
        <v>1606</v>
      </c>
      <c r="C1595" s="3" t="s">
        <v>1616</v>
      </c>
      <c r="D1595" s="3" t="s">
        <v>410</v>
      </c>
      <c r="E1595" s="3" t="s">
        <v>411</v>
      </c>
      <c r="F1595" s="2">
        <v>1</v>
      </c>
      <c r="G1595" s="4">
        <v>1.0520510753828534</v>
      </c>
      <c r="H1595" s="2">
        <v>25</v>
      </c>
      <c r="I1595" s="2">
        <v>5</v>
      </c>
      <c r="J1595" s="2">
        <v>1</v>
      </c>
      <c r="K1595" s="4">
        <v>1</v>
      </c>
      <c r="L1595" s="4">
        <v>0.50129745509589008</v>
      </c>
      <c r="M1595" s="4">
        <v>0.50129745509589008</v>
      </c>
      <c r="N1595" s="10">
        <v>0.501</v>
      </c>
      <c r="O1595" s="4">
        <v>2.7320092671065725</v>
      </c>
      <c r="P1595" s="4">
        <v>2.73</v>
      </c>
      <c r="Q1595" s="3" t="s">
        <v>1597</v>
      </c>
      <c r="R1595" s="3" t="s">
        <v>1607</v>
      </c>
      <c r="S1595" s="3" t="s">
        <v>1608</v>
      </c>
      <c r="T1595" s="3"/>
    </row>
    <row r="1596" spans="1:20">
      <c r="A1596" s="3" t="s">
        <v>1600</v>
      </c>
      <c r="B1596" s="3" t="s">
        <v>1601</v>
      </c>
      <c r="C1596" s="3" t="s">
        <v>1616</v>
      </c>
      <c r="D1596" s="3" t="s">
        <v>410</v>
      </c>
      <c r="E1596" s="3" t="s">
        <v>411</v>
      </c>
      <c r="F1596" s="2">
        <v>1</v>
      </c>
      <c r="G1596" s="4">
        <v>1.0520510753828534</v>
      </c>
      <c r="H1596" s="2">
        <v>25</v>
      </c>
      <c r="I1596" s="2">
        <v>5</v>
      </c>
      <c r="J1596" s="2">
        <v>1</v>
      </c>
      <c r="K1596" s="4">
        <v>1</v>
      </c>
      <c r="L1596" s="4">
        <v>0.49332067910067129</v>
      </c>
      <c r="M1596" s="4">
        <v>0.49332067910067129</v>
      </c>
      <c r="N1596" s="10">
        <v>0.49299999999999999</v>
      </c>
      <c r="O1596" s="4">
        <v>2.6794652929259484</v>
      </c>
      <c r="P1596" s="4">
        <v>2.68</v>
      </c>
      <c r="Q1596" s="3" t="s">
        <v>1597</v>
      </c>
      <c r="R1596" s="3" t="s">
        <v>1602</v>
      </c>
      <c r="S1596" s="3" t="s">
        <v>1603</v>
      </c>
      <c r="T1596" s="3"/>
    </row>
    <row r="1597" spans="1:20">
      <c r="A1597" s="3" t="s">
        <v>1600</v>
      </c>
      <c r="B1597" s="3" t="s">
        <v>1609</v>
      </c>
      <c r="C1597" s="3" t="s">
        <v>1596</v>
      </c>
      <c r="D1597" s="3" t="s">
        <v>410</v>
      </c>
      <c r="E1597" s="3" t="s">
        <v>411</v>
      </c>
      <c r="F1597" s="2">
        <v>1</v>
      </c>
      <c r="G1597" s="4">
        <v>1.0520510753828534</v>
      </c>
      <c r="H1597" s="2">
        <v>25</v>
      </c>
      <c r="I1597" s="2">
        <v>5</v>
      </c>
      <c r="J1597" s="2">
        <v>16</v>
      </c>
      <c r="K1597" s="4">
        <v>0.12087227821757485</v>
      </c>
      <c r="L1597" s="4">
        <v>0.48239948687661544</v>
      </c>
      <c r="M1597" s="4">
        <v>0.48239948687661544</v>
      </c>
      <c r="N1597" s="10">
        <v>0.48199999999999998</v>
      </c>
      <c r="O1597" s="4">
        <v>2.6084040135472937</v>
      </c>
      <c r="P1597" s="4">
        <v>2.61</v>
      </c>
      <c r="Q1597" s="3" t="s">
        <v>1597</v>
      </c>
      <c r="R1597" s="3" t="s">
        <v>1610</v>
      </c>
      <c r="S1597" s="3" t="s">
        <v>1611</v>
      </c>
      <c r="T1597" s="3"/>
    </row>
    <row r="1598" spans="1:20">
      <c r="A1598" s="3" t="s">
        <v>1600</v>
      </c>
      <c r="B1598" s="3" t="s">
        <v>1601</v>
      </c>
      <c r="C1598" s="3" t="s">
        <v>1616</v>
      </c>
      <c r="D1598" s="3" t="s">
        <v>410</v>
      </c>
      <c r="E1598" s="3" t="s">
        <v>411</v>
      </c>
      <c r="F1598" s="2">
        <v>1</v>
      </c>
      <c r="G1598" s="4">
        <v>1.0520510753828534</v>
      </c>
      <c r="H1598" s="2">
        <v>25</v>
      </c>
      <c r="I1598" s="2">
        <v>5</v>
      </c>
      <c r="J1598" s="2">
        <v>16</v>
      </c>
      <c r="K1598" s="4">
        <v>1</v>
      </c>
      <c r="L1598" s="4">
        <v>0.4718876107897671</v>
      </c>
      <c r="M1598" s="4">
        <v>0.4718876107897671</v>
      </c>
      <c r="N1598" s="10">
        <v>0.47199999999999998</v>
      </c>
      <c r="O1598" s="4">
        <v>2.5409221152985664</v>
      </c>
      <c r="P1598" s="4">
        <v>2.54</v>
      </c>
      <c r="Q1598" s="3" t="s">
        <v>1597</v>
      </c>
      <c r="R1598" s="3" t="s">
        <v>1602</v>
      </c>
      <c r="S1598" s="3" t="s">
        <v>1603</v>
      </c>
      <c r="T1598" s="3"/>
    </row>
    <row r="1599" spans="1:20">
      <c r="A1599" s="3" t="s">
        <v>1600</v>
      </c>
      <c r="B1599" s="3" t="s">
        <v>1609</v>
      </c>
      <c r="C1599" s="3" t="s">
        <v>1596</v>
      </c>
      <c r="D1599" s="3" t="s">
        <v>410</v>
      </c>
      <c r="E1599" s="3" t="s">
        <v>411</v>
      </c>
      <c r="F1599" s="2">
        <v>1</v>
      </c>
      <c r="G1599" s="4">
        <v>1.0520510753828534</v>
      </c>
      <c r="H1599" s="2">
        <v>25</v>
      </c>
      <c r="I1599" s="2">
        <v>5</v>
      </c>
      <c r="J1599" s="2">
        <v>1</v>
      </c>
      <c r="K1599" s="11">
        <v>0.48268509364190093</v>
      </c>
      <c r="L1599" s="11">
        <v>0.37416756596567935</v>
      </c>
      <c r="M1599" s="4">
        <v>0.37416756596567935</v>
      </c>
      <c r="N1599" s="10">
        <v>0.374</v>
      </c>
      <c r="O1599" s="4">
        <v>1.9497599384482918</v>
      </c>
      <c r="P1599" s="4">
        <v>1.95</v>
      </c>
      <c r="Q1599" s="3" t="s">
        <v>1597</v>
      </c>
      <c r="R1599" s="3" t="s">
        <v>1610</v>
      </c>
      <c r="S1599" s="3" t="s">
        <v>1611</v>
      </c>
      <c r="T1599" s="3"/>
    </row>
    <row r="1600" spans="1:20">
      <c r="A1600" s="3" t="s">
        <v>1600</v>
      </c>
      <c r="B1600" s="3" t="s">
        <v>1606</v>
      </c>
      <c r="C1600" s="3" t="s">
        <v>1596</v>
      </c>
      <c r="D1600" s="3" t="s">
        <v>410</v>
      </c>
      <c r="E1600" s="3" t="s">
        <v>411</v>
      </c>
      <c r="F1600" s="2">
        <v>1</v>
      </c>
      <c r="G1600" s="4">
        <v>1.0520510753828534</v>
      </c>
      <c r="H1600" s="2">
        <v>25</v>
      </c>
      <c r="I1600" s="2">
        <v>5</v>
      </c>
      <c r="J1600" s="2">
        <v>16</v>
      </c>
      <c r="K1600" s="11">
        <v>1</v>
      </c>
      <c r="L1600" s="11">
        <v>0.34471149901911535</v>
      </c>
      <c r="M1600" s="4">
        <v>0.34471149901911535</v>
      </c>
      <c r="N1600" s="10">
        <v>0.34499999999999997</v>
      </c>
      <c r="O1600" s="4">
        <v>1.7820290096526694</v>
      </c>
      <c r="P1600" s="4">
        <v>1.78</v>
      </c>
      <c r="Q1600" s="3" t="s">
        <v>1597</v>
      </c>
      <c r="R1600" s="3" t="s">
        <v>1607</v>
      </c>
      <c r="S1600" s="3" t="s">
        <v>1608</v>
      </c>
      <c r="T1600" s="3"/>
    </row>
    <row r="1601" spans="1:20">
      <c r="A1601" s="3" t="s">
        <v>1600</v>
      </c>
      <c r="B1601" s="3" t="s">
        <v>1606</v>
      </c>
      <c r="C1601" s="3" t="s">
        <v>1596</v>
      </c>
      <c r="D1601" s="3" t="s">
        <v>410</v>
      </c>
      <c r="E1601" s="3" t="s">
        <v>411</v>
      </c>
      <c r="F1601" s="2">
        <v>1</v>
      </c>
      <c r="G1601" s="4">
        <v>1.0520510753828534</v>
      </c>
      <c r="H1601" s="2">
        <v>25</v>
      </c>
      <c r="I1601" s="2">
        <v>5</v>
      </c>
      <c r="J1601" s="2">
        <v>1</v>
      </c>
      <c r="K1601" s="11">
        <v>0.77256199341766518</v>
      </c>
      <c r="L1601" s="11">
        <v>0.32566819336984232</v>
      </c>
      <c r="M1601" s="4">
        <v>0.32566819336984232</v>
      </c>
      <c r="N1601" s="10">
        <v>0.32600000000000001</v>
      </c>
      <c r="O1601" s="4">
        <v>1.6756576050797221</v>
      </c>
      <c r="P1601" s="4">
        <v>1.68</v>
      </c>
      <c r="Q1601" s="3" t="s">
        <v>1597</v>
      </c>
      <c r="R1601" s="3" t="s">
        <v>1607</v>
      </c>
      <c r="S1601" s="3" t="s">
        <v>1608</v>
      </c>
      <c r="T1601" s="3"/>
    </row>
    <row r="1602" spans="1:20">
      <c r="A1602" s="3" t="s">
        <v>1604</v>
      </c>
      <c r="B1602" s="3" t="s">
        <v>1601</v>
      </c>
      <c r="C1602" s="3" t="s">
        <v>1596</v>
      </c>
      <c r="D1602" s="3" t="s">
        <v>410</v>
      </c>
      <c r="E1602" s="3" t="s">
        <v>411</v>
      </c>
      <c r="F1602" s="2">
        <v>1</v>
      </c>
      <c r="G1602" s="4">
        <v>1.0520510753828534</v>
      </c>
      <c r="H1602" s="2">
        <v>25</v>
      </c>
      <c r="I1602" s="2">
        <v>30</v>
      </c>
      <c r="J1602" s="2">
        <v>16</v>
      </c>
      <c r="K1602" s="4">
        <v>1</v>
      </c>
      <c r="L1602" s="4">
        <v>0.32468244604915658</v>
      </c>
      <c r="M1602" s="4">
        <v>0.32468244604915658</v>
      </c>
      <c r="N1602" s="10">
        <v>0.32500000000000001</v>
      </c>
      <c r="O1602" s="4">
        <v>1.6701924522189766</v>
      </c>
      <c r="P1602" s="4">
        <v>1.67</v>
      </c>
      <c r="Q1602" s="3" t="s">
        <v>1597</v>
      </c>
      <c r="R1602" s="3" t="s">
        <v>1602</v>
      </c>
      <c r="S1602" s="3" t="s">
        <v>1603</v>
      </c>
      <c r="T1602" s="3"/>
    </row>
    <row r="1603" spans="1:20">
      <c r="A1603" s="3" t="s">
        <v>1600</v>
      </c>
      <c r="B1603" s="3" t="s">
        <v>1601</v>
      </c>
      <c r="C1603" s="3" t="s">
        <v>1596</v>
      </c>
      <c r="D1603" s="3" t="s">
        <v>410</v>
      </c>
      <c r="E1603" s="3" t="s">
        <v>411</v>
      </c>
      <c r="F1603" s="2">
        <v>1</v>
      </c>
      <c r="G1603" s="4">
        <v>1.0520510753828534</v>
      </c>
      <c r="H1603" s="2">
        <v>25</v>
      </c>
      <c r="I1603" s="2">
        <v>5</v>
      </c>
      <c r="J1603" s="2">
        <v>16</v>
      </c>
      <c r="K1603" s="4">
        <v>1</v>
      </c>
      <c r="L1603" s="4">
        <v>0.26488842862626638</v>
      </c>
      <c r="M1603" s="4">
        <v>0.26488842862626638</v>
      </c>
      <c r="N1603" s="10">
        <v>0.26500000000000001</v>
      </c>
      <c r="O1603" s="4">
        <v>1.3453779555530176</v>
      </c>
      <c r="P1603" s="4">
        <v>1.35</v>
      </c>
      <c r="Q1603" s="3" t="s">
        <v>1597</v>
      </c>
      <c r="R1603" s="3" t="s">
        <v>1602</v>
      </c>
      <c r="S1603" s="3" t="s">
        <v>1603</v>
      </c>
      <c r="T1603" s="3"/>
    </row>
    <row r="1604" spans="1:20">
      <c r="A1604" s="3" t="s">
        <v>1600</v>
      </c>
      <c r="B1604" s="3" t="s">
        <v>1601</v>
      </c>
      <c r="C1604" s="3" t="s">
        <v>1596</v>
      </c>
      <c r="D1604" s="3" t="s">
        <v>410</v>
      </c>
      <c r="E1604" s="3" t="s">
        <v>411</v>
      </c>
      <c r="F1604" s="2">
        <v>1</v>
      </c>
      <c r="G1604" s="4">
        <v>1.0520510753828534</v>
      </c>
      <c r="H1604" s="2">
        <v>25</v>
      </c>
      <c r="I1604" s="2">
        <v>5</v>
      </c>
      <c r="J1604" s="2">
        <v>1</v>
      </c>
      <c r="K1604" s="4">
        <v>0.30644950727939624</v>
      </c>
      <c r="L1604" s="4">
        <v>0.24667994671395663</v>
      </c>
      <c r="M1604" s="4">
        <v>0.24667994671395663</v>
      </c>
      <c r="N1604" s="10">
        <v>0.247</v>
      </c>
      <c r="O1604" s="4">
        <v>1.248777935191659</v>
      </c>
      <c r="P1604" s="4">
        <v>1.25</v>
      </c>
      <c r="Q1604" s="3" t="s">
        <v>1597</v>
      </c>
      <c r="R1604" s="3" t="s">
        <v>1602</v>
      </c>
      <c r="S1604" s="3" t="s">
        <v>1603</v>
      </c>
      <c r="T1604" s="3"/>
    </row>
    <row r="1605" spans="1:20">
      <c r="A1605" s="12" t="s">
        <v>1605</v>
      </c>
      <c r="B1605" s="3" t="s">
        <v>1601</v>
      </c>
      <c r="C1605" s="3" t="s">
        <v>1596</v>
      </c>
      <c r="D1605" s="3" t="s">
        <v>410</v>
      </c>
      <c r="E1605" s="3" t="s">
        <v>411</v>
      </c>
      <c r="F1605" s="2">
        <v>1</v>
      </c>
      <c r="G1605" s="4">
        <v>1.0520510753828534</v>
      </c>
      <c r="H1605" s="2">
        <v>25</v>
      </c>
      <c r="I1605" s="2">
        <v>5</v>
      </c>
      <c r="J1605" s="2">
        <v>16</v>
      </c>
      <c r="K1605" s="11">
        <v>0.86659691637409497</v>
      </c>
      <c r="L1605" s="11">
        <v>0.18913668833882402</v>
      </c>
      <c r="M1605" s="4">
        <v>0.18913668833882402</v>
      </c>
      <c r="N1605" s="10">
        <v>0.189</v>
      </c>
      <c r="O1605" s="4">
        <v>0.94915564902228577</v>
      </c>
      <c r="P1605" s="4">
        <v>0.95</v>
      </c>
      <c r="Q1605" s="3" t="s">
        <v>1597</v>
      </c>
      <c r="R1605" s="3" t="s">
        <v>1602</v>
      </c>
      <c r="S1605" s="3" t="s">
        <v>1603</v>
      </c>
      <c r="T1605" s="3"/>
    </row>
    <row r="1606" spans="1:20">
      <c r="A1606" s="3" t="s">
        <v>1594</v>
      </c>
      <c r="B1606" s="3" t="s">
        <v>1595</v>
      </c>
      <c r="C1606" s="3" t="s">
        <v>1596</v>
      </c>
      <c r="D1606" s="3" t="s">
        <v>410</v>
      </c>
      <c r="E1606" s="3" t="s">
        <v>411</v>
      </c>
      <c r="F1606" s="2">
        <v>1</v>
      </c>
      <c r="G1606" s="4">
        <v>1.0520510753828534</v>
      </c>
      <c r="H1606" s="2">
        <v>50</v>
      </c>
      <c r="I1606" s="2">
        <v>5</v>
      </c>
      <c r="J1606" s="2">
        <v>16</v>
      </c>
      <c r="K1606" s="4">
        <v>0.44737558204959504</v>
      </c>
      <c r="L1606" s="14">
        <v>9.970122735996274E-3</v>
      </c>
      <c r="M1606" s="4">
        <v>9.970122735996274E-3</v>
      </c>
      <c r="N1606" s="10">
        <v>0.01</v>
      </c>
      <c r="O1606" s="4">
        <v>5.3577838520404611E-2</v>
      </c>
      <c r="P1606" s="4">
        <v>0.05</v>
      </c>
      <c r="Q1606" s="3" t="s">
        <v>1597</v>
      </c>
      <c r="R1606" s="3" t="s">
        <v>1598</v>
      </c>
      <c r="S1606" s="3" t="s">
        <v>1599</v>
      </c>
      <c r="T1606" s="3"/>
    </row>
    <row r="1607" spans="1:20">
      <c r="A1607" s="3" t="s">
        <v>1594</v>
      </c>
      <c r="B1607" s="3" t="s">
        <v>1612</v>
      </c>
      <c r="C1607" s="3" t="s">
        <v>1596</v>
      </c>
      <c r="D1607" s="3" t="s">
        <v>410</v>
      </c>
      <c r="E1607" s="3" t="s">
        <v>411</v>
      </c>
      <c r="F1607" s="2">
        <v>1</v>
      </c>
      <c r="G1607" s="4">
        <v>1.0520510753828534</v>
      </c>
      <c r="H1607" s="2">
        <v>50</v>
      </c>
      <c r="I1607" s="2">
        <v>5</v>
      </c>
      <c r="J1607" s="2">
        <v>16</v>
      </c>
      <c r="K1607" s="4">
        <v>0.92553542439383407</v>
      </c>
      <c r="L1607" s="14">
        <v>-0.35236630084251508</v>
      </c>
      <c r="M1607" s="4">
        <v>0.35236630084251508</v>
      </c>
      <c r="N1607" s="10">
        <v>0.35199999999999998</v>
      </c>
      <c r="O1607" s="4">
        <v>1.9782755283613296</v>
      </c>
      <c r="P1607" s="4">
        <v>-1.98</v>
      </c>
      <c r="Q1607" s="3" t="s">
        <v>1617</v>
      </c>
      <c r="R1607" s="3" t="s">
        <v>1627</v>
      </c>
      <c r="S1607" s="3" t="s">
        <v>1628</v>
      </c>
      <c r="T1607" s="3"/>
    </row>
    <row r="1608" spans="1:20">
      <c r="A1608" s="3" t="s">
        <v>1600</v>
      </c>
      <c r="B1608" s="3" t="s">
        <v>1601</v>
      </c>
      <c r="C1608" s="3" t="s">
        <v>1616</v>
      </c>
      <c r="D1608" s="3" t="s">
        <v>633</v>
      </c>
      <c r="E1608" s="3" t="s">
        <v>634</v>
      </c>
      <c r="F1608" s="2">
        <v>1</v>
      </c>
      <c r="G1608" s="4">
        <v>1.0525124490719784</v>
      </c>
      <c r="H1608" s="2">
        <v>25</v>
      </c>
      <c r="I1608" s="2">
        <v>5</v>
      </c>
      <c r="J1608" s="2">
        <v>1</v>
      </c>
      <c r="K1608" s="4">
        <v>1.0868167558527264E-2</v>
      </c>
      <c r="L1608" s="4">
        <v>0.48877005347593583</v>
      </c>
      <c r="M1608" s="4">
        <v>0.48877005347593583</v>
      </c>
      <c r="N1608" s="10">
        <v>0.48899999999999999</v>
      </c>
      <c r="O1608" s="4">
        <v>2.6497346454304118</v>
      </c>
      <c r="P1608" s="4">
        <v>2.65</v>
      </c>
      <c r="Q1608" s="3" t="s">
        <v>1597</v>
      </c>
      <c r="R1608" s="3" t="s">
        <v>1602</v>
      </c>
      <c r="S1608" s="3" t="s">
        <v>1603</v>
      </c>
      <c r="T1608" s="3"/>
    </row>
    <row r="1609" spans="1:20">
      <c r="A1609" s="3" t="s">
        <v>1600</v>
      </c>
      <c r="B1609" s="3" t="s">
        <v>1609</v>
      </c>
      <c r="C1609" s="3" t="s">
        <v>1596</v>
      </c>
      <c r="D1609" s="3" t="s">
        <v>633</v>
      </c>
      <c r="E1609" s="3" t="s">
        <v>634</v>
      </c>
      <c r="F1609" s="2">
        <v>1</v>
      </c>
      <c r="G1609" s="4">
        <v>1.0525124490719784</v>
      </c>
      <c r="H1609" s="2">
        <v>25</v>
      </c>
      <c r="I1609" s="2">
        <v>5</v>
      </c>
      <c r="J1609" s="2">
        <v>16</v>
      </c>
      <c r="K1609" s="4">
        <v>1.8379408481333126E-2</v>
      </c>
      <c r="L1609" s="4">
        <v>0.38430795119899031</v>
      </c>
      <c r="M1609" s="4">
        <v>0.38430795119899031</v>
      </c>
      <c r="N1609" s="10">
        <v>0.38400000000000001</v>
      </c>
      <c r="O1609" s="4">
        <v>2.0084815867816008</v>
      </c>
      <c r="P1609" s="4">
        <v>2.0099999999999998</v>
      </c>
      <c r="Q1609" s="3" t="s">
        <v>1597</v>
      </c>
      <c r="R1609" s="3" t="s">
        <v>1610</v>
      </c>
      <c r="S1609" s="3" t="s">
        <v>1611</v>
      </c>
      <c r="T1609" s="3"/>
    </row>
    <row r="1610" spans="1:20">
      <c r="A1610" s="3" t="s">
        <v>1600</v>
      </c>
      <c r="B1610" s="3" t="s">
        <v>1601</v>
      </c>
      <c r="C1610" s="3" t="s">
        <v>1616</v>
      </c>
      <c r="D1610" s="3" t="s">
        <v>633</v>
      </c>
      <c r="E1610" s="3" t="s">
        <v>634</v>
      </c>
      <c r="F1610" s="2">
        <v>1</v>
      </c>
      <c r="G1610" s="4">
        <v>1.0525124490719784</v>
      </c>
      <c r="H1610" s="2">
        <v>25</v>
      </c>
      <c r="I1610" s="2">
        <v>5</v>
      </c>
      <c r="J1610" s="2">
        <v>16</v>
      </c>
      <c r="K1610" s="4">
        <v>1.0078734741036377E-2</v>
      </c>
      <c r="L1610" s="4">
        <v>0.24177795495315926</v>
      </c>
      <c r="M1610" s="4">
        <v>0.24177795495315926</v>
      </c>
      <c r="N1610" s="10">
        <v>0.24199999999999999</v>
      </c>
      <c r="O1610" s="4">
        <v>1.2229324833296427</v>
      </c>
      <c r="P1610" s="4">
        <v>1.22</v>
      </c>
      <c r="Q1610" s="3" t="s">
        <v>1597</v>
      </c>
      <c r="R1610" s="3" t="s">
        <v>1602</v>
      </c>
      <c r="S1610" s="3" t="s">
        <v>1603</v>
      </c>
      <c r="T1610" s="3"/>
    </row>
    <row r="1611" spans="1:20">
      <c r="A1611" s="3" t="s">
        <v>1600</v>
      </c>
      <c r="B1611" s="3" t="s">
        <v>1601</v>
      </c>
      <c r="C1611" s="3" t="s">
        <v>1596</v>
      </c>
      <c r="D1611" s="3" t="s">
        <v>633</v>
      </c>
      <c r="E1611" s="3" t="s">
        <v>634</v>
      </c>
      <c r="F1611" s="2">
        <v>1</v>
      </c>
      <c r="G1611" s="4">
        <v>1.0525124490719784</v>
      </c>
      <c r="H1611" s="2">
        <v>25</v>
      </c>
      <c r="I1611" s="2">
        <v>5</v>
      </c>
      <c r="J1611" s="2">
        <v>1</v>
      </c>
      <c r="K1611" s="4">
        <v>0</v>
      </c>
      <c r="L1611" s="4">
        <v>0</v>
      </c>
      <c r="M1611" s="4">
        <v>0</v>
      </c>
      <c r="N1611" s="10">
        <v>0</v>
      </c>
      <c r="O1611" s="4">
        <v>0</v>
      </c>
      <c r="P1611" s="4">
        <v>0</v>
      </c>
      <c r="Q1611" s="3" t="s">
        <v>1617</v>
      </c>
      <c r="R1611" s="3" t="s">
        <v>1618</v>
      </c>
      <c r="S1611" s="3" t="s">
        <v>1619</v>
      </c>
      <c r="T1611" s="3"/>
    </row>
    <row r="1612" spans="1:20">
      <c r="A1612" s="3" t="s">
        <v>1600</v>
      </c>
      <c r="B1612" s="3" t="s">
        <v>1606</v>
      </c>
      <c r="C1612" s="3" t="s">
        <v>1596</v>
      </c>
      <c r="D1612" s="3" t="s">
        <v>633</v>
      </c>
      <c r="E1612" s="3" t="s">
        <v>634</v>
      </c>
      <c r="F1612" s="2">
        <v>1</v>
      </c>
      <c r="G1612" s="4">
        <v>1.0525124490719784</v>
      </c>
      <c r="H1612" s="2">
        <v>25</v>
      </c>
      <c r="I1612" s="2">
        <v>5</v>
      </c>
      <c r="J1612" s="2">
        <v>1</v>
      </c>
      <c r="K1612" s="11">
        <v>0</v>
      </c>
      <c r="L1612" s="11">
        <v>0</v>
      </c>
      <c r="M1612" s="4">
        <v>0</v>
      </c>
      <c r="N1612" s="10">
        <v>0</v>
      </c>
      <c r="O1612" s="4">
        <v>0</v>
      </c>
      <c r="P1612" s="4">
        <v>0</v>
      </c>
      <c r="Q1612" s="3" t="s">
        <v>1617</v>
      </c>
      <c r="R1612" s="3" t="s">
        <v>1621</v>
      </c>
      <c r="S1612" s="3" t="s">
        <v>1622</v>
      </c>
      <c r="T1612" s="3"/>
    </row>
    <row r="1613" spans="1:20">
      <c r="A1613" s="3" t="s">
        <v>1600</v>
      </c>
      <c r="B1613" s="3" t="s">
        <v>1609</v>
      </c>
      <c r="C1613" s="3" t="s">
        <v>1596</v>
      </c>
      <c r="D1613" s="3" t="s">
        <v>633</v>
      </c>
      <c r="E1613" s="3" t="s">
        <v>634</v>
      </c>
      <c r="F1613" s="2">
        <v>1</v>
      </c>
      <c r="G1613" s="4">
        <v>1.0525124490719784</v>
      </c>
      <c r="H1613" s="2">
        <v>25</v>
      </c>
      <c r="I1613" s="2">
        <v>5</v>
      </c>
      <c r="J1613" s="2">
        <v>1</v>
      </c>
      <c r="K1613" s="11">
        <v>0</v>
      </c>
      <c r="L1613" s="11">
        <v>0</v>
      </c>
      <c r="M1613" s="4">
        <v>0</v>
      </c>
      <c r="N1613" s="10">
        <v>0</v>
      </c>
      <c r="O1613" s="4">
        <v>0</v>
      </c>
      <c r="P1613" s="4">
        <v>0</v>
      </c>
      <c r="Q1613" s="3" t="s">
        <v>1617</v>
      </c>
      <c r="R1613" s="3" t="s">
        <v>1623</v>
      </c>
      <c r="S1613" s="3" t="s">
        <v>1624</v>
      </c>
      <c r="T1613" s="3"/>
    </row>
    <row r="1614" spans="1:20">
      <c r="A1614" s="3" t="s">
        <v>1600</v>
      </c>
      <c r="B1614" s="3" t="s">
        <v>1609</v>
      </c>
      <c r="C1614" s="3" t="s">
        <v>1616</v>
      </c>
      <c r="D1614" s="3" t="s">
        <v>633</v>
      </c>
      <c r="E1614" s="3" t="s">
        <v>634</v>
      </c>
      <c r="F1614" s="2">
        <v>1</v>
      </c>
      <c r="G1614" s="4">
        <v>1.0525124490719784</v>
      </c>
      <c r="H1614" s="2">
        <v>25</v>
      </c>
      <c r="I1614" s="2">
        <v>5</v>
      </c>
      <c r="J1614" s="2">
        <v>1</v>
      </c>
      <c r="K1614" s="4">
        <v>0</v>
      </c>
      <c r="L1614" s="4">
        <v>0</v>
      </c>
      <c r="M1614" s="4">
        <v>0</v>
      </c>
      <c r="N1614" s="10">
        <v>0</v>
      </c>
      <c r="O1614" s="4">
        <v>0</v>
      </c>
      <c r="P1614" s="4">
        <v>0</v>
      </c>
      <c r="Q1614" s="3" t="s">
        <v>1617</v>
      </c>
      <c r="R1614" s="3" t="s">
        <v>1623</v>
      </c>
      <c r="S1614" s="3" t="s">
        <v>1624</v>
      </c>
      <c r="T1614" s="3"/>
    </row>
    <row r="1615" spans="1:20">
      <c r="A1615" s="3" t="s">
        <v>1600</v>
      </c>
      <c r="B1615" s="3" t="s">
        <v>1609</v>
      </c>
      <c r="C1615" s="3" t="s">
        <v>1616</v>
      </c>
      <c r="D1615" s="3" t="s">
        <v>633</v>
      </c>
      <c r="E1615" s="3" t="s">
        <v>634</v>
      </c>
      <c r="F1615" s="2">
        <v>1</v>
      </c>
      <c r="G1615" s="4">
        <v>1.0525124490719784</v>
      </c>
      <c r="H1615" s="2">
        <v>25</v>
      </c>
      <c r="I1615" s="2">
        <v>5</v>
      </c>
      <c r="J1615" s="2">
        <v>16</v>
      </c>
      <c r="K1615" s="11">
        <v>0</v>
      </c>
      <c r="L1615" s="11">
        <v>0</v>
      </c>
      <c r="M1615" s="4">
        <v>0</v>
      </c>
      <c r="N1615" s="10">
        <v>0</v>
      </c>
      <c r="O1615" s="4">
        <v>0</v>
      </c>
      <c r="P1615" s="4">
        <v>0</v>
      </c>
      <c r="Q1615" s="3" t="s">
        <v>1617</v>
      </c>
      <c r="R1615" s="3" t="s">
        <v>1623</v>
      </c>
      <c r="S1615" s="3" t="s">
        <v>1624</v>
      </c>
      <c r="T1615" s="3"/>
    </row>
    <row r="1616" spans="1:20">
      <c r="A1616" s="3" t="s">
        <v>1594</v>
      </c>
      <c r="B1616" s="3" t="s">
        <v>1612</v>
      </c>
      <c r="C1616" s="3" t="s">
        <v>1596</v>
      </c>
      <c r="D1616" s="3" t="s">
        <v>633</v>
      </c>
      <c r="E1616" s="3" t="s">
        <v>634</v>
      </c>
      <c r="F1616" s="2">
        <v>1</v>
      </c>
      <c r="G1616" s="4">
        <v>1.0525124490719784</v>
      </c>
      <c r="H1616" s="2">
        <v>50</v>
      </c>
      <c r="I1616" s="2">
        <v>5</v>
      </c>
      <c r="J1616" s="2">
        <v>16</v>
      </c>
      <c r="K1616" s="4">
        <v>0.16535920313538463</v>
      </c>
      <c r="L1616" s="14">
        <v>-4.7739160251939299E-2</v>
      </c>
      <c r="M1616" s="4">
        <v>4.7739160251939299E-2</v>
      </c>
      <c r="N1616" s="10">
        <v>4.8000000000000001E-2</v>
      </c>
      <c r="O1616" s="4">
        <v>0.25672922998228015</v>
      </c>
      <c r="P1616" s="4">
        <v>-0.26</v>
      </c>
      <c r="Q1616" s="3" t="s">
        <v>1617</v>
      </c>
      <c r="R1616" s="3" t="s">
        <v>1627</v>
      </c>
      <c r="S1616" s="3" t="s">
        <v>1628</v>
      </c>
      <c r="T1616" s="3"/>
    </row>
    <row r="1617" spans="1:20">
      <c r="A1617" s="3" t="s">
        <v>1604</v>
      </c>
      <c r="B1617" s="3" t="s">
        <v>1601</v>
      </c>
      <c r="C1617" s="3" t="s">
        <v>1596</v>
      </c>
      <c r="D1617" s="3" t="s">
        <v>633</v>
      </c>
      <c r="E1617" s="3" t="s">
        <v>634</v>
      </c>
      <c r="F1617" s="2">
        <v>1</v>
      </c>
      <c r="G1617" s="4">
        <v>1.0525124490719784</v>
      </c>
      <c r="H1617" s="2">
        <v>25</v>
      </c>
      <c r="I1617" s="2">
        <v>30</v>
      </c>
      <c r="J1617" s="2">
        <v>16</v>
      </c>
      <c r="K1617" s="4">
        <v>0.10881089483346951</v>
      </c>
      <c r="L1617" s="4">
        <v>-5.3288050095165192E-2</v>
      </c>
      <c r="M1617" s="4">
        <v>5.3288050095165192E-2</v>
      </c>
      <c r="N1617" s="10">
        <v>5.2999999999999999E-2</v>
      </c>
      <c r="O1617" s="4">
        <v>0.2644492618901953</v>
      </c>
      <c r="P1617" s="4">
        <v>-0.26</v>
      </c>
      <c r="Q1617" s="3" t="s">
        <v>1617</v>
      </c>
      <c r="R1617" s="3" t="s">
        <v>1618</v>
      </c>
      <c r="S1617" s="3" t="s">
        <v>1619</v>
      </c>
      <c r="T1617" s="3"/>
    </row>
    <row r="1618" spans="1:20">
      <c r="A1618" s="3" t="s">
        <v>1604</v>
      </c>
      <c r="B1618" s="3" t="s">
        <v>1601</v>
      </c>
      <c r="C1618" s="3" t="s">
        <v>1616</v>
      </c>
      <c r="D1618" s="3" t="s">
        <v>633</v>
      </c>
      <c r="E1618" s="3" t="s">
        <v>634</v>
      </c>
      <c r="F1618" s="2">
        <v>1</v>
      </c>
      <c r="G1618" s="4">
        <v>1.0525124490719784</v>
      </c>
      <c r="H1618" s="2">
        <v>25</v>
      </c>
      <c r="I1618" s="2">
        <v>30</v>
      </c>
      <c r="J1618" s="2">
        <v>16</v>
      </c>
      <c r="K1618" s="4">
        <v>5.7785305740305271E-2</v>
      </c>
      <c r="L1618" s="4">
        <v>-5.8869173957480446E-2</v>
      </c>
      <c r="M1618" s="4">
        <v>5.8869173957480446E-2</v>
      </c>
      <c r="N1618" s="10">
        <v>5.8999999999999997E-2</v>
      </c>
      <c r="O1618" s="4">
        <v>0.29220748608489816</v>
      </c>
      <c r="P1618" s="4">
        <v>-0.28999999999999998</v>
      </c>
      <c r="Q1618" s="3" t="s">
        <v>1617</v>
      </c>
      <c r="R1618" s="3" t="s">
        <v>1618</v>
      </c>
      <c r="S1618" s="3" t="s">
        <v>1619</v>
      </c>
      <c r="T1618" s="3"/>
    </row>
    <row r="1619" spans="1:20">
      <c r="A1619" s="12" t="s">
        <v>1605</v>
      </c>
      <c r="B1619" s="3" t="s">
        <v>1601</v>
      </c>
      <c r="C1619" s="3" t="s">
        <v>1596</v>
      </c>
      <c r="D1619" s="3" t="s">
        <v>633</v>
      </c>
      <c r="E1619" s="3" t="s">
        <v>634</v>
      </c>
      <c r="F1619" s="2">
        <v>1</v>
      </c>
      <c r="G1619" s="4">
        <v>1.0525124490719784</v>
      </c>
      <c r="H1619" s="2">
        <v>25</v>
      </c>
      <c r="I1619" s="2">
        <v>5</v>
      </c>
      <c r="J1619" s="2">
        <v>16</v>
      </c>
      <c r="K1619" s="11">
        <v>1.490988749169242E-2</v>
      </c>
      <c r="L1619" s="11">
        <v>-6.2149646600048743E-2</v>
      </c>
      <c r="M1619" s="4">
        <v>6.2149646600048743E-2</v>
      </c>
      <c r="N1619" s="10">
        <v>6.2E-2</v>
      </c>
      <c r="O1619" s="4">
        <v>0.30853164458925109</v>
      </c>
      <c r="P1619" s="4">
        <v>-0.31</v>
      </c>
      <c r="Q1619" s="3" t="s">
        <v>1617</v>
      </c>
      <c r="R1619" s="3" t="s">
        <v>1618</v>
      </c>
      <c r="S1619" s="3" t="s">
        <v>1619</v>
      </c>
      <c r="T1619" s="3"/>
    </row>
    <row r="1620" spans="1:20">
      <c r="A1620" s="3" t="s">
        <v>1600</v>
      </c>
      <c r="B1620" s="3" t="s">
        <v>1606</v>
      </c>
      <c r="C1620" s="3" t="s">
        <v>1596</v>
      </c>
      <c r="D1620" s="3" t="s">
        <v>633</v>
      </c>
      <c r="E1620" s="3" t="s">
        <v>634</v>
      </c>
      <c r="F1620" s="2">
        <v>1</v>
      </c>
      <c r="G1620" s="4">
        <v>1.0525124490719784</v>
      </c>
      <c r="H1620" s="2">
        <v>25</v>
      </c>
      <c r="I1620" s="2">
        <v>5</v>
      </c>
      <c r="J1620" s="2">
        <v>16</v>
      </c>
      <c r="K1620" s="11">
        <v>0.28795901844834759</v>
      </c>
      <c r="L1620" s="11">
        <v>-0.11771258819160788</v>
      </c>
      <c r="M1620" s="4">
        <v>0.11771258819160788</v>
      </c>
      <c r="N1620" s="10">
        <v>0.11799999999999999</v>
      </c>
      <c r="O1620" s="4">
        <v>0.58632971062611783</v>
      </c>
      <c r="P1620" s="4">
        <v>-0.59</v>
      </c>
      <c r="Q1620" s="3" t="s">
        <v>1617</v>
      </c>
      <c r="R1620" s="3" t="s">
        <v>1621</v>
      </c>
      <c r="S1620" s="3" t="s">
        <v>1622</v>
      </c>
      <c r="T1620" s="3"/>
    </row>
    <row r="1621" spans="1:20">
      <c r="A1621" s="3" t="s">
        <v>1594</v>
      </c>
      <c r="B1621" s="3" t="s">
        <v>1595</v>
      </c>
      <c r="C1621" s="3" t="s">
        <v>1596</v>
      </c>
      <c r="D1621" s="3" t="s">
        <v>633</v>
      </c>
      <c r="E1621" s="3" t="s">
        <v>634</v>
      </c>
      <c r="F1621" s="2">
        <v>1</v>
      </c>
      <c r="G1621" s="4">
        <v>1.0525124490719784</v>
      </c>
      <c r="H1621" s="2">
        <v>50</v>
      </c>
      <c r="I1621" s="2">
        <v>5</v>
      </c>
      <c r="J1621" s="2">
        <v>16</v>
      </c>
      <c r="K1621" s="4">
        <v>0.23360370524912685</v>
      </c>
      <c r="L1621" s="14">
        <v>-0.13158125314161598</v>
      </c>
      <c r="M1621" s="4">
        <v>0.13158125314161598</v>
      </c>
      <c r="N1621" s="10">
        <v>0.13200000000000001</v>
      </c>
      <c r="O1621" s="4">
        <v>0.71119668288497184</v>
      </c>
      <c r="P1621" s="4">
        <v>-0.71</v>
      </c>
      <c r="Q1621" s="3" t="s">
        <v>1617</v>
      </c>
      <c r="R1621" s="3" t="s">
        <v>1625</v>
      </c>
      <c r="S1621" s="3" t="s">
        <v>1626</v>
      </c>
      <c r="T1621" s="3"/>
    </row>
    <row r="1622" spans="1:20">
      <c r="A1622" s="3" t="s">
        <v>1600</v>
      </c>
      <c r="B1622" s="3" t="s">
        <v>1601</v>
      </c>
      <c r="C1622" s="3" t="s">
        <v>1596</v>
      </c>
      <c r="D1622" s="3" t="s">
        <v>633</v>
      </c>
      <c r="E1622" s="3" t="s">
        <v>634</v>
      </c>
      <c r="F1622" s="2">
        <v>1</v>
      </c>
      <c r="G1622" s="4">
        <v>1.0525124490719784</v>
      </c>
      <c r="H1622" s="2">
        <v>25</v>
      </c>
      <c r="I1622" s="2">
        <v>5</v>
      </c>
      <c r="J1622" s="2">
        <v>16</v>
      </c>
      <c r="K1622" s="4">
        <v>1.4182849110945472E-2</v>
      </c>
      <c r="L1622" s="4">
        <v>-0.27803488786044855</v>
      </c>
      <c r="M1622" s="4">
        <v>0.27803488786044855</v>
      </c>
      <c r="N1622" s="10">
        <v>0.27800000000000002</v>
      </c>
      <c r="O1622" s="4">
        <v>1.4157439721510647</v>
      </c>
      <c r="P1622" s="4">
        <v>-1.42</v>
      </c>
      <c r="Q1622" s="3" t="s">
        <v>1617</v>
      </c>
      <c r="R1622" s="3" t="s">
        <v>1618</v>
      </c>
      <c r="S1622" s="3" t="s">
        <v>1619</v>
      </c>
      <c r="T1622" s="3"/>
    </row>
    <row r="1623" spans="1:20">
      <c r="A1623" s="3" t="s">
        <v>1600</v>
      </c>
      <c r="B1623" s="3" t="s">
        <v>1606</v>
      </c>
      <c r="C1623" s="3" t="s">
        <v>1616</v>
      </c>
      <c r="D1623" s="3" t="s">
        <v>633</v>
      </c>
      <c r="E1623" s="3" t="s">
        <v>634</v>
      </c>
      <c r="F1623" s="2">
        <v>1</v>
      </c>
      <c r="G1623" s="4">
        <v>1.0525124490719784</v>
      </c>
      <c r="H1623" s="2">
        <v>25</v>
      </c>
      <c r="I1623" s="2">
        <v>5</v>
      </c>
      <c r="J1623" s="2">
        <v>1</v>
      </c>
      <c r="K1623" s="4">
        <v>2.4949511874318264E-2</v>
      </c>
      <c r="L1623" s="4">
        <v>-1</v>
      </c>
      <c r="M1623" s="4">
        <v>1</v>
      </c>
      <c r="N1623" s="10">
        <v>0.995</v>
      </c>
      <c r="O1623" s="4">
        <v>14.85</v>
      </c>
      <c r="P1623" s="4">
        <v>-14.85</v>
      </c>
      <c r="Q1623" s="3" t="s">
        <v>1617</v>
      </c>
      <c r="R1623" s="3" t="s">
        <v>1621</v>
      </c>
      <c r="S1623" s="3" t="s">
        <v>1622</v>
      </c>
      <c r="T1623" s="3"/>
    </row>
    <row r="1624" spans="1:20">
      <c r="A1624" s="3" t="s">
        <v>1600</v>
      </c>
      <c r="B1624" s="3" t="s">
        <v>1606</v>
      </c>
      <c r="C1624" s="3" t="s">
        <v>1616</v>
      </c>
      <c r="D1624" s="3" t="s">
        <v>633</v>
      </c>
      <c r="E1624" s="3" t="s">
        <v>634</v>
      </c>
      <c r="F1624" s="2">
        <v>1</v>
      </c>
      <c r="G1624" s="4">
        <v>1.0525124490719784</v>
      </c>
      <c r="H1624" s="2">
        <v>25</v>
      </c>
      <c r="I1624" s="2">
        <v>5</v>
      </c>
      <c r="J1624" s="2">
        <v>16</v>
      </c>
      <c r="K1624" s="11">
        <v>1.5088415122153642E-2</v>
      </c>
      <c r="L1624" s="11">
        <v>-1</v>
      </c>
      <c r="M1624" s="4">
        <v>1</v>
      </c>
      <c r="N1624" s="10">
        <v>0.995</v>
      </c>
      <c r="O1624" s="4">
        <v>14.85</v>
      </c>
      <c r="P1624" s="4">
        <v>-14.85</v>
      </c>
      <c r="Q1624" s="3" t="s">
        <v>1617</v>
      </c>
      <c r="R1624" s="3" t="s">
        <v>1621</v>
      </c>
      <c r="S1624" s="3" t="s">
        <v>1622</v>
      </c>
      <c r="T1624" s="3"/>
    </row>
    <row r="1625" spans="1:20">
      <c r="A1625" s="3" t="s">
        <v>1600</v>
      </c>
      <c r="B1625" s="3" t="s">
        <v>1609</v>
      </c>
      <c r="C1625" s="3" t="s">
        <v>1596</v>
      </c>
      <c r="D1625" s="3" t="s">
        <v>1235</v>
      </c>
      <c r="E1625" s="3" t="s">
        <v>1236</v>
      </c>
      <c r="F1625" s="2">
        <v>1</v>
      </c>
      <c r="G1625" s="4">
        <v>1.0532793336863346</v>
      </c>
      <c r="H1625" s="2">
        <v>25</v>
      </c>
      <c r="I1625" s="2">
        <v>5</v>
      </c>
      <c r="J1625" s="2">
        <v>1</v>
      </c>
      <c r="K1625" s="4">
        <v>0.99269496194687146</v>
      </c>
      <c r="L1625" s="4">
        <v>0.58391088432795768</v>
      </c>
      <c r="M1625" s="4">
        <v>0.58391088432795768</v>
      </c>
      <c r="N1625" s="10">
        <v>0.58399999999999996</v>
      </c>
      <c r="O1625" s="4">
        <v>3.3137677809552617</v>
      </c>
      <c r="P1625" s="4">
        <v>3.31</v>
      </c>
      <c r="Q1625" s="3" t="s">
        <v>1597</v>
      </c>
      <c r="R1625" s="3" t="s">
        <v>1610</v>
      </c>
      <c r="S1625" s="3" t="s">
        <v>1611</v>
      </c>
      <c r="T1625" s="3"/>
    </row>
    <row r="1626" spans="1:20">
      <c r="A1626" s="3" t="s">
        <v>1600</v>
      </c>
      <c r="B1626" s="3" t="s">
        <v>1609</v>
      </c>
      <c r="C1626" s="3" t="s">
        <v>1596</v>
      </c>
      <c r="D1626" s="3" t="s">
        <v>1235</v>
      </c>
      <c r="E1626" s="3" t="s">
        <v>1236</v>
      </c>
      <c r="F1626" s="2">
        <v>1</v>
      </c>
      <c r="G1626" s="4">
        <v>1.0532793336863346</v>
      </c>
      <c r="H1626" s="2">
        <v>25</v>
      </c>
      <c r="I1626" s="2">
        <v>5</v>
      </c>
      <c r="J1626" s="2">
        <v>16</v>
      </c>
      <c r="K1626" s="4">
        <v>1</v>
      </c>
      <c r="L1626" s="4">
        <v>0.57618496673101693</v>
      </c>
      <c r="M1626" s="4">
        <v>0.57618496673101693</v>
      </c>
      <c r="N1626" s="10">
        <v>0.57599999999999996</v>
      </c>
      <c r="O1626" s="4">
        <v>3.2560391993599729</v>
      </c>
      <c r="P1626" s="4">
        <v>3.25</v>
      </c>
      <c r="Q1626" s="3" t="s">
        <v>1597</v>
      </c>
      <c r="R1626" s="3" t="s">
        <v>1610</v>
      </c>
      <c r="S1626" s="3" t="s">
        <v>1611</v>
      </c>
      <c r="T1626" s="3"/>
    </row>
    <row r="1627" spans="1:20">
      <c r="A1627" s="3" t="s">
        <v>1600</v>
      </c>
      <c r="B1627" s="3" t="s">
        <v>1606</v>
      </c>
      <c r="C1627" s="3" t="s">
        <v>1616</v>
      </c>
      <c r="D1627" s="3" t="s">
        <v>1235</v>
      </c>
      <c r="E1627" s="3" t="s">
        <v>1236</v>
      </c>
      <c r="F1627" s="2">
        <v>1</v>
      </c>
      <c r="G1627" s="4">
        <v>1.0532793336863346</v>
      </c>
      <c r="H1627" s="2">
        <v>25</v>
      </c>
      <c r="I1627" s="2">
        <v>5</v>
      </c>
      <c r="J1627" s="2">
        <v>1</v>
      </c>
      <c r="K1627" s="4">
        <v>1</v>
      </c>
      <c r="L1627" s="4">
        <v>0.57368515277161447</v>
      </c>
      <c r="M1627" s="4">
        <v>0.57368515277161447</v>
      </c>
      <c r="N1627" s="10">
        <v>0.57399999999999995</v>
      </c>
      <c r="O1627" s="4">
        <v>3.2375255640488323</v>
      </c>
      <c r="P1627" s="4">
        <v>3.24</v>
      </c>
      <c r="Q1627" s="3" t="s">
        <v>1597</v>
      </c>
      <c r="R1627" s="3" t="s">
        <v>1607</v>
      </c>
      <c r="S1627" s="3" t="s">
        <v>1608</v>
      </c>
      <c r="T1627" s="3"/>
    </row>
    <row r="1628" spans="1:20">
      <c r="A1628" s="3" t="s">
        <v>1600</v>
      </c>
      <c r="B1628" s="3" t="s">
        <v>1606</v>
      </c>
      <c r="C1628" s="3" t="s">
        <v>1596</v>
      </c>
      <c r="D1628" s="3" t="s">
        <v>1235</v>
      </c>
      <c r="E1628" s="3" t="s">
        <v>1236</v>
      </c>
      <c r="F1628" s="2">
        <v>1</v>
      </c>
      <c r="G1628" s="4">
        <v>1.0532793336863346</v>
      </c>
      <c r="H1628" s="2">
        <v>25</v>
      </c>
      <c r="I1628" s="2">
        <v>5</v>
      </c>
      <c r="J1628" s="2">
        <v>16</v>
      </c>
      <c r="K1628" s="4">
        <v>1</v>
      </c>
      <c r="L1628" s="4">
        <v>0.54363326658671918</v>
      </c>
      <c r="M1628" s="4">
        <v>0.54363326658671918</v>
      </c>
      <c r="N1628" s="10">
        <v>0.54400000000000004</v>
      </c>
      <c r="O1628" s="4">
        <v>3.0208643078492532</v>
      </c>
      <c r="P1628" s="4">
        <v>3.02</v>
      </c>
      <c r="Q1628" s="3" t="s">
        <v>1597</v>
      </c>
      <c r="R1628" s="3" t="s">
        <v>1607</v>
      </c>
      <c r="S1628" s="3" t="s">
        <v>1608</v>
      </c>
      <c r="T1628" s="3"/>
    </row>
    <row r="1629" spans="1:20">
      <c r="A1629" s="3" t="s">
        <v>1600</v>
      </c>
      <c r="B1629" s="3" t="s">
        <v>1606</v>
      </c>
      <c r="C1629" s="3" t="s">
        <v>1596</v>
      </c>
      <c r="D1629" s="3" t="s">
        <v>1235</v>
      </c>
      <c r="E1629" s="3" t="s">
        <v>1236</v>
      </c>
      <c r="F1629" s="2">
        <v>1</v>
      </c>
      <c r="G1629" s="4">
        <v>1.0532793336863346</v>
      </c>
      <c r="H1629" s="2">
        <v>25</v>
      </c>
      <c r="I1629" s="2">
        <v>5</v>
      </c>
      <c r="J1629" s="2">
        <v>1</v>
      </c>
      <c r="K1629" s="4">
        <v>0.99655688169850087</v>
      </c>
      <c r="L1629" s="4">
        <v>0.541536052094031</v>
      </c>
      <c r="M1629" s="4">
        <v>0.541536052094031</v>
      </c>
      <c r="N1629" s="10">
        <v>0.54200000000000004</v>
      </c>
      <c r="O1629" s="4">
        <v>3.0061281364084462</v>
      </c>
      <c r="P1629" s="4">
        <v>3.01</v>
      </c>
      <c r="Q1629" s="3" t="s">
        <v>1597</v>
      </c>
      <c r="R1629" s="3" t="s">
        <v>1607</v>
      </c>
      <c r="S1629" s="3" t="s">
        <v>1608</v>
      </c>
      <c r="T1629" s="3"/>
    </row>
    <row r="1630" spans="1:20">
      <c r="A1630" s="3" t="s">
        <v>1600</v>
      </c>
      <c r="B1630" s="3" t="s">
        <v>1606</v>
      </c>
      <c r="C1630" s="3" t="s">
        <v>1616</v>
      </c>
      <c r="D1630" s="3" t="s">
        <v>1235</v>
      </c>
      <c r="E1630" s="3" t="s">
        <v>1236</v>
      </c>
      <c r="F1630" s="2">
        <v>1</v>
      </c>
      <c r="G1630" s="4">
        <v>1.0532793336863346</v>
      </c>
      <c r="H1630" s="2">
        <v>25</v>
      </c>
      <c r="I1630" s="2">
        <v>5</v>
      </c>
      <c r="J1630" s="2">
        <v>16</v>
      </c>
      <c r="K1630" s="4">
        <v>1</v>
      </c>
      <c r="L1630" s="4">
        <v>0.53883576717291715</v>
      </c>
      <c r="M1630" s="4">
        <v>0.53883576717291715</v>
      </c>
      <c r="N1630" s="10">
        <v>0.53900000000000003</v>
      </c>
      <c r="O1630" s="4">
        <v>2.9872240321610253</v>
      </c>
      <c r="P1630" s="4">
        <v>2.99</v>
      </c>
      <c r="Q1630" s="3" t="s">
        <v>1597</v>
      </c>
      <c r="R1630" s="3" t="s">
        <v>1607</v>
      </c>
      <c r="S1630" s="3" t="s">
        <v>1608</v>
      </c>
      <c r="T1630" s="3"/>
    </row>
    <row r="1631" spans="1:20">
      <c r="A1631" s="3" t="s">
        <v>1600</v>
      </c>
      <c r="B1631" s="3" t="s">
        <v>1609</v>
      </c>
      <c r="C1631" s="3" t="s">
        <v>1616</v>
      </c>
      <c r="D1631" s="3" t="s">
        <v>1235</v>
      </c>
      <c r="E1631" s="3" t="s">
        <v>1236</v>
      </c>
      <c r="F1631" s="2">
        <v>1</v>
      </c>
      <c r="G1631" s="4">
        <v>1.0532793336863346</v>
      </c>
      <c r="H1631" s="2">
        <v>25</v>
      </c>
      <c r="I1631" s="2">
        <v>5</v>
      </c>
      <c r="J1631" s="2">
        <v>1</v>
      </c>
      <c r="K1631" s="4">
        <v>0.97064228481919157</v>
      </c>
      <c r="L1631" s="4">
        <v>0.49728300052063384</v>
      </c>
      <c r="M1631" s="4">
        <v>0.49728300052063384</v>
      </c>
      <c r="N1631" s="10">
        <v>0.497</v>
      </c>
      <c r="O1631" s="4">
        <v>2.7054963492509492</v>
      </c>
      <c r="P1631" s="4">
        <v>2.7</v>
      </c>
      <c r="Q1631" s="3" t="s">
        <v>1597</v>
      </c>
      <c r="R1631" s="3" t="s">
        <v>1610</v>
      </c>
      <c r="S1631" s="3" t="s">
        <v>1611</v>
      </c>
      <c r="T1631" s="3"/>
    </row>
    <row r="1632" spans="1:20">
      <c r="A1632" s="3" t="s">
        <v>1600</v>
      </c>
      <c r="B1632" s="3" t="s">
        <v>1609</v>
      </c>
      <c r="C1632" s="3" t="s">
        <v>1616</v>
      </c>
      <c r="D1632" s="3" t="s">
        <v>1235</v>
      </c>
      <c r="E1632" s="3" t="s">
        <v>1236</v>
      </c>
      <c r="F1632" s="2">
        <v>1</v>
      </c>
      <c r="G1632" s="4">
        <v>1.0532793336863346</v>
      </c>
      <c r="H1632" s="2">
        <v>25</v>
      </c>
      <c r="I1632" s="2">
        <v>5</v>
      </c>
      <c r="J1632" s="2">
        <v>16</v>
      </c>
      <c r="K1632" s="4">
        <v>0.96601963736519902</v>
      </c>
      <c r="L1632" s="4">
        <v>0.48849430962037627</v>
      </c>
      <c r="M1632" s="4">
        <v>0.48849430962037627</v>
      </c>
      <c r="N1632" s="10">
        <v>0.48799999999999999</v>
      </c>
      <c r="O1632" s="4">
        <v>2.6479387295029904</v>
      </c>
      <c r="P1632" s="4">
        <v>2.64</v>
      </c>
      <c r="Q1632" s="3" t="s">
        <v>1597</v>
      </c>
      <c r="R1632" s="3" t="s">
        <v>1610</v>
      </c>
      <c r="S1632" s="3" t="s">
        <v>1611</v>
      </c>
      <c r="T1632" s="3"/>
    </row>
    <row r="1633" spans="1:20">
      <c r="A1633" s="3" t="s">
        <v>1600</v>
      </c>
      <c r="B1633" s="3" t="s">
        <v>1601</v>
      </c>
      <c r="C1633" s="3" t="s">
        <v>1596</v>
      </c>
      <c r="D1633" s="3" t="s">
        <v>1235</v>
      </c>
      <c r="E1633" s="3" t="s">
        <v>1236</v>
      </c>
      <c r="F1633" s="2">
        <v>1</v>
      </c>
      <c r="G1633" s="4">
        <v>1.0532793336863346</v>
      </c>
      <c r="H1633" s="2">
        <v>25</v>
      </c>
      <c r="I1633" s="2">
        <v>5</v>
      </c>
      <c r="J1633" s="2">
        <v>16</v>
      </c>
      <c r="K1633" s="4">
        <v>1</v>
      </c>
      <c r="L1633" s="4">
        <v>0.47723000164943113</v>
      </c>
      <c r="M1633" s="4">
        <v>0.47723000164943113</v>
      </c>
      <c r="N1633" s="10">
        <v>0.47699999999999998</v>
      </c>
      <c r="O1633" s="4">
        <v>2.5751085077547788</v>
      </c>
      <c r="P1633" s="4">
        <v>2.57</v>
      </c>
      <c r="Q1633" s="3" t="s">
        <v>1597</v>
      </c>
      <c r="R1633" s="3" t="s">
        <v>1602</v>
      </c>
      <c r="S1633" s="3" t="s">
        <v>1603</v>
      </c>
      <c r="T1633" s="3"/>
    </row>
    <row r="1634" spans="1:20">
      <c r="A1634" s="3" t="s">
        <v>1605</v>
      </c>
      <c r="B1634" s="3" t="s">
        <v>1601</v>
      </c>
      <c r="C1634" s="3" t="s">
        <v>1596</v>
      </c>
      <c r="D1634" s="3" t="s">
        <v>1235</v>
      </c>
      <c r="E1634" s="3" t="s">
        <v>1236</v>
      </c>
      <c r="F1634" s="2">
        <v>1</v>
      </c>
      <c r="G1634" s="4">
        <v>1.0532793336863346</v>
      </c>
      <c r="H1634" s="2">
        <v>25</v>
      </c>
      <c r="I1634" s="2">
        <v>5</v>
      </c>
      <c r="J1634" s="2">
        <v>16</v>
      </c>
      <c r="K1634" s="4">
        <v>1</v>
      </c>
      <c r="L1634" s="4">
        <v>0.47156649321060495</v>
      </c>
      <c r="M1634" s="4">
        <v>0.47156649321060495</v>
      </c>
      <c r="N1634" s="10">
        <v>0.47199999999999998</v>
      </c>
      <c r="O1634" s="4">
        <v>2.5388743537027705</v>
      </c>
      <c r="P1634" s="4">
        <v>2.54</v>
      </c>
      <c r="Q1634" s="3" t="s">
        <v>1597</v>
      </c>
      <c r="R1634" s="3" t="s">
        <v>1602</v>
      </c>
      <c r="S1634" s="3" t="s">
        <v>1603</v>
      </c>
      <c r="T1634" s="3"/>
    </row>
    <row r="1635" spans="1:20">
      <c r="A1635" s="3" t="s">
        <v>1600</v>
      </c>
      <c r="B1635" s="3" t="s">
        <v>1601</v>
      </c>
      <c r="C1635" s="3" t="s">
        <v>1596</v>
      </c>
      <c r="D1635" s="3" t="s">
        <v>1235</v>
      </c>
      <c r="E1635" s="3" t="s">
        <v>1236</v>
      </c>
      <c r="F1635" s="2">
        <v>1</v>
      </c>
      <c r="G1635" s="4">
        <v>1.0532793336863346</v>
      </c>
      <c r="H1635" s="2">
        <v>25</v>
      </c>
      <c r="I1635" s="2">
        <v>5</v>
      </c>
      <c r="J1635" s="2">
        <v>1</v>
      </c>
      <c r="K1635" s="4">
        <v>0.13899232533640959</v>
      </c>
      <c r="L1635" s="4">
        <v>0.41971971195101976</v>
      </c>
      <c r="M1635" s="4">
        <v>0.41971971195101976</v>
      </c>
      <c r="N1635" s="10">
        <v>0.42</v>
      </c>
      <c r="O1635" s="4">
        <v>2.2179415102336142</v>
      </c>
      <c r="P1635" s="4">
        <v>2.2200000000000002</v>
      </c>
      <c r="Q1635" s="3" t="s">
        <v>1597</v>
      </c>
      <c r="R1635" s="3" t="s">
        <v>1602</v>
      </c>
      <c r="S1635" s="3" t="s">
        <v>1603</v>
      </c>
      <c r="T1635" s="3"/>
    </row>
    <row r="1636" spans="1:20">
      <c r="A1636" s="3" t="s">
        <v>1604</v>
      </c>
      <c r="B1636" s="3" t="s">
        <v>1601</v>
      </c>
      <c r="C1636" s="3" t="s">
        <v>1596</v>
      </c>
      <c r="D1636" s="3" t="s">
        <v>1235</v>
      </c>
      <c r="E1636" s="3" t="s">
        <v>1236</v>
      </c>
      <c r="F1636" s="2">
        <v>1</v>
      </c>
      <c r="G1636" s="4">
        <v>1.0532793336863346</v>
      </c>
      <c r="H1636" s="2">
        <v>25</v>
      </c>
      <c r="I1636" s="2">
        <v>30</v>
      </c>
      <c r="J1636" s="2">
        <v>16</v>
      </c>
      <c r="K1636" s="4">
        <v>1</v>
      </c>
      <c r="L1636" s="4">
        <v>0.4056611796931337</v>
      </c>
      <c r="M1636" s="4">
        <v>0.4056611796931337</v>
      </c>
      <c r="N1636" s="10">
        <v>0.40600000000000003</v>
      </c>
      <c r="O1636" s="4">
        <v>2.1339292718613776</v>
      </c>
      <c r="P1636" s="4">
        <v>2.14</v>
      </c>
      <c r="Q1636" s="3" t="s">
        <v>1597</v>
      </c>
      <c r="R1636" s="3" t="s">
        <v>1602</v>
      </c>
      <c r="S1636" s="3" t="s">
        <v>1603</v>
      </c>
      <c r="T1636" s="3"/>
    </row>
    <row r="1637" spans="1:20">
      <c r="A1637" s="3" t="s">
        <v>1600</v>
      </c>
      <c r="B1637" s="3" t="s">
        <v>1601</v>
      </c>
      <c r="C1637" s="3" t="s">
        <v>1616</v>
      </c>
      <c r="D1637" s="3" t="s">
        <v>1235</v>
      </c>
      <c r="E1637" s="3" t="s">
        <v>1236</v>
      </c>
      <c r="F1637" s="2">
        <v>1</v>
      </c>
      <c r="G1637" s="4">
        <v>1.0532793336863346</v>
      </c>
      <c r="H1637" s="2">
        <v>25</v>
      </c>
      <c r="I1637" s="2">
        <v>5</v>
      </c>
      <c r="J1637" s="2">
        <v>16</v>
      </c>
      <c r="K1637" s="4">
        <v>1</v>
      </c>
      <c r="L1637" s="4">
        <v>0.39499329437726105</v>
      </c>
      <c r="M1637" s="4">
        <v>0.39499329437726105</v>
      </c>
      <c r="N1637" s="10">
        <v>0.39500000000000002</v>
      </c>
      <c r="O1637" s="4">
        <v>2.0709432652214339</v>
      </c>
      <c r="P1637" s="4">
        <v>2.0699999999999998</v>
      </c>
      <c r="Q1637" s="3" t="s">
        <v>1597</v>
      </c>
      <c r="R1637" s="3" t="s">
        <v>1602</v>
      </c>
      <c r="S1637" s="3" t="s">
        <v>1603</v>
      </c>
      <c r="T1637" s="3"/>
    </row>
    <row r="1638" spans="1:20">
      <c r="A1638" s="3" t="s">
        <v>1600</v>
      </c>
      <c r="B1638" s="3" t="s">
        <v>1601</v>
      </c>
      <c r="C1638" s="3" t="s">
        <v>1616</v>
      </c>
      <c r="D1638" s="3" t="s">
        <v>1235</v>
      </c>
      <c r="E1638" s="3" t="s">
        <v>1236</v>
      </c>
      <c r="F1638" s="2">
        <v>1</v>
      </c>
      <c r="G1638" s="4">
        <v>1.0532793336863346</v>
      </c>
      <c r="H1638" s="2">
        <v>25</v>
      </c>
      <c r="I1638" s="2">
        <v>5</v>
      </c>
      <c r="J1638" s="2">
        <v>1</v>
      </c>
      <c r="K1638" s="4">
        <v>1</v>
      </c>
      <c r="L1638" s="4">
        <v>0.38571689391375624</v>
      </c>
      <c r="M1638" s="4">
        <v>0.38571689391375624</v>
      </c>
      <c r="N1638" s="10">
        <v>0.38600000000000001</v>
      </c>
      <c r="O1638" s="4">
        <v>2.0166827303347086</v>
      </c>
      <c r="P1638" s="4">
        <v>2.02</v>
      </c>
      <c r="Q1638" s="3" t="s">
        <v>1597</v>
      </c>
      <c r="R1638" s="3" t="s">
        <v>1602</v>
      </c>
      <c r="S1638" s="3" t="s">
        <v>1603</v>
      </c>
      <c r="T1638" s="3"/>
    </row>
    <row r="1639" spans="1:20">
      <c r="A1639" s="3" t="s">
        <v>1604</v>
      </c>
      <c r="B1639" s="3" t="s">
        <v>1601</v>
      </c>
      <c r="C1639" s="3" t="s">
        <v>1616</v>
      </c>
      <c r="D1639" s="3" t="s">
        <v>1235</v>
      </c>
      <c r="E1639" s="3" t="s">
        <v>1236</v>
      </c>
      <c r="F1639" s="2">
        <v>1</v>
      </c>
      <c r="G1639" s="4">
        <v>1.0532793336863346</v>
      </c>
      <c r="H1639" s="2">
        <v>25</v>
      </c>
      <c r="I1639" s="2">
        <v>30</v>
      </c>
      <c r="J1639" s="2">
        <v>16</v>
      </c>
      <c r="K1639" s="4">
        <v>1</v>
      </c>
      <c r="L1639" s="4">
        <v>0.38499206177175449</v>
      </c>
      <c r="M1639" s="4">
        <v>0.38499206177175449</v>
      </c>
      <c r="N1639" s="10">
        <v>0.38500000000000001</v>
      </c>
      <c r="O1639" s="4">
        <v>2.0124623383112654</v>
      </c>
      <c r="P1639" s="4">
        <v>2.0099999999999998</v>
      </c>
      <c r="Q1639" s="3" t="s">
        <v>1597</v>
      </c>
      <c r="R1639" s="3" t="s">
        <v>1602</v>
      </c>
      <c r="S1639" s="3" t="s">
        <v>1603</v>
      </c>
      <c r="T1639" s="3"/>
    </row>
    <row r="1640" spans="1:20">
      <c r="A1640" s="3" t="s">
        <v>1594</v>
      </c>
      <c r="B1640" s="3" t="s">
        <v>1595</v>
      </c>
      <c r="C1640" s="3" t="s">
        <v>1596</v>
      </c>
      <c r="D1640" s="3" t="s">
        <v>1357</v>
      </c>
      <c r="E1640" s="3" t="s">
        <v>1358</v>
      </c>
      <c r="F1640" s="2">
        <v>1</v>
      </c>
      <c r="G1640" s="4">
        <v>1.0532793336863346</v>
      </c>
      <c r="H1640" s="2">
        <v>50</v>
      </c>
      <c r="I1640" s="2">
        <v>5</v>
      </c>
      <c r="J1640" s="2">
        <v>16</v>
      </c>
      <c r="K1640" s="4">
        <v>1</v>
      </c>
      <c r="L1640" s="4">
        <v>0.30222655685098976</v>
      </c>
      <c r="M1640" s="4">
        <v>0.30222655685098976</v>
      </c>
      <c r="N1640" s="10">
        <v>0.30199999999999999</v>
      </c>
      <c r="O1640" s="4">
        <v>1.6764113093005442</v>
      </c>
      <c r="P1640" s="4">
        <v>1.68</v>
      </c>
      <c r="Q1640" s="3" t="s">
        <v>1597</v>
      </c>
      <c r="R1640" s="3" t="s">
        <v>1598</v>
      </c>
      <c r="S1640" s="3" t="s">
        <v>1599</v>
      </c>
      <c r="T1640" s="3"/>
    </row>
    <row r="1641" spans="1:20">
      <c r="A1641" s="3" t="s">
        <v>1594</v>
      </c>
      <c r="B1641" s="3" t="s">
        <v>1612</v>
      </c>
      <c r="C1641" s="3" t="s">
        <v>1596</v>
      </c>
      <c r="D1641" s="3" t="s">
        <v>1235</v>
      </c>
      <c r="E1641" s="3" t="s">
        <v>1236</v>
      </c>
      <c r="F1641" s="2">
        <v>1</v>
      </c>
      <c r="G1641" s="4">
        <v>1.0532793336863346</v>
      </c>
      <c r="H1641" s="2">
        <v>50</v>
      </c>
      <c r="I1641" s="2">
        <v>5</v>
      </c>
      <c r="J1641" s="2">
        <v>16</v>
      </c>
      <c r="K1641" s="4">
        <v>0.69379880429063223</v>
      </c>
      <c r="L1641" s="4">
        <v>0.15342455230120577</v>
      </c>
      <c r="M1641" s="4">
        <v>0.15342455230120577</v>
      </c>
      <c r="N1641" s="10">
        <v>0.153</v>
      </c>
      <c r="O1641" s="4">
        <v>0.83101346316880309</v>
      </c>
      <c r="P1641" s="4">
        <v>0.83</v>
      </c>
      <c r="Q1641" s="3" t="s">
        <v>1597</v>
      </c>
      <c r="R1641" s="3" t="s">
        <v>1613</v>
      </c>
      <c r="S1641" s="3" t="s">
        <v>1614</v>
      </c>
      <c r="T1641" s="3"/>
    </row>
    <row r="1642" spans="1:20">
      <c r="A1642" s="3" t="s">
        <v>1594</v>
      </c>
      <c r="B1642" s="3" t="s">
        <v>1595</v>
      </c>
      <c r="C1642" s="3" t="s">
        <v>1596</v>
      </c>
      <c r="D1642" s="3" t="s">
        <v>1235</v>
      </c>
      <c r="E1642" s="3" t="s">
        <v>1236</v>
      </c>
      <c r="F1642" s="2">
        <v>1</v>
      </c>
      <c r="G1642" s="4">
        <v>1.0532793336863346</v>
      </c>
      <c r="H1642" s="2">
        <v>25</v>
      </c>
      <c r="I1642" s="2">
        <v>5</v>
      </c>
      <c r="J1642" s="2">
        <v>16</v>
      </c>
      <c r="K1642" s="4">
        <v>0.15816495360294724</v>
      </c>
      <c r="L1642" s="4">
        <v>0.12129592395856219</v>
      </c>
      <c r="M1642" s="4">
        <v>0.12129592395856219</v>
      </c>
      <c r="N1642" s="10">
        <v>0.121</v>
      </c>
      <c r="O1642" s="4">
        <v>0.60435307821115469</v>
      </c>
      <c r="P1642" s="4">
        <v>0.6</v>
      </c>
      <c r="Q1642" s="3" t="s">
        <v>1597</v>
      </c>
      <c r="R1642" s="3" t="s">
        <v>1598</v>
      </c>
      <c r="S1642" s="3" t="s">
        <v>1599</v>
      </c>
      <c r="T1642" s="3"/>
    </row>
    <row r="1643" spans="1:20">
      <c r="A1643" s="3" t="s">
        <v>1594</v>
      </c>
      <c r="B1643" s="3" t="s">
        <v>1595</v>
      </c>
      <c r="C1643" s="3" t="s">
        <v>1596</v>
      </c>
      <c r="D1643" s="3" t="s">
        <v>1235</v>
      </c>
      <c r="E1643" s="3" t="s">
        <v>1236</v>
      </c>
      <c r="F1643" s="2">
        <v>1</v>
      </c>
      <c r="G1643" s="4">
        <v>1.0532793336863346</v>
      </c>
      <c r="H1643" s="2">
        <v>50</v>
      </c>
      <c r="I1643" s="2">
        <v>5</v>
      </c>
      <c r="J1643" s="2">
        <v>16</v>
      </c>
      <c r="K1643" s="4">
        <v>0.89669262755297741</v>
      </c>
      <c r="L1643" s="4">
        <v>0.11872878750442406</v>
      </c>
      <c r="M1643" s="4">
        <v>0.11872878750442406</v>
      </c>
      <c r="N1643" s="10">
        <v>0.11899999999999999</v>
      </c>
      <c r="O1643" s="4">
        <v>0.64103181063153702</v>
      </c>
      <c r="P1643" s="4">
        <v>0.64</v>
      </c>
      <c r="Q1643" s="3" t="s">
        <v>1597</v>
      </c>
      <c r="R1643" s="3" t="s">
        <v>1598</v>
      </c>
      <c r="S1643" s="3" t="s">
        <v>1599</v>
      </c>
      <c r="T1643" s="3"/>
    </row>
    <row r="1644" spans="1:20">
      <c r="A1644" s="3" t="s">
        <v>1594</v>
      </c>
      <c r="B1644" s="3" t="s">
        <v>1595</v>
      </c>
      <c r="C1644" s="3" t="s">
        <v>1596</v>
      </c>
      <c r="D1644" s="3" t="s">
        <v>1357</v>
      </c>
      <c r="E1644" s="3" t="s">
        <v>1358</v>
      </c>
      <c r="F1644" s="2">
        <v>1</v>
      </c>
      <c r="G1644" s="4">
        <v>1.0532793336863346</v>
      </c>
      <c r="H1644" s="2">
        <v>25</v>
      </c>
      <c r="I1644" s="2">
        <v>5</v>
      </c>
      <c r="J1644" s="2">
        <v>16</v>
      </c>
      <c r="K1644" s="4">
        <v>0.47277705153528071</v>
      </c>
      <c r="L1644" s="4">
        <v>0.10338147492536287</v>
      </c>
      <c r="M1644" s="4">
        <v>0.10338147492536287</v>
      </c>
      <c r="N1644" s="10">
        <v>0.10299999999999999</v>
      </c>
      <c r="O1644" s="4">
        <v>0.51439660207216054</v>
      </c>
      <c r="P1644" s="4">
        <v>0.51</v>
      </c>
      <c r="Q1644" s="3" t="s">
        <v>1597</v>
      </c>
      <c r="R1644" s="3" t="s">
        <v>1598</v>
      </c>
      <c r="S1644" s="3" t="s">
        <v>1599</v>
      </c>
      <c r="T1644" s="3"/>
    </row>
    <row r="1645" spans="1:20">
      <c r="A1645" s="3" t="s">
        <v>1594</v>
      </c>
      <c r="B1645" s="3" t="s">
        <v>1612</v>
      </c>
      <c r="C1645" s="3" t="s">
        <v>1596</v>
      </c>
      <c r="D1645" s="3" t="s">
        <v>1357</v>
      </c>
      <c r="E1645" s="3" t="s">
        <v>1358</v>
      </c>
      <c r="F1645" s="2">
        <v>1</v>
      </c>
      <c r="G1645" s="4">
        <v>1.0532793336863346</v>
      </c>
      <c r="H1645" s="2">
        <v>50</v>
      </c>
      <c r="I1645" s="2">
        <v>5</v>
      </c>
      <c r="J1645" s="2">
        <v>16</v>
      </c>
      <c r="K1645" s="4">
        <v>0.39956586099952507</v>
      </c>
      <c r="L1645" s="4">
        <v>6.4775642817650386E-2</v>
      </c>
      <c r="M1645" s="4">
        <v>6.4775642817650386E-2</v>
      </c>
      <c r="N1645" s="10">
        <v>6.5000000000000002E-2</v>
      </c>
      <c r="O1645" s="4">
        <v>0.34857043527988879</v>
      </c>
      <c r="P1645" s="4">
        <v>0.35</v>
      </c>
      <c r="Q1645" s="3" t="s">
        <v>1597</v>
      </c>
      <c r="R1645" s="3" t="s">
        <v>1613</v>
      </c>
      <c r="S1645" s="3" t="s">
        <v>1614</v>
      </c>
      <c r="T1645" s="3"/>
    </row>
    <row r="1646" spans="1:20">
      <c r="A1646" s="3" t="s">
        <v>1600</v>
      </c>
      <c r="B1646" s="3" t="s">
        <v>1601</v>
      </c>
      <c r="C1646" s="3" t="s">
        <v>1596</v>
      </c>
      <c r="D1646" s="3" t="s">
        <v>1357</v>
      </c>
      <c r="E1646" s="3" t="s">
        <v>1358</v>
      </c>
      <c r="F1646" s="2">
        <v>1</v>
      </c>
      <c r="G1646" s="4">
        <v>1.0532793336863346</v>
      </c>
      <c r="H1646" s="2">
        <v>25</v>
      </c>
      <c r="I1646" s="2">
        <v>5</v>
      </c>
      <c r="J1646" s="2">
        <v>1</v>
      </c>
      <c r="K1646" s="4">
        <v>5.880608325168124E-2</v>
      </c>
      <c r="L1646" s="4">
        <v>-6.1906406404920681E-3</v>
      </c>
      <c r="M1646" s="4">
        <v>6.1906406404920681E-3</v>
      </c>
      <c r="N1646" s="10">
        <v>6.0000000000000001E-3</v>
      </c>
      <c r="O1646" s="4">
        <v>3.0693194360939764E-2</v>
      </c>
      <c r="P1646" s="4">
        <v>-0.03</v>
      </c>
      <c r="Q1646" s="3" t="s">
        <v>1617</v>
      </c>
      <c r="R1646" s="3" t="s">
        <v>1618</v>
      </c>
      <c r="S1646" s="3" t="s">
        <v>1619</v>
      </c>
      <c r="T1646" s="3"/>
    </row>
    <row r="1647" spans="1:20">
      <c r="A1647" s="3" t="s">
        <v>1600</v>
      </c>
      <c r="B1647" s="3" t="s">
        <v>1606</v>
      </c>
      <c r="C1647" s="3" t="s">
        <v>1596</v>
      </c>
      <c r="D1647" s="3" t="s">
        <v>1357</v>
      </c>
      <c r="E1647" s="3" t="s">
        <v>1358</v>
      </c>
      <c r="F1647" s="2">
        <v>1</v>
      </c>
      <c r="G1647" s="4">
        <v>1.0532793336863346</v>
      </c>
      <c r="H1647" s="2">
        <v>25</v>
      </c>
      <c r="I1647" s="2">
        <v>5</v>
      </c>
      <c r="J1647" s="2">
        <v>16</v>
      </c>
      <c r="K1647" s="4">
        <v>1</v>
      </c>
      <c r="L1647" s="4">
        <v>-3.7463132299733491E-2</v>
      </c>
      <c r="M1647" s="4">
        <v>3.7463132299733491E-2</v>
      </c>
      <c r="N1647" s="10">
        <v>3.6999999999999998E-2</v>
      </c>
      <c r="O1647" s="4">
        <v>0.1858267930925411</v>
      </c>
      <c r="P1647" s="4">
        <v>-0.18</v>
      </c>
      <c r="Q1647" s="3" t="s">
        <v>1617</v>
      </c>
      <c r="R1647" s="3" t="s">
        <v>1621</v>
      </c>
      <c r="S1647" s="3" t="s">
        <v>1622</v>
      </c>
      <c r="T1647" s="3"/>
    </row>
    <row r="1648" spans="1:20">
      <c r="A1648" s="3" t="s">
        <v>1600</v>
      </c>
      <c r="B1648" s="3" t="s">
        <v>1606</v>
      </c>
      <c r="C1648" s="3" t="s">
        <v>1596</v>
      </c>
      <c r="D1648" s="3" t="s">
        <v>1357</v>
      </c>
      <c r="E1648" s="3" t="s">
        <v>1358</v>
      </c>
      <c r="F1648" s="2">
        <v>1</v>
      </c>
      <c r="G1648" s="4">
        <v>1.0532793336863346</v>
      </c>
      <c r="H1648" s="2">
        <v>25</v>
      </c>
      <c r="I1648" s="2">
        <v>5</v>
      </c>
      <c r="J1648" s="2">
        <v>1</v>
      </c>
      <c r="K1648" s="4">
        <v>0.99714072849744739</v>
      </c>
      <c r="L1648" s="4">
        <v>-8.8546386723850526E-2</v>
      </c>
      <c r="M1648" s="4">
        <v>8.8546386723850526E-2</v>
      </c>
      <c r="N1648" s="10">
        <v>8.8999999999999996E-2</v>
      </c>
      <c r="O1648" s="4">
        <v>0.44016011745400835</v>
      </c>
      <c r="P1648" s="4">
        <v>-0.44</v>
      </c>
      <c r="Q1648" s="3" t="s">
        <v>1617</v>
      </c>
      <c r="R1648" s="3" t="s">
        <v>1621</v>
      </c>
      <c r="S1648" s="3" t="s">
        <v>1622</v>
      </c>
      <c r="T1648" s="3"/>
    </row>
    <row r="1649" spans="1:20">
      <c r="A1649" s="3" t="s">
        <v>1600</v>
      </c>
      <c r="B1649" s="3" t="s">
        <v>1601</v>
      </c>
      <c r="C1649" s="3" t="s">
        <v>1616</v>
      </c>
      <c r="D1649" s="3" t="s">
        <v>1357</v>
      </c>
      <c r="E1649" s="3" t="s">
        <v>1358</v>
      </c>
      <c r="F1649" s="2">
        <v>1</v>
      </c>
      <c r="G1649" s="4">
        <v>1.0532793336863346</v>
      </c>
      <c r="H1649" s="2">
        <v>25</v>
      </c>
      <c r="I1649" s="2">
        <v>5</v>
      </c>
      <c r="J1649" s="2">
        <v>16</v>
      </c>
      <c r="K1649" s="4">
        <v>1</v>
      </c>
      <c r="L1649" s="4">
        <v>-8.9831452394703776E-2</v>
      </c>
      <c r="M1649" s="4">
        <v>8.9831452394703776E-2</v>
      </c>
      <c r="N1649" s="10">
        <v>0.09</v>
      </c>
      <c r="O1649" s="4">
        <v>0.44658247989914213</v>
      </c>
      <c r="P1649" s="4">
        <v>-0.45</v>
      </c>
      <c r="Q1649" s="3" t="s">
        <v>1617</v>
      </c>
      <c r="R1649" s="3" t="s">
        <v>1618</v>
      </c>
      <c r="S1649" s="3" t="s">
        <v>1619</v>
      </c>
      <c r="T1649" s="3"/>
    </row>
    <row r="1650" spans="1:20">
      <c r="A1650" s="3" t="s">
        <v>1605</v>
      </c>
      <c r="B1650" s="3" t="s">
        <v>1601</v>
      </c>
      <c r="C1650" s="3" t="s">
        <v>1596</v>
      </c>
      <c r="D1650" s="3" t="s">
        <v>1357</v>
      </c>
      <c r="E1650" s="3" t="s">
        <v>1358</v>
      </c>
      <c r="F1650" s="2">
        <v>1</v>
      </c>
      <c r="G1650" s="4">
        <v>1.0532793336863346</v>
      </c>
      <c r="H1650" s="2">
        <v>25</v>
      </c>
      <c r="I1650" s="2">
        <v>5</v>
      </c>
      <c r="J1650" s="2">
        <v>16</v>
      </c>
      <c r="K1650" s="4">
        <v>1</v>
      </c>
      <c r="L1650" s="4">
        <v>-0.10231725811026653</v>
      </c>
      <c r="M1650" s="4">
        <v>0.10231725811026653</v>
      </c>
      <c r="N1650" s="10">
        <v>0.10199999999999999</v>
      </c>
      <c r="O1650" s="4">
        <v>0.50906387274631093</v>
      </c>
      <c r="P1650" s="4">
        <v>-0.51</v>
      </c>
      <c r="Q1650" s="3" t="s">
        <v>1617</v>
      </c>
      <c r="R1650" s="3" t="s">
        <v>1618</v>
      </c>
      <c r="S1650" s="3" t="s">
        <v>1619</v>
      </c>
      <c r="T1650" s="3"/>
    </row>
    <row r="1651" spans="1:20">
      <c r="A1651" s="3" t="s">
        <v>1600</v>
      </c>
      <c r="B1651" s="3" t="s">
        <v>1601</v>
      </c>
      <c r="C1651" s="3" t="s">
        <v>1596</v>
      </c>
      <c r="D1651" s="3" t="s">
        <v>1357</v>
      </c>
      <c r="E1651" s="3" t="s">
        <v>1358</v>
      </c>
      <c r="F1651" s="2">
        <v>1</v>
      </c>
      <c r="G1651" s="4">
        <v>1.0532793336863346</v>
      </c>
      <c r="H1651" s="2">
        <v>25</v>
      </c>
      <c r="I1651" s="2">
        <v>5</v>
      </c>
      <c r="J1651" s="2">
        <v>16</v>
      </c>
      <c r="K1651" s="4">
        <v>1</v>
      </c>
      <c r="L1651" s="4">
        <v>-0.105065257266103</v>
      </c>
      <c r="M1651" s="4">
        <v>0.105065257266103</v>
      </c>
      <c r="N1651" s="10">
        <v>0.105</v>
      </c>
      <c r="O1651" s="4">
        <v>0.52283636685607915</v>
      </c>
      <c r="P1651" s="4">
        <v>-0.52</v>
      </c>
      <c r="Q1651" s="3" t="s">
        <v>1617</v>
      </c>
      <c r="R1651" s="3" t="s">
        <v>1618</v>
      </c>
      <c r="S1651" s="3" t="s">
        <v>1619</v>
      </c>
      <c r="T1651" s="3"/>
    </row>
    <row r="1652" spans="1:20">
      <c r="A1652" s="3" t="s">
        <v>1604</v>
      </c>
      <c r="B1652" s="3" t="s">
        <v>1601</v>
      </c>
      <c r="C1652" s="3" t="s">
        <v>1596</v>
      </c>
      <c r="D1652" s="3" t="s">
        <v>1357</v>
      </c>
      <c r="E1652" s="3" t="s">
        <v>1358</v>
      </c>
      <c r="F1652" s="2">
        <v>1</v>
      </c>
      <c r="G1652" s="4">
        <v>1.0532793336863346</v>
      </c>
      <c r="H1652" s="2">
        <v>25</v>
      </c>
      <c r="I1652" s="2">
        <v>30</v>
      </c>
      <c r="J1652" s="2">
        <v>16</v>
      </c>
      <c r="K1652" s="4">
        <v>1</v>
      </c>
      <c r="L1652" s="4">
        <v>-0.1052854523423903</v>
      </c>
      <c r="M1652" s="4">
        <v>0.1052854523423903</v>
      </c>
      <c r="N1652" s="10">
        <v>0.105</v>
      </c>
      <c r="O1652" s="4">
        <v>0.5239402914880491</v>
      </c>
      <c r="P1652" s="4">
        <v>-0.52</v>
      </c>
      <c r="Q1652" s="3" t="s">
        <v>1617</v>
      </c>
      <c r="R1652" s="3" t="s">
        <v>1618</v>
      </c>
      <c r="S1652" s="3" t="s">
        <v>1619</v>
      </c>
      <c r="T1652" s="3"/>
    </row>
    <row r="1653" spans="1:20">
      <c r="A1653" s="3" t="s">
        <v>1600</v>
      </c>
      <c r="B1653" s="3" t="s">
        <v>1601</v>
      </c>
      <c r="C1653" s="3" t="s">
        <v>1616</v>
      </c>
      <c r="D1653" s="3" t="s">
        <v>1357</v>
      </c>
      <c r="E1653" s="3" t="s">
        <v>1358</v>
      </c>
      <c r="F1653" s="2">
        <v>1</v>
      </c>
      <c r="G1653" s="4">
        <v>1.0532793336863346</v>
      </c>
      <c r="H1653" s="2">
        <v>25</v>
      </c>
      <c r="I1653" s="2">
        <v>5</v>
      </c>
      <c r="J1653" s="2">
        <v>1</v>
      </c>
      <c r="K1653" s="4">
        <v>1</v>
      </c>
      <c r="L1653" s="4">
        <v>-0.14586260587468527</v>
      </c>
      <c r="M1653" s="4">
        <v>0.14586260587468527</v>
      </c>
      <c r="N1653" s="10">
        <v>0.14599999999999999</v>
      </c>
      <c r="O1653" s="4">
        <v>0.72837274955860187</v>
      </c>
      <c r="P1653" s="4">
        <v>-0.73</v>
      </c>
      <c r="Q1653" s="3" t="s">
        <v>1617</v>
      </c>
      <c r="R1653" s="3" t="s">
        <v>1618</v>
      </c>
      <c r="S1653" s="3" t="s">
        <v>1619</v>
      </c>
      <c r="T1653" s="3"/>
    </row>
    <row r="1654" spans="1:20">
      <c r="A1654" s="3" t="s">
        <v>1600</v>
      </c>
      <c r="B1654" s="3" t="s">
        <v>1606</v>
      </c>
      <c r="C1654" s="3" t="s">
        <v>1616</v>
      </c>
      <c r="D1654" s="3" t="s">
        <v>1357</v>
      </c>
      <c r="E1654" s="3" t="s">
        <v>1358</v>
      </c>
      <c r="F1654" s="2">
        <v>1</v>
      </c>
      <c r="G1654" s="4">
        <v>1.0532793336863346</v>
      </c>
      <c r="H1654" s="2">
        <v>25</v>
      </c>
      <c r="I1654" s="2">
        <v>5</v>
      </c>
      <c r="J1654" s="2">
        <v>1</v>
      </c>
      <c r="K1654" s="4">
        <v>1</v>
      </c>
      <c r="L1654" s="4">
        <v>-0.15374829543117791</v>
      </c>
      <c r="M1654" s="4">
        <v>0.15374829543117791</v>
      </c>
      <c r="N1654" s="10">
        <v>0.154</v>
      </c>
      <c r="O1654" s="4">
        <v>0.7683672666155148</v>
      </c>
      <c r="P1654" s="4">
        <v>-0.77</v>
      </c>
      <c r="Q1654" s="3" t="s">
        <v>1617</v>
      </c>
      <c r="R1654" s="3" t="s">
        <v>1621</v>
      </c>
      <c r="S1654" s="3" t="s">
        <v>1622</v>
      </c>
      <c r="T1654" s="3"/>
    </row>
    <row r="1655" spans="1:20">
      <c r="A1655" s="3" t="s">
        <v>1600</v>
      </c>
      <c r="B1655" s="3" t="s">
        <v>1609</v>
      </c>
      <c r="C1655" s="3" t="s">
        <v>1616</v>
      </c>
      <c r="D1655" s="3" t="s">
        <v>1357</v>
      </c>
      <c r="E1655" s="3" t="s">
        <v>1358</v>
      </c>
      <c r="F1655" s="2">
        <v>1</v>
      </c>
      <c r="G1655" s="4">
        <v>1.0532793336863346</v>
      </c>
      <c r="H1655" s="2">
        <v>25</v>
      </c>
      <c r="I1655" s="2">
        <v>5</v>
      </c>
      <c r="J1655" s="2">
        <v>1</v>
      </c>
      <c r="K1655" s="4">
        <v>0.74940645802828487</v>
      </c>
      <c r="L1655" s="4">
        <v>-0.15768786570638271</v>
      </c>
      <c r="M1655" s="4">
        <v>0.15768786570638271</v>
      </c>
      <c r="N1655" s="10">
        <v>0.158</v>
      </c>
      <c r="O1655" s="4">
        <v>0.78838482184321057</v>
      </c>
      <c r="P1655" s="4">
        <v>-0.79</v>
      </c>
      <c r="Q1655" s="3" t="s">
        <v>1617</v>
      </c>
      <c r="R1655" s="3" t="s">
        <v>1623</v>
      </c>
      <c r="S1655" s="3" t="s">
        <v>1624</v>
      </c>
      <c r="T1655" s="3"/>
    </row>
    <row r="1656" spans="1:20">
      <c r="A1656" s="3" t="s">
        <v>1600</v>
      </c>
      <c r="B1656" s="3" t="s">
        <v>1606</v>
      </c>
      <c r="C1656" s="3" t="s">
        <v>1616</v>
      </c>
      <c r="D1656" s="3" t="s">
        <v>1357</v>
      </c>
      <c r="E1656" s="3" t="s">
        <v>1358</v>
      </c>
      <c r="F1656" s="2">
        <v>1</v>
      </c>
      <c r="G1656" s="4">
        <v>1.0532793336863346</v>
      </c>
      <c r="H1656" s="2">
        <v>25</v>
      </c>
      <c r="I1656" s="2">
        <v>5</v>
      </c>
      <c r="J1656" s="2">
        <v>16</v>
      </c>
      <c r="K1656" s="4">
        <v>1</v>
      </c>
      <c r="L1656" s="4">
        <v>-0.17040536737685799</v>
      </c>
      <c r="M1656" s="4">
        <v>0.17040536737685799</v>
      </c>
      <c r="N1656" s="10">
        <v>0.17</v>
      </c>
      <c r="O1656" s="4">
        <v>0.85318213505512586</v>
      </c>
      <c r="P1656" s="4">
        <v>-0.85</v>
      </c>
      <c r="Q1656" s="3" t="s">
        <v>1617</v>
      </c>
      <c r="R1656" s="3" t="s">
        <v>1621</v>
      </c>
      <c r="S1656" s="3" t="s">
        <v>1622</v>
      </c>
      <c r="T1656" s="3"/>
    </row>
    <row r="1657" spans="1:20">
      <c r="A1657" s="3" t="s">
        <v>1600</v>
      </c>
      <c r="B1657" s="3" t="s">
        <v>1609</v>
      </c>
      <c r="C1657" s="3" t="s">
        <v>1616</v>
      </c>
      <c r="D1657" s="3" t="s">
        <v>1357</v>
      </c>
      <c r="E1657" s="3" t="s">
        <v>1358</v>
      </c>
      <c r="F1657" s="2">
        <v>1</v>
      </c>
      <c r="G1657" s="4">
        <v>1.0532793336863346</v>
      </c>
      <c r="H1657" s="2">
        <v>25</v>
      </c>
      <c r="I1657" s="2">
        <v>5</v>
      </c>
      <c r="J1657" s="2">
        <v>16</v>
      </c>
      <c r="K1657" s="4">
        <v>1</v>
      </c>
      <c r="L1657" s="4">
        <v>-0.17417900059943114</v>
      </c>
      <c r="M1657" s="4">
        <v>0.17417900059943114</v>
      </c>
      <c r="N1657" s="10">
        <v>0.17399999999999999</v>
      </c>
      <c r="O1657" s="4">
        <v>0.87246396748106392</v>
      </c>
      <c r="P1657" s="4">
        <v>-0.87</v>
      </c>
      <c r="Q1657" s="3" t="s">
        <v>1617</v>
      </c>
      <c r="R1657" s="3" t="s">
        <v>1623</v>
      </c>
      <c r="S1657" s="3" t="s">
        <v>1624</v>
      </c>
      <c r="T1657" s="3"/>
    </row>
    <row r="1658" spans="1:20">
      <c r="A1658" s="3" t="s">
        <v>1604</v>
      </c>
      <c r="B1658" s="3" t="s">
        <v>1601</v>
      </c>
      <c r="C1658" s="3" t="s">
        <v>1616</v>
      </c>
      <c r="D1658" s="3" t="s">
        <v>1357</v>
      </c>
      <c r="E1658" s="3" t="s">
        <v>1358</v>
      </c>
      <c r="F1658" s="2">
        <v>1</v>
      </c>
      <c r="G1658" s="4">
        <v>1.0532793336863346</v>
      </c>
      <c r="H1658" s="2">
        <v>25</v>
      </c>
      <c r="I1658" s="2">
        <v>30</v>
      </c>
      <c r="J1658" s="2">
        <v>16</v>
      </c>
      <c r="K1658" s="4">
        <v>1</v>
      </c>
      <c r="L1658" s="4">
        <v>-0.18090171975754257</v>
      </c>
      <c r="M1658" s="4">
        <v>0.18090171975754257</v>
      </c>
      <c r="N1658" s="10">
        <v>0.18099999999999999</v>
      </c>
      <c r="O1658" s="4">
        <v>0.9068797325168384</v>
      </c>
      <c r="P1658" s="4">
        <v>-0.91</v>
      </c>
      <c r="Q1658" s="3" t="s">
        <v>1617</v>
      </c>
      <c r="R1658" s="3" t="s">
        <v>1618</v>
      </c>
      <c r="S1658" s="3" t="s">
        <v>1619</v>
      </c>
      <c r="T1658" s="3"/>
    </row>
    <row r="1659" spans="1:20">
      <c r="A1659" s="3" t="s">
        <v>1600</v>
      </c>
      <c r="B1659" s="3" t="s">
        <v>1609</v>
      </c>
      <c r="C1659" s="3" t="s">
        <v>1596</v>
      </c>
      <c r="D1659" s="3" t="s">
        <v>1357</v>
      </c>
      <c r="E1659" s="3" t="s">
        <v>1358</v>
      </c>
      <c r="F1659" s="2">
        <v>1</v>
      </c>
      <c r="G1659" s="4">
        <v>1.0532793336863346</v>
      </c>
      <c r="H1659" s="2">
        <v>25</v>
      </c>
      <c r="I1659" s="2">
        <v>5</v>
      </c>
      <c r="J1659" s="2">
        <v>1</v>
      </c>
      <c r="K1659" s="4">
        <v>0.98016357661197351</v>
      </c>
      <c r="L1659" s="4">
        <v>-0.28737222861679784</v>
      </c>
      <c r="M1659" s="4">
        <v>0.28737222861679784</v>
      </c>
      <c r="N1659" s="10">
        <v>0.28699999999999998</v>
      </c>
      <c r="O1659" s="4">
        <v>1.4660597047442669</v>
      </c>
      <c r="P1659" s="4">
        <v>-1.46</v>
      </c>
      <c r="Q1659" s="3" t="s">
        <v>1617</v>
      </c>
      <c r="R1659" s="3" t="s">
        <v>1623</v>
      </c>
      <c r="S1659" s="3" t="s">
        <v>1624</v>
      </c>
      <c r="T1659" s="3"/>
    </row>
    <row r="1660" spans="1:20">
      <c r="A1660" s="3" t="s">
        <v>1600</v>
      </c>
      <c r="B1660" s="3" t="s">
        <v>1609</v>
      </c>
      <c r="C1660" s="3" t="s">
        <v>1596</v>
      </c>
      <c r="D1660" s="3" t="s">
        <v>1357</v>
      </c>
      <c r="E1660" s="3" t="s">
        <v>1358</v>
      </c>
      <c r="F1660" s="2">
        <v>1</v>
      </c>
      <c r="G1660" s="4">
        <v>1.0532793336863346</v>
      </c>
      <c r="H1660" s="2">
        <v>25</v>
      </c>
      <c r="I1660" s="2">
        <v>5</v>
      </c>
      <c r="J1660" s="2">
        <v>16</v>
      </c>
      <c r="K1660" s="4">
        <v>0.98812255274794802</v>
      </c>
      <c r="L1660" s="4">
        <v>-0.31062216071444348</v>
      </c>
      <c r="M1660" s="4">
        <v>0.31062216071444348</v>
      </c>
      <c r="N1660" s="10">
        <v>0.311</v>
      </c>
      <c r="O1660" s="4">
        <v>1.5926570478480786</v>
      </c>
      <c r="P1660" s="4">
        <v>-1.59</v>
      </c>
      <c r="Q1660" s="3" t="s">
        <v>1617</v>
      </c>
      <c r="R1660" s="3" t="s">
        <v>1623</v>
      </c>
      <c r="S1660" s="3" t="s">
        <v>1624</v>
      </c>
      <c r="T1660" s="3"/>
    </row>
    <row r="1661" spans="1:20">
      <c r="A1661" s="3" t="s">
        <v>1594</v>
      </c>
      <c r="B1661" s="3" t="s">
        <v>1612</v>
      </c>
      <c r="C1661" s="3" t="s">
        <v>1596</v>
      </c>
      <c r="D1661" s="3" t="s">
        <v>1303</v>
      </c>
      <c r="E1661" s="3" t="s">
        <v>1304</v>
      </c>
      <c r="F1661" s="2">
        <v>1</v>
      </c>
      <c r="G1661" s="4">
        <v>1.0546551678103224</v>
      </c>
      <c r="H1661" s="2">
        <v>50</v>
      </c>
      <c r="I1661" s="2">
        <v>5</v>
      </c>
      <c r="J1661" s="2">
        <v>16</v>
      </c>
      <c r="K1661" s="4">
        <v>8.0072062819182221E-2</v>
      </c>
      <c r="L1661" s="4">
        <v>0.14841358447077466</v>
      </c>
      <c r="M1661" s="4">
        <v>0.14841358447077466</v>
      </c>
      <c r="N1661" s="10">
        <v>0.14799999999999999</v>
      </c>
      <c r="O1661" s="4">
        <v>0.80345854969515018</v>
      </c>
      <c r="P1661" s="4">
        <v>0.8</v>
      </c>
      <c r="Q1661" s="3" t="s">
        <v>1597</v>
      </c>
      <c r="R1661" s="3" t="s">
        <v>1613</v>
      </c>
      <c r="S1661" s="3" t="s">
        <v>1614</v>
      </c>
      <c r="T1661" s="3"/>
    </row>
    <row r="1662" spans="1:20">
      <c r="A1662" s="3" t="s">
        <v>1604</v>
      </c>
      <c r="B1662" s="3" t="s">
        <v>1601</v>
      </c>
      <c r="C1662" s="3" t="s">
        <v>1596</v>
      </c>
      <c r="D1662" s="3" t="s">
        <v>1303</v>
      </c>
      <c r="E1662" s="3" t="s">
        <v>1304</v>
      </c>
      <c r="F1662" s="2">
        <v>1</v>
      </c>
      <c r="G1662" s="4">
        <v>1.0546551678103224</v>
      </c>
      <c r="H1662" s="2">
        <v>25</v>
      </c>
      <c r="I1662" s="2">
        <v>30</v>
      </c>
      <c r="J1662" s="2">
        <v>16</v>
      </c>
      <c r="K1662" s="4">
        <v>3.1008180147815367E-2</v>
      </c>
      <c r="L1662" s="4">
        <v>9.3960584869675776E-2</v>
      </c>
      <c r="M1662" s="4">
        <v>9.3960584869675776E-2</v>
      </c>
      <c r="N1662" s="10">
        <v>9.4E-2</v>
      </c>
      <c r="O1662" s="4">
        <v>0.467228842240825</v>
      </c>
      <c r="P1662" s="4">
        <v>0.47</v>
      </c>
      <c r="Q1662" s="3" t="s">
        <v>1597</v>
      </c>
      <c r="R1662" s="3" t="s">
        <v>1602</v>
      </c>
      <c r="S1662" s="3" t="s">
        <v>1603</v>
      </c>
      <c r="T1662" s="3"/>
    </row>
    <row r="1663" spans="1:20">
      <c r="A1663" s="3" t="s">
        <v>1605</v>
      </c>
      <c r="B1663" s="3" t="s">
        <v>1601</v>
      </c>
      <c r="C1663" s="3" t="s">
        <v>1596</v>
      </c>
      <c r="D1663" s="3" t="s">
        <v>1303</v>
      </c>
      <c r="E1663" s="3" t="s">
        <v>1304</v>
      </c>
      <c r="F1663" s="2">
        <v>1</v>
      </c>
      <c r="G1663" s="4">
        <v>1.0546551678103224</v>
      </c>
      <c r="H1663" s="2">
        <v>25</v>
      </c>
      <c r="I1663" s="2">
        <v>5</v>
      </c>
      <c r="J1663" s="2">
        <v>16</v>
      </c>
      <c r="K1663" s="4">
        <v>3.5288214647416716E-2</v>
      </c>
      <c r="L1663" s="4">
        <v>8.9328148628213436E-2</v>
      </c>
      <c r="M1663" s="4">
        <v>8.9328148628213436E-2</v>
      </c>
      <c r="N1663" s="10">
        <v>8.8999999999999996E-2</v>
      </c>
      <c r="O1663" s="4">
        <v>0.44406694579968603</v>
      </c>
      <c r="P1663" s="4">
        <v>0.44</v>
      </c>
      <c r="Q1663" s="3" t="s">
        <v>1597</v>
      </c>
      <c r="R1663" s="3" t="s">
        <v>1602</v>
      </c>
      <c r="S1663" s="3" t="s">
        <v>1603</v>
      </c>
      <c r="T1663" s="3"/>
    </row>
    <row r="1664" spans="1:20">
      <c r="A1664" s="3" t="s">
        <v>1594</v>
      </c>
      <c r="B1664" s="3" t="s">
        <v>1595</v>
      </c>
      <c r="C1664" s="3" t="s">
        <v>1596</v>
      </c>
      <c r="D1664" s="3" t="s">
        <v>1303</v>
      </c>
      <c r="E1664" s="3" t="s">
        <v>1304</v>
      </c>
      <c r="F1664" s="2">
        <v>1</v>
      </c>
      <c r="G1664" s="4">
        <v>1.0546551678103224</v>
      </c>
      <c r="H1664" s="2">
        <v>50</v>
      </c>
      <c r="I1664" s="2">
        <v>5</v>
      </c>
      <c r="J1664" s="2">
        <v>16</v>
      </c>
      <c r="K1664" s="4">
        <v>3.4599809253201275E-2</v>
      </c>
      <c r="L1664" s="4">
        <v>4.2580051660452882E-3</v>
      </c>
      <c r="M1664" s="4">
        <v>4.2580051660452882E-3</v>
      </c>
      <c r="N1664" s="10">
        <v>4.0000000000000001E-3</v>
      </c>
      <c r="O1664" s="4">
        <v>2.2881216072999262E-2</v>
      </c>
      <c r="P1664" s="4">
        <v>0.02</v>
      </c>
      <c r="Q1664" s="3" t="s">
        <v>1597</v>
      </c>
      <c r="R1664" s="3" t="s">
        <v>1598</v>
      </c>
      <c r="S1664" s="3" t="s">
        <v>1599</v>
      </c>
      <c r="T1664" s="3"/>
    </row>
    <row r="1665" spans="1:20">
      <c r="A1665" s="3" t="s">
        <v>1600</v>
      </c>
      <c r="B1665" s="3" t="s">
        <v>1601</v>
      </c>
      <c r="C1665" s="3" t="s">
        <v>1616</v>
      </c>
      <c r="D1665" s="3" t="s">
        <v>1303</v>
      </c>
      <c r="E1665" s="3" t="s">
        <v>1304</v>
      </c>
      <c r="F1665" s="2">
        <v>1</v>
      </c>
      <c r="G1665" s="4">
        <v>1.0546551678103224</v>
      </c>
      <c r="H1665" s="2">
        <v>25</v>
      </c>
      <c r="I1665" s="2">
        <v>5</v>
      </c>
      <c r="J1665" s="2">
        <v>1</v>
      </c>
      <c r="K1665" s="4">
        <v>0</v>
      </c>
      <c r="L1665" s="4">
        <v>0</v>
      </c>
      <c r="M1665" s="4">
        <v>0</v>
      </c>
      <c r="N1665" s="10">
        <v>0</v>
      </c>
      <c r="O1665" s="4">
        <v>0</v>
      </c>
      <c r="P1665" s="4">
        <v>0</v>
      </c>
      <c r="Q1665" s="3" t="s">
        <v>1617</v>
      </c>
      <c r="R1665" s="3" t="s">
        <v>1618</v>
      </c>
      <c r="S1665" s="3" t="s">
        <v>1619</v>
      </c>
      <c r="T1665" s="3"/>
    </row>
    <row r="1666" spans="1:20">
      <c r="A1666" s="3" t="s">
        <v>1600</v>
      </c>
      <c r="B1666" s="3" t="s">
        <v>1601</v>
      </c>
      <c r="C1666" s="3" t="s">
        <v>1616</v>
      </c>
      <c r="D1666" s="3" t="s">
        <v>1303</v>
      </c>
      <c r="E1666" s="3" t="s">
        <v>1304</v>
      </c>
      <c r="F1666" s="2">
        <v>1</v>
      </c>
      <c r="G1666" s="4">
        <v>1.0546551678103224</v>
      </c>
      <c r="H1666" s="2">
        <v>25</v>
      </c>
      <c r="I1666" s="2">
        <v>5</v>
      </c>
      <c r="J1666" s="2">
        <v>16</v>
      </c>
      <c r="K1666" s="4">
        <v>0</v>
      </c>
      <c r="L1666" s="4">
        <v>0</v>
      </c>
      <c r="M1666" s="4">
        <v>0</v>
      </c>
      <c r="N1666" s="10">
        <v>0</v>
      </c>
      <c r="O1666" s="4">
        <v>0</v>
      </c>
      <c r="P1666" s="4">
        <v>0</v>
      </c>
      <c r="Q1666" s="3" t="s">
        <v>1617</v>
      </c>
      <c r="R1666" s="3" t="s">
        <v>1618</v>
      </c>
      <c r="S1666" s="3" t="s">
        <v>1619</v>
      </c>
      <c r="T1666" s="3"/>
    </row>
    <row r="1667" spans="1:20">
      <c r="A1667" s="3" t="s">
        <v>1604</v>
      </c>
      <c r="B1667" s="3" t="s">
        <v>1601</v>
      </c>
      <c r="C1667" s="3" t="s">
        <v>1616</v>
      </c>
      <c r="D1667" s="3" t="s">
        <v>1303</v>
      </c>
      <c r="E1667" s="3" t="s">
        <v>1304</v>
      </c>
      <c r="F1667" s="2">
        <v>1</v>
      </c>
      <c r="G1667" s="4">
        <v>1.0546551678103224</v>
      </c>
      <c r="H1667" s="2">
        <v>25</v>
      </c>
      <c r="I1667" s="2">
        <v>30</v>
      </c>
      <c r="J1667" s="2">
        <v>16</v>
      </c>
      <c r="K1667" s="4">
        <v>0</v>
      </c>
      <c r="L1667" s="4">
        <v>0</v>
      </c>
      <c r="M1667" s="4">
        <v>0</v>
      </c>
      <c r="N1667" s="10">
        <v>0</v>
      </c>
      <c r="O1667" s="4">
        <v>0</v>
      </c>
      <c r="P1667" s="4">
        <v>0</v>
      </c>
      <c r="Q1667" s="3" t="s">
        <v>1617</v>
      </c>
      <c r="R1667" s="3" t="s">
        <v>1618</v>
      </c>
      <c r="S1667" s="3" t="s">
        <v>1619</v>
      </c>
      <c r="T1667" s="3"/>
    </row>
    <row r="1668" spans="1:20">
      <c r="A1668" s="3" t="s">
        <v>1600</v>
      </c>
      <c r="B1668" s="3" t="s">
        <v>1601</v>
      </c>
      <c r="C1668" s="3" t="s">
        <v>1596</v>
      </c>
      <c r="D1668" s="3" t="s">
        <v>1303</v>
      </c>
      <c r="E1668" s="3" t="s">
        <v>1304</v>
      </c>
      <c r="F1668" s="2">
        <v>1</v>
      </c>
      <c r="G1668" s="4">
        <v>1.0546551678103224</v>
      </c>
      <c r="H1668" s="2">
        <v>25</v>
      </c>
      <c r="I1668" s="2">
        <v>5</v>
      </c>
      <c r="J1668" s="2">
        <v>1</v>
      </c>
      <c r="K1668" s="4">
        <v>0</v>
      </c>
      <c r="L1668" s="4">
        <v>0</v>
      </c>
      <c r="M1668" s="4">
        <v>0</v>
      </c>
      <c r="N1668" s="10">
        <v>0</v>
      </c>
      <c r="O1668" s="4">
        <v>0</v>
      </c>
      <c r="P1668" s="4">
        <v>0</v>
      </c>
      <c r="Q1668" s="3" t="s">
        <v>1617</v>
      </c>
      <c r="R1668" s="3" t="s">
        <v>1618</v>
      </c>
      <c r="S1668" s="3" t="s">
        <v>1619</v>
      </c>
      <c r="T1668" s="3"/>
    </row>
    <row r="1669" spans="1:20">
      <c r="A1669" s="3" t="s">
        <v>1600</v>
      </c>
      <c r="B1669" s="3" t="s">
        <v>1601</v>
      </c>
      <c r="C1669" s="3" t="s">
        <v>1596</v>
      </c>
      <c r="D1669" s="3" t="s">
        <v>1303</v>
      </c>
      <c r="E1669" s="3" t="s">
        <v>1304</v>
      </c>
      <c r="F1669" s="2">
        <v>1</v>
      </c>
      <c r="G1669" s="4">
        <v>1.0546551678103224</v>
      </c>
      <c r="H1669" s="2">
        <v>25</v>
      </c>
      <c r="I1669" s="2">
        <v>5</v>
      </c>
      <c r="J1669" s="2">
        <v>16</v>
      </c>
      <c r="K1669" s="4">
        <v>0</v>
      </c>
      <c r="L1669" s="4">
        <v>0</v>
      </c>
      <c r="M1669" s="4">
        <v>0</v>
      </c>
      <c r="N1669" s="10">
        <v>0</v>
      </c>
      <c r="O1669" s="4">
        <v>0</v>
      </c>
      <c r="P1669" s="4">
        <v>0</v>
      </c>
      <c r="Q1669" s="3" t="s">
        <v>1617</v>
      </c>
      <c r="R1669" s="3" t="s">
        <v>1618</v>
      </c>
      <c r="S1669" s="3" t="s">
        <v>1619</v>
      </c>
      <c r="T1669" s="3"/>
    </row>
    <row r="1670" spans="1:20">
      <c r="A1670" s="3" t="s">
        <v>1600</v>
      </c>
      <c r="B1670" s="3" t="s">
        <v>1606</v>
      </c>
      <c r="C1670" s="3" t="s">
        <v>1596</v>
      </c>
      <c r="D1670" s="3" t="s">
        <v>1303</v>
      </c>
      <c r="E1670" s="3" t="s">
        <v>1304</v>
      </c>
      <c r="F1670" s="2">
        <v>1</v>
      </c>
      <c r="G1670" s="4">
        <v>1.0546551678103224</v>
      </c>
      <c r="H1670" s="2">
        <v>25</v>
      </c>
      <c r="I1670" s="2">
        <v>5</v>
      </c>
      <c r="J1670" s="2">
        <v>1</v>
      </c>
      <c r="K1670" s="4">
        <v>0</v>
      </c>
      <c r="L1670" s="4">
        <v>0</v>
      </c>
      <c r="M1670" s="4">
        <v>0</v>
      </c>
      <c r="N1670" s="10">
        <v>0</v>
      </c>
      <c r="O1670" s="4">
        <v>0</v>
      </c>
      <c r="P1670" s="4">
        <v>0</v>
      </c>
      <c r="Q1670" s="3" t="s">
        <v>1617</v>
      </c>
      <c r="R1670" s="3" t="s">
        <v>1621</v>
      </c>
      <c r="S1670" s="3" t="s">
        <v>1622</v>
      </c>
      <c r="T1670" s="3"/>
    </row>
    <row r="1671" spans="1:20">
      <c r="A1671" s="3" t="s">
        <v>1600</v>
      </c>
      <c r="B1671" s="3" t="s">
        <v>1606</v>
      </c>
      <c r="C1671" s="3" t="s">
        <v>1596</v>
      </c>
      <c r="D1671" s="3" t="s">
        <v>1303</v>
      </c>
      <c r="E1671" s="3" t="s">
        <v>1304</v>
      </c>
      <c r="F1671" s="2">
        <v>1</v>
      </c>
      <c r="G1671" s="4">
        <v>1.0546551678103224</v>
      </c>
      <c r="H1671" s="2">
        <v>25</v>
      </c>
      <c r="I1671" s="2">
        <v>5</v>
      </c>
      <c r="J1671" s="2">
        <v>16</v>
      </c>
      <c r="K1671" s="4">
        <v>0</v>
      </c>
      <c r="L1671" s="4">
        <v>0</v>
      </c>
      <c r="M1671" s="4">
        <v>0</v>
      </c>
      <c r="N1671" s="10">
        <v>0</v>
      </c>
      <c r="O1671" s="4">
        <v>0</v>
      </c>
      <c r="P1671" s="4">
        <v>0</v>
      </c>
      <c r="Q1671" s="3" t="s">
        <v>1617</v>
      </c>
      <c r="R1671" s="3" t="s">
        <v>1621</v>
      </c>
      <c r="S1671" s="3" t="s">
        <v>1622</v>
      </c>
      <c r="T1671" s="3"/>
    </row>
    <row r="1672" spans="1:20">
      <c r="A1672" s="3" t="s">
        <v>1594</v>
      </c>
      <c r="B1672" s="3" t="s">
        <v>1595</v>
      </c>
      <c r="C1672" s="3" t="s">
        <v>1596</v>
      </c>
      <c r="D1672" s="3" t="s">
        <v>1303</v>
      </c>
      <c r="E1672" s="3" t="s">
        <v>1304</v>
      </c>
      <c r="F1672" s="2">
        <v>1</v>
      </c>
      <c r="G1672" s="4">
        <v>1.0546551678103224</v>
      </c>
      <c r="H1672" s="2">
        <v>25</v>
      </c>
      <c r="I1672" s="2">
        <v>5</v>
      </c>
      <c r="J1672" s="2">
        <v>16</v>
      </c>
      <c r="K1672" s="4">
        <v>0</v>
      </c>
      <c r="L1672" s="4">
        <v>0</v>
      </c>
      <c r="M1672" s="4">
        <v>0</v>
      </c>
      <c r="N1672" s="10">
        <v>0</v>
      </c>
      <c r="O1672" s="4">
        <v>0</v>
      </c>
      <c r="P1672" s="4">
        <v>0</v>
      </c>
      <c r="Q1672" s="3" t="s">
        <v>1617</v>
      </c>
      <c r="R1672" s="3" t="s">
        <v>1625</v>
      </c>
      <c r="S1672" s="3" t="s">
        <v>1626</v>
      </c>
      <c r="T1672" s="3"/>
    </row>
    <row r="1673" spans="1:20">
      <c r="A1673" s="3" t="s">
        <v>1600</v>
      </c>
      <c r="B1673" s="3" t="s">
        <v>1606</v>
      </c>
      <c r="C1673" s="3" t="s">
        <v>1616</v>
      </c>
      <c r="D1673" s="3" t="s">
        <v>1303</v>
      </c>
      <c r="E1673" s="3" t="s">
        <v>1304</v>
      </c>
      <c r="F1673" s="2">
        <v>1</v>
      </c>
      <c r="G1673" s="4">
        <v>1.0546551678103224</v>
      </c>
      <c r="H1673" s="2">
        <v>25</v>
      </c>
      <c r="I1673" s="2">
        <v>5</v>
      </c>
      <c r="J1673" s="2">
        <v>1</v>
      </c>
      <c r="K1673" s="4">
        <v>0</v>
      </c>
      <c r="L1673" s="4">
        <v>0</v>
      </c>
      <c r="M1673" s="4">
        <v>0</v>
      </c>
      <c r="N1673" s="10">
        <v>0</v>
      </c>
      <c r="O1673" s="4">
        <v>0</v>
      </c>
      <c r="P1673" s="4">
        <v>0</v>
      </c>
      <c r="Q1673" s="3" t="s">
        <v>1617</v>
      </c>
      <c r="R1673" s="3" t="s">
        <v>1621</v>
      </c>
      <c r="S1673" s="3" t="s">
        <v>1622</v>
      </c>
      <c r="T1673" s="3"/>
    </row>
    <row r="1674" spans="1:20">
      <c r="A1674" s="3" t="s">
        <v>1600</v>
      </c>
      <c r="B1674" s="3" t="s">
        <v>1606</v>
      </c>
      <c r="C1674" s="3" t="s">
        <v>1616</v>
      </c>
      <c r="D1674" s="3" t="s">
        <v>1303</v>
      </c>
      <c r="E1674" s="3" t="s">
        <v>1304</v>
      </c>
      <c r="F1674" s="2">
        <v>1</v>
      </c>
      <c r="G1674" s="4">
        <v>1.0546551678103224</v>
      </c>
      <c r="H1674" s="2">
        <v>25</v>
      </c>
      <c r="I1674" s="2">
        <v>5</v>
      </c>
      <c r="J1674" s="2">
        <v>16</v>
      </c>
      <c r="K1674" s="4">
        <v>0</v>
      </c>
      <c r="L1674" s="4">
        <v>0</v>
      </c>
      <c r="M1674" s="4">
        <v>0</v>
      </c>
      <c r="N1674" s="10">
        <v>0</v>
      </c>
      <c r="O1674" s="4">
        <v>0</v>
      </c>
      <c r="P1674" s="4">
        <v>0</v>
      </c>
      <c r="Q1674" s="3" t="s">
        <v>1617</v>
      </c>
      <c r="R1674" s="3" t="s">
        <v>1621</v>
      </c>
      <c r="S1674" s="3" t="s">
        <v>1622</v>
      </c>
      <c r="T1674" s="3"/>
    </row>
    <row r="1675" spans="1:20">
      <c r="A1675" s="3" t="s">
        <v>1600</v>
      </c>
      <c r="B1675" s="3" t="s">
        <v>1609</v>
      </c>
      <c r="C1675" s="3" t="s">
        <v>1616</v>
      </c>
      <c r="D1675" s="3" t="s">
        <v>1303</v>
      </c>
      <c r="E1675" s="3" t="s">
        <v>1304</v>
      </c>
      <c r="F1675" s="2">
        <v>1</v>
      </c>
      <c r="G1675" s="4">
        <v>1.0546551678103224</v>
      </c>
      <c r="H1675" s="2">
        <v>25</v>
      </c>
      <c r="I1675" s="2">
        <v>5</v>
      </c>
      <c r="J1675" s="2">
        <v>1</v>
      </c>
      <c r="K1675" s="4">
        <v>0</v>
      </c>
      <c r="L1675" s="4">
        <v>0</v>
      </c>
      <c r="M1675" s="4">
        <v>0</v>
      </c>
      <c r="N1675" s="10">
        <v>0</v>
      </c>
      <c r="O1675" s="4">
        <v>0</v>
      </c>
      <c r="P1675" s="4">
        <v>0</v>
      </c>
      <c r="Q1675" s="3" t="s">
        <v>1617</v>
      </c>
      <c r="R1675" s="3" t="s">
        <v>1623</v>
      </c>
      <c r="S1675" s="3" t="s">
        <v>1624</v>
      </c>
      <c r="T1675" s="3"/>
    </row>
    <row r="1676" spans="1:20">
      <c r="A1676" s="3" t="s">
        <v>1600</v>
      </c>
      <c r="B1676" s="3" t="s">
        <v>1609</v>
      </c>
      <c r="C1676" s="3" t="s">
        <v>1616</v>
      </c>
      <c r="D1676" s="3" t="s">
        <v>1303</v>
      </c>
      <c r="E1676" s="3" t="s">
        <v>1304</v>
      </c>
      <c r="F1676" s="2">
        <v>1</v>
      </c>
      <c r="G1676" s="4">
        <v>1.0546551678103224</v>
      </c>
      <c r="H1676" s="2">
        <v>25</v>
      </c>
      <c r="I1676" s="2">
        <v>5</v>
      </c>
      <c r="J1676" s="2">
        <v>16</v>
      </c>
      <c r="K1676" s="4">
        <v>1.1585974724753756E-2</v>
      </c>
      <c r="L1676" s="4">
        <v>-1</v>
      </c>
      <c r="M1676" s="4">
        <v>1</v>
      </c>
      <c r="N1676" s="10">
        <v>0.995</v>
      </c>
      <c r="O1676" s="4">
        <v>14.85</v>
      </c>
      <c r="P1676" s="4">
        <v>-14.85</v>
      </c>
      <c r="Q1676" s="3" t="s">
        <v>1617</v>
      </c>
      <c r="R1676" s="3" t="s">
        <v>1623</v>
      </c>
      <c r="S1676" s="3" t="s">
        <v>1624</v>
      </c>
      <c r="T1676" s="3"/>
    </row>
    <row r="1677" spans="1:20">
      <c r="A1677" s="3" t="s">
        <v>1600</v>
      </c>
      <c r="B1677" s="3" t="s">
        <v>1609</v>
      </c>
      <c r="C1677" s="3" t="s">
        <v>1596</v>
      </c>
      <c r="D1677" s="3" t="s">
        <v>1303</v>
      </c>
      <c r="E1677" s="3" t="s">
        <v>1304</v>
      </c>
      <c r="F1677" s="2">
        <v>1</v>
      </c>
      <c r="G1677" s="4">
        <v>1.0546551678103224</v>
      </c>
      <c r="H1677" s="2">
        <v>25</v>
      </c>
      <c r="I1677" s="2">
        <v>5</v>
      </c>
      <c r="J1677" s="2">
        <v>1</v>
      </c>
      <c r="K1677" s="4">
        <v>1.2572414280927147E-2</v>
      </c>
      <c r="L1677" s="4">
        <v>-1</v>
      </c>
      <c r="M1677" s="4">
        <v>1</v>
      </c>
      <c r="N1677" s="10">
        <v>0.995</v>
      </c>
      <c r="O1677" s="4">
        <v>14.85</v>
      </c>
      <c r="P1677" s="4">
        <v>-14.85</v>
      </c>
      <c r="Q1677" s="3" t="s">
        <v>1617</v>
      </c>
      <c r="R1677" s="3" t="s">
        <v>1623</v>
      </c>
      <c r="S1677" s="3" t="s">
        <v>1624</v>
      </c>
      <c r="T1677" s="3"/>
    </row>
    <row r="1678" spans="1:20">
      <c r="A1678" s="3" t="s">
        <v>1600</v>
      </c>
      <c r="B1678" s="3" t="s">
        <v>1609</v>
      </c>
      <c r="C1678" s="3" t="s">
        <v>1596</v>
      </c>
      <c r="D1678" s="3" t="s">
        <v>1303</v>
      </c>
      <c r="E1678" s="3" t="s">
        <v>1304</v>
      </c>
      <c r="F1678" s="2">
        <v>1</v>
      </c>
      <c r="G1678" s="4">
        <v>1.0546551678103224</v>
      </c>
      <c r="H1678" s="2">
        <v>25</v>
      </c>
      <c r="I1678" s="2">
        <v>5</v>
      </c>
      <c r="J1678" s="2">
        <v>16</v>
      </c>
      <c r="K1678" s="4">
        <v>3.865576051736952E-2</v>
      </c>
      <c r="L1678" s="4">
        <v>-1</v>
      </c>
      <c r="M1678" s="4">
        <v>1</v>
      </c>
      <c r="N1678" s="10">
        <v>0.995</v>
      </c>
      <c r="O1678" s="4">
        <v>14.85</v>
      </c>
      <c r="P1678" s="4">
        <v>-14.85</v>
      </c>
      <c r="Q1678" s="3" t="s">
        <v>1617</v>
      </c>
      <c r="R1678" s="3" t="s">
        <v>1623</v>
      </c>
      <c r="S1678" s="3" t="s">
        <v>1624</v>
      </c>
      <c r="T1678" s="3"/>
    </row>
    <row r="1679" spans="1:20">
      <c r="A1679" s="3" t="s">
        <v>1600</v>
      </c>
      <c r="B1679" s="3" t="s">
        <v>1606</v>
      </c>
      <c r="C1679" s="3" t="s">
        <v>1596</v>
      </c>
      <c r="D1679" s="3" t="s">
        <v>799</v>
      </c>
      <c r="E1679" s="3" t="s">
        <v>800</v>
      </c>
      <c r="F1679" s="2">
        <v>1</v>
      </c>
      <c r="G1679" s="4">
        <v>1.055255311218785</v>
      </c>
      <c r="H1679" s="2">
        <v>25</v>
      </c>
      <c r="I1679" s="2">
        <v>5</v>
      </c>
      <c r="J1679" s="2">
        <v>16</v>
      </c>
      <c r="K1679" s="11">
        <v>1</v>
      </c>
      <c r="L1679" s="11">
        <v>0.36982732040468025</v>
      </c>
      <c r="M1679" s="4">
        <v>0.36982732040468025</v>
      </c>
      <c r="N1679" s="10">
        <v>0.37</v>
      </c>
      <c r="O1679" s="4">
        <v>1.9247851490769434</v>
      </c>
      <c r="P1679" s="4">
        <v>1.93</v>
      </c>
      <c r="Q1679" s="3" t="s">
        <v>1597</v>
      </c>
      <c r="R1679" s="3" t="s">
        <v>1607</v>
      </c>
      <c r="S1679" s="3" t="s">
        <v>1608</v>
      </c>
      <c r="T1679" s="3"/>
    </row>
    <row r="1680" spans="1:20">
      <c r="A1680" s="3" t="s">
        <v>1600</v>
      </c>
      <c r="B1680" s="3" t="s">
        <v>1609</v>
      </c>
      <c r="C1680" s="3" t="s">
        <v>1596</v>
      </c>
      <c r="D1680" s="3" t="s">
        <v>799</v>
      </c>
      <c r="E1680" s="3" t="s">
        <v>800</v>
      </c>
      <c r="F1680" s="2">
        <v>1</v>
      </c>
      <c r="G1680" s="4">
        <v>1.055255311218785</v>
      </c>
      <c r="H1680" s="2">
        <v>25</v>
      </c>
      <c r="I1680" s="2">
        <v>5</v>
      </c>
      <c r="J1680" s="2">
        <v>1</v>
      </c>
      <c r="K1680" s="11">
        <v>2.2610311157070351E-2</v>
      </c>
      <c r="L1680" s="11">
        <v>0.29330758250062977</v>
      </c>
      <c r="M1680" s="4">
        <v>0.29330758250062977</v>
      </c>
      <c r="N1680" s="10">
        <v>0.29299999999999998</v>
      </c>
      <c r="O1680" s="4">
        <v>1.4981959369432962</v>
      </c>
      <c r="P1680" s="4">
        <v>1.5</v>
      </c>
      <c r="Q1680" s="3" t="s">
        <v>1597</v>
      </c>
      <c r="R1680" s="3" t="s">
        <v>1610</v>
      </c>
      <c r="S1680" s="3" t="s">
        <v>1611</v>
      </c>
      <c r="T1680" s="3"/>
    </row>
    <row r="1681" spans="1:20">
      <c r="A1681" s="3" t="s">
        <v>1600</v>
      </c>
      <c r="B1681" s="3" t="s">
        <v>1601</v>
      </c>
      <c r="C1681" s="3" t="s">
        <v>1596</v>
      </c>
      <c r="D1681" s="3" t="s">
        <v>799</v>
      </c>
      <c r="E1681" s="3" t="s">
        <v>800</v>
      </c>
      <c r="F1681" s="2">
        <v>1</v>
      </c>
      <c r="G1681" s="4">
        <v>1.055255311218785</v>
      </c>
      <c r="H1681" s="2">
        <v>25</v>
      </c>
      <c r="I1681" s="2">
        <v>5</v>
      </c>
      <c r="J1681" s="2">
        <v>16</v>
      </c>
      <c r="K1681" s="4">
        <v>1</v>
      </c>
      <c r="L1681" s="4">
        <v>0.27945354984655618</v>
      </c>
      <c r="M1681" s="4">
        <v>0.27945354984655618</v>
      </c>
      <c r="N1681" s="10">
        <v>0.27900000000000003</v>
      </c>
      <c r="O1681" s="4">
        <v>1.423370151134473</v>
      </c>
      <c r="P1681" s="4">
        <v>1.42</v>
      </c>
      <c r="Q1681" s="3" t="s">
        <v>1597</v>
      </c>
      <c r="R1681" s="3" t="s">
        <v>1602</v>
      </c>
      <c r="S1681" s="3" t="s">
        <v>1603</v>
      </c>
      <c r="T1681" s="3"/>
    </row>
    <row r="1682" spans="1:20">
      <c r="A1682" s="12" t="s">
        <v>1605</v>
      </c>
      <c r="B1682" s="3" t="s">
        <v>1601</v>
      </c>
      <c r="C1682" s="3" t="s">
        <v>1596</v>
      </c>
      <c r="D1682" s="3" t="s">
        <v>799</v>
      </c>
      <c r="E1682" s="3" t="s">
        <v>800</v>
      </c>
      <c r="F1682" s="2">
        <v>1</v>
      </c>
      <c r="G1682" s="4">
        <v>1.055255311218785</v>
      </c>
      <c r="H1682" s="2">
        <v>25</v>
      </c>
      <c r="I1682" s="2">
        <v>5</v>
      </c>
      <c r="J1682" s="2">
        <v>16</v>
      </c>
      <c r="K1682" s="11">
        <v>1</v>
      </c>
      <c r="L1682" s="11">
        <v>0.25447112633580438</v>
      </c>
      <c r="M1682" s="4">
        <v>0.25447112633580438</v>
      </c>
      <c r="N1682" s="10">
        <v>0.254</v>
      </c>
      <c r="O1682" s="4">
        <v>1.2899942673835147</v>
      </c>
      <c r="P1682" s="4">
        <v>1.29</v>
      </c>
      <c r="Q1682" s="3" t="s">
        <v>1597</v>
      </c>
      <c r="R1682" s="3" t="s">
        <v>1602</v>
      </c>
      <c r="S1682" s="3" t="s">
        <v>1603</v>
      </c>
      <c r="T1682" s="3"/>
    </row>
    <row r="1683" spans="1:20">
      <c r="A1683" s="3" t="s">
        <v>1600</v>
      </c>
      <c r="B1683" s="3" t="s">
        <v>1606</v>
      </c>
      <c r="C1683" s="3" t="s">
        <v>1596</v>
      </c>
      <c r="D1683" s="3" t="s">
        <v>799</v>
      </c>
      <c r="E1683" s="3" t="s">
        <v>800</v>
      </c>
      <c r="F1683" s="2">
        <v>1</v>
      </c>
      <c r="G1683" s="4">
        <v>1.055255311218785</v>
      </c>
      <c r="H1683" s="2">
        <v>25</v>
      </c>
      <c r="I1683" s="2">
        <v>5</v>
      </c>
      <c r="J1683" s="2">
        <v>1</v>
      </c>
      <c r="K1683" s="11">
        <v>0.10042834948950463</v>
      </c>
      <c r="L1683" s="11">
        <v>0.18870778020500756</v>
      </c>
      <c r="M1683" s="4">
        <v>0.18870778020500756</v>
      </c>
      <c r="N1683" s="10">
        <v>0.189</v>
      </c>
      <c r="O1683" s="4">
        <v>0.946950442379213</v>
      </c>
      <c r="P1683" s="4">
        <v>0.95</v>
      </c>
      <c r="Q1683" s="3" t="s">
        <v>1597</v>
      </c>
      <c r="R1683" s="3" t="s">
        <v>1607</v>
      </c>
      <c r="S1683" s="3" t="s">
        <v>1608</v>
      </c>
      <c r="T1683" s="3"/>
    </row>
    <row r="1684" spans="1:20">
      <c r="A1684" s="3" t="s">
        <v>1600</v>
      </c>
      <c r="B1684" s="3" t="s">
        <v>1601</v>
      </c>
      <c r="C1684" s="3" t="s">
        <v>1596</v>
      </c>
      <c r="D1684" s="3" t="s">
        <v>799</v>
      </c>
      <c r="E1684" s="3" t="s">
        <v>800</v>
      </c>
      <c r="F1684" s="2">
        <v>1</v>
      </c>
      <c r="G1684" s="4">
        <v>1.055255311218785</v>
      </c>
      <c r="H1684" s="2">
        <v>25</v>
      </c>
      <c r="I1684" s="2">
        <v>5</v>
      </c>
      <c r="J1684" s="2">
        <v>1</v>
      </c>
      <c r="K1684" s="4">
        <v>0.13742190817744682</v>
      </c>
      <c r="L1684" s="4">
        <v>0.15584366167754293</v>
      </c>
      <c r="M1684" s="4">
        <v>0.15584366167754293</v>
      </c>
      <c r="N1684" s="10">
        <v>0.156</v>
      </c>
      <c r="O1684" s="4">
        <v>0.77901100648420607</v>
      </c>
      <c r="P1684" s="4">
        <v>0.78</v>
      </c>
      <c r="Q1684" s="3" t="s">
        <v>1597</v>
      </c>
      <c r="R1684" s="3" t="s">
        <v>1602</v>
      </c>
      <c r="S1684" s="3" t="s">
        <v>1603</v>
      </c>
      <c r="T1684" s="3"/>
    </row>
    <row r="1685" spans="1:20">
      <c r="A1685" s="3" t="s">
        <v>1604</v>
      </c>
      <c r="B1685" s="3" t="s">
        <v>1601</v>
      </c>
      <c r="C1685" s="3" t="s">
        <v>1596</v>
      </c>
      <c r="D1685" s="3" t="s">
        <v>799</v>
      </c>
      <c r="E1685" s="3" t="s">
        <v>800</v>
      </c>
      <c r="F1685" s="2">
        <v>1</v>
      </c>
      <c r="G1685" s="4">
        <v>1.055255311218785</v>
      </c>
      <c r="H1685" s="2">
        <v>25</v>
      </c>
      <c r="I1685" s="2">
        <v>30</v>
      </c>
      <c r="J1685" s="2">
        <v>16</v>
      </c>
      <c r="K1685" s="4">
        <v>1</v>
      </c>
      <c r="L1685" s="4">
        <v>0.1474987689376209</v>
      </c>
      <c r="M1685" s="4">
        <v>0.1474987689376209</v>
      </c>
      <c r="N1685" s="10">
        <v>0.14699999999999999</v>
      </c>
      <c r="O1685" s="4">
        <v>0.7366631129202339</v>
      </c>
      <c r="P1685" s="4">
        <v>0.73</v>
      </c>
      <c r="Q1685" s="3" t="s">
        <v>1597</v>
      </c>
      <c r="R1685" s="3" t="s">
        <v>1602</v>
      </c>
      <c r="S1685" s="3" t="s">
        <v>1603</v>
      </c>
      <c r="T1685" s="3"/>
    </row>
    <row r="1686" spans="1:20">
      <c r="A1686" s="3" t="s">
        <v>1594</v>
      </c>
      <c r="B1686" s="3" t="s">
        <v>1612</v>
      </c>
      <c r="C1686" s="3" t="s">
        <v>1596</v>
      </c>
      <c r="D1686" s="3" t="s">
        <v>799</v>
      </c>
      <c r="E1686" s="3" t="s">
        <v>800</v>
      </c>
      <c r="F1686" s="2">
        <v>1</v>
      </c>
      <c r="G1686" s="4">
        <v>1.055255311218785</v>
      </c>
      <c r="H1686" s="2">
        <v>50</v>
      </c>
      <c r="I1686" s="2">
        <v>5</v>
      </c>
      <c r="J1686" s="2">
        <v>16</v>
      </c>
      <c r="K1686" s="4">
        <v>4.1057702254314828E-2</v>
      </c>
      <c r="L1686" s="14">
        <v>7.7956518183623633E-2</v>
      </c>
      <c r="M1686" s="4">
        <v>7.7956518183623633E-2</v>
      </c>
      <c r="N1686" s="10">
        <v>7.8E-2</v>
      </c>
      <c r="O1686" s="4">
        <v>0.41976364301278263</v>
      </c>
      <c r="P1686" s="4">
        <v>0.42</v>
      </c>
      <c r="Q1686" s="3" t="s">
        <v>1597</v>
      </c>
      <c r="R1686" s="3" t="s">
        <v>1613</v>
      </c>
      <c r="S1686" s="3" t="s">
        <v>1614</v>
      </c>
      <c r="T1686" s="3"/>
    </row>
    <row r="1687" spans="1:20">
      <c r="A1687" s="3" t="s">
        <v>1594</v>
      </c>
      <c r="B1687" s="3" t="s">
        <v>1595</v>
      </c>
      <c r="C1687" s="3" t="s">
        <v>1596</v>
      </c>
      <c r="D1687" s="3" t="s">
        <v>799</v>
      </c>
      <c r="E1687" s="3" t="s">
        <v>800</v>
      </c>
      <c r="F1687" s="2">
        <v>1</v>
      </c>
      <c r="G1687" s="4">
        <v>1.055255311218785</v>
      </c>
      <c r="H1687" s="2">
        <v>50</v>
      </c>
      <c r="I1687" s="2">
        <v>5</v>
      </c>
      <c r="J1687" s="2">
        <v>16</v>
      </c>
      <c r="K1687" s="4">
        <v>0.54649435429664173</v>
      </c>
      <c r="L1687" s="14">
        <v>-2.1516978429798215E-3</v>
      </c>
      <c r="M1687" s="4">
        <v>2.1516978429798215E-3</v>
      </c>
      <c r="N1687" s="10">
        <v>2E-3</v>
      </c>
      <c r="O1687" s="4">
        <v>1.1562513379776807E-2</v>
      </c>
      <c r="P1687" s="4">
        <v>-0.01</v>
      </c>
      <c r="Q1687" s="3" t="s">
        <v>1617</v>
      </c>
      <c r="R1687" s="3" t="s">
        <v>1625</v>
      </c>
      <c r="S1687" s="3" t="s">
        <v>1626</v>
      </c>
      <c r="T1687" s="3"/>
    </row>
    <row r="1688" spans="1:20">
      <c r="A1688" s="3" t="s">
        <v>1600</v>
      </c>
      <c r="B1688" s="3" t="s">
        <v>1609</v>
      </c>
      <c r="C1688" s="3" t="s">
        <v>1596</v>
      </c>
      <c r="D1688" s="3" t="s">
        <v>799</v>
      </c>
      <c r="E1688" s="3" t="s">
        <v>800</v>
      </c>
      <c r="F1688" s="2">
        <v>1</v>
      </c>
      <c r="G1688" s="4">
        <v>1.055255311218785</v>
      </c>
      <c r="H1688" s="2">
        <v>25</v>
      </c>
      <c r="I1688" s="2">
        <v>5</v>
      </c>
      <c r="J1688" s="2">
        <v>16</v>
      </c>
      <c r="K1688" s="4">
        <v>0.47027848523085425</v>
      </c>
      <c r="L1688" s="4">
        <v>-7.9266565332609271E-2</v>
      </c>
      <c r="M1688" s="4">
        <v>7.9266565332609271E-2</v>
      </c>
      <c r="N1688" s="10">
        <v>7.9000000000000001E-2</v>
      </c>
      <c r="O1688" s="4">
        <v>0.39382479730773196</v>
      </c>
      <c r="P1688" s="4">
        <v>-0.39</v>
      </c>
      <c r="Q1688" s="3" t="s">
        <v>1617</v>
      </c>
      <c r="R1688" s="3" t="s">
        <v>1623</v>
      </c>
      <c r="S1688" s="3" t="s">
        <v>1624</v>
      </c>
      <c r="T1688" s="3"/>
    </row>
    <row r="1689" spans="1:20">
      <c r="A1689" s="3" t="s">
        <v>1600</v>
      </c>
      <c r="B1689" s="3" t="s">
        <v>1609</v>
      </c>
      <c r="C1689" s="3" t="s">
        <v>1616</v>
      </c>
      <c r="D1689" s="3" t="s">
        <v>799</v>
      </c>
      <c r="E1689" s="3" t="s">
        <v>800</v>
      </c>
      <c r="F1689" s="2">
        <v>1</v>
      </c>
      <c r="G1689" s="4">
        <v>1.055255311218785</v>
      </c>
      <c r="H1689" s="2">
        <v>25</v>
      </c>
      <c r="I1689" s="2">
        <v>5</v>
      </c>
      <c r="J1689" s="2">
        <v>16</v>
      </c>
      <c r="K1689" s="11">
        <v>0.7088225364491314</v>
      </c>
      <c r="L1689" s="11">
        <v>-0.48388206269522938</v>
      </c>
      <c r="M1689" s="4">
        <v>0.48388206269522938</v>
      </c>
      <c r="N1689" s="10">
        <v>0.48399999999999999</v>
      </c>
      <c r="O1689" s="4">
        <v>2.6179927954898368</v>
      </c>
      <c r="P1689" s="4">
        <v>-2.62</v>
      </c>
      <c r="Q1689" s="3" t="s">
        <v>1617</v>
      </c>
      <c r="R1689" s="3" t="s">
        <v>1623</v>
      </c>
      <c r="S1689" s="3" t="s">
        <v>1624</v>
      </c>
      <c r="T1689" s="3"/>
    </row>
    <row r="1690" spans="1:20">
      <c r="A1690" s="3" t="s">
        <v>1600</v>
      </c>
      <c r="B1690" s="3" t="s">
        <v>1609</v>
      </c>
      <c r="C1690" s="3" t="s">
        <v>1616</v>
      </c>
      <c r="D1690" s="3" t="s">
        <v>799</v>
      </c>
      <c r="E1690" s="3" t="s">
        <v>800</v>
      </c>
      <c r="F1690" s="2">
        <v>1</v>
      </c>
      <c r="G1690" s="4">
        <v>1.055255311218785</v>
      </c>
      <c r="H1690" s="2">
        <v>25</v>
      </c>
      <c r="I1690" s="2">
        <v>5</v>
      </c>
      <c r="J1690" s="2">
        <v>1</v>
      </c>
      <c r="K1690" s="4">
        <v>0.46772882984614905</v>
      </c>
      <c r="L1690" s="4">
        <v>-0.57746137881493198</v>
      </c>
      <c r="M1690" s="4">
        <v>0.57746137881493198</v>
      </c>
      <c r="N1690" s="10">
        <v>0.57699999999999996</v>
      </c>
      <c r="O1690" s="4">
        <v>3.2655231054928815</v>
      </c>
      <c r="P1690" s="4">
        <v>-3.26</v>
      </c>
      <c r="Q1690" s="3" t="s">
        <v>1617</v>
      </c>
      <c r="R1690" s="3" t="s">
        <v>1623</v>
      </c>
      <c r="S1690" s="3" t="s">
        <v>1624</v>
      </c>
      <c r="T1690" s="3"/>
    </row>
    <row r="1691" spans="1:20">
      <c r="A1691" s="3" t="s">
        <v>1600</v>
      </c>
      <c r="B1691" s="3" t="s">
        <v>1601</v>
      </c>
      <c r="C1691" s="3" t="s">
        <v>1616</v>
      </c>
      <c r="D1691" s="3" t="s">
        <v>799</v>
      </c>
      <c r="E1691" s="3" t="s">
        <v>800</v>
      </c>
      <c r="F1691" s="2">
        <v>1</v>
      </c>
      <c r="G1691" s="4">
        <v>1.055255311218785</v>
      </c>
      <c r="H1691" s="2">
        <v>25</v>
      </c>
      <c r="I1691" s="2">
        <v>5</v>
      </c>
      <c r="J1691" s="2">
        <v>16</v>
      </c>
      <c r="K1691" s="4">
        <v>1</v>
      </c>
      <c r="L1691" s="4">
        <v>-0.62442738489169669</v>
      </c>
      <c r="M1691" s="4">
        <v>0.62442738489169669</v>
      </c>
      <c r="N1691" s="10">
        <v>0.624</v>
      </c>
      <c r="O1691" s="4">
        <v>3.6303468063502229</v>
      </c>
      <c r="P1691" s="4">
        <v>-3.63</v>
      </c>
      <c r="Q1691" s="3" t="s">
        <v>1617</v>
      </c>
      <c r="R1691" s="3" t="s">
        <v>1618</v>
      </c>
      <c r="S1691" s="3" t="s">
        <v>1619</v>
      </c>
      <c r="T1691" s="3"/>
    </row>
    <row r="1692" spans="1:20">
      <c r="A1692" s="3" t="s">
        <v>1604</v>
      </c>
      <c r="B1692" s="3" t="s">
        <v>1601</v>
      </c>
      <c r="C1692" s="3" t="s">
        <v>1616</v>
      </c>
      <c r="D1692" s="3" t="s">
        <v>799</v>
      </c>
      <c r="E1692" s="3" t="s">
        <v>800</v>
      </c>
      <c r="F1692" s="2">
        <v>1</v>
      </c>
      <c r="G1692" s="4">
        <v>1.055255311218785</v>
      </c>
      <c r="H1692" s="2">
        <v>25</v>
      </c>
      <c r="I1692" s="2">
        <v>30</v>
      </c>
      <c r="J1692" s="2">
        <v>16</v>
      </c>
      <c r="K1692" s="4">
        <v>1</v>
      </c>
      <c r="L1692" s="4">
        <v>-0.63894697592326333</v>
      </c>
      <c r="M1692" s="4">
        <v>0.63894697592326333</v>
      </c>
      <c r="N1692" s="10">
        <v>0.63900000000000001</v>
      </c>
      <c r="O1692" s="4">
        <v>3.750144378511524</v>
      </c>
      <c r="P1692" s="4">
        <v>-3.75</v>
      </c>
      <c r="Q1692" s="3" t="s">
        <v>1617</v>
      </c>
      <c r="R1692" s="3" t="s">
        <v>1618</v>
      </c>
      <c r="S1692" s="3" t="s">
        <v>1619</v>
      </c>
      <c r="T1692" s="3"/>
    </row>
    <row r="1693" spans="1:20">
      <c r="A1693" s="3" t="s">
        <v>1600</v>
      </c>
      <c r="B1693" s="3" t="s">
        <v>1601</v>
      </c>
      <c r="C1693" s="3" t="s">
        <v>1616</v>
      </c>
      <c r="D1693" s="3" t="s">
        <v>799</v>
      </c>
      <c r="E1693" s="3" t="s">
        <v>800</v>
      </c>
      <c r="F1693" s="2">
        <v>1</v>
      </c>
      <c r="G1693" s="4">
        <v>1.055255311218785</v>
      </c>
      <c r="H1693" s="2">
        <v>25</v>
      </c>
      <c r="I1693" s="2">
        <v>5</v>
      </c>
      <c r="J1693" s="2">
        <v>1</v>
      </c>
      <c r="K1693" s="4">
        <v>1</v>
      </c>
      <c r="L1693" s="4">
        <v>-0.85309564187696374</v>
      </c>
      <c r="M1693" s="4">
        <v>0.85309564187696374</v>
      </c>
      <c r="N1693" s="10">
        <v>0.85299999999999998</v>
      </c>
      <c r="O1693" s="4">
        <v>6.2837655999920488</v>
      </c>
      <c r="P1693" s="4">
        <v>-6.28</v>
      </c>
      <c r="Q1693" s="3" t="s">
        <v>1617</v>
      </c>
      <c r="R1693" s="3" t="s">
        <v>1618</v>
      </c>
      <c r="S1693" s="3" t="s">
        <v>1619</v>
      </c>
      <c r="T1693" s="3"/>
    </row>
    <row r="1694" spans="1:20">
      <c r="A1694" s="3" t="s">
        <v>1600</v>
      </c>
      <c r="B1694" s="3" t="s">
        <v>1606</v>
      </c>
      <c r="C1694" s="3" t="s">
        <v>1616</v>
      </c>
      <c r="D1694" s="3" t="s">
        <v>799</v>
      </c>
      <c r="E1694" s="3" t="s">
        <v>800</v>
      </c>
      <c r="F1694" s="2">
        <v>1</v>
      </c>
      <c r="G1694" s="4">
        <v>1.055255311218785</v>
      </c>
      <c r="H1694" s="2">
        <v>25</v>
      </c>
      <c r="I1694" s="2">
        <v>5</v>
      </c>
      <c r="J1694" s="2">
        <v>16</v>
      </c>
      <c r="K1694" s="11">
        <v>1</v>
      </c>
      <c r="L1694" s="11">
        <v>-0.89658192090395483</v>
      </c>
      <c r="M1694" s="4">
        <v>0.89658192090395483</v>
      </c>
      <c r="N1694" s="10">
        <v>0.89700000000000002</v>
      </c>
      <c r="O1694" s="4">
        <v>7.2113897237656488</v>
      </c>
      <c r="P1694" s="4">
        <v>-7.22</v>
      </c>
      <c r="Q1694" s="3" t="s">
        <v>1617</v>
      </c>
      <c r="R1694" s="3" t="s">
        <v>1621</v>
      </c>
      <c r="S1694" s="3" t="s">
        <v>1622</v>
      </c>
      <c r="T1694" s="3"/>
    </row>
    <row r="1695" spans="1:20">
      <c r="A1695" s="3" t="s">
        <v>1600</v>
      </c>
      <c r="B1695" s="3" t="s">
        <v>1606</v>
      </c>
      <c r="C1695" s="3" t="s">
        <v>1616</v>
      </c>
      <c r="D1695" s="3" t="s">
        <v>799</v>
      </c>
      <c r="E1695" s="3" t="s">
        <v>800</v>
      </c>
      <c r="F1695" s="2">
        <v>1</v>
      </c>
      <c r="G1695" s="4">
        <v>1.055255311218785</v>
      </c>
      <c r="H1695" s="2">
        <v>25</v>
      </c>
      <c r="I1695" s="2">
        <v>5</v>
      </c>
      <c r="J1695" s="2">
        <v>1</v>
      </c>
      <c r="K1695" s="4">
        <v>1</v>
      </c>
      <c r="L1695" s="4">
        <v>-0.93255367860899696</v>
      </c>
      <c r="M1695" s="4">
        <v>0.93255367860899696</v>
      </c>
      <c r="N1695" s="10">
        <v>0.93300000000000005</v>
      </c>
      <c r="O1695" s="4">
        <v>8.3175964278553103</v>
      </c>
      <c r="P1695" s="4">
        <v>-8.33</v>
      </c>
      <c r="Q1695" s="3" t="s">
        <v>1617</v>
      </c>
      <c r="R1695" s="3" t="s">
        <v>1621</v>
      </c>
      <c r="S1695" s="3" t="s">
        <v>1622</v>
      </c>
      <c r="T1695" s="3"/>
    </row>
    <row r="1696" spans="1:20">
      <c r="A1696" s="3" t="s">
        <v>1594</v>
      </c>
      <c r="B1696" s="3" t="s">
        <v>1595</v>
      </c>
      <c r="C1696" s="3" t="s">
        <v>1596</v>
      </c>
      <c r="D1696" s="3" t="s">
        <v>1372</v>
      </c>
      <c r="E1696" s="3" t="s">
        <v>1373</v>
      </c>
      <c r="F1696" s="2">
        <v>1</v>
      </c>
      <c r="G1696" s="4">
        <v>1.0559510726742796</v>
      </c>
      <c r="H1696" s="2">
        <v>50</v>
      </c>
      <c r="I1696" s="2">
        <v>5</v>
      </c>
      <c r="J1696" s="2">
        <v>16</v>
      </c>
      <c r="K1696" s="4">
        <v>0.19594965272827236</v>
      </c>
      <c r="L1696" s="4">
        <v>0.18198280790628152</v>
      </c>
      <c r="M1696" s="4">
        <v>0.18198280790628152</v>
      </c>
      <c r="N1696" s="10">
        <v>0.182</v>
      </c>
      <c r="O1696" s="4">
        <v>0.98892913664383775</v>
      </c>
      <c r="P1696" s="4">
        <v>0.99</v>
      </c>
      <c r="Q1696" s="3" t="s">
        <v>1597</v>
      </c>
      <c r="R1696" s="3" t="s">
        <v>1598</v>
      </c>
      <c r="S1696" s="3" t="s">
        <v>1599</v>
      </c>
      <c r="T1696" s="3"/>
    </row>
    <row r="1697" spans="1:20">
      <c r="A1697" s="3" t="s">
        <v>1594</v>
      </c>
      <c r="B1697" s="3" t="s">
        <v>1595</v>
      </c>
      <c r="C1697" s="3" t="s">
        <v>1596</v>
      </c>
      <c r="D1697" s="3" t="s">
        <v>1372</v>
      </c>
      <c r="E1697" s="3" t="s">
        <v>1373</v>
      </c>
      <c r="F1697" s="2">
        <v>1</v>
      </c>
      <c r="G1697" s="4">
        <v>1.0559510726742796</v>
      </c>
      <c r="H1697" s="2">
        <v>25</v>
      </c>
      <c r="I1697" s="2">
        <v>5</v>
      </c>
      <c r="J1697" s="2">
        <v>16</v>
      </c>
      <c r="K1697" s="4">
        <v>4.0650224371900912E-2</v>
      </c>
      <c r="L1697" s="4">
        <v>4.630458575252281E-2</v>
      </c>
      <c r="M1697" s="4">
        <v>4.630458575252281E-2</v>
      </c>
      <c r="N1697" s="10">
        <v>4.5999999999999999E-2</v>
      </c>
      <c r="O1697" s="4">
        <v>0.22973947878929854</v>
      </c>
      <c r="P1697" s="4">
        <v>0.23</v>
      </c>
      <c r="Q1697" s="3" t="s">
        <v>1597</v>
      </c>
      <c r="R1697" s="3" t="s">
        <v>1598</v>
      </c>
      <c r="S1697" s="3" t="s">
        <v>1599</v>
      </c>
      <c r="T1697" s="3"/>
    </row>
    <row r="1698" spans="1:20">
      <c r="A1698" s="3" t="s">
        <v>1594</v>
      </c>
      <c r="B1698" s="3" t="s">
        <v>1612</v>
      </c>
      <c r="C1698" s="3" t="s">
        <v>1596</v>
      </c>
      <c r="D1698" s="3" t="s">
        <v>1372</v>
      </c>
      <c r="E1698" s="3" t="s">
        <v>1373</v>
      </c>
      <c r="F1698" s="2">
        <v>1</v>
      </c>
      <c r="G1698" s="4">
        <v>1.0559510726742796</v>
      </c>
      <c r="H1698" s="2">
        <v>50</v>
      </c>
      <c r="I1698" s="2">
        <v>5</v>
      </c>
      <c r="J1698" s="2">
        <v>16</v>
      </c>
      <c r="K1698" s="4">
        <v>0.45018093084804645</v>
      </c>
      <c r="L1698" s="4">
        <v>-3.0952995312432806E-2</v>
      </c>
      <c r="M1698" s="4">
        <v>3.0952995312432806E-2</v>
      </c>
      <c r="N1698" s="10">
        <v>3.1E-2</v>
      </c>
      <c r="O1698" s="4">
        <v>0.16638406501410052</v>
      </c>
      <c r="P1698" s="4">
        <v>-0.17</v>
      </c>
      <c r="Q1698" s="3" t="s">
        <v>1617</v>
      </c>
      <c r="R1698" s="3" t="s">
        <v>1627</v>
      </c>
      <c r="S1698" s="3" t="s">
        <v>1628</v>
      </c>
      <c r="T1698" s="3"/>
    </row>
    <row r="1699" spans="1:20">
      <c r="A1699" s="3" t="s">
        <v>1600</v>
      </c>
      <c r="B1699" s="3" t="s">
        <v>1609</v>
      </c>
      <c r="C1699" s="3" t="s">
        <v>1596</v>
      </c>
      <c r="D1699" s="3" t="s">
        <v>1372</v>
      </c>
      <c r="E1699" s="3" t="s">
        <v>1373</v>
      </c>
      <c r="F1699" s="2">
        <v>1</v>
      </c>
      <c r="G1699" s="4">
        <v>1.0559510726742796</v>
      </c>
      <c r="H1699" s="2">
        <v>25</v>
      </c>
      <c r="I1699" s="2">
        <v>5</v>
      </c>
      <c r="J1699" s="2">
        <v>16</v>
      </c>
      <c r="K1699" s="4">
        <v>0.9856925592853758</v>
      </c>
      <c r="L1699" s="4">
        <v>-0.91670443756230935</v>
      </c>
      <c r="M1699" s="4">
        <v>0.91670443756230935</v>
      </c>
      <c r="N1699" s="10">
        <v>0.91700000000000004</v>
      </c>
      <c r="O1699" s="4">
        <v>7.7739630745152084</v>
      </c>
      <c r="P1699" s="4">
        <v>-7.78</v>
      </c>
      <c r="Q1699" s="3" t="s">
        <v>1617</v>
      </c>
      <c r="R1699" s="3" t="s">
        <v>1623</v>
      </c>
      <c r="S1699" s="3" t="s">
        <v>1624</v>
      </c>
      <c r="T1699" s="3"/>
    </row>
    <row r="1700" spans="1:20">
      <c r="A1700" s="3" t="s">
        <v>1600</v>
      </c>
      <c r="B1700" s="3" t="s">
        <v>1609</v>
      </c>
      <c r="C1700" s="3" t="s">
        <v>1596</v>
      </c>
      <c r="D1700" s="3" t="s">
        <v>1372</v>
      </c>
      <c r="E1700" s="3" t="s">
        <v>1373</v>
      </c>
      <c r="F1700" s="2">
        <v>1</v>
      </c>
      <c r="G1700" s="4">
        <v>1.0559510726742796</v>
      </c>
      <c r="H1700" s="2">
        <v>25</v>
      </c>
      <c r="I1700" s="2">
        <v>5</v>
      </c>
      <c r="J1700" s="2">
        <v>1</v>
      </c>
      <c r="K1700" s="4">
        <v>0.98602628351113519</v>
      </c>
      <c r="L1700" s="4">
        <v>-0.9322119590614194</v>
      </c>
      <c r="M1700" s="4">
        <v>0.9322119590614194</v>
      </c>
      <c r="N1700" s="10">
        <v>0.93200000000000005</v>
      </c>
      <c r="O1700" s="4">
        <v>8.3046299675903974</v>
      </c>
      <c r="P1700" s="4">
        <v>-8.3000000000000007</v>
      </c>
      <c r="Q1700" s="3" t="s">
        <v>1617</v>
      </c>
      <c r="R1700" s="3" t="s">
        <v>1623</v>
      </c>
      <c r="S1700" s="3" t="s">
        <v>1624</v>
      </c>
      <c r="T1700" s="3"/>
    </row>
    <row r="1701" spans="1:20">
      <c r="A1701" s="3" t="s">
        <v>1600</v>
      </c>
      <c r="B1701" s="3" t="s">
        <v>1601</v>
      </c>
      <c r="C1701" s="3" t="s">
        <v>1596</v>
      </c>
      <c r="D1701" s="3" t="s">
        <v>1372</v>
      </c>
      <c r="E1701" s="3" t="s">
        <v>1373</v>
      </c>
      <c r="F1701" s="2">
        <v>1</v>
      </c>
      <c r="G1701" s="4">
        <v>1.0559510726742796</v>
      </c>
      <c r="H1701" s="2">
        <v>25</v>
      </c>
      <c r="I1701" s="2">
        <v>5</v>
      </c>
      <c r="J1701" s="2">
        <v>1</v>
      </c>
      <c r="K1701" s="4">
        <v>0.83793166644165196</v>
      </c>
      <c r="L1701" s="4">
        <v>-0.95845430500189599</v>
      </c>
      <c r="M1701" s="4">
        <v>0.95845430500189599</v>
      </c>
      <c r="N1701" s="10">
        <v>0.95799999999999996</v>
      </c>
      <c r="O1701" s="4">
        <v>9.5517542078895108</v>
      </c>
      <c r="P1701" s="4">
        <v>-9.52</v>
      </c>
      <c r="Q1701" s="3" t="s">
        <v>1617</v>
      </c>
      <c r="R1701" s="3" t="s">
        <v>1618</v>
      </c>
      <c r="S1701" s="3" t="s">
        <v>1619</v>
      </c>
      <c r="T1701" s="3"/>
    </row>
    <row r="1702" spans="1:20">
      <c r="A1702" s="3" t="s">
        <v>1600</v>
      </c>
      <c r="B1702" s="3" t="s">
        <v>1609</v>
      </c>
      <c r="C1702" s="3" t="s">
        <v>1616</v>
      </c>
      <c r="D1702" s="3" t="s">
        <v>1372</v>
      </c>
      <c r="E1702" s="3" t="s">
        <v>1373</v>
      </c>
      <c r="F1702" s="2">
        <v>1</v>
      </c>
      <c r="G1702" s="4">
        <v>1.0559510726742796</v>
      </c>
      <c r="H1702" s="2">
        <v>25</v>
      </c>
      <c r="I1702" s="2">
        <v>5</v>
      </c>
      <c r="J1702" s="2">
        <v>1</v>
      </c>
      <c r="K1702" s="4">
        <v>0.96503234481570799</v>
      </c>
      <c r="L1702" s="4">
        <v>-0.96786401530312116</v>
      </c>
      <c r="M1702" s="4">
        <v>0.96786401530312116</v>
      </c>
      <c r="N1702" s="10">
        <v>0.96799999999999997</v>
      </c>
      <c r="O1702" s="4">
        <v>10.200278661238961</v>
      </c>
      <c r="P1702" s="4">
        <v>-10.210000000000001</v>
      </c>
      <c r="Q1702" s="3" t="s">
        <v>1617</v>
      </c>
      <c r="R1702" s="3" t="s">
        <v>1623</v>
      </c>
      <c r="S1702" s="3" t="s">
        <v>1624</v>
      </c>
      <c r="T1702" s="3"/>
    </row>
    <row r="1703" spans="1:20">
      <c r="A1703" s="3" t="s">
        <v>1600</v>
      </c>
      <c r="B1703" s="3" t="s">
        <v>1609</v>
      </c>
      <c r="C1703" s="3" t="s">
        <v>1616</v>
      </c>
      <c r="D1703" s="3" t="s">
        <v>1372</v>
      </c>
      <c r="E1703" s="3" t="s">
        <v>1373</v>
      </c>
      <c r="F1703" s="2">
        <v>1</v>
      </c>
      <c r="G1703" s="4">
        <v>1.0559510726742796</v>
      </c>
      <c r="H1703" s="2">
        <v>25</v>
      </c>
      <c r="I1703" s="2">
        <v>5</v>
      </c>
      <c r="J1703" s="2">
        <v>16</v>
      </c>
      <c r="K1703" s="4">
        <v>0.95885563640565652</v>
      </c>
      <c r="L1703" s="4">
        <v>-0.97084694569858343</v>
      </c>
      <c r="M1703" s="4">
        <v>0.97084694569858343</v>
      </c>
      <c r="N1703" s="10">
        <v>0.97099999999999997</v>
      </c>
      <c r="O1703" s="4">
        <v>10.445526474364195</v>
      </c>
      <c r="P1703" s="4">
        <v>-10.46</v>
      </c>
      <c r="Q1703" s="3" t="s">
        <v>1617</v>
      </c>
      <c r="R1703" s="3" t="s">
        <v>1623</v>
      </c>
      <c r="S1703" s="3" t="s">
        <v>1624</v>
      </c>
      <c r="T1703" s="3"/>
    </row>
    <row r="1704" spans="1:20">
      <c r="A1704" s="3" t="s">
        <v>1600</v>
      </c>
      <c r="B1704" s="3" t="s">
        <v>1601</v>
      </c>
      <c r="C1704" s="3" t="s">
        <v>1616</v>
      </c>
      <c r="D1704" s="3" t="s">
        <v>1372</v>
      </c>
      <c r="E1704" s="3" t="s">
        <v>1373</v>
      </c>
      <c r="F1704" s="2">
        <v>1</v>
      </c>
      <c r="G1704" s="4">
        <v>1.0559510726742796</v>
      </c>
      <c r="H1704" s="2">
        <v>25</v>
      </c>
      <c r="I1704" s="2">
        <v>5</v>
      </c>
      <c r="J1704" s="2">
        <v>16</v>
      </c>
      <c r="K1704" s="4">
        <v>1</v>
      </c>
      <c r="L1704" s="4">
        <v>-0.97382439035980761</v>
      </c>
      <c r="M1704" s="4">
        <v>0.97382439035980761</v>
      </c>
      <c r="N1704" s="10">
        <v>0.97399999999999998</v>
      </c>
      <c r="O1704" s="4">
        <v>10.716332037596949</v>
      </c>
      <c r="P1704" s="4">
        <v>-10.73</v>
      </c>
      <c r="Q1704" s="3" t="s">
        <v>1617</v>
      </c>
      <c r="R1704" s="3" t="s">
        <v>1618</v>
      </c>
      <c r="S1704" s="3" t="s">
        <v>1619</v>
      </c>
      <c r="T1704" s="3"/>
    </row>
    <row r="1705" spans="1:20">
      <c r="A1705" s="3" t="s">
        <v>1600</v>
      </c>
      <c r="B1705" s="3" t="s">
        <v>1601</v>
      </c>
      <c r="C1705" s="3" t="s">
        <v>1616</v>
      </c>
      <c r="D1705" s="3" t="s">
        <v>1372</v>
      </c>
      <c r="E1705" s="3" t="s">
        <v>1373</v>
      </c>
      <c r="F1705" s="2">
        <v>1</v>
      </c>
      <c r="G1705" s="4">
        <v>1.0559510726742796</v>
      </c>
      <c r="H1705" s="2">
        <v>25</v>
      </c>
      <c r="I1705" s="2">
        <v>5</v>
      </c>
      <c r="J1705" s="2">
        <v>1</v>
      </c>
      <c r="K1705" s="4">
        <v>1</v>
      </c>
      <c r="L1705" s="4">
        <v>-0.97397452932460082</v>
      </c>
      <c r="M1705" s="4">
        <v>0.97397452932460082</v>
      </c>
      <c r="N1705" s="10">
        <v>0.97399999999999998</v>
      </c>
      <c r="O1705" s="4">
        <v>10.730780479717394</v>
      </c>
      <c r="P1705" s="4">
        <v>-10.73</v>
      </c>
      <c r="Q1705" s="3" t="s">
        <v>1617</v>
      </c>
      <c r="R1705" s="3" t="s">
        <v>1618</v>
      </c>
      <c r="S1705" s="3" t="s">
        <v>1619</v>
      </c>
      <c r="T1705" s="3"/>
    </row>
    <row r="1706" spans="1:20">
      <c r="A1706" s="3" t="s">
        <v>1600</v>
      </c>
      <c r="B1706" s="3" t="s">
        <v>1601</v>
      </c>
      <c r="C1706" s="3" t="s">
        <v>1596</v>
      </c>
      <c r="D1706" s="3" t="s">
        <v>1372</v>
      </c>
      <c r="E1706" s="3" t="s">
        <v>1373</v>
      </c>
      <c r="F1706" s="2">
        <v>1</v>
      </c>
      <c r="G1706" s="4">
        <v>1.0559510726742796</v>
      </c>
      <c r="H1706" s="2">
        <v>25</v>
      </c>
      <c r="I1706" s="2">
        <v>5</v>
      </c>
      <c r="J1706" s="2">
        <v>16</v>
      </c>
      <c r="K1706" s="4">
        <v>1</v>
      </c>
      <c r="L1706" s="4">
        <v>-0.97415589829095461</v>
      </c>
      <c r="M1706" s="4">
        <v>0.97415589829095461</v>
      </c>
      <c r="N1706" s="10">
        <v>0.97399999999999998</v>
      </c>
      <c r="O1706" s="4">
        <v>10.748344401901072</v>
      </c>
      <c r="P1706" s="4">
        <v>-10.73</v>
      </c>
      <c r="Q1706" s="3" t="s">
        <v>1617</v>
      </c>
      <c r="R1706" s="3" t="s">
        <v>1618</v>
      </c>
      <c r="S1706" s="3" t="s">
        <v>1619</v>
      </c>
      <c r="T1706" s="3"/>
    </row>
    <row r="1707" spans="1:20">
      <c r="A1707" s="3" t="s">
        <v>1600</v>
      </c>
      <c r="B1707" s="3" t="s">
        <v>1606</v>
      </c>
      <c r="C1707" s="3" t="s">
        <v>1596</v>
      </c>
      <c r="D1707" s="3" t="s">
        <v>1372</v>
      </c>
      <c r="E1707" s="3" t="s">
        <v>1373</v>
      </c>
      <c r="F1707" s="2">
        <v>1</v>
      </c>
      <c r="G1707" s="4">
        <v>1.0559510726742796</v>
      </c>
      <c r="H1707" s="2">
        <v>25</v>
      </c>
      <c r="I1707" s="2">
        <v>5</v>
      </c>
      <c r="J1707" s="2">
        <v>1</v>
      </c>
      <c r="K1707" s="4">
        <v>1</v>
      </c>
      <c r="L1707" s="4">
        <v>-0.98770730787941752</v>
      </c>
      <c r="M1707" s="4">
        <v>0.98770730787941752</v>
      </c>
      <c r="N1707" s="10">
        <v>0.98799999999999999</v>
      </c>
      <c r="O1707" s="4">
        <v>12.607368264594214</v>
      </c>
      <c r="P1707" s="4">
        <v>-12.67</v>
      </c>
      <c r="Q1707" s="3" t="s">
        <v>1617</v>
      </c>
      <c r="R1707" s="3" t="s">
        <v>1621</v>
      </c>
      <c r="S1707" s="3" t="s">
        <v>1622</v>
      </c>
      <c r="T1707" s="3"/>
    </row>
    <row r="1708" spans="1:20">
      <c r="A1708" s="3" t="s">
        <v>1604</v>
      </c>
      <c r="B1708" s="3" t="s">
        <v>1601</v>
      </c>
      <c r="C1708" s="3" t="s">
        <v>1596</v>
      </c>
      <c r="D1708" s="3" t="s">
        <v>1372</v>
      </c>
      <c r="E1708" s="3" t="s">
        <v>1373</v>
      </c>
      <c r="F1708" s="2">
        <v>1</v>
      </c>
      <c r="G1708" s="4">
        <v>1.0559510726742796</v>
      </c>
      <c r="H1708" s="2">
        <v>25</v>
      </c>
      <c r="I1708" s="2">
        <v>30</v>
      </c>
      <c r="J1708" s="2">
        <v>16</v>
      </c>
      <c r="K1708" s="4">
        <v>0.97988039748676903</v>
      </c>
      <c r="L1708" s="4">
        <v>-0.98987449795796734</v>
      </c>
      <c r="M1708" s="4">
        <v>0.98987449795796734</v>
      </c>
      <c r="N1708" s="10">
        <v>0.99</v>
      </c>
      <c r="O1708" s="4">
        <v>13.090859909826682</v>
      </c>
      <c r="P1708" s="4">
        <v>-13.12</v>
      </c>
      <c r="Q1708" s="3" t="s">
        <v>1617</v>
      </c>
      <c r="R1708" s="3" t="s">
        <v>1618</v>
      </c>
      <c r="S1708" s="3" t="s">
        <v>1619</v>
      </c>
      <c r="T1708" s="3"/>
    </row>
    <row r="1709" spans="1:20">
      <c r="A1709" s="3" t="s">
        <v>1604</v>
      </c>
      <c r="B1709" s="3" t="s">
        <v>1601</v>
      </c>
      <c r="C1709" s="3" t="s">
        <v>1616</v>
      </c>
      <c r="D1709" s="3" t="s">
        <v>1372</v>
      </c>
      <c r="E1709" s="3" t="s">
        <v>1373</v>
      </c>
      <c r="F1709" s="2">
        <v>1</v>
      </c>
      <c r="G1709" s="4">
        <v>1.0559510726742796</v>
      </c>
      <c r="H1709" s="2">
        <v>25</v>
      </c>
      <c r="I1709" s="2">
        <v>30</v>
      </c>
      <c r="J1709" s="2">
        <v>16</v>
      </c>
      <c r="K1709" s="4">
        <v>1</v>
      </c>
      <c r="L1709" s="4">
        <v>-0.99084196264997992</v>
      </c>
      <c r="M1709" s="4">
        <v>0.99084196264997992</v>
      </c>
      <c r="N1709" s="10">
        <v>0.99099999999999999</v>
      </c>
      <c r="O1709" s="4">
        <v>13.341016007363331</v>
      </c>
      <c r="P1709" s="4">
        <v>-13.38</v>
      </c>
      <c r="Q1709" s="3" t="s">
        <v>1617</v>
      </c>
      <c r="R1709" s="3" t="s">
        <v>1618</v>
      </c>
      <c r="S1709" s="3" t="s">
        <v>1619</v>
      </c>
      <c r="T1709" s="3"/>
    </row>
    <row r="1710" spans="1:20">
      <c r="A1710" s="3" t="s">
        <v>1605</v>
      </c>
      <c r="B1710" s="3" t="s">
        <v>1601</v>
      </c>
      <c r="C1710" s="3" t="s">
        <v>1596</v>
      </c>
      <c r="D1710" s="3" t="s">
        <v>1372</v>
      </c>
      <c r="E1710" s="3" t="s">
        <v>1373</v>
      </c>
      <c r="F1710" s="2">
        <v>1</v>
      </c>
      <c r="G1710" s="4">
        <v>1.0559510726742796</v>
      </c>
      <c r="H1710" s="2">
        <v>25</v>
      </c>
      <c r="I1710" s="2">
        <v>5</v>
      </c>
      <c r="J1710" s="2">
        <v>16</v>
      </c>
      <c r="K1710" s="4">
        <v>1</v>
      </c>
      <c r="L1710" s="4">
        <v>-0.99166852352171131</v>
      </c>
      <c r="M1710" s="4">
        <v>0.99166852352171131</v>
      </c>
      <c r="N1710" s="10">
        <v>0.99199999999999999</v>
      </c>
      <c r="O1710" s="4">
        <v>13.576533599653533</v>
      </c>
      <c r="P1710" s="4">
        <v>-13.68</v>
      </c>
      <c r="Q1710" s="3" t="s">
        <v>1617</v>
      </c>
      <c r="R1710" s="3" t="s">
        <v>1618</v>
      </c>
      <c r="S1710" s="3" t="s">
        <v>1619</v>
      </c>
      <c r="T1710" s="3"/>
    </row>
    <row r="1711" spans="1:20">
      <c r="A1711" s="3" t="s">
        <v>1600</v>
      </c>
      <c r="B1711" s="3" t="s">
        <v>1606</v>
      </c>
      <c r="C1711" s="3" t="s">
        <v>1616</v>
      </c>
      <c r="D1711" s="3" t="s">
        <v>1372</v>
      </c>
      <c r="E1711" s="3" t="s">
        <v>1373</v>
      </c>
      <c r="F1711" s="2">
        <v>1</v>
      </c>
      <c r="G1711" s="4">
        <v>1.0559510726742796</v>
      </c>
      <c r="H1711" s="2">
        <v>25</v>
      </c>
      <c r="I1711" s="2">
        <v>5</v>
      </c>
      <c r="J1711" s="2">
        <v>1</v>
      </c>
      <c r="K1711" s="4">
        <v>0.99807838417513539</v>
      </c>
      <c r="L1711" s="4">
        <v>-1</v>
      </c>
      <c r="M1711" s="4">
        <v>1</v>
      </c>
      <c r="N1711" s="10">
        <v>0.995</v>
      </c>
      <c r="O1711" s="4">
        <v>14.85</v>
      </c>
      <c r="P1711" s="4">
        <v>-14.85</v>
      </c>
      <c r="Q1711" s="3" t="s">
        <v>1617</v>
      </c>
      <c r="R1711" s="3" t="s">
        <v>1621</v>
      </c>
      <c r="S1711" s="3" t="s">
        <v>1622</v>
      </c>
      <c r="T1711" s="3"/>
    </row>
    <row r="1712" spans="1:20">
      <c r="A1712" s="3" t="s">
        <v>1600</v>
      </c>
      <c r="B1712" s="3" t="s">
        <v>1606</v>
      </c>
      <c r="C1712" s="3" t="s">
        <v>1616</v>
      </c>
      <c r="D1712" s="3" t="s">
        <v>1372</v>
      </c>
      <c r="E1712" s="3" t="s">
        <v>1373</v>
      </c>
      <c r="F1712" s="2">
        <v>1</v>
      </c>
      <c r="G1712" s="4">
        <v>1.0559510726742796</v>
      </c>
      <c r="H1712" s="2">
        <v>25</v>
      </c>
      <c r="I1712" s="2">
        <v>5</v>
      </c>
      <c r="J1712" s="2">
        <v>16</v>
      </c>
      <c r="K1712" s="4">
        <v>1</v>
      </c>
      <c r="L1712" s="4">
        <v>-1</v>
      </c>
      <c r="M1712" s="4">
        <v>1</v>
      </c>
      <c r="N1712" s="10">
        <v>0.995</v>
      </c>
      <c r="O1712" s="4">
        <v>14.85</v>
      </c>
      <c r="P1712" s="4">
        <v>-14.85</v>
      </c>
      <c r="Q1712" s="3" t="s">
        <v>1617</v>
      </c>
      <c r="R1712" s="3" t="s">
        <v>1621</v>
      </c>
      <c r="S1712" s="3" t="s">
        <v>1622</v>
      </c>
      <c r="T1712" s="3"/>
    </row>
    <row r="1713" spans="1:20">
      <c r="A1713" s="3" t="s">
        <v>1600</v>
      </c>
      <c r="B1713" s="3" t="s">
        <v>1606</v>
      </c>
      <c r="C1713" s="3" t="s">
        <v>1596</v>
      </c>
      <c r="D1713" s="3" t="s">
        <v>1372</v>
      </c>
      <c r="E1713" s="3" t="s">
        <v>1373</v>
      </c>
      <c r="F1713" s="2">
        <v>1</v>
      </c>
      <c r="G1713" s="4">
        <v>1.0559510726742796</v>
      </c>
      <c r="H1713" s="2">
        <v>25</v>
      </c>
      <c r="I1713" s="2">
        <v>5</v>
      </c>
      <c r="J1713" s="2">
        <v>16</v>
      </c>
      <c r="K1713" s="4">
        <v>1</v>
      </c>
      <c r="L1713" s="4">
        <v>-1</v>
      </c>
      <c r="M1713" s="4">
        <v>1</v>
      </c>
      <c r="N1713" s="10">
        <v>0.995</v>
      </c>
      <c r="O1713" s="4">
        <v>14.85</v>
      </c>
      <c r="P1713" s="4">
        <v>-14.85</v>
      </c>
      <c r="Q1713" s="3" t="s">
        <v>1617</v>
      </c>
      <c r="R1713" s="3" t="s">
        <v>1621</v>
      </c>
      <c r="S1713" s="3" t="s">
        <v>1622</v>
      </c>
      <c r="T1713" s="3"/>
    </row>
    <row r="1714" spans="1:20">
      <c r="A1714" s="3" t="s">
        <v>1600</v>
      </c>
      <c r="B1714" s="3" t="s">
        <v>1601</v>
      </c>
      <c r="C1714" s="3" t="s">
        <v>1616</v>
      </c>
      <c r="D1714" s="3" t="s">
        <v>883</v>
      </c>
      <c r="E1714" s="3" t="s">
        <v>884</v>
      </c>
      <c r="F1714" s="2">
        <v>1</v>
      </c>
      <c r="G1714" s="4">
        <v>1.056053278363593</v>
      </c>
      <c r="H1714" s="2">
        <v>25</v>
      </c>
      <c r="I1714" s="2">
        <v>5</v>
      </c>
      <c r="J1714" s="2">
        <v>1</v>
      </c>
      <c r="K1714" s="4">
        <v>0.20428820709347062</v>
      </c>
      <c r="L1714" s="4">
        <v>0.3888539484635421</v>
      </c>
      <c r="M1714" s="4">
        <v>0.3888539484635421</v>
      </c>
      <c r="N1714" s="10">
        <v>0.38900000000000001</v>
      </c>
      <c r="O1714" s="4">
        <v>2.0349805648725243</v>
      </c>
      <c r="P1714" s="4">
        <v>2.04</v>
      </c>
      <c r="Q1714" s="3" t="s">
        <v>1597</v>
      </c>
      <c r="R1714" s="3" t="s">
        <v>1602</v>
      </c>
      <c r="S1714" s="3" t="s">
        <v>1603</v>
      </c>
      <c r="T1714" s="3"/>
    </row>
    <row r="1715" spans="1:20">
      <c r="A1715" s="3" t="s">
        <v>1600</v>
      </c>
      <c r="B1715" s="3" t="s">
        <v>1601</v>
      </c>
      <c r="C1715" s="3" t="s">
        <v>1616</v>
      </c>
      <c r="D1715" s="3" t="s">
        <v>883</v>
      </c>
      <c r="E1715" s="3" t="s">
        <v>884</v>
      </c>
      <c r="F1715" s="2">
        <v>1</v>
      </c>
      <c r="G1715" s="4">
        <v>1.056053278363593</v>
      </c>
      <c r="H1715" s="2">
        <v>25</v>
      </c>
      <c r="I1715" s="2">
        <v>5</v>
      </c>
      <c r="J1715" s="2">
        <v>16</v>
      </c>
      <c r="K1715" s="4">
        <v>0.86586178486714738</v>
      </c>
      <c r="L1715" s="4">
        <v>0.26155909608977868</v>
      </c>
      <c r="M1715" s="4">
        <v>0.26155909608977868</v>
      </c>
      <c r="N1715" s="10">
        <v>0.26200000000000001</v>
      </c>
      <c r="O1715" s="4">
        <v>1.3276424821963397</v>
      </c>
      <c r="P1715" s="4">
        <v>1.33</v>
      </c>
      <c r="Q1715" s="3" t="s">
        <v>1597</v>
      </c>
      <c r="R1715" s="3" t="s">
        <v>1602</v>
      </c>
      <c r="S1715" s="3" t="s">
        <v>1603</v>
      </c>
      <c r="T1715" s="3"/>
    </row>
    <row r="1716" spans="1:20">
      <c r="A1716" s="3" t="s">
        <v>1605</v>
      </c>
      <c r="B1716" s="3" t="s">
        <v>1601</v>
      </c>
      <c r="C1716" s="3" t="s">
        <v>1596</v>
      </c>
      <c r="D1716" s="3" t="s">
        <v>883</v>
      </c>
      <c r="E1716" s="3" t="s">
        <v>884</v>
      </c>
      <c r="F1716" s="2">
        <v>1</v>
      </c>
      <c r="G1716" s="4">
        <v>1.056053278363593</v>
      </c>
      <c r="H1716" s="2">
        <v>25</v>
      </c>
      <c r="I1716" s="2">
        <v>5</v>
      </c>
      <c r="J1716" s="2">
        <v>16</v>
      </c>
      <c r="K1716" s="4">
        <v>0.66444106558002614</v>
      </c>
      <c r="L1716" s="4">
        <v>0.22020191251552201</v>
      </c>
      <c r="M1716" s="4">
        <v>0.22020191251552201</v>
      </c>
      <c r="N1716" s="10">
        <v>0.22</v>
      </c>
      <c r="O1716" s="4">
        <v>1.1099247874420901</v>
      </c>
      <c r="P1716" s="4">
        <v>1.1100000000000001</v>
      </c>
      <c r="Q1716" s="3" t="s">
        <v>1597</v>
      </c>
      <c r="R1716" s="3" t="s">
        <v>1602</v>
      </c>
      <c r="S1716" s="3" t="s">
        <v>1603</v>
      </c>
      <c r="T1716" s="3"/>
    </row>
    <row r="1717" spans="1:20">
      <c r="A1717" s="3" t="s">
        <v>1600</v>
      </c>
      <c r="B1717" s="3" t="s">
        <v>1601</v>
      </c>
      <c r="C1717" s="3" t="s">
        <v>1596</v>
      </c>
      <c r="D1717" s="3" t="s">
        <v>883</v>
      </c>
      <c r="E1717" s="3" t="s">
        <v>884</v>
      </c>
      <c r="F1717" s="2">
        <v>1</v>
      </c>
      <c r="G1717" s="4">
        <v>1.056053278363593</v>
      </c>
      <c r="H1717" s="2">
        <v>25</v>
      </c>
      <c r="I1717" s="2">
        <v>5</v>
      </c>
      <c r="J1717" s="2">
        <v>16</v>
      </c>
      <c r="K1717" s="4">
        <v>0.55247347356152021</v>
      </c>
      <c r="L1717" s="4">
        <v>0.17161707518641842</v>
      </c>
      <c r="M1717" s="4">
        <v>0.17161707518641842</v>
      </c>
      <c r="N1717" s="10">
        <v>0.17199999999999999</v>
      </c>
      <c r="O1717" s="4">
        <v>0.85937068936519723</v>
      </c>
      <c r="P1717" s="4">
        <v>0.86</v>
      </c>
      <c r="Q1717" s="3" t="s">
        <v>1597</v>
      </c>
      <c r="R1717" s="3" t="s">
        <v>1602</v>
      </c>
      <c r="S1717" s="3" t="s">
        <v>1603</v>
      </c>
      <c r="T1717" s="3"/>
    </row>
    <row r="1718" spans="1:20">
      <c r="A1718" s="3" t="s">
        <v>1594</v>
      </c>
      <c r="B1718" s="3" t="s">
        <v>1612</v>
      </c>
      <c r="C1718" s="3" t="s">
        <v>1596</v>
      </c>
      <c r="D1718" s="3" t="s">
        <v>883</v>
      </c>
      <c r="E1718" s="3" t="s">
        <v>884</v>
      </c>
      <c r="F1718" s="2">
        <v>1</v>
      </c>
      <c r="G1718" s="4">
        <v>1.056053278363593</v>
      </c>
      <c r="H1718" s="2">
        <v>50</v>
      </c>
      <c r="I1718" s="2">
        <v>5</v>
      </c>
      <c r="J1718" s="2">
        <v>16</v>
      </c>
      <c r="K1718" s="4">
        <v>1</v>
      </c>
      <c r="L1718" s="4">
        <v>7.1165229470733601E-2</v>
      </c>
      <c r="M1718" s="4">
        <v>7.1165229470733601E-2</v>
      </c>
      <c r="N1718" s="10">
        <v>7.0999999999999994E-2</v>
      </c>
      <c r="O1718" s="4">
        <v>0.38306539569295817</v>
      </c>
      <c r="P1718" s="4">
        <v>0.38</v>
      </c>
      <c r="Q1718" s="3" t="s">
        <v>1597</v>
      </c>
      <c r="R1718" s="3" t="s">
        <v>1613</v>
      </c>
      <c r="S1718" s="3" t="s">
        <v>1614</v>
      </c>
      <c r="T1718" s="3"/>
    </row>
    <row r="1719" spans="1:20">
      <c r="A1719" s="3" t="s">
        <v>1600</v>
      </c>
      <c r="B1719" s="3" t="s">
        <v>1606</v>
      </c>
      <c r="C1719" s="3" t="s">
        <v>1616</v>
      </c>
      <c r="D1719" s="3" t="s">
        <v>883</v>
      </c>
      <c r="E1719" s="3" t="s">
        <v>884</v>
      </c>
      <c r="F1719" s="2">
        <v>1</v>
      </c>
      <c r="G1719" s="4">
        <v>1.056053278363593</v>
      </c>
      <c r="H1719" s="2">
        <v>25</v>
      </c>
      <c r="I1719" s="2">
        <v>5</v>
      </c>
      <c r="J1719" s="2">
        <v>1</v>
      </c>
      <c r="K1719" s="4">
        <v>0.42036002850069465</v>
      </c>
      <c r="L1719" s="4">
        <v>3.9184972084745369E-2</v>
      </c>
      <c r="M1719" s="4">
        <v>3.9184972084745369E-2</v>
      </c>
      <c r="N1719" s="10">
        <v>3.9E-2</v>
      </c>
      <c r="O1719" s="4">
        <v>0.19437612396033427</v>
      </c>
      <c r="P1719" s="4">
        <v>0.19</v>
      </c>
      <c r="Q1719" s="3" t="s">
        <v>1597</v>
      </c>
      <c r="R1719" s="3" t="s">
        <v>1607</v>
      </c>
      <c r="S1719" s="3" t="s">
        <v>1608</v>
      </c>
      <c r="T1719" s="3"/>
    </row>
    <row r="1720" spans="1:20">
      <c r="A1720" s="3" t="s">
        <v>1604</v>
      </c>
      <c r="B1720" s="3" t="s">
        <v>1601</v>
      </c>
      <c r="C1720" s="3" t="s">
        <v>1596</v>
      </c>
      <c r="D1720" s="3" t="s">
        <v>883</v>
      </c>
      <c r="E1720" s="3" t="s">
        <v>884</v>
      </c>
      <c r="F1720" s="2">
        <v>1</v>
      </c>
      <c r="G1720" s="4">
        <v>1.056053278363593</v>
      </c>
      <c r="H1720" s="2">
        <v>25</v>
      </c>
      <c r="I1720" s="2">
        <v>30</v>
      </c>
      <c r="J1720" s="2">
        <v>16</v>
      </c>
      <c r="K1720" s="4">
        <v>0.55137419901469342</v>
      </c>
      <c r="L1720" s="4">
        <v>3.2494110859631123E-2</v>
      </c>
      <c r="M1720" s="4">
        <v>3.2494110859631123E-2</v>
      </c>
      <c r="N1720" s="10">
        <v>3.2000000000000001E-2</v>
      </c>
      <c r="O1720" s="4">
        <v>0.16116047072529621</v>
      </c>
      <c r="P1720" s="4">
        <v>0.16</v>
      </c>
      <c r="Q1720" s="3" t="s">
        <v>1597</v>
      </c>
      <c r="R1720" s="3" t="s">
        <v>1602</v>
      </c>
      <c r="S1720" s="3" t="s">
        <v>1603</v>
      </c>
      <c r="T1720" s="3"/>
    </row>
    <row r="1721" spans="1:20">
      <c r="A1721" s="3" t="s">
        <v>1604</v>
      </c>
      <c r="B1721" s="3" t="s">
        <v>1601</v>
      </c>
      <c r="C1721" s="3" t="s">
        <v>1616</v>
      </c>
      <c r="D1721" s="3" t="s">
        <v>883</v>
      </c>
      <c r="E1721" s="3" t="s">
        <v>884</v>
      </c>
      <c r="F1721" s="2">
        <v>1</v>
      </c>
      <c r="G1721" s="4">
        <v>1.056053278363593</v>
      </c>
      <c r="H1721" s="2">
        <v>25</v>
      </c>
      <c r="I1721" s="2">
        <v>30</v>
      </c>
      <c r="J1721" s="2">
        <v>16</v>
      </c>
      <c r="K1721" s="4">
        <v>0.9692558972837465</v>
      </c>
      <c r="L1721" s="4">
        <v>7.688333911808151E-3</v>
      </c>
      <c r="M1721" s="4">
        <v>7.688333911808151E-3</v>
      </c>
      <c r="N1721" s="10">
        <v>8.0000000000000002E-3</v>
      </c>
      <c r="O1721" s="4">
        <v>3.8119021261990613E-2</v>
      </c>
      <c r="P1721" s="4">
        <v>0.04</v>
      </c>
      <c r="Q1721" s="3" t="s">
        <v>1597</v>
      </c>
      <c r="R1721" s="3" t="s">
        <v>1602</v>
      </c>
      <c r="S1721" s="3" t="s">
        <v>1603</v>
      </c>
      <c r="T1721" s="3"/>
    </row>
    <row r="1722" spans="1:20">
      <c r="A1722" s="3" t="s">
        <v>1600</v>
      </c>
      <c r="B1722" s="3" t="s">
        <v>1601</v>
      </c>
      <c r="C1722" s="3" t="s">
        <v>1596</v>
      </c>
      <c r="D1722" s="3" t="s">
        <v>883</v>
      </c>
      <c r="E1722" s="3" t="s">
        <v>884</v>
      </c>
      <c r="F1722" s="2">
        <v>1</v>
      </c>
      <c r="G1722" s="4">
        <v>1.056053278363593</v>
      </c>
      <c r="H1722" s="2">
        <v>25</v>
      </c>
      <c r="I1722" s="2">
        <v>5</v>
      </c>
      <c r="J1722" s="2">
        <v>1</v>
      </c>
      <c r="K1722" s="4">
        <v>0</v>
      </c>
      <c r="L1722" s="4">
        <v>0</v>
      </c>
      <c r="M1722" s="4">
        <v>0</v>
      </c>
      <c r="N1722" s="10">
        <v>0</v>
      </c>
      <c r="O1722" s="4">
        <v>0</v>
      </c>
      <c r="P1722" s="4">
        <v>0</v>
      </c>
      <c r="Q1722" s="3" t="s">
        <v>1617</v>
      </c>
      <c r="R1722" s="3" t="s">
        <v>1618</v>
      </c>
      <c r="S1722" s="3" t="s">
        <v>1619</v>
      </c>
      <c r="T1722" s="3"/>
    </row>
    <row r="1723" spans="1:20">
      <c r="A1723" s="3" t="s">
        <v>1600</v>
      </c>
      <c r="B1723" s="3" t="s">
        <v>1606</v>
      </c>
      <c r="C1723" s="3" t="s">
        <v>1596</v>
      </c>
      <c r="D1723" s="3" t="s">
        <v>883</v>
      </c>
      <c r="E1723" s="3" t="s">
        <v>884</v>
      </c>
      <c r="F1723" s="2">
        <v>1</v>
      </c>
      <c r="G1723" s="4">
        <v>1.056053278363593</v>
      </c>
      <c r="H1723" s="2">
        <v>25</v>
      </c>
      <c r="I1723" s="2">
        <v>5</v>
      </c>
      <c r="J1723" s="2">
        <v>16</v>
      </c>
      <c r="K1723" s="4">
        <v>0.75475941283818659</v>
      </c>
      <c r="L1723" s="4">
        <v>-1.8734605240818242E-2</v>
      </c>
      <c r="M1723" s="4">
        <v>1.8734605240818242E-2</v>
      </c>
      <c r="N1723" s="10">
        <v>1.9E-2</v>
      </c>
      <c r="O1723" s="4">
        <v>9.2895849707137726E-2</v>
      </c>
      <c r="P1723" s="4">
        <v>-0.09</v>
      </c>
      <c r="Q1723" s="3" t="s">
        <v>1617</v>
      </c>
      <c r="R1723" s="3" t="s">
        <v>1621</v>
      </c>
      <c r="S1723" s="3" t="s">
        <v>1622</v>
      </c>
      <c r="T1723" s="3"/>
    </row>
    <row r="1724" spans="1:20">
      <c r="A1724" s="3" t="s">
        <v>1600</v>
      </c>
      <c r="B1724" s="3" t="s">
        <v>1606</v>
      </c>
      <c r="C1724" s="3" t="s">
        <v>1616</v>
      </c>
      <c r="D1724" s="3" t="s">
        <v>883</v>
      </c>
      <c r="E1724" s="3" t="s">
        <v>884</v>
      </c>
      <c r="F1724" s="2">
        <v>1</v>
      </c>
      <c r="G1724" s="4">
        <v>1.056053278363593</v>
      </c>
      <c r="H1724" s="2">
        <v>25</v>
      </c>
      <c r="I1724" s="2">
        <v>5</v>
      </c>
      <c r="J1724" s="2">
        <v>16</v>
      </c>
      <c r="K1724" s="4">
        <v>1</v>
      </c>
      <c r="L1724" s="4">
        <v>-2.783400724134024E-2</v>
      </c>
      <c r="M1724" s="4">
        <v>2.783400724134024E-2</v>
      </c>
      <c r="N1724" s="10">
        <v>2.8000000000000001E-2</v>
      </c>
      <c r="O1724" s="4">
        <v>0.13803489031576016</v>
      </c>
      <c r="P1724" s="4">
        <v>-0.14000000000000001</v>
      </c>
      <c r="Q1724" s="3" t="s">
        <v>1617</v>
      </c>
      <c r="R1724" s="3" t="s">
        <v>1621</v>
      </c>
      <c r="S1724" s="3" t="s">
        <v>1622</v>
      </c>
      <c r="T1724" s="3"/>
    </row>
    <row r="1725" spans="1:20">
      <c r="A1725" s="3" t="s">
        <v>1600</v>
      </c>
      <c r="B1725" s="3" t="s">
        <v>1606</v>
      </c>
      <c r="C1725" s="3" t="s">
        <v>1596</v>
      </c>
      <c r="D1725" s="3" t="s">
        <v>883</v>
      </c>
      <c r="E1725" s="3" t="s">
        <v>884</v>
      </c>
      <c r="F1725" s="2">
        <v>1</v>
      </c>
      <c r="G1725" s="4">
        <v>1.056053278363593</v>
      </c>
      <c r="H1725" s="2">
        <v>25</v>
      </c>
      <c r="I1725" s="2">
        <v>5</v>
      </c>
      <c r="J1725" s="2">
        <v>1</v>
      </c>
      <c r="K1725" s="4">
        <v>0.25606946861083668</v>
      </c>
      <c r="L1725" s="4">
        <v>-4.9607789874869516E-2</v>
      </c>
      <c r="M1725" s="4">
        <v>4.9607789874869516E-2</v>
      </c>
      <c r="N1725" s="10">
        <v>0.05</v>
      </c>
      <c r="O1725" s="4">
        <v>0.2461543204283054</v>
      </c>
      <c r="P1725" s="4">
        <v>-0.25</v>
      </c>
      <c r="Q1725" s="3" t="s">
        <v>1617</v>
      </c>
      <c r="R1725" s="3" t="s">
        <v>1621</v>
      </c>
      <c r="S1725" s="3" t="s">
        <v>1622</v>
      </c>
      <c r="T1725" s="3"/>
    </row>
    <row r="1726" spans="1:20">
      <c r="A1726" s="3" t="s">
        <v>1600</v>
      </c>
      <c r="B1726" s="3" t="s">
        <v>1609</v>
      </c>
      <c r="C1726" s="3" t="s">
        <v>1596</v>
      </c>
      <c r="D1726" s="3" t="s">
        <v>883</v>
      </c>
      <c r="E1726" s="3" t="s">
        <v>884</v>
      </c>
      <c r="F1726" s="2">
        <v>1</v>
      </c>
      <c r="G1726" s="4">
        <v>1.056053278363593</v>
      </c>
      <c r="H1726" s="2">
        <v>25</v>
      </c>
      <c r="I1726" s="2">
        <v>5</v>
      </c>
      <c r="J1726" s="2">
        <v>16</v>
      </c>
      <c r="K1726" s="4">
        <v>0.9914981835474671</v>
      </c>
      <c r="L1726" s="4">
        <v>-0.24127130952670742</v>
      </c>
      <c r="M1726" s="4">
        <v>0.24127130952670742</v>
      </c>
      <c r="N1726" s="10">
        <v>0.24099999999999999</v>
      </c>
      <c r="O1726" s="4">
        <v>1.2202649597678881</v>
      </c>
      <c r="P1726" s="4">
        <v>-1.22</v>
      </c>
      <c r="Q1726" s="3" t="s">
        <v>1617</v>
      </c>
      <c r="R1726" s="3" t="s">
        <v>1623</v>
      </c>
      <c r="S1726" s="3" t="s">
        <v>1624</v>
      </c>
      <c r="T1726" s="3"/>
    </row>
    <row r="1727" spans="1:20">
      <c r="A1727" s="3" t="s">
        <v>1600</v>
      </c>
      <c r="B1727" s="3" t="s">
        <v>1609</v>
      </c>
      <c r="C1727" s="3" t="s">
        <v>1596</v>
      </c>
      <c r="D1727" s="3" t="s">
        <v>883</v>
      </c>
      <c r="E1727" s="3" t="s">
        <v>884</v>
      </c>
      <c r="F1727" s="2">
        <v>1</v>
      </c>
      <c r="G1727" s="4">
        <v>1.056053278363593</v>
      </c>
      <c r="H1727" s="2">
        <v>25</v>
      </c>
      <c r="I1727" s="2">
        <v>5</v>
      </c>
      <c r="J1727" s="2">
        <v>1</v>
      </c>
      <c r="K1727" s="4">
        <v>0.27815064901078057</v>
      </c>
      <c r="L1727" s="4">
        <v>-0.27294155770652118</v>
      </c>
      <c r="M1727" s="4">
        <v>0.27294155770652118</v>
      </c>
      <c r="N1727" s="10">
        <v>0.27300000000000002</v>
      </c>
      <c r="O1727" s="4">
        <v>1.3884175846362872</v>
      </c>
      <c r="P1727" s="4">
        <v>-1.39</v>
      </c>
      <c r="Q1727" s="3" t="s">
        <v>1617</v>
      </c>
      <c r="R1727" s="3" t="s">
        <v>1623</v>
      </c>
      <c r="S1727" s="3" t="s">
        <v>1624</v>
      </c>
      <c r="T1727" s="3"/>
    </row>
    <row r="1728" spans="1:20">
      <c r="A1728" s="3" t="s">
        <v>1600</v>
      </c>
      <c r="B1728" s="3" t="s">
        <v>1609</v>
      </c>
      <c r="C1728" s="3" t="s">
        <v>1616</v>
      </c>
      <c r="D1728" s="3" t="s">
        <v>883</v>
      </c>
      <c r="E1728" s="3" t="s">
        <v>884</v>
      </c>
      <c r="F1728" s="2">
        <v>1</v>
      </c>
      <c r="G1728" s="4">
        <v>1.056053278363593</v>
      </c>
      <c r="H1728" s="2">
        <v>25</v>
      </c>
      <c r="I1728" s="2">
        <v>5</v>
      </c>
      <c r="J1728" s="2">
        <v>1</v>
      </c>
      <c r="K1728" s="4">
        <v>4.2164122560153894E-2</v>
      </c>
      <c r="L1728" s="4">
        <v>-0.35304364934601817</v>
      </c>
      <c r="M1728" s="4">
        <v>0.35304364934601817</v>
      </c>
      <c r="N1728" s="10">
        <v>0.35299999999999998</v>
      </c>
      <c r="O1728" s="4">
        <v>1.8290646761763265</v>
      </c>
      <c r="P1728" s="4">
        <v>-1.83</v>
      </c>
      <c r="Q1728" s="3" t="s">
        <v>1617</v>
      </c>
      <c r="R1728" s="3" t="s">
        <v>1623</v>
      </c>
      <c r="S1728" s="3" t="s">
        <v>1624</v>
      </c>
      <c r="T1728" s="3"/>
    </row>
    <row r="1729" spans="1:20">
      <c r="A1729" s="3" t="s">
        <v>1600</v>
      </c>
      <c r="B1729" s="3" t="s">
        <v>1609</v>
      </c>
      <c r="C1729" s="3" t="s">
        <v>1616</v>
      </c>
      <c r="D1729" s="3" t="s">
        <v>883</v>
      </c>
      <c r="E1729" s="3" t="s">
        <v>884</v>
      </c>
      <c r="F1729" s="2">
        <v>1</v>
      </c>
      <c r="G1729" s="4">
        <v>1.056053278363593</v>
      </c>
      <c r="H1729" s="2">
        <v>25</v>
      </c>
      <c r="I1729" s="2">
        <v>5</v>
      </c>
      <c r="J1729" s="2">
        <v>16</v>
      </c>
      <c r="K1729" s="4">
        <v>0.23464008365901434</v>
      </c>
      <c r="L1729" s="4">
        <v>-0.4001062745165806</v>
      </c>
      <c r="M1729" s="4">
        <v>0.4001062745165806</v>
      </c>
      <c r="N1729" s="10">
        <v>0.4</v>
      </c>
      <c r="O1729" s="4">
        <v>2.1010517270239153</v>
      </c>
      <c r="P1729" s="4">
        <v>-2.1</v>
      </c>
      <c r="Q1729" s="3" t="s">
        <v>1617</v>
      </c>
      <c r="R1729" s="3" t="s">
        <v>1623</v>
      </c>
      <c r="S1729" s="3" t="s">
        <v>1624</v>
      </c>
      <c r="T1729" s="3"/>
    </row>
    <row r="1730" spans="1:20">
      <c r="A1730" s="3" t="s">
        <v>1594</v>
      </c>
      <c r="B1730" s="3" t="s">
        <v>1595</v>
      </c>
      <c r="C1730" s="3" t="s">
        <v>1596</v>
      </c>
      <c r="D1730" s="3" t="s">
        <v>883</v>
      </c>
      <c r="E1730" s="3" t="s">
        <v>884</v>
      </c>
      <c r="F1730" s="2">
        <v>1</v>
      </c>
      <c r="G1730" s="4">
        <v>1.056053278363593</v>
      </c>
      <c r="H1730" s="2">
        <v>50</v>
      </c>
      <c r="I1730" s="2">
        <v>5</v>
      </c>
      <c r="J1730" s="2">
        <v>16</v>
      </c>
      <c r="K1730" s="4">
        <v>1</v>
      </c>
      <c r="L1730" s="4">
        <v>-0.76558239529019401</v>
      </c>
      <c r="M1730" s="4">
        <v>0.76558239529019401</v>
      </c>
      <c r="N1730" s="10">
        <v>0.76600000000000001</v>
      </c>
      <c r="O1730" s="4">
        <v>5.4250650519488106</v>
      </c>
      <c r="P1730" s="4">
        <v>-5.43</v>
      </c>
      <c r="Q1730" s="3" t="s">
        <v>1617</v>
      </c>
      <c r="R1730" s="3" t="s">
        <v>1625</v>
      </c>
      <c r="S1730" s="3" t="s">
        <v>1626</v>
      </c>
      <c r="T1730" s="3"/>
    </row>
    <row r="1731" spans="1:20">
      <c r="A1731" s="3" t="s">
        <v>1594</v>
      </c>
      <c r="B1731" s="3" t="s">
        <v>1595</v>
      </c>
      <c r="C1731" s="3" t="s">
        <v>1596</v>
      </c>
      <c r="D1731" s="3" t="s">
        <v>883</v>
      </c>
      <c r="E1731" s="3" t="s">
        <v>884</v>
      </c>
      <c r="F1731" s="2">
        <v>1</v>
      </c>
      <c r="G1731" s="4">
        <v>1.056053278363593</v>
      </c>
      <c r="H1731" s="2">
        <v>25</v>
      </c>
      <c r="I1731" s="2">
        <v>5</v>
      </c>
      <c r="J1731" s="2">
        <v>16</v>
      </c>
      <c r="K1731" s="4">
        <v>1</v>
      </c>
      <c r="L1731" s="4">
        <v>-0.7924857976317522</v>
      </c>
      <c r="M1731" s="4">
        <v>0.7924857976317522</v>
      </c>
      <c r="N1731" s="10">
        <v>0.79200000000000004</v>
      </c>
      <c r="O1731" s="4">
        <v>5.3450492109116725</v>
      </c>
      <c r="P1731" s="4">
        <v>-5.34</v>
      </c>
      <c r="Q1731" s="3" t="s">
        <v>1617</v>
      </c>
      <c r="R1731" s="3" t="s">
        <v>1625</v>
      </c>
      <c r="S1731" s="3" t="s">
        <v>1626</v>
      </c>
      <c r="T1731" s="3"/>
    </row>
    <row r="1732" spans="1:20">
      <c r="A1732" s="3" t="s">
        <v>1600</v>
      </c>
      <c r="B1732" s="3" t="s">
        <v>1601</v>
      </c>
      <c r="C1732" s="3" t="s">
        <v>1616</v>
      </c>
      <c r="D1732" s="3" t="s">
        <v>784</v>
      </c>
      <c r="E1732" s="3" t="s">
        <v>785</v>
      </c>
      <c r="F1732" s="2">
        <v>1</v>
      </c>
      <c r="G1732" s="4">
        <v>1.0569950782101216</v>
      </c>
      <c r="H1732" s="2">
        <v>25</v>
      </c>
      <c r="I1732" s="2">
        <v>5</v>
      </c>
      <c r="J1732" s="2">
        <v>1</v>
      </c>
      <c r="K1732" s="4">
        <v>1</v>
      </c>
      <c r="L1732" s="4">
        <v>0.61313496548679058</v>
      </c>
      <c r="M1732" s="4">
        <v>0.61313496548679058</v>
      </c>
      <c r="N1732" s="10">
        <v>0.61299999999999999</v>
      </c>
      <c r="O1732" s="4">
        <v>3.5396166823245068</v>
      </c>
      <c r="P1732" s="4">
        <v>3.54</v>
      </c>
      <c r="Q1732" s="3" t="s">
        <v>1597</v>
      </c>
      <c r="R1732" s="3" t="s">
        <v>1602</v>
      </c>
      <c r="S1732" s="3" t="s">
        <v>1603</v>
      </c>
      <c r="T1732" s="3"/>
    </row>
    <row r="1733" spans="1:20">
      <c r="A1733" s="3" t="s">
        <v>1600</v>
      </c>
      <c r="B1733" s="3" t="s">
        <v>1606</v>
      </c>
      <c r="C1733" s="3" t="s">
        <v>1616</v>
      </c>
      <c r="D1733" s="3" t="s">
        <v>784</v>
      </c>
      <c r="E1733" s="3" t="s">
        <v>785</v>
      </c>
      <c r="F1733" s="2">
        <v>1</v>
      </c>
      <c r="G1733" s="4">
        <v>1.0569950782101216</v>
      </c>
      <c r="H1733" s="2">
        <v>25</v>
      </c>
      <c r="I1733" s="2">
        <v>5</v>
      </c>
      <c r="J1733" s="2">
        <v>16</v>
      </c>
      <c r="K1733" s="11">
        <v>1</v>
      </c>
      <c r="L1733" s="11">
        <v>0.61022725536044509</v>
      </c>
      <c r="M1733" s="4">
        <v>0.61022725536044509</v>
      </c>
      <c r="N1733" s="10">
        <v>0.61</v>
      </c>
      <c r="O1733" s="4">
        <v>3.5165817955905481</v>
      </c>
      <c r="P1733" s="4">
        <v>3.51</v>
      </c>
      <c r="Q1733" s="3" t="s">
        <v>1597</v>
      </c>
      <c r="R1733" s="3" t="s">
        <v>1607</v>
      </c>
      <c r="S1733" s="3" t="s">
        <v>1608</v>
      </c>
      <c r="T1733" s="3"/>
    </row>
    <row r="1734" spans="1:20">
      <c r="A1734" s="3" t="s">
        <v>1600</v>
      </c>
      <c r="B1734" s="3" t="s">
        <v>1606</v>
      </c>
      <c r="C1734" s="3" t="s">
        <v>1616</v>
      </c>
      <c r="D1734" s="3" t="s">
        <v>784</v>
      </c>
      <c r="E1734" s="3" t="s">
        <v>785</v>
      </c>
      <c r="F1734" s="2">
        <v>1</v>
      </c>
      <c r="G1734" s="4">
        <v>1.0569950782101216</v>
      </c>
      <c r="H1734" s="2">
        <v>25</v>
      </c>
      <c r="I1734" s="2">
        <v>5</v>
      </c>
      <c r="J1734" s="2">
        <v>1</v>
      </c>
      <c r="K1734" s="4">
        <v>1</v>
      </c>
      <c r="L1734" s="4">
        <v>0.57420013329013431</v>
      </c>
      <c r="M1734" s="4">
        <v>0.57420013329013431</v>
      </c>
      <c r="N1734" s="10">
        <v>0.57399999999999995</v>
      </c>
      <c r="O1734" s="4">
        <v>3.2413330193962575</v>
      </c>
      <c r="P1734" s="4">
        <v>3.24</v>
      </c>
      <c r="Q1734" s="3" t="s">
        <v>1597</v>
      </c>
      <c r="R1734" s="3" t="s">
        <v>1607</v>
      </c>
      <c r="S1734" s="3" t="s">
        <v>1608</v>
      </c>
      <c r="T1734" s="3"/>
    </row>
    <row r="1735" spans="1:20">
      <c r="A1735" s="3" t="s">
        <v>1604</v>
      </c>
      <c r="B1735" s="3" t="s">
        <v>1601</v>
      </c>
      <c r="C1735" s="3" t="s">
        <v>1616</v>
      </c>
      <c r="D1735" s="3" t="s">
        <v>784</v>
      </c>
      <c r="E1735" s="3" t="s">
        <v>785</v>
      </c>
      <c r="F1735" s="2">
        <v>1</v>
      </c>
      <c r="G1735" s="4">
        <v>1.0569950782101216</v>
      </c>
      <c r="H1735" s="2">
        <v>25</v>
      </c>
      <c r="I1735" s="2">
        <v>30</v>
      </c>
      <c r="J1735" s="2">
        <v>16</v>
      </c>
      <c r="K1735" s="4">
        <v>1</v>
      </c>
      <c r="L1735" s="4">
        <v>0.5447828833070163</v>
      </c>
      <c r="M1735" s="4">
        <v>0.5447828833070163</v>
      </c>
      <c r="N1735" s="10">
        <v>0.54500000000000004</v>
      </c>
      <c r="O1735" s="4">
        <v>3.0289623821105431</v>
      </c>
      <c r="P1735" s="4">
        <v>3.03</v>
      </c>
      <c r="Q1735" s="3" t="s">
        <v>1597</v>
      </c>
      <c r="R1735" s="3" t="s">
        <v>1602</v>
      </c>
      <c r="S1735" s="3" t="s">
        <v>1603</v>
      </c>
      <c r="T1735" s="3"/>
    </row>
    <row r="1736" spans="1:20">
      <c r="A1736" s="3" t="s">
        <v>1600</v>
      </c>
      <c r="B1736" s="3" t="s">
        <v>1609</v>
      </c>
      <c r="C1736" s="3" t="s">
        <v>1616</v>
      </c>
      <c r="D1736" s="3" t="s">
        <v>784</v>
      </c>
      <c r="E1736" s="3" t="s">
        <v>785</v>
      </c>
      <c r="F1736" s="2">
        <v>1</v>
      </c>
      <c r="G1736" s="4">
        <v>1.0569950782101216</v>
      </c>
      <c r="H1736" s="2">
        <v>25</v>
      </c>
      <c r="I1736" s="2">
        <v>5</v>
      </c>
      <c r="J1736" s="2">
        <v>1</v>
      </c>
      <c r="K1736" s="4">
        <v>0.43629105658153389</v>
      </c>
      <c r="L1736" s="4">
        <v>0.54102948775577842</v>
      </c>
      <c r="M1736" s="4">
        <v>0.54102948775577842</v>
      </c>
      <c r="N1736" s="10">
        <v>0.54100000000000004</v>
      </c>
      <c r="O1736" s="4">
        <v>3.0025758480069453</v>
      </c>
      <c r="P1736" s="4">
        <v>3</v>
      </c>
      <c r="Q1736" s="3" t="s">
        <v>1597</v>
      </c>
      <c r="R1736" s="3" t="s">
        <v>1610</v>
      </c>
      <c r="S1736" s="3" t="s">
        <v>1611</v>
      </c>
      <c r="T1736" s="3"/>
    </row>
    <row r="1737" spans="1:20">
      <c r="A1737" s="3" t="s">
        <v>1600</v>
      </c>
      <c r="B1737" s="3" t="s">
        <v>1601</v>
      </c>
      <c r="C1737" s="3" t="s">
        <v>1616</v>
      </c>
      <c r="D1737" s="3" t="s">
        <v>784</v>
      </c>
      <c r="E1737" s="3" t="s">
        <v>785</v>
      </c>
      <c r="F1737" s="2">
        <v>1</v>
      </c>
      <c r="G1737" s="4">
        <v>1.0569950782101216</v>
      </c>
      <c r="H1737" s="2">
        <v>25</v>
      </c>
      <c r="I1737" s="2">
        <v>5</v>
      </c>
      <c r="J1737" s="2">
        <v>16</v>
      </c>
      <c r="K1737" s="4">
        <v>1</v>
      </c>
      <c r="L1737" s="4">
        <v>0.50679891985503145</v>
      </c>
      <c r="M1737" s="4">
        <v>0.50679891985503145</v>
      </c>
      <c r="N1737" s="10">
        <v>0.50700000000000001</v>
      </c>
      <c r="O1737" s="4">
        <v>2.768575609289079</v>
      </c>
      <c r="P1737" s="4">
        <v>2.77</v>
      </c>
      <c r="Q1737" s="3" t="s">
        <v>1597</v>
      </c>
      <c r="R1737" s="3" t="s">
        <v>1602</v>
      </c>
      <c r="S1737" s="3" t="s">
        <v>1603</v>
      </c>
      <c r="T1737" s="3"/>
    </row>
    <row r="1738" spans="1:20">
      <c r="A1738" s="3" t="s">
        <v>1600</v>
      </c>
      <c r="B1738" s="3" t="s">
        <v>1609</v>
      </c>
      <c r="C1738" s="3" t="s">
        <v>1616</v>
      </c>
      <c r="D1738" s="3" t="s">
        <v>784</v>
      </c>
      <c r="E1738" s="3" t="s">
        <v>785</v>
      </c>
      <c r="F1738" s="2">
        <v>1</v>
      </c>
      <c r="G1738" s="4">
        <v>1.0569950782101216</v>
      </c>
      <c r="H1738" s="2">
        <v>25</v>
      </c>
      <c r="I1738" s="2">
        <v>5</v>
      </c>
      <c r="J1738" s="2">
        <v>16</v>
      </c>
      <c r="K1738" s="11">
        <v>0.5605237744221756</v>
      </c>
      <c r="L1738" s="11">
        <v>0.45709339296514756</v>
      </c>
      <c r="M1738" s="4">
        <v>0.45709339296514756</v>
      </c>
      <c r="N1738" s="10">
        <v>0.45700000000000002</v>
      </c>
      <c r="O1738" s="4">
        <v>2.4473900692145545</v>
      </c>
      <c r="P1738" s="4">
        <v>2.4500000000000002</v>
      </c>
      <c r="Q1738" s="3" t="s">
        <v>1597</v>
      </c>
      <c r="R1738" s="3" t="s">
        <v>1610</v>
      </c>
      <c r="S1738" s="3" t="s">
        <v>1611</v>
      </c>
      <c r="T1738" s="3"/>
    </row>
    <row r="1739" spans="1:20">
      <c r="A1739" s="3" t="s">
        <v>1600</v>
      </c>
      <c r="B1739" s="3" t="s">
        <v>1601</v>
      </c>
      <c r="C1739" s="3" t="s">
        <v>1596</v>
      </c>
      <c r="D1739" s="3" t="s">
        <v>784</v>
      </c>
      <c r="E1739" s="3" t="s">
        <v>785</v>
      </c>
      <c r="F1739" s="2">
        <v>1</v>
      </c>
      <c r="G1739" s="4">
        <v>1.0569950782101216</v>
      </c>
      <c r="H1739" s="2">
        <v>25</v>
      </c>
      <c r="I1739" s="2">
        <v>5</v>
      </c>
      <c r="J1739" s="2">
        <v>1</v>
      </c>
      <c r="K1739" s="4">
        <v>0.76650920631403063</v>
      </c>
      <c r="L1739" s="4">
        <v>0.29036370291974295</v>
      </c>
      <c r="M1739" s="4">
        <v>0.29036370291974295</v>
      </c>
      <c r="N1739" s="10">
        <v>0.28999999999999998</v>
      </c>
      <c r="O1739" s="4">
        <v>1.4822415496099481</v>
      </c>
      <c r="P1739" s="4">
        <v>1.48</v>
      </c>
      <c r="Q1739" s="3" t="s">
        <v>1597</v>
      </c>
      <c r="R1739" s="3" t="s">
        <v>1602</v>
      </c>
      <c r="S1739" s="3" t="s">
        <v>1603</v>
      </c>
      <c r="T1739" s="3"/>
    </row>
    <row r="1740" spans="1:20">
      <c r="A1740" s="3" t="s">
        <v>1600</v>
      </c>
      <c r="B1740" s="3" t="s">
        <v>1601</v>
      </c>
      <c r="C1740" s="3" t="s">
        <v>1596</v>
      </c>
      <c r="D1740" s="3" t="s">
        <v>784</v>
      </c>
      <c r="E1740" s="3" t="s">
        <v>785</v>
      </c>
      <c r="F1740" s="2">
        <v>1</v>
      </c>
      <c r="G1740" s="4">
        <v>1.0569950782101216</v>
      </c>
      <c r="H1740" s="2">
        <v>25</v>
      </c>
      <c r="I1740" s="2">
        <v>5</v>
      </c>
      <c r="J1740" s="2">
        <v>16</v>
      </c>
      <c r="K1740" s="4">
        <v>1</v>
      </c>
      <c r="L1740" s="4">
        <v>0.2202128593514997</v>
      </c>
      <c r="M1740" s="4">
        <v>0.2202128593514997</v>
      </c>
      <c r="N1740" s="10">
        <v>0.22</v>
      </c>
      <c r="O1740" s="4">
        <v>1.109981827084084</v>
      </c>
      <c r="P1740" s="4">
        <v>1.1100000000000001</v>
      </c>
      <c r="Q1740" s="3" t="s">
        <v>1597</v>
      </c>
      <c r="R1740" s="3" t="s">
        <v>1602</v>
      </c>
      <c r="S1740" s="3" t="s">
        <v>1603</v>
      </c>
      <c r="T1740" s="3"/>
    </row>
    <row r="1741" spans="1:20">
      <c r="A1741" s="3" t="s">
        <v>1600</v>
      </c>
      <c r="B1741" s="3" t="s">
        <v>1609</v>
      </c>
      <c r="C1741" s="3" t="s">
        <v>1596</v>
      </c>
      <c r="D1741" s="3" t="s">
        <v>784</v>
      </c>
      <c r="E1741" s="3" t="s">
        <v>785</v>
      </c>
      <c r="F1741" s="2">
        <v>1</v>
      </c>
      <c r="G1741" s="4">
        <v>1.0569950782101216</v>
      </c>
      <c r="H1741" s="2">
        <v>25</v>
      </c>
      <c r="I1741" s="2">
        <v>5</v>
      </c>
      <c r="J1741" s="2">
        <v>1</v>
      </c>
      <c r="K1741" s="11">
        <v>2.6963014772774185E-2</v>
      </c>
      <c r="L1741" s="11">
        <v>0.19940909449468261</v>
      </c>
      <c r="M1741" s="4">
        <v>0.19940909449468261</v>
      </c>
      <c r="N1741" s="10">
        <v>0.19900000000000001</v>
      </c>
      <c r="O1741" s="4">
        <v>1.0020837327810945</v>
      </c>
      <c r="P1741" s="4">
        <v>1</v>
      </c>
      <c r="Q1741" s="3" t="s">
        <v>1597</v>
      </c>
      <c r="R1741" s="3" t="s">
        <v>1610</v>
      </c>
      <c r="S1741" s="3" t="s">
        <v>1611</v>
      </c>
      <c r="T1741" s="3"/>
    </row>
    <row r="1742" spans="1:20">
      <c r="A1742" s="3" t="s">
        <v>1604</v>
      </c>
      <c r="B1742" s="3" t="s">
        <v>1601</v>
      </c>
      <c r="C1742" s="3" t="s">
        <v>1596</v>
      </c>
      <c r="D1742" s="3" t="s">
        <v>784</v>
      </c>
      <c r="E1742" s="3" t="s">
        <v>785</v>
      </c>
      <c r="F1742" s="2">
        <v>1</v>
      </c>
      <c r="G1742" s="4">
        <v>1.0569950782101216</v>
      </c>
      <c r="H1742" s="2">
        <v>25</v>
      </c>
      <c r="I1742" s="2">
        <v>30</v>
      </c>
      <c r="J1742" s="2">
        <v>16</v>
      </c>
      <c r="K1742" s="4">
        <v>1</v>
      </c>
      <c r="L1742" s="4">
        <v>9.5120685149525458E-2</v>
      </c>
      <c r="M1742" s="4">
        <v>9.5120685149525458E-2</v>
      </c>
      <c r="N1742" s="10">
        <v>9.5000000000000001E-2</v>
      </c>
      <c r="O1742" s="4">
        <v>0.47303241822790637</v>
      </c>
      <c r="P1742" s="4">
        <v>0.47</v>
      </c>
      <c r="Q1742" s="3" t="s">
        <v>1597</v>
      </c>
      <c r="R1742" s="3" t="s">
        <v>1602</v>
      </c>
      <c r="S1742" s="3" t="s">
        <v>1603</v>
      </c>
      <c r="T1742" s="3"/>
    </row>
    <row r="1743" spans="1:20">
      <c r="A1743" s="3" t="s">
        <v>1600</v>
      </c>
      <c r="B1743" s="3" t="s">
        <v>1606</v>
      </c>
      <c r="C1743" s="3" t="s">
        <v>1596</v>
      </c>
      <c r="D1743" s="3" t="s">
        <v>784</v>
      </c>
      <c r="E1743" s="3" t="s">
        <v>785</v>
      </c>
      <c r="F1743" s="2">
        <v>1</v>
      </c>
      <c r="G1743" s="4">
        <v>1.0569950782101216</v>
      </c>
      <c r="H1743" s="2">
        <v>25</v>
      </c>
      <c r="I1743" s="2">
        <v>5</v>
      </c>
      <c r="J1743" s="2">
        <v>16</v>
      </c>
      <c r="K1743" s="11">
        <v>1</v>
      </c>
      <c r="L1743" s="11">
        <v>8.5514125513103223E-2</v>
      </c>
      <c r="M1743" s="4">
        <v>8.5514125513103223E-2</v>
      </c>
      <c r="N1743" s="10">
        <v>8.5999999999999993E-2</v>
      </c>
      <c r="O1743" s="4">
        <v>0.42501160858535009</v>
      </c>
      <c r="P1743" s="4">
        <v>0.43</v>
      </c>
      <c r="Q1743" s="3" t="s">
        <v>1597</v>
      </c>
      <c r="R1743" s="3" t="s">
        <v>1607</v>
      </c>
      <c r="S1743" s="3" t="s">
        <v>1608</v>
      </c>
      <c r="T1743" s="3"/>
    </row>
    <row r="1744" spans="1:20">
      <c r="A1744" s="3" t="s">
        <v>1594</v>
      </c>
      <c r="B1744" s="3" t="s">
        <v>1612</v>
      </c>
      <c r="C1744" s="3" t="s">
        <v>1596</v>
      </c>
      <c r="D1744" s="3" t="s">
        <v>784</v>
      </c>
      <c r="E1744" s="3" t="s">
        <v>785</v>
      </c>
      <c r="F1744" s="2">
        <v>1</v>
      </c>
      <c r="G1744" s="4">
        <v>1.0569950782101216</v>
      </c>
      <c r="H1744" s="2">
        <v>50</v>
      </c>
      <c r="I1744" s="2">
        <v>5</v>
      </c>
      <c r="J1744" s="2">
        <v>16</v>
      </c>
      <c r="K1744" s="4">
        <v>0.21440229420828827</v>
      </c>
      <c r="L1744" s="14">
        <v>7.1740862584693796E-2</v>
      </c>
      <c r="M1744" s="4">
        <v>7.1740862584693796E-2</v>
      </c>
      <c r="N1744" s="10">
        <v>7.1999999999999995E-2</v>
      </c>
      <c r="O1744" s="4">
        <v>0.38617452698413135</v>
      </c>
      <c r="P1744" s="4">
        <v>0.39</v>
      </c>
      <c r="Q1744" s="3" t="s">
        <v>1597</v>
      </c>
      <c r="R1744" s="3" t="s">
        <v>1613</v>
      </c>
      <c r="S1744" s="3" t="s">
        <v>1614</v>
      </c>
      <c r="T1744" s="3"/>
    </row>
    <row r="1745" spans="1:20">
      <c r="A1745" s="12" t="s">
        <v>1605</v>
      </c>
      <c r="B1745" s="3" t="s">
        <v>1601</v>
      </c>
      <c r="C1745" s="3" t="s">
        <v>1596</v>
      </c>
      <c r="D1745" s="3" t="s">
        <v>784</v>
      </c>
      <c r="E1745" s="3" t="s">
        <v>785</v>
      </c>
      <c r="F1745" s="2">
        <v>1</v>
      </c>
      <c r="G1745" s="4">
        <v>1.0569950782101216</v>
      </c>
      <c r="H1745" s="2">
        <v>25</v>
      </c>
      <c r="I1745" s="2">
        <v>5</v>
      </c>
      <c r="J1745" s="2">
        <v>16</v>
      </c>
      <c r="K1745" s="11">
        <v>1</v>
      </c>
      <c r="L1745" s="11">
        <v>2.567032010305088E-2</v>
      </c>
      <c r="M1745" s="4">
        <v>2.567032010305088E-2</v>
      </c>
      <c r="N1745" s="10">
        <v>2.5999999999999999E-2</v>
      </c>
      <c r="O1745" s="4">
        <v>0.12729978011773663</v>
      </c>
      <c r="P1745" s="4">
        <v>0.13</v>
      </c>
      <c r="Q1745" s="3" t="s">
        <v>1597</v>
      </c>
      <c r="R1745" s="3" t="s">
        <v>1602</v>
      </c>
      <c r="S1745" s="3" t="s">
        <v>1603</v>
      </c>
      <c r="T1745" s="3"/>
    </row>
    <row r="1746" spans="1:20">
      <c r="A1746" s="3" t="s">
        <v>1594</v>
      </c>
      <c r="B1746" s="3" t="s">
        <v>1595</v>
      </c>
      <c r="C1746" s="3" t="s">
        <v>1596</v>
      </c>
      <c r="D1746" s="3" t="s">
        <v>784</v>
      </c>
      <c r="E1746" s="3" t="s">
        <v>785</v>
      </c>
      <c r="F1746" s="2">
        <v>1</v>
      </c>
      <c r="G1746" s="4">
        <v>1.0569950782101216</v>
      </c>
      <c r="H1746" s="2">
        <v>50</v>
      </c>
      <c r="I1746" s="2">
        <v>5</v>
      </c>
      <c r="J1746" s="2">
        <v>16</v>
      </c>
      <c r="K1746" s="4">
        <v>1</v>
      </c>
      <c r="L1746" s="14">
        <v>-2.271473540526019E-2</v>
      </c>
      <c r="M1746" s="4">
        <v>2.271473540526019E-2</v>
      </c>
      <c r="N1746" s="10">
        <v>2.3E-2</v>
      </c>
      <c r="O1746" s="4">
        <v>0.12208229510701669</v>
      </c>
      <c r="P1746" s="4">
        <v>-0.12</v>
      </c>
      <c r="Q1746" s="3" t="s">
        <v>1617</v>
      </c>
      <c r="R1746" s="3" t="s">
        <v>1625</v>
      </c>
      <c r="S1746" s="3" t="s">
        <v>1626</v>
      </c>
      <c r="T1746" s="3"/>
    </row>
    <row r="1747" spans="1:20">
      <c r="A1747" s="3" t="s">
        <v>1600</v>
      </c>
      <c r="B1747" s="3" t="s">
        <v>1609</v>
      </c>
      <c r="C1747" s="3" t="s">
        <v>1596</v>
      </c>
      <c r="D1747" s="3" t="s">
        <v>784</v>
      </c>
      <c r="E1747" s="3" t="s">
        <v>785</v>
      </c>
      <c r="F1747" s="2">
        <v>1</v>
      </c>
      <c r="G1747" s="4">
        <v>1.0569950782101216</v>
      </c>
      <c r="H1747" s="2">
        <v>25</v>
      </c>
      <c r="I1747" s="2">
        <v>5</v>
      </c>
      <c r="J1747" s="2">
        <v>16</v>
      </c>
      <c r="K1747" s="4">
        <v>0.46240839638936637</v>
      </c>
      <c r="L1747" s="4">
        <v>-3.8730219704709225E-2</v>
      </c>
      <c r="M1747" s="4">
        <v>3.8730219704709225E-2</v>
      </c>
      <c r="N1747" s="10">
        <v>3.9E-2</v>
      </c>
      <c r="O1747" s="4">
        <v>0.19211806352054436</v>
      </c>
      <c r="P1747" s="4">
        <v>-0.19</v>
      </c>
      <c r="Q1747" s="3" t="s">
        <v>1617</v>
      </c>
      <c r="R1747" s="3" t="s">
        <v>1623</v>
      </c>
      <c r="S1747" s="3" t="s">
        <v>1624</v>
      </c>
      <c r="T1747" s="3"/>
    </row>
    <row r="1748" spans="1:20">
      <c r="A1748" s="3" t="s">
        <v>1600</v>
      </c>
      <c r="B1748" s="3" t="s">
        <v>1606</v>
      </c>
      <c r="C1748" s="3" t="s">
        <v>1596</v>
      </c>
      <c r="D1748" s="3" t="s">
        <v>784</v>
      </c>
      <c r="E1748" s="3" t="s">
        <v>785</v>
      </c>
      <c r="F1748" s="2">
        <v>1</v>
      </c>
      <c r="G1748" s="4">
        <v>1.0569950782101216</v>
      </c>
      <c r="H1748" s="2">
        <v>25</v>
      </c>
      <c r="I1748" s="2">
        <v>5</v>
      </c>
      <c r="J1748" s="2">
        <v>1</v>
      </c>
      <c r="K1748" s="11">
        <v>0.34565752582736897</v>
      </c>
      <c r="L1748" s="11">
        <v>-0.10058632663516821</v>
      </c>
      <c r="M1748" s="4">
        <v>0.10058632663516821</v>
      </c>
      <c r="N1748" s="10">
        <v>0.10100000000000001</v>
      </c>
      <c r="O1748" s="4">
        <v>0.50039277543575522</v>
      </c>
      <c r="P1748" s="4">
        <v>-0.5</v>
      </c>
      <c r="Q1748" s="3" t="s">
        <v>1617</v>
      </c>
      <c r="R1748" s="3" t="s">
        <v>1621</v>
      </c>
      <c r="S1748" s="3" t="s">
        <v>1622</v>
      </c>
      <c r="T1748" s="3"/>
    </row>
    <row r="1749" spans="1:20">
      <c r="A1749" s="3" t="s">
        <v>1600</v>
      </c>
      <c r="B1749" s="3" t="s">
        <v>1601</v>
      </c>
      <c r="C1749" s="3" t="s">
        <v>1616</v>
      </c>
      <c r="D1749" s="3" t="s">
        <v>58</v>
      </c>
      <c r="E1749" s="3" t="s">
        <v>59</v>
      </c>
      <c r="F1749" s="2">
        <v>1</v>
      </c>
      <c r="G1749" s="4">
        <v>1.057101971102802</v>
      </c>
      <c r="H1749" s="2">
        <v>25</v>
      </c>
      <c r="I1749" s="2">
        <v>5</v>
      </c>
      <c r="J1749" s="2">
        <v>1</v>
      </c>
      <c r="K1749" s="4">
        <v>1</v>
      </c>
      <c r="L1749" s="4">
        <v>0.92791076813980122</v>
      </c>
      <c r="M1749" s="4">
        <v>0.92791076813980122</v>
      </c>
      <c r="N1749" s="10">
        <v>0.92800000000000005</v>
      </c>
      <c r="O1749" s="4">
        <v>8.1466021485716986</v>
      </c>
      <c r="P1749" s="4">
        <v>8.15</v>
      </c>
      <c r="Q1749" s="3" t="s">
        <v>1597</v>
      </c>
      <c r="R1749" s="3" t="s">
        <v>1602</v>
      </c>
      <c r="S1749" s="3" t="s">
        <v>1603</v>
      </c>
      <c r="T1749" s="3"/>
    </row>
    <row r="1750" spans="1:20">
      <c r="A1750" s="3" t="s">
        <v>1600</v>
      </c>
      <c r="B1750" s="3" t="s">
        <v>1606</v>
      </c>
      <c r="C1750" s="3" t="s">
        <v>1616</v>
      </c>
      <c r="D1750" s="3" t="s">
        <v>58</v>
      </c>
      <c r="E1750" s="3" t="s">
        <v>59</v>
      </c>
      <c r="F1750" s="2">
        <v>1</v>
      </c>
      <c r="G1750" s="4">
        <v>1.057101971102802</v>
      </c>
      <c r="H1750" s="2">
        <v>25</v>
      </c>
      <c r="I1750" s="2">
        <v>5</v>
      </c>
      <c r="J1750" s="2">
        <v>16</v>
      </c>
      <c r="K1750" s="11">
        <v>1</v>
      </c>
      <c r="L1750" s="11">
        <v>0.92240073607473994</v>
      </c>
      <c r="M1750" s="4">
        <v>0.92240073607473994</v>
      </c>
      <c r="N1750" s="10">
        <v>0.92200000000000004</v>
      </c>
      <c r="O1750" s="4">
        <v>7.9569229485401864</v>
      </c>
      <c r="P1750" s="4">
        <v>7.94</v>
      </c>
      <c r="Q1750" s="3" t="s">
        <v>1597</v>
      </c>
      <c r="R1750" s="3" t="s">
        <v>1607</v>
      </c>
      <c r="S1750" s="3" t="s">
        <v>1608</v>
      </c>
      <c r="T1750" s="3"/>
    </row>
    <row r="1751" spans="1:20">
      <c r="A1751" s="3" t="s">
        <v>1600</v>
      </c>
      <c r="B1751" s="3" t="s">
        <v>1609</v>
      </c>
      <c r="C1751" s="3" t="s">
        <v>1596</v>
      </c>
      <c r="D1751" s="3" t="s">
        <v>58</v>
      </c>
      <c r="E1751" s="3" t="s">
        <v>59</v>
      </c>
      <c r="F1751" s="2">
        <v>1</v>
      </c>
      <c r="G1751" s="4">
        <v>1.057101971102802</v>
      </c>
      <c r="H1751" s="2">
        <v>25</v>
      </c>
      <c r="I1751" s="2">
        <v>5</v>
      </c>
      <c r="J1751" s="2">
        <v>1</v>
      </c>
      <c r="K1751" s="11">
        <v>1</v>
      </c>
      <c r="L1751" s="11">
        <v>0.91474129081285749</v>
      </c>
      <c r="M1751" s="4">
        <v>0.91474129081285749</v>
      </c>
      <c r="N1751" s="10">
        <v>0.91500000000000004</v>
      </c>
      <c r="O1751" s="4">
        <v>7.7136751858179835</v>
      </c>
      <c r="P1751" s="4">
        <v>7.72</v>
      </c>
      <c r="Q1751" s="3" t="s">
        <v>1597</v>
      </c>
      <c r="R1751" s="3" t="s">
        <v>1610</v>
      </c>
      <c r="S1751" s="3" t="s">
        <v>1611</v>
      </c>
      <c r="T1751" s="3"/>
    </row>
    <row r="1752" spans="1:20">
      <c r="A1752" s="3" t="s">
        <v>1600</v>
      </c>
      <c r="B1752" s="3" t="s">
        <v>1601</v>
      </c>
      <c r="C1752" s="3" t="s">
        <v>1616</v>
      </c>
      <c r="D1752" s="3" t="s">
        <v>58</v>
      </c>
      <c r="E1752" s="3" t="s">
        <v>59</v>
      </c>
      <c r="F1752" s="2">
        <v>1</v>
      </c>
      <c r="G1752" s="4">
        <v>1.057101971102802</v>
      </c>
      <c r="H1752" s="2">
        <v>25</v>
      </c>
      <c r="I1752" s="2">
        <v>5</v>
      </c>
      <c r="J1752" s="2">
        <v>16</v>
      </c>
      <c r="K1752" s="4">
        <v>1</v>
      </c>
      <c r="L1752" s="4">
        <v>0.90896744367269433</v>
      </c>
      <c r="M1752" s="4">
        <v>0.90896744367269433</v>
      </c>
      <c r="N1752" s="10">
        <v>0.90900000000000003</v>
      </c>
      <c r="O1752" s="4">
        <v>7.5437494541579673</v>
      </c>
      <c r="P1752" s="4">
        <v>7.54</v>
      </c>
      <c r="Q1752" s="3" t="s">
        <v>1597</v>
      </c>
      <c r="R1752" s="3" t="s">
        <v>1602</v>
      </c>
      <c r="S1752" s="3" t="s">
        <v>1603</v>
      </c>
      <c r="T1752" s="3"/>
    </row>
    <row r="1753" spans="1:20">
      <c r="A1753" s="3" t="s">
        <v>1600</v>
      </c>
      <c r="B1753" s="3" t="s">
        <v>1606</v>
      </c>
      <c r="C1753" s="3" t="s">
        <v>1616</v>
      </c>
      <c r="D1753" s="3" t="s">
        <v>58</v>
      </c>
      <c r="E1753" s="3" t="s">
        <v>59</v>
      </c>
      <c r="F1753" s="2">
        <v>1</v>
      </c>
      <c r="G1753" s="4">
        <v>1.057101971102802</v>
      </c>
      <c r="H1753" s="2">
        <v>25</v>
      </c>
      <c r="I1753" s="2">
        <v>5</v>
      </c>
      <c r="J1753" s="2">
        <v>1</v>
      </c>
      <c r="K1753" s="4">
        <v>1</v>
      </c>
      <c r="L1753" s="4">
        <v>0.90544728686242582</v>
      </c>
      <c r="M1753" s="4">
        <v>0.90544728686242582</v>
      </c>
      <c r="N1753" s="10">
        <v>0.90500000000000003</v>
      </c>
      <c r="O1753" s="4">
        <v>7.4451212293545534</v>
      </c>
      <c r="P1753" s="4">
        <v>7.43</v>
      </c>
      <c r="Q1753" s="3" t="s">
        <v>1597</v>
      </c>
      <c r="R1753" s="3" t="s">
        <v>1607</v>
      </c>
      <c r="S1753" s="3" t="s">
        <v>1608</v>
      </c>
      <c r="T1753" s="3"/>
    </row>
    <row r="1754" spans="1:20">
      <c r="A1754" s="3" t="s">
        <v>1600</v>
      </c>
      <c r="B1754" s="3" t="s">
        <v>1601</v>
      </c>
      <c r="C1754" s="3" t="s">
        <v>1596</v>
      </c>
      <c r="D1754" s="3" t="s">
        <v>58</v>
      </c>
      <c r="E1754" s="3" t="s">
        <v>59</v>
      </c>
      <c r="F1754" s="2">
        <v>1</v>
      </c>
      <c r="G1754" s="4">
        <v>1.057101971102802</v>
      </c>
      <c r="H1754" s="2">
        <v>25</v>
      </c>
      <c r="I1754" s="2">
        <v>5</v>
      </c>
      <c r="J1754" s="2">
        <v>16</v>
      </c>
      <c r="K1754" s="4">
        <v>1</v>
      </c>
      <c r="L1754" s="4">
        <v>0.86639026725518886</v>
      </c>
      <c r="M1754" s="4">
        <v>0.86639026725518886</v>
      </c>
      <c r="N1754" s="10">
        <v>0.86599999999999999</v>
      </c>
      <c r="O1754" s="4">
        <v>6.5366384703744895</v>
      </c>
      <c r="P1754" s="4">
        <v>6.53</v>
      </c>
      <c r="Q1754" s="3" t="s">
        <v>1597</v>
      </c>
      <c r="R1754" s="3" t="s">
        <v>1602</v>
      </c>
      <c r="S1754" s="3" t="s">
        <v>1603</v>
      </c>
      <c r="T1754" s="3"/>
    </row>
    <row r="1755" spans="1:20">
      <c r="A1755" s="3" t="s">
        <v>1600</v>
      </c>
      <c r="B1755" s="3" t="s">
        <v>1606</v>
      </c>
      <c r="C1755" s="3" t="s">
        <v>1596</v>
      </c>
      <c r="D1755" s="3" t="s">
        <v>58</v>
      </c>
      <c r="E1755" s="3" t="s">
        <v>59</v>
      </c>
      <c r="F1755" s="2">
        <v>1</v>
      </c>
      <c r="G1755" s="4">
        <v>1.057101971102802</v>
      </c>
      <c r="H1755" s="2">
        <v>25</v>
      </c>
      <c r="I1755" s="2">
        <v>5</v>
      </c>
      <c r="J1755" s="2">
        <v>16</v>
      </c>
      <c r="K1755" s="11">
        <v>1</v>
      </c>
      <c r="L1755" s="11">
        <v>0.864869399854578</v>
      </c>
      <c r="M1755" s="4">
        <v>0.864869399854578</v>
      </c>
      <c r="N1755" s="10">
        <v>0.86499999999999999</v>
      </c>
      <c r="O1755" s="4">
        <v>6.5065591311572888</v>
      </c>
      <c r="P1755" s="4">
        <v>6.51</v>
      </c>
      <c r="Q1755" s="3" t="s">
        <v>1597</v>
      </c>
      <c r="R1755" s="3" t="s">
        <v>1607</v>
      </c>
      <c r="S1755" s="3" t="s">
        <v>1608</v>
      </c>
      <c r="T1755" s="3"/>
    </row>
    <row r="1756" spans="1:20">
      <c r="A1756" s="12" t="s">
        <v>1605</v>
      </c>
      <c r="B1756" s="3" t="s">
        <v>1601</v>
      </c>
      <c r="C1756" s="3" t="s">
        <v>1596</v>
      </c>
      <c r="D1756" s="3" t="s">
        <v>58</v>
      </c>
      <c r="E1756" s="3" t="s">
        <v>59</v>
      </c>
      <c r="F1756" s="2">
        <v>1</v>
      </c>
      <c r="G1756" s="4">
        <v>1.057101971102802</v>
      </c>
      <c r="H1756" s="2">
        <v>25</v>
      </c>
      <c r="I1756" s="2">
        <v>5</v>
      </c>
      <c r="J1756" s="2">
        <v>16</v>
      </c>
      <c r="K1756" s="11">
        <v>1</v>
      </c>
      <c r="L1756" s="11">
        <v>0.86462954448885487</v>
      </c>
      <c r="M1756" s="4">
        <v>0.86462954448885487</v>
      </c>
      <c r="N1756" s="10">
        <v>0.86499999999999999</v>
      </c>
      <c r="O1756" s="4">
        <v>6.5018440298318332</v>
      </c>
      <c r="P1756" s="4">
        <v>6.51</v>
      </c>
      <c r="Q1756" s="3" t="s">
        <v>1597</v>
      </c>
      <c r="R1756" s="3" t="s">
        <v>1602</v>
      </c>
      <c r="S1756" s="3" t="s">
        <v>1603</v>
      </c>
      <c r="T1756" s="3"/>
    </row>
    <row r="1757" spans="1:20">
      <c r="A1757" s="3" t="s">
        <v>1600</v>
      </c>
      <c r="B1757" s="3" t="s">
        <v>1601</v>
      </c>
      <c r="C1757" s="3" t="s">
        <v>1596</v>
      </c>
      <c r="D1757" s="3" t="s">
        <v>58</v>
      </c>
      <c r="E1757" s="3" t="s">
        <v>59</v>
      </c>
      <c r="F1757" s="2">
        <v>1</v>
      </c>
      <c r="G1757" s="4">
        <v>1.057101971102802</v>
      </c>
      <c r="H1757" s="2">
        <v>25</v>
      </c>
      <c r="I1757" s="2">
        <v>5</v>
      </c>
      <c r="J1757" s="2">
        <v>1</v>
      </c>
      <c r="K1757" s="4">
        <v>1</v>
      </c>
      <c r="L1757" s="4">
        <v>0.85917575216044317</v>
      </c>
      <c r="M1757" s="4">
        <v>0.85917575216044317</v>
      </c>
      <c r="N1757" s="10">
        <v>0.85899999999999999</v>
      </c>
      <c r="O1757" s="4">
        <v>6.3966696881000535</v>
      </c>
      <c r="P1757" s="4">
        <v>6.39</v>
      </c>
      <c r="Q1757" s="3" t="s">
        <v>1597</v>
      </c>
      <c r="R1757" s="3" t="s">
        <v>1602</v>
      </c>
      <c r="S1757" s="3" t="s">
        <v>1603</v>
      </c>
      <c r="T1757" s="3"/>
    </row>
    <row r="1758" spans="1:20">
      <c r="A1758" s="3" t="s">
        <v>1600</v>
      </c>
      <c r="B1758" s="3" t="s">
        <v>1606</v>
      </c>
      <c r="C1758" s="3" t="s">
        <v>1596</v>
      </c>
      <c r="D1758" s="3" t="s">
        <v>58</v>
      </c>
      <c r="E1758" s="3" t="s">
        <v>59</v>
      </c>
      <c r="F1758" s="2">
        <v>1</v>
      </c>
      <c r="G1758" s="4">
        <v>1.057101971102802</v>
      </c>
      <c r="H1758" s="2">
        <v>25</v>
      </c>
      <c r="I1758" s="2">
        <v>5</v>
      </c>
      <c r="J1758" s="2">
        <v>1</v>
      </c>
      <c r="K1758" s="11">
        <v>0.84199518443060883</v>
      </c>
      <c r="L1758" s="11">
        <v>0.82651018294787715</v>
      </c>
      <c r="M1758" s="4">
        <v>0.82651018294787715</v>
      </c>
      <c r="N1758" s="10">
        <v>0.82699999999999996</v>
      </c>
      <c r="O1758" s="4">
        <v>5.8355989562816148</v>
      </c>
      <c r="P1758" s="4">
        <v>5.84</v>
      </c>
      <c r="Q1758" s="3" t="s">
        <v>1597</v>
      </c>
      <c r="R1758" s="3" t="s">
        <v>1607</v>
      </c>
      <c r="S1758" s="3" t="s">
        <v>1608</v>
      </c>
      <c r="T1758" s="3"/>
    </row>
    <row r="1759" spans="1:20">
      <c r="A1759" s="3" t="s">
        <v>1600</v>
      </c>
      <c r="B1759" s="3" t="s">
        <v>1609</v>
      </c>
      <c r="C1759" s="3" t="s">
        <v>1616</v>
      </c>
      <c r="D1759" s="3" t="s">
        <v>58</v>
      </c>
      <c r="E1759" s="3" t="s">
        <v>59</v>
      </c>
      <c r="F1759" s="2">
        <v>1</v>
      </c>
      <c r="G1759" s="4">
        <v>1.057101971102802</v>
      </c>
      <c r="H1759" s="2">
        <v>25</v>
      </c>
      <c r="I1759" s="2">
        <v>5</v>
      </c>
      <c r="J1759" s="2">
        <v>1</v>
      </c>
      <c r="K1759" s="4">
        <v>1</v>
      </c>
      <c r="L1759" s="4">
        <v>0.79978012432749979</v>
      </c>
      <c r="M1759" s="4">
        <v>0.79978012432749979</v>
      </c>
      <c r="N1759" s="10">
        <v>0.8</v>
      </c>
      <c r="O1759" s="4">
        <v>5.4438231412843212</v>
      </c>
      <c r="P1759" s="4">
        <v>5.45</v>
      </c>
      <c r="Q1759" s="3" t="s">
        <v>1597</v>
      </c>
      <c r="R1759" s="3" t="s">
        <v>1610</v>
      </c>
      <c r="S1759" s="3" t="s">
        <v>1611</v>
      </c>
      <c r="T1759" s="3"/>
    </row>
    <row r="1760" spans="1:20">
      <c r="A1760" s="3" t="s">
        <v>1600</v>
      </c>
      <c r="B1760" s="3" t="s">
        <v>1609</v>
      </c>
      <c r="C1760" s="3" t="s">
        <v>1616</v>
      </c>
      <c r="D1760" s="3" t="s">
        <v>58</v>
      </c>
      <c r="E1760" s="3" t="s">
        <v>59</v>
      </c>
      <c r="F1760" s="2">
        <v>1</v>
      </c>
      <c r="G1760" s="4">
        <v>1.057101971102802</v>
      </c>
      <c r="H1760" s="2">
        <v>25</v>
      </c>
      <c r="I1760" s="2">
        <v>5</v>
      </c>
      <c r="J1760" s="2">
        <v>16</v>
      </c>
      <c r="K1760" s="11">
        <v>1</v>
      </c>
      <c r="L1760" s="11">
        <v>0.78522876997640445</v>
      </c>
      <c r="M1760" s="4">
        <v>0.78522876997640445</v>
      </c>
      <c r="N1760" s="10">
        <v>0.78500000000000003</v>
      </c>
      <c r="O1760" s="4">
        <v>5.2497813892620542</v>
      </c>
      <c r="P1760" s="4">
        <v>5.25</v>
      </c>
      <c r="Q1760" s="3" t="s">
        <v>1597</v>
      </c>
      <c r="R1760" s="3" t="s">
        <v>1610</v>
      </c>
      <c r="S1760" s="3" t="s">
        <v>1611</v>
      </c>
      <c r="T1760" s="3"/>
    </row>
    <row r="1761" spans="1:20">
      <c r="A1761" s="3" t="s">
        <v>1594</v>
      </c>
      <c r="B1761" s="3" t="s">
        <v>1595</v>
      </c>
      <c r="C1761" s="3" t="s">
        <v>1596</v>
      </c>
      <c r="D1761" s="3" t="s">
        <v>58</v>
      </c>
      <c r="E1761" s="3" t="s">
        <v>59</v>
      </c>
      <c r="F1761" s="2">
        <v>1</v>
      </c>
      <c r="G1761" s="4">
        <v>1.057101971102802</v>
      </c>
      <c r="H1761" s="2">
        <v>50</v>
      </c>
      <c r="I1761" s="2">
        <v>5</v>
      </c>
      <c r="J1761" s="2">
        <v>16</v>
      </c>
      <c r="K1761" s="4">
        <v>1</v>
      </c>
      <c r="L1761" s="14">
        <v>0.7640159951748976</v>
      </c>
      <c r="M1761" s="4">
        <v>0.7640159951748976</v>
      </c>
      <c r="N1761" s="10">
        <v>0.76400000000000001</v>
      </c>
      <c r="O1761" s="4">
        <v>5.4047863421917031</v>
      </c>
      <c r="P1761" s="4">
        <v>5.4</v>
      </c>
      <c r="Q1761" s="3" t="s">
        <v>1597</v>
      </c>
      <c r="R1761" s="3" t="s">
        <v>1598</v>
      </c>
      <c r="S1761" s="3" t="s">
        <v>1599</v>
      </c>
      <c r="T1761" s="3"/>
    </row>
    <row r="1762" spans="1:20">
      <c r="A1762" s="3" t="s">
        <v>1604</v>
      </c>
      <c r="B1762" s="3" t="s">
        <v>1601</v>
      </c>
      <c r="C1762" s="3" t="s">
        <v>1616</v>
      </c>
      <c r="D1762" s="3" t="s">
        <v>58</v>
      </c>
      <c r="E1762" s="3" t="s">
        <v>59</v>
      </c>
      <c r="F1762" s="2">
        <v>1</v>
      </c>
      <c r="G1762" s="4">
        <v>1.057101971102802</v>
      </c>
      <c r="H1762" s="2">
        <v>25</v>
      </c>
      <c r="I1762" s="2">
        <v>30</v>
      </c>
      <c r="J1762" s="2">
        <v>16</v>
      </c>
      <c r="K1762" s="4">
        <v>1</v>
      </c>
      <c r="L1762" s="4">
        <v>0.76197942851130285</v>
      </c>
      <c r="M1762" s="4">
        <v>0.76197942851130285</v>
      </c>
      <c r="N1762" s="10">
        <v>0.76200000000000001</v>
      </c>
      <c r="O1762" s="4">
        <v>4.9624878014766258</v>
      </c>
      <c r="P1762" s="4">
        <v>4.96</v>
      </c>
      <c r="Q1762" s="3" t="s">
        <v>1597</v>
      </c>
      <c r="R1762" s="3" t="s">
        <v>1602</v>
      </c>
      <c r="S1762" s="3" t="s">
        <v>1603</v>
      </c>
      <c r="T1762" s="3"/>
    </row>
    <row r="1763" spans="1:20">
      <c r="A1763" s="3" t="s">
        <v>1604</v>
      </c>
      <c r="B1763" s="3" t="s">
        <v>1601</v>
      </c>
      <c r="C1763" s="3" t="s">
        <v>1596</v>
      </c>
      <c r="D1763" s="3" t="s">
        <v>58</v>
      </c>
      <c r="E1763" s="3" t="s">
        <v>59</v>
      </c>
      <c r="F1763" s="2">
        <v>1</v>
      </c>
      <c r="G1763" s="4">
        <v>1.057101971102802</v>
      </c>
      <c r="H1763" s="2">
        <v>25</v>
      </c>
      <c r="I1763" s="2">
        <v>30</v>
      </c>
      <c r="J1763" s="2">
        <v>16</v>
      </c>
      <c r="K1763" s="4">
        <v>1</v>
      </c>
      <c r="L1763" s="4">
        <v>0.58756010240570944</v>
      </c>
      <c r="M1763" s="4">
        <v>0.58756010240570944</v>
      </c>
      <c r="N1763" s="10">
        <v>0.58799999999999997</v>
      </c>
      <c r="O1763" s="4">
        <v>3.3413097228998669</v>
      </c>
      <c r="P1763" s="4">
        <v>3.34</v>
      </c>
      <c r="Q1763" s="3" t="s">
        <v>1597</v>
      </c>
      <c r="R1763" s="3" t="s">
        <v>1602</v>
      </c>
      <c r="S1763" s="3" t="s">
        <v>1603</v>
      </c>
      <c r="T1763" s="3"/>
    </row>
    <row r="1764" spans="1:20">
      <c r="A1764" s="3" t="s">
        <v>1600</v>
      </c>
      <c r="B1764" s="3" t="s">
        <v>1609</v>
      </c>
      <c r="C1764" s="3" t="s">
        <v>1596</v>
      </c>
      <c r="D1764" s="3" t="s">
        <v>58</v>
      </c>
      <c r="E1764" s="3" t="s">
        <v>59</v>
      </c>
      <c r="F1764" s="2">
        <v>1</v>
      </c>
      <c r="G1764" s="4">
        <v>1.057101971102802</v>
      </c>
      <c r="H1764" s="2">
        <v>25</v>
      </c>
      <c r="I1764" s="2">
        <v>5</v>
      </c>
      <c r="J1764" s="2">
        <v>16</v>
      </c>
      <c r="K1764" s="4">
        <v>1</v>
      </c>
      <c r="L1764" s="4">
        <v>0.51191891305911641</v>
      </c>
      <c r="M1764" s="4">
        <v>0.51191891305911641</v>
      </c>
      <c r="N1764" s="10">
        <v>0.51200000000000001</v>
      </c>
      <c r="O1764" s="4">
        <v>2.802853727528503</v>
      </c>
      <c r="P1764" s="4">
        <v>2.8</v>
      </c>
      <c r="Q1764" s="3" t="s">
        <v>1597</v>
      </c>
      <c r="R1764" s="3" t="s">
        <v>1610</v>
      </c>
      <c r="S1764" s="3" t="s">
        <v>1611</v>
      </c>
      <c r="T1764" s="3"/>
    </row>
    <row r="1765" spans="1:20">
      <c r="A1765" s="3" t="s">
        <v>1594</v>
      </c>
      <c r="B1765" s="3" t="s">
        <v>1612</v>
      </c>
      <c r="C1765" s="3" t="s">
        <v>1596</v>
      </c>
      <c r="D1765" s="3" t="s">
        <v>58</v>
      </c>
      <c r="E1765" s="3" t="s">
        <v>59</v>
      </c>
      <c r="F1765" s="2">
        <v>1</v>
      </c>
      <c r="G1765" s="4">
        <v>1.057101971102802</v>
      </c>
      <c r="H1765" s="2">
        <v>50</v>
      </c>
      <c r="I1765" s="2">
        <v>5</v>
      </c>
      <c r="J1765" s="2">
        <v>16</v>
      </c>
      <c r="K1765" s="4">
        <v>0.87234822507174925</v>
      </c>
      <c r="L1765" s="14">
        <v>7.5814489505544078E-2</v>
      </c>
      <c r="M1765" s="4">
        <v>7.5814489505544078E-2</v>
      </c>
      <c r="N1765" s="10">
        <v>7.5999999999999998E-2</v>
      </c>
      <c r="O1765" s="4">
        <v>0.40818465394968456</v>
      </c>
      <c r="P1765" s="4">
        <v>0.41</v>
      </c>
      <c r="Q1765" s="3" t="s">
        <v>1597</v>
      </c>
      <c r="R1765" s="3" t="s">
        <v>1613</v>
      </c>
      <c r="S1765" s="3" t="s">
        <v>1614</v>
      </c>
      <c r="T1765" s="3"/>
    </row>
    <row r="1766" spans="1:20">
      <c r="A1766" s="3" t="s">
        <v>1600</v>
      </c>
      <c r="B1766" s="3" t="s">
        <v>1601</v>
      </c>
      <c r="C1766" s="3" t="s">
        <v>1596</v>
      </c>
      <c r="D1766" s="3" t="s">
        <v>1396</v>
      </c>
      <c r="E1766" s="3" t="s">
        <v>1397</v>
      </c>
      <c r="F1766" s="2">
        <v>1</v>
      </c>
      <c r="G1766" s="4">
        <v>1.0573751919639485</v>
      </c>
      <c r="H1766" s="2">
        <v>25</v>
      </c>
      <c r="I1766" s="2">
        <v>5</v>
      </c>
      <c r="J1766" s="2">
        <v>1</v>
      </c>
      <c r="K1766" s="4">
        <v>2.4712622712284471E-2</v>
      </c>
      <c r="L1766" s="4">
        <v>1</v>
      </c>
      <c r="M1766" s="4">
        <v>1</v>
      </c>
      <c r="N1766" s="10">
        <v>0.995</v>
      </c>
      <c r="O1766" s="4">
        <v>14.85</v>
      </c>
      <c r="P1766" s="4">
        <v>14.85</v>
      </c>
      <c r="Q1766" s="3" t="s">
        <v>1597</v>
      </c>
      <c r="R1766" s="3" t="s">
        <v>1602</v>
      </c>
      <c r="S1766" s="3" t="s">
        <v>1603</v>
      </c>
      <c r="T1766" s="3"/>
    </row>
    <row r="1767" spans="1:20">
      <c r="A1767" s="3" t="s">
        <v>1605</v>
      </c>
      <c r="B1767" s="3" t="s">
        <v>1601</v>
      </c>
      <c r="C1767" s="3" t="s">
        <v>1596</v>
      </c>
      <c r="D1767" s="3" t="s">
        <v>1396</v>
      </c>
      <c r="E1767" s="3" t="s">
        <v>1397</v>
      </c>
      <c r="F1767" s="2">
        <v>1</v>
      </c>
      <c r="G1767" s="4">
        <v>1.0573751919639485</v>
      </c>
      <c r="H1767" s="2">
        <v>25</v>
      </c>
      <c r="I1767" s="2">
        <v>5</v>
      </c>
      <c r="J1767" s="2">
        <v>16</v>
      </c>
      <c r="K1767" s="4">
        <v>1</v>
      </c>
      <c r="L1767" s="4">
        <v>0.97960706379909046</v>
      </c>
      <c r="M1767" s="4">
        <v>0.97960706379909046</v>
      </c>
      <c r="N1767" s="10">
        <v>0.98</v>
      </c>
      <c r="O1767" s="4">
        <v>11.342432307101269</v>
      </c>
      <c r="P1767" s="4">
        <v>11.39</v>
      </c>
      <c r="Q1767" s="3" t="s">
        <v>1597</v>
      </c>
      <c r="R1767" s="3" t="s">
        <v>1602</v>
      </c>
      <c r="S1767" s="3" t="s">
        <v>1603</v>
      </c>
      <c r="T1767" s="3"/>
    </row>
    <row r="1768" spans="1:20">
      <c r="A1768" s="3" t="s">
        <v>1604</v>
      </c>
      <c r="B1768" s="3" t="s">
        <v>1601</v>
      </c>
      <c r="C1768" s="3" t="s">
        <v>1596</v>
      </c>
      <c r="D1768" s="3" t="s">
        <v>1396</v>
      </c>
      <c r="E1768" s="3" t="s">
        <v>1397</v>
      </c>
      <c r="F1768" s="2">
        <v>1</v>
      </c>
      <c r="G1768" s="4">
        <v>1.0573751919639485</v>
      </c>
      <c r="H1768" s="2">
        <v>25</v>
      </c>
      <c r="I1768" s="2">
        <v>30</v>
      </c>
      <c r="J1768" s="2">
        <v>16</v>
      </c>
      <c r="K1768" s="4">
        <v>1</v>
      </c>
      <c r="L1768" s="4">
        <v>0.97550025314758593</v>
      </c>
      <c r="M1768" s="4">
        <v>0.97550025314758593</v>
      </c>
      <c r="N1768" s="10">
        <v>0.97599999999999998</v>
      </c>
      <c r="O1768" s="4">
        <v>10.882457476398525</v>
      </c>
      <c r="P1768" s="4">
        <v>10.93</v>
      </c>
      <c r="Q1768" s="3" t="s">
        <v>1597</v>
      </c>
      <c r="R1768" s="3" t="s">
        <v>1602</v>
      </c>
      <c r="S1768" s="3" t="s">
        <v>1603</v>
      </c>
      <c r="T1768" s="3"/>
    </row>
    <row r="1769" spans="1:20">
      <c r="A1769" s="3" t="s">
        <v>1600</v>
      </c>
      <c r="B1769" s="3" t="s">
        <v>1601</v>
      </c>
      <c r="C1769" s="3" t="s">
        <v>1616</v>
      </c>
      <c r="D1769" s="3" t="s">
        <v>1396</v>
      </c>
      <c r="E1769" s="3" t="s">
        <v>1397</v>
      </c>
      <c r="F1769" s="2">
        <v>1</v>
      </c>
      <c r="G1769" s="4">
        <v>1.0573751919639485</v>
      </c>
      <c r="H1769" s="2">
        <v>25</v>
      </c>
      <c r="I1769" s="2">
        <v>5</v>
      </c>
      <c r="J1769" s="2">
        <v>16</v>
      </c>
      <c r="K1769" s="4">
        <v>1</v>
      </c>
      <c r="L1769" s="4">
        <v>0.97492662119644402</v>
      </c>
      <c r="M1769" s="4">
        <v>0.97492662119644402</v>
      </c>
      <c r="N1769" s="10">
        <v>0.97499999999999998</v>
      </c>
      <c r="O1769" s="4">
        <v>10.824364572431412</v>
      </c>
      <c r="P1769" s="4">
        <v>10.83</v>
      </c>
      <c r="Q1769" s="3" t="s">
        <v>1597</v>
      </c>
      <c r="R1769" s="3" t="s">
        <v>1602</v>
      </c>
      <c r="S1769" s="3" t="s">
        <v>1603</v>
      </c>
      <c r="T1769" s="3"/>
    </row>
    <row r="1770" spans="1:20">
      <c r="A1770" s="3" t="s">
        <v>1600</v>
      </c>
      <c r="B1770" s="3" t="s">
        <v>1606</v>
      </c>
      <c r="C1770" s="3" t="s">
        <v>1616</v>
      </c>
      <c r="D1770" s="3" t="s">
        <v>1396</v>
      </c>
      <c r="E1770" s="3" t="s">
        <v>1397</v>
      </c>
      <c r="F1770" s="2">
        <v>1</v>
      </c>
      <c r="G1770" s="4">
        <v>1.0573751919639485</v>
      </c>
      <c r="H1770" s="2">
        <v>25</v>
      </c>
      <c r="I1770" s="2">
        <v>5</v>
      </c>
      <c r="J1770" s="2">
        <v>16</v>
      </c>
      <c r="K1770" s="4">
        <v>1</v>
      </c>
      <c r="L1770" s="4">
        <v>0.97049439486794142</v>
      </c>
      <c r="M1770" s="4">
        <v>0.97049439486794142</v>
      </c>
      <c r="N1770" s="10">
        <v>0.97</v>
      </c>
      <c r="O1770" s="4">
        <v>10.415284394838569</v>
      </c>
      <c r="P1770" s="4">
        <v>10.37</v>
      </c>
      <c r="Q1770" s="3" t="s">
        <v>1597</v>
      </c>
      <c r="R1770" s="3" t="s">
        <v>1607</v>
      </c>
      <c r="S1770" s="3" t="s">
        <v>1608</v>
      </c>
      <c r="T1770" s="3"/>
    </row>
    <row r="1771" spans="1:20">
      <c r="A1771" s="3" t="s">
        <v>1600</v>
      </c>
      <c r="B1771" s="3" t="s">
        <v>1606</v>
      </c>
      <c r="C1771" s="3" t="s">
        <v>1596</v>
      </c>
      <c r="D1771" s="3" t="s">
        <v>1396</v>
      </c>
      <c r="E1771" s="3" t="s">
        <v>1397</v>
      </c>
      <c r="F1771" s="2">
        <v>1</v>
      </c>
      <c r="G1771" s="4">
        <v>1.0573751919639485</v>
      </c>
      <c r="H1771" s="2">
        <v>25</v>
      </c>
      <c r="I1771" s="2">
        <v>5</v>
      </c>
      <c r="J1771" s="2">
        <v>1</v>
      </c>
      <c r="K1771" s="4">
        <v>1</v>
      </c>
      <c r="L1771" s="4">
        <v>0.97048640487315985</v>
      </c>
      <c r="M1771" s="4">
        <v>0.97048640487315985</v>
      </c>
      <c r="N1771" s="10">
        <v>0.97</v>
      </c>
      <c r="O1771" s="4">
        <v>10.41460313969025</v>
      </c>
      <c r="P1771" s="4">
        <v>10.37</v>
      </c>
      <c r="Q1771" s="3" t="s">
        <v>1597</v>
      </c>
      <c r="R1771" s="3" t="s">
        <v>1607</v>
      </c>
      <c r="S1771" s="3" t="s">
        <v>1608</v>
      </c>
      <c r="T1771" s="3"/>
    </row>
    <row r="1772" spans="1:20">
      <c r="A1772" s="3" t="s">
        <v>1600</v>
      </c>
      <c r="B1772" s="3" t="s">
        <v>1606</v>
      </c>
      <c r="C1772" s="3" t="s">
        <v>1596</v>
      </c>
      <c r="D1772" s="3" t="s">
        <v>1396</v>
      </c>
      <c r="E1772" s="3" t="s">
        <v>1397</v>
      </c>
      <c r="F1772" s="2">
        <v>1</v>
      </c>
      <c r="G1772" s="4">
        <v>1.0573751919639485</v>
      </c>
      <c r="H1772" s="2">
        <v>25</v>
      </c>
      <c r="I1772" s="2">
        <v>5</v>
      </c>
      <c r="J1772" s="2">
        <v>16</v>
      </c>
      <c r="K1772" s="4">
        <v>1</v>
      </c>
      <c r="L1772" s="4">
        <v>0.9697140215466632</v>
      </c>
      <c r="M1772" s="4">
        <v>0.9697140215466632</v>
      </c>
      <c r="N1772" s="10">
        <v>0.97</v>
      </c>
      <c r="O1772" s="4">
        <v>10.349589988143105</v>
      </c>
      <c r="P1772" s="4">
        <v>10.37</v>
      </c>
      <c r="Q1772" s="3" t="s">
        <v>1597</v>
      </c>
      <c r="R1772" s="3" t="s">
        <v>1607</v>
      </c>
      <c r="S1772" s="3" t="s">
        <v>1608</v>
      </c>
      <c r="T1772" s="3"/>
    </row>
    <row r="1773" spans="1:20">
      <c r="A1773" s="3" t="s">
        <v>1600</v>
      </c>
      <c r="B1773" s="3" t="s">
        <v>1601</v>
      </c>
      <c r="C1773" s="3" t="s">
        <v>1616</v>
      </c>
      <c r="D1773" s="3" t="s">
        <v>1396</v>
      </c>
      <c r="E1773" s="3" t="s">
        <v>1397</v>
      </c>
      <c r="F1773" s="2">
        <v>1</v>
      </c>
      <c r="G1773" s="4">
        <v>1.0573751919639485</v>
      </c>
      <c r="H1773" s="2">
        <v>25</v>
      </c>
      <c r="I1773" s="2">
        <v>5</v>
      </c>
      <c r="J1773" s="2">
        <v>1</v>
      </c>
      <c r="K1773" s="4">
        <v>1</v>
      </c>
      <c r="L1773" s="4">
        <v>0.96693396118875252</v>
      </c>
      <c r="M1773" s="4">
        <v>0.96693396118875252</v>
      </c>
      <c r="N1773" s="10">
        <v>0.96699999999999997</v>
      </c>
      <c r="O1773" s="4">
        <v>10.12838102362921</v>
      </c>
      <c r="P1773" s="4">
        <v>10.130000000000001</v>
      </c>
      <c r="Q1773" s="3" t="s">
        <v>1597</v>
      </c>
      <c r="R1773" s="3" t="s">
        <v>1602</v>
      </c>
      <c r="S1773" s="3" t="s">
        <v>1603</v>
      </c>
      <c r="T1773" s="3"/>
    </row>
    <row r="1774" spans="1:20">
      <c r="A1774" s="3" t="s">
        <v>1600</v>
      </c>
      <c r="B1774" s="3" t="s">
        <v>1601</v>
      </c>
      <c r="C1774" s="3" t="s">
        <v>1596</v>
      </c>
      <c r="D1774" s="3" t="s">
        <v>1396</v>
      </c>
      <c r="E1774" s="3" t="s">
        <v>1397</v>
      </c>
      <c r="F1774" s="2">
        <v>1</v>
      </c>
      <c r="G1774" s="4">
        <v>1.0573751919639485</v>
      </c>
      <c r="H1774" s="2">
        <v>25</v>
      </c>
      <c r="I1774" s="2">
        <v>5</v>
      </c>
      <c r="J1774" s="2">
        <v>16</v>
      </c>
      <c r="K1774" s="4">
        <v>1</v>
      </c>
      <c r="L1774" s="4">
        <v>0.96579348560291089</v>
      </c>
      <c r="M1774" s="4">
        <v>0.96579348560291089</v>
      </c>
      <c r="N1774" s="10">
        <v>0.96599999999999997</v>
      </c>
      <c r="O1774" s="4">
        <v>10.042882998568594</v>
      </c>
      <c r="P1774" s="4">
        <v>10.06</v>
      </c>
      <c r="Q1774" s="3" t="s">
        <v>1597</v>
      </c>
      <c r="R1774" s="3" t="s">
        <v>1602</v>
      </c>
      <c r="S1774" s="3" t="s">
        <v>1603</v>
      </c>
      <c r="T1774" s="3"/>
    </row>
    <row r="1775" spans="1:20">
      <c r="A1775" s="3" t="s">
        <v>1600</v>
      </c>
      <c r="B1775" s="3" t="s">
        <v>1606</v>
      </c>
      <c r="C1775" s="3" t="s">
        <v>1616</v>
      </c>
      <c r="D1775" s="3" t="s">
        <v>1396</v>
      </c>
      <c r="E1775" s="3" t="s">
        <v>1397</v>
      </c>
      <c r="F1775" s="2">
        <v>1</v>
      </c>
      <c r="G1775" s="4">
        <v>1.0573751919639485</v>
      </c>
      <c r="H1775" s="2">
        <v>25</v>
      </c>
      <c r="I1775" s="2">
        <v>5</v>
      </c>
      <c r="J1775" s="2">
        <v>1</v>
      </c>
      <c r="K1775" s="4">
        <v>1</v>
      </c>
      <c r="L1775" s="4">
        <v>0.9654996013512579</v>
      </c>
      <c r="M1775" s="4">
        <v>0.9654996013512579</v>
      </c>
      <c r="N1775" s="10">
        <v>0.96499999999999997</v>
      </c>
      <c r="O1775" s="4">
        <v>10.021305355912276</v>
      </c>
      <c r="P1775" s="4">
        <v>9.99</v>
      </c>
      <c r="Q1775" s="3" t="s">
        <v>1597</v>
      </c>
      <c r="R1775" s="3" t="s">
        <v>1607</v>
      </c>
      <c r="S1775" s="3" t="s">
        <v>1608</v>
      </c>
      <c r="T1775" s="3"/>
    </row>
    <row r="1776" spans="1:20">
      <c r="A1776" s="3" t="s">
        <v>1604</v>
      </c>
      <c r="B1776" s="3" t="s">
        <v>1601</v>
      </c>
      <c r="C1776" s="3" t="s">
        <v>1616</v>
      </c>
      <c r="D1776" s="3" t="s">
        <v>1396</v>
      </c>
      <c r="E1776" s="3" t="s">
        <v>1397</v>
      </c>
      <c r="F1776" s="2">
        <v>1</v>
      </c>
      <c r="G1776" s="4">
        <v>1.0573751919639485</v>
      </c>
      <c r="H1776" s="2">
        <v>25</v>
      </c>
      <c r="I1776" s="2">
        <v>30</v>
      </c>
      <c r="J1776" s="2">
        <v>16</v>
      </c>
      <c r="K1776" s="4">
        <v>1</v>
      </c>
      <c r="L1776" s="4">
        <v>0.96143972041842896</v>
      </c>
      <c r="M1776" s="4">
        <v>0.96143972041842896</v>
      </c>
      <c r="N1776" s="10">
        <v>0.96099999999999997</v>
      </c>
      <c r="O1776" s="4">
        <v>9.7403897990964268</v>
      </c>
      <c r="P1776" s="4">
        <v>9.7100000000000009</v>
      </c>
      <c r="Q1776" s="3" t="s">
        <v>1597</v>
      </c>
      <c r="R1776" s="3" t="s">
        <v>1602</v>
      </c>
      <c r="S1776" s="3" t="s">
        <v>1603</v>
      </c>
      <c r="T1776" s="3"/>
    </row>
    <row r="1777" spans="1:20">
      <c r="A1777" s="3" t="s">
        <v>1600</v>
      </c>
      <c r="B1777" s="3" t="s">
        <v>1609</v>
      </c>
      <c r="C1777" s="3" t="s">
        <v>1596</v>
      </c>
      <c r="D1777" s="3" t="s">
        <v>1396</v>
      </c>
      <c r="E1777" s="3" t="s">
        <v>1397</v>
      </c>
      <c r="F1777" s="2">
        <v>1</v>
      </c>
      <c r="G1777" s="4">
        <v>1.0573751919639485</v>
      </c>
      <c r="H1777" s="2">
        <v>25</v>
      </c>
      <c r="I1777" s="2">
        <v>5</v>
      </c>
      <c r="J1777" s="2">
        <v>1</v>
      </c>
      <c r="K1777" s="4">
        <v>0.96974873777741</v>
      </c>
      <c r="L1777" s="4">
        <v>0.90618928670552312</v>
      </c>
      <c r="M1777" s="4">
        <v>0.90618928670552312</v>
      </c>
      <c r="N1777" s="10">
        <v>0.90600000000000003</v>
      </c>
      <c r="O1777" s="4">
        <v>7.4656167438711041</v>
      </c>
      <c r="P1777" s="4">
        <v>7.46</v>
      </c>
      <c r="Q1777" s="3" t="s">
        <v>1597</v>
      </c>
      <c r="R1777" s="3" t="s">
        <v>1610</v>
      </c>
      <c r="S1777" s="3" t="s">
        <v>1611</v>
      </c>
      <c r="T1777" s="3"/>
    </row>
    <row r="1778" spans="1:20">
      <c r="A1778" s="3" t="s">
        <v>1600</v>
      </c>
      <c r="B1778" s="3" t="s">
        <v>1609</v>
      </c>
      <c r="C1778" s="3" t="s">
        <v>1616</v>
      </c>
      <c r="D1778" s="3" t="s">
        <v>1396</v>
      </c>
      <c r="E1778" s="3" t="s">
        <v>1397</v>
      </c>
      <c r="F1778" s="2">
        <v>1</v>
      </c>
      <c r="G1778" s="4">
        <v>1.0573751919639485</v>
      </c>
      <c r="H1778" s="2">
        <v>25</v>
      </c>
      <c r="I1778" s="2">
        <v>5</v>
      </c>
      <c r="J1778" s="2">
        <v>1</v>
      </c>
      <c r="K1778" s="4">
        <v>0.89839708058432854</v>
      </c>
      <c r="L1778" s="4">
        <v>0.85536862204461583</v>
      </c>
      <c r="M1778" s="4">
        <v>0.85536862204461583</v>
      </c>
      <c r="N1778" s="10">
        <v>0.85499999999999998</v>
      </c>
      <c r="O1778" s="4">
        <v>6.3254601077866637</v>
      </c>
      <c r="P1778" s="4">
        <v>6.32</v>
      </c>
      <c r="Q1778" s="3" t="s">
        <v>1597</v>
      </c>
      <c r="R1778" s="3" t="s">
        <v>1610</v>
      </c>
      <c r="S1778" s="3" t="s">
        <v>1611</v>
      </c>
      <c r="T1778" s="3"/>
    </row>
    <row r="1779" spans="1:20">
      <c r="A1779" s="3" t="s">
        <v>1600</v>
      </c>
      <c r="B1779" s="3" t="s">
        <v>1609</v>
      </c>
      <c r="C1779" s="3" t="s">
        <v>1596</v>
      </c>
      <c r="D1779" s="3" t="s">
        <v>1396</v>
      </c>
      <c r="E1779" s="3" t="s">
        <v>1397</v>
      </c>
      <c r="F1779" s="2">
        <v>1</v>
      </c>
      <c r="G1779" s="4">
        <v>1.0573751919639485</v>
      </c>
      <c r="H1779" s="2">
        <v>25</v>
      </c>
      <c r="I1779" s="2">
        <v>5</v>
      </c>
      <c r="J1779" s="2">
        <v>16</v>
      </c>
      <c r="K1779" s="4">
        <v>1</v>
      </c>
      <c r="L1779" s="4">
        <v>0.84283229009530747</v>
      </c>
      <c r="M1779" s="4">
        <v>0.84283229009530747</v>
      </c>
      <c r="N1779" s="10">
        <v>0.84299999999999997</v>
      </c>
      <c r="O1779" s="4">
        <v>6.1025887594735018</v>
      </c>
      <c r="P1779" s="4">
        <v>6.11</v>
      </c>
      <c r="Q1779" s="3" t="s">
        <v>1597</v>
      </c>
      <c r="R1779" s="3" t="s">
        <v>1610</v>
      </c>
      <c r="S1779" s="3" t="s">
        <v>1611</v>
      </c>
      <c r="T1779" s="3"/>
    </row>
    <row r="1780" spans="1:20">
      <c r="A1780" s="3" t="s">
        <v>1600</v>
      </c>
      <c r="B1780" s="3" t="s">
        <v>1609</v>
      </c>
      <c r="C1780" s="3" t="s">
        <v>1616</v>
      </c>
      <c r="D1780" s="3" t="s">
        <v>1396</v>
      </c>
      <c r="E1780" s="3" t="s">
        <v>1397</v>
      </c>
      <c r="F1780" s="2">
        <v>1</v>
      </c>
      <c r="G1780" s="4">
        <v>1.0573751919639485</v>
      </c>
      <c r="H1780" s="2">
        <v>25</v>
      </c>
      <c r="I1780" s="2">
        <v>5</v>
      </c>
      <c r="J1780" s="2">
        <v>16</v>
      </c>
      <c r="K1780" s="4">
        <v>0.96571969146200387</v>
      </c>
      <c r="L1780" s="4">
        <v>0.8222414787960145</v>
      </c>
      <c r="M1780" s="4">
        <v>0.8222414787960145</v>
      </c>
      <c r="N1780" s="10">
        <v>0.82199999999999995</v>
      </c>
      <c r="O1780" s="4">
        <v>5.7695420951983483</v>
      </c>
      <c r="P1780" s="4">
        <v>5.77</v>
      </c>
      <c r="Q1780" s="3" t="s">
        <v>1597</v>
      </c>
      <c r="R1780" s="3" t="s">
        <v>1610</v>
      </c>
      <c r="S1780" s="3" t="s">
        <v>1611</v>
      </c>
      <c r="T1780" s="3"/>
    </row>
    <row r="1781" spans="1:20">
      <c r="A1781" s="3" t="s">
        <v>1594</v>
      </c>
      <c r="B1781" s="3" t="s">
        <v>1612</v>
      </c>
      <c r="C1781" s="3" t="s">
        <v>1596</v>
      </c>
      <c r="D1781" s="3" t="s">
        <v>1396</v>
      </c>
      <c r="E1781" s="3" t="s">
        <v>1397</v>
      </c>
      <c r="F1781" s="2">
        <v>1</v>
      </c>
      <c r="G1781" s="4">
        <v>1.0573751919639485</v>
      </c>
      <c r="H1781" s="2">
        <v>50</v>
      </c>
      <c r="I1781" s="2">
        <v>5</v>
      </c>
      <c r="J1781" s="2">
        <v>16</v>
      </c>
      <c r="K1781" s="4">
        <v>0.50427254705387514</v>
      </c>
      <c r="L1781" s="4">
        <v>2.4423917981241147E-2</v>
      </c>
      <c r="M1781" s="4">
        <v>2.4423917981241147E-2</v>
      </c>
      <c r="N1781" s="10">
        <v>2.4E-2</v>
      </c>
      <c r="O1781" s="4">
        <v>0.13127197068351315</v>
      </c>
      <c r="P1781" s="4">
        <v>0.13</v>
      </c>
      <c r="Q1781" s="3" t="s">
        <v>1597</v>
      </c>
      <c r="R1781" s="3" t="s">
        <v>1613</v>
      </c>
      <c r="S1781" s="3" t="s">
        <v>1614</v>
      </c>
      <c r="T1781" s="3"/>
    </row>
    <row r="1782" spans="1:20">
      <c r="A1782" s="3" t="s">
        <v>1594</v>
      </c>
      <c r="B1782" s="3" t="s">
        <v>1595</v>
      </c>
      <c r="C1782" s="3" t="s">
        <v>1596</v>
      </c>
      <c r="D1782" s="3" t="s">
        <v>1396</v>
      </c>
      <c r="E1782" s="3" t="s">
        <v>1397</v>
      </c>
      <c r="F1782" s="2">
        <v>1</v>
      </c>
      <c r="G1782" s="4">
        <v>1.0573751919639485</v>
      </c>
      <c r="H1782" s="2">
        <v>50</v>
      </c>
      <c r="I1782" s="2">
        <v>5</v>
      </c>
      <c r="J1782" s="2">
        <v>16</v>
      </c>
      <c r="K1782" s="4">
        <v>0.1970018910998721</v>
      </c>
      <c r="L1782" s="4">
        <v>-0.26883392113654997</v>
      </c>
      <c r="M1782" s="4">
        <v>0.26883392113654997</v>
      </c>
      <c r="N1782" s="10">
        <v>0.26900000000000002</v>
      </c>
      <c r="O1782" s="4">
        <v>1.4810158822064345</v>
      </c>
      <c r="P1782" s="4">
        <v>-1.48</v>
      </c>
      <c r="Q1782" s="3" t="s">
        <v>1617</v>
      </c>
      <c r="R1782" s="3" t="s">
        <v>1625</v>
      </c>
      <c r="S1782" s="3" t="s">
        <v>1626</v>
      </c>
      <c r="T1782" s="3"/>
    </row>
    <row r="1783" spans="1:20">
      <c r="A1783" s="3" t="s">
        <v>1594</v>
      </c>
      <c r="B1783" s="3" t="s">
        <v>1595</v>
      </c>
      <c r="C1783" s="3" t="s">
        <v>1596</v>
      </c>
      <c r="D1783" s="3" t="s">
        <v>1396</v>
      </c>
      <c r="E1783" s="3" t="s">
        <v>1397</v>
      </c>
      <c r="F1783" s="2">
        <v>1</v>
      </c>
      <c r="G1783" s="4">
        <v>1.0573751919639485</v>
      </c>
      <c r="H1783" s="2">
        <v>25</v>
      </c>
      <c r="I1783" s="2">
        <v>5</v>
      </c>
      <c r="J1783" s="2">
        <v>16</v>
      </c>
      <c r="K1783" s="4">
        <v>2.675654984889464E-2</v>
      </c>
      <c r="L1783" s="4">
        <v>-0.39969858661561647</v>
      </c>
      <c r="M1783" s="4">
        <v>0.39969858661561647</v>
      </c>
      <c r="N1783" s="10">
        <v>0.4</v>
      </c>
      <c r="O1783" s="4">
        <v>2.0986456520980119</v>
      </c>
      <c r="P1783" s="4">
        <v>-2.1</v>
      </c>
      <c r="Q1783" s="3" t="s">
        <v>1617</v>
      </c>
      <c r="R1783" s="3" t="s">
        <v>1625</v>
      </c>
      <c r="S1783" s="3" t="s">
        <v>1626</v>
      </c>
      <c r="T1783" s="3"/>
    </row>
    <row r="1784" spans="1:20">
      <c r="A1784" s="3" t="s">
        <v>1600</v>
      </c>
      <c r="B1784" s="3" t="s">
        <v>1606</v>
      </c>
      <c r="C1784" s="3" t="s">
        <v>1616</v>
      </c>
      <c r="D1784" s="3" t="s">
        <v>1388</v>
      </c>
      <c r="E1784" s="3" t="s">
        <v>1389</v>
      </c>
      <c r="F1784" s="2">
        <v>1</v>
      </c>
      <c r="G1784" s="4">
        <v>1.0580507722350434</v>
      </c>
      <c r="H1784" s="2">
        <v>25</v>
      </c>
      <c r="I1784" s="2">
        <v>5</v>
      </c>
      <c r="J1784" s="2">
        <v>16</v>
      </c>
      <c r="K1784" s="4">
        <v>1</v>
      </c>
      <c r="L1784" s="4">
        <v>0.15754297906738476</v>
      </c>
      <c r="M1784" s="4">
        <v>0.15754297906738476</v>
      </c>
      <c r="N1784" s="10">
        <v>0.158</v>
      </c>
      <c r="O1784" s="4">
        <v>0.78764818306952933</v>
      </c>
      <c r="P1784" s="4">
        <v>0.79</v>
      </c>
      <c r="Q1784" s="3" t="s">
        <v>1597</v>
      </c>
      <c r="R1784" s="3" t="s">
        <v>1607</v>
      </c>
      <c r="S1784" s="3" t="s">
        <v>1608</v>
      </c>
      <c r="T1784" s="3"/>
    </row>
    <row r="1785" spans="1:20">
      <c r="A1785" s="3" t="s">
        <v>1600</v>
      </c>
      <c r="B1785" s="3" t="s">
        <v>1606</v>
      </c>
      <c r="C1785" s="3" t="s">
        <v>1616</v>
      </c>
      <c r="D1785" s="3" t="s">
        <v>1388</v>
      </c>
      <c r="E1785" s="3" t="s">
        <v>1389</v>
      </c>
      <c r="F1785" s="2">
        <v>1</v>
      </c>
      <c r="G1785" s="4">
        <v>1.0580507722350434</v>
      </c>
      <c r="H1785" s="2">
        <v>25</v>
      </c>
      <c r="I1785" s="2">
        <v>5</v>
      </c>
      <c r="J1785" s="2">
        <v>1</v>
      </c>
      <c r="K1785" s="4">
        <v>0.90826841201160691</v>
      </c>
      <c r="L1785" s="4">
        <v>0.1400726217021839</v>
      </c>
      <c r="M1785" s="4">
        <v>0.1400726217021839</v>
      </c>
      <c r="N1785" s="10">
        <v>0.14000000000000001</v>
      </c>
      <c r="O1785" s="4">
        <v>0.69906729196839623</v>
      </c>
      <c r="P1785" s="4">
        <v>0.7</v>
      </c>
      <c r="Q1785" s="3" t="s">
        <v>1597</v>
      </c>
      <c r="R1785" s="3" t="s">
        <v>1607</v>
      </c>
      <c r="S1785" s="3" t="s">
        <v>1608</v>
      </c>
      <c r="T1785" s="3"/>
    </row>
    <row r="1786" spans="1:20">
      <c r="A1786" s="3" t="s">
        <v>1600</v>
      </c>
      <c r="B1786" s="3" t="s">
        <v>1606</v>
      </c>
      <c r="C1786" s="3" t="s">
        <v>1596</v>
      </c>
      <c r="D1786" s="3" t="s">
        <v>1388</v>
      </c>
      <c r="E1786" s="3" t="s">
        <v>1389</v>
      </c>
      <c r="F1786" s="2">
        <v>1</v>
      </c>
      <c r="G1786" s="4">
        <v>1.0580507722350434</v>
      </c>
      <c r="H1786" s="2">
        <v>25</v>
      </c>
      <c r="I1786" s="2">
        <v>5</v>
      </c>
      <c r="J1786" s="2">
        <v>16</v>
      </c>
      <c r="K1786" s="4">
        <v>0.99465207221286533</v>
      </c>
      <c r="L1786" s="4">
        <v>5.5924722806124594E-2</v>
      </c>
      <c r="M1786" s="4">
        <v>5.5924722806124594E-2</v>
      </c>
      <c r="N1786" s="10">
        <v>5.6000000000000001E-2</v>
      </c>
      <c r="O1786" s="4">
        <v>0.27756082185645115</v>
      </c>
      <c r="P1786" s="4">
        <v>0.28000000000000003</v>
      </c>
      <c r="Q1786" s="3" t="s">
        <v>1597</v>
      </c>
      <c r="R1786" s="3" t="s">
        <v>1607</v>
      </c>
      <c r="S1786" s="3" t="s">
        <v>1608</v>
      </c>
      <c r="T1786" s="3"/>
    </row>
    <row r="1787" spans="1:20">
      <c r="A1787" s="3" t="s">
        <v>1600</v>
      </c>
      <c r="B1787" s="3" t="s">
        <v>1606</v>
      </c>
      <c r="C1787" s="3" t="s">
        <v>1596</v>
      </c>
      <c r="D1787" s="3" t="s">
        <v>1388</v>
      </c>
      <c r="E1787" s="3" t="s">
        <v>1389</v>
      </c>
      <c r="F1787" s="2">
        <v>1</v>
      </c>
      <c r="G1787" s="4">
        <v>1.0580507722350434</v>
      </c>
      <c r="H1787" s="2">
        <v>25</v>
      </c>
      <c r="I1787" s="2">
        <v>5</v>
      </c>
      <c r="J1787" s="2">
        <v>1</v>
      </c>
      <c r="K1787" s="4">
        <v>1</v>
      </c>
      <c r="L1787" s="4">
        <v>5.1343758898923238E-2</v>
      </c>
      <c r="M1787" s="4">
        <v>5.1343758898923238E-2</v>
      </c>
      <c r="N1787" s="10">
        <v>5.0999999999999997E-2</v>
      </c>
      <c r="O1787" s="4">
        <v>0.25478313106076872</v>
      </c>
      <c r="P1787" s="4">
        <v>0.25</v>
      </c>
      <c r="Q1787" s="3" t="s">
        <v>1597</v>
      </c>
      <c r="R1787" s="3" t="s">
        <v>1607</v>
      </c>
      <c r="S1787" s="3" t="s">
        <v>1608</v>
      </c>
      <c r="T1787" s="3"/>
    </row>
    <row r="1788" spans="1:20">
      <c r="A1788" s="3" t="s">
        <v>1594</v>
      </c>
      <c r="B1788" s="3" t="s">
        <v>1612</v>
      </c>
      <c r="C1788" s="3" t="s">
        <v>1596</v>
      </c>
      <c r="D1788" s="3" t="s">
        <v>1388</v>
      </c>
      <c r="E1788" s="3" t="s">
        <v>1389</v>
      </c>
      <c r="F1788" s="2">
        <v>1</v>
      </c>
      <c r="G1788" s="4">
        <v>1.0580507722350434</v>
      </c>
      <c r="H1788" s="2">
        <v>50</v>
      </c>
      <c r="I1788" s="2">
        <v>5</v>
      </c>
      <c r="J1788" s="2">
        <v>16</v>
      </c>
      <c r="K1788" s="4">
        <v>1</v>
      </c>
      <c r="L1788" s="4">
        <v>3.7104876176099318E-2</v>
      </c>
      <c r="M1788" s="4">
        <v>3.7104876176099318E-2</v>
      </c>
      <c r="N1788" s="10">
        <v>3.6999999999999998E-2</v>
      </c>
      <c r="O1788" s="4">
        <v>0.19948061907130546</v>
      </c>
      <c r="P1788" s="4">
        <v>0.2</v>
      </c>
      <c r="Q1788" s="3" t="s">
        <v>1597</v>
      </c>
      <c r="R1788" s="3" t="s">
        <v>1613</v>
      </c>
      <c r="S1788" s="3" t="s">
        <v>1614</v>
      </c>
      <c r="T1788" s="3"/>
    </row>
    <row r="1789" spans="1:20">
      <c r="A1789" s="3" t="s">
        <v>1604</v>
      </c>
      <c r="B1789" s="3" t="s">
        <v>1601</v>
      </c>
      <c r="C1789" s="3" t="s">
        <v>1616</v>
      </c>
      <c r="D1789" s="3" t="s">
        <v>1388</v>
      </c>
      <c r="E1789" s="3" t="s">
        <v>1389</v>
      </c>
      <c r="F1789" s="2">
        <v>1</v>
      </c>
      <c r="G1789" s="4">
        <v>1.0580507722350434</v>
      </c>
      <c r="H1789" s="2">
        <v>25</v>
      </c>
      <c r="I1789" s="2">
        <v>30</v>
      </c>
      <c r="J1789" s="2">
        <v>16</v>
      </c>
      <c r="K1789" s="4">
        <v>1</v>
      </c>
      <c r="L1789" s="4">
        <v>-2.4131896524197255E-2</v>
      </c>
      <c r="M1789" s="4">
        <v>2.4131896524197255E-2</v>
      </c>
      <c r="N1789" s="10">
        <v>2.4E-2</v>
      </c>
      <c r="O1789" s="4">
        <v>0.11966764000097424</v>
      </c>
      <c r="P1789" s="4">
        <v>-0.12</v>
      </c>
      <c r="Q1789" s="3" t="s">
        <v>1617</v>
      </c>
      <c r="R1789" s="3" t="s">
        <v>1618</v>
      </c>
      <c r="S1789" s="3" t="s">
        <v>1619</v>
      </c>
      <c r="T1789" s="3"/>
    </row>
    <row r="1790" spans="1:20">
      <c r="A1790" s="3" t="s">
        <v>1604</v>
      </c>
      <c r="B1790" s="3" t="s">
        <v>1601</v>
      </c>
      <c r="C1790" s="3" t="s">
        <v>1596</v>
      </c>
      <c r="D1790" s="3" t="s">
        <v>1388</v>
      </c>
      <c r="E1790" s="3" t="s">
        <v>1389</v>
      </c>
      <c r="F1790" s="2">
        <v>1</v>
      </c>
      <c r="G1790" s="4">
        <v>1.0580507722350434</v>
      </c>
      <c r="H1790" s="2">
        <v>25</v>
      </c>
      <c r="I1790" s="2">
        <v>30</v>
      </c>
      <c r="J1790" s="2">
        <v>16</v>
      </c>
      <c r="K1790" s="4">
        <v>1</v>
      </c>
      <c r="L1790" s="4">
        <v>-2.7161930765597649E-2</v>
      </c>
      <c r="M1790" s="4">
        <v>2.7161930765597649E-2</v>
      </c>
      <c r="N1790" s="10">
        <v>2.7E-2</v>
      </c>
      <c r="O1790" s="4">
        <v>0.13470025635634766</v>
      </c>
      <c r="P1790" s="4">
        <v>-0.13</v>
      </c>
      <c r="Q1790" s="3" t="s">
        <v>1617</v>
      </c>
      <c r="R1790" s="3" t="s">
        <v>1618</v>
      </c>
      <c r="S1790" s="3" t="s">
        <v>1619</v>
      </c>
      <c r="T1790" s="3"/>
    </row>
    <row r="1791" spans="1:20">
      <c r="A1791" s="3" t="s">
        <v>1605</v>
      </c>
      <c r="B1791" s="3" t="s">
        <v>1601</v>
      </c>
      <c r="C1791" s="3" t="s">
        <v>1596</v>
      </c>
      <c r="D1791" s="3" t="s">
        <v>1388</v>
      </c>
      <c r="E1791" s="3" t="s">
        <v>1389</v>
      </c>
      <c r="F1791" s="2">
        <v>1</v>
      </c>
      <c r="G1791" s="4">
        <v>1.0580507722350434</v>
      </c>
      <c r="H1791" s="2">
        <v>25</v>
      </c>
      <c r="I1791" s="2">
        <v>5</v>
      </c>
      <c r="J1791" s="2">
        <v>16</v>
      </c>
      <c r="K1791" s="4">
        <v>1</v>
      </c>
      <c r="L1791" s="4">
        <v>-3.1252761165907222E-2</v>
      </c>
      <c r="M1791" s="4">
        <v>3.1252761165907222E-2</v>
      </c>
      <c r="N1791" s="10">
        <v>3.1E-2</v>
      </c>
      <c r="O1791" s="4">
        <v>0.15499967831427072</v>
      </c>
      <c r="P1791" s="4">
        <v>-0.15</v>
      </c>
      <c r="Q1791" s="3" t="s">
        <v>1617</v>
      </c>
      <c r="R1791" s="3" t="s">
        <v>1618</v>
      </c>
      <c r="S1791" s="3" t="s">
        <v>1619</v>
      </c>
      <c r="T1791" s="3"/>
    </row>
    <row r="1792" spans="1:20">
      <c r="A1792" s="3" t="s">
        <v>1600</v>
      </c>
      <c r="B1792" s="3" t="s">
        <v>1601</v>
      </c>
      <c r="C1792" s="3" t="s">
        <v>1596</v>
      </c>
      <c r="D1792" s="3" t="s">
        <v>1388</v>
      </c>
      <c r="E1792" s="3" t="s">
        <v>1389</v>
      </c>
      <c r="F1792" s="2">
        <v>1</v>
      </c>
      <c r="G1792" s="4">
        <v>1.0580507722350434</v>
      </c>
      <c r="H1792" s="2">
        <v>25</v>
      </c>
      <c r="I1792" s="2">
        <v>5</v>
      </c>
      <c r="J1792" s="2">
        <v>16</v>
      </c>
      <c r="K1792" s="4">
        <v>1</v>
      </c>
      <c r="L1792" s="4">
        <v>-3.7834765406656257E-2</v>
      </c>
      <c r="M1792" s="4">
        <v>3.7834765406656257E-2</v>
      </c>
      <c r="N1792" s="10">
        <v>3.7999999999999999E-2</v>
      </c>
      <c r="O1792" s="4">
        <v>0.1876719417973344</v>
      </c>
      <c r="P1792" s="4">
        <v>-0.19</v>
      </c>
      <c r="Q1792" s="3" t="s">
        <v>1617</v>
      </c>
      <c r="R1792" s="3" t="s">
        <v>1618</v>
      </c>
      <c r="S1792" s="3" t="s">
        <v>1619</v>
      </c>
      <c r="T1792" s="3"/>
    </row>
    <row r="1793" spans="1:20">
      <c r="A1793" s="3" t="s">
        <v>1600</v>
      </c>
      <c r="B1793" s="3" t="s">
        <v>1601</v>
      </c>
      <c r="C1793" s="3" t="s">
        <v>1596</v>
      </c>
      <c r="D1793" s="3" t="s">
        <v>1388</v>
      </c>
      <c r="E1793" s="3" t="s">
        <v>1389</v>
      </c>
      <c r="F1793" s="2">
        <v>1</v>
      </c>
      <c r="G1793" s="4">
        <v>1.0580507722350434</v>
      </c>
      <c r="H1793" s="2">
        <v>25</v>
      </c>
      <c r="I1793" s="2">
        <v>5</v>
      </c>
      <c r="J1793" s="2">
        <v>1</v>
      </c>
      <c r="K1793" s="4">
        <v>1</v>
      </c>
      <c r="L1793" s="4">
        <v>-4.025417296231721E-2</v>
      </c>
      <c r="M1793" s="4">
        <v>4.025417296231721E-2</v>
      </c>
      <c r="N1793" s="10">
        <v>0.04</v>
      </c>
      <c r="O1793" s="4">
        <v>0.19968553072176612</v>
      </c>
      <c r="P1793" s="4">
        <v>-0.2</v>
      </c>
      <c r="Q1793" s="3" t="s">
        <v>1617</v>
      </c>
      <c r="R1793" s="3" t="s">
        <v>1618</v>
      </c>
      <c r="S1793" s="3" t="s">
        <v>1619</v>
      </c>
      <c r="T1793" s="3"/>
    </row>
    <row r="1794" spans="1:20">
      <c r="A1794" s="3" t="s">
        <v>1600</v>
      </c>
      <c r="B1794" s="3" t="s">
        <v>1601</v>
      </c>
      <c r="C1794" s="3" t="s">
        <v>1616</v>
      </c>
      <c r="D1794" s="3" t="s">
        <v>1388</v>
      </c>
      <c r="E1794" s="3" t="s">
        <v>1389</v>
      </c>
      <c r="F1794" s="2">
        <v>1</v>
      </c>
      <c r="G1794" s="4">
        <v>1.0580507722350434</v>
      </c>
      <c r="H1794" s="2">
        <v>25</v>
      </c>
      <c r="I1794" s="2">
        <v>5</v>
      </c>
      <c r="J1794" s="2">
        <v>16</v>
      </c>
      <c r="K1794" s="4">
        <v>1</v>
      </c>
      <c r="L1794" s="4">
        <v>-7.8025545887811895E-2</v>
      </c>
      <c r="M1794" s="4">
        <v>7.8025545887811895E-2</v>
      </c>
      <c r="N1794" s="10">
        <v>7.8E-2</v>
      </c>
      <c r="O1794" s="4">
        <v>0.38763360731581953</v>
      </c>
      <c r="P1794" s="4">
        <v>-0.39</v>
      </c>
      <c r="Q1794" s="3" t="s">
        <v>1617</v>
      </c>
      <c r="R1794" s="3" t="s">
        <v>1618</v>
      </c>
      <c r="S1794" s="3" t="s">
        <v>1619</v>
      </c>
      <c r="T1794" s="3"/>
    </row>
    <row r="1795" spans="1:20">
      <c r="A1795" s="3" t="s">
        <v>1600</v>
      </c>
      <c r="B1795" s="3" t="s">
        <v>1601</v>
      </c>
      <c r="C1795" s="3" t="s">
        <v>1616</v>
      </c>
      <c r="D1795" s="3" t="s">
        <v>1388</v>
      </c>
      <c r="E1795" s="3" t="s">
        <v>1389</v>
      </c>
      <c r="F1795" s="2">
        <v>1</v>
      </c>
      <c r="G1795" s="4">
        <v>1.0580507722350434</v>
      </c>
      <c r="H1795" s="2">
        <v>25</v>
      </c>
      <c r="I1795" s="2">
        <v>5</v>
      </c>
      <c r="J1795" s="2">
        <v>1</v>
      </c>
      <c r="K1795" s="4">
        <v>1</v>
      </c>
      <c r="L1795" s="4">
        <v>-8.6589871434605351E-2</v>
      </c>
      <c r="M1795" s="4">
        <v>8.6589871434605351E-2</v>
      </c>
      <c r="N1795" s="10">
        <v>8.6999999999999994E-2</v>
      </c>
      <c r="O1795" s="4">
        <v>0.4303848776965512</v>
      </c>
      <c r="P1795" s="4">
        <v>-0.43</v>
      </c>
      <c r="Q1795" s="3" t="s">
        <v>1617</v>
      </c>
      <c r="R1795" s="3" t="s">
        <v>1618</v>
      </c>
      <c r="S1795" s="3" t="s">
        <v>1619</v>
      </c>
      <c r="T1795" s="3"/>
    </row>
    <row r="1796" spans="1:20">
      <c r="A1796" s="3" t="s">
        <v>1594</v>
      </c>
      <c r="B1796" s="3" t="s">
        <v>1595</v>
      </c>
      <c r="C1796" s="3" t="s">
        <v>1596</v>
      </c>
      <c r="D1796" s="3" t="s">
        <v>1388</v>
      </c>
      <c r="E1796" s="3" t="s">
        <v>1389</v>
      </c>
      <c r="F1796" s="2">
        <v>1</v>
      </c>
      <c r="G1796" s="4">
        <v>1.0580507722350434</v>
      </c>
      <c r="H1796" s="2">
        <v>50</v>
      </c>
      <c r="I1796" s="2">
        <v>5</v>
      </c>
      <c r="J1796" s="2">
        <v>16</v>
      </c>
      <c r="K1796" s="4">
        <v>1</v>
      </c>
      <c r="L1796" s="4">
        <v>-0.11315469498245428</v>
      </c>
      <c r="M1796" s="4">
        <v>0.11315469498245428</v>
      </c>
      <c r="N1796" s="10">
        <v>0.113</v>
      </c>
      <c r="O1796" s="4">
        <v>0.61067030807340628</v>
      </c>
      <c r="P1796" s="4">
        <v>-0.61</v>
      </c>
      <c r="Q1796" s="3" t="s">
        <v>1617</v>
      </c>
      <c r="R1796" s="3" t="s">
        <v>1625</v>
      </c>
      <c r="S1796" s="3" t="s">
        <v>1626</v>
      </c>
      <c r="T1796" s="3"/>
    </row>
    <row r="1797" spans="1:20">
      <c r="A1797" s="3" t="s">
        <v>1594</v>
      </c>
      <c r="B1797" s="3" t="s">
        <v>1595</v>
      </c>
      <c r="C1797" s="3" t="s">
        <v>1596</v>
      </c>
      <c r="D1797" s="3" t="s">
        <v>1388</v>
      </c>
      <c r="E1797" s="3" t="s">
        <v>1389</v>
      </c>
      <c r="F1797" s="2">
        <v>1</v>
      </c>
      <c r="G1797" s="4">
        <v>1.0580507722350434</v>
      </c>
      <c r="H1797" s="2">
        <v>25</v>
      </c>
      <c r="I1797" s="2">
        <v>5</v>
      </c>
      <c r="J1797" s="2">
        <v>16</v>
      </c>
      <c r="K1797" s="4">
        <v>1</v>
      </c>
      <c r="L1797" s="4">
        <v>-0.11664432763011302</v>
      </c>
      <c r="M1797" s="4">
        <v>0.11664432763011302</v>
      </c>
      <c r="N1797" s="10">
        <v>0.11700000000000001</v>
      </c>
      <c r="O1797" s="4">
        <v>0.58095960643965983</v>
      </c>
      <c r="P1797" s="4">
        <v>-0.57999999999999996</v>
      </c>
      <c r="Q1797" s="3" t="s">
        <v>1617</v>
      </c>
      <c r="R1797" s="3" t="s">
        <v>1625</v>
      </c>
      <c r="S1797" s="3" t="s">
        <v>1626</v>
      </c>
      <c r="T1797" s="3"/>
    </row>
    <row r="1798" spans="1:20">
      <c r="A1798" s="3" t="s">
        <v>1600</v>
      </c>
      <c r="B1798" s="3" t="s">
        <v>1609</v>
      </c>
      <c r="C1798" s="3" t="s">
        <v>1596</v>
      </c>
      <c r="D1798" s="3" t="s">
        <v>1388</v>
      </c>
      <c r="E1798" s="3" t="s">
        <v>1389</v>
      </c>
      <c r="F1798" s="2">
        <v>1</v>
      </c>
      <c r="G1798" s="4">
        <v>1.0580507722350434</v>
      </c>
      <c r="H1798" s="2">
        <v>25</v>
      </c>
      <c r="I1798" s="2">
        <v>5</v>
      </c>
      <c r="J1798" s="2">
        <v>1</v>
      </c>
      <c r="K1798" s="4">
        <v>1</v>
      </c>
      <c r="L1798" s="4">
        <v>-0.28135472687675006</v>
      </c>
      <c r="M1798" s="4">
        <v>0.28135472687675006</v>
      </c>
      <c r="N1798" s="10">
        <v>0.28100000000000003</v>
      </c>
      <c r="O1798" s="4">
        <v>1.4336004417199131</v>
      </c>
      <c r="P1798" s="4">
        <v>-1.43</v>
      </c>
      <c r="Q1798" s="3" t="s">
        <v>1617</v>
      </c>
      <c r="R1798" s="3" t="s">
        <v>1623</v>
      </c>
      <c r="S1798" s="3" t="s">
        <v>1624</v>
      </c>
      <c r="T1798" s="3"/>
    </row>
    <row r="1799" spans="1:20">
      <c r="A1799" s="3" t="s">
        <v>1600</v>
      </c>
      <c r="B1799" s="3" t="s">
        <v>1609</v>
      </c>
      <c r="C1799" s="3" t="s">
        <v>1596</v>
      </c>
      <c r="D1799" s="3" t="s">
        <v>1388</v>
      </c>
      <c r="E1799" s="3" t="s">
        <v>1389</v>
      </c>
      <c r="F1799" s="2">
        <v>1</v>
      </c>
      <c r="G1799" s="4">
        <v>1.0580507722350434</v>
      </c>
      <c r="H1799" s="2">
        <v>25</v>
      </c>
      <c r="I1799" s="2">
        <v>5</v>
      </c>
      <c r="J1799" s="2">
        <v>16</v>
      </c>
      <c r="K1799" s="4">
        <v>0.98253588616261867</v>
      </c>
      <c r="L1799" s="4">
        <v>-0.29186656651113319</v>
      </c>
      <c r="M1799" s="4">
        <v>0.29186656651113319</v>
      </c>
      <c r="N1799" s="10">
        <v>0.29199999999999998</v>
      </c>
      <c r="O1799" s="4">
        <v>1.4903825908805384</v>
      </c>
      <c r="P1799" s="4">
        <v>-1.49</v>
      </c>
      <c r="Q1799" s="3" t="s">
        <v>1617</v>
      </c>
      <c r="R1799" s="3" t="s">
        <v>1623</v>
      </c>
      <c r="S1799" s="3" t="s">
        <v>1624</v>
      </c>
      <c r="T1799" s="3"/>
    </row>
    <row r="1800" spans="1:20">
      <c r="A1800" s="3" t="s">
        <v>1600</v>
      </c>
      <c r="B1800" s="3" t="s">
        <v>1609</v>
      </c>
      <c r="C1800" s="3" t="s">
        <v>1616</v>
      </c>
      <c r="D1800" s="3" t="s">
        <v>1388</v>
      </c>
      <c r="E1800" s="3" t="s">
        <v>1389</v>
      </c>
      <c r="F1800" s="2">
        <v>1</v>
      </c>
      <c r="G1800" s="4">
        <v>1.0580507722350434</v>
      </c>
      <c r="H1800" s="2">
        <v>25</v>
      </c>
      <c r="I1800" s="2">
        <v>5</v>
      </c>
      <c r="J1800" s="2">
        <v>1</v>
      </c>
      <c r="K1800" s="4">
        <v>0.8578919647594081</v>
      </c>
      <c r="L1800" s="4">
        <v>-0.53523332197974982</v>
      </c>
      <c r="M1800" s="4">
        <v>0.53523332197974982</v>
      </c>
      <c r="N1800" s="10">
        <v>0.53500000000000003</v>
      </c>
      <c r="O1800" s="4">
        <v>2.9621243718421431</v>
      </c>
      <c r="P1800" s="4">
        <v>-2.96</v>
      </c>
      <c r="Q1800" s="3" t="s">
        <v>1617</v>
      </c>
      <c r="R1800" s="3" t="s">
        <v>1623</v>
      </c>
      <c r="S1800" s="3" t="s">
        <v>1624</v>
      </c>
      <c r="T1800" s="3"/>
    </row>
    <row r="1801" spans="1:20">
      <c r="A1801" s="3" t="s">
        <v>1600</v>
      </c>
      <c r="B1801" s="3" t="s">
        <v>1609</v>
      </c>
      <c r="C1801" s="3" t="s">
        <v>1616</v>
      </c>
      <c r="D1801" s="3" t="s">
        <v>1388</v>
      </c>
      <c r="E1801" s="3" t="s">
        <v>1389</v>
      </c>
      <c r="F1801" s="2">
        <v>1</v>
      </c>
      <c r="G1801" s="4">
        <v>1.0580507722350434</v>
      </c>
      <c r="H1801" s="2">
        <v>25</v>
      </c>
      <c r="I1801" s="2">
        <v>5</v>
      </c>
      <c r="J1801" s="2">
        <v>16</v>
      </c>
      <c r="K1801" s="4">
        <v>0.98378150311783752</v>
      </c>
      <c r="L1801" s="4">
        <v>-0.55306332917509737</v>
      </c>
      <c r="M1801" s="4">
        <v>0.55306332917509737</v>
      </c>
      <c r="N1801" s="10">
        <v>0.55300000000000005</v>
      </c>
      <c r="O1801" s="4">
        <v>3.0877226691527726</v>
      </c>
      <c r="P1801" s="4">
        <v>-3.09</v>
      </c>
      <c r="Q1801" s="3" t="s">
        <v>1617</v>
      </c>
      <c r="R1801" s="3" t="s">
        <v>1623</v>
      </c>
      <c r="S1801" s="3" t="s">
        <v>1624</v>
      </c>
      <c r="T1801" s="3"/>
    </row>
    <row r="1802" spans="1:20">
      <c r="A1802" s="3" t="s">
        <v>1600</v>
      </c>
      <c r="B1802" s="3" t="s">
        <v>1609</v>
      </c>
      <c r="C1802" s="3" t="s">
        <v>1596</v>
      </c>
      <c r="D1802" s="3" t="s">
        <v>418</v>
      </c>
      <c r="E1802" s="3" t="s">
        <v>419</v>
      </c>
      <c r="F1802" s="2">
        <v>1</v>
      </c>
      <c r="G1802" s="4">
        <v>1.0581022624716023</v>
      </c>
      <c r="H1802" s="2">
        <v>25</v>
      </c>
      <c r="I1802" s="2">
        <v>5</v>
      </c>
      <c r="J1802" s="2">
        <v>16</v>
      </c>
      <c r="K1802" s="4">
        <v>1</v>
      </c>
      <c r="L1802" s="4">
        <v>0.51803824922915997</v>
      </c>
      <c r="M1802" s="4">
        <v>0.51803824922915997</v>
      </c>
      <c r="N1802" s="10">
        <v>0.51800000000000002</v>
      </c>
      <c r="O1802" s="4">
        <v>2.8441434872576994</v>
      </c>
      <c r="P1802" s="4">
        <v>2.84</v>
      </c>
      <c r="Q1802" s="3" t="s">
        <v>1597</v>
      </c>
      <c r="R1802" s="3" t="s">
        <v>1610</v>
      </c>
      <c r="S1802" s="3" t="s">
        <v>1611</v>
      </c>
      <c r="T1802" s="3"/>
    </row>
    <row r="1803" spans="1:20">
      <c r="A1803" s="3" t="s">
        <v>1600</v>
      </c>
      <c r="B1803" s="3" t="s">
        <v>1609</v>
      </c>
      <c r="C1803" s="3" t="s">
        <v>1596</v>
      </c>
      <c r="D1803" s="3" t="s">
        <v>418</v>
      </c>
      <c r="E1803" s="3" t="s">
        <v>419</v>
      </c>
      <c r="F1803" s="2">
        <v>1</v>
      </c>
      <c r="G1803" s="4">
        <v>1.0581022624716023</v>
      </c>
      <c r="H1803" s="2">
        <v>25</v>
      </c>
      <c r="I1803" s="2">
        <v>5</v>
      </c>
      <c r="J1803" s="2">
        <v>1</v>
      </c>
      <c r="K1803" s="11">
        <v>1</v>
      </c>
      <c r="L1803" s="11">
        <v>0.49807232711304844</v>
      </c>
      <c r="M1803" s="4">
        <v>0.49807232711304844</v>
      </c>
      <c r="N1803" s="10">
        <v>0.498</v>
      </c>
      <c r="O1803" s="4">
        <v>2.7106981882724357</v>
      </c>
      <c r="P1803" s="4">
        <v>2.71</v>
      </c>
      <c r="Q1803" s="3" t="s">
        <v>1597</v>
      </c>
      <c r="R1803" s="3" t="s">
        <v>1610</v>
      </c>
      <c r="S1803" s="3" t="s">
        <v>1611</v>
      </c>
      <c r="T1803" s="3"/>
    </row>
    <row r="1804" spans="1:20">
      <c r="A1804" s="3" t="s">
        <v>1600</v>
      </c>
      <c r="B1804" s="3" t="s">
        <v>1609</v>
      </c>
      <c r="C1804" s="3" t="s">
        <v>1616</v>
      </c>
      <c r="D1804" s="3" t="s">
        <v>418</v>
      </c>
      <c r="E1804" s="3" t="s">
        <v>419</v>
      </c>
      <c r="F1804" s="2">
        <v>1</v>
      </c>
      <c r="G1804" s="4">
        <v>1.0581022624716023</v>
      </c>
      <c r="H1804" s="2">
        <v>25</v>
      </c>
      <c r="I1804" s="2">
        <v>5</v>
      </c>
      <c r="J1804" s="2">
        <v>16</v>
      </c>
      <c r="K1804" s="11">
        <v>1</v>
      </c>
      <c r="L1804" s="11">
        <v>0.45098907815269651</v>
      </c>
      <c r="M1804" s="4">
        <v>0.45098907815269651</v>
      </c>
      <c r="N1804" s="10">
        <v>0.45100000000000001</v>
      </c>
      <c r="O1804" s="4">
        <v>2.4092655155245661</v>
      </c>
      <c r="P1804" s="4">
        <v>2.41</v>
      </c>
      <c r="Q1804" s="3" t="s">
        <v>1597</v>
      </c>
      <c r="R1804" s="3" t="s">
        <v>1610</v>
      </c>
      <c r="S1804" s="3" t="s">
        <v>1611</v>
      </c>
      <c r="T1804" s="3"/>
    </row>
    <row r="1805" spans="1:20">
      <c r="A1805" s="3" t="s">
        <v>1600</v>
      </c>
      <c r="B1805" s="3" t="s">
        <v>1609</v>
      </c>
      <c r="C1805" s="3" t="s">
        <v>1616</v>
      </c>
      <c r="D1805" s="3" t="s">
        <v>418</v>
      </c>
      <c r="E1805" s="3" t="s">
        <v>419</v>
      </c>
      <c r="F1805" s="2">
        <v>1</v>
      </c>
      <c r="G1805" s="4">
        <v>1.0581022624716023</v>
      </c>
      <c r="H1805" s="2">
        <v>25</v>
      </c>
      <c r="I1805" s="2">
        <v>5</v>
      </c>
      <c r="J1805" s="2">
        <v>1</v>
      </c>
      <c r="K1805" s="4">
        <v>1</v>
      </c>
      <c r="L1805" s="4">
        <v>0.4431261798719055</v>
      </c>
      <c r="M1805" s="4">
        <v>0.4431261798719055</v>
      </c>
      <c r="N1805" s="10">
        <v>0.443</v>
      </c>
      <c r="O1805" s="4">
        <v>2.3605436961621087</v>
      </c>
      <c r="P1805" s="4">
        <v>2.36</v>
      </c>
      <c r="Q1805" s="3" t="s">
        <v>1597</v>
      </c>
      <c r="R1805" s="3" t="s">
        <v>1610</v>
      </c>
      <c r="S1805" s="3" t="s">
        <v>1611</v>
      </c>
      <c r="T1805" s="3"/>
    </row>
    <row r="1806" spans="1:20">
      <c r="A1806" s="3" t="s">
        <v>1600</v>
      </c>
      <c r="B1806" s="3" t="s">
        <v>1606</v>
      </c>
      <c r="C1806" s="3" t="s">
        <v>1616</v>
      </c>
      <c r="D1806" s="3" t="s">
        <v>418</v>
      </c>
      <c r="E1806" s="3" t="s">
        <v>419</v>
      </c>
      <c r="F1806" s="2">
        <v>1</v>
      </c>
      <c r="G1806" s="4">
        <v>1.0581022624716023</v>
      </c>
      <c r="H1806" s="2">
        <v>25</v>
      </c>
      <c r="I1806" s="2">
        <v>5</v>
      </c>
      <c r="J1806" s="2">
        <v>1</v>
      </c>
      <c r="K1806" s="4">
        <v>1</v>
      </c>
      <c r="L1806" s="4">
        <v>0.3321387421900272</v>
      </c>
      <c r="M1806" s="4">
        <v>0.3321387421900272</v>
      </c>
      <c r="N1806" s="10">
        <v>0.33200000000000002</v>
      </c>
      <c r="O1806" s="4">
        <v>1.711629735502705</v>
      </c>
      <c r="P1806" s="4">
        <v>1.71</v>
      </c>
      <c r="Q1806" s="3" t="s">
        <v>1597</v>
      </c>
      <c r="R1806" s="3" t="s">
        <v>1607</v>
      </c>
      <c r="S1806" s="3" t="s">
        <v>1608</v>
      </c>
      <c r="T1806" s="3"/>
    </row>
    <row r="1807" spans="1:20">
      <c r="A1807" s="3" t="s">
        <v>1600</v>
      </c>
      <c r="B1807" s="3" t="s">
        <v>1606</v>
      </c>
      <c r="C1807" s="3" t="s">
        <v>1596</v>
      </c>
      <c r="D1807" s="3" t="s">
        <v>418</v>
      </c>
      <c r="E1807" s="3" t="s">
        <v>419</v>
      </c>
      <c r="F1807" s="2">
        <v>1</v>
      </c>
      <c r="G1807" s="4">
        <v>1.0581022624716023</v>
      </c>
      <c r="H1807" s="2">
        <v>25</v>
      </c>
      <c r="I1807" s="2">
        <v>5</v>
      </c>
      <c r="J1807" s="2">
        <v>16</v>
      </c>
      <c r="K1807" s="11">
        <v>1</v>
      </c>
      <c r="L1807" s="11">
        <v>0.32743606821905208</v>
      </c>
      <c r="M1807" s="4">
        <v>0.32743606821905208</v>
      </c>
      <c r="N1807" s="10">
        <v>0.32700000000000001</v>
      </c>
      <c r="O1807" s="4">
        <v>1.6854688551841439</v>
      </c>
      <c r="P1807" s="4">
        <v>1.68</v>
      </c>
      <c r="Q1807" s="3" t="s">
        <v>1597</v>
      </c>
      <c r="R1807" s="3" t="s">
        <v>1607</v>
      </c>
      <c r="S1807" s="3" t="s">
        <v>1608</v>
      </c>
      <c r="T1807" s="3"/>
    </row>
    <row r="1808" spans="1:20">
      <c r="A1808" s="3" t="s">
        <v>1600</v>
      </c>
      <c r="B1808" s="3" t="s">
        <v>1606</v>
      </c>
      <c r="C1808" s="3" t="s">
        <v>1596</v>
      </c>
      <c r="D1808" s="3" t="s">
        <v>418</v>
      </c>
      <c r="E1808" s="3" t="s">
        <v>419</v>
      </c>
      <c r="F1808" s="2">
        <v>1</v>
      </c>
      <c r="G1808" s="4">
        <v>1.0581022624716023</v>
      </c>
      <c r="H1808" s="2">
        <v>25</v>
      </c>
      <c r="I1808" s="2">
        <v>5</v>
      </c>
      <c r="J1808" s="2">
        <v>1</v>
      </c>
      <c r="K1808" s="11">
        <v>1</v>
      </c>
      <c r="L1808" s="11">
        <v>0.3219379909337442</v>
      </c>
      <c r="M1808" s="4">
        <v>0.3219379909337442</v>
      </c>
      <c r="N1808" s="10">
        <v>0.32200000000000001</v>
      </c>
      <c r="O1808" s="4">
        <v>1.6549972584870147</v>
      </c>
      <c r="P1808" s="4">
        <v>1.66</v>
      </c>
      <c r="Q1808" s="3" t="s">
        <v>1597</v>
      </c>
      <c r="R1808" s="3" t="s">
        <v>1607</v>
      </c>
      <c r="S1808" s="3" t="s">
        <v>1608</v>
      </c>
      <c r="T1808" s="3"/>
    </row>
    <row r="1809" spans="1:20">
      <c r="A1809" s="3" t="s">
        <v>1600</v>
      </c>
      <c r="B1809" s="3" t="s">
        <v>1606</v>
      </c>
      <c r="C1809" s="3" t="s">
        <v>1616</v>
      </c>
      <c r="D1809" s="3" t="s">
        <v>418</v>
      </c>
      <c r="E1809" s="3" t="s">
        <v>419</v>
      </c>
      <c r="F1809" s="2">
        <v>1</v>
      </c>
      <c r="G1809" s="4">
        <v>1.0581022624716023</v>
      </c>
      <c r="H1809" s="2">
        <v>25</v>
      </c>
      <c r="I1809" s="2">
        <v>5</v>
      </c>
      <c r="J1809" s="2">
        <v>16</v>
      </c>
      <c r="K1809" s="11">
        <v>1</v>
      </c>
      <c r="L1809" s="11">
        <v>0.31664167829420414</v>
      </c>
      <c r="M1809" s="4">
        <v>0.31664167829420414</v>
      </c>
      <c r="N1809" s="10">
        <v>0.317</v>
      </c>
      <c r="O1809" s="4">
        <v>1.6257575019700521</v>
      </c>
      <c r="P1809" s="4">
        <v>1.63</v>
      </c>
      <c r="Q1809" s="3" t="s">
        <v>1597</v>
      </c>
      <c r="R1809" s="3" t="s">
        <v>1607</v>
      </c>
      <c r="S1809" s="3" t="s">
        <v>1608</v>
      </c>
      <c r="T1809" s="3"/>
    </row>
    <row r="1810" spans="1:20">
      <c r="A1810" s="12" t="s">
        <v>1605</v>
      </c>
      <c r="B1810" s="3" t="s">
        <v>1601</v>
      </c>
      <c r="C1810" s="3" t="s">
        <v>1596</v>
      </c>
      <c r="D1810" s="3" t="s">
        <v>418</v>
      </c>
      <c r="E1810" s="3" t="s">
        <v>419</v>
      </c>
      <c r="F1810" s="2">
        <v>1</v>
      </c>
      <c r="G1810" s="4">
        <v>1.0581022624716023</v>
      </c>
      <c r="H1810" s="2">
        <v>25</v>
      </c>
      <c r="I1810" s="2">
        <v>5</v>
      </c>
      <c r="J1810" s="2">
        <v>16</v>
      </c>
      <c r="K1810" s="11">
        <v>1</v>
      </c>
      <c r="L1810" s="11">
        <v>0.28476674658251411</v>
      </c>
      <c r="M1810" s="4">
        <v>0.28476674658251411</v>
      </c>
      <c r="N1810" s="10">
        <v>0.28499999999999998</v>
      </c>
      <c r="O1810" s="4">
        <v>1.4519905173323795</v>
      </c>
      <c r="P1810" s="4">
        <v>1.45</v>
      </c>
      <c r="Q1810" s="3" t="s">
        <v>1597</v>
      </c>
      <c r="R1810" s="3" t="s">
        <v>1602</v>
      </c>
      <c r="S1810" s="3" t="s">
        <v>1603</v>
      </c>
      <c r="T1810" s="3"/>
    </row>
    <row r="1811" spans="1:20">
      <c r="A1811" s="3" t="s">
        <v>1600</v>
      </c>
      <c r="B1811" s="3" t="s">
        <v>1601</v>
      </c>
      <c r="C1811" s="3" t="s">
        <v>1596</v>
      </c>
      <c r="D1811" s="3" t="s">
        <v>418</v>
      </c>
      <c r="E1811" s="3" t="s">
        <v>419</v>
      </c>
      <c r="F1811" s="2">
        <v>1</v>
      </c>
      <c r="G1811" s="4">
        <v>1.0581022624716023</v>
      </c>
      <c r="H1811" s="2">
        <v>25</v>
      </c>
      <c r="I1811" s="2">
        <v>5</v>
      </c>
      <c r="J1811" s="2">
        <v>1</v>
      </c>
      <c r="K1811" s="4">
        <v>1</v>
      </c>
      <c r="L1811" s="4">
        <v>0.25717145165247685</v>
      </c>
      <c r="M1811" s="4">
        <v>0.25717145165247685</v>
      </c>
      <c r="N1811" s="10">
        <v>0.25700000000000001</v>
      </c>
      <c r="O1811" s="4">
        <v>1.3043198506630558</v>
      </c>
      <c r="P1811" s="4">
        <v>1.3</v>
      </c>
      <c r="Q1811" s="3" t="s">
        <v>1597</v>
      </c>
      <c r="R1811" s="3" t="s">
        <v>1602</v>
      </c>
      <c r="S1811" s="3" t="s">
        <v>1603</v>
      </c>
      <c r="T1811" s="3"/>
    </row>
    <row r="1812" spans="1:20">
      <c r="A1812" s="3" t="s">
        <v>1604</v>
      </c>
      <c r="B1812" s="3" t="s">
        <v>1601</v>
      </c>
      <c r="C1812" s="3" t="s">
        <v>1616</v>
      </c>
      <c r="D1812" s="3" t="s">
        <v>418</v>
      </c>
      <c r="E1812" s="3" t="s">
        <v>419</v>
      </c>
      <c r="F1812" s="2">
        <v>1</v>
      </c>
      <c r="G1812" s="4">
        <v>1.0581022624716023</v>
      </c>
      <c r="H1812" s="2">
        <v>25</v>
      </c>
      <c r="I1812" s="2">
        <v>30</v>
      </c>
      <c r="J1812" s="2">
        <v>16</v>
      </c>
      <c r="K1812" s="4">
        <v>1</v>
      </c>
      <c r="L1812" s="4">
        <v>0.24879870736844756</v>
      </c>
      <c r="M1812" s="4">
        <v>0.24879870736844756</v>
      </c>
      <c r="N1812" s="10">
        <v>0.249</v>
      </c>
      <c r="O1812" s="4">
        <v>1.2599695007478071</v>
      </c>
      <c r="P1812" s="4">
        <v>1.26</v>
      </c>
      <c r="Q1812" s="3" t="s">
        <v>1597</v>
      </c>
      <c r="R1812" s="3" t="s">
        <v>1602</v>
      </c>
      <c r="S1812" s="3" t="s">
        <v>1603</v>
      </c>
      <c r="T1812" s="3"/>
    </row>
    <row r="1813" spans="1:20">
      <c r="A1813" s="3" t="s">
        <v>1604</v>
      </c>
      <c r="B1813" s="3" t="s">
        <v>1601</v>
      </c>
      <c r="C1813" s="3" t="s">
        <v>1596</v>
      </c>
      <c r="D1813" s="3" t="s">
        <v>418</v>
      </c>
      <c r="E1813" s="3" t="s">
        <v>419</v>
      </c>
      <c r="F1813" s="2">
        <v>1</v>
      </c>
      <c r="G1813" s="4">
        <v>1.0581022624716023</v>
      </c>
      <c r="H1813" s="2">
        <v>25</v>
      </c>
      <c r="I1813" s="2">
        <v>30</v>
      </c>
      <c r="J1813" s="2">
        <v>16</v>
      </c>
      <c r="K1813" s="4">
        <v>1</v>
      </c>
      <c r="L1813" s="4">
        <v>0.2485993855581495</v>
      </c>
      <c r="M1813" s="4">
        <v>0.2485993855581495</v>
      </c>
      <c r="N1813" s="10">
        <v>0.249</v>
      </c>
      <c r="O1813" s="4">
        <v>1.2589161232136863</v>
      </c>
      <c r="P1813" s="4">
        <v>1.26</v>
      </c>
      <c r="Q1813" s="3" t="s">
        <v>1597</v>
      </c>
      <c r="R1813" s="3" t="s">
        <v>1602</v>
      </c>
      <c r="S1813" s="3" t="s">
        <v>1603</v>
      </c>
      <c r="T1813" s="3"/>
    </row>
    <row r="1814" spans="1:20">
      <c r="A1814" s="3" t="s">
        <v>1600</v>
      </c>
      <c r="B1814" s="3" t="s">
        <v>1601</v>
      </c>
      <c r="C1814" s="3" t="s">
        <v>1616</v>
      </c>
      <c r="D1814" s="3" t="s">
        <v>418</v>
      </c>
      <c r="E1814" s="3" t="s">
        <v>419</v>
      </c>
      <c r="F1814" s="2">
        <v>1</v>
      </c>
      <c r="G1814" s="4">
        <v>1.0581022624716023</v>
      </c>
      <c r="H1814" s="2">
        <v>25</v>
      </c>
      <c r="I1814" s="2">
        <v>5</v>
      </c>
      <c r="J1814" s="2">
        <v>1</v>
      </c>
      <c r="K1814" s="4">
        <v>1</v>
      </c>
      <c r="L1814" s="4">
        <v>0.24696681308353644</v>
      </c>
      <c r="M1814" s="4">
        <v>0.24696681308353644</v>
      </c>
      <c r="N1814" s="10">
        <v>0.247</v>
      </c>
      <c r="O1814" s="4">
        <v>1.2502924684706045</v>
      </c>
      <c r="P1814" s="4">
        <v>1.25</v>
      </c>
      <c r="Q1814" s="3" t="s">
        <v>1597</v>
      </c>
      <c r="R1814" s="3" t="s">
        <v>1602</v>
      </c>
      <c r="S1814" s="3" t="s">
        <v>1603</v>
      </c>
      <c r="T1814" s="3"/>
    </row>
    <row r="1815" spans="1:20">
      <c r="A1815" s="3" t="s">
        <v>1600</v>
      </c>
      <c r="B1815" s="3" t="s">
        <v>1601</v>
      </c>
      <c r="C1815" s="3" t="s">
        <v>1596</v>
      </c>
      <c r="D1815" s="3" t="s">
        <v>418</v>
      </c>
      <c r="E1815" s="3" t="s">
        <v>419</v>
      </c>
      <c r="F1815" s="2">
        <v>1</v>
      </c>
      <c r="G1815" s="4">
        <v>1.0581022624716023</v>
      </c>
      <c r="H1815" s="2">
        <v>25</v>
      </c>
      <c r="I1815" s="2">
        <v>5</v>
      </c>
      <c r="J1815" s="2">
        <v>16</v>
      </c>
      <c r="K1815" s="4">
        <v>1</v>
      </c>
      <c r="L1815" s="4">
        <v>0.24120756343875555</v>
      </c>
      <c r="M1815" s="4">
        <v>0.24120756343875555</v>
      </c>
      <c r="N1815" s="10">
        <v>0.24099999999999999</v>
      </c>
      <c r="O1815" s="4">
        <v>1.219929381236631</v>
      </c>
      <c r="P1815" s="4">
        <v>1.22</v>
      </c>
      <c r="Q1815" s="3" t="s">
        <v>1597</v>
      </c>
      <c r="R1815" s="3" t="s">
        <v>1602</v>
      </c>
      <c r="S1815" s="3" t="s">
        <v>1603</v>
      </c>
      <c r="T1815" s="3"/>
    </row>
    <row r="1816" spans="1:20">
      <c r="A1816" s="3" t="s">
        <v>1600</v>
      </c>
      <c r="B1816" s="3" t="s">
        <v>1601</v>
      </c>
      <c r="C1816" s="3" t="s">
        <v>1616</v>
      </c>
      <c r="D1816" s="3" t="s">
        <v>418</v>
      </c>
      <c r="E1816" s="3" t="s">
        <v>419</v>
      </c>
      <c r="F1816" s="2">
        <v>1</v>
      </c>
      <c r="G1816" s="4">
        <v>1.0581022624716023</v>
      </c>
      <c r="H1816" s="2">
        <v>25</v>
      </c>
      <c r="I1816" s="2">
        <v>5</v>
      </c>
      <c r="J1816" s="2">
        <v>16</v>
      </c>
      <c r="K1816" s="4">
        <v>1</v>
      </c>
      <c r="L1816" s="4">
        <v>0.21162815826722747</v>
      </c>
      <c r="M1816" s="4">
        <v>0.21162815826722747</v>
      </c>
      <c r="N1816" s="10">
        <v>0.21199999999999999</v>
      </c>
      <c r="O1816" s="4">
        <v>1.0653377148158198</v>
      </c>
      <c r="P1816" s="4">
        <v>1.07</v>
      </c>
      <c r="Q1816" s="3" t="s">
        <v>1597</v>
      </c>
      <c r="R1816" s="3" t="s">
        <v>1602</v>
      </c>
      <c r="S1816" s="3" t="s">
        <v>1603</v>
      </c>
      <c r="T1816" s="3"/>
    </row>
    <row r="1817" spans="1:20">
      <c r="A1817" s="3" t="s">
        <v>1594</v>
      </c>
      <c r="B1817" s="3" t="s">
        <v>1612</v>
      </c>
      <c r="C1817" s="3" t="s">
        <v>1596</v>
      </c>
      <c r="D1817" s="3" t="s">
        <v>418</v>
      </c>
      <c r="E1817" s="3" t="s">
        <v>419</v>
      </c>
      <c r="F1817" s="2">
        <v>1</v>
      </c>
      <c r="G1817" s="4">
        <v>1.0581022624716023</v>
      </c>
      <c r="H1817" s="2">
        <v>50</v>
      </c>
      <c r="I1817" s="2">
        <v>5</v>
      </c>
      <c r="J1817" s="2">
        <v>16</v>
      </c>
      <c r="K1817" s="4">
        <v>0.65714367344791214</v>
      </c>
      <c r="L1817" s="14">
        <v>7.6172675397664438E-2</v>
      </c>
      <c r="M1817" s="4">
        <v>7.6172675397664438E-2</v>
      </c>
      <c r="N1817" s="10">
        <v>7.5999999999999998E-2</v>
      </c>
      <c r="O1817" s="4">
        <v>0.41012060381350346</v>
      </c>
      <c r="P1817" s="4">
        <v>0.41</v>
      </c>
      <c r="Q1817" s="3" t="s">
        <v>1597</v>
      </c>
      <c r="R1817" s="3" t="s">
        <v>1613</v>
      </c>
      <c r="S1817" s="3" t="s">
        <v>1614</v>
      </c>
      <c r="T1817" s="3"/>
    </row>
    <row r="1818" spans="1:20">
      <c r="A1818" s="3" t="s">
        <v>1594</v>
      </c>
      <c r="B1818" s="3" t="s">
        <v>1595</v>
      </c>
      <c r="C1818" s="3" t="s">
        <v>1596</v>
      </c>
      <c r="D1818" s="3" t="s">
        <v>418</v>
      </c>
      <c r="E1818" s="3" t="s">
        <v>419</v>
      </c>
      <c r="F1818" s="2">
        <v>1</v>
      </c>
      <c r="G1818" s="4">
        <v>1.0581022624716023</v>
      </c>
      <c r="H1818" s="2">
        <v>50</v>
      </c>
      <c r="I1818" s="2">
        <v>5</v>
      </c>
      <c r="J1818" s="2">
        <v>16</v>
      </c>
      <c r="K1818" s="4">
        <v>0.76192989814809264</v>
      </c>
      <c r="L1818" s="14">
        <v>-0.18719399832235792</v>
      </c>
      <c r="M1818" s="4">
        <v>0.18719399832235792</v>
      </c>
      <c r="N1818" s="10">
        <v>0.187</v>
      </c>
      <c r="O1818" s="4">
        <v>1.0179201927704633</v>
      </c>
      <c r="P1818" s="4">
        <v>-1.02</v>
      </c>
      <c r="Q1818" s="3" t="s">
        <v>1617</v>
      </c>
      <c r="R1818" s="3" t="s">
        <v>1625</v>
      </c>
      <c r="S1818" s="3" t="s">
        <v>1626</v>
      </c>
      <c r="T1818" s="3"/>
    </row>
    <row r="1819" spans="1:20">
      <c r="A1819" s="3" t="s">
        <v>1594</v>
      </c>
      <c r="B1819" s="3" t="s">
        <v>1595</v>
      </c>
      <c r="C1819" s="3" t="s">
        <v>1596</v>
      </c>
      <c r="D1819" s="3" t="s">
        <v>642</v>
      </c>
      <c r="E1819" s="3" t="s">
        <v>643</v>
      </c>
      <c r="F1819" s="2">
        <v>1</v>
      </c>
      <c r="G1819" s="4">
        <v>1.0597412792123897</v>
      </c>
      <c r="H1819" s="2">
        <v>50</v>
      </c>
      <c r="I1819" s="2">
        <v>5</v>
      </c>
      <c r="J1819" s="2">
        <v>16</v>
      </c>
      <c r="K1819" s="4">
        <v>1</v>
      </c>
      <c r="L1819" s="14">
        <v>0.111596220960196</v>
      </c>
      <c r="M1819" s="4">
        <v>0.111596220960196</v>
      </c>
      <c r="N1819" s="10">
        <v>0.112</v>
      </c>
      <c r="O1819" s="4">
        <v>0.6021884841116667</v>
      </c>
      <c r="P1819" s="4">
        <v>0.6</v>
      </c>
      <c r="Q1819" s="3" t="s">
        <v>1597</v>
      </c>
      <c r="R1819" s="3" t="s">
        <v>1598</v>
      </c>
      <c r="S1819" s="3" t="s">
        <v>1599</v>
      </c>
      <c r="T1819" s="3"/>
    </row>
    <row r="1820" spans="1:20">
      <c r="A1820" s="3" t="s">
        <v>1594</v>
      </c>
      <c r="B1820" s="3" t="s">
        <v>1612</v>
      </c>
      <c r="C1820" s="3" t="s">
        <v>1596</v>
      </c>
      <c r="D1820" s="3" t="s">
        <v>642</v>
      </c>
      <c r="E1820" s="3" t="s">
        <v>643</v>
      </c>
      <c r="F1820" s="2">
        <v>1</v>
      </c>
      <c r="G1820" s="4">
        <v>1.0597412792123897</v>
      </c>
      <c r="H1820" s="2">
        <v>50</v>
      </c>
      <c r="I1820" s="2">
        <v>5</v>
      </c>
      <c r="J1820" s="2">
        <v>16</v>
      </c>
      <c r="K1820" s="4">
        <v>1</v>
      </c>
      <c r="L1820" s="14">
        <v>-0.17786364470678401</v>
      </c>
      <c r="M1820" s="4">
        <v>0.17786364470678401</v>
      </c>
      <c r="N1820" s="10">
        <v>0.17799999999999999</v>
      </c>
      <c r="O1820" s="4">
        <v>0.96605357583246709</v>
      </c>
      <c r="P1820" s="4">
        <v>-0.97</v>
      </c>
      <c r="Q1820" s="3" t="s">
        <v>1617</v>
      </c>
      <c r="R1820" s="3" t="s">
        <v>1627</v>
      </c>
      <c r="S1820" s="3" t="s">
        <v>1628</v>
      </c>
      <c r="T1820" s="3"/>
    </row>
    <row r="1821" spans="1:20">
      <c r="A1821" s="3" t="s">
        <v>1600</v>
      </c>
      <c r="B1821" s="3" t="s">
        <v>1606</v>
      </c>
      <c r="C1821" s="3" t="s">
        <v>1616</v>
      </c>
      <c r="D1821" s="3" t="s">
        <v>642</v>
      </c>
      <c r="E1821" s="3" t="s">
        <v>643</v>
      </c>
      <c r="F1821" s="2">
        <v>1</v>
      </c>
      <c r="G1821" s="4">
        <v>1.0597412792123897</v>
      </c>
      <c r="H1821" s="2">
        <v>25</v>
      </c>
      <c r="I1821" s="2">
        <v>5</v>
      </c>
      <c r="J1821" s="2">
        <v>16</v>
      </c>
      <c r="K1821" s="11">
        <v>1</v>
      </c>
      <c r="L1821" s="11">
        <v>-0.71344964507605113</v>
      </c>
      <c r="M1821" s="4">
        <v>0.71344964507605113</v>
      </c>
      <c r="N1821" s="10">
        <v>0.71299999999999997</v>
      </c>
      <c r="O1821" s="4">
        <v>4.4332619278660914</v>
      </c>
      <c r="P1821" s="4">
        <v>-4.43</v>
      </c>
      <c r="Q1821" s="3" t="s">
        <v>1617</v>
      </c>
      <c r="R1821" s="3" t="s">
        <v>1621</v>
      </c>
      <c r="S1821" s="3" t="s">
        <v>1622</v>
      </c>
      <c r="T1821" s="3"/>
    </row>
    <row r="1822" spans="1:20">
      <c r="A1822" s="3" t="s">
        <v>1600</v>
      </c>
      <c r="B1822" s="3" t="s">
        <v>1609</v>
      </c>
      <c r="C1822" s="3" t="s">
        <v>1616</v>
      </c>
      <c r="D1822" s="3" t="s">
        <v>642</v>
      </c>
      <c r="E1822" s="3" t="s">
        <v>643</v>
      </c>
      <c r="F1822" s="2">
        <v>1</v>
      </c>
      <c r="G1822" s="4">
        <v>1.0597412792123897</v>
      </c>
      <c r="H1822" s="2">
        <v>25</v>
      </c>
      <c r="I1822" s="2">
        <v>5</v>
      </c>
      <c r="J1822" s="2">
        <v>16</v>
      </c>
      <c r="K1822" s="11">
        <v>0.98108303184250256</v>
      </c>
      <c r="L1822" s="11">
        <v>-0.76457305213066495</v>
      </c>
      <c r="M1822" s="4">
        <v>0.76457305213066495</v>
      </c>
      <c r="N1822" s="10">
        <v>0.76500000000000001</v>
      </c>
      <c r="O1822" s="4">
        <v>4.993294810357007</v>
      </c>
      <c r="P1822" s="4">
        <v>-5</v>
      </c>
      <c r="Q1822" s="3" t="s">
        <v>1617</v>
      </c>
      <c r="R1822" s="3" t="s">
        <v>1623</v>
      </c>
      <c r="S1822" s="3" t="s">
        <v>1624</v>
      </c>
      <c r="T1822" s="3"/>
    </row>
    <row r="1823" spans="1:20">
      <c r="A1823" s="3" t="s">
        <v>1600</v>
      </c>
      <c r="B1823" s="3" t="s">
        <v>1606</v>
      </c>
      <c r="C1823" s="3" t="s">
        <v>1616</v>
      </c>
      <c r="D1823" s="3" t="s">
        <v>642</v>
      </c>
      <c r="E1823" s="3" t="s">
        <v>643</v>
      </c>
      <c r="F1823" s="2">
        <v>1</v>
      </c>
      <c r="G1823" s="4">
        <v>1.0597412792123897</v>
      </c>
      <c r="H1823" s="2">
        <v>25</v>
      </c>
      <c r="I1823" s="2">
        <v>5</v>
      </c>
      <c r="J1823" s="2">
        <v>1</v>
      </c>
      <c r="K1823" s="4">
        <v>1</v>
      </c>
      <c r="L1823" s="4">
        <v>-0.76605645789197307</v>
      </c>
      <c r="M1823" s="4">
        <v>0.76605645789197307</v>
      </c>
      <c r="N1823" s="10">
        <v>0.76600000000000001</v>
      </c>
      <c r="O1823" s="4">
        <v>5.0110470949163322</v>
      </c>
      <c r="P1823" s="4">
        <v>-5.01</v>
      </c>
      <c r="Q1823" s="3" t="s">
        <v>1617</v>
      </c>
      <c r="R1823" s="3" t="s">
        <v>1621</v>
      </c>
      <c r="S1823" s="3" t="s">
        <v>1622</v>
      </c>
      <c r="T1823" s="3"/>
    </row>
    <row r="1824" spans="1:20">
      <c r="A1824" s="3" t="s">
        <v>1600</v>
      </c>
      <c r="B1824" s="3" t="s">
        <v>1609</v>
      </c>
      <c r="C1824" s="3" t="s">
        <v>1616</v>
      </c>
      <c r="D1824" s="3" t="s">
        <v>642</v>
      </c>
      <c r="E1824" s="3" t="s">
        <v>643</v>
      </c>
      <c r="F1824" s="2">
        <v>1</v>
      </c>
      <c r="G1824" s="4">
        <v>1.0597412792123897</v>
      </c>
      <c r="H1824" s="2">
        <v>25</v>
      </c>
      <c r="I1824" s="2">
        <v>5</v>
      </c>
      <c r="J1824" s="2">
        <v>1</v>
      </c>
      <c r="K1824" s="4">
        <v>1</v>
      </c>
      <c r="L1824" s="4">
        <v>-0.79304229569813445</v>
      </c>
      <c r="M1824" s="4">
        <v>0.79304229569813445</v>
      </c>
      <c r="N1824" s="10">
        <v>0.79300000000000004</v>
      </c>
      <c r="O1824" s="4">
        <v>5.3524755812646383</v>
      </c>
      <c r="P1824" s="4">
        <v>-5.35</v>
      </c>
      <c r="Q1824" s="3" t="s">
        <v>1617</v>
      </c>
      <c r="R1824" s="3" t="s">
        <v>1623</v>
      </c>
      <c r="S1824" s="3" t="s">
        <v>1624</v>
      </c>
      <c r="T1824" s="3"/>
    </row>
    <row r="1825" spans="1:20">
      <c r="A1825" s="3" t="s">
        <v>1600</v>
      </c>
      <c r="B1825" s="3" t="s">
        <v>1606</v>
      </c>
      <c r="C1825" s="3" t="s">
        <v>1596</v>
      </c>
      <c r="D1825" s="3" t="s">
        <v>642</v>
      </c>
      <c r="E1825" s="3" t="s">
        <v>643</v>
      </c>
      <c r="F1825" s="2">
        <v>1</v>
      </c>
      <c r="G1825" s="4">
        <v>1.0597412792123897</v>
      </c>
      <c r="H1825" s="2">
        <v>25</v>
      </c>
      <c r="I1825" s="2">
        <v>5</v>
      </c>
      <c r="J1825" s="2">
        <v>1</v>
      </c>
      <c r="K1825" s="11">
        <v>1</v>
      </c>
      <c r="L1825" s="11">
        <v>-0.81905752460196812</v>
      </c>
      <c r="M1825" s="4">
        <v>0.81905752460196812</v>
      </c>
      <c r="N1825" s="10">
        <v>0.81899999999999995</v>
      </c>
      <c r="O1825" s="4">
        <v>5.7211973564925316</v>
      </c>
      <c r="P1825" s="4">
        <v>-5.72</v>
      </c>
      <c r="Q1825" s="3" t="s">
        <v>1617</v>
      </c>
      <c r="R1825" s="3" t="s">
        <v>1621</v>
      </c>
      <c r="S1825" s="3" t="s">
        <v>1622</v>
      </c>
      <c r="T1825" s="3"/>
    </row>
    <row r="1826" spans="1:20">
      <c r="A1826" s="3" t="s">
        <v>1600</v>
      </c>
      <c r="B1826" s="3" t="s">
        <v>1606</v>
      </c>
      <c r="C1826" s="3" t="s">
        <v>1596</v>
      </c>
      <c r="D1826" s="3" t="s">
        <v>642</v>
      </c>
      <c r="E1826" s="3" t="s">
        <v>643</v>
      </c>
      <c r="F1826" s="2">
        <v>1</v>
      </c>
      <c r="G1826" s="4">
        <v>1.0597412792123897</v>
      </c>
      <c r="H1826" s="2">
        <v>25</v>
      </c>
      <c r="I1826" s="2">
        <v>5</v>
      </c>
      <c r="J1826" s="2">
        <v>16</v>
      </c>
      <c r="K1826" s="11">
        <v>1</v>
      </c>
      <c r="L1826" s="11">
        <v>-0.84818463883294326</v>
      </c>
      <c r="M1826" s="4">
        <v>0.84818463883294326</v>
      </c>
      <c r="N1826" s="10">
        <v>0.84799999999999998</v>
      </c>
      <c r="O1826" s="4">
        <v>6.1956705504703375</v>
      </c>
      <c r="P1826" s="4">
        <v>-6.19</v>
      </c>
      <c r="Q1826" s="3" t="s">
        <v>1617</v>
      </c>
      <c r="R1826" s="3" t="s">
        <v>1621</v>
      </c>
      <c r="S1826" s="3" t="s">
        <v>1622</v>
      </c>
      <c r="T1826" s="3"/>
    </row>
    <row r="1827" spans="1:20">
      <c r="A1827" s="3" t="s">
        <v>1604</v>
      </c>
      <c r="B1827" s="3" t="s">
        <v>1601</v>
      </c>
      <c r="C1827" s="3" t="s">
        <v>1596</v>
      </c>
      <c r="D1827" s="3" t="s">
        <v>642</v>
      </c>
      <c r="E1827" s="3" t="s">
        <v>643</v>
      </c>
      <c r="F1827" s="2">
        <v>1</v>
      </c>
      <c r="G1827" s="4">
        <v>1.0597412792123897</v>
      </c>
      <c r="H1827" s="2">
        <v>25</v>
      </c>
      <c r="I1827" s="2">
        <v>30</v>
      </c>
      <c r="J1827" s="2">
        <v>16</v>
      </c>
      <c r="K1827" s="4">
        <v>1</v>
      </c>
      <c r="L1827" s="4">
        <v>-0.85486042460331635</v>
      </c>
      <c r="M1827" s="4">
        <v>0.85486042460331635</v>
      </c>
      <c r="N1827" s="10">
        <v>0.85499999999999998</v>
      </c>
      <c r="O1827" s="4">
        <v>6.3160858205857906</v>
      </c>
      <c r="P1827" s="4">
        <v>-6.32</v>
      </c>
      <c r="Q1827" s="3" t="s">
        <v>1617</v>
      </c>
      <c r="R1827" s="3" t="s">
        <v>1618</v>
      </c>
      <c r="S1827" s="3" t="s">
        <v>1619</v>
      </c>
      <c r="T1827" s="3"/>
    </row>
    <row r="1828" spans="1:20">
      <c r="A1828" s="3" t="s">
        <v>1604</v>
      </c>
      <c r="B1828" s="3" t="s">
        <v>1601</v>
      </c>
      <c r="C1828" s="3" t="s">
        <v>1616</v>
      </c>
      <c r="D1828" s="3" t="s">
        <v>642</v>
      </c>
      <c r="E1828" s="3" t="s">
        <v>643</v>
      </c>
      <c r="F1828" s="2">
        <v>1</v>
      </c>
      <c r="G1828" s="4">
        <v>1.0597412792123897</v>
      </c>
      <c r="H1828" s="2">
        <v>25</v>
      </c>
      <c r="I1828" s="2">
        <v>30</v>
      </c>
      <c r="J1828" s="2">
        <v>16</v>
      </c>
      <c r="K1828" s="4">
        <v>1</v>
      </c>
      <c r="L1828" s="4">
        <v>-0.87732794350280097</v>
      </c>
      <c r="M1828" s="4">
        <v>0.87732794350280097</v>
      </c>
      <c r="N1828" s="10">
        <v>0.877</v>
      </c>
      <c r="O1828" s="4">
        <v>6.7628486623412636</v>
      </c>
      <c r="P1828" s="4">
        <v>-6.76</v>
      </c>
      <c r="Q1828" s="3" t="s">
        <v>1617</v>
      </c>
      <c r="R1828" s="3" t="s">
        <v>1618</v>
      </c>
      <c r="S1828" s="3" t="s">
        <v>1619</v>
      </c>
      <c r="T1828" s="3"/>
    </row>
    <row r="1829" spans="1:20">
      <c r="A1829" s="3" t="s">
        <v>1600</v>
      </c>
      <c r="B1829" s="3" t="s">
        <v>1601</v>
      </c>
      <c r="C1829" s="3" t="s">
        <v>1616</v>
      </c>
      <c r="D1829" s="3" t="s">
        <v>642</v>
      </c>
      <c r="E1829" s="3" t="s">
        <v>643</v>
      </c>
      <c r="F1829" s="2">
        <v>1</v>
      </c>
      <c r="G1829" s="4">
        <v>1.0597412792123897</v>
      </c>
      <c r="H1829" s="2">
        <v>25</v>
      </c>
      <c r="I1829" s="2">
        <v>5</v>
      </c>
      <c r="J1829" s="2">
        <v>16</v>
      </c>
      <c r="K1829" s="4">
        <v>1</v>
      </c>
      <c r="L1829" s="4">
        <v>-0.9297538916553254</v>
      </c>
      <c r="M1829" s="4">
        <v>0.9297538916553254</v>
      </c>
      <c r="N1829" s="10">
        <v>0.93</v>
      </c>
      <c r="O1829" s="4">
        <v>8.2131756770418907</v>
      </c>
      <c r="P1829" s="4">
        <v>-8.2200000000000006</v>
      </c>
      <c r="Q1829" s="3" t="s">
        <v>1617</v>
      </c>
      <c r="R1829" s="3" t="s">
        <v>1618</v>
      </c>
      <c r="S1829" s="3" t="s">
        <v>1619</v>
      </c>
      <c r="T1829" s="3"/>
    </row>
    <row r="1830" spans="1:20">
      <c r="A1830" s="3" t="s">
        <v>1600</v>
      </c>
      <c r="B1830" s="3" t="s">
        <v>1601</v>
      </c>
      <c r="C1830" s="3" t="s">
        <v>1616</v>
      </c>
      <c r="D1830" s="3" t="s">
        <v>642</v>
      </c>
      <c r="E1830" s="3" t="s">
        <v>643</v>
      </c>
      <c r="F1830" s="2">
        <v>1</v>
      </c>
      <c r="G1830" s="4">
        <v>1.0597412792123897</v>
      </c>
      <c r="H1830" s="2">
        <v>25</v>
      </c>
      <c r="I1830" s="2">
        <v>5</v>
      </c>
      <c r="J1830" s="2">
        <v>1</v>
      </c>
      <c r="K1830" s="4">
        <v>1</v>
      </c>
      <c r="L1830" s="4">
        <v>-0.93700996221564348</v>
      </c>
      <c r="M1830" s="4">
        <v>0.93700996221564348</v>
      </c>
      <c r="N1830" s="10">
        <v>0.93700000000000006</v>
      </c>
      <c r="O1830" s="4">
        <v>8.4927571188509443</v>
      </c>
      <c r="P1830" s="4">
        <v>-8.49</v>
      </c>
      <c r="Q1830" s="3" t="s">
        <v>1617</v>
      </c>
      <c r="R1830" s="3" t="s">
        <v>1618</v>
      </c>
      <c r="S1830" s="3" t="s">
        <v>1619</v>
      </c>
      <c r="T1830" s="3"/>
    </row>
    <row r="1831" spans="1:20">
      <c r="A1831" s="3" t="s">
        <v>1600</v>
      </c>
      <c r="B1831" s="3" t="s">
        <v>1601</v>
      </c>
      <c r="C1831" s="3" t="s">
        <v>1596</v>
      </c>
      <c r="D1831" s="3" t="s">
        <v>642</v>
      </c>
      <c r="E1831" s="3" t="s">
        <v>643</v>
      </c>
      <c r="F1831" s="2">
        <v>1</v>
      </c>
      <c r="G1831" s="4">
        <v>1.0597412792123897</v>
      </c>
      <c r="H1831" s="2">
        <v>25</v>
      </c>
      <c r="I1831" s="2">
        <v>5</v>
      </c>
      <c r="J1831" s="2">
        <v>16</v>
      </c>
      <c r="K1831" s="4">
        <v>1</v>
      </c>
      <c r="L1831" s="4">
        <v>-0.94662347141407799</v>
      </c>
      <c r="M1831" s="4">
        <v>0.94662347141407799</v>
      </c>
      <c r="N1831" s="10">
        <v>0.94699999999999995</v>
      </c>
      <c r="O1831" s="4">
        <v>8.915560671302007</v>
      </c>
      <c r="P1831" s="4">
        <v>-8.93</v>
      </c>
      <c r="Q1831" s="3" t="s">
        <v>1617</v>
      </c>
      <c r="R1831" s="3" t="s">
        <v>1618</v>
      </c>
      <c r="S1831" s="3" t="s">
        <v>1619</v>
      </c>
      <c r="T1831" s="3"/>
    </row>
    <row r="1832" spans="1:20">
      <c r="A1832" s="12" t="s">
        <v>1605</v>
      </c>
      <c r="B1832" s="3" t="s">
        <v>1601</v>
      </c>
      <c r="C1832" s="3" t="s">
        <v>1596</v>
      </c>
      <c r="D1832" s="3" t="s">
        <v>642</v>
      </c>
      <c r="E1832" s="3" t="s">
        <v>643</v>
      </c>
      <c r="F1832" s="2">
        <v>1</v>
      </c>
      <c r="G1832" s="4">
        <v>1.0597412792123897</v>
      </c>
      <c r="H1832" s="2">
        <v>25</v>
      </c>
      <c r="I1832" s="2">
        <v>5</v>
      </c>
      <c r="J1832" s="2">
        <v>16</v>
      </c>
      <c r="K1832" s="11">
        <v>1</v>
      </c>
      <c r="L1832" s="11">
        <v>-0.95400716719106116</v>
      </c>
      <c r="M1832" s="4">
        <v>0.95400716719106116</v>
      </c>
      <c r="N1832" s="10">
        <v>0.95399999999999996</v>
      </c>
      <c r="O1832" s="4">
        <v>9.2940283045867123</v>
      </c>
      <c r="P1832" s="4">
        <v>-9.2899999999999991</v>
      </c>
      <c r="Q1832" s="3" t="s">
        <v>1617</v>
      </c>
      <c r="R1832" s="3" t="s">
        <v>1618</v>
      </c>
      <c r="S1832" s="3" t="s">
        <v>1619</v>
      </c>
      <c r="T1832" s="3"/>
    </row>
    <row r="1833" spans="1:20">
      <c r="A1833" s="3" t="s">
        <v>1600</v>
      </c>
      <c r="B1833" s="3" t="s">
        <v>1601</v>
      </c>
      <c r="C1833" s="3" t="s">
        <v>1596</v>
      </c>
      <c r="D1833" s="3" t="s">
        <v>642</v>
      </c>
      <c r="E1833" s="3" t="s">
        <v>643</v>
      </c>
      <c r="F1833" s="2">
        <v>1</v>
      </c>
      <c r="G1833" s="4">
        <v>1.0597412792123897</v>
      </c>
      <c r="H1833" s="2">
        <v>25</v>
      </c>
      <c r="I1833" s="2">
        <v>5</v>
      </c>
      <c r="J1833" s="2">
        <v>1</v>
      </c>
      <c r="K1833" s="4">
        <v>1</v>
      </c>
      <c r="L1833" s="4">
        <v>-0.95508514529530242</v>
      </c>
      <c r="M1833" s="4">
        <v>0.95508514529530242</v>
      </c>
      <c r="N1833" s="10">
        <v>0.95499999999999996</v>
      </c>
      <c r="O1833" s="4">
        <v>9.3541891922414635</v>
      </c>
      <c r="P1833" s="4">
        <v>-9.35</v>
      </c>
      <c r="Q1833" s="3" t="s">
        <v>1617</v>
      </c>
      <c r="R1833" s="3" t="s">
        <v>1618</v>
      </c>
      <c r="S1833" s="3" t="s">
        <v>1619</v>
      </c>
      <c r="T1833" s="3"/>
    </row>
    <row r="1834" spans="1:20">
      <c r="A1834" s="3" t="s">
        <v>1600</v>
      </c>
      <c r="B1834" s="3" t="s">
        <v>1609</v>
      </c>
      <c r="C1834" s="3" t="s">
        <v>1596</v>
      </c>
      <c r="D1834" s="3" t="s">
        <v>642</v>
      </c>
      <c r="E1834" s="3" t="s">
        <v>643</v>
      </c>
      <c r="F1834" s="2">
        <v>1</v>
      </c>
      <c r="G1834" s="4">
        <v>1.0597412792123897</v>
      </c>
      <c r="H1834" s="2">
        <v>25</v>
      </c>
      <c r="I1834" s="2">
        <v>5</v>
      </c>
      <c r="J1834" s="2">
        <v>16</v>
      </c>
      <c r="K1834" s="4">
        <v>1</v>
      </c>
      <c r="L1834" s="4">
        <v>-0.97212668869557395</v>
      </c>
      <c r="M1834" s="4">
        <v>0.97212668869557395</v>
      </c>
      <c r="N1834" s="10">
        <v>0.97199999999999998</v>
      </c>
      <c r="O1834" s="4">
        <v>10.558416615094739</v>
      </c>
      <c r="P1834" s="4">
        <v>-10.55</v>
      </c>
      <c r="Q1834" s="3" t="s">
        <v>1617</v>
      </c>
      <c r="R1834" s="3" t="s">
        <v>1623</v>
      </c>
      <c r="S1834" s="3" t="s">
        <v>1624</v>
      </c>
      <c r="T1834" s="3"/>
    </row>
    <row r="1835" spans="1:20">
      <c r="A1835" s="3" t="s">
        <v>1600</v>
      </c>
      <c r="B1835" s="3" t="s">
        <v>1609</v>
      </c>
      <c r="C1835" s="3" t="s">
        <v>1596</v>
      </c>
      <c r="D1835" s="3" t="s">
        <v>642</v>
      </c>
      <c r="E1835" s="3" t="s">
        <v>643</v>
      </c>
      <c r="F1835" s="2">
        <v>1</v>
      </c>
      <c r="G1835" s="4">
        <v>1.0597412792123897</v>
      </c>
      <c r="H1835" s="2">
        <v>25</v>
      </c>
      <c r="I1835" s="2">
        <v>5</v>
      </c>
      <c r="J1835" s="2">
        <v>1</v>
      </c>
      <c r="K1835" s="11">
        <v>1</v>
      </c>
      <c r="L1835" s="11">
        <v>-0.98241705233271825</v>
      </c>
      <c r="M1835" s="4">
        <v>0.98241705233271825</v>
      </c>
      <c r="N1835" s="10">
        <v>0.98199999999999998</v>
      </c>
      <c r="O1835" s="4">
        <v>11.713478035686274</v>
      </c>
      <c r="P1835" s="4">
        <v>-11.65</v>
      </c>
      <c r="Q1835" s="3" t="s">
        <v>1617</v>
      </c>
      <c r="R1835" s="3" t="s">
        <v>1623</v>
      </c>
      <c r="S1835" s="3" t="s">
        <v>1624</v>
      </c>
      <c r="T1835" s="3"/>
    </row>
    <row r="1836" spans="1:20">
      <c r="A1836" s="3" t="s">
        <v>1594</v>
      </c>
      <c r="B1836" s="3" t="s">
        <v>1612</v>
      </c>
      <c r="C1836" s="3" t="s">
        <v>1596</v>
      </c>
      <c r="D1836" s="3" t="s">
        <v>485</v>
      </c>
      <c r="E1836" s="3" t="s">
        <v>486</v>
      </c>
      <c r="F1836" s="2">
        <v>1</v>
      </c>
      <c r="G1836" s="4">
        <v>1.0600475494579797</v>
      </c>
      <c r="H1836" s="2">
        <v>50</v>
      </c>
      <c r="I1836" s="2">
        <v>5</v>
      </c>
      <c r="J1836" s="2">
        <v>16</v>
      </c>
      <c r="K1836" s="4">
        <v>0.17819085117114997</v>
      </c>
      <c r="L1836" s="14">
        <v>9.8021028716955116E-2</v>
      </c>
      <c r="M1836" s="4">
        <v>9.8021028716955116E-2</v>
      </c>
      <c r="N1836" s="10">
        <v>9.8000000000000004E-2</v>
      </c>
      <c r="O1836" s="4">
        <v>0.52842857375953933</v>
      </c>
      <c r="P1836" s="4">
        <v>0.53</v>
      </c>
      <c r="Q1836" s="3" t="s">
        <v>1597</v>
      </c>
      <c r="R1836" s="3" t="s">
        <v>1613</v>
      </c>
      <c r="S1836" s="3" t="s">
        <v>1614</v>
      </c>
      <c r="T1836" s="3"/>
    </row>
    <row r="1837" spans="1:20">
      <c r="A1837" s="3" t="s">
        <v>1604</v>
      </c>
      <c r="B1837" s="3" t="s">
        <v>1601</v>
      </c>
      <c r="C1837" s="3" t="s">
        <v>1616</v>
      </c>
      <c r="D1837" s="3" t="s">
        <v>485</v>
      </c>
      <c r="E1837" s="3" t="s">
        <v>486</v>
      </c>
      <c r="F1837" s="2">
        <v>1</v>
      </c>
      <c r="G1837" s="4">
        <v>1.0600475494579797</v>
      </c>
      <c r="H1837" s="2">
        <v>25</v>
      </c>
      <c r="I1837" s="2">
        <v>30</v>
      </c>
      <c r="J1837" s="2">
        <v>16</v>
      </c>
      <c r="K1837" s="4">
        <v>1</v>
      </c>
      <c r="L1837" s="4">
        <v>-0.13754524168829366</v>
      </c>
      <c r="M1837" s="4">
        <v>0.13754524168829366</v>
      </c>
      <c r="N1837" s="10">
        <v>0.13800000000000001</v>
      </c>
      <c r="O1837" s="4">
        <v>0.68629051345148928</v>
      </c>
      <c r="P1837" s="4">
        <v>-0.69</v>
      </c>
      <c r="Q1837" s="3" t="s">
        <v>1617</v>
      </c>
      <c r="R1837" s="3" t="s">
        <v>1618</v>
      </c>
      <c r="S1837" s="3" t="s">
        <v>1619</v>
      </c>
      <c r="T1837" s="3"/>
    </row>
    <row r="1838" spans="1:20">
      <c r="A1838" s="3" t="s">
        <v>1600</v>
      </c>
      <c r="B1838" s="3" t="s">
        <v>1609</v>
      </c>
      <c r="C1838" s="3" t="s">
        <v>1616</v>
      </c>
      <c r="D1838" s="3" t="s">
        <v>485</v>
      </c>
      <c r="E1838" s="3" t="s">
        <v>486</v>
      </c>
      <c r="F1838" s="2">
        <v>1</v>
      </c>
      <c r="G1838" s="4">
        <v>1.0600475494579797</v>
      </c>
      <c r="H1838" s="2">
        <v>25</v>
      </c>
      <c r="I1838" s="2">
        <v>5</v>
      </c>
      <c r="J1838" s="2">
        <v>16</v>
      </c>
      <c r="K1838" s="11">
        <v>1</v>
      </c>
      <c r="L1838" s="11">
        <v>-0.25342324410716349</v>
      </c>
      <c r="M1838" s="4">
        <v>0.25342324410716349</v>
      </c>
      <c r="N1838" s="10">
        <v>0.253</v>
      </c>
      <c r="O1838" s="4">
        <v>1.2844407944684086</v>
      </c>
      <c r="P1838" s="4">
        <v>-1.28</v>
      </c>
      <c r="Q1838" s="3" t="s">
        <v>1617</v>
      </c>
      <c r="R1838" s="3" t="s">
        <v>1623</v>
      </c>
      <c r="S1838" s="3" t="s">
        <v>1624</v>
      </c>
      <c r="T1838" s="3"/>
    </row>
    <row r="1839" spans="1:20">
      <c r="A1839" s="3" t="s">
        <v>1600</v>
      </c>
      <c r="B1839" s="3" t="s">
        <v>1609</v>
      </c>
      <c r="C1839" s="3" t="s">
        <v>1616</v>
      </c>
      <c r="D1839" s="3" t="s">
        <v>485</v>
      </c>
      <c r="E1839" s="3" t="s">
        <v>486</v>
      </c>
      <c r="F1839" s="2">
        <v>1</v>
      </c>
      <c r="G1839" s="4">
        <v>1.0600475494579797</v>
      </c>
      <c r="H1839" s="2">
        <v>25</v>
      </c>
      <c r="I1839" s="2">
        <v>5</v>
      </c>
      <c r="J1839" s="2">
        <v>1</v>
      </c>
      <c r="K1839" s="4">
        <v>1</v>
      </c>
      <c r="L1839" s="4">
        <v>-0.27140278620448505</v>
      </c>
      <c r="M1839" s="4">
        <v>0.27140278620448505</v>
      </c>
      <c r="N1839" s="10">
        <v>0.27100000000000002</v>
      </c>
      <c r="O1839" s="4">
        <v>1.3801780884736377</v>
      </c>
      <c r="P1839" s="4">
        <v>-1.38</v>
      </c>
      <c r="Q1839" s="3" t="s">
        <v>1617</v>
      </c>
      <c r="R1839" s="3" t="s">
        <v>1623</v>
      </c>
      <c r="S1839" s="3" t="s">
        <v>1624</v>
      </c>
      <c r="T1839" s="3"/>
    </row>
    <row r="1840" spans="1:20">
      <c r="A1840" s="3" t="s">
        <v>1600</v>
      </c>
      <c r="B1840" s="3" t="s">
        <v>1601</v>
      </c>
      <c r="C1840" s="3" t="s">
        <v>1616</v>
      </c>
      <c r="D1840" s="3" t="s">
        <v>485</v>
      </c>
      <c r="E1840" s="3" t="s">
        <v>486</v>
      </c>
      <c r="F1840" s="2">
        <v>1</v>
      </c>
      <c r="G1840" s="4">
        <v>1.0600475494579797</v>
      </c>
      <c r="H1840" s="2">
        <v>25</v>
      </c>
      <c r="I1840" s="2">
        <v>5</v>
      </c>
      <c r="J1840" s="2">
        <v>1</v>
      </c>
      <c r="K1840" s="4">
        <v>1</v>
      </c>
      <c r="L1840" s="4">
        <v>-0.30756052317544336</v>
      </c>
      <c r="M1840" s="4">
        <v>0.30756052317544336</v>
      </c>
      <c r="N1840" s="10">
        <v>0.308</v>
      </c>
      <c r="O1840" s="4">
        <v>1.5758742381867099</v>
      </c>
      <c r="P1840" s="4">
        <v>-1.58</v>
      </c>
      <c r="Q1840" s="3" t="s">
        <v>1617</v>
      </c>
      <c r="R1840" s="3" t="s">
        <v>1618</v>
      </c>
      <c r="S1840" s="3" t="s">
        <v>1619</v>
      </c>
      <c r="T1840" s="3"/>
    </row>
    <row r="1841" spans="1:20">
      <c r="A1841" s="3" t="s">
        <v>1594</v>
      </c>
      <c r="B1841" s="3" t="s">
        <v>1595</v>
      </c>
      <c r="C1841" s="3" t="s">
        <v>1596</v>
      </c>
      <c r="D1841" s="3" t="s">
        <v>485</v>
      </c>
      <c r="E1841" s="3" t="s">
        <v>486</v>
      </c>
      <c r="F1841" s="2">
        <v>1</v>
      </c>
      <c r="G1841" s="4">
        <v>1.0600475494579797</v>
      </c>
      <c r="H1841" s="2">
        <v>50</v>
      </c>
      <c r="I1841" s="2">
        <v>5</v>
      </c>
      <c r="J1841" s="2">
        <v>16</v>
      </c>
      <c r="K1841" s="4">
        <v>1</v>
      </c>
      <c r="L1841" s="14">
        <v>-0.46707688429198713</v>
      </c>
      <c r="M1841" s="4">
        <v>0.46707688429198713</v>
      </c>
      <c r="N1841" s="10">
        <v>0.46700000000000003</v>
      </c>
      <c r="O1841" s="4">
        <v>2.7208191378721018</v>
      </c>
      <c r="P1841" s="4">
        <v>-2.72</v>
      </c>
      <c r="Q1841" s="3" t="s">
        <v>1617</v>
      </c>
      <c r="R1841" s="3" t="s">
        <v>1625</v>
      </c>
      <c r="S1841" s="3" t="s">
        <v>1626</v>
      </c>
      <c r="T1841" s="3"/>
    </row>
    <row r="1842" spans="1:20">
      <c r="A1842" s="3" t="s">
        <v>1600</v>
      </c>
      <c r="B1842" s="3" t="s">
        <v>1601</v>
      </c>
      <c r="C1842" s="3" t="s">
        <v>1616</v>
      </c>
      <c r="D1842" s="3" t="s">
        <v>485</v>
      </c>
      <c r="E1842" s="3" t="s">
        <v>486</v>
      </c>
      <c r="F1842" s="2">
        <v>1</v>
      </c>
      <c r="G1842" s="4">
        <v>1.0600475494579797</v>
      </c>
      <c r="H1842" s="2">
        <v>25</v>
      </c>
      <c r="I1842" s="2">
        <v>5</v>
      </c>
      <c r="J1842" s="2">
        <v>16</v>
      </c>
      <c r="K1842" s="4">
        <v>1</v>
      </c>
      <c r="L1842" s="4">
        <v>-0.52538034523028687</v>
      </c>
      <c r="M1842" s="4">
        <v>0.52538034523028687</v>
      </c>
      <c r="N1842" s="10">
        <v>0.52500000000000002</v>
      </c>
      <c r="O1842" s="4">
        <v>2.8941589237387437</v>
      </c>
      <c r="P1842" s="4">
        <v>-2.89</v>
      </c>
      <c r="Q1842" s="3" t="s">
        <v>1617</v>
      </c>
      <c r="R1842" s="3" t="s">
        <v>1618</v>
      </c>
      <c r="S1842" s="3" t="s">
        <v>1619</v>
      </c>
      <c r="T1842" s="3"/>
    </row>
    <row r="1843" spans="1:20">
      <c r="A1843" s="3" t="s">
        <v>1604</v>
      </c>
      <c r="B1843" s="3" t="s">
        <v>1601</v>
      </c>
      <c r="C1843" s="3" t="s">
        <v>1596</v>
      </c>
      <c r="D1843" s="3" t="s">
        <v>485</v>
      </c>
      <c r="E1843" s="3" t="s">
        <v>486</v>
      </c>
      <c r="F1843" s="2">
        <v>1</v>
      </c>
      <c r="G1843" s="4">
        <v>1.0600475494579797</v>
      </c>
      <c r="H1843" s="2">
        <v>25</v>
      </c>
      <c r="I1843" s="2">
        <v>30</v>
      </c>
      <c r="J1843" s="2">
        <v>16</v>
      </c>
      <c r="K1843" s="4">
        <v>1</v>
      </c>
      <c r="L1843" s="4">
        <v>-0.65766903080897476</v>
      </c>
      <c r="M1843" s="4">
        <v>0.65766903080897476</v>
      </c>
      <c r="N1843" s="10">
        <v>0.65800000000000003</v>
      </c>
      <c r="O1843" s="4">
        <v>3.9102988186773326</v>
      </c>
      <c r="P1843" s="4">
        <v>-3.91</v>
      </c>
      <c r="Q1843" s="3" t="s">
        <v>1617</v>
      </c>
      <c r="R1843" s="3" t="s">
        <v>1618</v>
      </c>
      <c r="S1843" s="3" t="s">
        <v>1619</v>
      </c>
      <c r="T1843" s="3"/>
    </row>
    <row r="1844" spans="1:20">
      <c r="A1844" s="12" t="s">
        <v>1605</v>
      </c>
      <c r="B1844" s="3" t="s">
        <v>1601</v>
      </c>
      <c r="C1844" s="3" t="s">
        <v>1596</v>
      </c>
      <c r="D1844" s="3" t="s">
        <v>485</v>
      </c>
      <c r="E1844" s="3" t="s">
        <v>486</v>
      </c>
      <c r="F1844" s="2">
        <v>1</v>
      </c>
      <c r="G1844" s="4">
        <v>1.0600475494579797</v>
      </c>
      <c r="H1844" s="2">
        <v>25</v>
      </c>
      <c r="I1844" s="2">
        <v>5</v>
      </c>
      <c r="J1844" s="2">
        <v>16</v>
      </c>
      <c r="K1844" s="11">
        <v>1</v>
      </c>
      <c r="L1844" s="11">
        <v>-0.79690792599167926</v>
      </c>
      <c r="M1844" s="4">
        <v>0.79690792599167926</v>
      </c>
      <c r="N1844" s="10">
        <v>0.79700000000000004</v>
      </c>
      <c r="O1844" s="4">
        <v>5.4045552017314389</v>
      </c>
      <c r="P1844" s="4">
        <v>-5.41</v>
      </c>
      <c r="Q1844" s="3" t="s">
        <v>1617</v>
      </c>
      <c r="R1844" s="3" t="s">
        <v>1618</v>
      </c>
      <c r="S1844" s="3" t="s">
        <v>1619</v>
      </c>
      <c r="T1844" s="3"/>
    </row>
    <row r="1845" spans="1:20">
      <c r="A1845" s="3" t="s">
        <v>1600</v>
      </c>
      <c r="B1845" s="3" t="s">
        <v>1609</v>
      </c>
      <c r="C1845" s="3" t="s">
        <v>1596</v>
      </c>
      <c r="D1845" s="3" t="s">
        <v>485</v>
      </c>
      <c r="E1845" s="3" t="s">
        <v>486</v>
      </c>
      <c r="F1845" s="2">
        <v>1</v>
      </c>
      <c r="G1845" s="4">
        <v>1.0600475494579797</v>
      </c>
      <c r="H1845" s="2">
        <v>25</v>
      </c>
      <c r="I1845" s="2">
        <v>5</v>
      </c>
      <c r="J1845" s="2">
        <v>16</v>
      </c>
      <c r="K1845" s="4">
        <v>1</v>
      </c>
      <c r="L1845" s="4">
        <v>-0.86646075776006048</v>
      </c>
      <c r="M1845" s="4">
        <v>0.86646075776006048</v>
      </c>
      <c r="N1845" s="10">
        <v>0.86599999999999999</v>
      </c>
      <c r="O1845" s="4">
        <v>6.5380403069876944</v>
      </c>
      <c r="P1845" s="4">
        <v>-6.53</v>
      </c>
      <c r="Q1845" s="3" t="s">
        <v>1617</v>
      </c>
      <c r="R1845" s="3" t="s">
        <v>1623</v>
      </c>
      <c r="S1845" s="3" t="s">
        <v>1624</v>
      </c>
      <c r="T1845" s="3"/>
    </row>
    <row r="1846" spans="1:20">
      <c r="A1846" s="3" t="s">
        <v>1600</v>
      </c>
      <c r="B1846" s="3" t="s">
        <v>1606</v>
      </c>
      <c r="C1846" s="3" t="s">
        <v>1616</v>
      </c>
      <c r="D1846" s="3" t="s">
        <v>485</v>
      </c>
      <c r="E1846" s="3" t="s">
        <v>486</v>
      </c>
      <c r="F1846" s="2">
        <v>1</v>
      </c>
      <c r="G1846" s="4">
        <v>1.0600475494579797</v>
      </c>
      <c r="H1846" s="2">
        <v>25</v>
      </c>
      <c r="I1846" s="2">
        <v>5</v>
      </c>
      <c r="J1846" s="2">
        <v>1</v>
      </c>
      <c r="K1846" s="4">
        <v>1</v>
      </c>
      <c r="L1846" s="4">
        <v>-0.8672344223581695</v>
      </c>
      <c r="M1846" s="4">
        <v>0.8672344223581695</v>
      </c>
      <c r="N1846" s="10">
        <v>0.86699999999999999</v>
      </c>
      <c r="O1846" s="4">
        <v>6.553471408128404</v>
      </c>
      <c r="P1846" s="4">
        <v>-6.55</v>
      </c>
      <c r="Q1846" s="3" t="s">
        <v>1617</v>
      </c>
      <c r="R1846" s="3" t="s">
        <v>1621</v>
      </c>
      <c r="S1846" s="3" t="s">
        <v>1622</v>
      </c>
      <c r="T1846" s="3"/>
    </row>
    <row r="1847" spans="1:20">
      <c r="A1847" s="3" t="s">
        <v>1600</v>
      </c>
      <c r="B1847" s="3" t="s">
        <v>1601</v>
      </c>
      <c r="C1847" s="3" t="s">
        <v>1596</v>
      </c>
      <c r="D1847" s="3" t="s">
        <v>485</v>
      </c>
      <c r="E1847" s="3" t="s">
        <v>486</v>
      </c>
      <c r="F1847" s="2">
        <v>1</v>
      </c>
      <c r="G1847" s="4">
        <v>1.0600475494579797</v>
      </c>
      <c r="H1847" s="2">
        <v>25</v>
      </c>
      <c r="I1847" s="2">
        <v>5</v>
      </c>
      <c r="J1847" s="2">
        <v>16</v>
      </c>
      <c r="K1847" s="4">
        <v>1</v>
      </c>
      <c r="L1847" s="4">
        <v>-0.87682437991354145</v>
      </c>
      <c r="M1847" s="4">
        <v>0.87682437991354145</v>
      </c>
      <c r="N1847" s="10">
        <v>0.877</v>
      </c>
      <c r="O1847" s="4">
        <v>6.7520283990006336</v>
      </c>
      <c r="P1847" s="4">
        <v>-6.76</v>
      </c>
      <c r="Q1847" s="3" t="s">
        <v>1617</v>
      </c>
      <c r="R1847" s="3" t="s">
        <v>1618</v>
      </c>
      <c r="S1847" s="3" t="s">
        <v>1619</v>
      </c>
      <c r="T1847" s="3"/>
    </row>
    <row r="1848" spans="1:20">
      <c r="A1848" s="3" t="s">
        <v>1600</v>
      </c>
      <c r="B1848" s="3" t="s">
        <v>1601</v>
      </c>
      <c r="C1848" s="3" t="s">
        <v>1596</v>
      </c>
      <c r="D1848" s="3" t="s">
        <v>485</v>
      </c>
      <c r="E1848" s="3" t="s">
        <v>486</v>
      </c>
      <c r="F1848" s="2">
        <v>1</v>
      </c>
      <c r="G1848" s="4">
        <v>1.0600475494579797</v>
      </c>
      <c r="H1848" s="2">
        <v>25</v>
      </c>
      <c r="I1848" s="2">
        <v>5</v>
      </c>
      <c r="J1848" s="2">
        <v>1</v>
      </c>
      <c r="K1848" s="4">
        <v>1</v>
      </c>
      <c r="L1848" s="4">
        <v>-0.88493618470261137</v>
      </c>
      <c r="M1848" s="4">
        <v>0.88493618470261137</v>
      </c>
      <c r="N1848" s="10">
        <v>0.88500000000000001</v>
      </c>
      <c r="O1848" s="4">
        <v>6.9315974900687234</v>
      </c>
      <c r="P1848" s="4">
        <v>-6.93</v>
      </c>
      <c r="Q1848" s="3" t="s">
        <v>1617</v>
      </c>
      <c r="R1848" s="3" t="s">
        <v>1618</v>
      </c>
      <c r="S1848" s="3" t="s">
        <v>1619</v>
      </c>
      <c r="T1848" s="3"/>
    </row>
    <row r="1849" spans="1:20">
      <c r="A1849" s="3" t="s">
        <v>1600</v>
      </c>
      <c r="B1849" s="3" t="s">
        <v>1609</v>
      </c>
      <c r="C1849" s="3" t="s">
        <v>1596</v>
      </c>
      <c r="D1849" s="3" t="s">
        <v>485</v>
      </c>
      <c r="E1849" s="3" t="s">
        <v>486</v>
      </c>
      <c r="F1849" s="2">
        <v>1</v>
      </c>
      <c r="G1849" s="4">
        <v>1.0600475494579797</v>
      </c>
      <c r="H1849" s="2">
        <v>25</v>
      </c>
      <c r="I1849" s="2">
        <v>5</v>
      </c>
      <c r="J1849" s="2">
        <v>1</v>
      </c>
      <c r="K1849" s="11">
        <v>0.84485326967451635</v>
      </c>
      <c r="L1849" s="11">
        <v>-0.88533121067691556</v>
      </c>
      <c r="M1849" s="4">
        <v>0.88533121067691556</v>
      </c>
      <c r="N1849" s="10">
        <v>0.88500000000000001</v>
      </c>
      <c r="O1849" s="4">
        <v>6.9406421492371182</v>
      </c>
      <c r="P1849" s="4">
        <v>-6.93</v>
      </c>
      <c r="Q1849" s="3" t="s">
        <v>1617</v>
      </c>
      <c r="R1849" s="3" t="s">
        <v>1623</v>
      </c>
      <c r="S1849" s="3" t="s">
        <v>1624</v>
      </c>
      <c r="T1849" s="3"/>
    </row>
    <row r="1850" spans="1:20">
      <c r="A1850" s="3" t="s">
        <v>1600</v>
      </c>
      <c r="B1850" s="3" t="s">
        <v>1606</v>
      </c>
      <c r="C1850" s="3" t="s">
        <v>1616</v>
      </c>
      <c r="D1850" s="3" t="s">
        <v>485</v>
      </c>
      <c r="E1850" s="3" t="s">
        <v>486</v>
      </c>
      <c r="F1850" s="2">
        <v>1</v>
      </c>
      <c r="G1850" s="4">
        <v>1.0600475494579797</v>
      </c>
      <c r="H1850" s="2">
        <v>25</v>
      </c>
      <c r="I1850" s="2">
        <v>5</v>
      </c>
      <c r="J1850" s="2">
        <v>16</v>
      </c>
      <c r="K1850" s="11">
        <v>1</v>
      </c>
      <c r="L1850" s="11">
        <v>-0.8939311429781569</v>
      </c>
      <c r="M1850" s="4">
        <v>0.8939311429781569</v>
      </c>
      <c r="N1850" s="10">
        <v>0.89400000000000002</v>
      </c>
      <c r="O1850" s="4">
        <v>7.1451831198267355</v>
      </c>
      <c r="P1850" s="4">
        <v>-7.15</v>
      </c>
      <c r="Q1850" s="3" t="s">
        <v>1617</v>
      </c>
      <c r="R1850" s="3" t="s">
        <v>1621</v>
      </c>
      <c r="S1850" s="3" t="s">
        <v>1622</v>
      </c>
      <c r="T1850" s="3"/>
    </row>
    <row r="1851" spans="1:20">
      <c r="A1851" s="3" t="s">
        <v>1600</v>
      </c>
      <c r="B1851" s="3" t="s">
        <v>1606</v>
      </c>
      <c r="C1851" s="3" t="s">
        <v>1596</v>
      </c>
      <c r="D1851" s="3" t="s">
        <v>485</v>
      </c>
      <c r="E1851" s="3" t="s">
        <v>486</v>
      </c>
      <c r="F1851" s="2">
        <v>1</v>
      </c>
      <c r="G1851" s="4">
        <v>1.0600475494579797</v>
      </c>
      <c r="H1851" s="2">
        <v>25</v>
      </c>
      <c r="I1851" s="2">
        <v>5</v>
      </c>
      <c r="J1851" s="2">
        <v>1</v>
      </c>
      <c r="K1851" s="11">
        <v>1</v>
      </c>
      <c r="L1851" s="11">
        <v>-1</v>
      </c>
      <c r="M1851" s="4">
        <v>1</v>
      </c>
      <c r="N1851" s="10">
        <v>0.995</v>
      </c>
      <c r="O1851" s="4">
        <v>14.85</v>
      </c>
      <c r="P1851" s="4">
        <v>-14.85</v>
      </c>
      <c r="Q1851" s="3" t="s">
        <v>1617</v>
      </c>
      <c r="R1851" s="3" t="s">
        <v>1621</v>
      </c>
      <c r="S1851" s="3" t="s">
        <v>1622</v>
      </c>
      <c r="T1851" s="3"/>
    </row>
    <row r="1852" spans="1:20">
      <c r="A1852" s="3" t="s">
        <v>1600</v>
      </c>
      <c r="B1852" s="3" t="s">
        <v>1606</v>
      </c>
      <c r="C1852" s="3" t="s">
        <v>1596</v>
      </c>
      <c r="D1852" s="3" t="s">
        <v>485</v>
      </c>
      <c r="E1852" s="3" t="s">
        <v>486</v>
      </c>
      <c r="F1852" s="2">
        <v>1</v>
      </c>
      <c r="G1852" s="4">
        <v>1.0600475494579797</v>
      </c>
      <c r="H1852" s="2">
        <v>25</v>
      </c>
      <c r="I1852" s="2">
        <v>5</v>
      </c>
      <c r="J1852" s="2">
        <v>16</v>
      </c>
      <c r="K1852" s="11">
        <v>1</v>
      </c>
      <c r="L1852" s="11">
        <v>-1</v>
      </c>
      <c r="M1852" s="4">
        <v>1</v>
      </c>
      <c r="N1852" s="10">
        <v>0.995</v>
      </c>
      <c r="O1852" s="4">
        <v>14.85</v>
      </c>
      <c r="P1852" s="4">
        <v>-14.85</v>
      </c>
      <c r="Q1852" s="3" t="s">
        <v>1617</v>
      </c>
      <c r="R1852" s="3" t="s">
        <v>1621</v>
      </c>
      <c r="S1852" s="3" t="s">
        <v>1622</v>
      </c>
      <c r="T1852" s="3"/>
    </row>
    <row r="1853" spans="1:20">
      <c r="A1853" s="3" t="s">
        <v>1600</v>
      </c>
      <c r="B1853" s="3" t="s">
        <v>1606</v>
      </c>
      <c r="C1853" s="3" t="s">
        <v>1616</v>
      </c>
      <c r="D1853" s="3" t="s">
        <v>740</v>
      </c>
      <c r="E1853" s="3" t="s">
        <v>741</v>
      </c>
      <c r="F1853" s="2">
        <v>1</v>
      </c>
      <c r="G1853" s="4">
        <v>1.0616223519760652</v>
      </c>
      <c r="H1853" s="2">
        <v>25</v>
      </c>
      <c r="I1853" s="2">
        <v>5</v>
      </c>
      <c r="J1853" s="2">
        <v>1</v>
      </c>
      <c r="K1853" s="4">
        <v>1</v>
      </c>
      <c r="L1853" s="4">
        <v>0.63075507276451004</v>
      </c>
      <c r="M1853" s="4">
        <v>0.63075507276451004</v>
      </c>
      <c r="N1853" s="10">
        <v>0.63100000000000001</v>
      </c>
      <c r="O1853" s="4">
        <v>3.6821062212863604</v>
      </c>
      <c r="P1853" s="4">
        <v>3.68</v>
      </c>
      <c r="Q1853" s="3" t="s">
        <v>1597</v>
      </c>
      <c r="R1853" s="3" t="s">
        <v>1607</v>
      </c>
      <c r="S1853" s="3" t="s">
        <v>1608</v>
      </c>
      <c r="T1853" s="3"/>
    </row>
    <row r="1854" spans="1:20">
      <c r="A1854" s="3" t="s">
        <v>1600</v>
      </c>
      <c r="B1854" s="3" t="s">
        <v>1606</v>
      </c>
      <c r="C1854" s="3" t="s">
        <v>1596</v>
      </c>
      <c r="D1854" s="3" t="s">
        <v>740</v>
      </c>
      <c r="E1854" s="3" t="s">
        <v>741</v>
      </c>
      <c r="F1854" s="2">
        <v>1</v>
      </c>
      <c r="G1854" s="4">
        <v>1.0616223519760652</v>
      </c>
      <c r="H1854" s="2">
        <v>25</v>
      </c>
      <c r="I1854" s="2">
        <v>5</v>
      </c>
      <c r="J1854" s="2">
        <v>1</v>
      </c>
      <c r="K1854" s="11">
        <v>1</v>
      </c>
      <c r="L1854" s="11">
        <v>0.62239968996968897</v>
      </c>
      <c r="M1854" s="4">
        <v>0.62239968996968897</v>
      </c>
      <c r="N1854" s="10">
        <v>0.622</v>
      </c>
      <c r="O1854" s="4">
        <v>3.6139026894445583</v>
      </c>
      <c r="P1854" s="4">
        <v>3.61</v>
      </c>
      <c r="Q1854" s="3" t="s">
        <v>1597</v>
      </c>
      <c r="R1854" s="3" t="s">
        <v>1607</v>
      </c>
      <c r="S1854" s="3" t="s">
        <v>1608</v>
      </c>
      <c r="T1854" s="3"/>
    </row>
    <row r="1855" spans="1:20">
      <c r="A1855" s="3" t="s">
        <v>1600</v>
      </c>
      <c r="B1855" s="3" t="s">
        <v>1606</v>
      </c>
      <c r="C1855" s="3" t="s">
        <v>1616</v>
      </c>
      <c r="D1855" s="3" t="s">
        <v>740</v>
      </c>
      <c r="E1855" s="3" t="s">
        <v>741</v>
      </c>
      <c r="F1855" s="2">
        <v>1</v>
      </c>
      <c r="G1855" s="4">
        <v>1.0616223519760652</v>
      </c>
      <c r="H1855" s="2">
        <v>25</v>
      </c>
      <c r="I1855" s="2">
        <v>5</v>
      </c>
      <c r="J1855" s="2">
        <v>16</v>
      </c>
      <c r="K1855" s="11">
        <v>1</v>
      </c>
      <c r="L1855" s="11">
        <v>0.59572972354374087</v>
      </c>
      <c r="M1855" s="4">
        <v>0.59572972354374087</v>
      </c>
      <c r="N1855" s="10">
        <v>0.59599999999999997</v>
      </c>
      <c r="O1855" s="4">
        <v>3.4036301514566256</v>
      </c>
      <c r="P1855" s="4">
        <v>3.41</v>
      </c>
      <c r="Q1855" s="3" t="s">
        <v>1597</v>
      </c>
      <c r="R1855" s="3" t="s">
        <v>1607</v>
      </c>
      <c r="S1855" s="3" t="s">
        <v>1608</v>
      </c>
      <c r="T1855" s="3"/>
    </row>
    <row r="1856" spans="1:20">
      <c r="A1856" s="3" t="s">
        <v>1600</v>
      </c>
      <c r="B1856" s="3" t="s">
        <v>1606</v>
      </c>
      <c r="C1856" s="3" t="s">
        <v>1596</v>
      </c>
      <c r="D1856" s="3" t="s">
        <v>740</v>
      </c>
      <c r="E1856" s="3" t="s">
        <v>741</v>
      </c>
      <c r="F1856" s="2">
        <v>1</v>
      </c>
      <c r="G1856" s="4">
        <v>1.0616223519760652</v>
      </c>
      <c r="H1856" s="2">
        <v>25</v>
      </c>
      <c r="I1856" s="2">
        <v>5</v>
      </c>
      <c r="J1856" s="2">
        <v>16</v>
      </c>
      <c r="K1856" s="11">
        <v>1</v>
      </c>
      <c r="L1856" s="11">
        <v>0.59085835676278209</v>
      </c>
      <c r="M1856" s="4">
        <v>0.59085835676278209</v>
      </c>
      <c r="N1856" s="10">
        <v>0.59099999999999997</v>
      </c>
      <c r="O1856" s="4">
        <v>3.3663584246502647</v>
      </c>
      <c r="P1856" s="4">
        <v>3.37</v>
      </c>
      <c r="Q1856" s="3" t="s">
        <v>1597</v>
      </c>
      <c r="R1856" s="3" t="s">
        <v>1607</v>
      </c>
      <c r="S1856" s="3" t="s">
        <v>1608</v>
      </c>
      <c r="T1856" s="3"/>
    </row>
    <row r="1857" spans="1:20">
      <c r="A1857" s="3" t="s">
        <v>1594</v>
      </c>
      <c r="B1857" s="3" t="s">
        <v>1612</v>
      </c>
      <c r="C1857" s="3" t="s">
        <v>1596</v>
      </c>
      <c r="D1857" s="3" t="s">
        <v>740</v>
      </c>
      <c r="E1857" s="3" t="s">
        <v>741</v>
      </c>
      <c r="F1857" s="2">
        <v>1</v>
      </c>
      <c r="G1857" s="4">
        <v>1.0616223519760652</v>
      </c>
      <c r="H1857" s="2">
        <v>50</v>
      </c>
      <c r="I1857" s="2">
        <v>5</v>
      </c>
      <c r="J1857" s="2">
        <v>16</v>
      </c>
      <c r="K1857" s="4">
        <v>1</v>
      </c>
      <c r="L1857" s="14">
        <v>0.50081800723893977</v>
      </c>
      <c r="M1857" s="4">
        <v>0.50081800723893977</v>
      </c>
      <c r="N1857" s="10">
        <v>0.501</v>
      </c>
      <c r="O1857" s="4">
        <v>2.9576493225618932</v>
      </c>
      <c r="P1857" s="4">
        <v>2.96</v>
      </c>
      <c r="Q1857" s="3" t="s">
        <v>1597</v>
      </c>
      <c r="R1857" s="3" t="s">
        <v>1613</v>
      </c>
      <c r="S1857" s="3" t="s">
        <v>1614</v>
      </c>
      <c r="T1857" s="3"/>
    </row>
    <row r="1858" spans="1:20">
      <c r="A1858" s="3" t="s">
        <v>1600</v>
      </c>
      <c r="B1858" s="3" t="s">
        <v>1609</v>
      </c>
      <c r="C1858" s="3" t="s">
        <v>1596</v>
      </c>
      <c r="D1858" s="3" t="s">
        <v>740</v>
      </c>
      <c r="E1858" s="3" t="s">
        <v>741</v>
      </c>
      <c r="F1858" s="2">
        <v>1</v>
      </c>
      <c r="G1858" s="4">
        <v>1.0616223519760652</v>
      </c>
      <c r="H1858" s="2">
        <v>25</v>
      </c>
      <c r="I1858" s="2">
        <v>5</v>
      </c>
      <c r="J1858" s="2">
        <v>16</v>
      </c>
      <c r="K1858" s="4">
        <v>1</v>
      </c>
      <c r="L1858" s="4">
        <v>0.35645065103774404</v>
      </c>
      <c r="M1858" s="4">
        <v>0.35645065103774404</v>
      </c>
      <c r="N1858" s="10">
        <v>0.35599999999999998</v>
      </c>
      <c r="O1858" s="4">
        <v>1.8483881799405695</v>
      </c>
      <c r="P1858" s="4">
        <v>1.85</v>
      </c>
      <c r="Q1858" s="3" t="s">
        <v>1597</v>
      </c>
      <c r="R1858" s="3" t="s">
        <v>1610</v>
      </c>
      <c r="S1858" s="3" t="s">
        <v>1611</v>
      </c>
      <c r="T1858" s="3"/>
    </row>
    <row r="1859" spans="1:20">
      <c r="A1859" s="3" t="s">
        <v>1600</v>
      </c>
      <c r="B1859" s="3" t="s">
        <v>1609</v>
      </c>
      <c r="C1859" s="3" t="s">
        <v>1616</v>
      </c>
      <c r="D1859" s="3" t="s">
        <v>740</v>
      </c>
      <c r="E1859" s="3" t="s">
        <v>741</v>
      </c>
      <c r="F1859" s="2">
        <v>1</v>
      </c>
      <c r="G1859" s="4">
        <v>1.0616223519760652</v>
      </c>
      <c r="H1859" s="2">
        <v>25</v>
      </c>
      <c r="I1859" s="2">
        <v>5</v>
      </c>
      <c r="J1859" s="2">
        <v>16</v>
      </c>
      <c r="K1859" s="11">
        <v>1</v>
      </c>
      <c r="L1859" s="11">
        <v>0.34433391889364401</v>
      </c>
      <c r="M1859" s="4">
        <v>0.34433391889364401</v>
      </c>
      <c r="N1859" s="10">
        <v>0.34399999999999997</v>
      </c>
      <c r="O1859" s="4">
        <v>1.7799048640126551</v>
      </c>
      <c r="P1859" s="4">
        <v>1.78</v>
      </c>
      <c r="Q1859" s="3" t="s">
        <v>1597</v>
      </c>
      <c r="R1859" s="3" t="s">
        <v>1610</v>
      </c>
      <c r="S1859" s="3" t="s">
        <v>1611</v>
      </c>
      <c r="T1859" s="3"/>
    </row>
    <row r="1860" spans="1:20">
      <c r="A1860" s="3" t="s">
        <v>1600</v>
      </c>
      <c r="B1860" s="3" t="s">
        <v>1609</v>
      </c>
      <c r="C1860" s="3" t="s">
        <v>1616</v>
      </c>
      <c r="D1860" s="3" t="s">
        <v>740</v>
      </c>
      <c r="E1860" s="3" t="s">
        <v>741</v>
      </c>
      <c r="F1860" s="2">
        <v>1</v>
      </c>
      <c r="G1860" s="4">
        <v>1.0616223519760652</v>
      </c>
      <c r="H1860" s="2">
        <v>25</v>
      </c>
      <c r="I1860" s="2">
        <v>5</v>
      </c>
      <c r="J1860" s="2">
        <v>1</v>
      </c>
      <c r="K1860" s="4">
        <v>0.9219423360079998</v>
      </c>
      <c r="L1860" s="4">
        <v>0.31459414510781525</v>
      </c>
      <c r="M1860" s="4">
        <v>0.31459414510781525</v>
      </c>
      <c r="N1860" s="10">
        <v>0.315</v>
      </c>
      <c r="O1860" s="4">
        <v>1.6144828348763645</v>
      </c>
      <c r="P1860" s="4">
        <v>1.62</v>
      </c>
      <c r="Q1860" s="3" t="s">
        <v>1597</v>
      </c>
      <c r="R1860" s="3" t="s">
        <v>1610</v>
      </c>
      <c r="S1860" s="3" t="s">
        <v>1611</v>
      </c>
      <c r="T1860" s="3"/>
    </row>
    <row r="1861" spans="1:20">
      <c r="A1861" s="3" t="s">
        <v>1604</v>
      </c>
      <c r="B1861" s="3" t="s">
        <v>1601</v>
      </c>
      <c r="C1861" s="3" t="s">
        <v>1616</v>
      </c>
      <c r="D1861" s="3" t="s">
        <v>740</v>
      </c>
      <c r="E1861" s="3" t="s">
        <v>741</v>
      </c>
      <c r="F1861" s="2">
        <v>1</v>
      </c>
      <c r="G1861" s="4">
        <v>1.0616223519760652</v>
      </c>
      <c r="H1861" s="2">
        <v>25</v>
      </c>
      <c r="I1861" s="2">
        <v>30</v>
      </c>
      <c r="J1861" s="2">
        <v>16</v>
      </c>
      <c r="K1861" s="4">
        <v>1</v>
      </c>
      <c r="L1861" s="4">
        <v>0.2380352595980017</v>
      </c>
      <c r="M1861" s="4">
        <v>0.2380352595980017</v>
      </c>
      <c r="N1861" s="10">
        <v>0.23799999999999999</v>
      </c>
      <c r="O1861" s="4">
        <v>1.2032431884692691</v>
      </c>
      <c r="P1861" s="4">
        <v>1.2</v>
      </c>
      <c r="Q1861" s="3" t="s">
        <v>1597</v>
      </c>
      <c r="R1861" s="3" t="s">
        <v>1602</v>
      </c>
      <c r="S1861" s="3" t="s">
        <v>1603</v>
      </c>
      <c r="T1861" s="3"/>
    </row>
    <row r="1862" spans="1:20">
      <c r="A1862" s="3" t="s">
        <v>1600</v>
      </c>
      <c r="B1862" s="3" t="s">
        <v>1601</v>
      </c>
      <c r="C1862" s="3" t="s">
        <v>1616</v>
      </c>
      <c r="D1862" s="3" t="s">
        <v>740</v>
      </c>
      <c r="E1862" s="3" t="s">
        <v>741</v>
      </c>
      <c r="F1862" s="2">
        <v>1</v>
      </c>
      <c r="G1862" s="4">
        <v>1.0616223519760652</v>
      </c>
      <c r="H1862" s="2">
        <v>25</v>
      </c>
      <c r="I1862" s="2">
        <v>5</v>
      </c>
      <c r="J1862" s="2">
        <v>1</v>
      </c>
      <c r="K1862" s="4">
        <v>1</v>
      </c>
      <c r="L1862" s="4">
        <v>0.22795905176065373</v>
      </c>
      <c r="M1862" s="4">
        <v>0.22795905176065373</v>
      </c>
      <c r="N1862" s="10">
        <v>0.22800000000000001</v>
      </c>
      <c r="O1862" s="4">
        <v>1.1504176670676629</v>
      </c>
      <c r="P1862" s="4">
        <v>1.1499999999999999</v>
      </c>
      <c r="Q1862" s="3" t="s">
        <v>1597</v>
      </c>
      <c r="R1862" s="3" t="s">
        <v>1602</v>
      </c>
      <c r="S1862" s="3" t="s">
        <v>1603</v>
      </c>
      <c r="T1862" s="3"/>
    </row>
    <row r="1863" spans="1:20">
      <c r="A1863" s="3" t="s">
        <v>1600</v>
      </c>
      <c r="B1863" s="3" t="s">
        <v>1601</v>
      </c>
      <c r="C1863" s="3" t="s">
        <v>1616</v>
      </c>
      <c r="D1863" s="3" t="s">
        <v>740</v>
      </c>
      <c r="E1863" s="3" t="s">
        <v>741</v>
      </c>
      <c r="F1863" s="2">
        <v>1</v>
      </c>
      <c r="G1863" s="4">
        <v>1.0616223519760652</v>
      </c>
      <c r="H1863" s="2">
        <v>25</v>
      </c>
      <c r="I1863" s="2">
        <v>5</v>
      </c>
      <c r="J1863" s="2">
        <v>16</v>
      </c>
      <c r="K1863" s="4">
        <v>1</v>
      </c>
      <c r="L1863" s="4">
        <v>0.2206436634756429</v>
      </c>
      <c r="M1863" s="4">
        <v>0.2206436634756429</v>
      </c>
      <c r="N1863" s="10">
        <v>0.221</v>
      </c>
      <c r="O1863" s="4">
        <v>1.1122268070265227</v>
      </c>
      <c r="P1863" s="4">
        <v>1.1100000000000001</v>
      </c>
      <c r="Q1863" s="3" t="s">
        <v>1597</v>
      </c>
      <c r="R1863" s="3" t="s">
        <v>1602</v>
      </c>
      <c r="S1863" s="3" t="s">
        <v>1603</v>
      </c>
      <c r="T1863" s="3"/>
    </row>
    <row r="1864" spans="1:20">
      <c r="A1864" s="3" t="s">
        <v>1600</v>
      </c>
      <c r="B1864" s="3" t="s">
        <v>1609</v>
      </c>
      <c r="C1864" s="3" t="s">
        <v>1596</v>
      </c>
      <c r="D1864" s="3" t="s">
        <v>740</v>
      </c>
      <c r="E1864" s="3" t="s">
        <v>741</v>
      </c>
      <c r="F1864" s="2">
        <v>1</v>
      </c>
      <c r="G1864" s="4">
        <v>1.0616223519760652</v>
      </c>
      <c r="H1864" s="2">
        <v>25</v>
      </c>
      <c r="I1864" s="2">
        <v>5</v>
      </c>
      <c r="J1864" s="2">
        <v>1</v>
      </c>
      <c r="K1864" s="11">
        <v>1</v>
      </c>
      <c r="L1864" s="11">
        <v>0.21523557698711882</v>
      </c>
      <c r="M1864" s="4">
        <v>0.21523557698711882</v>
      </c>
      <c r="N1864" s="10">
        <v>0.215</v>
      </c>
      <c r="O1864" s="4">
        <v>1.0840767119944952</v>
      </c>
      <c r="P1864" s="4">
        <v>1.08</v>
      </c>
      <c r="Q1864" s="3" t="s">
        <v>1597</v>
      </c>
      <c r="R1864" s="3" t="s">
        <v>1610</v>
      </c>
      <c r="S1864" s="3" t="s">
        <v>1611</v>
      </c>
      <c r="T1864" s="3"/>
    </row>
    <row r="1865" spans="1:20">
      <c r="A1865" s="3" t="s">
        <v>1604</v>
      </c>
      <c r="B1865" s="3" t="s">
        <v>1601</v>
      </c>
      <c r="C1865" s="3" t="s">
        <v>1596</v>
      </c>
      <c r="D1865" s="3" t="s">
        <v>740</v>
      </c>
      <c r="E1865" s="3" t="s">
        <v>741</v>
      </c>
      <c r="F1865" s="2">
        <v>1</v>
      </c>
      <c r="G1865" s="4">
        <v>1.0616223519760652</v>
      </c>
      <c r="H1865" s="2">
        <v>25</v>
      </c>
      <c r="I1865" s="2">
        <v>30</v>
      </c>
      <c r="J1865" s="2">
        <v>16</v>
      </c>
      <c r="K1865" s="4">
        <v>1</v>
      </c>
      <c r="L1865" s="4">
        <v>0.17179757409733001</v>
      </c>
      <c r="M1865" s="4">
        <v>0.17179757409733001</v>
      </c>
      <c r="N1865" s="10">
        <v>0.17199999999999999</v>
      </c>
      <c r="O1865" s="4">
        <v>0.86029277778622137</v>
      </c>
      <c r="P1865" s="4">
        <v>0.86</v>
      </c>
      <c r="Q1865" s="3" t="s">
        <v>1597</v>
      </c>
      <c r="R1865" s="3" t="s">
        <v>1602</v>
      </c>
      <c r="S1865" s="3" t="s">
        <v>1603</v>
      </c>
      <c r="T1865" s="3"/>
    </row>
    <row r="1866" spans="1:20">
      <c r="A1866" s="3" t="s">
        <v>1600</v>
      </c>
      <c r="B1866" s="3" t="s">
        <v>1601</v>
      </c>
      <c r="C1866" s="3" t="s">
        <v>1596</v>
      </c>
      <c r="D1866" s="3" t="s">
        <v>740</v>
      </c>
      <c r="E1866" s="3" t="s">
        <v>741</v>
      </c>
      <c r="F1866" s="2">
        <v>1</v>
      </c>
      <c r="G1866" s="4">
        <v>1.0616223519760652</v>
      </c>
      <c r="H1866" s="2">
        <v>25</v>
      </c>
      <c r="I1866" s="2">
        <v>5</v>
      </c>
      <c r="J1866" s="2">
        <v>1</v>
      </c>
      <c r="K1866" s="4">
        <v>1</v>
      </c>
      <c r="L1866" s="4">
        <v>0.1648345261222941</v>
      </c>
      <c r="M1866" s="4">
        <v>0.1648345261222941</v>
      </c>
      <c r="N1866" s="10">
        <v>0.16500000000000001</v>
      </c>
      <c r="O1866" s="4">
        <v>0.82476372023171285</v>
      </c>
      <c r="P1866" s="4">
        <v>0.83</v>
      </c>
      <c r="Q1866" s="3" t="s">
        <v>1597</v>
      </c>
      <c r="R1866" s="3" t="s">
        <v>1602</v>
      </c>
      <c r="S1866" s="3" t="s">
        <v>1603</v>
      </c>
      <c r="T1866" s="3"/>
    </row>
    <row r="1867" spans="1:20">
      <c r="A1867" s="3" t="s">
        <v>1600</v>
      </c>
      <c r="B1867" s="3" t="s">
        <v>1601</v>
      </c>
      <c r="C1867" s="3" t="s">
        <v>1596</v>
      </c>
      <c r="D1867" s="3" t="s">
        <v>740</v>
      </c>
      <c r="E1867" s="3" t="s">
        <v>741</v>
      </c>
      <c r="F1867" s="2">
        <v>1</v>
      </c>
      <c r="G1867" s="4">
        <v>1.0616223519760652</v>
      </c>
      <c r="H1867" s="2">
        <v>25</v>
      </c>
      <c r="I1867" s="2">
        <v>5</v>
      </c>
      <c r="J1867" s="2">
        <v>16</v>
      </c>
      <c r="K1867" s="4">
        <v>1</v>
      </c>
      <c r="L1867" s="4">
        <v>0.16267400073448665</v>
      </c>
      <c r="M1867" s="4">
        <v>0.16267400073448665</v>
      </c>
      <c r="N1867" s="10">
        <v>0.16300000000000001</v>
      </c>
      <c r="O1867" s="4">
        <v>0.8137568128516659</v>
      </c>
      <c r="P1867" s="4">
        <v>0.82</v>
      </c>
      <c r="Q1867" s="3" t="s">
        <v>1597</v>
      </c>
      <c r="R1867" s="3" t="s">
        <v>1602</v>
      </c>
      <c r="S1867" s="3" t="s">
        <v>1603</v>
      </c>
      <c r="T1867" s="3"/>
    </row>
    <row r="1868" spans="1:20">
      <c r="A1868" s="12" t="s">
        <v>1605</v>
      </c>
      <c r="B1868" s="3" t="s">
        <v>1601</v>
      </c>
      <c r="C1868" s="3" t="s">
        <v>1596</v>
      </c>
      <c r="D1868" s="3" t="s">
        <v>740</v>
      </c>
      <c r="E1868" s="3" t="s">
        <v>741</v>
      </c>
      <c r="F1868" s="2">
        <v>1</v>
      </c>
      <c r="G1868" s="4">
        <v>1.0616223519760652</v>
      </c>
      <c r="H1868" s="2">
        <v>25</v>
      </c>
      <c r="I1868" s="2">
        <v>5</v>
      </c>
      <c r="J1868" s="2">
        <v>16</v>
      </c>
      <c r="K1868" s="11">
        <v>1</v>
      </c>
      <c r="L1868" s="11">
        <v>0.14878052689940882</v>
      </c>
      <c r="M1868" s="4">
        <v>0.14878052689940882</v>
      </c>
      <c r="N1868" s="10">
        <v>0.14899999999999999</v>
      </c>
      <c r="O1868" s="4">
        <v>0.74316057744779418</v>
      </c>
      <c r="P1868" s="4">
        <v>0.74</v>
      </c>
      <c r="Q1868" s="3" t="s">
        <v>1597</v>
      </c>
      <c r="R1868" s="3" t="s">
        <v>1602</v>
      </c>
      <c r="S1868" s="3" t="s">
        <v>1603</v>
      </c>
      <c r="T1868" s="3"/>
    </row>
    <row r="1869" spans="1:20">
      <c r="A1869" s="3" t="s">
        <v>1594</v>
      </c>
      <c r="B1869" s="3" t="s">
        <v>1595</v>
      </c>
      <c r="C1869" s="3" t="s">
        <v>1596</v>
      </c>
      <c r="D1869" s="3" t="s">
        <v>740</v>
      </c>
      <c r="E1869" s="3" t="s">
        <v>741</v>
      </c>
      <c r="F1869" s="2">
        <v>1</v>
      </c>
      <c r="G1869" s="4">
        <v>1.0616223519760652</v>
      </c>
      <c r="H1869" s="2">
        <v>50</v>
      </c>
      <c r="I1869" s="2">
        <v>5</v>
      </c>
      <c r="J1869" s="2">
        <v>16</v>
      </c>
      <c r="K1869" s="4">
        <v>1</v>
      </c>
      <c r="L1869" s="14">
        <v>-0.40788704091257072</v>
      </c>
      <c r="M1869" s="4">
        <v>0.40788704091257072</v>
      </c>
      <c r="N1869" s="10">
        <v>0.40799999999999997</v>
      </c>
      <c r="O1869" s="4">
        <v>2.3271926955515796</v>
      </c>
      <c r="P1869" s="4">
        <v>-2.33</v>
      </c>
      <c r="Q1869" s="3" t="s">
        <v>1617</v>
      </c>
      <c r="R1869" s="3" t="s">
        <v>1625</v>
      </c>
      <c r="S1869" s="3" t="s">
        <v>1626</v>
      </c>
      <c r="T1869" s="3"/>
    </row>
    <row r="1870" spans="1:20">
      <c r="A1870" s="3" t="s">
        <v>1600</v>
      </c>
      <c r="B1870" s="3" t="s">
        <v>1606</v>
      </c>
      <c r="C1870" s="3" t="s">
        <v>1616</v>
      </c>
      <c r="D1870" s="3" t="s">
        <v>1029</v>
      </c>
      <c r="E1870" s="3" t="s">
        <v>1030</v>
      </c>
      <c r="F1870" s="2">
        <v>1</v>
      </c>
      <c r="G1870" s="4">
        <v>1.0616475893709973</v>
      </c>
      <c r="H1870" s="2">
        <v>25</v>
      </c>
      <c r="I1870" s="2">
        <v>5</v>
      </c>
      <c r="J1870" s="2">
        <v>1</v>
      </c>
      <c r="K1870" s="4">
        <v>1</v>
      </c>
      <c r="L1870" s="4">
        <v>0.48145872987624694</v>
      </c>
      <c r="M1870" s="4">
        <v>0.48145872987624694</v>
      </c>
      <c r="N1870" s="10">
        <v>0.48099999999999998</v>
      </c>
      <c r="O1870" s="4">
        <v>2.6023287953928977</v>
      </c>
      <c r="P1870" s="4">
        <v>2.6</v>
      </c>
      <c r="Q1870" s="3" t="s">
        <v>1597</v>
      </c>
      <c r="R1870" s="3" t="s">
        <v>1607</v>
      </c>
      <c r="S1870" s="3" t="s">
        <v>1608</v>
      </c>
      <c r="T1870" s="3"/>
    </row>
    <row r="1871" spans="1:20">
      <c r="A1871" s="3" t="s">
        <v>1600</v>
      </c>
      <c r="B1871" s="3" t="s">
        <v>1606</v>
      </c>
      <c r="C1871" s="3" t="s">
        <v>1596</v>
      </c>
      <c r="D1871" s="3" t="s">
        <v>1029</v>
      </c>
      <c r="E1871" s="3" t="s">
        <v>1030</v>
      </c>
      <c r="F1871" s="2">
        <v>1</v>
      </c>
      <c r="G1871" s="4">
        <v>1.0616475893709973</v>
      </c>
      <c r="H1871" s="2">
        <v>25</v>
      </c>
      <c r="I1871" s="2">
        <v>5</v>
      </c>
      <c r="J1871" s="2">
        <v>16</v>
      </c>
      <c r="K1871" s="4">
        <v>1</v>
      </c>
      <c r="L1871" s="4">
        <v>0.47180555191360157</v>
      </c>
      <c r="M1871" s="4">
        <v>0.47180555191360157</v>
      </c>
      <c r="N1871" s="10">
        <v>0.47199999999999998</v>
      </c>
      <c r="O1871" s="4">
        <v>2.5403987512651698</v>
      </c>
      <c r="P1871" s="4">
        <v>2.54</v>
      </c>
      <c r="Q1871" s="3" t="s">
        <v>1597</v>
      </c>
      <c r="R1871" s="3" t="s">
        <v>1607</v>
      </c>
      <c r="S1871" s="3" t="s">
        <v>1608</v>
      </c>
      <c r="T1871" s="3"/>
    </row>
    <row r="1872" spans="1:20">
      <c r="A1872" s="3" t="s">
        <v>1600</v>
      </c>
      <c r="B1872" s="3" t="s">
        <v>1601</v>
      </c>
      <c r="C1872" s="3" t="s">
        <v>1596</v>
      </c>
      <c r="D1872" s="3" t="s">
        <v>1029</v>
      </c>
      <c r="E1872" s="3" t="s">
        <v>1030</v>
      </c>
      <c r="F1872" s="2">
        <v>1</v>
      </c>
      <c r="G1872" s="4">
        <v>1.0616475893709973</v>
      </c>
      <c r="H1872" s="2">
        <v>25</v>
      </c>
      <c r="I1872" s="2">
        <v>5</v>
      </c>
      <c r="J1872" s="2">
        <v>16</v>
      </c>
      <c r="K1872" s="4">
        <v>1</v>
      </c>
      <c r="L1872" s="4">
        <v>0.46253628415139386</v>
      </c>
      <c r="M1872" s="4">
        <v>0.46253628415139386</v>
      </c>
      <c r="N1872" s="10">
        <v>0.46300000000000002</v>
      </c>
      <c r="O1872" s="4">
        <v>2.4816110925839334</v>
      </c>
      <c r="P1872" s="4">
        <v>2.48</v>
      </c>
      <c r="Q1872" s="3" t="s">
        <v>1597</v>
      </c>
      <c r="R1872" s="3" t="s">
        <v>1602</v>
      </c>
      <c r="S1872" s="3" t="s">
        <v>1603</v>
      </c>
      <c r="T1872" s="3"/>
    </row>
    <row r="1873" spans="1:20">
      <c r="A1873" s="3" t="s">
        <v>1600</v>
      </c>
      <c r="B1873" s="3" t="s">
        <v>1601</v>
      </c>
      <c r="C1873" s="3" t="s">
        <v>1596</v>
      </c>
      <c r="D1873" s="3" t="s">
        <v>1029</v>
      </c>
      <c r="E1873" s="3" t="s">
        <v>1030</v>
      </c>
      <c r="F1873" s="2">
        <v>1</v>
      </c>
      <c r="G1873" s="4">
        <v>1.0616475893709973</v>
      </c>
      <c r="H1873" s="2">
        <v>25</v>
      </c>
      <c r="I1873" s="2">
        <v>5</v>
      </c>
      <c r="J1873" s="2">
        <v>1</v>
      </c>
      <c r="K1873" s="4">
        <v>0.3418303493437439</v>
      </c>
      <c r="L1873" s="4">
        <v>0.46087929325002552</v>
      </c>
      <c r="M1873" s="4">
        <v>0.46087929325002552</v>
      </c>
      <c r="N1873" s="10">
        <v>0.46100000000000002</v>
      </c>
      <c r="O1873" s="4">
        <v>2.471170078615093</v>
      </c>
      <c r="P1873" s="4">
        <v>2.4700000000000002</v>
      </c>
      <c r="Q1873" s="3" t="s">
        <v>1597</v>
      </c>
      <c r="R1873" s="3" t="s">
        <v>1602</v>
      </c>
      <c r="S1873" s="3" t="s">
        <v>1603</v>
      </c>
      <c r="T1873" s="3"/>
    </row>
    <row r="1874" spans="1:20">
      <c r="A1874" s="3" t="s">
        <v>1600</v>
      </c>
      <c r="B1874" s="3" t="s">
        <v>1606</v>
      </c>
      <c r="C1874" s="3" t="s">
        <v>1616</v>
      </c>
      <c r="D1874" s="3" t="s">
        <v>1029</v>
      </c>
      <c r="E1874" s="3" t="s">
        <v>1030</v>
      </c>
      <c r="F1874" s="2">
        <v>1</v>
      </c>
      <c r="G1874" s="4">
        <v>1.0616475893709973</v>
      </c>
      <c r="H1874" s="2">
        <v>25</v>
      </c>
      <c r="I1874" s="2">
        <v>5</v>
      </c>
      <c r="J1874" s="2">
        <v>16</v>
      </c>
      <c r="K1874" s="4">
        <v>1</v>
      </c>
      <c r="L1874" s="4">
        <v>0.45121637615273108</v>
      </c>
      <c r="M1874" s="4">
        <v>0.45121637615273108</v>
      </c>
      <c r="N1874" s="10">
        <v>0.45100000000000001</v>
      </c>
      <c r="O1874" s="4">
        <v>2.410680355541718</v>
      </c>
      <c r="P1874" s="4">
        <v>2.41</v>
      </c>
      <c r="Q1874" s="3" t="s">
        <v>1597</v>
      </c>
      <c r="R1874" s="3" t="s">
        <v>1607</v>
      </c>
      <c r="S1874" s="3" t="s">
        <v>1608</v>
      </c>
      <c r="T1874" s="3"/>
    </row>
    <row r="1875" spans="1:20">
      <c r="A1875" s="3" t="s">
        <v>1605</v>
      </c>
      <c r="B1875" s="3" t="s">
        <v>1601</v>
      </c>
      <c r="C1875" s="3" t="s">
        <v>1596</v>
      </c>
      <c r="D1875" s="3" t="s">
        <v>1029</v>
      </c>
      <c r="E1875" s="3" t="s">
        <v>1030</v>
      </c>
      <c r="F1875" s="2">
        <v>1</v>
      </c>
      <c r="G1875" s="4">
        <v>1.0616475893709973</v>
      </c>
      <c r="H1875" s="2">
        <v>25</v>
      </c>
      <c r="I1875" s="2">
        <v>5</v>
      </c>
      <c r="J1875" s="2">
        <v>16</v>
      </c>
      <c r="K1875" s="4">
        <v>1</v>
      </c>
      <c r="L1875" s="4">
        <v>0.45066408225209931</v>
      </c>
      <c r="M1875" s="4">
        <v>0.45066408225209931</v>
      </c>
      <c r="N1875" s="10">
        <v>0.45100000000000001</v>
      </c>
      <c r="O1875" s="4">
        <v>2.4072431771305118</v>
      </c>
      <c r="P1875" s="4">
        <v>2.41</v>
      </c>
      <c r="Q1875" s="3" t="s">
        <v>1597</v>
      </c>
      <c r="R1875" s="3" t="s">
        <v>1602</v>
      </c>
      <c r="S1875" s="3" t="s">
        <v>1603</v>
      </c>
      <c r="T1875" s="3"/>
    </row>
    <row r="1876" spans="1:20">
      <c r="A1876" s="3" t="s">
        <v>1600</v>
      </c>
      <c r="B1876" s="3" t="s">
        <v>1606</v>
      </c>
      <c r="C1876" s="3" t="s">
        <v>1596</v>
      </c>
      <c r="D1876" s="3" t="s">
        <v>1029</v>
      </c>
      <c r="E1876" s="3" t="s">
        <v>1030</v>
      </c>
      <c r="F1876" s="2">
        <v>1</v>
      </c>
      <c r="G1876" s="4">
        <v>1.0616475893709973</v>
      </c>
      <c r="H1876" s="2">
        <v>25</v>
      </c>
      <c r="I1876" s="2">
        <v>5</v>
      </c>
      <c r="J1876" s="2">
        <v>1</v>
      </c>
      <c r="K1876" s="4">
        <v>1</v>
      </c>
      <c r="L1876" s="4">
        <v>0.44810126251302446</v>
      </c>
      <c r="M1876" s="4">
        <v>0.44810126251302446</v>
      </c>
      <c r="N1876" s="10">
        <v>0.44800000000000001</v>
      </c>
      <c r="O1876" s="4">
        <v>2.3913215786509663</v>
      </c>
      <c r="P1876" s="4">
        <v>2.39</v>
      </c>
      <c r="Q1876" s="3" t="s">
        <v>1597</v>
      </c>
      <c r="R1876" s="3" t="s">
        <v>1607</v>
      </c>
      <c r="S1876" s="3" t="s">
        <v>1608</v>
      </c>
      <c r="T1876" s="3"/>
    </row>
    <row r="1877" spans="1:20">
      <c r="A1877" s="3" t="s">
        <v>1600</v>
      </c>
      <c r="B1877" s="3" t="s">
        <v>1609</v>
      </c>
      <c r="C1877" s="3" t="s">
        <v>1616</v>
      </c>
      <c r="D1877" s="3" t="s">
        <v>1029</v>
      </c>
      <c r="E1877" s="3" t="s">
        <v>1030</v>
      </c>
      <c r="F1877" s="2">
        <v>1</v>
      </c>
      <c r="G1877" s="4">
        <v>1.0616475893709973</v>
      </c>
      <c r="H1877" s="2">
        <v>25</v>
      </c>
      <c r="I1877" s="2">
        <v>5</v>
      </c>
      <c r="J1877" s="2">
        <v>16</v>
      </c>
      <c r="K1877" s="4">
        <v>0.98666203117262874</v>
      </c>
      <c r="L1877" s="4">
        <v>0.4431404086589239</v>
      </c>
      <c r="M1877" s="4">
        <v>0.4431404086589239</v>
      </c>
      <c r="N1877" s="10">
        <v>0.443</v>
      </c>
      <c r="O1877" s="4">
        <v>2.3606314793051646</v>
      </c>
      <c r="P1877" s="4">
        <v>2.36</v>
      </c>
      <c r="Q1877" s="3" t="s">
        <v>1597</v>
      </c>
      <c r="R1877" s="3" t="s">
        <v>1610</v>
      </c>
      <c r="S1877" s="3" t="s">
        <v>1611</v>
      </c>
      <c r="T1877" s="3"/>
    </row>
    <row r="1878" spans="1:20">
      <c r="A1878" s="3" t="s">
        <v>1600</v>
      </c>
      <c r="B1878" s="3" t="s">
        <v>1609</v>
      </c>
      <c r="C1878" s="3" t="s">
        <v>1616</v>
      </c>
      <c r="D1878" s="3" t="s">
        <v>1029</v>
      </c>
      <c r="E1878" s="3" t="s">
        <v>1030</v>
      </c>
      <c r="F1878" s="2">
        <v>1</v>
      </c>
      <c r="G1878" s="4">
        <v>1.0616475893709973</v>
      </c>
      <c r="H1878" s="2">
        <v>25</v>
      </c>
      <c r="I1878" s="2">
        <v>5</v>
      </c>
      <c r="J1878" s="2">
        <v>1</v>
      </c>
      <c r="K1878" s="4">
        <v>0.96089556727313086</v>
      </c>
      <c r="L1878" s="4">
        <v>0.43535391858564948</v>
      </c>
      <c r="M1878" s="4">
        <v>0.43535391858564948</v>
      </c>
      <c r="N1878" s="10">
        <v>0.435</v>
      </c>
      <c r="O1878" s="4">
        <v>2.3127969903143346</v>
      </c>
      <c r="P1878" s="4">
        <v>2.31</v>
      </c>
      <c r="Q1878" s="3" t="s">
        <v>1597</v>
      </c>
      <c r="R1878" s="3" t="s">
        <v>1610</v>
      </c>
      <c r="S1878" s="3" t="s">
        <v>1611</v>
      </c>
      <c r="T1878" s="3"/>
    </row>
    <row r="1879" spans="1:20">
      <c r="A1879" s="3" t="s">
        <v>1604</v>
      </c>
      <c r="B1879" s="3" t="s">
        <v>1601</v>
      </c>
      <c r="C1879" s="3" t="s">
        <v>1596</v>
      </c>
      <c r="D1879" s="3" t="s">
        <v>1029</v>
      </c>
      <c r="E1879" s="3" t="s">
        <v>1030</v>
      </c>
      <c r="F1879" s="2">
        <v>1</v>
      </c>
      <c r="G1879" s="4">
        <v>1.0616475893709973</v>
      </c>
      <c r="H1879" s="2">
        <v>25</v>
      </c>
      <c r="I1879" s="2">
        <v>30</v>
      </c>
      <c r="J1879" s="2">
        <v>16</v>
      </c>
      <c r="K1879" s="4">
        <v>1</v>
      </c>
      <c r="L1879" s="4">
        <v>0.42450797610890362</v>
      </c>
      <c r="M1879" s="4">
        <v>0.42450797610890362</v>
      </c>
      <c r="N1879" s="10">
        <v>0.42499999999999999</v>
      </c>
      <c r="O1879" s="4">
        <v>2.246828632464128</v>
      </c>
      <c r="P1879" s="4">
        <v>2.25</v>
      </c>
      <c r="Q1879" s="3" t="s">
        <v>1597</v>
      </c>
      <c r="R1879" s="3" t="s">
        <v>1602</v>
      </c>
      <c r="S1879" s="3" t="s">
        <v>1603</v>
      </c>
      <c r="T1879" s="3"/>
    </row>
    <row r="1880" spans="1:20">
      <c r="A1880" s="3" t="s">
        <v>1604</v>
      </c>
      <c r="B1880" s="3" t="s">
        <v>1601</v>
      </c>
      <c r="C1880" s="3" t="s">
        <v>1616</v>
      </c>
      <c r="D1880" s="3" t="s">
        <v>1029</v>
      </c>
      <c r="E1880" s="3" t="s">
        <v>1030</v>
      </c>
      <c r="F1880" s="2">
        <v>1</v>
      </c>
      <c r="G1880" s="4">
        <v>1.0616475893709973</v>
      </c>
      <c r="H1880" s="2">
        <v>25</v>
      </c>
      <c r="I1880" s="2">
        <v>30</v>
      </c>
      <c r="J1880" s="2">
        <v>16</v>
      </c>
      <c r="K1880" s="4">
        <v>1</v>
      </c>
      <c r="L1880" s="4">
        <v>0.41654679775636999</v>
      </c>
      <c r="M1880" s="4">
        <v>0.41654679775636999</v>
      </c>
      <c r="N1880" s="10">
        <v>0.41699999999999998</v>
      </c>
      <c r="O1880" s="4">
        <v>2.1988772695610366</v>
      </c>
      <c r="P1880" s="4">
        <v>2.2000000000000002</v>
      </c>
      <c r="Q1880" s="3" t="s">
        <v>1597</v>
      </c>
      <c r="R1880" s="3" t="s">
        <v>1602</v>
      </c>
      <c r="S1880" s="3" t="s">
        <v>1603</v>
      </c>
      <c r="T1880" s="3"/>
    </row>
    <row r="1881" spans="1:20">
      <c r="A1881" s="3" t="s">
        <v>1600</v>
      </c>
      <c r="B1881" s="3" t="s">
        <v>1601</v>
      </c>
      <c r="C1881" s="3" t="s">
        <v>1616</v>
      </c>
      <c r="D1881" s="3" t="s">
        <v>1029</v>
      </c>
      <c r="E1881" s="3" t="s">
        <v>1030</v>
      </c>
      <c r="F1881" s="2">
        <v>1</v>
      </c>
      <c r="G1881" s="4">
        <v>1.0616475893709973</v>
      </c>
      <c r="H1881" s="2">
        <v>25</v>
      </c>
      <c r="I1881" s="2">
        <v>5</v>
      </c>
      <c r="J1881" s="2">
        <v>16</v>
      </c>
      <c r="K1881" s="4">
        <v>1</v>
      </c>
      <c r="L1881" s="4">
        <v>0.4117725672871983</v>
      </c>
      <c r="M1881" s="4">
        <v>0.4117725672871983</v>
      </c>
      <c r="N1881" s="10">
        <v>0.41199999999999998</v>
      </c>
      <c r="O1881" s="4">
        <v>2.1703060723059511</v>
      </c>
      <c r="P1881" s="4">
        <v>2.17</v>
      </c>
      <c r="Q1881" s="3" t="s">
        <v>1597</v>
      </c>
      <c r="R1881" s="3" t="s">
        <v>1602</v>
      </c>
      <c r="S1881" s="3" t="s">
        <v>1603</v>
      </c>
      <c r="T1881" s="3"/>
    </row>
    <row r="1882" spans="1:20">
      <c r="A1882" s="3" t="s">
        <v>1600</v>
      </c>
      <c r="B1882" s="3" t="s">
        <v>1601</v>
      </c>
      <c r="C1882" s="3" t="s">
        <v>1616</v>
      </c>
      <c r="D1882" s="3" t="s">
        <v>1029</v>
      </c>
      <c r="E1882" s="3" t="s">
        <v>1030</v>
      </c>
      <c r="F1882" s="2">
        <v>1</v>
      </c>
      <c r="G1882" s="4">
        <v>1.0616475893709973</v>
      </c>
      <c r="H1882" s="2">
        <v>25</v>
      </c>
      <c r="I1882" s="2">
        <v>5</v>
      </c>
      <c r="J1882" s="2">
        <v>1</v>
      </c>
      <c r="K1882" s="4">
        <v>1</v>
      </c>
      <c r="L1882" s="4">
        <v>0.4100819463549073</v>
      </c>
      <c r="M1882" s="4">
        <v>0.4100819463549073</v>
      </c>
      <c r="N1882" s="10">
        <v>0.41</v>
      </c>
      <c r="O1882" s="4">
        <v>2.1602211196683028</v>
      </c>
      <c r="P1882" s="4">
        <v>2.16</v>
      </c>
      <c r="Q1882" s="3" t="s">
        <v>1597</v>
      </c>
      <c r="R1882" s="3" t="s">
        <v>1602</v>
      </c>
      <c r="S1882" s="3" t="s">
        <v>1603</v>
      </c>
      <c r="T1882" s="3"/>
    </row>
    <row r="1883" spans="1:20">
      <c r="A1883" s="3" t="s">
        <v>1600</v>
      </c>
      <c r="B1883" s="3" t="s">
        <v>1609</v>
      </c>
      <c r="C1883" s="3" t="s">
        <v>1596</v>
      </c>
      <c r="D1883" s="3" t="s">
        <v>1029</v>
      </c>
      <c r="E1883" s="3" t="s">
        <v>1030</v>
      </c>
      <c r="F1883" s="2">
        <v>1</v>
      </c>
      <c r="G1883" s="4">
        <v>1.0616475893709973</v>
      </c>
      <c r="H1883" s="2">
        <v>25</v>
      </c>
      <c r="I1883" s="2">
        <v>5</v>
      </c>
      <c r="J1883" s="2">
        <v>1</v>
      </c>
      <c r="K1883" s="4">
        <v>1</v>
      </c>
      <c r="L1883" s="4">
        <v>0.35346014403790443</v>
      </c>
      <c r="M1883" s="4">
        <v>0.35346014403790443</v>
      </c>
      <c r="N1883" s="10">
        <v>0.35299999999999998</v>
      </c>
      <c r="O1883" s="4">
        <v>1.8314240492615548</v>
      </c>
      <c r="P1883" s="4">
        <v>1.83</v>
      </c>
      <c r="Q1883" s="3" t="s">
        <v>1597</v>
      </c>
      <c r="R1883" s="3" t="s">
        <v>1610</v>
      </c>
      <c r="S1883" s="3" t="s">
        <v>1611</v>
      </c>
      <c r="T1883" s="3"/>
    </row>
    <row r="1884" spans="1:20">
      <c r="A1884" s="3" t="s">
        <v>1600</v>
      </c>
      <c r="B1884" s="3" t="s">
        <v>1609</v>
      </c>
      <c r="C1884" s="3" t="s">
        <v>1596</v>
      </c>
      <c r="D1884" s="3" t="s">
        <v>1029</v>
      </c>
      <c r="E1884" s="3" t="s">
        <v>1030</v>
      </c>
      <c r="F1884" s="2">
        <v>1</v>
      </c>
      <c r="G1884" s="4">
        <v>1.0616475893709973</v>
      </c>
      <c r="H1884" s="2">
        <v>25</v>
      </c>
      <c r="I1884" s="2">
        <v>5</v>
      </c>
      <c r="J1884" s="2">
        <v>16</v>
      </c>
      <c r="K1884" s="4">
        <v>1</v>
      </c>
      <c r="L1884" s="4">
        <v>0.34627059536627486</v>
      </c>
      <c r="M1884" s="4">
        <v>0.34627059536627486</v>
      </c>
      <c r="N1884" s="10">
        <v>0.34599999999999997</v>
      </c>
      <c r="O1884" s="4">
        <v>1.7908066473529618</v>
      </c>
      <c r="P1884" s="4">
        <v>1.79</v>
      </c>
      <c r="Q1884" s="3" t="s">
        <v>1597</v>
      </c>
      <c r="R1884" s="3" t="s">
        <v>1610</v>
      </c>
      <c r="S1884" s="3" t="s">
        <v>1611</v>
      </c>
      <c r="T1884" s="3"/>
    </row>
    <row r="1885" spans="1:20">
      <c r="A1885" s="3" t="s">
        <v>1594</v>
      </c>
      <c r="B1885" s="3" t="s">
        <v>1595</v>
      </c>
      <c r="C1885" s="3" t="s">
        <v>1596</v>
      </c>
      <c r="D1885" s="3" t="s">
        <v>1029</v>
      </c>
      <c r="E1885" s="3" t="s">
        <v>1030</v>
      </c>
      <c r="F1885" s="2">
        <v>1</v>
      </c>
      <c r="G1885" s="4">
        <v>1.0616475893709973</v>
      </c>
      <c r="H1885" s="2">
        <v>25</v>
      </c>
      <c r="I1885" s="2">
        <v>5</v>
      </c>
      <c r="J1885" s="2">
        <v>16</v>
      </c>
      <c r="K1885" s="4">
        <v>0.21952140280358079</v>
      </c>
      <c r="L1885" s="4">
        <v>0.2824864981034918</v>
      </c>
      <c r="M1885" s="4">
        <v>0.2824864981034918</v>
      </c>
      <c r="N1885" s="10">
        <v>0.28199999999999997</v>
      </c>
      <c r="O1885" s="4">
        <v>1.4396961766276521</v>
      </c>
      <c r="P1885" s="4">
        <v>1.44</v>
      </c>
      <c r="Q1885" s="3" t="s">
        <v>1597</v>
      </c>
      <c r="R1885" s="3" t="s">
        <v>1598</v>
      </c>
      <c r="S1885" s="3" t="s">
        <v>1599</v>
      </c>
      <c r="T1885" s="3"/>
    </row>
    <row r="1886" spans="1:20">
      <c r="A1886" s="3" t="s">
        <v>1594</v>
      </c>
      <c r="B1886" s="3" t="s">
        <v>1595</v>
      </c>
      <c r="C1886" s="3" t="s">
        <v>1596</v>
      </c>
      <c r="D1886" s="3" t="s">
        <v>1029</v>
      </c>
      <c r="E1886" s="3" t="s">
        <v>1030</v>
      </c>
      <c r="F1886" s="2">
        <v>1</v>
      </c>
      <c r="G1886" s="4">
        <v>1.0616475893709973</v>
      </c>
      <c r="H1886" s="2">
        <v>50</v>
      </c>
      <c r="I1886" s="2">
        <v>5</v>
      </c>
      <c r="J1886" s="2">
        <v>16</v>
      </c>
      <c r="K1886" s="4">
        <v>0.96839448470989775</v>
      </c>
      <c r="L1886" s="4">
        <v>0.24969921108045157</v>
      </c>
      <c r="M1886" s="4">
        <v>0.24969921108045157</v>
      </c>
      <c r="N1886" s="10">
        <v>0.25</v>
      </c>
      <c r="O1886" s="4">
        <v>1.3707780000861889</v>
      </c>
      <c r="P1886" s="4">
        <v>1.37</v>
      </c>
      <c r="Q1886" s="3" t="s">
        <v>1597</v>
      </c>
      <c r="R1886" s="3" t="s">
        <v>1598</v>
      </c>
      <c r="S1886" s="3" t="s">
        <v>1599</v>
      </c>
      <c r="T1886" s="3"/>
    </row>
    <row r="1887" spans="1:20">
      <c r="A1887" s="3" t="s">
        <v>1594</v>
      </c>
      <c r="B1887" s="3" t="s">
        <v>1612</v>
      </c>
      <c r="C1887" s="3" t="s">
        <v>1596</v>
      </c>
      <c r="D1887" s="3" t="s">
        <v>1029</v>
      </c>
      <c r="E1887" s="3" t="s">
        <v>1030</v>
      </c>
      <c r="F1887" s="2">
        <v>1</v>
      </c>
      <c r="G1887" s="4">
        <v>1.0616475893709973</v>
      </c>
      <c r="H1887" s="2">
        <v>50</v>
      </c>
      <c r="I1887" s="2">
        <v>5</v>
      </c>
      <c r="J1887" s="2">
        <v>16</v>
      </c>
      <c r="K1887" s="4">
        <v>0.85393807301373037</v>
      </c>
      <c r="L1887" s="4">
        <v>0.20076602306359484</v>
      </c>
      <c r="M1887" s="4">
        <v>0.20076602306359484</v>
      </c>
      <c r="N1887" s="10">
        <v>0.20100000000000001</v>
      </c>
      <c r="O1887" s="4">
        <v>1.0937046384711218</v>
      </c>
      <c r="P1887" s="4">
        <v>1.1000000000000001</v>
      </c>
      <c r="Q1887" s="3" t="s">
        <v>1597</v>
      </c>
      <c r="R1887" s="3" t="s">
        <v>1613</v>
      </c>
      <c r="S1887" s="3" t="s">
        <v>1614</v>
      </c>
      <c r="T1887" s="3"/>
    </row>
    <row r="1888" spans="1:20">
      <c r="A1888" s="3" t="s">
        <v>1600</v>
      </c>
      <c r="B1888" s="3" t="s">
        <v>1606</v>
      </c>
      <c r="C1888" s="3" t="s">
        <v>1616</v>
      </c>
      <c r="D1888" s="3" t="s">
        <v>148</v>
      </c>
      <c r="E1888" s="3" t="s">
        <v>149</v>
      </c>
      <c r="F1888" s="2">
        <v>1</v>
      </c>
      <c r="G1888" s="4">
        <v>1.0618490183427043</v>
      </c>
      <c r="H1888" s="2">
        <v>25</v>
      </c>
      <c r="I1888" s="2">
        <v>5</v>
      </c>
      <c r="J1888" s="2">
        <v>1</v>
      </c>
      <c r="K1888" s="4">
        <v>1</v>
      </c>
      <c r="L1888" s="4">
        <v>0.60294650967031427</v>
      </c>
      <c r="M1888" s="4">
        <v>0.60294650967031427</v>
      </c>
      <c r="N1888" s="10">
        <v>0.60299999999999998</v>
      </c>
      <c r="O1888" s="4">
        <v>3.4594689420630722</v>
      </c>
      <c r="P1888" s="4">
        <v>3.46</v>
      </c>
      <c r="Q1888" s="3" t="s">
        <v>1597</v>
      </c>
      <c r="R1888" s="3" t="s">
        <v>1607</v>
      </c>
      <c r="S1888" s="3" t="s">
        <v>1608</v>
      </c>
      <c r="T1888" s="3"/>
    </row>
    <row r="1889" spans="1:20">
      <c r="A1889" s="3" t="s">
        <v>1600</v>
      </c>
      <c r="B1889" s="3" t="s">
        <v>1606</v>
      </c>
      <c r="C1889" s="3" t="s">
        <v>1616</v>
      </c>
      <c r="D1889" s="3" t="s">
        <v>148</v>
      </c>
      <c r="E1889" s="3" t="s">
        <v>149</v>
      </c>
      <c r="F1889" s="2">
        <v>1</v>
      </c>
      <c r="G1889" s="4">
        <v>1.0618490183427043</v>
      </c>
      <c r="H1889" s="2">
        <v>25</v>
      </c>
      <c r="I1889" s="2">
        <v>5</v>
      </c>
      <c r="J1889" s="2">
        <v>16</v>
      </c>
      <c r="K1889" s="11">
        <v>1</v>
      </c>
      <c r="L1889" s="11">
        <v>0.57234630929589447</v>
      </c>
      <c r="M1889" s="4">
        <v>0.57234630929589447</v>
      </c>
      <c r="N1889" s="10">
        <v>0.57199999999999995</v>
      </c>
      <c r="O1889" s="4">
        <v>3.2276426254255894</v>
      </c>
      <c r="P1889" s="4">
        <v>3.23</v>
      </c>
      <c r="Q1889" s="3" t="s">
        <v>1597</v>
      </c>
      <c r="R1889" s="3" t="s">
        <v>1607</v>
      </c>
      <c r="S1889" s="3" t="s">
        <v>1608</v>
      </c>
      <c r="T1889" s="3"/>
    </row>
    <row r="1890" spans="1:20">
      <c r="A1890" s="3" t="s">
        <v>1600</v>
      </c>
      <c r="B1890" s="3" t="s">
        <v>1606</v>
      </c>
      <c r="C1890" s="3" t="s">
        <v>1596</v>
      </c>
      <c r="D1890" s="3" t="s">
        <v>148</v>
      </c>
      <c r="E1890" s="3" t="s">
        <v>149</v>
      </c>
      <c r="F1890" s="2">
        <v>1</v>
      </c>
      <c r="G1890" s="4">
        <v>1.0618490183427043</v>
      </c>
      <c r="H1890" s="2">
        <v>25</v>
      </c>
      <c r="I1890" s="2">
        <v>5</v>
      </c>
      <c r="J1890" s="2">
        <v>16</v>
      </c>
      <c r="K1890" s="11">
        <v>1</v>
      </c>
      <c r="L1890" s="11">
        <v>0.20267566786476879</v>
      </c>
      <c r="M1890" s="4">
        <v>0.20267566786476879</v>
      </c>
      <c r="N1890" s="10">
        <v>0.20300000000000001</v>
      </c>
      <c r="O1890" s="4">
        <v>1.0189613743443242</v>
      </c>
      <c r="P1890" s="4">
        <v>1.02</v>
      </c>
      <c r="Q1890" s="3" t="s">
        <v>1597</v>
      </c>
      <c r="R1890" s="3" t="s">
        <v>1607</v>
      </c>
      <c r="S1890" s="3" t="s">
        <v>1608</v>
      </c>
      <c r="T1890" s="3"/>
    </row>
    <row r="1891" spans="1:20">
      <c r="A1891" s="3" t="s">
        <v>1594</v>
      </c>
      <c r="B1891" s="3" t="s">
        <v>1612</v>
      </c>
      <c r="C1891" s="3" t="s">
        <v>1596</v>
      </c>
      <c r="D1891" s="3" t="s">
        <v>148</v>
      </c>
      <c r="E1891" s="3" t="s">
        <v>149</v>
      </c>
      <c r="F1891" s="2">
        <v>1</v>
      </c>
      <c r="G1891" s="4">
        <v>1.0618490183427043</v>
      </c>
      <c r="H1891" s="2">
        <v>50</v>
      </c>
      <c r="I1891" s="2">
        <v>5</v>
      </c>
      <c r="J1891" s="2">
        <v>16</v>
      </c>
      <c r="K1891" s="4">
        <v>1</v>
      </c>
      <c r="L1891" s="14">
        <v>0.17869425762801955</v>
      </c>
      <c r="M1891" s="4">
        <v>0.17869425762801955</v>
      </c>
      <c r="N1891" s="10">
        <v>0.17899999999999999</v>
      </c>
      <c r="O1891" s="4">
        <v>0.97066352858448157</v>
      </c>
      <c r="P1891" s="4">
        <v>0.97</v>
      </c>
      <c r="Q1891" s="3" t="s">
        <v>1597</v>
      </c>
      <c r="R1891" s="3" t="s">
        <v>1613</v>
      </c>
      <c r="S1891" s="3" t="s">
        <v>1614</v>
      </c>
      <c r="T1891" s="3"/>
    </row>
    <row r="1892" spans="1:20">
      <c r="A1892" s="3" t="s">
        <v>1600</v>
      </c>
      <c r="B1892" s="3" t="s">
        <v>1606</v>
      </c>
      <c r="C1892" s="3" t="s">
        <v>1596</v>
      </c>
      <c r="D1892" s="3" t="s">
        <v>148</v>
      </c>
      <c r="E1892" s="3" t="s">
        <v>149</v>
      </c>
      <c r="F1892" s="2">
        <v>1</v>
      </c>
      <c r="G1892" s="4">
        <v>1.0618490183427043</v>
      </c>
      <c r="H1892" s="2">
        <v>25</v>
      </c>
      <c r="I1892" s="2">
        <v>5</v>
      </c>
      <c r="J1892" s="2">
        <v>1</v>
      </c>
      <c r="K1892" s="11">
        <v>0.44189895679894853</v>
      </c>
      <c r="L1892" s="11">
        <v>0.12705996470843178</v>
      </c>
      <c r="M1892" s="4">
        <v>0.12705996470843178</v>
      </c>
      <c r="N1892" s="10">
        <v>0.127</v>
      </c>
      <c r="O1892" s="4">
        <v>0.63337848727025647</v>
      </c>
      <c r="P1892" s="4">
        <v>0.63</v>
      </c>
      <c r="Q1892" s="3" t="s">
        <v>1597</v>
      </c>
      <c r="R1892" s="3" t="s">
        <v>1607</v>
      </c>
      <c r="S1892" s="3" t="s">
        <v>1608</v>
      </c>
      <c r="T1892" s="3"/>
    </row>
    <row r="1893" spans="1:20">
      <c r="A1893" s="3" t="s">
        <v>1600</v>
      </c>
      <c r="B1893" s="3" t="s">
        <v>1609</v>
      </c>
      <c r="C1893" s="3" t="s">
        <v>1616</v>
      </c>
      <c r="D1893" s="3" t="s">
        <v>148</v>
      </c>
      <c r="E1893" s="3" t="s">
        <v>149</v>
      </c>
      <c r="F1893" s="2">
        <v>1</v>
      </c>
      <c r="G1893" s="4">
        <v>1.0618490183427043</v>
      </c>
      <c r="H1893" s="2">
        <v>25</v>
      </c>
      <c r="I1893" s="2">
        <v>5</v>
      </c>
      <c r="J1893" s="2">
        <v>1</v>
      </c>
      <c r="K1893" s="4">
        <v>1</v>
      </c>
      <c r="L1893" s="4">
        <v>4.0550079459288804E-2</v>
      </c>
      <c r="M1893" s="4">
        <v>4.0550079459288804E-2</v>
      </c>
      <c r="N1893" s="10">
        <v>4.1000000000000002E-2</v>
      </c>
      <c r="O1893" s="4">
        <v>0.20115501499600924</v>
      </c>
      <c r="P1893" s="4">
        <v>0.2</v>
      </c>
      <c r="Q1893" s="3" t="s">
        <v>1597</v>
      </c>
      <c r="R1893" s="3" t="s">
        <v>1610</v>
      </c>
      <c r="S1893" s="3" t="s">
        <v>1611</v>
      </c>
      <c r="T1893" s="3"/>
    </row>
    <row r="1894" spans="1:20">
      <c r="A1894" s="3" t="s">
        <v>1600</v>
      </c>
      <c r="B1894" s="3" t="s">
        <v>1609</v>
      </c>
      <c r="C1894" s="3" t="s">
        <v>1616</v>
      </c>
      <c r="D1894" s="3" t="s">
        <v>148</v>
      </c>
      <c r="E1894" s="3" t="s">
        <v>149</v>
      </c>
      <c r="F1894" s="2">
        <v>1</v>
      </c>
      <c r="G1894" s="4">
        <v>1.0618490183427043</v>
      </c>
      <c r="H1894" s="2">
        <v>25</v>
      </c>
      <c r="I1894" s="2">
        <v>5</v>
      </c>
      <c r="J1894" s="2">
        <v>16</v>
      </c>
      <c r="K1894" s="11">
        <v>1</v>
      </c>
      <c r="L1894" s="11">
        <v>2.4173747565800936E-2</v>
      </c>
      <c r="M1894" s="4">
        <v>2.4173747565800936E-2</v>
      </c>
      <c r="N1894" s="10">
        <v>2.4E-2</v>
      </c>
      <c r="O1894" s="4">
        <v>0.11987525591603093</v>
      </c>
      <c r="P1894" s="4">
        <v>0.12</v>
      </c>
      <c r="Q1894" s="3" t="s">
        <v>1597</v>
      </c>
      <c r="R1894" s="3" t="s">
        <v>1610</v>
      </c>
      <c r="S1894" s="3" t="s">
        <v>1611</v>
      </c>
      <c r="T1894" s="3"/>
    </row>
    <row r="1895" spans="1:20">
      <c r="A1895" s="3" t="s">
        <v>1600</v>
      </c>
      <c r="B1895" s="3" t="s">
        <v>1601</v>
      </c>
      <c r="C1895" s="3" t="s">
        <v>1616</v>
      </c>
      <c r="D1895" s="3" t="s">
        <v>148</v>
      </c>
      <c r="E1895" s="3" t="s">
        <v>149</v>
      </c>
      <c r="F1895" s="2">
        <v>1</v>
      </c>
      <c r="G1895" s="4">
        <v>1.0618490183427043</v>
      </c>
      <c r="H1895" s="2">
        <v>25</v>
      </c>
      <c r="I1895" s="2">
        <v>5</v>
      </c>
      <c r="J1895" s="2">
        <v>1</v>
      </c>
      <c r="K1895" s="4">
        <v>1</v>
      </c>
      <c r="L1895" s="4">
        <v>-2.4798448221473736E-2</v>
      </c>
      <c r="M1895" s="4">
        <v>2.4798448221473736E-2</v>
      </c>
      <c r="N1895" s="10">
        <v>2.5000000000000001E-2</v>
      </c>
      <c r="O1895" s="4">
        <v>0.12297434022053345</v>
      </c>
      <c r="P1895" s="4">
        <v>-0.12</v>
      </c>
      <c r="Q1895" s="3" t="s">
        <v>1617</v>
      </c>
      <c r="R1895" s="3" t="s">
        <v>1618</v>
      </c>
      <c r="S1895" s="3" t="s">
        <v>1619</v>
      </c>
      <c r="T1895" s="3"/>
    </row>
    <row r="1896" spans="1:20">
      <c r="A1896" s="3" t="s">
        <v>1604</v>
      </c>
      <c r="B1896" s="3" t="s">
        <v>1601</v>
      </c>
      <c r="C1896" s="3" t="s">
        <v>1616</v>
      </c>
      <c r="D1896" s="3" t="s">
        <v>148</v>
      </c>
      <c r="E1896" s="3" t="s">
        <v>149</v>
      </c>
      <c r="F1896" s="2">
        <v>1</v>
      </c>
      <c r="G1896" s="4">
        <v>1.0618490183427043</v>
      </c>
      <c r="H1896" s="2">
        <v>25</v>
      </c>
      <c r="I1896" s="2">
        <v>30</v>
      </c>
      <c r="J1896" s="2">
        <v>16</v>
      </c>
      <c r="K1896" s="4">
        <v>1</v>
      </c>
      <c r="L1896" s="4">
        <v>-3.5677067050373684E-2</v>
      </c>
      <c r="M1896" s="4">
        <v>3.5677067050373684E-2</v>
      </c>
      <c r="N1896" s="10">
        <v>3.5999999999999997E-2</v>
      </c>
      <c r="O1896" s="4">
        <v>0.17695973434167708</v>
      </c>
      <c r="P1896" s="4">
        <v>-0.18</v>
      </c>
      <c r="Q1896" s="3" t="s">
        <v>1617</v>
      </c>
      <c r="R1896" s="3" t="s">
        <v>1618</v>
      </c>
      <c r="S1896" s="3" t="s">
        <v>1619</v>
      </c>
      <c r="T1896" s="3"/>
    </row>
    <row r="1897" spans="1:20">
      <c r="A1897" s="3" t="s">
        <v>1600</v>
      </c>
      <c r="B1897" s="3" t="s">
        <v>1601</v>
      </c>
      <c r="C1897" s="3" t="s">
        <v>1616</v>
      </c>
      <c r="D1897" s="3" t="s">
        <v>148</v>
      </c>
      <c r="E1897" s="3" t="s">
        <v>149</v>
      </c>
      <c r="F1897" s="2">
        <v>1</v>
      </c>
      <c r="G1897" s="4">
        <v>1.0618490183427043</v>
      </c>
      <c r="H1897" s="2">
        <v>25</v>
      </c>
      <c r="I1897" s="2">
        <v>5</v>
      </c>
      <c r="J1897" s="2">
        <v>16</v>
      </c>
      <c r="K1897" s="4">
        <v>1</v>
      </c>
      <c r="L1897" s="4">
        <v>-4.5667445558547091E-2</v>
      </c>
      <c r="M1897" s="4">
        <v>4.5667445558547091E-2</v>
      </c>
      <c r="N1897" s="10">
        <v>4.5999999999999999E-2</v>
      </c>
      <c r="O1897" s="4">
        <v>0.22657388382671056</v>
      </c>
      <c r="P1897" s="4">
        <v>-0.23</v>
      </c>
      <c r="Q1897" s="3" t="s">
        <v>1617</v>
      </c>
      <c r="R1897" s="3" t="s">
        <v>1618</v>
      </c>
      <c r="S1897" s="3" t="s">
        <v>1619</v>
      </c>
      <c r="T1897" s="3"/>
    </row>
    <row r="1898" spans="1:20">
      <c r="A1898" s="3" t="s">
        <v>1600</v>
      </c>
      <c r="B1898" s="3" t="s">
        <v>1601</v>
      </c>
      <c r="C1898" s="3" t="s">
        <v>1596</v>
      </c>
      <c r="D1898" s="3" t="s">
        <v>148</v>
      </c>
      <c r="E1898" s="3" t="s">
        <v>149</v>
      </c>
      <c r="F1898" s="2">
        <v>1</v>
      </c>
      <c r="G1898" s="4">
        <v>1.0618490183427043</v>
      </c>
      <c r="H1898" s="2">
        <v>25</v>
      </c>
      <c r="I1898" s="2">
        <v>5</v>
      </c>
      <c r="J1898" s="2">
        <v>16</v>
      </c>
      <c r="K1898" s="4">
        <v>1</v>
      </c>
      <c r="L1898" s="4">
        <v>-8.0609116832936104E-2</v>
      </c>
      <c r="M1898" s="4">
        <v>8.0609116832936104E-2</v>
      </c>
      <c r="N1898" s="10">
        <v>8.1000000000000003E-2</v>
      </c>
      <c r="O1898" s="4">
        <v>0.40052389082410783</v>
      </c>
      <c r="P1898" s="4">
        <v>-0.4</v>
      </c>
      <c r="Q1898" s="3" t="s">
        <v>1617</v>
      </c>
      <c r="R1898" s="3" t="s">
        <v>1618</v>
      </c>
      <c r="S1898" s="3" t="s">
        <v>1619</v>
      </c>
      <c r="T1898" s="3"/>
    </row>
    <row r="1899" spans="1:20">
      <c r="A1899" s="3" t="s">
        <v>1600</v>
      </c>
      <c r="B1899" s="3" t="s">
        <v>1601</v>
      </c>
      <c r="C1899" s="3" t="s">
        <v>1596</v>
      </c>
      <c r="D1899" s="3" t="s">
        <v>148</v>
      </c>
      <c r="E1899" s="3" t="s">
        <v>149</v>
      </c>
      <c r="F1899" s="2">
        <v>1</v>
      </c>
      <c r="G1899" s="4">
        <v>1.0618490183427043</v>
      </c>
      <c r="H1899" s="2">
        <v>25</v>
      </c>
      <c r="I1899" s="2">
        <v>5</v>
      </c>
      <c r="J1899" s="2">
        <v>1</v>
      </c>
      <c r="K1899" s="4">
        <v>1</v>
      </c>
      <c r="L1899" s="4">
        <v>-8.2627193113573555E-2</v>
      </c>
      <c r="M1899" s="4">
        <v>8.2627193113573555E-2</v>
      </c>
      <c r="N1899" s="10">
        <v>8.3000000000000004E-2</v>
      </c>
      <c r="O1899" s="4">
        <v>0.41059648691591633</v>
      </c>
      <c r="P1899" s="4">
        <v>-0.41</v>
      </c>
      <c r="Q1899" s="3" t="s">
        <v>1617</v>
      </c>
      <c r="R1899" s="3" t="s">
        <v>1618</v>
      </c>
      <c r="S1899" s="3" t="s">
        <v>1619</v>
      </c>
      <c r="T1899" s="3"/>
    </row>
    <row r="1900" spans="1:20">
      <c r="A1900" s="12" t="s">
        <v>1605</v>
      </c>
      <c r="B1900" s="3" t="s">
        <v>1601</v>
      </c>
      <c r="C1900" s="3" t="s">
        <v>1596</v>
      </c>
      <c r="D1900" s="3" t="s">
        <v>148</v>
      </c>
      <c r="E1900" s="3" t="s">
        <v>149</v>
      </c>
      <c r="F1900" s="2">
        <v>1</v>
      </c>
      <c r="G1900" s="4">
        <v>1.0618490183427043</v>
      </c>
      <c r="H1900" s="2">
        <v>25</v>
      </c>
      <c r="I1900" s="2">
        <v>5</v>
      </c>
      <c r="J1900" s="2">
        <v>16</v>
      </c>
      <c r="K1900" s="11">
        <v>1</v>
      </c>
      <c r="L1900" s="11">
        <v>-8.4198385114466492E-2</v>
      </c>
      <c r="M1900" s="4">
        <v>8.4198385114466492E-2</v>
      </c>
      <c r="N1900" s="10">
        <v>8.4000000000000005E-2</v>
      </c>
      <c r="O1900" s="4">
        <v>0.4184409377929616</v>
      </c>
      <c r="P1900" s="4">
        <v>-0.42</v>
      </c>
      <c r="Q1900" s="3" t="s">
        <v>1617</v>
      </c>
      <c r="R1900" s="3" t="s">
        <v>1618</v>
      </c>
      <c r="S1900" s="3" t="s">
        <v>1619</v>
      </c>
      <c r="T1900" s="3"/>
    </row>
    <row r="1901" spans="1:20">
      <c r="A1901" s="3" t="s">
        <v>1604</v>
      </c>
      <c r="B1901" s="3" t="s">
        <v>1601</v>
      </c>
      <c r="C1901" s="3" t="s">
        <v>1596</v>
      </c>
      <c r="D1901" s="3" t="s">
        <v>148</v>
      </c>
      <c r="E1901" s="3" t="s">
        <v>149</v>
      </c>
      <c r="F1901" s="2">
        <v>1</v>
      </c>
      <c r="G1901" s="4">
        <v>1.0618490183427043</v>
      </c>
      <c r="H1901" s="2">
        <v>25</v>
      </c>
      <c r="I1901" s="2">
        <v>30</v>
      </c>
      <c r="J1901" s="2">
        <v>16</v>
      </c>
      <c r="K1901" s="4">
        <v>1</v>
      </c>
      <c r="L1901" s="4">
        <v>-9.0948470617291277E-2</v>
      </c>
      <c r="M1901" s="4">
        <v>9.0948470617291277E-2</v>
      </c>
      <c r="N1901" s="10">
        <v>9.0999999999999998E-2</v>
      </c>
      <c r="O1901" s="4">
        <v>0.45216620672356295</v>
      </c>
      <c r="P1901" s="4">
        <v>-0.45</v>
      </c>
      <c r="Q1901" s="3" t="s">
        <v>1617</v>
      </c>
      <c r="R1901" s="3" t="s">
        <v>1618</v>
      </c>
      <c r="S1901" s="3" t="s">
        <v>1619</v>
      </c>
      <c r="T1901" s="3"/>
    </row>
    <row r="1902" spans="1:20">
      <c r="A1902" s="3" t="s">
        <v>1600</v>
      </c>
      <c r="B1902" s="3" t="s">
        <v>1609</v>
      </c>
      <c r="C1902" s="3" t="s">
        <v>1596</v>
      </c>
      <c r="D1902" s="3" t="s">
        <v>148</v>
      </c>
      <c r="E1902" s="3" t="s">
        <v>149</v>
      </c>
      <c r="F1902" s="2">
        <v>1</v>
      </c>
      <c r="G1902" s="4">
        <v>1.0618490183427043</v>
      </c>
      <c r="H1902" s="2">
        <v>25</v>
      </c>
      <c r="I1902" s="2">
        <v>5</v>
      </c>
      <c r="J1902" s="2">
        <v>16</v>
      </c>
      <c r="K1902" s="4">
        <v>1</v>
      </c>
      <c r="L1902" s="4">
        <v>-0.10034150099290348</v>
      </c>
      <c r="M1902" s="4">
        <v>0.10034150099290348</v>
      </c>
      <c r="N1902" s="10">
        <v>0.1</v>
      </c>
      <c r="O1902" s="4">
        <v>0.49916656938297144</v>
      </c>
      <c r="P1902" s="4">
        <v>-0.5</v>
      </c>
      <c r="Q1902" s="3" t="s">
        <v>1617</v>
      </c>
      <c r="R1902" s="3" t="s">
        <v>1623</v>
      </c>
      <c r="S1902" s="3" t="s">
        <v>1624</v>
      </c>
      <c r="T1902" s="3"/>
    </row>
    <row r="1903" spans="1:20">
      <c r="A1903" s="3" t="s">
        <v>1600</v>
      </c>
      <c r="B1903" s="3" t="s">
        <v>1609</v>
      </c>
      <c r="C1903" s="3" t="s">
        <v>1596</v>
      </c>
      <c r="D1903" s="3" t="s">
        <v>148</v>
      </c>
      <c r="E1903" s="3" t="s">
        <v>149</v>
      </c>
      <c r="F1903" s="2">
        <v>1</v>
      </c>
      <c r="G1903" s="4">
        <v>1.0618490183427043</v>
      </c>
      <c r="H1903" s="2">
        <v>25</v>
      </c>
      <c r="I1903" s="2">
        <v>5</v>
      </c>
      <c r="J1903" s="2">
        <v>1</v>
      </c>
      <c r="K1903" s="11">
        <v>1</v>
      </c>
      <c r="L1903" s="11">
        <v>-0.13852007626016055</v>
      </c>
      <c r="M1903" s="4">
        <v>0.13852007626016055</v>
      </c>
      <c r="N1903" s="10">
        <v>0.13900000000000001</v>
      </c>
      <c r="O1903" s="4">
        <v>0.69121755665894002</v>
      </c>
      <c r="P1903" s="4">
        <v>-0.69</v>
      </c>
      <c r="Q1903" s="3" t="s">
        <v>1617</v>
      </c>
      <c r="R1903" s="3" t="s">
        <v>1623</v>
      </c>
      <c r="S1903" s="3" t="s">
        <v>1624</v>
      </c>
      <c r="T1903" s="3"/>
    </row>
    <row r="1904" spans="1:20">
      <c r="A1904" s="3" t="s">
        <v>1594</v>
      </c>
      <c r="B1904" s="3" t="s">
        <v>1595</v>
      </c>
      <c r="C1904" s="3" t="s">
        <v>1596</v>
      </c>
      <c r="D1904" s="3" t="s">
        <v>148</v>
      </c>
      <c r="E1904" s="3" t="s">
        <v>149</v>
      </c>
      <c r="F1904" s="2">
        <v>1</v>
      </c>
      <c r="G1904" s="4">
        <v>1.0618490183427043</v>
      </c>
      <c r="H1904" s="2">
        <v>50</v>
      </c>
      <c r="I1904" s="2">
        <v>5</v>
      </c>
      <c r="J1904" s="2">
        <v>16</v>
      </c>
      <c r="K1904" s="4">
        <v>1</v>
      </c>
      <c r="L1904" s="14">
        <v>-0.41856896718534187</v>
      </c>
      <c r="M1904" s="4">
        <v>0.41856896718534187</v>
      </c>
      <c r="N1904" s="10">
        <v>0.41899999999999998</v>
      </c>
      <c r="O1904" s="4">
        <v>2.3964152048614191</v>
      </c>
      <c r="P1904" s="4">
        <v>-2.4</v>
      </c>
      <c r="Q1904" s="3" t="s">
        <v>1617</v>
      </c>
      <c r="R1904" s="3" t="s">
        <v>1625</v>
      </c>
      <c r="S1904" s="3" t="s">
        <v>1626</v>
      </c>
      <c r="T1904" s="3"/>
    </row>
    <row r="1905" spans="1:20">
      <c r="A1905" s="3" t="s">
        <v>1600</v>
      </c>
      <c r="B1905" s="3" t="s">
        <v>1609</v>
      </c>
      <c r="C1905" s="3" t="s">
        <v>1616</v>
      </c>
      <c r="D1905" s="3" t="s">
        <v>913</v>
      </c>
      <c r="E1905" s="3" t="s">
        <v>914</v>
      </c>
      <c r="F1905" s="2">
        <v>1</v>
      </c>
      <c r="G1905" s="4">
        <v>1.0619337590969851</v>
      </c>
      <c r="H1905" s="2">
        <v>25</v>
      </c>
      <c r="I1905" s="2">
        <v>5</v>
      </c>
      <c r="J1905" s="2">
        <v>1</v>
      </c>
      <c r="K1905" s="4">
        <v>1.320832888068546E-2</v>
      </c>
      <c r="L1905" s="4">
        <v>0.26877540201449018</v>
      </c>
      <c r="M1905" s="4">
        <v>0.26877540201449018</v>
      </c>
      <c r="N1905" s="10">
        <v>0.26900000000000002</v>
      </c>
      <c r="O1905" s="4">
        <v>1.3661266481259522</v>
      </c>
      <c r="P1905" s="4">
        <v>1.37</v>
      </c>
      <c r="Q1905" s="3" t="s">
        <v>1597</v>
      </c>
      <c r="R1905" s="3" t="s">
        <v>1610</v>
      </c>
      <c r="S1905" s="3" t="s">
        <v>1611</v>
      </c>
      <c r="T1905" s="3"/>
    </row>
    <row r="1906" spans="1:20">
      <c r="A1906" s="3" t="s">
        <v>1600</v>
      </c>
      <c r="B1906" s="3" t="s">
        <v>1609</v>
      </c>
      <c r="C1906" s="3" t="s">
        <v>1596</v>
      </c>
      <c r="D1906" s="3" t="s">
        <v>913</v>
      </c>
      <c r="E1906" s="3" t="s">
        <v>914</v>
      </c>
      <c r="F1906" s="2">
        <v>1</v>
      </c>
      <c r="G1906" s="4">
        <v>1.0619337590969851</v>
      </c>
      <c r="H1906" s="2">
        <v>25</v>
      </c>
      <c r="I1906" s="2">
        <v>5</v>
      </c>
      <c r="J1906" s="2">
        <v>1</v>
      </c>
      <c r="K1906" s="4">
        <v>3.9828757183971164E-2</v>
      </c>
      <c r="L1906" s="4">
        <v>0.17427468795019824</v>
      </c>
      <c r="M1906" s="4">
        <v>0.17427468795019824</v>
      </c>
      <c r="N1906" s="10">
        <v>0.17399999999999999</v>
      </c>
      <c r="O1906" s="4">
        <v>0.87295323086274279</v>
      </c>
      <c r="P1906" s="4">
        <v>0.87</v>
      </c>
      <c r="Q1906" s="3" t="s">
        <v>1597</v>
      </c>
      <c r="R1906" s="3" t="s">
        <v>1610</v>
      </c>
      <c r="S1906" s="3" t="s">
        <v>1611</v>
      </c>
      <c r="T1906" s="3"/>
    </row>
    <row r="1907" spans="1:20">
      <c r="A1907" s="3" t="s">
        <v>1600</v>
      </c>
      <c r="B1907" s="3" t="s">
        <v>1601</v>
      </c>
      <c r="C1907" s="3" t="s">
        <v>1616</v>
      </c>
      <c r="D1907" s="3" t="s">
        <v>913</v>
      </c>
      <c r="E1907" s="3" t="s">
        <v>914</v>
      </c>
      <c r="F1907" s="2">
        <v>1</v>
      </c>
      <c r="G1907" s="4">
        <v>1.0619337590969851</v>
      </c>
      <c r="H1907" s="2">
        <v>25</v>
      </c>
      <c r="I1907" s="2">
        <v>5</v>
      </c>
      <c r="J1907" s="2">
        <v>16</v>
      </c>
      <c r="K1907" s="4">
        <v>4.5972016528653237E-2</v>
      </c>
      <c r="L1907" s="4">
        <v>0.10555144649216919</v>
      </c>
      <c r="M1907" s="4">
        <v>0.10555144649216919</v>
      </c>
      <c r="N1907" s="10">
        <v>0.106</v>
      </c>
      <c r="O1907" s="4">
        <v>0.52527389395049062</v>
      </c>
      <c r="P1907" s="4">
        <v>0.53</v>
      </c>
      <c r="Q1907" s="3" t="s">
        <v>1597</v>
      </c>
      <c r="R1907" s="3" t="s">
        <v>1602</v>
      </c>
      <c r="S1907" s="3" t="s">
        <v>1603</v>
      </c>
      <c r="T1907" s="3"/>
    </row>
    <row r="1908" spans="1:20">
      <c r="A1908" s="3" t="s">
        <v>1604</v>
      </c>
      <c r="B1908" s="3" t="s">
        <v>1601</v>
      </c>
      <c r="C1908" s="3" t="s">
        <v>1616</v>
      </c>
      <c r="D1908" s="3" t="s">
        <v>913</v>
      </c>
      <c r="E1908" s="3" t="s">
        <v>914</v>
      </c>
      <c r="F1908" s="2">
        <v>1</v>
      </c>
      <c r="G1908" s="4">
        <v>1.0619337590969851</v>
      </c>
      <c r="H1908" s="2">
        <v>25</v>
      </c>
      <c r="I1908" s="2">
        <v>30</v>
      </c>
      <c r="J1908" s="2">
        <v>16</v>
      </c>
      <c r="K1908" s="4">
        <v>8.7481849448328597E-2</v>
      </c>
      <c r="L1908" s="4">
        <v>9.2820454183080894E-2</v>
      </c>
      <c r="M1908" s="4">
        <v>9.2820454183080894E-2</v>
      </c>
      <c r="N1908" s="10">
        <v>9.2999999999999999E-2</v>
      </c>
      <c r="O1908" s="4">
        <v>0.4615264108221464</v>
      </c>
      <c r="P1908" s="4">
        <v>0.46</v>
      </c>
      <c r="Q1908" s="3" t="s">
        <v>1597</v>
      </c>
      <c r="R1908" s="3" t="s">
        <v>1602</v>
      </c>
      <c r="S1908" s="3" t="s">
        <v>1603</v>
      </c>
      <c r="T1908" s="3"/>
    </row>
    <row r="1909" spans="1:20">
      <c r="A1909" s="3" t="s">
        <v>1605</v>
      </c>
      <c r="B1909" s="3" t="s">
        <v>1601</v>
      </c>
      <c r="C1909" s="3" t="s">
        <v>1596</v>
      </c>
      <c r="D1909" s="3" t="s">
        <v>913</v>
      </c>
      <c r="E1909" s="3" t="s">
        <v>914</v>
      </c>
      <c r="F1909" s="2">
        <v>1</v>
      </c>
      <c r="G1909" s="4">
        <v>1.0619337590969851</v>
      </c>
      <c r="H1909" s="2">
        <v>25</v>
      </c>
      <c r="I1909" s="2">
        <v>5</v>
      </c>
      <c r="J1909" s="2">
        <v>16</v>
      </c>
      <c r="K1909" s="4">
        <v>9.8864505000332836E-2</v>
      </c>
      <c r="L1909" s="4">
        <v>9.0483136238682454E-2</v>
      </c>
      <c r="M1909" s="4">
        <v>9.0483136238682454E-2</v>
      </c>
      <c r="N1909" s="10">
        <v>0.09</v>
      </c>
      <c r="O1909" s="4">
        <v>0.44983996497579232</v>
      </c>
      <c r="P1909" s="4">
        <v>0.45</v>
      </c>
      <c r="Q1909" s="3" t="s">
        <v>1597</v>
      </c>
      <c r="R1909" s="3" t="s">
        <v>1602</v>
      </c>
      <c r="S1909" s="3" t="s">
        <v>1603</v>
      </c>
      <c r="T1909" s="3"/>
    </row>
    <row r="1910" spans="1:20">
      <c r="A1910" s="3" t="s">
        <v>1600</v>
      </c>
      <c r="B1910" s="3" t="s">
        <v>1601</v>
      </c>
      <c r="C1910" s="3" t="s">
        <v>1596</v>
      </c>
      <c r="D1910" s="3" t="s">
        <v>913</v>
      </c>
      <c r="E1910" s="3" t="s">
        <v>914</v>
      </c>
      <c r="F1910" s="2">
        <v>1</v>
      </c>
      <c r="G1910" s="4">
        <v>1.0619337590969851</v>
      </c>
      <c r="H1910" s="2">
        <v>25</v>
      </c>
      <c r="I1910" s="2">
        <v>5</v>
      </c>
      <c r="J1910" s="2">
        <v>16</v>
      </c>
      <c r="K1910" s="4">
        <v>9.1294672954637113E-2</v>
      </c>
      <c r="L1910" s="4">
        <v>8.7535255879013715E-2</v>
      </c>
      <c r="M1910" s="4">
        <v>8.7535255879013715E-2</v>
      </c>
      <c r="N1910" s="10">
        <v>8.7999999999999995E-2</v>
      </c>
      <c r="O1910" s="4">
        <v>0.4351078334457254</v>
      </c>
      <c r="P1910" s="4">
        <v>0.44</v>
      </c>
      <c r="Q1910" s="3" t="s">
        <v>1597</v>
      </c>
      <c r="R1910" s="3" t="s">
        <v>1602</v>
      </c>
      <c r="S1910" s="3" t="s">
        <v>1603</v>
      </c>
      <c r="T1910" s="3"/>
    </row>
    <row r="1911" spans="1:20">
      <c r="A1911" s="3" t="s">
        <v>1604</v>
      </c>
      <c r="B1911" s="3" t="s">
        <v>1601</v>
      </c>
      <c r="C1911" s="3" t="s">
        <v>1596</v>
      </c>
      <c r="D1911" s="3" t="s">
        <v>913</v>
      </c>
      <c r="E1911" s="3" t="s">
        <v>914</v>
      </c>
      <c r="F1911" s="2">
        <v>1</v>
      </c>
      <c r="G1911" s="4">
        <v>1.0619337590969851</v>
      </c>
      <c r="H1911" s="2">
        <v>25</v>
      </c>
      <c r="I1911" s="2">
        <v>30</v>
      </c>
      <c r="J1911" s="2">
        <v>16</v>
      </c>
      <c r="K1911" s="4">
        <v>0.12112987416629484</v>
      </c>
      <c r="L1911" s="4">
        <v>5.4555401279249433E-2</v>
      </c>
      <c r="M1911" s="4">
        <v>5.4555401279249433E-2</v>
      </c>
      <c r="N1911" s="10">
        <v>5.5E-2</v>
      </c>
      <c r="O1911" s="4">
        <v>0.27075103197467193</v>
      </c>
      <c r="P1911" s="4">
        <v>0.27</v>
      </c>
      <c r="Q1911" s="3" t="s">
        <v>1597</v>
      </c>
      <c r="R1911" s="3" t="s">
        <v>1602</v>
      </c>
      <c r="S1911" s="3" t="s">
        <v>1603</v>
      </c>
      <c r="T1911" s="3"/>
    </row>
    <row r="1912" spans="1:20">
      <c r="A1912" s="3" t="s">
        <v>1594</v>
      </c>
      <c r="B1912" s="3" t="s">
        <v>1612</v>
      </c>
      <c r="C1912" s="3" t="s">
        <v>1596</v>
      </c>
      <c r="D1912" s="3" t="s">
        <v>913</v>
      </c>
      <c r="E1912" s="3" t="s">
        <v>914</v>
      </c>
      <c r="F1912" s="2">
        <v>1</v>
      </c>
      <c r="G1912" s="4">
        <v>1.0619337590969851</v>
      </c>
      <c r="H1912" s="2">
        <v>50</v>
      </c>
      <c r="I1912" s="2">
        <v>5</v>
      </c>
      <c r="J1912" s="2">
        <v>16</v>
      </c>
      <c r="K1912" s="4">
        <v>0.86110171050703532</v>
      </c>
      <c r="L1912" s="4">
        <v>3.9593325168820685E-2</v>
      </c>
      <c r="M1912" s="4">
        <v>3.9593325168820685E-2</v>
      </c>
      <c r="N1912" s="10">
        <v>0.04</v>
      </c>
      <c r="O1912" s="4">
        <v>0.21287240287025189</v>
      </c>
      <c r="P1912" s="4">
        <v>0.22</v>
      </c>
      <c r="Q1912" s="3" t="s">
        <v>1597</v>
      </c>
      <c r="R1912" s="3" t="s">
        <v>1613</v>
      </c>
      <c r="S1912" s="3" t="s">
        <v>1614</v>
      </c>
      <c r="T1912" s="3"/>
    </row>
    <row r="1913" spans="1:20">
      <c r="A1913" s="3" t="s">
        <v>1600</v>
      </c>
      <c r="B1913" s="3" t="s">
        <v>1609</v>
      </c>
      <c r="C1913" s="3" t="s">
        <v>1596</v>
      </c>
      <c r="D1913" s="3" t="s">
        <v>913</v>
      </c>
      <c r="E1913" s="3" t="s">
        <v>914</v>
      </c>
      <c r="F1913" s="2">
        <v>1</v>
      </c>
      <c r="G1913" s="4">
        <v>1.0619337590969851</v>
      </c>
      <c r="H1913" s="2">
        <v>25</v>
      </c>
      <c r="I1913" s="2">
        <v>5</v>
      </c>
      <c r="J1913" s="2">
        <v>16</v>
      </c>
      <c r="K1913" s="4">
        <v>0.11104025357453251</v>
      </c>
      <c r="L1913" s="4">
        <v>2.7638045271574851E-3</v>
      </c>
      <c r="M1913" s="4">
        <v>2.7638045271574851E-3</v>
      </c>
      <c r="N1913" s="10">
        <v>3.0000000000000001E-3</v>
      </c>
      <c r="O1913" s="4">
        <v>1.3702801819704338E-2</v>
      </c>
      <c r="P1913" s="4">
        <v>0.01</v>
      </c>
      <c r="Q1913" s="3" t="s">
        <v>1597</v>
      </c>
      <c r="R1913" s="3" t="s">
        <v>1610</v>
      </c>
      <c r="S1913" s="3" t="s">
        <v>1611</v>
      </c>
      <c r="T1913" s="3"/>
    </row>
    <row r="1914" spans="1:20">
      <c r="A1914" s="3" t="s">
        <v>1600</v>
      </c>
      <c r="B1914" s="3" t="s">
        <v>1601</v>
      </c>
      <c r="C1914" s="3" t="s">
        <v>1616</v>
      </c>
      <c r="D1914" s="3" t="s">
        <v>913</v>
      </c>
      <c r="E1914" s="3" t="s">
        <v>914</v>
      </c>
      <c r="F1914" s="2">
        <v>1</v>
      </c>
      <c r="G1914" s="4">
        <v>1.0619337590969851</v>
      </c>
      <c r="H1914" s="2">
        <v>25</v>
      </c>
      <c r="I1914" s="2">
        <v>5</v>
      </c>
      <c r="J1914" s="2">
        <v>1</v>
      </c>
      <c r="K1914" s="4">
        <v>0</v>
      </c>
      <c r="L1914" s="4">
        <v>0</v>
      </c>
      <c r="M1914" s="4">
        <v>0</v>
      </c>
      <c r="N1914" s="10">
        <v>0</v>
      </c>
      <c r="O1914" s="4">
        <v>0</v>
      </c>
      <c r="P1914" s="4">
        <v>0</v>
      </c>
      <c r="Q1914" s="3" t="s">
        <v>1617</v>
      </c>
      <c r="R1914" s="3" t="s">
        <v>1618</v>
      </c>
      <c r="S1914" s="3" t="s">
        <v>1619</v>
      </c>
      <c r="T1914" s="3"/>
    </row>
    <row r="1915" spans="1:20">
      <c r="A1915" s="3" t="s">
        <v>1600</v>
      </c>
      <c r="B1915" s="3" t="s">
        <v>1601</v>
      </c>
      <c r="C1915" s="3" t="s">
        <v>1596</v>
      </c>
      <c r="D1915" s="3" t="s">
        <v>913</v>
      </c>
      <c r="E1915" s="3" t="s">
        <v>914</v>
      </c>
      <c r="F1915" s="2">
        <v>1</v>
      </c>
      <c r="G1915" s="4">
        <v>1.0619337590969851</v>
      </c>
      <c r="H1915" s="2">
        <v>25</v>
      </c>
      <c r="I1915" s="2">
        <v>5</v>
      </c>
      <c r="J1915" s="2">
        <v>1</v>
      </c>
      <c r="K1915" s="4">
        <v>0</v>
      </c>
      <c r="L1915" s="4">
        <v>0</v>
      </c>
      <c r="M1915" s="4">
        <v>0</v>
      </c>
      <c r="N1915" s="10">
        <v>0</v>
      </c>
      <c r="O1915" s="4">
        <v>0</v>
      </c>
      <c r="P1915" s="4">
        <v>0</v>
      </c>
      <c r="Q1915" s="3" t="s">
        <v>1617</v>
      </c>
      <c r="R1915" s="3" t="s">
        <v>1618</v>
      </c>
      <c r="S1915" s="3" t="s">
        <v>1619</v>
      </c>
      <c r="T1915" s="3"/>
    </row>
    <row r="1916" spans="1:20">
      <c r="A1916" s="3" t="s">
        <v>1600</v>
      </c>
      <c r="B1916" s="3" t="s">
        <v>1606</v>
      </c>
      <c r="C1916" s="3" t="s">
        <v>1616</v>
      </c>
      <c r="D1916" s="3" t="s">
        <v>913</v>
      </c>
      <c r="E1916" s="3" t="s">
        <v>914</v>
      </c>
      <c r="F1916" s="2">
        <v>1</v>
      </c>
      <c r="G1916" s="4">
        <v>1.0619337590969851</v>
      </c>
      <c r="H1916" s="2">
        <v>25</v>
      </c>
      <c r="I1916" s="2">
        <v>5</v>
      </c>
      <c r="J1916" s="2">
        <v>1</v>
      </c>
      <c r="K1916" s="4">
        <v>0</v>
      </c>
      <c r="L1916" s="4">
        <v>0</v>
      </c>
      <c r="M1916" s="4">
        <v>0</v>
      </c>
      <c r="N1916" s="10">
        <v>0</v>
      </c>
      <c r="O1916" s="4">
        <v>0</v>
      </c>
      <c r="P1916" s="4">
        <v>0</v>
      </c>
      <c r="Q1916" s="3" t="s">
        <v>1617</v>
      </c>
      <c r="R1916" s="3" t="s">
        <v>1621</v>
      </c>
      <c r="S1916" s="3" t="s">
        <v>1622</v>
      </c>
      <c r="T1916" s="3"/>
    </row>
    <row r="1917" spans="1:20">
      <c r="A1917" s="3" t="s">
        <v>1600</v>
      </c>
      <c r="B1917" s="3" t="s">
        <v>1609</v>
      </c>
      <c r="C1917" s="3" t="s">
        <v>1616</v>
      </c>
      <c r="D1917" s="3" t="s">
        <v>913</v>
      </c>
      <c r="E1917" s="3" t="s">
        <v>914</v>
      </c>
      <c r="F1917" s="2">
        <v>1</v>
      </c>
      <c r="G1917" s="4">
        <v>1.0619337590969851</v>
      </c>
      <c r="H1917" s="2">
        <v>25</v>
      </c>
      <c r="I1917" s="2">
        <v>5</v>
      </c>
      <c r="J1917" s="2">
        <v>16</v>
      </c>
      <c r="K1917" s="4">
        <v>3.9732790661412998E-2</v>
      </c>
      <c r="L1917" s="4">
        <v>-5.5993451058356089E-3</v>
      </c>
      <c r="M1917" s="4">
        <v>5.5993451058356089E-3</v>
      </c>
      <c r="N1917" s="10">
        <v>6.0000000000000001E-3</v>
      </c>
      <c r="O1917" s="4">
        <v>2.7761486771046725E-2</v>
      </c>
      <c r="P1917" s="4">
        <v>-0.03</v>
      </c>
      <c r="Q1917" s="3" t="s">
        <v>1617</v>
      </c>
      <c r="R1917" s="3" t="s">
        <v>1623</v>
      </c>
      <c r="S1917" s="3" t="s">
        <v>1624</v>
      </c>
      <c r="T1917" s="3"/>
    </row>
    <row r="1918" spans="1:20">
      <c r="A1918" s="3" t="s">
        <v>1594</v>
      </c>
      <c r="B1918" s="3" t="s">
        <v>1595</v>
      </c>
      <c r="C1918" s="3" t="s">
        <v>1596</v>
      </c>
      <c r="D1918" s="3" t="s">
        <v>913</v>
      </c>
      <c r="E1918" s="3" t="s">
        <v>914</v>
      </c>
      <c r="F1918" s="2">
        <v>1</v>
      </c>
      <c r="G1918" s="4">
        <v>1.0619337590969851</v>
      </c>
      <c r="H1918" s="2">
        <v>25</v>
      </c>
      <c r="I1918" s="2">
        <v>5</v>
      </c>
      <c r="J1918" s="2">
        <v>16</v>
      </c>
      <c r="K1918" s="4">
        <v>0.88747349282013499</v>
      </c>
      <c r="L1918" s="4">
        <v>-1.9924734069238323E-2</v>
      </c>
      <c r="M1918" s="4">
        <v>1.9924734069238323E-2</v>
      </c>
      <c r="N1918" s="10">
        <v>0.02</v>
      </c>
      <c r="O1918" s="4">
        <v>9.8798638879812342E-2</v>
      </c>
      <c r="P1918" s="4">
        <v>-0.1</v>
      </c>
      <c r="Q1918" s="3" t="s">
        <v>1617</v>
      </c>
      <c r="R1918" s="3" t="s">
        <v>1625</v>
      </c>
      <c r="S1918" s="3" t="s">
        <v>1626</v>
      </c>
      <c r="T1918" s="3"/>
    </row>
    <row r="1919" spans="1:20">
      <c r="A1919" s="3" t="s">
        <v>1594</v>
      </c>
      <c r="B1919" s="3" t="s">
        <v>1595</v>
      </c>
      <c r="C1919" s="3" t="s">
        <v>1596</v>
      </c>
      <c r="D1919" s="3" t="s">
        <v>913</v>
      </c>
      <c r="E1919" s="3" t="s">
        <v>914</v>
      </c>
      <c r="F1919" s="2">
        <v>1</v>
      </c>
      <c r="G1919" s="4">
        <v>1.0619337590969851</v>
      </c>
      <c r="H1919" s="2">
        <v>50</v>
      </c>
      <c r="I1919" s="2">
        <v>5</v>
      </c>
      <c r="J1919" s="2">
        <v>16</v>
      </c>
      <c r="K1919" s="4">
        <v>1</v>
      </c>
      <c r="L1919" s="4">
        <v>-2.6434724093621537E-2</v>
      </c>
      <c r="M1919" s="4">
        <v>2.6434724093621537E-2</v>
      </c>
      <c r="N1919" s="10">
        <v>2.5999999999999999E-2</v>
      </c>
      <c r="O1919" s="4">
        <v>0.14208435725832944</v>
      </c>
      <c r="P1919" s="4">
        <v>-0.14000000000000001</v>
      </c>
      <c r="Q1919" s="3" t="s">
        <v>1617</v>
      </c>
      <c r="R1919" s="3" t="s">
        <v>1625</v>
      </c>
      <c r="S1919" s="3" t="s">
        <v>1626</v>
      </c>
      <c r="T1919" s="3"/>
    </row>
    <row r="1920" spans="1:20">
      <c r="A1920" s="3" t="s">
        <v>1600</v>
      </c>
      <c r="B1920" s="3" t="s">
        <v>1606</v>
      </c>
      <c r="C1920" s="3" t="s">
        <v>1596</v>
      </c>
      <c r="D1920" s="3" t="s">
        <v>913</v>
      </c>
      <c r="E1920" s="3" t="s">
        <v>914</v>
      </c>
      <c r="F1920" s="2">
        <v>1</v>
      </c>
      <c r="G1920" s="4">
        <v>1.0619337590969851</v>
      </c>
      <c r="H1920" s="2">
        <v>25</v>
      </c>
      <c r="I1920" s="2">
        <v>5</v>
      </c>
      <c r="J1920" s="2">
        <v>16</v>
      </c>
      <c r="K1920" s="4">
        <v>0.92436784640544889</v>
      </c>
      <c r="L1920" s="4">
        <v>-2.8913413352491479E-2</v>
      </c>
      <c r="M1920" s="4">
        <v>2.8913413352491479E-2</v>
      </c>
      <c r="N1920" s="10">
        <v>2.9000000000000001E-2</v>
      </c>
      <c r="O1920" s="4">
        <v>0.1433908295245967</v>
      </c>
      <c r="P1920" s="4">
        <v>-0.14000000000000001</v>
      </c>
      <c r="Q1920" s="3" t="s">
        <v>1617</v>
      </c>
      <c r="R1920" s="3" t="s">
        <v>1621</v>
      </c>
      <c r="S1920" s="3" t="s">
        <v>1622</v>
      </c>
      <c r="T1920" s="3"/>
    </row>
    <row r="1921" spans="1:20">
      <c r="A1921" s="3" t="s">
        <v>1600</v>
      </c>
      <c r="B1921" s="3" t="s">
        <v>1606</v>
      </c>
      <c r="C1921" s="3" t="s">
        <v>1596</v>
      </c>
      <c r="D1921" s="3" t="s">
        <v>913</v>
      </c>
      <c r="E1921" s="3" t="s">
        <v>914</v>
      </c>
      <c r="F1921" s="2">
        <v>1</v>
      </c>
      <c r="G1921" s="4">
        <v>1.0619337590969851</v>
      </c>
      <c r="H1921" s="2">
        <v>25</v>
      </c>
      <c r="I1921" s="2">
        <v>5</v>
      </c>
      <c r="J1921" s="2">
        <v>1</v>
      </c>
      <c r="K1921" s="4">
        <v>0.37898693328710409</v>
      </c>
      <c r="L1921" s="4">
        <v>-6.117290879507857E-2</v>
      </c>
      <c r="M1921" s="4">
        <v>6.117290879507857E-2</v>
      </c>
      <c r="N1921" s="10">
        <v>6.0999999999999999E-2</v>
      </c>
      <c r="O1921" s="4">
        <v>0.303670557927603</v>
      </c>
      <c r="P1921" s="4">
        <v>-0.3</v>
      </c>
      <c r="Q1921" s="3" t="s">
        <v>1617</v>
      </c>
      <c r="R1921" s="3" t="s">
        <v>1621</v>
      </c>
      <c r="S1921" s="3" t="s">
        <v>1622</v>
      </c>
      <c r="T1921" s="3"/>
    </row>
    <row r="1922" spans="1:20">
      <c r="A1922" s="3" t="s">
        <v>1600</v>
      </c>
      <c r="B1922" s="3" t="s">
        <v>1606</v>
      </c>
      <c r="C1922" s="3" t="s">
        <v>1616</v>
      </c>
      <c r="D1922" s="3" t="s">
        <v>913</v>
      </c>
      <c r="E1922" s="3" t="s">
        <v>914</v>
      </c>
      <c r="F1922" s="2">
        <v>1</v>
      </c>
      <c r="G1922" s="4">
        <v>1.0619337590969851</v>
      </c>
      <c r="H1922" s="2">
        <v>25</v>
      </c>
      <c r="I1922" s="2">
        <v>5</v>
      </c>
      <c r="J1922" s="2">
        <v>16</v>
      </c>
      <c r="K1922" s="4">
        <v>8.610143268199022E-2</v>
      </c>
      <c r="L1922" s="4">
        <v>-0.21892653081044328</v>
      </c>
      <c r="M1922" s="4">
        <v>0.21892653081044328</v>
      </c>
      <c r="N1922" s="10">
        <v>0.219</v>
      </c>
      <c r="O1922" s="4">
        <v>1.1032812504389828</v>
      </c>
      <c r="P1922" s="4">
        <v>-1.1000000000000001</v>
      </c>
      <c r="Q1922" s="3" t="s">
        <v>1617</v>
      </c>
      <c r="R1922" s="3" t="s">
        <v>1621</v>
      </c>
      <c r="S1922" s="3" t="s">
        <v>1622</v>
      </c>
      <c r="T1922" s="3"/>
    </row>
    <row r="1923" spans="1:20">
      <c r="A1923" s="3" t="s">
        <v>1594</v>
      </c>
      <c r="B1923" s="3" t="s">
        <v>1612</v>
      </c>
      <c r="C1923" s="3" t="s">
        <v>1596</v>
      </c>
      <c r="D1923" s="3" t="s">
        <v>921</v>
      </c>
      <c r="E1923" s="3" t="s">
        <v>922</v>
      </c>
      <c r="F1923" s="2">
        <v>1</v>
      </c>
      <c r="G1923" s="4">
        <v>1.0619726505673552</v>
      </c>
      <c r="H1923" s="2">
        <v>50</v>
      </c>
      <c r="I1923" s="2">
        <v>5</v>
      </c>
      <c r="J1923" s="2">
        <v>16</v>
      </c>
      <c r="K1923" s="4">
        <v>0.19243118882184806</v>
      </c>
      <c r="L1923" s="4">
        <v>8.8680391895296959E-2</v>
      </c>
      <c r="M1923" s="4">
        <v>8.8680391895296959E-2</v>
      </c>
      <c r="N1923" s="10">
        <v>8.8999999999999996E-2</v>
      </c>
      <c r="O1923" s="4">
        <v>0.47779352176582307</v>
      </c>
      <c r="P1923" s="4">
        <v>0.48</v>
      </c>
      <c r="Q1923" s="3" t="s">
        <v>1597</v>
      </c>
      <c r="R1923" s="3" t="s">
        <v>1613</v>
      </c>
      <c r="S1923" s="3" t="s">
        <v>1614</v>
      </c>
      <c r="T1923" s="3"/>
    </row>
    <row r="1924" spans="1:20">
      <c r="A1924" s="3" t="s">
        <v>1594</v>
      </c>
      <c r="B1924" s="3" t="s">
        <v>1595</v>
      </c>
      <c r="C1924" s="3" t="s">
        <v>1596</v>
      </c>
      <c r="D1924" s="3" t="s">
        <v>921</v>
      </c>
      <c r="E1924" s="3" t="s">
        <v>922</v>
      </c>
      <c r="F1924" s="2">
        <v>1</v>
      </c>
      <c r="G1924" s="4">
        <v>1.0619726505673552</v>
      </c>
      <c r="H1924" s="2">
        <v>50</v>
      </c>
      <c r="I1924" s="2">
        <v>5</v>
      </c>
      <c r="J1924" s="2">
        <v>16</v>
      </c>
      <c r="K1924" s="4">
        <v>1</v>
      </c>
      <c r="L1924" s="4">
        <v>-7.4516504535831751E-2</v>
      </c>
      <c r="M1924" s="4">
        <v>7.4516504535831751E-2</v>
      </c>
      <c r="N1924" s="10">
        <v>7.4999999999999997E-2</v>
      </c>
      <c r="O1924" s="4">
        <v>0.40117009003026871</v>
      </c>
      <c r="P1924" s="4">
        <v>-0.4</v>
      </c>
      <c r="Q1924" s="3" t="s">
        <v>1617</v>
      </c>
      <c r="R1924" s="3" t="s">
        <v>1625</v>
      </c>
      <c r="S1924" s="3" t="s">
        <v>1626</v>
      </c>
      <c r="T1924" s="3"/>
    </row>
    <row r="1925" spans="1:20">
      <c r="A1925" s="3" t="s">
        <v>1594</v>
      </c>
      <c r="B1925" s="3" t="s">
        <v>1595</v>
      </c>
      <c r="C1925" s="3" t="s">
        <v>1596</v>
      </c>
      <c r="D1925" s="3" t="s">
        <v>921</v>
      </c>
      <c r="E1925" s="3" t="s">
        <v>922</v>
      </c>
      <c r="F1925" s="2">
        <v>1</v>
      </c>
      <c r="G1925" s="4">
        <v>1.0619726505673552</v>
      </c>
      <c r="H1925" s="2">
        <v>25</v>
      </c>
      <c r="I1925" s="2">
        <v>5</v>
      </c>
      <c r="J1925" s="2">
        <v>16</v>
      </c>
      <c r="K1925" s="4">
        <v>0.90884437647433836</v>
      </c>
      <c r="L1925" s="4">
        <v>-8.1802275769474325E-2</v>
      </c>
      <c r="M1925" s="4">
        <v>8.1802275769474325E-2</v>
      </c>
      <c r="N1925" s="10">
        <v>8.2000000000000003E-2</v>
      </c>
      <c r="O1925" s="4">
        <v>0.40647876623477019</v>
      </c>
      <c r="P1925" s="4">
        <v>-0.41</v>
      </c>
      <c r="Q1925" s="3" t="s">
        <v>1617</v>
      </c>
      <c r="R1925" s="3" t="s">
        <v>1625</v>
      </c>
      <c r="S1925" s="3" t="s">
        <v>1626</v>
      </c>
      <c r="T1925" s="3"/>
    </row>
    <row r="1926" spans="1:20">
      <c r="A1926" s="3" t="s">
        <v>1604</v>
      </c>
      <c r="B1926" s="3" t="s">
        <v>1601</v>
      </c>
      <c r="C1926" s="3" t="s">
        <v>1616</v>
      </c>
      <c r="D1926" s="3" t="s">
        <v>921</v>
      </c>
      <c r="E1926" s="3" t="s">
        <v>922</v>
      </c>
      <c r="F1926" s="2">
        <v>1</v>
      </c>
      <c r="G1926" s="4">
        <v>1.0619726505673552</v>
      </c>
      <c r="H1926" s="2">
        <v>25</v>
      </c>
      <c r="I1926" s="2">
        <v>30</v>
      </c>
      <c r="J1926" s="2">
        <v>16</v>
      </c>
      <c r="K1926" s="4">
        <v>1</v>
      </c>
      <c r="L1926" s="4">
        <v>-0.71740665148265403</v>
      </c>
      <c r="M1926" s="4">
        <v>0.71740665148265403</v>
      </c>
      <c r="N1926" s="10">
        <v>0.71699999999999997</v>
      </c>
      <c r="O1926" s="4">
        <v>4.4734511183068628</v>
      </c>
      <c r="P1926" s="4">
        <v>-4.47</v>
      </c>
      <c r="Q1926" s="3" t="s">
        <v>1617</v>
      </c>
      <c r="R1926" s="3" t="s">
        <v>1618</v>
      </c>
      <c r="S1926" s="3" t="s">
        <v>1619</v>
      </c>
      <c r="T1926" s="3"/>
    </row>
    <row r="1927" spans="1:20">
      <c r="A1927" s="3" t="s">
        <v>1604</v>
      </c>
      <c r="B1927" s="3" t="s">
        <v>1601</v>
      </c>
      <c r="C1927" s="3" t="s">
        <v>1596</v>
      </c>
      <c r="D1927" s="3" t="s">
        <v>921</v>
      </c>
      <c r="E1927" s="3" t="s">
        <v>922</v>
      </c>
      <c r="F1927" s="2">
        <v>1</v>
      </c>
      <c r="G1927" s="4">
        <v>1.0619726505673552</v>
      </c>
      <c r="H1927" s="2">
        <v>25</v>
      </c>
      <c r="I1927" s="2">
        <v>30</v>
      </c>
      <c r="J1927" s="2">
        <v>16</v>
      </c>
      <c r="K1927" s="4">
        <v>1</v>
      </c>
      <c r="L1927" s="4">
        <v>-0.77292609792774358</v>
      </c>
      <c r="M1927" s="4">
        <v>0.77292609792774358</v>
      </c>
      <c r="N1927" s="10">
        <v>0.77300000000000002</v>
      </c>
      <c r="O1927" s="4">
        <v>5.0945550104648003</v>
      </c>
      <c r="P1927" s="4">
        <v>-5.0999999999999996</v>
      </c>
      <c r="Q1927" s="3" t="s">
        <v>1617</v>
      </c>
      <c r="R1927" s="3" t="s">
        <v>1618</v>
      </c>
      <c r="S1927" s="3" t="s">
        <v>1619</v>
      </c>
      <c r="T1927" s="3"/>
    </row>
    <row r="1928" spans="1:20">
      <c r="A1928" s="3" t="s">
        <v>1600</v>
      </c>
      <c r="B1928" s="3" t="s">
        <v>1606</v>
      </c>
      <c r="C1928" s="3" t="s">
        <v>1596</v>
      </c>
      <c r="D1928" s="3" t="s">
        <v>921</v>
      </c>
      <c r="E1928" s="3" t="s">
        <v>922</v>
      </c>
      <c r="F1928" s="2">
        <v>1</v>
      </c>
      <c r="G1928" s="4">
        <v>1.0619726505673552</v>
      </c>
      <c r="H1928" s="2">
        <v>25</v>
      </c>
      <c r="I1928" s="2">
        <v>5</v>
      </c>
      <c r="J1928" s="2">
        <v>16</v>
      </c>
      <c r="K1928" s="4">
        <v>1</v>
      </c>
      <c r="L1928" s="4">
        <v>-0.77934921020126036</v>
      </c>
      <c r="M1928" s="4">
        <v>0.77934921020126036</v>
      </c>
      <c r="N1928" s="10">
        <v>0.77900000000000003</v>
      </c>
      <c r="O1928" s="4">
        <v>5.1746518358240969</v>
      </c>
      <c r="P1928" s="4">
        <v>-5.17</v>
      </c>
      <c r="Q1928" s="3" t="s">
        <v>1617</v>
      </c>
      <c r="R1928" s="3" t="s">
        <v>1621</v>
      </c>
      <c r="S1928" s="3" t="s">
        <v>1622</v>
      </c>
      <c r="T1928" s="3"/>
    </row>
    <row r="1929" spans="1:20">
      <c r="A1929" s="3" t="s">
        <v>1600</v>
      </c>
      <c r="B1929" s="3" t="s">
        <v>1601</v>
      </c>
      <c r="C1929" s="3" t="s">
        <v>1616</v>
      </c>
      <c r="D1929" s="3" t="s">
        <v>921</v>
      </c>
      <c r="E1929" s="3" t="s">
        <v>922</v>
      </c>
      <c r="F1929" s="2">
        <v>1</v>
      </c>
      <c r="G1929" s="4">
        <v>1.0619726505673552</v>
      </c>
      <c r="H1929" s="2">
        <v>25</v>
      </c>
      <c r="I1929" s="2">
        <v>5</v>
      </c>
      <c r="J1929" s="2">
        <v>1</v>
      </c>
      <c r="K1929" s="4">
        <v>1</v>
      </c>
      <c r="L1929" s="4">
        <v>-0.79383230544215266</v>
      </c>
      <c r="M1929" s="4">
        <v>0.79383230544215266</v>
      </c>
      <c r="N1929" s="10">
        <v>0.79400000000000004</v>
      </c>
      <c r="O1929" s="4">
        <v>5.3630485213645711</v>
      </c>
      <c r="P1929" s="4">
        <v>-5.37</v>
      </c>
      <c r="Q1929" s="3" t="s">
        <v>1617</v>
      </c>
      <c r="R1929" s="3" t="s">
        <v>1618</v>
      </c>
      <c r="S1929" s="3" t="s">
        <v>1619</v>
      </c>
      <c r="T1929" s="3"/>
    </row>
    <row r="1930" spans="1:20">
      <c r="A1930" s="3" t="s">
        <v>1600</v>
      </c>
      <c r="B1930" s="3" t="s">
        <v>1606</v>
      </c>
      <c r="C1930" s="3" t="s">
        <v>1596</v>
      </c>
      <c r="D1930" s="3" t="s">
        <v>921</v>
      </c>
      <c r="E1930" s="3" t="s">
        <v>922</v>
      </c>
      <c r="F1930" s="2">
        <v>1</v>
      </c>
      <c r="G1930" s="4">
        <v>1.0619726505673552</v>
      </c>
      <c r="H1930" s="2">
        <v>25</v>
      </c>
      <c r="I1930" s="2">
        <v>5</v>
      </c>
      <c r="J1930" s="2">
        <v>1</v>
      </c>
      <c r="K1930" s="4">
        <v>1</v>
      </c>
      <c r="L1930" s="4">
        <v>-0.79955937482237993</v>
      </c>
      <c r="M1930" s="4">
        <v>0.79955937482237993</v>
      </c>
      <c r="N1930" s="10">
        <v>0.8</v>
      </c>
      <c r="O1930" s="4">
        <v>5.440787423641841</v>
      </c>
      <c r="P1930" s="4">
        <v>-5.45</v>
      </c>
      <c r="Q1930" s="3" t="s">
        <v>1617</v>
      </c>
      <c r="R1930" s="3" t="s">
        <v>1621</v>
      </c>
      <c r="S1930" s="3" t="s">
        <v>1622</v>
      </c>
      <c r="T1930" s="3"/>
    </row>
    <row r="1931" spans="1:20">
      <c r="A1931" s="3" t="s">
        <v>1600</v>
      </c>
      <c r="B1931" s="3" t="s">
        <v>1601</v>
      </c>
      <c r="C1931" s="3" t="s">
        <v>1616</v>
      </c>
      <c r="D1931" s="3" t="s">
        <v>921</v>
      </c>
      <c r="E1931" s="3" t="s">
        <v>922</v>
      </c>
      <c r="F1931" s="2">
        <v>1</v>
      </c>
      <c r="G1931" s="4">
        <v>1.0619726505673552</v>
      </c>
      <c r="H1931" s="2">
        <v>25</v>
      </c>
      <c r="I1931" s="2">
        <v>5</v>
      </c>
      <c r="J1931" s="2">
        <v>16</v>
      </c>
      <c r="K1931" s="4">
        <v>1</v>
      </c>
      <c r="L1931" s="4">
        <v>-0.79961372443196765</v>
      </c>
      <c r="M1931" s="4">
        <v>0.79961372443196765</v>
      </c>
      <c r="N1931" s="10">
        <v>0.8</v>
      </c>
      <c r="O1931" s="4">
        <v>5.4415345563931847</v>
      </c>
      <c r="P1931" s="4">
        <v>-5.45</v>
      </c>
      <c r="Q1931" s="3" t="s">
        <v>1617</v>
      </c>
      <c r="R1931" s="3" t="s">
        <v>1618</v>
      </c>
      <c r="S1931" s="3" t="s">
        <v>1619</v>
      </c>
      <c r="T1931" s="3"/>
    </row>
    <row r="1932" spans="1:20">
      <c r="A1932" s="3" t="s">
        <v>1600</v>
      </c>
      <c r="B1932" s="3" t="s">
        <v>1606</v>
      </c>
      <c r="C1932" s="3" t="s">
        <v>1616</v>
      </c>
      <c r="D1932" s="3" t="s">
        <v>921</v>
      </c>
      <c r="E1932" s="3" t="s">
        <v>922</v>
      </c>
      <c r="F1932" s="2">
        <v>1</v>
      </c>
      <c r="G1932" s="4">
        <v>1.0619726505673552</v>
      </c>
      <c r="H1932" s="2">
        <v>25</v>
      </c>
      <c r="I1932" s="2">
        <v>5</v>
      </c>
      <c r="J1932" s="2">
        <v>1</v>
      </c>
      <c r="K1932" s="4">
        <v>1</v>
      </c>
      <c r="L1932" s="4">
        <v>-0.80704705771619545</v>
      </c>
      <c r="M1932" s="4">
        <v>0.80704705771619545</v>
      </c>
      <c r="N1932" s="10">
        <v>0.80700000000000005</v>
      </c>
      <c r="O1932" s="4">
        <v>5.5454592328351513</v>
      </c>
      <c r="P1932" s="4">
        <v>-5.54</v>
      </c>
      <c r="Q1932" s="3" t="s">
        <v>1617</v>
      </c>
      <c r="R1932" s="3" t="s">
        <v>1621</v>
      </c>
      <c r="S1932" s="3" t="s">
        <v>1622</v>
      </c>
      <c r="T1932" s="3"/>
    </row>
    <row r="1933" spans="1:20">
      <c r="A1933" s="3" t="s">
        <v>1605</v>
      </c>
      <c r="B1933" s="3" t="s">
        <v>1601</v>
      </c>
      <c r="C1933" s="3" t="s">
        <v>1596</v>
      </c>
      <c r="D1933" s="3" t="s">
        <v>921</v>
      </c>
      <c r="E1933" s="3" t="s">
        <v>922</v>
      </c>
      <c r="F1933" s="2">
        <v>1</v>
      </c>
      <c r="G1933" s="4">
        <v>1.0619726505673552</v>
      </c>
      <c r="H1933" s="2">
        <v>25</v>
      </c>
      <c r="I1933" s="2">
        <v>5</v>
      </c>
      <c r="J1933" s="2">
        <v>16</v>
      </c>
      <c r="K1933" s="4">
        <v>1</v>
      </c>
      <c r="L1933" s="4">
        <v>-0.82004047946401915</v>
      </c>
      <c r="M1933" s="4">
        <v>0.82004047946401915</v>
      </c>
      <c r="N1933" s="10">
        <v>0.82</v>
      </c>
      <c r="O1933" s="4">
        <v>5.7360400409863894</v>
      </c>
      <c r="P1933" s="4">
        <v>-5.74</v>
      </c>
      <c r="Q1933" s="3" t="s">
        <v>1617</v>
      </c>
      <c r="R1933" s="3" t="s">
        <v>1618</v>
      </c>
      <c r="S1933" s="3" t="s">
        <v>1619</v>
      </c>
      <c r="T1933" s="3"/>
    </row>
    <row r="1934" spans="1:20">
      <c r="A1934" s="3" t="s">
        <v>1600</v>
      </c>
      <c r="B1934" s="3" t="s">
        <v>1606</v>
      </c>
      <c r="C1934" s="3" t="s">
        <v>1616</v>
      </c>
      <c r="D1934" s="3" t="s">
        <v>921</v>
      </c>
      <c r="E1934" s="3" t="s">
        <v>922</v>
      </c>
      <c r="F1934" s="2">
        <v>1</v>
      </c>
      <c r="G1934" s="4">
        <v>1.0619726505673552</v>
      </c>
      <c r="H1934" s="2">
        <v>25</v>
      </c>
      <c r="I1934" s="2">
        <v>5</v>
      </c>
      <c r="J1934" s="2">
        <v>16</v>
      </c>
      <c r="K1934" s="4">
        <v>1</v>
      </c>
      <c r="L1934" s="4">
        <v>-0.82055963286199685</v>
      </c>
      <c r="M1934" s="4">
        <v>0.82055963286199685</v>
      </c>
      <c r="N1934" s="10">
        <v>0.82099999999999995</v>
      </c>
      <c r="O1934" s="4">
        <v>5.743908795548303</v>
      </c>
      <c r="P1934" s="4">
        <v>-5.75</v>
      </c>
      <c r="Q1934" s="3" t="s">
        <v>1617</v>
      </c>
      <c r="R1934" s="3" t="s">
        <v>1621</v>
      </c>
      <c r="S1934" s="3" t="s">
        <v>1622</v>
      </c>
      <c r="T1934" s="3"/>
    </row>
    <row r="1935" spans="1:20">
      <c r="A1935" s="3" t="s">
        <v>1600</v>
      </c>
      <c r="B1935" s="3" t="s">
        <v>1601</v>
      </c>
      <c r="C1935" s="3" t="s">
        <v>1596</v>
      </c>
      <c r="D1935" s="3" t="s">
        <v>921</v>
      </c>
      <c r="E1935" s="3" t="s">
        <v>922</v>
      </c>
      <c r="F1935" s="2">
        <v>1</v>
      </c>
      <c r="G1935" s="4">
        <v>1.0619726505673552</v>
      </c>
      <c r="H1935" s="2">
        <v>25</v>
      </c>
      <c r="I1935" s="2">
        <v>5</v>
      </c>
      <c r="J1935" s="2">
        <v>16</v>
      </c>
      <c r="K1935" s="4">
        <v>1</v>
      </c>
      <c r="L1935" s="4">
        <v>-0.83235623041797169</v>
      </c>
      <c r="M1935" s="4">
        <v>0.83235623041797169</v>
      </c>
      <c r="N1935" s="10">
        <v>0.83199999999999996</v>
      </c>
      <c r="O1935" s="4">
        <v>5.9284937056715279</v>
      </c>
      <c r="P1935" s="4">
        <v>-5.92</v>
      </c>
      <c r="Q1935" s="3" t="s">
        <v>1617</v>
      </c>
      <c r="R1935" s="3" t="s">
        <v>1618</v>
      </c>
      <c r="S1935" s="3" t="s">
        <v>1619</v>
      </c>
      <c r="T1935" s="3"/>
    </row>
    <row r="1936" spans="1:20">
      <c r="A1936" s="3" t="s">
        <v>1600</v>
      </c>
      <c r="B1936" s="3" t="s">
        <v>1609</v>
      </c>
      <c r="C1936" s="3" t="s">
        <v>1616</v>
      </c>
      <c r="D1936" s="3" t="s">
        <v>921</v>
      </c>
      <c r="E1936" s="3" t="s">
        <v>922</v>
      </c>
      <c r="F1936" s="2">
        <v>1</v>
      </c>
      <c r="G1936" s="4">
        <v>1.0619726505673552</v>
      </c>
      <c r="H1936" s="2">
        <v>25</v>
      </c>
      <c r="I1936" s="2">
        <v>5</v>
      </c>
      <c r="J1936" s="2">
        <v>1</v>
      </c>
      <c r="K1936" s="4">
        <v>0.98148842133179692</v>
      </c>
      <c r="L1936" s="4">
        <v>-0.83296703090739688</v>
      </c>
      <c r="M1936" s="4">
        <v>0.83296703090739688</v>
      </c>
      <c r="N1936" s="10">
        <v>0.83299999999999996</v>
      </c>
      <c r="O1936" s="4">
        <v>5.9383683837350674</v>
      </c>
      <c r="P1936" s="4">
        <v>-5.94</v>
      </c>
      <c r="Q1936" s="3" t="s">
        <v>1617</v>
      </c>
      <c r="R1936" s="3" t="s">
        <v>1623</v>
      </c>
      <c r="S1936" s="3" t="s">
        <v>1624</v>
      </c>
      <c r="T1936" s="3"/>
    </row>
    <row r="1937" spans="1:20">
      <c r="A1937" s="3" t="s">
        <v>1600</v>
      </c>
      <c r="B1937" s="3" t="s">
        <v>1609</v>
      </c>
      <c r="C1937" s="3" t="s">
        <v>1616</v>
      </c>
      <c r="D1937" s="3" t="s">
        <v>921</v>
      </c>
      <c r="E1937" s="3" t="s">
        <v>922</v>
      </c>
      <c r="F1937" s="2">
        <v>1</v>
      </c>
      <c r="G1937" s="4">
        <v>1.0619726505673552</v>
      </c>
      <c r="H1937" s="2">
        <v>25</v>
      </c>
      <c r="I1937" s="2">
        <v>5</v>
      </c>
      <c r="J1937" s="2">
        <v>16</v>
      </c>
      <c r="K1937" s="4">
        <v>0.95406712088904755</v>
      </c>
      <c r="L1937" s="4">
        <v>-0.83849108174065323</v>
      </c>
      <c r="M1937" s="4">
        <v>0.83849108174065323</v>
      </c>
      <c r="N1937" s="10">
        <v>0.83799999999999997</v>
      </c>
      <c r="O1937" s="4">
        <v>6.0291978736497178</v>
      </c>
      <c r="P1937" s="4">
        <v>-6.02</v>
      </c>
      <c r="Q1937" s="3" t="s">
        <v>1617</v>
      </c>
      <c r="R1937" s="3" t="s">
        <v>1623</v>
      </c>
      <c r="S1937" s="3" t="s">
        <v>1624</v>
      </c>
      <c r="T1937" s="3"/>
    </row>
    <row r="1938" spans="1:20">
      <c r="A1938" s="3" t="s">
        <v>1600</v>
      </c>
      <c r="B1938" s="3" t="s">
        <v>1601</v>
      </c>
      <c r="C1938" s="3" t="s">
        <v>1596</v>
      </c>
      <c r="D1938" s="3" t="s">
        <v>921</v>
      </c>
      <c r="E1938" s="3" t="s">
        <v>922</v>
      </c>
      <c r="F1938" s="2">
        <v>1</v>
      </c>
      <c r="G1938" s="4">
        <v>1.0619726505673552</v>
      </c>
      <c r="H1938" s="2">
        <v>25</v>
      </c>
      <c r="I1938" s="2">
        <v>5</v>
      </c>
      <c r="J1938" s="2">
        <v>1</v>
      </c>
      <c r="K1938" s="4">
        <v>1</v>
      </c>
      <c r="L1938" s="4">
        <v>-0.84196235017078747</v>
      </c>
      <c r="M1938" s="4">
        <v>0.84196235017078747</v>
      </c>
      <c r="N1938" s="10">
        <v>0.84199999999999997</v>
      </c>
      <c r="O1938" s="4">
        <v>6.0877347281703393</v>
      </c>
      <c r="P1938" s="4">
        <v>-6.09</v>
      </c>
      <c r="Q1938" s="3" t="s">
        <v>1617</v>
      </c>
      <c r="R1938" s="3" t="s">
        <v>1618</v>
      </c>
      <c r="S1938" s="3" t="s">
        <v>1619</v>
      </c>
      <c r="T1938" s="3"/>
    </row>
    <row r="1939" spans="1:20">
      <c r="A1939" s="3" t="s">
        <v>1600</v>
      </c>
      <c r="B1939" s="3" t="s">
        <v>1609</v>
      </c>
      <c r="C1939" s="3" t="s">
        <v>1596</v>
      </c>
      <c r="D1939" s="3" t="s">
        <v>921</v>
      </c>
      <c r="E1939" s="3" t="s">
        <v>922</v>
      </c>
      <c r="F1939" s="2">
        <v>1</v>
      </c>
      <c r="G1939" s="4">
        <v>1.0619726505673552</v>
      </c>
      <c r="H1939" s="2">
        <v>25</v>
      </c>
      <c r="I1939" s="2">
        <v>5</v>
      </c>
      <c r="J1939" s="2">
        <v>16</v>
      </c>
      <c r="K1939" s="4">
        <v>1</v>
      </c>
      <c r="L1939" s="4">
        <v>-0.87968571500248804</v>
      </c>
      <c r="M1939" s="4">
        <v>0.87968571500248804</v>
      </c>
      <c r="N1939" s="10">
        <v>0.88</v>
      </c>
      <c r="O1939" s="4">
        <v>6.8140699889354845</v>
      </c>
      <c r="P1939" s="4">
        <v>-6.82</v>
      </c>
      <c r="Q1939" s="3" t="s">
        <v>1617</v>
      </c>
      <c r="R1939" s="3" t="s">
        <v>1623</v>
      </c>
      <c r="S1939" s="3" t="s">
        <v>1624</v>
      </c>
      <c r="T1939" s="3"/>
    </row>
    <row r="1940" spans="1:20">
      <c r="A1940" s="3" t="s">
        <v>1600</v>
      </c>
      <c r="B1940" s="3" t="s">
        <v>1609</v>
      </c>
      <c r="C1940" s="3" t="s">
        <v>1596</v>
      </c>
      <c r="D1940" s="3" t="s">
        <v>921</v>
      </c>
      <c r="E1940" s="3" t="s">
        <v>922</v>
      </c>
      <c r="F1940" s="2">
        <v>1</v>
      </c>
      <c r="G1940" s="4">
        <v>1.0619726505673552</v>
      </c>
      <c r="H1940" s="2">
        <v>25</v>
      </c>
      <c r="I1940" s="2">
        <v>5</v>
      </c>
      <c r="J1940" s="2">
        <v>1</v>
      </c>
      <c r="K1940" s="4">
        <v>0.98583605164844401</v>
      </c>
      <c r="L1940" s="4">
        <v>-0.88467654067315993</v>
      </c>
      <c r="M1940" s="4">
        <v>0.88467654067315993</v>
      </c>
      <c r="N1940" s="10">
        <v>0.88500000000000001</v>
      </c>
      <c r="O1940" s="4">
        <v>6.925668452122193</v>
      </c>
      <c r="P1940" s="4">
        <v>-6.93</v>
      </c>
      <c r="Q1940" s="3" t="s">
        <v>1617</v>
      </c>
      <c r="R1940" s="3" t="s">
        <v>1623</v>
      </c>
      <c r="S1940" s="3" t="s">
        <v>1624</v>
      </c>
      <c r="T1940" s="3"/>
    </row>
    <row r="1941" spans="1:20">
      <c r="A1941" s="12" t="s">
        <v>1605</v>
      </c>
      <c r="B1941" s="3" t="s">
        <v>1601</v>
      </c>
      <c r="C1941" s="3" t="s">
        <v>1596</v>
      </c>
      <c r="D1941" s="3" t="s">
        <v>571</v>
      </c>
      <c r="E1941" s="3" t="s">
        <v>572</v>
      </c>
      <c r="F1941" s="2">
        <v>1</v>
      </c>
      <c r="G1941" s="4">
        <v>1.0622396081798811</v>
      </c>
      <c r="H1941" s="2">
        <v>25</v>
      </c>
      <c r="I1941" s="2">
        <v>5</v>
      </c>
      <c r="J1941" s="2">
        <v>16</v>
      </c>
      <c r="K1941" s="11">
        <v>1</v>
      </c>
      <c r="L1941" s="11">
        <v>0.82856733597263676</v>
      </c>
      <c r="M1941" s="4">
        <v>0.82856733597263676</v>
      </c>
      <c r="N1941" s="10">
        <v>0.82899999999999996</v>
      </c>
      <c r="O1941" s="4">
        <v>5.8679593765164775</v>
      </c>
      <c r="P1941" s="4">
        <v>5.87</v>
      </c>
      <c r="Q1941" s="3" t="s">
        <v>1597</v>
      </c>
      <c r="R1941" s="3" t="s">
        <v>1602</v>
      </c>
      <c r="S1941" s="3" t="s">
        <v>1603</v>
      </c>
      <c r="T1941" s="3"/>
    </row>
    <row r="1942" spans="1:20">
      <c r="A1942" s="3" t="s">
        <v>1600</v>
      </c>
      <c r="B1942" s="3" t="s">
        <v>1606</v>
      </c>
      <c r="C1942" s="3" t="s">
        <v>1616</v>
      </c>
      <c r="D1942" s="3" t="s">
        <v>571</v>
      </c>
      <c r="E1942" s="3" t="s">
        <v>572</v>
      </c>
      <c r="F1942" s="2">
        <v>1</v>
      </c>
      <c r="G1942" s="4">
        <v>1.0622396081798811</v>
      </c>
      <c r="H1942" s="2">
        <v>25</v>
      </c>
      <c r="I1942" s="2">
        <v>5</v>
      </c>
      <c r="J1942" s="2">
        <v>1</v>
      </c>
      <c r="K1942" s="4">
        <v>1</v>
      </c>
      <c r="L1942" s="4">
        <v>0.82331376906566378</v>
      </c>
      <c r="M1942" s="4">
        <v>0.82331376906566378</v>
      </c>
      <c r="N1942" s="10">
        <v>0.82299999999999995</v>
      </c>
      <c r="O1942" s="4">
        <v>5.7859995350720288</v>
      </c>
      <c r="P1942" s="4">
        <v>5.78</v>
      </c>
      <c r="Q1942" s="3" t="s">
        <v>1597</v>
      </c>
      <c r="R1942" s="3" t="s">
        <v>1607</v>
      </c>
      <c r="S1942" s="3" t="s">
        <v>1608</v>
      </c>
      <c r="T1942" s="3"/>
    </row>
    <row r="1943" spans="1:20">
      <c r="A1943" s="3" t="s">
        <v>1600</v>
      </c>
      <c r="B1943" s="3" t="s">
        <v>1606</v>
      </c>
      <c r="C1943" s="3" t="s">
        <v>1616</v>
      </c>
      <c r="D1943" s="3" t="s">
        <v>571</v>
      </c>
      <c r="E1943" s="3" t="s">
        <v>572</v>
      </c>
      <c r="F1943" s="2">
        <v>1</v>
      </c>
      <c r="G1943" s="4">
        <v>1.0622396081798811</v>
      </c>
      <c r="H1943" s="2">
        <v>25</v>
      </c>
      <c r="I1943" s="2">
        <v>5</v>
      </c>
      <c r="J1943" s="2">
        <v>16</v>
      </c>
      <c r="K1943" s="11">
        <v>1</v>
      </c>
      <c r="L1943" s="11">
        <v>0.79623552123552122</v>
      </c>
      <c r="M1943" s="4">
        <v>0.79623552123552122</v>
      </c>
      <c r="N1943" s="10">
        <v>0.79600000000000004</v>
      </c>
      <c r="O1943" s="4">
        <v>5.3954334930111338</v>
      </c>
      <c r="P1943" s="4">
        <v>5.39</v>
      </c>
      <c r="Q1943" s="3" t="s">
        <v>1597</v>
      </c>
      <c r="R1943" s="3" t="s">
        <v>1607</v>
      </c>
      <c r="S1943" s="3" t="s">
        <v>1608</v>
      </c>
      <c r="T1943" s="3"/>
    </row>
    <row r="1944" spans="1:20">
      <c r="A1944" s="3" t="s">
        <v>1600</v>
      </c>
      <c r="B1944" s="3" t="s">
        <v>1609</v>
      </c>
      <c r="C1944" s="3" t="s">
        <v>1596</v>
      </c>
      <c r="D1944" s="3" t="s">
        <v>571</v>
      </c>
      <c r="E1944" s="3" t="s">
        <v>572</v>
      </c>
      <c r="F1944" s="2">
        <v>1</v>
      </c>
      <c r="G1944" s="4">
        <v>1.0622396081798811</v>
      </c>
      <c r="H1944" s="2">
        <v>25</v>
      </c>
      <c r="I1944" s="2">
        <v>5</v>
      </c>
      <c r="J1944" s="2">
        <v>1</v>
      </c>
      <c r="K1944" s="11">
        <v>1</v>
      </c>
      <c r="L1944" s="11">
        <v>0.77040042458822022</v>
      </c>
      <c r="M1944" s="4">
        <v>0.77040042458822022</v>
      </c>
      <c r="N1944" s="10">
        <v>0.77</v>
      </c>
      <c r="O1944" s="4">
        <v>5.0636004184313474</v>
      </c>
      <c r="P1944" s="4">
        <v>5.0599999999999996</v>
      </c>
      <c r="Q1944" s="3" t="s">
        <v>1597</v>
      </c>
      <c r="R1944" s="3" t="s">
        <v>1610</v>
      </c>
      <c r="S1944" s="3" t="s">
        <v>1611</v>
      </c>
      <c r="T1944" s="3"/>
    </row>
    <row r="1945" spans="1:20">
      <c r="A1945" s="3" t="s">
        <v>1600</v>
      </c>
      <c r="B1945" s="3" t="s">
        <v>1601</v>
      </c>
      <c r="C1945" s="3" t="s">
        <v>1596</v>
      </c>
      <c r="D1945" s="3" t="s">
        <v>571</v>
      </c>
      <c r="E1945" s="3" t="s">
        <v>572</v>
      </c>
      <c r="F1945" s="2">
        <v>1</v>
      </c>
      <c r="G1945" s="4">
        <v>1.0622396081798811</v>
      </c>
      <c r="H1945" s="2">
        <v>25</v>
      </c>
      <c r="I1945" s="2">
        <v>5</v>
      </c>
      <c r="J1945" s="2">
        <v>16</v>
      </c>
      <c r="K1945" s="4">
        <v>1</v>
      </c>
      <c r="L1945" s="4">
        <v>0.70603849466495738</v>
      </c>
      <c r="M1945" s="4">
        <v>0.70603849466495738</v>
      </c>
      <c r="N1945" s="10">
        <v>0.70599999999999996</v>
      </c>
      <c r="O1945" s="4">
        <v>4.3592171154093196</v>
      </c>
      <c r="P1945" s="4">
        <v>4.3600000000000003</v>
      </c>
      <c r="Q1945" s="3" t="s">
        <v>1597</v>
      </c>
      <c r="R1945" s="3" t="s">
        <v>1602</v>
      </c>
      <c r="S1945" s="3" t="s">
        <v>1603</v>
      </c>
      <c r="T1945" s="3"/>
    </row>
    <row r="1946" spans="1:20">
      <c r="A1946" s="3" t="s">
        <v>1600</v>
      </c>
      <c r="B1946" s="3" t="s">
        <v>1601</v>
      </c>
      <c r="C1946" s="3" t="s">
        <v>1596</v>
      </c>
      <c r="D1946" s="3" t="s">
        <v>571</v>
      </c>
      <c r="E1946" s="3" t="s">
        <v>572</v>
      </c>
      <c r="F1946" s="2">
        <v>1</v>
      </c>
      <c r="G1946" s="4">
        <v>1.0622396081798811</v>
      </c>
      <c r="H1946" s="2">
        <v>25</v>
      </c>
      <c r="I1946" s="2">
        <v>5</v>
      </c>
      <c r="J1946" s="2">
        <v>1</v>
      </c>
      <c r="K1946" s="4">
        <v>0.23324136104156057</v>
      </c>
      <c r="L1946" s="4">
        <v>0.69446912948083273</v>
      </c>
      <c r="M1946" s="4">
        <v>0.69446912948083273</v>
      </c>
      <c r="N1946" s="10">
        <v>0.69399999999999995</v>
      </c>
      <c r="O1946" s="4">
        <v>4.2466558038243356</v>
      </c>
      <c r="P1946" s="4">
        <v>4.24</v>
      </c>
      <c r="Q1946" s="3" t="s">
        <v>1597</v>
      </c>
      <c r="R1946" s="3" t="s">
        <v>1602</v>
      </c>
      <c r="S1946" s="3" t="s">
        <v>1603</v>
      </c>
      <c r="T1946" s="3"/>
    </row>
    <row r="1947" spans="1:20">
      <c r="A1947" s="3" t="s">
        <v>1600</v>
      </c>
      <c r="B1947" s="3" t="s">
        <v>1609</v>
      </c>
      <c r="C1947" s="3" t="s">
        <v>1616</v>
      </c>
      <c r="D1947" s="3" t="s">
        <v>571</v>
      </c>
      <c r="E1947" s="3" t="s">
        <v>572</v>
      </c>
      <c r="F1947" s="2">
        <v>1</v>
      </c>
      <c r="G1947" s="4">
        <v>1.0622396081798811</v>
      </c>
      <c r="H1947" s="2">
        <v>25</v>
      </c>
      <c r="I1947" s="2">
        <v>5</v>
      </c>
      <c r="J1947" s="2">
        <v>1</v>
      </c>
      <c r="K1947" s="4">
        <v>0.39677370146018087</v>
      </c>
      <c r="L1947" s="4">
        <v>0.69101917347377972</v>
      </c>
      <c r="M1947" s="4">
        <v>0.69101917347377972</v>
      </c>
      <c r="N1947" s="10">
        <v>0.69099999999999995</v>
      </c>
      <c r="O1947" s="4">
        <v>4.2137686031160655</v>
      </c>
      <c r="P1947" s="4">
        <v>4.21</v>
      </c>
      <c r="Q1947" s="3" t="s">
        <v>1597</v>
      </c>
      <c r="R1947" s="3" t="s">
        <v>1610</v>
      </c>
      <c r="S1947" s="3" t="s">
        <v>1611</v>
      </c>
      <c r="T1947" s="3"/>
    </row>
    <row r="1948" spans="1:20">
      <c r="A1948" s="3" t="s">
        <v>1600</v>
      </c>
      <c r="B1948" s="3" t="s">
        <v>1606</v>
      </c>
      <c r="C1948" s="3" t="s">
        <v>1596</v>
      </c>
      <c r="D1948" s="3" t="s">
        <v>571</v>
      </c>
      <c r="E1948" s="3" t="s">
        <v>572</v>
      </c>
      <c r="F1948" s="2">
        <v>1</v>
      </c>
      <c r="G1948" s="4">
        <v>1.0622396081798811</v>
      </c>
      <c r="H1948" s="2">
        <v>25</v>
      </c>
      <c r="I1948" s="2">
        <v>5</v>
      </c>
      <c r="J1948" s="2">
        <v>16</v>
      </c>
      <c r="K1948" s="11">
        <v>1</v>
      </c>
      <c r="L1948" s="11">
        <v>0.6637922577664418</v>
      </c>
      <c r="M1948" s="4">
        <v>0.6637922577664418</v>
      </c>
      <c r="N1948" s="10">
        <v>0.66400000000000003</v>
      </c>
      <c r="O1948" s="4">
        <v>3.9641812697572587</v>
      </c>
      <c r="P1948" s="4">
        <v>3.97</v>
      </c>
      <c r="Q1948" s="3" t="s">
        <v>1597</v>
      </c>
      <c r="R1948" s="3" t="s">
        <v>1607</v>
      </c>
      <c r="S1948" s="3" t="s">
        <v>1608</v>
      </c>
      <c r="T1948" s="3"/>
    </row>
    <row r="1949" spans="1:20">
      <c r="A1949" s="3" t="s">
        <v>1600</v>
      </c>
      <c r="B1949" s="3" t="s">
        <v>1609</v>
      </c>
      <c r="C1949" s="3" t="s">
        <v>1596</v>
      </c>
      <c r="D1949" s="3" t="s">
        <v>571</v>
      </c>
      <c r="E1949" s="3" t="s">
        <v>572</v>
      </c>
      <c r="F1949" s="2">
        <v>1</v>
      </c>
      <c r="G1949" s="4">
        <v>1.0622396081798811</v>
      </c>
      <c r="H1949" s="2">
        <v>25</v>
      </c>
      <c r="I1949" s="2">
        <v>5</v>
      </c>
      <c r="J1949" s="2">
        <v>16</v>
      </c>
      <c r="K1949" s="4">
        <v>1</v>
      </c>
      <c r="L1949" s="4">
        <v>0.64791637960114179</v>
      </c>
      <c r="M1949" s="4">
        <v>0.64791637960114179</v>
      </c>
      <c r="N1949" s="10">
        <v>0.64800000000000002</v>
      </c>
      <c r="O1949" s="4">
        <v>3.8260351761002425</v>
      </c>
      <c r="P1949" s="4">
        <v>3.83</v>
      </c>
      <c r="Q1949" s="3" t="s">
        <v>1597</v>
      </c>
      <c r="R1949" s="3" t="s">
        <v>1610</v>
      </c>
      <c r="S1949" s="3" t="s">
        <v>1611</v>
      </c>
      <c r="T1949" s="3"/>
    </row>
    <row r="1950" spans="1:20">
      <c r="A1950" s="3" t="s">
        <v>1604</v>
      </c>
      <c r="B1950" s="3" t="s">
        <v>1601</v>
      </c>
      <c r="C1950" s="3" t="s">
        <v>1596</v>
      </c>
      <c r="D1950" s="3" t="s">
        <v>571</v>
      </c>
      <c r="E1950" s="3" t="s">
        <v>572</v>
      </c>
      <c r="F1950" s="2">
        <v>1</v>
      </c>
      <c r="G1950" s="4">
        <v>1.0622396081798811</v>
      </c>
      <c r="H1950" s="2">
        <v>25</v>
      </c>
      <c r="I1950" s="2">
        <v>30</v>
      </c>
      <c r="J1950" s="2">
        <v>16</v>
      </c>
      <c r="K1950" s="4">
        <v>1</v>
      </c>
      <c r="L1950" s="4">
        <v>0.64532999591412377</v>
      </c>
      <c r="M1950" s="4">
        <v>0.64532999591412377</v>
      </c>
      <c r="N1950" s="10">
        <v>0.64500000000000002</v>
      </c>
      <c r="O1950" s="4">
        <v>3.8039976299002762</v>
      </c>
      <c r="P1950" s="4">
        <v>3.8</v>
      </c>
      <c r="Q1950" s="3" t="s">
        <v>1597</v>
      </c>
      <c r="R1950" s="3" t="s">
        <v>1602</v>
      </c>
      <c r="S1950" s="3" t="s">
        <v>1603</v>
      </c>
      <c r="T1950" s="3"/>
    </row>
    <row r="1951" spans="1:20">
      <c r="A1951" s="3" t="s">
        <v>1600</v>
      </c>
      <c r="B1951" s="3" t="s">
        <v>1601</v>
      </c>
      <c r="C1951" s="3" t="s">
        <v>1616</v>
      </c>
      <c r="D1951" s="3" t="s">
        <v>571</v>
      </c>
      <c r="E1951" s="3" t="s">
        <v>572</v>
      </c>
      <c r="F1951" s="2">
        <v>1</v>
      </c>
      <c r="G1951" s="4">
        <v>1.0622396081798811</v>
      </c>
      <c r="H1951" s="2">
        <v>25</v>
      </c>
      <c r="I1951" s="2">
        <v>5</v>
      </c>
      <c r="J1951" s="2">
        <v>1</v>
      </c>
      <c r="K1951" s="4">
        <v>0.97153554131254516</v>
      </c>
      <c r="L1951" s="4">
        <v>0.63747614278184184</v>
      </c>
      <c r="M1951" s="4">
        <v>0.63747614278184184</v>
      </c>
      <c r="N1951" s="10">
        <v>0.63700000000000001</v>
      </c>
      <c r="O1951" s="4">
        <v>3.7378405526332785</v>
      </c>
      <c r="P1951" s="4">
        <v>3.73</v>
      </c>
      <c r="Q1951" s="3" t="s">
        <v>1597</v>
      </c>
      <c r="R1951" s="3" t="s">
        <v>1602</v>
      </c>
      <c r="S1951" s="3" t="s">
        <v>1603</v>
      </c>
      <c r="T1951" s="3"/>
    </row>
    <row r="1952" spans="1:20">
      <c r="A1952" s="3" t="s">
        <v>1600</v>
      </c>
      <c r="B1952" s="3" t="s">
        <v>1601</v>
      </c>
      <c r="C1952" s="3" t="s">
        <v>1616</v>
      </c>
      <c r="D1952" s="3" t="s">
        <v>571</v>
      </c>
      <c r="E1952" s="3" t="s">
        <v>572</v>
      </c>
      <c r="F1952" s="2">
        <v>1</v>
      </c>
      <c r="G1952" s="4">
        <v>1.0622396081798811</v>
      </c>
      <c r="H1952" s="2">
        <v>25</v>
      </c>
      <c r="I1952" s="2">
        <v>5</v>
      </c>
      <c r="J1952" s="2">
        <v>16</v>
      </c>
      <c r="K1952" s="4">
        <v>0.99044964753454801</v>
      </c>
      <c r="L1952" s="4">
        <v>0.63274750256420897</v>
      </c>
      <c r="M1952" s="4">
        <v>0.63274750256420897</v>
      </c>
      <c r="N1952" s="10">
        <v>0.63300000000000001</v>
      </c>
      <c r="O1952" s="4">
        <v>3.6985457608210286</v>
      </c>
      <c r="P1952" s="4">
        <v>3.7</v>
      </c>
      <c r="Q1952" s="3" t="s">
        <v>1597</v>
      </c>
      <c r="R1952" s="3" t="s">
        <v>1602</v>
      </c>
      <c r="S1952" s="3" t="s">
        <v>1603</v>
      </c>
      <c r="T1952" s="3"/>
    </row>
    <row r="1953" spans="1:20">
      <c r="A1953" s="3" t="s">
        <v>1600</v>
      </c>
      <c r="B1953" s="3" t="s">
        <v>1609</v>
      </c>
      <c r="C1953" s="3" t="s">
        <v>1616</v>
      </c>
      <c r="D1953" s="3" t="s">
        <v>571</v>
      </c>
      <c r="E1953" s="3" t="s">
        <v>572</v>
      </c>
      <c r="F1953" s="2">
        <v>1</v>
      </c>
      <c r="G1953" s="4">
        <v>1.0622396081798811</v>
      </c>
      <c r="H1953" s="2">
        <v>25</v>
      </c>
      <c r="I1953" s="2">
        <v>5</v>
      </c>
      <c r="J1953" s="2">
        <v>16</v>
      </c>
      <c r="K1953" s="11">
        <v>0.77815877253280386</v>
      </c>
      <c r="L1953" s="11">
        <v>0.55160630609709982</v>
      </c>
      <c r="M1953" s="4">
        <v>0.55160630609709982</v>
      </c>
      <c r="N1953" s="10">
        <v>0.55200000000000005</v>
      </c>
      <c r="O1953" s="4">
        <v>3.0773275621072176</v>
      </c>
      <c r="P1953" s="4">
        <v>3.08</v>
      </c>
      <c r="Q1953" s="3" t="s">
        <v>1597</v>
      </c>
      <c r="R1953" s="3" t="s">
        <v>1610</v>
      </c>
      <c r="S1953" s="3" t="s">
        <v>1611</v>
      </c>
      <c r="T1953" s="3"/>
    </row>
    <row r="1954" spans="1:20">
      <c r="A1954" s="3" t="s">
        <v>1604</v>
      </c>
      <c r="B1954" s="3" t="s">
        <v>1601</v>
      </c>
      <c r="C1954" s="3" t="s">
        <v>1616</v>
      </c>
      <c r="D1954" s="3" t="s">
        <v>571</v>
      </c>
      <c r="E1954" s="3" t="s">
        <v>572</v>
      </c>
      <c r="F1954" s="2">
        <v>1</v>
      </c>
      <c r="G1954" s="4">
        <v>1.0622396081798811</v>
      </c>
      <c r="H1954" s="2">
        <v>25</v>
      </c>
      <c r="I1954" s="2">
        <v>30</v>
      </c>
      <c r="J1954" s="2">
        <v>16</v>
      </c>
      <c r="K1954" s="4">
        <v>0.91379425295598948</v>
      </c>
      <c r="L1954" s="4">
        <v>0.51679969351590205</v>
      </c>
      <c r="M1954" s="4">
        <v>0.51679969351590205</v>
      </c>
      <c r="N1954" s="10">
        <v>0.51700000000000002</v>
      </c>
      <c r="O1954" s="4">
        <v>2.8357577562667196</v>
      </c>
      <c r="P1954" s="4">
        <v>2.84</v>
      </c>
      <c r="Q1954" s="3" t="s">
        <v>1597</v>
      </c>
      <c r="R1954" s="3" t="s">
        <v>1602</v>
      </c>
      <c r="S1954" s="3" t="s">
        <v>1603</v>
      </c>
      <c r="T1954" s="3"/>
    </row>
    <row r="1955" spans="1:20">
      <c r="A1955" s="3" t="s">
        <v>1600</v>
      </c>
      <c r="B1955" s="3" t="s">
        <v>1606</v>
      </c>
      <c r="C1955" s="3" t="s">
        <v>1596</v>
      </c>
      <c r="D1955" s="3" t="s">
        <v>571</v>
      </c>
      <c r="E1955" s="3" t="s">
        <v>572</v>
      </c>
      <c r="F1955" s="2">
        <v>1</v>
      </c>
      <c r="G1955" s="4">
        <v>1.0622396081798811</v>
      </c>
      <c r="H1955" s="2">
        <v>25</v>
      </c>
      <c r="I1955" s="2">
        <v>5</v>
      </c>
      <c r="J1955" s="2">
        <v>1</v>
      </c>
      <c r="K1955" s="11">
        <v>0.18523444292219771</v>
      </c>
      <c r="L1955" s="11">
        <v>0.27500707080230036</v>
      </c>
      <c r="M1955" s="4">
        <v>0.27500707080230036</v>
      </c>
      <c r="N1955" s="10">
        <v>0.27500000000000002</v>
      </c>
      <c r="O1955" s="4">
        <v>1.3994893395444779</v>
      </c>
      <c r="P1955" s="4">
        <v>1.4</v>
      </c>
      <c r="Q1955" s="3" t="s">
        <v>1597</v>
      </c>
      <c r="R1955" s="3" t="s">
        <v>1607</v>
      </c>
      <c r="S1955" s="3" t="s">
        <v>1608</v>
      </c>
      <c r="T1955" s="3"/>
    </row>
    <row r="1956" spans="1:20">
      <c r="A1956" s="3" t="s">
        <v>1594</v>
      </c>
      <c r="B1956" s="3" t="s">
        <v>1612</v>
      </c>
      <c r="C1956" s="3" t="s">
        <v>1596</v>
      </c>
      <c r="D1956" s="3" t="s">
        <v>571</v>
      </c>
      <c r="E1956" s="3" t="s">
        <v>572</v>
      </c>
      <c r="F1956" s="2">
        <v>1</v>
      </c>
      <c r="G1956" s="4">
        <v>1.0622396081798811</v>
      </c>
      <c r="H1956" s="2">
        <v>50</v>
      </c>
      <c r="I1956" s="2">
        <v>5</v>
      </c>
      <c r="J1956" s="2">
        <v>16</v>
      </c>
      <c r="K1956" s="4">
        <v>0.49092748835197464</v>
      </c>
      <c r="L1956" s="14">
        <v>4.7560459693457881E-2</v>
      </c>
      <c r="M1956" s="4">
        <v>4.7560459693457881E-2</v>
      </c>
      <c r="N1956" s="10">
        <v>4.8000000000000001E-2</v>
      </c>
      <c r="O1956" s="4">
        <v>0.25576676842216245</v>
      </c>
      <c r="P1956" s="4">
        <v>0.26</v>
      </c>
      <c r="Q1956" s="3" t="s">
        <v>1597</v>
      </c>
      <c r="R1956" s="3" t="s">
        <v>1613</v>
      </c>
      <c r="S1956" s="3" t="s">
        <v>1614</v>
      </c>
      <c r="T1956" s="3"/>
    </row>
    <row r="1957" spans="1:20">
      <c r="A1957" s="3" t="s">
        <v>1594</v>
      </c>
      <c r="B1957" s="3" t="s">
        <v>1595</v>
      </c>
      <c r="C1957" s="3" t="s">
        <v>1596</v>
      </c>
      <c r="D1957" s="3" t="s">
        <v>571</v>
      </c>
      <c r="E1957" s="3" t="s">
        <v>572</v>
      </c>
      <c r="F1957" s="2">
        <v>1</v>
      </c>
      <c r="G1957" s="4">
        <v>1.0622396081798811</v>
      </c>
      <c r="H1957" s="2">
        <v>50</v>
      </c>
      <c r="I1957" s="2">
        <v>5</v>
      </c>
      <c r="J1957" s="2">
        <v>16</v>
      </c>
      <c r="K1957" s="4">
        <v>1</v>
      </c>
      <c r="L1957" s="14">
        <v>3.6156232301503399E-3</v>
      </c>
      <c r="M1957" s="4">
        <v>3.6156232301503399E-3</v>
      </c>
      <c r="N1957" s="10">
        <v>4.0000000000000001E-3</v>
      </c>
      <c r="O1957" s="4">
        <v>1.9429219472638034E-2</v>
      </c>
      <c r="P1957" s="4">
        <v>0.02</v>
      </c>
      <c r="Q1957" s="3" t="s">
        <v>1597</v>
      </c>
      <c r="R1957" s="3" t="s">
        <v>1598</v>
      </c>
      <c r="S1957" s="3" t="s">
        <v>1599</v>
      </c>
      <c r="T1957" s="3"/>
    </row>
    <row r="1958" spans="1:20">
      <c r="A1958" s="3" t="s">
        <v>1594</v>
      </c>
      <c r="B1958" s="3" t="s">
        <v>1595</v>
      </c>
      <c r="C1958" s="3" t="s">
        <v>1596</v>
      </c>
      <c r="D1958" s="3" t="s">
        <v>712</v>
      </c>
      <c r="E1958" s="3" t="s">
        <v>713</v>
      </c>
      <c r="F1958" s="2">
        <v>1</v>
      </c>
      <c r="G1958" s="4">
        <v>1.0624613688378075</v>
      </c>
      <c r="H1958" s="2">
        <v>50</v>
      </c>
      <c r="I1958" s="2">
        <v>5</v>
      </c>
      <c r="J1958" s="2">
        <v>16</v>
      </c>
      <c r="K1958" s="4">
        <v>1</v>
      </c>
      <c r="L1958" s="14">
        <v>0.46300139530922663</v>
      </c>
      <c r="M1958" s="4">
        <v>0.46300139530922663</v>
      </c>
      <c r="N1958" s="10">
        <v>0.46300000000000002</v>
      </c>
      <c r="O1958" s="4">
        <v>2.6928756640657316</v>
      </c>
      <c r="P1958" s="4">
        <v>2.69</v>
      </c>
      <c r="Q1958" s="3" t="s">
        <v>1597</v>
      </c>
      <c r="R1958" s="3" t="s">
        <v>1598</v>
      </c>
      <c r="S1958" s="3" t="s">
        <v>1599</v>
      </c>
      <c r="T1958" s="3"/>
    </row>
    <row r="1959" spans="1:20">
      <c r="A1959" s="3" t="s">
        <v>1594</v>
      </c>
      <c r="B1959" s="3" t="s">
        <v>1612</v>
      </c>
      <c r="C1959" s="3" t="s">
        <v>1596</v>
      </c>
      <c r="D1959" s="3" t="s">
        <v>712</v>
      </c>
      <c r="E1959" s="3" t="s">
        <v>713</v>
      </c>
      <c r="F1959" s="2">
        <v>1</v>
      </c>
      <c r="G1959" s="4">
        <v>1.0624613688378075</v>
      </c>
      <c r="H1959" s="2">
        <v>50</v>
      </c>
      <c r="I1959" s="2">
        <v>5</v>
      </c>
      <c r="J1959" s="2">
        <v>16</v>
      </c>
      <c r="K1959" s="4">
        <v>1</v>
      </c>
      <c r="L1959" s="14">
        <v>-0.70090262225567956</v>
      </c>
      <c r="M1959" s="4">
        <v>0.70090262225567956</v>
      </c>
      <c r="N1959" s="10">
        <v>0.70099999999999996</v>
      </c>
      <c r="O1959" s="4">
        <v>4.6701016930869415</v>
      </c>
      <c r="P1959" s="4">
        <v>-4.67</v>
      </c>
      <c r="Q1959" s="3" t="s">
        <v>1617</v>
      </c>
      <c r="R1959" s="3" t="s">
        <v>1627</v>
      </c>
      <c r="S1959" s="3" t="s">
        <v>1628</v>
      </c>
      <c r="T1959" s="3"/>
    </row>
    <row r="1960" spans="1:20">
      <c r="A1960" s="3" t="s">
        <v>1600</v>
      </c>
      <c r="B1960" s="3" t="s">
        <v>1606</v>
      </c>
      <c r="C1960" s="3" t="s">
        <v>1596</v>
      </c>
      <c r="D1960" s="3" t="s">
        <v>712</v>
      </c>
      <c r="E1960" s="3" t="s">
        <v>713</v>
      </c>
      <c r="F1960" s="2">
        <v>1</v>
      </c>
      <c r="G1960" s="4">
        <v>1.0624613688378075</v>
      </c>
      <c r="H1960" s="2">
        <v>25</v>
      </c>
      <c r="I1960" s="2">
        <v>5</v>
      </c>
      <c r="J1960" s="2">
        <v>16</v>
      </c>
      <c r="K1960" s="11">
        <v>1</v>
      </c>
      <c r="L1960" s="11">
        <v>-0.82947350648619744</v>
      </c>
      <c r="M1960" s="4">
        <v>0.82947350648619744</v>
      </c>
      <c r="N1960" s="10">
        <v>0.82899999999999996</v>
      </c>
      <c r="O1960" s="4">
        <v>5.8823258113243062</v>
      </c>
      <c r="P1960" s="4">
        <v>-5.87</v>
      </c>
      <c r="Q1960" s="3" t="s">
        <v>1617</v>
      </c>
      <c r="R1960" s="3" t="s">
        <v>1621</v>
      </c>
      <c r="S1960" s="3" t="s">
        <v>1622</v>
      </c>
      <c r="T1960" s="3"/>
    </row>
    <row r="1961" spans="1:20">
      <c r="A1961" s="3" t="s">
        <v>1604</v>
      </c>
      <c r="B1961" s="3" t="s">
        <v>1601</v>
      </c>
      <c r="C1961" s="3" t="s">
        <v>1596</v>
      </c>
      <c r="D1961" s="3" t="s">
        <v>712</v>
      </c>
      <c r="E1961" s="3" t="s">
        <v>713</v>
      </c>
      <c r="F1961" s="2">
        <v>1</v>
      </c>
      <c r="G1961" s="4">
        <v>1.0624613688378075</v>
      </c>
      <c r="H1961" s="2">
        <v>25</v>
      </c>
      <c r="I1961" s="2">
        <v>30</v>
      </c>
      <c r="J1961" s="2">
        <v>16</v>
      </c>
      <c r="K1961" s="4">
        <v>1</v>
      </c>
      <c r="L1961" s="4">
        <v>-0.84351211063723752</v>
      </c>
      <c r="M1961" s="4">
        <v>0.84351211063723752</v>
      </c>
      <c r="N1961" s="10">
        <v>0.84399999999999997</v>
      </c>
      <c r="O1961" s="4">
        <v>6.1142489835605103</v>
      </c>
      <c r="P1961" s="4">
        <v>-6.12</v>
      </c>
      <c r="Q1961" s="3" t="s">
        <v>1617</v>
      </c>
      <c r="R1961" s="3" t="s">
        <v>1618</v>
      </c>
      <c r="S1961" s="3" t="s">
        <v>1619</v>
      </c>
      <c r="T1961" s="3"/>
    </row>
    <row r="1962" spans="1:20">
      <c r="A1962" s="3" t="s">
        <v>1600</v>
      </c>
      <c r="B1962" s="3" t="s">
        <v>1606</v>
      </c>
      <c r="C1962" s="3" t="s">
        <v>1596</v>
      </c>
      <c r="D1962" s="3" t="s">
        <v>712</v>
      </c>
      <c r="E1962" s="3" t="s">
        <v>713</v>
      </c>
      <c r="F1962" s="2">
        <v>1</v>
      </c>
      <c r="G1962" s="4">
        <v>1.0624613688378075</v>
      </c>
      <c r="H1962" s="2">
        <v>25</v>
      </c>
      <c r="I1962" s="2">
        <v>5</v>
      </c>
      <c r="J1962" s="2">
        <v>1</v>
      </c>
      <c r="K1962" s="11">
        <v>1</v>
      </c>
      <c r="L1962" s="11">
        <v>-0.85811482302576259</v>
      </c>
      <c r="M1962" s="4">
        <v>0.85811482302576259</v>
      </c>
      <c r="N1962" s="10">
        <v>0.85799999999999998</v>
      </c>
      <c r="O1962" s="4">
        <v>6.3766488426959826</v>
      </c>
      <c r="P1962" s="4">
        <v>-6.37</v>
      </c>
      <c r="Q1962" s="3" t="s">
        <v>1617</v>
      </c>
      <c r="R1962" s="3" t="s">
        <v>1621</v>
      </c>
      <c r="S1962" s="3" t="s">
        <v>1622</v>
      </c>
      <c r="T1962" s="3"/>
    </row>
    <row r="1963" spans="1:20">
      <c r="A1963" s="3" t="s">
        <v>1604</v>
      </c>
      <c r="B1963" s="3" t="s">
        <v>1601</v>
      </c>
      <c r="C1963" s="3" t="s">
        <v>1616</v>
      </c>
      <c r="D1963" s="3" t="s">
        <v>712</v>
      </c>
      <c r="E1963" s="3" t="s">
        <v>713</v>
      </c>
      <c r="F1963" s="2">
        <v>1</v>
      </c>
      <c r="G1963" s="4">
        <v>1.0624613688378075</v>
      </c>
      <c r="H1963" s="2">
        <v>25</v>
      </c>
      <c r="I1963" s="2">
        <v>30</v>
      </c>
      <c r="J1963" s="2">
        <v>16</v>
      </c>
      <c r="K1963" s="4">
        <v>1</v>
      </c>
      <c r="L1963" s="4">
        <v>-0.87805499618358029</v>
      </c>
      <c r="M1963" s="4">
        <v>0.87805499618358029</v>
      </c>
      <c r="N1963" s="10">
        <v>0.878</v>
      </c>
      <c r="O1963" s="4">
        <v>6.7785445921425103</v>
      </c>
      <c r="P1963" s="4">
        <v>-6.78</v>
      </c>
      <c r="Q1963" s="3" t="s">
        <v>1617</v>
      </c>
      <c r="R1963" s="3" t="s">
        <v>1618</v>
      </c>
      <c r="S1963" s="3" t="s">
        <v>1619</v>
      </c>
      <c r="T1963" s="3"/>
    </row>
    <row r="1964" spans="1:20">
      <c r="A1964" s="3" t="s">
        <v>1600</v>
      </c>
      <c r="B1964" s="3" t="s">
        <v>1601</v>
      </c>
      <c r="C1964" s="3" t="s">
        <v>1596</v>
      </c>
      <c r="D1964" s="3" t="s">
        <v>712</v>
      </c>
      <c r="E1964" s="3" t="s">
        <v>713</v>
      </c>
      <c r="F1964" s="2">
        <v>1</v>
      </c>
      <c r="G1964" s="4">
        <v>1.0624613688378075</v>
      </c>
      <c r="H1964" s="2">
        <v>25</v>
      </c>
      <c r="I1964" s="2">
        <v>5</v>
      </c>
      <c r="J1964" s="2">
        <v>1</v>
      </c>
      <c r="K1964" s="4">
        <v>1</v>
      </c>
      <c r="L1964" s="4">
        <v>-0.90655209999316488</v>
      </c>
      <c r="M1964" s="4">
        <v>0.90655209999316488</v>
      </c>
      <c r="N1964" s="10">
        <v>0.90700000000000003</v>
      </c>
      <c r="O1964" s="4">
        <v>7.4756945381559303</v>
      </c>
      <c r="P1964" s="4">
        <v>-7.49</v>
      </c>
      <c r="Q1964" s="3" t="s">
        <v>1617</v>
      </c>
      <c r="R1964" s="3" t="s">
        <v>1618</v>
      </c>
      <c r="S1964" s="3" t="s">
        <v>1619</v>
      </c>
      <c r="T1964" s="3"/>
    </row>
    <row r="1965" spans="1:20">
      <c r="A1965" s="3" t="s">
        <v>1600</v>
      </c>
      <c r="B1965" s="3" t="s">
        <v>1601</v>
      </c>
      <c r="C1965" s="3" t="s">
        <v>1596</v>
      </c>
      <c r="D1965" s="3" t="s">
        <v>712</v>
      </c>
      <c r="E1965" s="3" t="s">
        <v>713</v>
      </c>
      <c r="F1965" s="2">
        <v>1</v>
      </c>
      <c r="G1965" s="4">
        <v>1.0624613688378075</v>
      </c>
      <c r="H1965" s="2">
        <v>25</v>
      </c>
      <c r="I1965" s="2">
        <v>5</v>
      </c>
      <c r="J1965" s="2">
        <v>16</v>
      </c>
      <c r="K1965" s="4">
        <v>1</v>
      </c>
      <c r="L1965" s="4">
        <v>-0.91932407031230523</v>
      </c>
      <c r="M1965" s="4">
        <v>0.91932407031230523</v>
      </c>
      <c r="N1965" s="10">
        <v>0.91900000000000004</v>
      </c>
      <c r="O1965" s="4">
        <v>7.856564323898179</v>
      </c>
      <c r="P1965" s="4">
        <v>-7.85</v>
      </c>
      <c r="Q1965" s="3" t="s">
        <v>1617</v>
      </c>
      <c r="R1965" s="3" t="s">
        <v>1618</v>
      </c>
      <c r="S1965" s="3" t="s">
        <v>1619</v>
      </c>
      <c r="T1965" s="3"/>
    </row>
    <row r="1966" spans="1:20">
      <c r="A1966" s="12" t="s">
        <v>1605</v>
      </c>
      <c r="B1966" s="3" t="s">
        <v>1601</v>
      </c>
      <c r="C1966" s="3" t="s">
        <v>1596</v>
      </c>
      <c r="D1966" s="3" t="s">
        <v>712</v>
      </c>
      <c r="E1966" s="3" t="s">
        <v>713</v>
      </c>
      <c r="F1966" s="2">
        <v>1</v>
      </c>
      <c r="G1966" s="4">
        <v>1.0624613688378075</v>
      </c>
      <c r="H1966" s="2">
        <v>25</v>
      </c>
      <c r="I1966" s="2">
        <v>5</v>
      </c>
      <c r="J1966" s="2">
        <v>16</v>
      </c>
      <c r="K1966" s="11">
        <v>1</v>
      </c>
      <c r="L1966" s="11">
        <v>-0.92139470696240089</v>
      </c>
      <c r="M1966" s="4">
        <v>0.92139470696240089</v>
      </c>
      <c r="N1966" s="10">
        <v>0.92100000000000004</v>
      </c>
      <c r="O1966" s="4">
        <v>7.9236934880204197</v>
      </c>
      <c r="P1966" s="4">
        <v>-7.91</v>
      </c>
      <c r="Q1966" s="3" t="s">
        <v>1617</v>
      </c>
      <c r="R1966" s="3" t="s">
        <v>1618</v>
      </c>
      <c r="S1966" s="3" t="s">
        <v>1619</v>
      </c>
      <c r="T1966" s="3"/>
    </row>
    <row r="1967" spans="1:20">
      <c r="A1967" s="3" t="s">
        <v>1600</v>
      </c>
      <c r="B1967" s="3" t="s">
        <v>1609</v>
      </c>
      <c r="C1967" s="3" t="s">
        <v>1596</v>
      </c>
      <c r="D1967" s="3" t="s">
        <v>712</v>
      </c>
      <c r="E1967" s="3" t="s">
        <v>713</v>
      </c>
      <c r="F1967" s="2">
        <v>1</v>
      </c>
      <c r="G1967" s="4">
        <v>1.0624613688378075</v>
      </c>
      <c r="H1967" s="2">
        <v>25</v>
      </c>
      <c r="I1967" s="2">
        <v>5</v>
      </c>
      <c r="J1967" s="2">
        <v>16</v>
      </c>
      <c r="K1967" s="4">
        <v>1</v>
      </c>
      <c r="L1967" s="4">
        <v>-0.92943340677672381</v>
      </c>
      <c r="M1967" s="4">
        <v>0.92943340677672381</v>
      </c>
      <c r="N1967" s="10">
        <v>0.92900000000000005</v>
      </c>
      <c r="O1967" s="4">
        <v>8.2014798343770643</v>
      </c>
      <c r="P1967" s="4">
        <v>-8.19</v>
      </c>
      <c r="Q1967" s="3" t="s">
        <v>1617</v>
      </c>
      <c r="R1967" s="3" t="s">
        <v>1623</v>
      </c>
      <c r="S1967" s="3" t="s">
        <v>1624</v>
      </c>
      <c r="T1967" s="3"/>
    </row>
    <row r="1968" spans="1:20">
      <c r="A1968" s="3" t="s">
        <v>1600</v>
      </c>
      <c r="B1968" s="3" t="s">
        <v>1601</v>
      </c>
      <c r="C1968" s="3" t="s">
        <v>1616</v>
      </c>
      <c r="D1968" s="3" t="s">
        <v>712</v>
      </c>
      <c r="E1968" s="3" t="s">
        <v>713</v>
      </c>
      <c r="F1968" s="2">
        <v>1</v>
      </c>
      <c r="G1968" s="4">
        <v>1.0624613688378075</v>
      </c>
      <c r="H1968" s="2">
        <v>25</v>
      </c>
      <c r="I1968" s="2">
        <v>5</v>
      </c>
      <c r="J1968" s="2">
        <v>16</v>
      </c>
      <c r="K1968" s="4">
        <v>1</v>
      </c>
      <c r="L1968" s="4">
        <v>-0.94070337989792918</v>
      </c>
      <c r="M1968" s="4">
        <v>0.94070337989792918</v>
      </c>
      <c r="N1968" s="10">
        <v>0.94099999999999995</v>
      </c>
      <c r="O1968" s="4">
        <v>8.6472692777698423</v>
      </c>
      <c r="P1968" s="4">
        <v>-8.66</v>
      </c>
      <c r="Q1968" s="3" t="s">
        <v>1617</v>
      </c>
      <c r="R1968" s="3" t="s">
        <v>1618</v>
      </c>
      <c r="S1968" s="3" t="s">
        <v>1619</v>
      </c>
      <c r="T1968" s="3"/>
    </row>
    <row r="1969" spans="1:20">
      <c r="A1969" s="3" t="s">
        <v>1600</v>
      </c>
      <c r="B1969" s="3" t="s">
        <v>1601</v>
      </c>
      <c r="C1969" s="3" t="s">
        <v>1616</v>
      </c>
      <c r="D1969" s="3" t="s">
        <v>712</v>
      </c>
      <c r="E1969" s="3" t="s">
        <v>713</v>
      </c>
      <c r="F1969" s="2">
        <v>1</v>
      </c>
      <c r="G1969" s="4">
        <v>1.0624613688378075</v>
      </c>
      <c r="H1969" s="2">
        <v>25</v>
      </c>
      <c r="I1969" s="2">
        <v>5</v>
      </c>
      <c r="J1969" s="2">
        <v>1</v>
      </c>
      <c r="K1969" s="4">
        <v>1</v>
      </c>
      <c r="L1969" s="4">
        <v>-0.94620502094528725</v>
      </c>
      <c r="M1969" s="4">
        <v>0.94620502094528725</v>
      </c>
      <c r="N1969" s="10">
        <v>0.94599999999999995</v>
      </c>
      <c r="O1969" s="4">
        <v>8.8956694002951622</v>
      </c>
      <c r="P1969" s="4">
        <v>-8.89</v>
      </c>
      <c r="Q1969" s="3" t="s">
        <v>1617</v>
      </c>
      <c r="R1969" s="3" t="s">
        <v>1618</v>
      </c>
      <c r="S1969" s="3" t="s">
        <v>1619</v>
      </c>
      <c r="T1969" s="3"/>
    </row>
    <row r="1970" spans="1:20">
      <c r="A1970" s="3" t="s">
        <v>1600</v>
      </c>
      <c r="B1970" s="3" t="s">
        <v>1609</v>
      </c>
      <c r="C1970" s="3" t="s">
        <v>1596</v>
      </c>
      <c r="D1970" s="3" t="s">
        <v>712</v>
      </c>
      <c r="E1970" s="3" t="s">
        <v>713</v>
      </c>
      <c r="F1970" s="2">
        <v>1</v>
      </c>
      <c r="G1970" s="4">
        <v>1.0624613688378075</v>
      </c>
      <c r="H1970" s="2">
        <v>25</v>
      </c>
      <c r="I1970" s="2">
        <v>5</v>
      </c>
      <c r="J1970" s="2">
        <v>1</v>
      </c>
      <c r="K1970" s="11">
        <v>1</v>
      </c>
      <c r="L1970" s="11">
        <v>-0.94724249165028518</v>
      </c>
      <c r="M1970" s="4">
        <v>0.94724249165028518</v>
      </c>
      <c r="N1970" s="10">
        <v>0.94699999999999995</v>
      </c>
      <c r="O1970" s="4">
        <v>8.9452660366135639</v>
      </c>
      <c r="P1970" s="4">
        <v>-8.93</v>
      </c>
      <c r="Q1970" s="3" t="s">
        <v>1617</v>
      </c>
      <c r="R1970" s="3" t="s">
        <v>1623</v>
      </c>
      <c r="S1970" s="3" t="s">
        <v>1624</v>
      </c>
      <c r="T1970" s="3"/>
    </row>
    <row r="1971" spans="1:20">
      <c r="A1971" s="3" t="s">
        <v>1600</v>
      </c>
      <c r="B1971" s="3" t="s">
        <v>1609</v>
      </c>
      <c r="C1971" s="3" t="s">
        <v>1616</v>
      </c>
      <c r="D1971" s="3" t="s">
        <v>712</v>
      </c>
      <c r="E1971" s="3" t="s">
        <v>713</v>
      </c>
      <c r="F1971" s="2">
        <v>1</v>
      </c>
      <c r="G1971" s="4">
        <v>1.0624613688378075</v>
      </c>
      <c r="H1971" s="2">
        <v>25</v>
      </c>
      <c r="I1971" s="2">
        <v>5</v>
      </c>
      <c r="J1971" s="2">
        <v>1</v>
      </c>
      <c r="K1971" s="4">
        <v>1</v>
      </c>
      <c r="L1971" s="4">
        <v>-0.95484969422125499</v>
      </c>
      <c r="M1971" s="4">
        <v>0.95484969422125499</v>
      </c>
      <c r="N1971" s="10">
        <v>0.95499999999999996</v>
      </c>
      <c r="O1971" s="4">
        <v>9.3409294148125266</v>
      </c>
      <c r="P1971" s="4">
        <v>-9.35</v>
      </c>
      <c r="Q1971" s="3" t="s">
        <v>1617</v>
      </c>
      <c r="R1971" s="3" t="s">
        <v>1623</v>
      </c>
      <c r="S1971" s="3" t="s">
        <v>1624</v>
      </c>
      <c r="T1971" s="3"/>
    </row>
    <row r="1972" spans="1:20">
      <c r="A1972" s="3" t="s">
        <v>1600</v>
      </c>
      <c r="B1972" s="3" t="s">
        <v>1609</v>
      </c>
      <c r="C1972" s="3" t="s">
        <v>1616</v>
      </c>
      <c r="D1972" s="3" t="s">
        <v>712</v>
      </c>
      <c r="E1972" s="3" t="s">
        <v>713</v>
      </c>
      <c r="F1972" s="2">
        <v>1</v>
      </c>
      <c r="G1972" s="4">
        <v>1.0624613688378075</v>
      </c>
      <c r="H1972" s="2">
        <v>25</v>
      </c>
      <c r="I1972" s="2">
        <v>5</v>
      </c>
      <c r="J1972" s="2">
        <v>16</v>
      </c>
      <c r="K1972" s="11">
        <v>1</v>
      </c>
      <c r="L1972" s="11">
        <v>-0.95621543586080904</v>
      </c>
      <c r="M1972" s="4">
        <v>0.95621543586080904</v>
      </c>
      <c r="N1972" s="10">
        <v>0.95599999999999996</v>
      </c>
      <c r="O1972" s="4">
        <v>9.4188040007961735</v>
      </c>
      <c r="P1972" s="4">
        <v>-9.41</v>
      </c>
      <c r="Q1972" s="3" t="s">
        <v>1617</v>
      </c>
      <c r="R1972" s="3" t="s">
        <v>1623</v>
      </c>
      <c r="S1972" s="3" t="s">
        <v>1624</v>
      </c>
      <c r="T1972" s="3"/>
    </row>
    <row r="1973" spans="1:20">
      <c r="A1973" s="3" t="s">
        <v>1600</v>
      </c>
      <c r="B1973" s="3" t="s">
        <v>1606</v>
      </c>
      <c r="C1973" s="3" t="s">
        <v>1616</v>
      </c>
      <c r="D1973" s="3" t="s">
        <v>712</v>
      </c>
      <c r="E1973" s="3" t="s">
        <v>713</v>
      </c>
      <c r="F1973" s="2">
        <v>1</v>
      </c>
      <c r="G1973" s="4">
        <v>1.0624613688378075</v>
      </c>
      <c r="H1973" s="2">
        <v>25</v>
      </c>
      <c r="I1973" s="2">
        <v>5</v>
      </c>
      <c r="J1973" s="2">
        <v>1</v>
      </c>
      <c r="K1973" s="4">
        <v>1</v>
      </c>
      <c r="L1973" s="4">
        <v>-1</v>
      </c>
      <c r="M1973" s="4">
        <v>1</v>
      </c>
      <c r="N1973" s="10">
        <v>0.995</v>
      </c>
      <c r="O1973" s="4">
        <v>14.85</v>
      </c>
      <c r="P1973" s="4">
        <v>-14.85</v>
      </c>
      <c r="Q1973" s="3" t="s">
        <v>1617</v>
      </c>
      <c r="R1973" s="3" t="s">
        <v>1621</v>
      </c>
      <c r="S1973" s="3" t="s">
        <v>1622</v>
      </c>
      <c r="T1973" s="3"/>
    </row>
    <row r="1974" spans="1:20">
      <c r="A1974" s="3" t="s">
        <v>1600</v>
      </c>
      <c r="B1974" s="3" t="s">
        <v>1606</v>
      </c>
      <c r="C1974" s="3" t="s">
        <v>1616</v>
      </c>
      <c r="D1974" s="3" t="s">
        <v>712</v>
      </c>
      <c r="E1974" s="3" t="s">
        <v>713</v>
      </c>
      <c r="F1974" s="2">
        <v>1</v>
      </c>
      <c r="G1974" s="4">
        <v>1.0624613688378075</v>
      </c>
      <c r="H1974" s="2">
        <v>25</v>
      </c>
      <c r="I1974" s="2">
        <v>5</v>
      </c>
      <c r="J1974" s="2">
        <v>16</v>
      </c>
      <c r="K1974" s="11">
        <v>0.99552894354008992</v>
      </c>
      <c r="L1974" s="11">
        <v>-1</v>
      </c>
      <c r="M1974" s="4">
        <v>1</v>
      </c>
      <c r="N1974" s="10">
        <v>0.995</v>
      </c>
      <c r="O1974" s="4">
        <v>14.85</v>
      </c>
      <c r="P1974" s="4">
        <v>-14.85</v>
      </c>
      <c r="Q1974" s="3" t="s">
        <v>1617</v>
      </c>
      <c r="R1974" s="3" t="s">
        <v>1621</v>
      </c>
      <c r="S1974" s="3" t="s">
        <v>1622</v>
      </c>
      <c r="T1974" s="3"/>
    </row>
    <row r="1975" spans="1:20">
      <c r="A1975" s="3" t="s">
        <v>1600</v>
      </c>
      <c r="B1975" s="3" t="s">
        <v>1606</v>
      </c>
      <c r="C1975" s="3" t="s">
        <v>1616</v>
      </c>
      <c r="D1975" s="3" t="s">
        <v>859</v>
      </c>
      <c r="E1975" s="3" t="s">
        <v>860</v>
      </c>
      <c r="F1975" s="2">
        <v>1</v>
      </c>
      <c r="G1975" s="4">
        <v>1.0637781909304018</v>
      </c>
      <c r="H1975" s="2">
        <v>25</v>
      </c>
      <c r="I1975" s="2">
        <v>5</v>
      </c>
      <c r="J1975" s="2">
        <v>16</v>
      </c>
      <c r="K1975" s="4">
        <v>1</v>
      </c>
      <c r="L1975" s="4">
        <v>0.38635985566611203</v>
      </c>
      <c r="M1975" s="4">
        <v>0.38635985566611203</v>
      </c>
      <c r="N1975" s="10">
        <v>0.38600000000000001</v>
      </c>
      <c r="O1975" s="4">
        <v>2.0204287463882422</v>
      </c>
      <c r="P1975" s="4">
        <v>2.02</v>
      </c>
      <c r="Q1975" s="3" t="s">
        <v>1597</v>
      </c>
      <c r="R1975" s="3" t="s">
        <v>1607</v>
      </c>
      <c r="S1975" s="3" t="s">
        <v>1608</v>
      </c>
      <c r="T1975" s="3"/>
    </row>
    <row r="1976" spans="1:20">
      <c r="A1976" s="3" t="s">
        <v>1600</v>
      </c>
      <c r="B1976" s="3" t="s">
        <v>1606</v>
      </c>
      <c r="C1976" s="3" t="s">
        <v>1596</v>
      </c>
      <c r="D1976" s="3" t="s">
        <v>859</v>
      </c>
      <c r="E1976" s="3" t="s">
        <v>860</v>
      </c>
      <c r="F1976" s="2">
        <v>1</v>
      </c>
      <c r="G1976" s="4">
        <v>1.0637781909304018</v>
      </c>
      <c r="H1976" s="2">
        <v>25</v>
      </c>
      <c r="I1976" s="2">
        <v>5</v>
      </c>
      <c r="J1976" s="2">
        <v>1</v>
      </c>
      <c r="K1976" s="4">
        <v>1</v>
      </c>
      <c r="L1976" s="4">
        <v>0.37983711504223644</v>
      </c>
      <c r="M1976" s="4">
        <v>0.37983711504223644</v>
      </c>
      <c r="N1976" s="10">
        <v>0.38</v>
      </c>
      <c r="O1976" s="4">
        <v>1.9825264816895733</v>
      </c>
      <c r="P1976" s="4">
        <v>1.98</v>
      </c>
      <c r="Q1976" s="3" t="s">
        <v>1597</v>
      </c>
      <c r="R1976" s="3" t="s">
        <v>1607</v>
      </c>
      <c r="S1976" s="3" t="s">
        <v>1608</v>
      </c>
      <c r="T1976" s="3"/>
    </row>
    <row r="1977" spans="1:20">
      <c r="A1977" s="3" t="s">
        <v>1600</v>
      </c>
      <c r="B1977" s="3" t="s">
        <v>1606</v>
      </c>
      <c r="C1977" s="3" t="s">
        <v>1596</v>
      </c>
      <c r="D1977" s="3" t="s">
        <v>859</v>
      </c>
      <c r="E1977" s="3" t="s">
        <v>860</v>
      </c>
      <c r="F1977" s="2">
        <v>1</v>
      </c>
      <c r="G1977" s="4">
        <v>1.0637781909304018</v>
      </c>
      <c r="H1977" s="2">
        <v>25</v>
      </c>
      <c r="I1977" s="2">
        <v>5</v>
      </c>
      <c r="J1977" s="2">
        <v>16</v>
      </c>
      <c r="K1977" s="4">
        <v>1</v>
      </c>
      <c r="L1977" s="4">
        <v>0.37815901650738881</v>
      </c>
      <c r="M1977" s="4">
        <v>0.37815901650738881</v>
      </c>
      <c r="N1977" s="10">
        <v>0.378</v>
      </c>
      <c r="O1977" s="4">
        <v>1.972811052424291</v>
      </c>
      <c r="P1977" s="4">
        <v>1.97</v>
      </c>
      <c r="Q1977" s="3" t="s">
        <v>1597</v>
      </c>
      <c r="R1977" s="3" t="s">
        <v>1607</v>
      </c>
      <c r="S1977" s="3" t="s">
        <v>1608</v>
      </c>
      <c r="T1977" s="3"/>
    </row>
    <row r="1978" spans="1:20">
      <c r="A1978" s="3" t="s">
        <v>1600</v>
      </c>
      <c r="B1978" s="3" t="s">
        <v>1606</v>
      </c>
      <c r="C1978" s="3" t="s">
        <v>1616</v>
      </c>
      <c r="D1978" s="3" t="s">
        <v>859</v>
      </c>
      <c r="E1978" s="3" t="s">
        <v>860</v>
      </c>
      <c r="F1978" s="2">
        <v>1</v>
      </c>
      <c r="G1978" s="4">
        <v>1.0637781909304018</v>
      </c>
      <c r="H1978" s="2">
        <v>25</v>
      </c>
      <c r="I1978" s="2">
        <v>5</v>
      </c>
      <c r="J1978" s="2">
        <v>1</v>
      </c>
      <c r="K1978" s="4">
        <v>0.79494333684633189</v>
      </c>
      <c r="L1978" s="4">
        <v>0.37245295779987253</v>
      </c>
      <c r="M1978" s="4">
        <v>0.37245295779987253</v>
      </c>
      <c r="N1978" s="10">
        <v>0.372</v>
      </c>
      <c r="O1978" s="4">
        <v>1.9398824895879339</v>
      </c>
      <c r="P1978" s="4">
        <v>1.94</v>
      </c>
      <c r="Q1978" s="3" t="s">
        <v>1597</v>
      </c>
      <c r="R1978" s="3" t="s">
        <v>1607</v>
      </c>
      <c r="S1978" s="3" t="s">
        <v>1608</v>
      </c>
      <c r="T1978" s="3"/>
    </row>
    <row r="1979" spans="1:20">
      <c r="A1979" s="3" t="s">
        <v>1605</v>
      </c>
      <c r="B1979" s="3" t="s">
        <v>1601</v>
      </c>
      <c r="C1979" s="3" t="s">
        <v>1596</v>
      </c>
      <c r="D1979" s="3" t="s">
        <v>859</v>
      </c>
      <c r="E1979" s="3" t="s">
        <v>860</v>
      </c>
      <c r="F1979" s="2">
        <v>1</v>
      </c>
      <c r="G1979" s="4">
        <v>1.0637781909304018</v>
      </c>
      <c r="H1979" s="2">
        <v>25</v>
      </c>
      <c r="I1979" s="2">
        <v>5</v>
      </c>
      <c r="J1979" s="2">
        <v>16</v>
      </c>
      <c r="K1979" s="4">
        <v>1</v>
      </c>
      <c r="L1979" s="4">
        <v>0.10914602660529313</v>
      </c>
      <c r="M1979" s="4">
        <v>0.10914602660529313</v>
      </c>
      <c r="N1979" s="10">
        <v>0.109</v>
      </c>
      <c r="O1979" s="4">
        <v>0.54330338099860331</v>
      </c>
      <c r="P1979" s="4">
        <v>0.54</v>
      </c>
      <c r="Q1979" s="3" t="s">
        <v>1597</v>
      </c>
      <c r="R1979" s="3" t="s">
        <v>1602</v>
      </c>
      <c r="S1979" s="3" t="s">
        <v>1603</v>
      </c>
      <c r="T1979" s="3"/>
    </row>
    <row r="1980" spans="1:20">
      <c r="A1980" s="3" t="s">
        <v>1604</v>
      </c>
      <c r="B1980" s="3" t="s">
        <v>1601</v>
      </c>
      <c r="C1980" s="3" t="s">
        <v>1596</v>
      </c>
      <c r="D1980" s="3" t="s">
        <v>859</v>
      </c>
      <c r="E1980" s="3" t="s">
        <v>860</v>
      </c>
      <c r="F1980" s="2">
        <v>1</v>
      </c>
      <c r="G1980" s="4">
        <v>1.0637781909304018</v>
      </c>
      <c r="H1980" s="2">
        <v>25</v>
      </c>
      <c r="I1980" s="2">
        <v>30</v>
      </c>
      <c r="J1980" s="2">
        <v>16</v>
      </c>
      <c r="K1980" s="4">
        <v>1</v>
      </c>
      <c r="L1980" s="4">
        <v>6.6243621558727261E-2</v>
      </c>
      <c r="M1980" s="4">
        <v>6.6243621558727261E-2</v>
      </c>
      <c r="N1980" s="10">
        <v>6.6000000000000003E-2</v>
      </c>
      <c r="O1980" s="4">
        <v>0.32891333798599098</v>
      </c>
      <c r="P1980" s="4">
        <v>0.33</v>
      </c>
      <c r="Q1980" s="3" t="s">
        <v>1597</v>
      </c>
      <c r="R1980" s="3" t="s">
        <v>1602</v>
      </c>
      <c r="S1980" s="3" t="s">
        <v>1603</v>
      </c>
      <c r="T1980" s="3"/>
    </row>
    <row r="1981" spans="1:20">
      <c r="A1981" s="3" t="s">
        <v>1600</v>
      </c>
      <c r="B1981" s="3" t="s">
        <v>1601</v>
      </c>
      <c r="C1981" s="3" t="s">
        <v>1616</v>
      </c>
      <c r="D1981" s="3" t="s">
        <v>859</v>
      </c>
      <c r="E1981" s="3" t="s">
        <v>860</v>
      </c>
      <c r="F1981" s="2">
        <v>1</v>
      </c>
      <c r="G1981" s="4">
        <v>1.0637781909304018</v>
      </c>
      <c r="H1981" s="2">
        <v>25</v>
      </c>
      <c r="I1981" s="2">
        <v>5</v>
      </c>
      <c r="J1981" s="2">
        <v>1</v>
      </c>
      <c r="K1981" s="4">
        <v>0.1062360440286636</v>
      </c>
      <c r="L1981" s="4">
        <v>6.4293512494497801E-2</v>
      </c>
      <c r="M1981" s="4">
        <v>6.4293512494497801E-2</v>
      </c>
      <c r="N1981" s="10">
        <v>6.4000000000000001E-2</v>
      </c>
      <c r="O1981" s="4">
        <v>0.31920345427301833</v>
      </c>
      <c r="P1981" s="4">
        <v>0.32</v>
      </c>
      <c r="Q1981" s="3" t="s">
        <v>1597</v>
      </c>
      <c r="R1981" s="3" t="s">
        <v>1602</v>
      </c>
      <c r="S1981" s="3" t="s">
        <v>1603</v>
      </c>
      <c r="T1981" s="3"/>
    </row>
    <row r="1982" spans="1:20">
      <c r="A1982" s="3" t="s">
        <v>1600</v>
      </c>
      <c r="B1982" s="3" t="s">
        <v>1601</v>
      </c>
      <c r="C1982" s="3" t="s">
        <v>1596</v>
      </c>
      <c r="D1982" s="3" t="s">
        <v>859</v>
      </c>
      <c r="E1982" s="3" t="s">
        <v>860</v>
      </c>
      <c r="F1982" s="2">
        <v>1</v>
      </c>
      <c r="G1982" s="4">
        <v>1.0637781909304018</v>
      </c>
      <c r="H1982" s="2">
        <v>25</v>
      </c>
      <c r="I1982" s="2">
        <v>5</v>
      </c>
      <c r="J1982" s="2">
        <v>1</v>
      </c>
      <c r="K1982" s="4">
        <v>4.5568541750263147E-2</v>
      </c>
      <c r="L1982" s="4">
        <v>2.8204510255856057E-2</v>
      </c>
      <c r="M1982" s="4">
        <v>2.8204510255856057E-2</v>
      </c>
      <c r="N1982" s="10">
        <v>2.8000000000000001E-2</v>
      </c>
      <c r="O1982" s="4">
        <v>0.13987326396860172</v>
      </c>
      <c r="P1982" s="4">
        <v>0.14000000000000001</v>
      </c>
      <c r="Q1982" s="3" t="s">
        <v>1597</v>
      </c>
      <c r="R1982" s="3" t="s">
        <v>1602</v>
      </c>
      <c r="S1982" s="3" t="s">
        <v>1603</v>
      </c>
      <c r="T1982" s="3"/>
    </row>
    <row r="1983" spans="1:20">
      <c r="A1983" s="3" t="s">
        <v>1600</v>
      </c>
      <c r="B1983" s="3" t="s">
        <v>1601</v>
      </c>
      <c r="C1983" s="3" t="s">
        <v>1616</v>
      </c>
      <c r="D1983" s="3" t="s">
        <v>859</v>
      </c>
      <c r="E1983" s="3" t="s">
        <v>860</v>
      </c>
      <c r="F1983" s="2">
        <v>1</v>
      </c>
      <c r="G1983" s="4">
        <v>1.0637781909304018</v>
      </c>
      <c r="H1983" s="2">
        <v>25</v>
      </c>
      <c r="I1983" s="2">
        <v>5</v>
      </c>
      <c r="J1983" s="2">
        <v>16</v>
      </c>
      <c r="K1983" s="4">
        <v>1</v>
      </c>
      <c r="L1983" s="4">
        <v>1.6081686418644502E-2</v>
      </c>
      <c r="M1983" s="4">
        <v>1.6081686418644502E-2</v>
      </c>
      <c r="N1983" s="10">
        <v>1.6E-2</v>
      </c>
      <c r="O1983" s="4">
        <v>7.9738852176044386E-2</v>
      </c>
      <c r="P1983" s="4">
        <v>0.08</v>
      </c>
      <c r="Q1983" s="3" t="s">
        <v>1597</v>
      </c>
      <c r="R1983" s="3" t="s">
        <v>1602</v>
      </c>
      <c r="S1983" s="3" t="s">
        <v>1603</v>
      </c>
      <c r="T1983" s="3"/>
    </row>
    <row r="1984" spans="1:20">
      <c r="A1984" s="3" t="s">
        <v>1600</v>
      </c>
      <c r="B1984" s="3" t="s">
        <v>1601</v>
      </c>
      <c r="C1984" s="3" t="s">
        <v>1596</v>
      </c>
      <c r="D1984" s="3" t="s">
        <v>859</v>
      </c>
      <c r="E1984" s="3" t="s">
        <v>860</v>
      </c>
      <c r="F1984" s="2">
        <v>1</v>
      </c>
      <c r="G1984" s="4">
        <v>1.0637781909304018</v>
      </c>
      <c r="H1984" s="2">
        <v>25</v>
      </c>
      <c r="I1984" s="2">
        <v>5</v>
      </c>
      <c r="J1984" s="2">
        <v>16</v>
      </c>
      <c r="K1984" s="4">
        <v>1</v>
      </c>
      <c r="L1984" s="4">
        <v>1.1613620745385909E-2</v>
      </c>
      <c r="M1984" s="4">
        <v>1.1613620745385909E-2</v>
      </c>
      <c r="N1984" s="10">
        <v>1.2E-2</v>
      </c>
      <c r="O1984" s="4">
        <v>5.7582181363464928E-2</v>
      </c>
      <c r="P1984" s="4">
        <v>0.06</v>
      </c>
      <c r="Q1984" s="3" t="s">
        <v>1597</v>
      </c>
      <c r="R1984" s="3" t="s">
        <v>1602</v>
      </c>
      <c r="S1984" s="3" t="s">
        <v>1603</v>
      </c>
      <c r="T1984" s="3"/>
    </row>
    <row r="1985" spans="1:20">
      <c r="A1985" s="3" t="s">
        <v>1600</v>
      </c>
      <c r="B1985" s="3" t="s">
        <v>1609</v>
      </c>
      <c r="C1985" s="3" t="s">
        <v>1616</v>
      </c>
      <c r="D1985" s="3" t="s">
        <v>859</v>
      </c>
      <c r="E1985" s="3" t="s">
        <v>860</v>
      </c>
      <c r="F1985" s="2">
        <v>1</v>
      </c>
      <c r="G1985" s="4">
        <v>1.0637781909304018</v>
      </c>
      <c r="H1985" s="2">
        <v>25</v>
      </c>
      <c r="I1985" s="2">
        <v>5</v>
      </c>
      <c r="J1985" s="2">
        <v>16</v>
      </c>
      <c r="K1985" s="4">
        <v>0.93739174332061737</v>
      </c>
      <c r="L1985" s="4">
        <v>-9.0825400344180199E-2</v>
      </c>
      <c r="M1985" s="4">
        <v>9.0825400344180199E-2</v>
      </c>
      <c r="N1985" s="10">
        <v>9.0999999999999998E-2</v>
      </c>
      <c r="O1985" s="4">
        <v>0.45155094985268268</v>
      </c>
      <c r="P1985" s="4">
        <v>-0.45</v>
      </c>
      <c r="Q1985" s="3" t="s">
        <v>1617</v>
      </c>
      <c r="R1985" s="3" t="s">
        <v>1623</v>
      </c>
      <c r="S1985" s="3" t="s">
        <v>1624</v>
      </c>
      <c r="T1985" s="3"/>
    </row>
    <row r="1986" spans="1:20">
      <c r="A1986" s="3" t="s">
        <v>1604</v>
      </c>
      <c r="B1986" s="3" t="s">
        <v>1601</v>
      </c>
      <c r="C1986" s="3" t="s">
        <v>1616</v>
      </c>
      <c r="D1986" s="3" t="s">
        <v>859</v>
      </c>
      <c r="E1986" s="3" t="s">
        <v>860</v>
      </c>
      <c r="F1986" s="2">
        <v>1</v>
      </c>
      <c r="G1986" s="4">
        <v>1.0637781909304018</v>
      </c>
      <c r="H1986" s="2">
        <v>25</v>
      </c>
      <c r="I1986" s="2">
        <v>30</v>
      </c>
      <c r="J1986" s="2">
        <v>16</v>
      </c>
      <c r="K1986" s="4">
        <v>1</v>
      </c>
      <c r="L1986" s="4">
        <v>-9.4678438132800358E-2</v>
      </c>
      <c r="M1986" s="4">
        <v>9.4678438132800358E-2</v>
      </c>
      <c r="N1986" s="10">
        <v>9.5000000000000001E-2</v>
      </c>
      <c r="O1986" s="4">
        <v>0.47081985948858729</v>
      </c>
      <c r="P1986" s="4">
        <v>-0.47</v>
      </c>
      <c r="Q1986" s="3" t="s">
        <v>1617</v>
      </c>
      <c r="R1986" s="3" t="s">
        <v>1618</v>
      </c>
      <c r="S1986" s="3" t="s">
        <v>1619</v>
      </c>
      <c r="T1986" s="3"/>
    </row>
    <row r="1987" spans="1:20">
      <c r="A1987" s="3" t="s">
        <v>1600</v>
      </c>
      <c r="B1987" s="3" t="s">
        <v>1609</v>
      </c>
      <c r="C1987" s="3" t="s">
        <v>1616</v>
      </c>
      <c r="D1987" s="3" t="s">
        <v>859</v>
      </c>
      <c r="E1987" s="3" t="s">
        <v>860</v>
      </c>
      <c r="F1987" s="2">
        <v>1</v>
      </c>
      <c r="G1987" s="4">
        <v>1.0637781909304018</v>
      </c>
      <c r="H1987" s="2">
        <v>25</v>
      </c>
      <c r="I1987" s="2">
        <v>5</v>
      </c>
      <c r="J1987" s="2">
        <v>1</v>
      </c>
      <c r="K1987" s="4">
        <v>0.1691830616971346</v>
      </c>
      <c r="L1987" s="4">
        <v>-0.1354706098837932</v>
      </c>
      <c r="M1987" s="4">
        <v>0.1354706098837932</v>
      </c>
      <c r="N1987" s="10">
        <v>0.13500000000000001</v>
      </c>
      <c r="O1987" s="4">
        <v>0.67580930580986831</v>
      </c>
      <c r="P1987" s="4">
        <v>-0.67</v>
      </c>
      <c r="Q1987" s="3" t="s">
        <v>1617</v>
      </c>
      <c r="R1987" s="3" t="s">
        <v>1623</v>
      </c>
      <c r="S1987" s="3" t="s">
        <v>1624</v>
      </c>
      <c r="T1987" s="3"/>
    </row>
    <row r="1988" spans="1:20">
      <c r="A1988" s="3" t="s">
        <v>1600</v>
      </c>
      <c r="B1988" s="3" t="s">
        <v>1609</v>
      </c>
      <c r="C1988" s="3" t="s">
        <v>1596</v>
      </c>
      <c r="D1988" s="3" t="s">
        <v>859</v>
      </c>
      <c r="E1988" s="3" t="s">
        <v>860</v>
      </c>
      <c r="F1988" s="2">
        <v>1</v>
      </c>
      <c r="G1988" s="4">
        <v>1.0637781909304018</v>
      </c>
      <c r="H1988" s="2">
        <v>25</v>
      </c>
      <c r="I1988" s="2">
        <v>5</v>
      </c>
      <c r="J1988" s="2">
        <v>16</v>
      </c>
      <c r="K1988" s="4">
        <v>1</v>
      </c>
      <c r="L1988" s="4">
        <v>-0.27380816792712409</v>
      </c>
      <c r="M1988" s="4">
        <v>0.27380816792712409</v>
      </c>
      <c r="N1988" s="10">
        <v>0.27400000000000002</v>
      </c>
      <c r="O1988" s="4">
        <v>1.393061219917739</v>
      </c>
      <c r="P1988" s="4">
        <v>-1.39</v>
      </c>
      <c r="Q1988" s="3" t="s">
        <v>1617</v>
      </c>
      <c r="R1988" s="3" t="s">
        <v>1623</v>
      </c>
      <c r="S1988" s="3" t="s">
        <v>1624</v>
      </c>
      <c r="T1988" s="3"/>
    </row>
    <row r="1989" spans="1:20">
      <c r="A1989" s="3" t="s">
        <v>1600</v>
      </c>
      <c r="B1989" s="3" t="s">
        <v>1609</v>
      </c>
      <c r="C1989" s="3" t="s">
        <v>1596</v>
      </c>
      <c r="D1989" s="3" t="s">
        <v>859</v>
      </c>
      <c r="E1989" s="3" t="s">
        <v>860</v>
      </c>
      <c r="F1989" s="2">
        <v>1</v>
      </c>
      <c r="G1989" s="4">
        <v>1.0637781909304018</v>
      </c>
      <c r="H1989" s="2">
        <v>25</v>
      </c>
      <c r="I1989" s="2">
        <v>5</v>
      </c>
      <c r="J1989" s="2">
        <v>1</v>
      </c>
      <c r="K1989" s="4">
        <v>0.99423199772366899</v>
      </c>
      <c r="L1989" s="4">
        <v>-0.27563952731474484</v>
      </c>
      <c r="M1989" s="4">
        <v>0.27563952731474484</v>
      </c>
      <c r="N1989" s="10">
        <v>0.27600000000000002</v>
      </c>
      <c r="O1989" s="4">
        <v>1.4028822081733914</v>
      </c>
      <c r="P1989" s="4">
        <v>-1.4</v>
      </c>
      <c r="Q1989" s="3" t="s">
        <v>1617</v>
      </c>
      <c r="R1989" s="3" t="s">
        <v>1623</v>
      </c>
      <c r="S1989" s="3" t="s">
        <v>1624</v>
      </c>
      <c r="T1989" s="3"/>
    </row>
    <row r="1990" spans="1:20">
      <c r="A1990" s="3" t="s">
        <v>1594</v>
      </c>
      <c r="B1990" s="3" t="s">
        <v>1612</v>
      </c>
      <c r="C1990" s="3" t="s">
        <v>1596</v>
      </c>
      <c r="D1990" s="3" t="s">
        <v>859</v>
      </c>
      <c r="E1990" s="3" t="s">
        <v>860</v>
      </c>
      <c r="F1990" s="2">
        <v>1</v>
      </c>
      <c r="G1990" s="4">
        <v>1.0637781909304018</v>
      </c>
      <c r="H1990" s="2">
        <v>50</v>
      </c>
      <c r="I1990" s="2">
        <v>5</v>
      </c>
      <c r="J1990" s="2">
        <v>16</v>
      </c>
      <c r="K1990" s="4">
        <v>1</v>
      </c>
      <c r="L1990" s="4">
        <v>-0.36200886107913643</v>
      </c>
      <c r="M1990" s="4">
        <v>0.36200886107913643</v>
      </c>
      <c r="N1990" s="10">
        <v>0.36199999999999999</v>
      </c>
      <c r="O1990" s="4">
        <v>2.0376698097343677</v>
      </c>
      <c r="P1990" s="4">
        <v>-2.04</v>
      </c>
      <c r="Q1990" s="3" t="s">
        <v>1617</v>
      </c>
      <c r="R1990" s="3" t="s">
        <v>1627</v>
      </c>
      <c r="S1990" s="3" t="s">
        <v>1628</v>
      </c>
      <c r="T1990" s="3"/>
    </row>
    <row r="1991" spans="1:20">
      <c r="A1991" s="3" t="s">
        <v>1594</v>
      </c>
      <c r="B1991" s="3" t="s">
        <v>1595</v>
      </c>
      <c r="C1991" s="3" t="s">
        <v>1596</v>
      </c>
      <c r="D1991" s="3" t="s">
        <v>859</v>
      </c>
      <c r="E1991" s="3" t="s">
        <v>860</v>
      </c>
      <c r="F1991" s="2">
        <v>1</v>
      </c>
      <c r="G1991" s="4">
        <v>1.0637781909304018</v>
      </c>
      <c r="H1991" s="2">
        <v>50</v>
      </c>
      <c r="I1991" s="2">
        <v>5</v>
      </c>
      <c r="J1991" s="2">
        <v>16</v>
      </c>
      <c r="K1991" s="4">
        <v>1</v>
      </c>
      <c r="L1991" s="4">
        <v>-0.73224453494079134</v>
      </c>
      <c r="M1991" s="4">
        <v>0.73224453494079134</v>
      </c>
      <c r="N1991" s="10">
        <v>0.73199999999999998</v>
      </c>
      <c r="O1991" s="4">
        <v>5.0165792572351355</v>
      </c>
      <c r="P1991" s="4">
        <v>-5.01</v>
      </c>
      <c r="Q1991" s="3" t="s">
        <v>1617</v>
      </c>
      <c r="R1991" s="3" t="s">
        <v>1625</v>
      </c>
      <c r="S1991" s="3" t="s">
        <v>1626</v>
      </c>
      <c r="T1991" s="3"/>
    </row>
    <row r="1992" spans="1:20">
      <c r="A1992" s="3" t="s">
        <v>1594</v>
      </c>
      <c r="B1992" s="3" t="s">
        <v>1595</v>
      </c>
      <c r="C1992" s="3" t="s">
        <v>1596</v>
      </c>
      <c r="D1992" s="3" t="s">
        <v>859</v>
      </c>
      <c r="E1992" s="3" t="s">
        <v>860</v>
      </c>
      <c r="F1992" s="2">
        <v>1</v>
      </c>
      <c r="G1992" s="4">
        <v>1.0637781909304018</v>
      </c>
      <c r="H1992" s="2">
        <v>25</v>
      </c>
      <c r="I1992" s="2">
        <v>5</v>
      </c>
      <c r="J1992" s="2">
        <v>16</v>
      </c>
      <c r="K1992" s="4">
        <v>1</v>
      </c>
      <c r="L1992" s="4">
        <v>-0.74005726736049871</v>
      </c>
      <c r="M1992" s="4">
        <v>0.74005726736049871</v>
      </c>
      <c r="N1992" s="10">
        <v>0.74</v>
      </c>
      <c r="O1992" s="4">
        <v>4.7130439335154675</v>
      </c>
      <c r="P1992" s="4">
        <v>-4.71</v>
      </c>
      <c r="Q1992" s="3" t="s">
        <v>1617</v>
      </c>
      <c r="R1992" s="3" t="s">
        <v>1625</v>
      </c>
      <c r="S1992" s="3" t="s">
        <v>1626</v>
      </c>
      <c r="T1992" s="3"/>
    </row>
    <row r="1993" spans="1:20">
      <c r="A1993" s="3" t="s">
        <v>1594</v>
      </c>
      <c r="B1993" s="3" t="s">
        <v>1612</v>
      </c>
      <c r="C1993" s="3" t="s">
        <v>1596</v>
      </c>
      <c r="D1993" s="3" t="s">
        <v>1006</v>
      </c>
      <c r="E1993" s="3" t="s">
        <v>1007</v>
      </c>
      <c r="F1993" s="2">
        <v>1</v>
      </c>
      <c r="G1993" s="4">
        <v>1.0641306653468148</v>
      </c>
      <c r="H1993" s="2">
        <v>50</v>
      </c>
      <c r="I1993" s="2">
        <v>5</v>
      </c>
      <c r="J1993" s="2">
        <v>16</v>
      </c>
      <c r="K1993" s="4">
        <v>1</v>
      </c>
      <c r="L1993" s="4">
        <v>0.40641212319113418</v>
      </c>
      <c r="M1993" s="4">
        <v>0.40641212319113418</v>
      </c>
      <c r="N1993" s="10">
        <v>0.40600000000000003</v>
      </c>
      <c r="O1993" s="4">
        <v>2.3176920555884588</v>
      </c>
      <c r="P1993" s="4">
        <v>2.3199999999999998</v>
      </c>
      <c r="Q1993" s="3" t="s">
        <v>1597</v>
      </c>
      <c r="R1993" s="3" t="s">
        <v>1613</v>
      </c>
      <c r="S1993" s="3" t="s">
        <v>1614</v>
      </c>
      <c r="T1993" s="3"/>
    </row>
    <row r="1994" spans="1:20">
      <c r="A1994" s="3" t="s">
        <v>1594</v>
      </c>
      <c r="B1994" s="3" t="s">
        <v>1595</v>
      </c>
      <c r="C1994" s="3" t="s">
        <v>1596</v>
      </c>
      <c r="D1994" s="3" t="s">
        <v>1006</v>
      </c>
      <c r="E1994" s="3" t="s">
        <v>1007</v>
      </c>
      <c r="F1994" s="2">
        <v>1</v>
      </c>
      <c r="G1994" s="4">
        <v>1.0641306653468148</v>
      </c>
      <c r="H1994" s="2">
        <v>50</v>
      </c>
      <c r="I1994" s="2">
        <v>5</v>
      </c>
      <c r="J1994" s="2">
        <v>16</v>
      </c>
      <c r="K1994" s="4">
        <v>1</v>
      </c>
      <c r="L1994" s="4">
        <v>0.18403634171550332</v>
      </c>
      <c r="M1994" s="4">
        <v>0.18403634171550332</v>
      </c>
      <c r="N1994" s="10">
        <v>0.184</v>
      </c>
      <c r="O1994" s="4">
        <v>1.0003465336956081</v>
      </c>
      <c r="P1994" s="4">
        <v>1</v>
      </c>
      <c r="Q1994" s="3" t="s">
        <v>1597</v>
      </c>
      <c r="R1994" s="3" t="s">
        <v>1598</v>
      </c>
      <c r="S1994" s="3" t="s">
        <v>1599</v>
      </c>
      <c r="T1994" s="3"/>
    </row>
    <row r="1995" spans="1:20">
      <c r="A1995" s="3" t="s">
        <v>1594</v>
      </c>
      <c r="B1995" s="3" t="s">
        <v>1595</v>
      </c>
      <c r="C1995" s="3" t="s">
        <v>1596</v>
      </c>
      <c r="D1995" s="3" t="s">
        <v>1006</v>
      </c>
      <c r="E1995" s="3" t="s">
        <v>1007</v>
      </c>
      <c r="F1995" s="2">
        <v>1</v>
      </c>
      <c r="G1995" s="4">
        <v>1.0641306653468148</v>
      </c>
      <c r="H1995" s="2">
        <v>25</v>
      </c>
      <c r="I1995" s="2">
        <v>5</v>
      </c>
      <c r="J1995" s="2">
        <v>16</v>
      </c>
      <c r="K1995" s="4">
        <v>1</v>
      </c>
      <c r="L1995" s="4">
        <v>0.18203548091421851</v>
      </c>
      <c r="M1995" s="4">
        <v>0.18203548091421851</v>
      </c>
      <c r="N1995" s="10">
        <v>0.182</v>
      </c>
      <c r="O1995" s="4">
        <v>0.9126922603750961</v>
      </c>
      <c r="P1995" s="4">
        <v>0.91</v>
      </c>
      <c r="Q1995" s="3" t="s">
        <v>1597</v>
      </c>
      <c r="R1995" s="3" t="s">
        <v>1598</v>
      </c>
      <c r="S1995" s="3" t="s">
        <v>1599</v>
      </c>
      <c r="T1995" s="3"/>
    </row>
    <row r="1996" spans="1:20">
      <c r="A1996" s="3" t="s">
        <v>1600</v>
      </c>
      <c r="B1996" s="3" t="s">
        <v>1606</v>
      </c>
      <c r="C1996" s="3" t="s">
        <v>1616</v>
      </c>
      <c r="D1996" s="3" t="s">
        <v>1006</v>
      </c>
      <c r="E1996" s="3" t="s">
        <v>1007</v>
      </c>
      <c r="F1996" s="2">
        <v>1</v>
      </c>
      <c r="G1996" s="4">
        <v>1.0641306653468148</v>
      </c>
      <c r="H1996" s="2">
        <v>25</v>
      </c>
      <c r="I1996" s="2">
        <v>5</v>
      </c>
      <c r="J1996" s="2">
        <v>16</v>
      </c>
      <c r="K1996" s="4">
        <v>1</v>
      </c>
      <c r="L1996" s="4">
        <v>-0.21002590227286144</v>
      </c>
      <c r="M1996" s="4">
        <v>0.21002590227286144</v>
      </c>
      <c r="N1996" s="10">
        <v>0.21</v>
      </c>
      <c r="O1996" s="4">
        <v>1.0570243151777472</v>
      </c>
      <c r="P1996" s="4">
        <v>-1.06</v>
      </c>
      <c r="Q1996" s="3" t="s">
        <v>1617</v>
      </c>
      <c r="R1996" s="3" t="s">
        <v>1621</v>
      </c>
      <c r="S1996" s="3" t="s">
        <v>1622</v>
      </c>
      <c r="T1996" s="3"/>
    </row>
    <row r="1997" spans="1:20">
      <c r="A1997" s="3" t="s">
        <v>1600</v>
      </c>
      <c r="B1997" s="3" t="s">
        <v>1606</v>
      </c>
      <c r="C1997" s="3" t="s">
        <v>1616</v>
      </c>
      <c r="D1997" s="3" t="s">
        <v>1006</v>
      </c>
      <c r="E1997" s="3" t="s">
        <v>1007</v>
      </c>
      <c r="F1997" s="2">
        <v>1</v>
      </c>
      <c r="G1997" s="4">
        <v>1.0641306653468148</v>
      </c>
      <c r="H1997" s="2">
        <v>25</v>
      </c>
      <c r="I1997" s="2">
        <v>5</v>
      </c>
      <c r="J1997" s="2">
        <v>1</v>
      </c>
      <c r="K1997" s="4">
        <v>1</v>
      </c>
      <c r="L1997" s="4">
        <v>-0.23623300566930971</v>
      </c>
      <c r="M1997" s="4">
        <v>0.23623300566930971</v>
      </c>
      <c r="N1997" s="10">
        <v>0.23599999999999999</v>
      </c>
      <c r="O1997" s="4">
        <v>1.1937753223310925</v>
      </c>
      <c r="P1997" s="4">
        <v>-1.19</v>
      </c>
      <c r="Q1997" s="3" t="s">
        <v>1617</v>
      </c>
      <c r="R1997" s="3" t="s">
        <v>1621</v>
      </c>
      <c r="S1997" s="3" t="s">
        <v>1622</v>
      </c>
      <c r="T1997" s="3"/>
    </row>
    <row r="1998" spans="1:20">
      <c r="A1998" s="3" t="s">
        <v>1600</v>
      </c>
      <c r="B1998" s="3" t="s">
        <v>1606</v>
      </c>
      <c r="C1998" s="3" t="s">
        <v>1596</v>
      </c>
      <c r="D1998" s="3" t="s">
        <v>1006</v>
      </c>
      <c r="E1998" s="3" t="s">
        <v>1007</v>
      </c>
      <c r="F1998" s="2">
        <v>1</v>
      </c>
      <c r="G1998" s="4">
        <v>1.0641306653468148</v>
      </c>
      <c r="H1998" s="2">
        <v>25</v>
      </c>
      <c r="I1998" s="2">
        <v>5</v>
      </c>
      <c r="J1998" s="2">
        <v>16</v>
      </c>
      <c r="K1998" s="4">
        <v>1</v>
      </c>
      <c r="L1998" s="4">
        <v>-0.27937970867949558</v>
      </c>
      <c r="M1998" s="4">
        <v>0.27937970867949558</v>
      </c>
      <c r="N1998" s="10">
        <v>0.27900000000000003</v>
      </c>
      <c r="O1998" s="4">
        <v>1.4229730480387497</v>
      </c>
      <c r="P1998" s="4">
        <v>-1.42</v>
      </c>
      <c r="Q1998" s="3" t="s">
        <v>1617</v>
      </c>
      <c r="R1998" s="3" t="s">
        <v>1621</v>
      </c>
      <c r="S1998" s="3" t="s">
        <v>1622</v>
      </c>
      <c r="T1998" s="3"/>
    </row>
    <row r="1999" spans="1:20">
      <c r="A1999" s="3" t="s">
        <v>1600</v>
      </c>
      <c r="B1999" s="3" t="s">
        <v>1606</v>
      </c>
      <c r="C1999" s="3" t="s">
        <v>1596</v>
      </c>
      <c r="D1999" s="3" t="s">
        <v>1006</v>
      </c>
      <c r="E1999" s="3" t="s">
        <v>1007</v>
      </c>
      <c r="F1999" s="2">
        <v>1</v>
      </c>
      <c r="G1999" s="4">
        <v>1.0641306653468148</v>
      </c>
      <c r="H1999" s="2">
        <v>25</v>
      </c>
      <c r="I1999" s="2">
        <v>5</v>
      </c>
      <c r="J1999" s="2">
        <v>1</v>
      </c>
      <c r="K1999" s="4">
        <v>1</v>
      </c>
      <c r="L1999" s="4">
        <v>-0.30512263331276523</v>
      </c>
      <c r="M1999" s="4">
        <v>0.30512263331276523</v>
      </c>
      <c r="N1999" s="10">
        <v>0.30499999999999999</v>
      </c>
      <c r="O1999" s="4">
        <v>1.5625355552032629</v>
      </c>
      <c r="P1999" s="4">
        <v>-1.56</v>
      </c>
      <c r="Q1999" s="3" t="s">
        <v>1617</v>
      </c>
      <c r="R1999" s="3" t="s">
        <v>1621</v>
      </c>
      <c r="S1999" s="3" t="s">
        <v>1622</v>
      </c>
      <c r="T1999" s="3"/>
    </row>
    <row r="2000" spans="1:20">
      <c r="A2000" s="3" t="s">
        <v>1604</v>
      </c>
      <c r="B2000" s="3" t="s">
        <v>1601</v>
      </c>
      <c r="C2000" s="3" t="s">
        <v>1596</v>
      </c>
      <c r="D2000" s="3" t="s">
        <v>1006</v>
      </c>
      <c r="E2000" s="3" t="s">
        <v>1007</v>
      </c>
      <c r="F2000" s="2">
        <v>1</v>
      </c>
      <c r="G2000" s="4">
        <v>1.0641306653468148</v>
      </c>
      <c r="H2000" s="2">
        <v>25</v>
      </c>
      <c r="I2000" s="2">
        <v>30</v>
      </c>
      <c r="J2000" s="2">
        <v>16</v>
      </c>
      <c r="K2000" s="4">
        <v>1</v>
      </c>
      <c r="L2000" s="4">
        <v>-0.35899187415118483</v>
      </c>
      <c r="M2000" s="4">
        <v>0.35899187415118483</v>
      </c>
      <c r="N2000" s="10">
        <v>0.35899999999999999</v>
      </c>
      <c r="O2000" s="4">
        <v>1.8628362555193996</v>
      </c>
      <c r="P2000" s="4">
        <v>-1.86</v>
      </c>
      <c r="Q2000" s="3" t="s">
        <v>1617</v>
      </c>
      <c r="R2000" s="3" t="s">
        <v>1618</v>
      </c>
      <c r="S2000" s="3" t="s">
        <v>1619</v>
      </c>
      <c r="T2000" s="3"/>
    </row>
    <row r="2001" spans="1:20">
      <c r="A2001" s="3" t="s">
        <v>1600</v>
      </c>
      <c r="B2001" s="3" t="s">
        <v>1609</v>
      </c>
      <c r="C2001" s="3" t="s">
        <v>1616</v>
      </c>
      <c r="D2001" s="3" t="s">
        <v>1006</v>
      </c>
      <c r="E2001" s="3" t="s">
        <v>1007</v>
      </c>
      <c r="F2001" s="2">
        <v>1</v>
      </c>
      <c r="G2001" s="4">
        <v>1.0641306653468148</v>
      </c>
      <c r="H2001" s="2">
        <v>25</v>
      </c>
      <c r="I2001" s="2">
        <v>5</v>
      </c>
      <c r="J2001" s="2">
        <v>1</v>
      </c>
      <c r="K2001" s="4">
        <v>0.79869912668154397</v>
      </c>
      <c r="L2001" s="4">
        <v>-0.40136366929362916</v>
      </c>
      <c r="M2001" s="4">
        <v>0.40136366929362916</v>
      </c>
      <c r="N2001" s="10">
        <v>0.40100000000000002</v>
      </c>
      <c r="O2001" s="4">
        <v>2.1084784600746622</v>
      </c>
      <c r="P2001" s="4">
        <v>-2.11</v>
      </c>
      <c r="Q2001" s="3" t="s">
        <v>1617</v>
      </c>
      <c r="R2001" s="3" t="s">
        <v>1623</v>
      </c>
      <c r="S2001" s="3" t="s">
        <v>1624</v>
      </c>
      <c r="T2001" s="3"/>
    </row>
    <row r="2002" spans="1:20">
      <c r="A2002" s="3" t="s">
        <v>1600</v>
      </c>
      <c r="B2002" s="3" t="s">
        <v>1609</v>
      </c>
      <c r="C2002" s="3" t="s">
        <v>1616</v>
      </c>
      <c r="D2002" s="3" t="s">
        <v>1006</v>
      </c>
      <c r="E2002" s="3" t="s">
        <v>1007</v>
      </c>
      <c r="F2002" s="2">
        <v>1</v>
      </c>
      <c r="G2002" s="4">
        <v>1.0641306653468148</v>
      </c>
      <c r="H2002" s="2">
        <v>25</v>
      </c>
      <c r="I2002" s="2">
        <v>5</v>
      </c>
      <c r="J2002" s="2">
        <v>16</v>
      </c>
      <c r="K2002" s="4">
        <v>1</v>
      </c>
      <c r="L2002" s="4">
        <v>-0.42969192224271263</v>
      </c>
      <c r="M2002" s="4">
        <v>0.42969192224271263</v>
      </c>
      <c r="N2002" s="10">
        <v>0.43</v>
      </c>
      <c r="O2002" s="4">
        <v>2.2782648602446636</v>
      </c>
      <c r="P2002" s="4">
        <v>-2.2799999999999998</v>
      </c>
      <c r="Q2002" s="3" t="s">
        <v>1617</v>
      </c>
      <c r="R2002" s="3" t="s">
        <v>1623</v>
      </c>
      <c r="S2002" s="3" t="s">
        <v>1624</v>
      </c>
      <c r="T2002" s="3"/>
    </row>
    <row r="2003" spans="1:20">
      <c r="A2003" s="3" t="s">
        <v>1600</v>
      </c>
      <c r="B2003" s="3" t="s">
        <v>1601</v>
      </c>
      <c r="C2003" s="3" t="s">
        <v>1596</v>
      </c>
      <c r="D2003" s="3" t="s">
        <v>1006</v>
      </c>
      <c r="E2003" s="3" t="s">
        <v>1007</v>
      </c>
      <c r="F2003" s="2">
        <v>1</v>
      </c>
      <c r="G2003" s="4">
        <v>1.0641306653468148</v>
      </c>
      <c r="H2003" s="2">
        <v>25</v>
      </c>
      <c r="I2003" s="2">
        <v>5</v>
      </c>
      <c r="J2003" s="2">
        <v>1</v>
      </c>
      <c r="K2003" s="4">
        <v>9.6466811995450485E-2</v>
      </c>
      <c r="L2003" s="4">
        <v>-0.43126620052712977</v>
      </c>
      <c r="M2003" s="4">
        <v>0.43126620052712977</v>
      </c>
      <c r="N2003" s="10">
        <v>0.43099999999999999</v>
      </c>
      <c r="O2003" s="4">
        <v>2.287845432733735</v>
      </c>
      <c r="P2003" s="4">
        <v>-2.29</v>
      </c>
      <c r="Q2003" s="3" t="s">
        <v>1617</v>
      </c>
      <c r="R2003" s="3" t="s">
        <v>1618</v>
      </c>
      <c r="S2003" s="3" t="s">
        <v>1619</v>
      </c>
      <c r="T2003" s="3"/>
    </row>
    <row r="2004" spans="1:20">
      <c r="A2004" s="3" t="s">
        <v>1605</v>
      </c>
      <c r="B2004" s="3" t="s">
        <v>1601</v>
      </c>
      <c r="C2004" s="3" t="s">
        <v>1596</v>
      </c>
      <c r="D2004" s="3" t="s">
        <v>1006</v>
      </c>
      <c r="E2004" s="3" t="s">
        <v>1007</v>
      </c>
      <c r="F2004" s="2">
        <v>1</v>
      </c>
      <c r="G2004" s="4">
        <v>1.0641306653468148</v>
      </c>
      <c r="H2004" s="2">
        <v>25</v>
      </c>
      <c r="I2004" s="2">
        <v>5</v>
      </c>
      <c r="J2004" s="2">
        <v>16</v>
      </c>
      <c r="K2004" s="4">
        <v>1</v>
      </c>
      <c r="L2004" s="4">
        <v>-0.51257493559650935</v>
      </c>
      <c r="M2004" s="4">
        <v>0.51257493559650935</v>
      </c>
      <c r="N2004" s="10">
        <v>0.51300000000000001</v>
      </c>
      <c r="O2004" s="4">
        <v>2.8072633055500376</v>
      </c>
      <c r="P2004" s="4">
        <v>-2.81</v>
      </c>
      <c r="Q2004" s="3" t="s">
        <v>1617</v>
      </c>
      <c r="R2004" s="3" t="s">
        <v>1618</v>
      </c>
      <c r="S2004" s="3" t="s">
        <v>1619</v>
      </c>
      <c r="T2004" s="3"/>
    </row>
    <row r="2005" spans="1:20">
      <c r="A2005" s="3" t="s">
        <v>1600</v>
      </c>
      <c r="B2005" s="3" t="s">
        <v>1601</v>
      </c>
      <c r="C2005" s="3" t="s">
        <v>1596</v>
      </c>
      <c r="D2005" s="3" t="s">
        <v>1006</v>
      </c>
      <c r="E2005" s="3" t="s">
        <v>1007</v>
      </c>
      <c r="F2005" s="2">
        <v>1</v>
      </c>
      <c r="G2005" s="4">
        <v>1.0641306653468148</v>
      </c>
      <c r="H2005" s="2">
        <v>25</v>
      </c>
      <c r="I2005" s="2">
        <v>5</v>
      </c>
      <c r="J2005" s="2">
        <v>16</v>
      </c>
      <c r="K2005" s="4">
        <v>1</v>
      </c>
      <c r="L2005" s="4">
        <v>-0.53078931875617952</v>
      </c>
      <c r="M2005" s="4">
        <v>0.53078931875617952</v>
      </c>
      <c r="N2005" s="10">
        <v>0.53100000000000003</v>
      </c>
      <c r="O2005" s="4">
        <v>2.9313473791944205</v>
      </c>
      <c r="P2005" s="4">
        <v>-2.93</v>
      </c>
      <c r="Q2005" s="3" t="s">
        <v>1617</v>
      </c>
      <c r="R2005" s="3" t="s">
        <v>1618</v>
      </c>
      <c r="S2005" s="3" t="s">
        <v>1619</v>
      </c>
      <c r="T2005" s="3"/>
    </row>
    <row r="2006" spans="1:20">
      <c r="A2006" s="3" t="s">
        <v>1604</v>
      </c>
      <c r="B2006" s="3" t="s">
        <v>1601</v>
      </c>
      <c r="C2006" s="3" t="s">
        <v>1616</v>
      </c>
      <c r="D2006" s="3" t="s">
        <v>1006</v>
      </c>
      <c r="E2006" s="3" t="s">
        <v>1007</v>
      </c>
      <c r="F2006" s="2">
        <v>1</v>
      </c>
      <c r="G2006" s="4">
        <v>1.0641306653468148</v>
      </c>
      <c r="H2006" s="2">
        <v>25</v>
      </c>
      <c r="I2006" s="2">
        <v>30</v>
      </c>
      <c r="J2006" s="2">
        <v>16</v>
      </c>
      <c r="K2006" s="4">
        <v>1</v>
      </c>
      <c r="L2006" s="4">
        <v>-0.54112736447035314</v>
      </c>
      <c r="M2006" s="4">
        <v>0.54112736447035314</v>
      </c>
      <c r="N2006" s="10">
        <v>0.54100000000000004</v>
      </c>
      <c r="O2006" s="4">
        <v>3.0032619949238106</v>
      </c>
      <c r="P2006" s="4">
        <v>-3</v>
      </c>
      <c r="Q2006" s="3" t="s">
        <v>1617</v>
      </c>
      <c r="R2006" s="3" t="s">
        <v>1618</v>
      </c>
      <c r="S2006" s="3" t="s">
        <v>1619</v>
      </c>
      <c r="T2006" s="3"/>
    </row>
    <row r="2007" spans="1:20">
      <c r="A2007" s="3" t="s">
        <v>1600</v>
      </c>
      <c r="B2007" s="3" t="s">
        <v>1601</v>
      </c>
      <c r="C2007" s="3" t="s">
        <v>1616</v>
      </c>
      <c r="D2007" s="3" t="s">
        <v>1006</v>
      </c>
      <c r="E2007" s="3" t="s">
        <v>1007</v>
      </c>
      <c r="F2007" s="2">
        <v>1</v>
      </c>
      <c r="G2007" s="4">
        <v>1.0641306653468148</v>
      </c>
      <c r="H2007" s="2">
        <v>25</v>
      </c>
      <c r="I2007" s="2">
        <v>5</v>
      </c>
      <c r="J2007" s="2">
        <v>16</v>
      </c>
      <c r="K2007" s="4">
        <v>1</v>
      </c>
      <c r="L2007" s="4">
        <v>-0.61270848989566629</v>
      </c>
      <c r="M2007" s="4">
        <v>0.61270848989566629</v>
      </c>
      <c r="N2007" s="10">
        <v>0.61299999999999999</v>
      </c>
      <c r="O2007" s="4">
        <v>3.5362299328159024</v>
      </c>
      <c r="P2007" s="4">
        <v>-3.54</v>
      </c>
      <c r="Q2007" s="3" t="s">
        <v>1617</v>
      </c>
      <c r="R2007" s="3" t="s">
        <v>1618</v>
      </c>
      <c r="S2007" s="3" t="s">
        <v>1619</v>
      </c>
      <c r="T2007" s="3"/>
    </row>
    <row r="2008" spans="1:20">
      <c r="A2008" s="3" t="s">
        <v>1600</v>
      </c>
      <c r="B2008" s="3" t="s">
        <v>1601</v>
      </c>
      <c r="C2008" s="3" t="s">
        <v>1616</v>
      </c>
      <c r="D2008" s="3" t="s">
        <v>1006</v>
      </c>
      <c r="E2008" s="3" t="s">
        <v>1007</v>
      </c>
      <c r="F2008" s="2">
        <v>1</v>
      </c>
      <c r="G2008" s="4">
        <v>1.0641306653468148</v>
      </c>
      <c r="H2008" s="2">
        <v>25</v>
      </c>
      <c r="I2008" s="2">
        <v>5</v>
      </c>
      <c r="J2008" s="2">
        <v>1</v>
      </c>
      <c r="K2008" s="4">
        <v>1</v>
      </c>
      <c r="L2008" s="4">
        <v>-0.63046707871830776</v>
      </c>
      <c r="M2008" s="4">
        <v>0.63046707871830776</v>
      </c>
      <c r="N2008" s="10">
        <v>0.63</v>
      </c>
      <c r="O2008" s="4">
        <v>3.6797356652963611</v>
      </c>
      <c r="P2008" s="4">
        <v>-3.68</v>
      </c>
      <c r="Q2008" s="3" t="s">
        <v>1617</v>
      </c>
      <c r="R2008" s="3" t="s">
        <v>1618</v>
      </c>
      <c r="S2008" s="3" t="s">
        <v>1619</v>
      </c>
      <c r="T2008" s="3"/>
    </row>
    <row r="2009" spans="1:20">
      <c r="A2009" s="3" t="s">
        <v>1600</v>
      </c>
      <c r="B2009" s="3" t="s">
        <v>1609</v>
      </c>
      <c r="C2009" s="3" t="s">
        <v>1596</v>
      </c>
      <c r="D2009" s="3" t="s">
        <v>1006</v>
      </c>
      <c r="E2009" s="3" t="s">
        <v>1007</v>
      </c>
      <c r="F2009" s="2">
        <v>1</v>
      </c>
      <c r="G2009" s="4">
        <v>1.0641306653468148</v>
      </c>
      <c r="H2009" s="2">
        <v>25</v>
      </c>
      <c r="I2009" s="2">
        <v>5</v>
      </c>
      <c r="J2009" s="2">
        <v>1</v>
      </c>
      <c r="K2009" s="4">
        <v>0.99061787612649466</v>
      </c>
      <c r="L2009" s="4">
        <v>-0.63953626461181601</v>
      </c>
      <c r="M2009" s="4">
        <v>0.63953626461181601</v>
      </c>
      <c r="N2009" s="10">
        <v>0.64</v>
      </c>
      <c r="O2009" s="4">
        <v>3.7550848651817041</v>
      </c>
      <c r="P2009" s="4">
        <v>-3.76</v>
      </c>
      <c r="Q2009" s="3" t="s">
        <v>1617</v>
      </c>
      <c r="R2009" s="3" t="s">
        <v>1623</v>
      </c>
      <c r="S2009" s="3" t="s">
        <v>1624</v>
      </c>
      <c r="T2009" s="3"/>
    </row>
    <row r="2010" spans="1:20">
      <c r="A2010" s="3" t="s">
        <v>1600</v>
      </c>
      <c r="B2010" s="3" t="s">
        <v>1609</v>
      </c>
      <c r="C2010" s="3" t="s">
        <v>1596</v>
      </c>
      <c r="D2010" s="3" t="s">
        <v>1006</v>
      </c>
      <c r="E2010" s="3" t="s">
        <v>1007</v>
      </c>
      <c r="F2010" s="2">
        <v>1</v>
      </c>
      <c r="G2010" s="4">
        <v>1.0641306653468148</v>
      </c>
      <c r="H2010" s="2">
        <v>25</v>
      </c>
      <c r="I2010" s="2">
        <v>5</v>
      </c>
      <c r="J2010" s="2">
        <v>16</v>
      </c>
      <c r="K2010" s="4">
        <v>0.9931698209547658</v>
      </c>
      <c r="L2010" s="4">
        <v>-0.6806858492779474</v>
      </c>
      <c r="M2010" s="4">
        <v>0.6806858492779474</v>
      </c>
      <c r="N2010" s="10">
        <v>0.68100000000000005</v>
      </c>
      <c r="O2010" s="4">
        <v>4.1170252675216714</v>
      </c>
      <c r="P2010" s="4">
        <v>-4.12</v>
      </c>
      <c r="Q2010" s="3" t="s">
        <v>1617</v>
      </c>
      <c r="R2010" s="3" t="s">
        <v>1623</v>
      </c>
      <c r="S2010" s="3" t="s">
        <v>1624</v>
      </c>
      <c r="T2010" s="3"/>
    </row>
    <row r="2011" spans="1:20">
      <c r="A2011" s="3" t="s">
        <v>1594</v>
      </c>
      <c r="B2011" s="3" t="s">
        <v>1612</v>
      </c>
      <c r="C2011" s="3" t="s">
        <v>1596</v>
      </c>
      <c r="D2011" s="3" t="s">
        <v>245</v>
      </c>
      <c r="E2011" s="3" t="s">
        <v>246</v>
      </c>
      <c r="F2011" s="2">
        <v>1</v>
      </c>
      <c r="G2011" s="4">
        <v>1.0646546582369081</v>
      </c>
      <c r="H2011" s="2">
        <v>50</v>
      </c>
      <c r="I2011" s="2">
        <v>5</v>
      </c>
      <c r="J2011" s="2">
        <v>16</v>
      </c>
      <c r="K2011" s="4">
        <v>1</v>
      </c>
      <c r="L2011" s="14">
        <v>0.66618238202891378</v>
      </c>
      <c r="M2011" s="4">
        <v>0.66618238202891378</v>
      </c>
      <c r="N2011" s="10">
        <v>0.66600000000000004</v>
      </c>
      <c r="O2011" s="4">
        <v>4.3196055851517112</v>
      </c>
      <c r="P2011" s="4">
        <v>4.32</v>
      </c>
      <c r="Q2011" s="3" t="s">
        <v>1597</v>
      </c>
      <c r="R2011" s="3" t="s">
        <v>1613</v>
      </c>
      <c r="S2011" s="3" t="s">
        <v>1614</v>
      </c>
      <c r="T2011" s="3"/>
    </row>
    <row r="2012" spans="1:20">
      <c r="A2012" s="3" t="s">
        <v>1600</v>
      </c>
      <c r="B2012" s="3" t="s">
        <v>1606</v>
      </c>
      <c r="C2012" s="3" t="s">
        <v>1596</v>
      </c>
      <c r="D2012" s="3" t="s">
        <v>245</v>
      </c>
      <c r="E2012" s="3" t="s">
        <v>246</v>
      </c>
      <c r="F2012" s="2">
        <v>1</v>
      </c>
      <c r="G2012" s="4">
        <v>1.0646546582369081</v>
      </c>
      <c r="H2012" s="2">
        <v>25</v>
      </c>
      <c r="I2012" s="2">
        <v>5</v>
      </c>
      <c r="J2012" s="2">
        <v>1</v>
      </c>
      <c r="K2012" s="11">
        <v>0.4892746008023654</v>
      </c>
      <c r="L2012" s="11">
        <v>0.27765259196040992</v>
      </c>
      <c r="M2012" s="4">
        <v>0.27765259196040992</v>
      </c>
      <c r="N2012" s="10">
        <v>0.27800000000000002</v>
      </c>
      <c r="O2012" s="4">
        <v>1.4136900136485255</v>
      </c>
      <c r="P2012" s="4">
        <v>1.42</v>
      </c>
      <c r="Q2012" s="3" t="s">
        <v>1597</v>
      </c>
      <c r="R2012" s="3" t="s">
        <v>1607</v>
      </c>
      <c r="S2012" s="3" t="s">
        <v>1608</v>
      </c>
      <c r="T2012" s="3"/>
    </row>
    <row r="2013" spans="1:20">
      <c r="A2013" s="3" t="s">
        <v>1604</v>
      </c>
      <c r="B2013" s="3" t="s">
        <v>1601</v>
      </c>
      <c r="C2013" s="3" t="s">
        <v>1616</v>
      </c>
      <c r="D2013" s="3" t="s">
        <v>245</v>
      </c>
      <c r="E2013" s="3" t="s">
        <v>246</v>
      </c>
      <c r="F2013" s="2">
        <v>1</v>
      </c>
      <c r="G2013" s="4">
        <v>1.0646546582369081</v>
      </c>
      <c r="H2013" s="2">
        <v>25</v>
      </c>
      <c r="I2013" s="2">
        <v>30</v>
      </c>
      <c r="J2013" s="2">
        <v>16</v>
      </c>
      <c r="K2013" s="4">
        <v>0.88175300939343304</v>
      </c>
      <c r="L2013" s="4">
        <v>0.26142217542174317</v>
      </c>
      <c r="M2013" s="4">
        <v>0.26142217542174317</v>
      </c>
      <c r="N2013" s="10">
        <v>0.26100000000000001</v>
      </c>
      <c r="O2013" s="4">
        <v>1.3269138138234979</v>
      </c>
      <c r="P2013" s="4">
        <v>1.32</v>
      </c>
      <c r="Q2013" s="3" t="s">
        <v>1597</v>
      </c>
      <c r="R2013" s="3" t="s">
        <v>1602</v>
      </c>
      <c r="S2013" s="3" t="s">
        <v>1603</v>
      </c>
      <c r="T2013" s="3"/>
    </row>
    <row r="2014" spans="1:20">
      <c r="A2014" s="3" t="s">
        <v>1600</v>
      </c>
      <c r="B2014" s="3" t="s">
        <v>1609</v>
      </c>
      <c r="C2014" s="3" t="s">
        <v>1616</v>
      </c>
      <c r="D2014" s="3" t="s">
        <v>245</v>
      </c>
      <c r="E2014" s="3" t="s">
        <v>246</v>
      </c>
      <c r="F2014" s="2">
        <v>1</v>
      </c>
      <c r="G2014" s="4">
        <v>1.0646546582369081</v>
      </c>
      <c r="H2014" s="2">
        <v>25</v>
      </c>
      <c r="I2014" s="2">
        <v>5</v>
      </c>
      <c r="J2014" s="2">
        <v>1</v>
      </c>
      <c r="K2014" s="4">
        <v>0.58955953586091914</v>
      </c>
      <c r="L2014" s="4">
        <v>0.18771473191046331</v>
      </c>
      <c r="M2014" s="4">
        <v>0.18771473191046331</v>
      </c>
      <c r="N2014" s="10">
        <v>0.188</v>
      </c>
      <c r="O2014" s="4">
        <v>0.94184616024085033</v>
      </c>
      <c r="P2014" s="4">
        <v>0.94</v>
      </c>
      <c r="Q2014" s="3" t="s">
        <v>1597</v>
      </c>
      <c r="R2014" s="3" t="s">
        <v>1610</v>
      </c>
      <c r="S2014" s="3" t="s">
        <v>1611</v>
      </c>
      <c r="T2014" s="3"/>
    </row>
    <row r="2015" spans="1:20">
      <c r="A2015" s="3" t="s">
        <v>1600</v>
      </c>
      <c r="B2015" s="3" t="s">
        <v>1606</v>
      </c>
      <c r="C2015" s="3" t="s">
        <v>1596</v>
      </c>
      <c r="D2015" s="3" t="s">
        <v>245</v>
      </c>
      <c r="E2015" s="3" t="s">
        <v>246</v>
      </c>
      <c r="F2015" s="2">
        <v>1</v>
      </c>
      <c r="G2015" s="4">
        <v>1.0646546582369081</v>
      </c>
      <c r="H2015" s="2">
        <v>25</v>
      </c>
      <c r="I2015" s="2">
        <v>5</v>
      </c>
      <c r="J2015" s="2">
        <v>16</v>
      </c>
      <c r="K2015" s="11">
        <v>1</v>
      </c>
      <c r="L2015" s="11">
        <v>0.18456395519324381</v>
      </c>
      <c r="M2015" s="4">
        <v>0.18456395519324381</v>
      </c>
      <c r="N2015" s="10">
        <v>0.185</v>
      </c>
      <c r="O2015" s="4">
        <v>0.92566412158216893</v>
      </c>
      <c r="P2015" s="4">
        <v>0.93</v>
      </c>
      <c r="Q2015" s="3" t="s">
        <v>1597</v>
      </c>
      <c r="R2015" s="3" t="s">
        <v>1607</v>
      </c>
      <c r="S2015" s="3" t="s">
        <v>1608</v>
      </c>
      <c r="T2015" s="3"/>
    </row>
    <row r="2016" spans="1:20">
      <c r="A2016" s="3" t="s">
        <v>1600</v>
      </c>
      <c r="B2016" s="3" t="s">
        <v>1601</v>
      </c>
      <c r="C2016" s="3" t="s">
        <v>1616</v>
      </c>
      <c r="D2016" s="3" t="s">
        <v>245</v>
      </c>
      <c r="E2016" s="3" t="s">
        <v>246</v>
      </c>
      <c r="F2016" s="2">
        <v>1</v>
      </c>
      <c r="G2016" s="4">
        <v>1.0646546582369081</v>
      </c>
      <c r="H2016" s="2">
        <v>25</v>
      </c>
      <c r="I2016" s="2">
        <v>5</v>
      </c>
      <c r="J2016" s="2">
        <v>16</v>
      </c>
      <c r="K2016" s="4">
        <v>1</v>
      </c>
      <c r="L2016" s="4">
        <v>0.14945303260515233</v>
      </c>
      <c r="M2016" s="4">
        <v>0.14945303260515233</v>
      </c>
      <c r="N2016" s="10">
        <v>0.14899999999999999</v>
      </c>
      <c r="O2016" s="4">
        <v>0.74657064367035941</v>
      </c>
      <c r="P2016" s="4">
        <v>0.74</v>
      </c>
      <c r="Q2016" s="3" t="s">
        <v>1597</v>
      </c>
      <c r="R2016" s="3" t="s">
        <v>1602</v>
      </c>
      <c r="S2016" s="3" t="s">
        <v>1603</v>
      </c>
      <c r="T2016" s="3"/>
    </row>
    <row r="2017" spans="1:20">
      <c r="A2017" s="3" t="s">
        <v>1600</v>
      </c>
      <c r="B2017" s="3" t="s">
        <v>1601</v>
      </c>
      <c r="C2017" s="3" t="s">
        <v>1616</v>
      </c>
      <c r="D2017" s="3" t="s">
        <v>245</v>
      </c>
      <c r="E2017" s="3" t="s">
        <v>246</v>
      </c>
      <c r="F2017" s="2">
        <v>1</v>
      </c>
      <c r="G2017" s="4">
        <v>1.0646546582369081</v>
      </c>
      <c r="H2017" s="2">
        <v>25</v>
      </c>
      <c r="I2017" s="2">
        <v>5</v>
      </c>
      <c r="J2017" s="2">
        <v>1</v>
      </c>
      <c r="K2017" s="4">
        <v>1</v>
      </c>
      <c r="L2017" s="4">
        <v>0.14822313621255256</v>
      </c>
      <c r="M2017" s="4">
        <v>0.14822313621255256</v>
      </c>
      <c r="N2017" s="10">
        <v>0.14799999999999999</v>
      </c>
      <c r="O2017" s="4">
        <v>0.74033475248479719</v>
      </c>
      <c r="P2017" s="4">
        <v>0.74</v>
      </c>
      <c r="Q2017" s="3" t="s">
        <v>1597</v>
      </c>
      <c r="R2017" s="3" t="s">
        <v>1602</v>
      </c>
      <c r="S2017" s="3" t="s">
        <v>1603</v>
      </c>
      <c r="T2017" s="3"/>
    </row>
    <row r="2018" spans="1:20">
      <c r="A2018" s="3" t="s">
        <v>1600</v>
      </c>
      <c r="B2018" s="3" t="s">
        <v>1609</v>
      </c>
      <c r="C2018" s="3" t="s">
        <v>1596</v>
      </c>
      <c r="D2018" s="3" t="s">
        <v>245</v>
      </c>
      <c r="E2018" s="3" t="s">
        <v>246</v>
      </c>
      <c r="F2018" s="2">
        <v>1</v>
      </c>
      <c r="G2018" s="4">
        <v>1.0646546582369081</v>
      </c>
      <c r="H2018" s="2">
        <v>25</v>
      </c>
      <c r="I2018" s="2">
        <v>5</v>
      </c>
      <c r="J2018" s="2">
        <v>16</v>
      </c>
      <c r="K2018" s="4">
        <v>1</v>
      </c>
      <c r="L2018" s="4">
        <v>0.14016749658533595</v>
      </c>
      <c r="M2018" s="4">
        <v>0.14016749658533595</v>
      </c>
      <c r="N2018" s="10">
        <v>0.14000000000000001</v>
      </c>
      <c r="O2018" s="4">
        <v>0.69954709589387942</v>
      </c>
      <c r="P2018" s="4">
        <v>0.7</v>
      </c>
      <c r="Q2018" s="3" t="s">
        <v>1597</v>
      </c>
      <c r="R2018" s="3" t="s">
        <v>1610</v>
      </c>
      <c r="S2018" s="3" t="s">
        <v>1611</v>
      </c>
      <c r="T2018" s="3"/>
    </row>
    <row r="2019" spans="1:20">
      <c r="A2019" s="3" t="s">
        <v>1600</v>
      </c>
      <c r="B2019" s="3" t="s">
        <v>1609</v>
      </c>
      <c r="C2019" s="3" t="s">
        <v>1616</v>
      </c>
      <c r="D2019" s="3" t="s">
        <v>245</v>
      </c>
      <c r="E2019" s="3" t="s">
        <v>246</v>
      </c>
      <c r="F2019" s="2">
        <v>1</v>
      </c>
      <c r="G2019" s="4">
        <v>1.0646546582369081</v>
      </c>
      <c r="H2019" s="2">
        <v>25</v>
      </c>
      <c r="I2019" s="2">
        <v>5</v>
      </c>
      <c r="J2019" s="2">
        <v>16</v>
      </c>
      <c r="K2019" s="11">
        <v>1</v>
      </c>
      <c r="L2019" s="11">
        <v>0.10735385278710195</v>
      </c>
      <c r="M2019" s="4">
        <v>0.10735385278710195</v>
      </c>
      <c r="N2019" s="10">
        <v>0.107</v>
      </c>
      <c r="O2019" s="4">
        <v>0.53431253963564007</v>
      </c>
      <c r="P2019" s="4">
        <v>0.53</v>
      </c>
      <c r="Q2019" s="3" t="s">
        <v>1597</v>
      </c>
      <c r="R2019" s="3" t="s">
        <v>1610</v>
      </c>
      <c r="S2019" s="3" t="s">
        <v>1611</v>
      </c>
      <c r="T2019" s="3"/>
    </row>
    <row r="2020" spans="1:20">
      <c r="A2020" s="3" t="s">
        <v>1600</v>
      </c>
      <c r="B2020" s="3" t="s">
        <v>1609</v>
      </c>
      <c r="C2020" s="3" t="s">
        <v>1596</v>
      </c>
      <c r="D2020" s="3" t="s">
        <v>245</v>
      </c>
      <c r="E2020" s="3" t="s">
        <v>246</v>
      </c>
      <c r="F2020" s="2">
        <v>1</v>
      </c>
      <c r="G2020" s="4">
        <v>1.0646546582369081</v>
      </c>
      <c r="H2020" s="2">
        <v>25</v>
      </c>
      <c r="I2020" s="2">
        <v>5</v>
      </c>
      <c r="J2020" s="2">
        <v>1</v>
      </c>
      <c r="K2020" s="11">
        <v>1</v>
      </c>
      <c r="L2020" s="11">
        <v>0.10126540192510608</v>
      </c>
      <c r="M2020" s="4">
        <v>0.10126540192510608</v>
      </c>
      <c r="N2020" s="10">
        <v>0.10100000000000001</v>
      </c>
      <c r="O2020" s="4">
        <v>0.50379423500571618</v>
      </c>
      <c r="P2020" s="4">
        <v>0.5</v>
      </c>
      <c r="Q2020" s="3" t="s">
        <v>1597</v>
      </c>
      <c r="R2020" s="3" t="s">
        <v>1610</v>
      </c>
      <c r="S2020" s="3" t="s">
        <v>1611</v>
      </c>
      <c r="T2020" s="3"/>
    </row>
    <row r="2021" spans="1:20">
      <c r="A2021" s="3" t="s">
        <v>1600</v>
      </c>
      <c r="B2021" s="3" t="s">
        <v>1601</v>
      </c>
      <c r="C2021" s="3" t="s">
        <v>1596</v>
      </c>
      <c r="D2021" s="3" t="s">
        <v>245</v>
      </c>
      <c r="E2021" s="3" t="s">
        <v>246</v>
      </c>
      <c r="F2021" s="2">
        <v>1</v>
      </c>
      <c r="G2021" s="4">
        <v>1.0646546582369081</v>
      </c>
      <c r="H2021" s="2">
        <v>25</v>
      </c>
      <c r="I2021" s="2">
        <v>5</v>
      </c>
      <c r="J2021" s="2">
        <v>1</v>
      </c>
      <c r="K2021" s="4">
        <v>1</v>
      </c>
      <c r="L2021" s="4">
        <v>7.247714728254008E-2</v>
      </c>
      <c r="M2021" s="4">
        <v>7.247714728254008E-2</v>
      </c>
      <c r="N2021" s="10">
        <v>7.1999999999999995E-2</v>
      </c>
      <c r="O2021" s="4">
        <v>0.35996826526183151</v>
      </c>
      <c r="P2021" s="4">
        <v>0.36</v>
      </c>
      <c r="Q2021" s="3" t="s">
        <v>1597</v>
      </c>
      <c r="R2021" s="3" t="s">
        <v>1602</v>
      </c>
      <c r="S2021" s="3" t="s">
        <v>1603</v>
      </c>
      <c r="T2021" s="3"/>
    </row>
    <row r="2022" spans="1:20">
      <c r="A2022" s="12" t="s">
        <v>1605</v>
      </c>
      <c r="B2022" s="3" t="s">
        <v>1601</v>
      </c>
      <c r="C2022" s="3" t="s">
        <v>1596</v>
      </c>
      <c r="D2022" s="3" t="s">
        <v>245</v>
      </c>
      <c r="E2022" s="3" t="s">
        <v>246</v>
      </c>
      <c r="F2022" s="2">
        <v>1</v>
      </c>
      <c r="G2022" s="4">
        <v>1.0646546582369081</v>
      </c>
      <c r="H2022" s="2">
        <v>25</v>
      </c>
      <c r="I2022" s="2">
        <v>5</v>
      </c>
      <c r="J2022" s="2">
        <v>16</v>
      </c>
      <c r="K2022" s="11">
        <v>1</v>
      </c>
      <c r="L2022" s="11">
        <v>7.1389003491404063E-2</v>
      </c>
      <c r="M2022" s="4">
        <v>7.1389003491404063E-2</v>
      </c>
      <c r="N2022" s="10">
        <v>7.0999999999999994E-2</v>
      </c>
      <c r="O2022" s="4">
        <v>0.35454525641969475</v>
      </c>
      <c r="P2022" s="4">
        <v>0.35</v>
      </c>
      <c r="Q2022" s="3" t="s">
        <v>1597</v>
      </c>
      <c r="R2022" s="3" t="s">
        <v>1602</v>
      </c>
      <c r="S2022" s="3" t="s">
        <v>1603</v>
      </c>
      <c r="T2022" s="3"/>
    </row>
    <row r="2023" spans="1:20">
      <c r="A2023" s="3" t="s">
        <v>1600</v>
      </c>
      <c r="B2023" s="3" t="s">
        <v>1601</v>
      </c>
      <c r="C2023" s="3" t="s">
        <v>1596</v>
      </c>
      <c r="D2023" s="3" t="s">
        <v>245</v>
      </c>
      <c r="E2023" s="3" t="s">
        <v>246</v>
      </c>
      <c r="F2023" s="2">
        <v>1</v>
      </c>
      <c r="G2023" s="4">
        <v>1.0646546582369081</v>
      </c>
      <c r="H2023" s="2">
        <v>25</v>
      </c>
      <c r="I2023" s="2">
        <v>5</v>
      </c>
      <c r="J2023" s="2">
        <v>16</v>
      </c>
      <c r="K2023" s="4">
        <v>1</v>
      </c>
      <c r="L2023" s="4">
        <v>6.2841894777605947E-2</v>
      </c>
      <c r="M2023" s="4">
        <v>6.2841894777605947E-2</v>
      </c>
      <c r="N2023" s="10">
        <v>6.3E-2</v>
      </c>
      <c r="O2023" s="4">
        <v>0.31197722460718974</v>
      </c>
      <c r="P2023" s="4">
        <v>0.31</v>
      </c>
      <c r="Q2023" s="3" t="s">
        <v>1597</v>
      </c>
      <c r="R2023" s="3" t="s">
        <v>1602</v>
      </c>
      <c r="S2023" s="3" t="s">
        <v>1603</v>
      </c>
      <c r="T2023" s="3"/>
    </row>
    <row r="2024" spans="1:20">
      <c r="A2024" s="3" t="s">
        <v>1604</v>
      </c>
      <c r="B2024" s="3" t="s">
        <v>1601</v>
      </c>
      <c r="C2024" s="3" t="s">
        <v>1596</v>
      </c>
      <c r="D2024" s="3" t="s">
        <v>245</v>
      </c>
      <c r="E2024" s="3" t="s">
        <v>246</v>
      </c>
      <c r="F2024" s="2">
        <v>1</v>
      </c>
      <c r="G2024" s="4">
        <v>1.0646546582369081</v>
      </c>
      <c r="H2024" s="2">
        <v>25</v>
      </c>
      <c r="I2024" s="2">
        <v>30</v>
      </c>
      <c r="J2024" s="2">
        <v>16</v>
      </c>
      <c r="K2024" s="4">
        <v>1</v>
      </c>
      <c r="L2024" s="4">
        <v>-7.3561195399492966E-3</v>
      </c>
      <c r="M2024" s="4">
        <v>7.3561195399492966E-3</v>
      </c>
      <c r="N2024" s="10">
        <v>7.0000000000000001E-3</v>
      </c>
      <c r="O2024" s="4">
        <v>3.6471830332127635E-2</v>
      </c>
      <c r="P2024" s="4">
        <v>-0.03</v>
      </c>
      <c r="Q2024" s="3" t="s">
        <v>1617</v>
      </c>
      <c r="R2024" s="3" t="s">
        <v>1618</v>
      </c>
      <c r="S2024" s="3" t="s">
        <v>1619</v>
      </c>
      <c r="T2024" s="3"/>
    </row>
    <row r="2025" spans="1:20">
      <c r="A2025" s="3" t="s">
        <v>1600</v>
      </c>
      <c r="B2025" s="3" t="s">
        <v>1606</v>
      </c>
      <c r="C2025" s="3" t="s">
        <v>1616</v>
      </c>
      <c r="D2025" s="3" t="s">
        <v>245</v>
      </c>
      <c r="E2025" s="3" t="s">
        <v>246</v>
      </c>
      <c r="F2025" s="2">
        <v>1</v>
      </c>
      <c r="G2025" s="4">
        <v>1.0646546582369081</v>
      </c>
      <c r="H2025" s="2">
        <v>25</v>
      </c>
      <c r="I2025" s="2">
        <v>5</v>
      </c>
      <c r="J2025" s="2">
        <v>16</v>
      </c>
      <c r="K2025" s="11">
        <v>1</v>
      </c>
      <c r="L2025" s="11">
        <v>-0.2515650235587768</v>
      </c>
      <c r="M2025" s="4">
        <v>0.2515650235587768</v>
      </c>
      <c r="N2025" s="10">
        <v>0.252</v>
      </c>
      <c r="O2025" s="4">
        <v>1.2746005005756542</v>
      </c>
      <c r="P2025" s="4">
        <v>-1.28</v>
      </c>
      <c r="Q2025" s="3" t="s">
        <v>1617</v>
      </c>
      <c r="R2025" s="3" t="s">
        <v>1621</v>
      </c>
      <c r="S2025" s="3" t="s">
        <v>1622</v>
      </c>
      <c r="T2025" s="3"/>
    </row>
    <row r="2026" spans="1:20">
      <c r="A2026" s="3" t="s">
        <v>1600</v>
      </c>
      <c r="B2026" s="3" t="s">
        <v>1606</v>
      </c>
      <c r="C2026" s="3" t="s">
        <v>1616</v>
      </c>
      <c r="D2026" s="3" t="s">
        <v>245</v>
      </c>
      <c r="E2026" s="3" t="s">
        <v>246</v>
      </c>
      <c r="F2026" s="2">
        <v>1</v>
      </c>
      <c r="G2026" s="4">
        <v>1.0646546582369081</v>
      </c>
      <c r="H2026" s="2">
        <v>25</v>
      </c>
      <c r="I2026" s="2">
        <v>5</v>
      </c>
      <c r="J2026" s="2">
        <v>1</v>
      </c>
      <c r="K2026" s="4">
        <v>1</v>
      </c>
      <c r="L2026" s="4">
        <v>-0.29811433933852688</v>
      </c>
      <c r="M2026" s="4">
        <v>0.29811433933852688</v>
      </c>
      <c r="N2026" s="10">
        <v>0.29799999999999999</v>
      </c>
      <c r="O2026" s="4">
        <v>1.524311254143651</v>
      </c>
      <c r="P2026" s="4">
        <v>-1.52</v>
      </c>
      <c r="Q2026" s="3" t="s">
        <v>1617</v>
      </c>
      <c r="R2026" s="3" t="s">
        <v>1621</v>
      </c>
      <c r="S2026" s="3" t="s">
        <v>1622</v>
      </c>
      <c r="T2026" s="3"/>
    </row>
    <row r="2027" spans="1:20">
      <c r="A2027" s="3" t="s">
        <v>1594</v>
      </c>
      <c r="B2027" s="3" t="s">
        <v>1595</v>
      </c>
      <c r="C2027" s="3" t="s">
        <v>1596</v>
      </c>
      <c r="D2027" s="3" t="s">
        <v>245</v>
      </c>
      <c r="E2027" s="3" t="s">
        <v>246</v>
      </c>
      <c r="F2027" s="2">
        <v>1</v>
      </c>
      <c r="G2027" s="4">
        <v>1.0646546582369081</v>
      </c>
      <c r="H2027" s="2">
        <v>50</v>
      </c>
      <c r="I2027" s="2">
        <v>5</v>
      </c>
      <c r="J2027" s="2">
        <v>16</v>
      </c>
      <c r="K2027" s="4">
        <v>1</v>
      </c>
      <c r="L2027" s="14">
        <v>-0.5943026962542477</v>
      </c>
      <c r="M2027" s="4">
        <v>0.5943026962542477</v>
      </c>
      <c r="N2027" s="10">
        <v>0.59399999999999997</v>
      </c>
      <c r="O2027" s="4">
        <v>3.677154585766004</v>
      </c>
      <c r="P2027" s="4">
        <v>-3.67</v>
      </c>
      <c r="Q2027" s="3" t="s">
        <v>1617</v>
      </c>
      <c r="R2027" s="3" t="s">
        <v>1625</v>
      </c>
      <c r="S2027" s="3" t="s">
        <v>1626</v>
      </c>
      <c r="T2027" s="3"/>
    </row>
    <row r="2028" spans="1:20">
      <c r="A2028" s="3" t="s">
        <v>1600</v>
      </c>
      <c r="B2028" s="3" t="s">
        <v>1606</v>
      </c>
      <c r="C2028" s="3" t="s">
        <v>1596</v>
      </c>
      <c r="D2028" s="3" t="s">
        <v>580</v>
      </c>
      <c r="E2028" s="3" t="s">
        <v>581</v>
      </c>
      <c r="F2028" s="2">
        <v>1</v>
      </c>
      <c r="G2028" s="4">
        <v>1.0646569770919312</v>
      </c>
      <c r="H2028" s="2">
        <v>25</v>
      </c>
      <c r="I2028" s="2">
        <v>5</v>
      </c>
      <c r="J2028" s="2">
        <v>1</v>
      </c>
      <c r="K2028" s="11">
        <v>0.65334376877459854</v>
      </c>
      <c r="L2028" s="11">
        <v>1</v>
      </c>
      <c r="M2028" s="4">
        <v>1</v>
      </c>
      <c r="N2028" s="10">
        <v>0.995</v>
      </c>
      <c r="O2028" s="4">
        <v>14.85</v>
      </c>
      <c r="P2028" s="4">
        <v>14.85</v>
      </c>
      <c r="Q2028" s="3" t="s">
        <v>1597</v>
      </c>
      <c r="R2028" s="3" t="s">
        <v>1607</v>
      </c>
      <c r="S2028" s="3" t="s">
        <v>1608</v>
      </c>
      <c r="T2028" s="3"/>
    </row>
    <row r="2029" spans="1:20">
      <c r="A2029" s="3" t="s">
        <v>1600</v>
      </c>
      <c r="B2029" s="3" t="s">
        <v>1606</v>
      </c>
      <c r="C2029" s="3" t="s">
        <v>1596</v>
      </c>
      <c r="D2029" s="3" t="s">
        <v>580</v>
      </c>
      <c r="E2029" s="3" t="s">
        <v>581</v>
      </c>
      <c r="F2029" s="2">
        <v>1</v>
      </c>
      <c r="G2029" s="4">
        <v>1.0646569770919312</v>
      </c>
      <c r="H2029" s="2">
        <v>25</v>
      </c>
      <c r="I2029" s="2">
        <v>5</v>
      </c>
      <c r="J2029" s="2">
        <v>16</v>
      </c>
      <c r="K2029" s="11">
        <v>1</v>
      </c>
      <c r="L2029" s="11">
        <v>1</v>
      </c>
      <c r="M2029" s="4">
        <v>1</v>
      </c>
      <c r="N2029" s="10">
        <v>0.995</v>
      </c>
      <c r="O2029" s="4">
        <v>14.85</v>
      </c>
      <c r="P2029" s="4">
        <v>14.85</v>
      </c>
      <c r="Q2029" s="3" t="s">
        <v>1597</v>
      </c>
      <c r="R2029" s="3" t="s">
        <v>1607</v>
      </c>
      <c r="S2029" s="3" t="s">
        <v>1608</v>
      </c>
      <c r="T2029" s="3"/>
    </row>
    <row r="2030" spans="1:20">
      <c r="A2030" s="3" t="s">
        <v>1600</v>
      </c>
      <c r="B2030" s="3" t="s">
        <v>1606</v>
      </c>
      <c r="C2030" s="3" t="s">
        <v>1616</v>
      </c>
      <c r="D2030" s="3" t="s">
        <v>580</v>
      </c>
      <c r="E2030" s="3" t="s">
        <v>581</v>
      </c>
      <c r="F2030" s="2">
        <v>1</v>
      </c>
      <c r="G2030" s="4">
        <v>1.0646569770919312</v>
      </c>
      <c r="H2030" s="2">
        <v>25</v>
      </c>
      <c r="I2030" s="2">
        <v>5</v>
      </c>
      <c r="J2030" s="2">
        <v>1</v>
      </c>
      <c r="K2030" s="4">
        <v>1</v>
      </c>
      <c r="L2030" s="4">
        <v>1</v>
      </c>
      <c r="M2030" s="4">
        <v>1</v>
      </c>
      <c r="N2030" s="10">
        <v>0.995</v>
      </c>
      <c r="O2030" s="4">
        <v>14.85</v>
      </c>
      <c r="P2030" s="4">
        <v>14.85</v>
      </c>
      <c r="Q2030" s="3" t="s">
        <v>1597</v>
      </c>
      <c r="R2030" s="3" t="s">
        <v>1607</v>
      </c>
      <c r="S2030" s="3" t="s">
        <v>1608</v>
      </c>
      <c r="T2030" s="3"/>
    </row>
    <row r="2031" spans="1:20">
      <c r="A2031" s="3" t="s">
        <v>1600</v>
      </c>
      <c r="B2031" s="3" t="s">
        <v>1606</v>
      </c>
      <c r="C2031" s="3" t="s">
        <v>1616</v>
      </c>
      <c r="D2031" s="3" t="s">
        <v>580</v>
      </c>
      <c r="E2031" s="3" t="s">
        <v>581</v>
      </c>
      <c r="F2031" s="2">
        <v>1</v>
      </c>
      <c r="G2031" s="4">
        <v>1.0646569770919312</v>
      </c>
      <c r="H2031" s="2">
        <v>25</v>
      </c>
      <c r="I2031" s="2">
        <v>5</v>
      </c>
      <c r="J2031" s="2">
        <v>16</v>
      </c>
      <c r="K2031" s="11">
        <v>1</v>
      </c>
      <c r="L2031" s="11">
        <v>1</v>
      </c>
      <c r="M2031" s="4">
        <v>1</v>
      </c>
      <c r="N2031" s="10">
        <v>0.995</v>
      </c>
      <c r="O2031" s="4">
        <v>14.85</v>
      </c>
      <c r="P2031" s="4">
        <v>14.85</v>
      </c>
      <c r="Q2031" s="3" t="s">
        <v>1597</v>
      </c>
      <c r="R2031" s="3" t="s">
        <v>1607</v>
      </c>
      <c r="S2031" s="3" t="s">
        <v>1608</v>
      </c>
      <c r="T2031" s="3"/>
    </row>
    <row r="2032" spans="1:20">
      <c r="A2032" s="3" t="s">
        <v>1600</v>
      </c>
      <c r="B2032" s="3" t="s">
        <v>1601</v>
      </c>
      <c r="C2032" s="3" t="s">
        <v>1596</v>
      </c>
      <c r="D2032" s="3" t="s">
        <v>580</v>
      </c>
      <c r="E2032" s="3" t="s">
        <v>581</v>
      </c>
      <c r="F2032" s="2">
        <v>1</v>
      </c>
      <c r="G2032" s="4">
        <v>1.0646569770919312</v>
      </c>
      <c r="H2032" s="2">
        <v>25</v>
      </c>
      <c r="I2032" s="2">
        <v>5</v>
      </c>
      <c r="J2032" s="2">
        <v>16</v>
      </c>
      <c r="K2032" s="4">
        <v>0.98181667164413366</v>
      </c>
      <c r="L2032" s="4">
        <v>0.99303294463942038</v>
      </c>
      <c r="M2032" s="4">
        <v>0.99303294463942038</v>
      </c>
      <c r="N2032" s="10">
        <v>0.99299999999999999</v>
      </c>
      <c r="O2032" s="4">
        <v>14.02158983714348</v>
      </c>
      <c r="P2032" s="4">
        <v>14.01</v>
      </c>
      <c r="Q2032" s="3" t="s">
        <v>1597</v>
      </c>
      <c r="R2032" s="3" t="s">
        <v>1602</v>
      </c>
      <c r="S2032" s="3" t="s">
        <v>1603</v>
      </c>
      <c r="T2032" s="3"/>
    </row>
    <row r="2033" spans="1:20">
      <c r="A2033" s="3" t="s">
        <v>1600</v>
      </c>
      <c r="B2033" s="3" t="s">
        <v>1601</v>
      </c>
      <c r="C2033" s="3" t="s">
        <v>1596</v>
      </c>
      <c r="D2033" s="3" t="s">
        <v>580</v>
      </c>
      <c r="E2033" s="3" t="s">
        <v>581</v>
      </c>
      <c r="F2033" s="2">
        <v>1</v>
      </c>
      <c r="G2033" s="4">
        <v>1.0646569770919312</v>
      </c>
      <c r="H2033" s="2">
        <v>25</v>
      </c>
      <c r="I2033" s="2">
        <v>5</v>
      </c>
      <c r="J2033" s="2">
        <v>1</v>
      </c>
      <c r="K2033" s="4">
        <v>0.94157898556220376</v>
      </c>
      <c r="L2033" s="4">
        <v>0.98957474258832889</v>
      </c>
      <c r="M2033" s="4">
        <v>0.98957474258832889</v>
      </c>
      <c r="N2033" s="10">
        <v>0.99</v>
      </c>
      <c r="O2033" s="4">
        <v>13.018164379619797</v>
      </c>
      <c r="P2033" s="4">
        <v>13.12</v>
      </c>
      <c r="Q2033" s="3" t="s">
        <v>1597</v>
      </c>
      <c r="R2033" s="3" t="s">
        <v>1602</v>
      </c>
      <c r="S2033" s="3" t="s">
        <v>1603</v>
      </c>
      <c r="T2033" s="3"/>
    </row>
    <row r="2034" spans="1:20">
      <c r="A2034" s="12" t="s">
        <v>1605</v>
      </c>
      <c r="B2034" s="3" t="s">
        <v>1601</v>
      </c>
      <c r="C2034" s="3" t="s">
        <v>1596</v>
      </c>
      <c r="D2034" s="3" t="s">
        <v>580</v>
      </c>
      <c r="E2034" s="3" t="s">
        <v>581</v>
      </c>
      <c r="F2034" s="2">
        <v>1</v>
      </c>
      <c r="G2034" s="4">
        <v>1.0646569770919312</v>
      </c>
      <c r="H2034" s="2">
        <v>25</v>
      </c>
      <c r="I2034" s="2">
        <v>5</v>
      </c>
      <c r="J2034" s="2">
        <v>16</v>
      </c>
      <c r="K2034" s="11">
        <v>1</v>
      </c>
      <c r="L2034" s="11">
        <v>0.98821450025014757</v>
      </c>
      <c r="M2034" s="4">
        <v>0.98821450025014757</v>
      </c>
      <c r="N2034" s="10">
        <v>0.98799999999999999</v>
      </c>
      <c r="O2034" s="4">
        <v>12.712452072985471</v>
      </c>
      <c r="P2034" s="4">
        <v>12.67</v>
      </c>
      <c r="Q2034" s="3" t="s">
        <v>1597</v>
      </c>
      <c r="R2034" s="3" t="s">
        <v>1602</v>
      </c>
      <c r="S2034" s="3" t="s">
        <v>1603</v>
      </c>
      <c r="T2034" s="3"/>
    </row>
    <row r="2035" spans="1:20">
      <c r="A2035" s="3" t="s">
        <v>1604</v>
      </c>
      <c r="B2035" s="3" t="s">
        <v>1601</v>
      </c>
      <c r="C2035" s="3" t="s">
        <v>1596</v>
      </c>
      <c r="D2035" s="3" t="s">
        <v>580</v>
      </c>
      <c r="E2035" s="3" t="s">
        <v>581</v>
      </c>
      <c r="F2035" s="2">
        <v>1</v>
      </c>
      <c r="G2035" s="4">
        <v>1.0646569770919312</v>
      </c>
      <c r="H2035" s="2">
        <v>25</v>
      </c>
      <c r="I2035" s="2">
        <v>30</v>
      </c>
      <c r="J2035" s="2">
        <v>16</v>
      </c>
      <c r="K2035" s="4">
        <v>1</v>
      </c>
      <c r="L2035" s="4">
        <v>0.98783046162717869</v>
      </c>
      <c r="M2035" s="4">
        <v>0.98783046162717869</v>
      </c>
      <c r="N2035" s="10">
        <v>0.98799999999999999</v>
      </c>
      <c r="O2035" s="4">
        <v>12.632482518457849</v>
      </c>
      <c r="P2035" s="4">
        <v>12.67</v>
      </c>
      <c r="Q2035" s="3" t="s">
        <v>1597</v>
      </c>
      <c r="R2035" s="3" t="s">
        <v>1602</v>
      </c>
      <c r="S2035" s="3" t="s">
        <v>1603</v>
      </c>
      <c r="T2035" s="3"/>
    </row>
    <row r="2036" spans="1:20">
      <c r="A2036" s="3" t="s">
        <v>1600</v>
      </c>
      <c r="B2036" s="3" t="s">
        <v>1601</v>
      </c>
      <c r="C2036" s="3" t="s">
        <v>1616</v>
      </c>
      <c r="D2036" s="3" t="s">
        <v>580</v>
      </c>
      <c r="E2036" s="3" t="s">
        <v>581</v>
      </c>
      <c r="F2036" s="2">
        <v>1</v>
      </c>
      <c r="G2036" s="4">
        <v>1.0646569770919312</v>
      </c>
      <c r="H2036" s="2">
        <v>25</v>
      </c>
      <c r="I2036" s="2">
        <v>5</v>
      </c>
      <c r="J2036" s="2">
        <v>1</v>
      </c>
      <c r="K2036" s="4">
        <v>1</v>
      </c>
      <c r="L2036" s="4">
        <v>0.98359769528312024</v>
      </c>
      <c r="M2036" s="4">
        <v>0.98359769528312024</v>
      </c>
      <c r="N2036" s="10">
        <v>0.98399999999999999</v>
      </c>
      <c r="O2036" s="4">
        <v>11.887261323583319</v>
      </c>
      <c r="P2036" s="4">
        <v>11.95</v>
      </c>
      <c r="Q2036" s="3" t="s">
        <v>1597</v>
      </c>
      <c r="R2036" s="3" t="s">
        <v>1602</v>
      </c>
      <c r="S2036" s="3" t="s">
        <v>1603</v>
      </c>
      <c r="T2036" s="3"/>
    </row>
    <row r="2037" spans="1:20">
      <c r="A2037" s="3" t="s">
        <v>1604</v>
      </c>
      <c r="B2037" s="3" t="s">
        <v>1601</v>
      </c>
      <c r="C2037" s="3" t="s">
        <v>1616</v>
      </c>
      <c r="D2037" s="3" t="s">
        <v>580</v>
      </c>
      <c r="E2037" s="3" t="s">
        <v>581</v>
      </c>
      <c r="F2037" s="2">
        <v>1</v>
      </c>
      <c r="G2037" s="4">
        <v>1.0646569770919312</v>
      </c>
      <c r="H2037" s="2">
        <v>25</v>
      </c>
      <c r="I2037" s="2">
        <v>30</v>
      </c>
      <c r="J2037" s="2">
        <v>16</v>
      </c>
      <c r="K2037" s="4">
        <v>1</v>
      </c>
      <c r="L2037" s="4">
        <v>0.97531613555892771</v>
      </c>
      <c r="M2037" s="4">
        <v>0.97531613555892771</v>
      </c>
      <c r="N2037" s="10">
        <v>0.97499999999999998</v>
      </c>
      <c r="O2037" s="4">
        <v>10.863666430198281</v>
      </c>
      <c r="P2037" s="4">
        <v>10.83</v>
      </c>
      <c r="Q2037" s="3" t="s">
        <v>1597</v>
      </c>
      <c r="R2037" s="3" t="s">
        <v>1602</v>
      </c>
      <c r="S2037" s="3" t="s">
        <v>1603</v>
      </c>
      <c r="T2037" s="3"/>
    </row>
    <row r="2038" spans="1:20">
      <c r="A2038" s="3" t="s">
        <v>1600</v>
      </c>
      <c r="B2038" s="3" t="s">
        <v>1609</v>
      </c>
      <c r="C2038" s="3" t="s">
        <v>1616</v>
      </c>
      <c r="D2038" s="3" t="s">
        <v>580</v>
      </c>
      <c r="E2038" s="3" t="s">
        <v>581</v>
      </c>
      <c r="F2038" s="2">
        <v>1</v>
      </c>
      <c r="G2038" s="4">
        <v>1.0646569770919312</v>
      </c>
      <c r="H2038" s="2">
        <v>25</v>
      </c>
      <c r="I2038" s="2">
        <v>5</v>
      </c>
      <c r="J2038" s="2">
        <v>16</v>
      </c>
      <c r="K2038" s="11">
        <v>1</v>
      </c>
      <c r="L2038" s="11">
        <v>0.96767687365487121</v>
      </c>
      <c r="M2038" s="4">
        <v>0.96767687365487121</v>
      </c>
      <c r="N2038" s="10">
        <v>0.96799999999999997</v>
      </c>
      <c r="O2038" s="4">
        <v>10.185648677335053</v>
      </c>
      <c r="P2038" s="4">
        <v>10.210000000000001</v>
      </c>
      <c r="Q2038" s="3" t="s">
        <v>1597</v>
      </c>
      <c r="R2038" s="3" t="s">
        <v>1610</v>
      </c>
      <c r="S2038" s="3" t="s">
        <v>1611</v>
      </c>
      <c r="T2038" s="3"/>
    </row>
    <row r="2039" spans="1:20">
      <c r="A2039" s="3" t="s">
        <v>1600</v>
      </c>
      <c r="B2039" s="3" t="s">
        <v>1601</v>
      </c>
      <c r="C2039" s="3" t="s">
        <v>1616</v>
      </c>
      <c r="D2039" s="3" t="s">
        <v>580</v>
      </c>
      <c r="E2039" s="3" t="s">
        <v>581</v>
      </c>
      <c r="F2039" s="2">
        <v>1</v>
      </c>
      <c r="G2039" s="4">
        <v>1.0646569770919312</v>
      </c>
      <c r="H2039" s="2">
        <v>25</v>
      </c>
      <c r="I2039" s="2">
        <v>5</v>
      </c>
      <c r="J2039" s="2">
        <v>16</v>
      </c>
      <c r="K2039" s="4">
        <v>1</v>
      </c>
      <c r="L2039" s="4">
        <v>0.9627906529700242</v>
      </c>
      <c r="M2039" s="4">
        <v>0.9627906529700242</v>
      </c>
      <c r="N2039" s="10">
        <v>0.96299999999999997</v>
      </c>
      <c r="O2039" s="4">
        <v>9.8305033528366526</v>
      </c>
      <c r="P2039" s="4">
        <v>9.84</v>
      </c>
      <c r="Q2039" s="3" t="s">
        <v>1597</v>
      </c>
      <c r="R2039" s="3" t="s">
        <v>1602</v>
      </c>
      <c r="S2039" s="3" t="s">
        <v>1603</v>
      </c>
      <c r="T2039" s="3"/>
    </row>
    <row r="2040" spans="1:20">
      <c r="A2040" s="3" t="s">
        <v>1600</v>
      </c>
      <c r="B2040" s="3" t="s">
        <v>1609</v>
      </c>
      <c r="C2040" s="3" t="s">
        <v>1616</v>
      </c>
      <c r="D2040" s="3" t="s">
        <v>580</v>
      </c>
      <c r="E2040" s="3" t="s">
        <v>581</v>
      </c>
      <c r="F2040" s="2">
        <v>1</v>
      </c>
      <c r="G2040" s="4">
        <v>1.0646569770919312</v>
      </c>
      <c r="H2040" s="2">
        <v>25</v>
      </c>
      <c r="I2040" s="2">
        <v>5</v>
      </c>
      <c r="J2040" s="2">
        <v>1</v>
      </c>
      <c r="K2040" s="4">
        <v>1</v>
      </c>
      <c r="L2040" s="4">
        <v>0.94746131368686237</v>
      </c>
      <c r="M2040" s="4">
        <v>0.94746131368686237</v>
      </c>
      <c r="N2040" s="10">
        <v>0.94699999999999995</v>
      </c>
      <c r="O2040" s="4">
        <v>8.9558479814086649</v>
      </c>
      <c r="P2040" s="4">
        <v>8.93</v>
      </c>
      <c r="Q2040" s="3" t="s">
        <v>1597</v>
      </c>
      <c r="R2040" s="3" t="s">
        <v>1610</v>
      </c>
      <c r="S2040" s="3" t="s">
        <v>1611</v>
      </c>
      <c r="T2040" s="3"/>
    </row>
    <row r="2041" spans="1:20">
      <c r="A2041" s="3" t="s">
        <v>1600</v>
      </c>
      <c r="B2041" s="3" t="s">
        <v>1609</v>
      </c>
      <c r="C2041" s="3" t="s">
        <v>1596</v>
      </c>
      <c r="D2041" s="3" t="s">
        <v>580</v>
      </c>
      <c r="E2041" s="3" t="s">
        <v>581</v>
      </c>
      <c r="F2041" s="2">
        <v>1</v>
      </c>
      <c r="G2041" s="4">
        <v>1.0646569770919312</v>
      </c>
      <c r="H2041" s="2">
        <v>25</v>
      </c>
      <c r="I2041" s="2">
        <v>5</v>
      </c>
      <c r="J2041" s="2">
        <v>1</v>
      </c>
      <c r="K2041" s="11">
        <v>0.51617620555380173</v>
      </c>
      <c r="L2041" s="11">
        <v>0.9451153133538559</v>
      </c>
      <c r="M2041" s="4">
        <v>0.9451153133538559</v>
      </c>
      <c r="N2041" s="10">
        <v>0.94499999999999995</v>
      </c>
      <c r="O2041" s="4">
        <v>8.8445671767990621</v>
      </c>
      <c r="P2041" s="4">
        <v>8.84</v>
      </c>
      <c r="Q2041" s="3" t="s">
        <v>1597</v>
      </c>
      <c r="R2041" s="3" t="s">
        <v>1610</v>
      </c>
      <c r="S2041" s="3" t="s">
        <v>1611</v>
      </c>
      <c r="T2041" s="3"/>
    </row>
    <row r="2042" spans="1:20">
      <c r="A2042" s="3" t="s">
        <v>1600</v>
      </c>
      <c r="B2042" s="3" t="s">
        <v>1609</v>
      </c>
      <c r="C2042" s="3" t="s">
        <v>1596</v>
      </c>
      <c r="D2042" s="3" t="s">
        <v>580</v>
      </c>
      <c r="E2042" s="3" t="s">
        <v>581</v>
      </c>
      <c r="F2042" s="2">
        <v>1</v>
      </c>
      <c r="G2042" s="4">
        <v>1.0646569770919312</v>
      </c>
      <c r="H2042" s="2">
        <v>25</v>
      </c>
      <c r="I2042" s="2">
        <v>5</v>
      </c>
      <c r="J2042" s="2">
        <v>16</v>
      </c>
      <c r="K2042" s="4">
        <v>1</v>
      </c>
      <c r="L2042" s="4">
        <v>0.92782270306074577</v>
      </c>
      <c r="M2042" s="4">
        <v>0.92782270306074577</v>
      </c>
      <c r="N2042" s="10">
        <v>0.92800000000000005</v>
      </c>
      <c r="O2042" s="4">
        <v>8.1434624198074257</v>
      </c>
      <c r="P2042" s="4">
        <v>8.15</v>
      </c>
      <c r="Q2042" s="3" t="s">
        <v>1597</v>
      </c>
      <c r="R2042" s="3" t="s">
        <v>1610</v>
      </c>
      <c r="S2042" s="3" t="s">
        <v>1611</v>
      </c>
      <c r="T2042" s="3"/>
    </row>
    <row r="2043" spans="1:20">
      <c r="A2043" s="3" t="s">
        <v>1594</v>
      </c>
      <c r="B2043" s="3" t="s">
        <v>1595</v>
      </c>
      <c r="C2043" s="3" t="s">
        <v>1596</v>
      </c>
      <c r="D2043" s="3" t="s">
        <v>580</v>
      </c>
      <c r="E2043" s="3" t="s">
        <v>581</v>
      </c>
      <c r="F2043" s="2">
        <v>1</v>
      </c>
      <c r="G2043" s="4">
        <v>1.0646569770919312</v>
      </c>
      <c r="H2043" s="2">
        <v>50</v>
      </c>
      <c r="I2043" s="2">
        <v>5</v>
      </c>
      <c r="J2043" s="2">
        <v>16</v>
      </c>
      <c r="K2043" s="4">
        <v>0.89685002557255855</v>
      </c>
      <c r="L2043" s="14">
        <v>0.23387958450391316</v>
      </c>
      <c r="M2043" s="4">
        <v>0.23387958450391316</v>
      </c>
      <c r="N2043" s="10">
        <v>0.23400000000000001</v>
      </c>
      <c r="O2043" s="4">
        <v>1.2804877761593143</v>
      </c>
      <c r="P2043" s="4">
        <v>1.28</v>
      </c>
      <c r="Q2043" s="3" t="s">
        <v>1597</v>
      </c>
      <c r="R2043" s="3" t="s">
        <v>1598</v>
      </c>
      <c r="S2043" s="3" t="s">
        <v>1599</v>
      </c>
      <c r="T2043" s="3"/>
    </row>
    <row r="2044" spans="1:20">
      <c r="A2044" s="3" t="s">
        <v>1594</v>
      </c>
      <c r="B2044" s="3" t="s">
        <v>1612</v>
      </c>
      <c r="C2044" s="3" t="s">
        <v>1596</v>
      </c>
      <c r="D2044" s="3" t="s">
        <v>580</v>
      </c>
      <c r="E2044" s="3" t="s">
        <v>581</v>
      </c>
      <c r="F2044" s="2">
        <v>1</v>
      </c>
      <c r="G2044" s="4">
        <v>1.0646569770919312</v>
      </c>
      <c r="H2044" s="2">
        <v>50</v>
      </c>
      <c r="I2044" s="2">
        <v>5</v>
      </c>
      <c r="J2044" s="2">
        <v>16</v>
      </c>
      <c r="K2044" s="4">
        <v>0.10343322315404159</v>
      </c>
      <c r="L2044" s="14">
        <v>3.2092218248916747E-2</v>
      </c>
      <c r="M2044" s="4">
        <v>3.2092218248916747E-2</v>
      </c>
      <c r="N2044" s="10">
        <v>3.2000000000000001E-2</v>
      </c>
      <c r="O2044" s="4">
        <v>0.17251195306986028</v>
      </c>
      <c r="P2044" s="4">
        <v>0.17</v>
      </c>
      <c r="Q2044" s="3" t="s">
        <v>1597</v>
      </c>
      <c r="R2044" s="3" t="s">
        <v>1613</v>
      </c>
      <c r="S2044" s="3" t="s">
        <v>1614</v>
      </c>
      <c r="T2044" s="3"/>
    </row>
    <row r="2045" spans="1:20">
      <c r="A2045" s="3" t="s">
        <v>1600</v>
      </c>
      <c r="B2045" s="3" t="s">
        <v>1609</v>
      </c>
      <c r="C2045" s="3" t="s">
        <v>1616</v>
      </c>
      <c r="D2045" s="3" t="s">
        <v>685</v>
      </c>
      <c r="E2045" s="3" t="s">
        <v>686</v>
      </c>
      <c r="F2045" s="2">
        <v>1</v>
      </c>
      <c r="G2045" s="4">
        <v>1.0647482014388487</v>
      </c>
      <c r="H2045" s="2">
        <v>25</v>
      </c>
      <c r="I2045" s="2">
        <v>5</v>
      </c>
      <c r="J2045" s="2">
        <v>1</v>
      </c>
      <c r="K2045" s="4">
        <v>1</v>
      </c>
      <c r="L2045" s="4">
        <v>0.75171190376020336</v>
      </c>
      <c r="M2045" s="4">
        <v>0.75171190376020336</v>
      </c>
      <c r="N2045" s="10">
        <v>0.752</v>
      </c>
      <c r="O2045" s="4">
        <v>4.843306554057289</v>
      </c>
      <c r="P2045" s="4">
        <v>4.8499999999999996</v>
      </c>
      <c r="Q2045" s="3" t="s">
        <v>1597</v>
      </c>
      <c r="R2045" s="3" t="s">
        <v>1610</v>
      </c>
      <c r="S2045" s="3" t="s">
        <v>1611</v>
      </c>
      <c r="T2045" s="3"/>
    </row>
    <row r="2046" spans="1:20">
      <c r="A2046" s="12" t="s">
        <v>1605</v>
      </c>
      <c r="B2046" s="3" t="s">
        <v>1601</v>
      </c>
      <c r="C2046" s="3" t="s">
        <v>1596</v>
      </c>
      <c r="D2046" s="3" t="s">
        <v>685</v>
      </c>
      <c r="E2046" s="3" t="s">
        <v>686</v>
      </c>
      <c r="F2046" s="2">
        <v>1</v>
      </c>
      <c r="G2046" s="4">
        <v>1.0647482014388487</v>
      </c>
      <c r="H2046" s="2">
        <v>25</v>
      </c>
      <c r="I2046" s="2">
        <v>5</v>
      </c>
      <c r="J2046" s="2">
        <v>16</v>
      </c>
      <c r="K2046" s="11">
        <v>1</v>
      </c>
      <c r="L2046" s="11">
        <v>0.72702564591425267</v>
      </c>
      <c r="M2046" s="4">
        <v>0.72702564591425267</v>
      </c>
      <c r="N2046" s="10">
        <v>0.72699999999999998</v>
      </c>
      <c r="O2046" s="4">
        <v>4.5731461460962795</v>
      </c>
      <c r="P2046" s="4">
        <v>4.57</v>
      </c>
      <c r="Q2046" s="3" t="s">
        <v>1597</v>
      </c>
      <c r="R2046" s="3" t="s">
        <v>1602</v>
      </c>
      <c r="S2046" s="3" t="s">
        <v>1603</v>
      </c>
      <c r="T2046" s="3"/>
    </row>
    <row r="2047" spans="1:20">
      <c r="A2047" s="3" t="s">
        <v>1600</v>
      </c>
      <c r="B2047" s="3" t="s">
        <v>1601</v>
      </c>
      <c r="C2047" s="3" t="s">
        <v>1596</v>
      </c>
      <c r="D2047" s="3" t="s">
        <v>685</v>
      </c>
      <c r="E2047" s="3" t="s">
        <v>686</v>
      </c>
      <c r="F2047" s="2">
        <v>1</v>
      </c>
      <c r="G2047" s="4">
        <v>1.0647482014388487</v>
      </c>
      <c r="H2047" s="2">
        <v>25</v>
      </c>
      <c r="I2047" s="2">
        <v>5</v>
      </c>
      <c r="J2047" s="2">
        <v>16</v>
      </c>
      <c r="K2047" s="4">
        <v>1</v>
      </c>
      <c r="L2047" s="4">
        <v>0.72086270008342479</v>
      </c>
      <c r="M2047" s="4">
        <v>0.72086270008342479</v>
      </c>
      <c r="N2047" s="10">
        <v>0.72099999999999997</v>
      </c>
      <c r="O2047" s="4">
        <v>4.5089387889945467</v>
      </c>
      <c r="P2047" s="4">
        <v>4.51</v>
      </c>
      <c r="Q2047" s="3" t="s">
        <v>1597</v>
      </c>
      <c r="R2047" s="3" t="s">
        <v>1602</v>
      </c>
      <c r="S2047" s="3" t="s">
        <v>1603</v>
      </c>
      <c r="T2047" s="3"/>
    </row>
    <row r="2048" spans="1:20">
      <c r="A2048" s="3" t="s">
        <v>1600</v>
      </c>
      <c r="B2048" s="3" t="s">
        <v>1609</v>
      </c>
      <c r="C2048" s="3" t="s">
        <v>1616</v>
      </c>
      <c r="D2048" s="3" t="s">
        <v>685</v>
      </c>
      <c r="E2048" s="3" t="s">
        <v>686</v>
      </c>
      <c r="F2048" s="2">
        <v>1</v>
      </c>
      <c r="G2048" s="4">
        <v>1.0647482014388487</v>
      </c>
      <c r="H2048" s="2">
        <v>25</v>
      </c>
      <c r="I2048" s="2">
        <v>5</v>
      </c>
      <c r="J2048" s="2">
        <v>16</v>
      </c>
      <c r="K2048" s="11">
        <v>1</v>
      </c>
      <c r="L2048" s="11">
        <v>0.71604723276570248</v>
      </c>
      <c r="M2048" s="4">
        <v>0.71604723276570248</v>
      </c>
      <c r="N2048" s="10">
        <v>0.71599999999999997</v>
      </c>
      <c r="O2048" s="4">
        <v>4.459591591043174</v>
      </c>
      <c r="P2048" s="4">
        <v>4.46</v>
      </c>
      <c r="Q2048" s="3" t="s">
        <v>1597</v>
      </c>
      <c r="R2048" s="3" t="s">
        <v>1610</v>
      </c>
      <c r="S2048" s="3" t="s">
        <v>1611</v>
      </c>
      <c r="T2048" s="3"/>
    </row>
    <row r="2049" spans="1:20">
      <c r="A2049" s="3" t="s">
        <v>1600</v>
      </c>
      <c r="B2049" s="3" t="s">
        <v>1601</v>
      </c>
      <c r="C2049" s="3" t="s">
        <v>1596</v>
      </c>
      <c r="D2049" s="3" t="s">
        <v>685</v>
      </c>
      <c r="E2049" s="3" t="s">
        <v>686</v>
      </c>
      <c r="F2049" s="2">
        <v>1</v>
      </c>
      <c r="G2049" s="4">
        <v>1.0647482014388487</v>
      </c>
      <c r="H2049" s="2">
        <v>25</v>
      </c>
      <c r="I2049" s="2">
        <v>5</v>
      </c>
      <c r="J2049" s="2">
        <v>1</v>
      </c>
      <c r="K2049" s="4">
        <v>1</v>
      </c>
      <c r="L2049" s="4">
        <v>0.69905859737333775</v>
      </c>
      <c r="M2049" s="4">
        <v>0.69905859737333775</v>
      </c>
      <c r="N2049" s="10">
        <v>0.69899999999999995</v>
      </c>
      <c r="O2049" s="4">
        <v>4.2908808194899732</v>
      </c>
      <c r="P2049" s="4">
        <v>4.29</v>
      </c>
      <c r="Q2049" s="3" t="s">
        <v>1597</v>
      </c>
      <c r="R2049" s="3" t="s">
        <v>1602</v>
      </c>
      <c r="S2049" s="3" t="s">
        <v>1603</v>
      </c>
      <c r="T2049" s="3"/>
    </row>
    <row r="2050" spans="1:20">
      <c r="A2050" s="3" t="s">
        <v>1600</v>
      </c>
      <c r="B2050" s="3" t="s">
        <v>1609</v>
      </c>
      <c r="C2050" s="3" t="s">
        <v>1596</v>
      </c>
      <c r="D2050" s="3" t="s">
        <v>685</v>
      </c>
      <c r="E2050" s="3" t="s">
        <v>686</v>
      </c>
      <c r="F2050" s="2">
        <v>1</v>
      </c>
      <c r="G2050" s="4">
        <v>1.0647482014388487</v>
      </c>
      <c r="H2050" s="2">
        <v>25</v>
      </c>
      <c r="I2050" s="2">
        <v>5</v>
      </c>
      <c r="J2050" s="2">
        <v>1</v>
      </c>
      <c r="K2050" s="11">
        <v>1</v>
      </c>
      <c r="L2050" s="11">
        <v>0.650980714811075</v>
      </c>
      <c r="M2050" s="4">
        <v>0.650980714811075</v>
      </c>
      <c r="N2050" s="10">
        <v>0.65100000000000002</v>
      </c>
      <c r="O2050" s="4">
        <v>3.8523105543693137</v>
      </c>
      <c r="P2050" s="4">
        <v>3.85</v>
      </c>
      <c r="Q2050" s="3" t="s">
        <v>1597</v>
      </c>
      <c r="R2050" s="3" t="s">
        <v>1610</v>
      </c>
      <c r="S2050" s="3" t="s">
        <v>1611</v>
      </c>
      <c r="T2050" s="3"/>
    </row>
    <row r="2051" spans="1:20">
      <c r="A2051" s="3" t="s">
        <v>1600</v>
      </c>
      <c r="B2051" s="3" t="s">
        <v>1609</v>
      </c>
      <c r="C2051" s="3" t="s">
        <v>1596</v>
      </c>
      <c r="D2051" s="3" t="s">
        <v>685</v>
      </c>
      <c r="E2051" s="3" t="s">
        <v>686</v>
      </c>
      <c r="F2051" s="2">
        <v>1</v>
      </c>
      <c r="G2051" s="4">
        <v>1.0647482014388487</v>
      </c>
      <c r="H2051" s="2">
        <v>25</v>
      </c>
      <c r="I2051" s="2">
        <v>5</v>
      </c>
      <c r="J2051" s="2">
        <v>16</v>
      </c>
      <c r="K2051" s="4">
        <v>1</v>
      </c>
      <c r="L2051" s="4">
        <v>0.55863619613425541</v>
      </c>
      <c r="M2051" s="4">
        <v>0.55863619613425541</v>
      </c>
      <c r="N2051" s="10">
        <v>0.55900000000000005</v>
      </c>
      <c r="O2051" s="4">
        <v>3.1277067025373246</v>
      </c>
      <c r="P2051" s="4">
        <v>3.13</v>
      </c>
      <c r="Q2051" s="3" t="s">
        <v>1597</v>
      </c>
      <c r="R2051" s="3" t="s">
        <v>1610</v>
      </c>
      <c r="S2051" s="3" t="s">
        <v>1611</v>
      </c>
      <c r="T2051" s="3"/>
    </row>
    <row r="2052" spans="1:20">
      <c r="A2052" s="3" t="s">
        <v>1604</v>
      </c>
      <c r="B2052" s="3" t="s">
        <v>1601</v>
      </c>
      <c r="C2052" s="3" t="s">
        <v>1596</v>
      </c>
      <c r="D2052" s="3" t="s">
        <v>685</v>
      </c>
      <c r="E2052" s="3" t="s">
        <v>686</v>
      </c>
      <c r="F2052" s="2">
        <v>1</v>
      </c>
      <c r="G2052" s="4">
        <v>1.0647482014388487</v>
      </c>
      <c r="H2052" s="2">
        <v>25</v>
      </c>
      <c r="I2052" s="2">
        <v>30</v>
      </c>
      <c r="J2052" s="2">
        <v>16</v>
      </c>
      <c r="K2052" s="4">
        <v>1</v>
      </c>
      <c r="L2052" s="4">
        <v>0.52834219623641077</v>
      </c>
      <c r="M2052" s="4">
        <v>0.52834219623641077</v>
      </c>
      <c r="N2052" s="10">
        <v>0.52800000000000002</v>
      </c>
      <c r="O2052" s="4">
        <v>2.9144861064772161</v>
      </c>
      <c r="P2052" s="4">
        <v>2.91</v>
      </c>
      <c r="Q2052" s="3" t="s">
        <v>1597</v>
      </c>
      <c r="R2052" s="3" t="s">
        <v>1602</v>
      </c>
      <c r="S2052" s="3" t="s">
        <v>1603</v>
      </c>
      <c r="T2052" s="3"/>
    </row>
    <row r="2053" spans="1:20">
      <c r="A2053" s="3" t="s">
        <v>1600</v>
      </c>
      <c r="B2053" s="3" t="s">
        <v>1601</v>
      </c>
      <c r="C2053" s="3" t="s">
        <v>1616</v>
      </c>
      <c r="D2053" s="3" t="s">
        <v>685</v>
      </c>
      <c r="E2053" s="3" t="s">
        <v>686</v>
      </c>
      <c r="F2053" s="2">
        <v>1</v>
      </c>
      <c r="G2053" s="4">
        <v>1.0647482014388487</v>
      </c>
      <c r="H2053" s="2">
        <v>25</v>
      </c>
      <c r="I2053" s="2">
        <v>5</v>
      </c>
      <c r="J2053" s="2">
        <v>1</v>
      </c>
      <c r="K2053" s="4">
        <v>1</v>
      </c>
      <c r="L2053" s="4">
        <v>0.50229878174547726</v>
      </c>
      <c r="M2053" s="4">
        <v>0.50229878174547726</v>
      </c>
      <c r="N2053" s="10">
        <v>0.502</v>
      </c>
      <c r="O2053" s="4">
        <v>2.7386445572209088</v>
      </c>
      <c r="P2053" s="4">
        <v>2.74</v>
      </c>
      <c r="Q2053" s="3" t="s">
        <v>1597</v>
      </c>
      <c r="R2053" s="3" t="s">
        <v>1602</v>
      </c>
      <c r="S2053" s="3" t="s">
        <v>1603</v>
      </c>
      <c r="T2053" s="3"/>
    </row>
    <row r="2054" spans="1:20">
      <c r="A2054" s="3" t="s">
        <v>1600</v>
      </c>
      <c r="B2054" s="3" t="s">
        <v>1601</v>
      </c>
      <c r="C2054" s="3" t="s">
        <v>1616</v>
      </c>
      <c r="D2054" s="3" t="s">
        <v>685</v>
      </c>
      <c r="E2054" s="3" t="s">
        <v>686</v>
      </c>
      <c r="F2054" s="2">
        <v>1</v>
      </c>
      <c r="G2054" s="4">
        <v>1.0647482014388487</v>
      </c>
      <c r="H2054" s="2">
        <v>25</v>
      </c>
      <c r="I2054" s="2">
        <v>5</v>
      </c>
      <c r="J2054" s="2">
        <v>16</v>
      </c>
      <c r="K2054" s="4">
        <v>1</v>
      </c>
      <c r="L2054" s="4">
        <v>0.4154586410292137</v>
      </c>
      <c r="M2054" s="4">
        <v>0.4154586410292137</v>
      </c>
      <c r="N2054" s="10">
        <v>0.41499999999999998</v>
      </c>
      <c r="O2054" s="4">
        <v>2.1923532150474871</v>
      </c>
      <c r="P2054" s="4">
        <v>2.19</v>
      </c>
      <c r="Q2054" s="3" t="s">
        <v>1597</v>
      </c>
      <c r="R2054" s="3" t="s">
        <v>1602</v>
      </c>
      <c r="S2054" s="3" t="s">
        <v>1603</v>
      </c>
      <c r="T2054" s="3"/>
    </row>
    <row r="2055" spans="1:20">
      <c r="A2055" s="3" t="s">
        <v>1604</v>
      </c>
      <c r="B2055" s="3" t="s">
        <v>1601</v>
      </c>
      <c r="C2055" s="3" t="s">
        <v>1616</v>
      </c>
      <c r="D2055" s="3" t="s">
        <v>685</v>
      </c>
      <c r="E2055" s="3" t="s">
        <v>686</v>
      </c>
      <c r="F2055" s="2">
        <v>1</v>
      </c>
      <c r="G2055" s="4">
        <v>1.0647482014388487</v>
      </c>
      <c r="H2055" s="2">
        <v>25</v>
      </c>
      <c r="I2055" s="2">
        <v>30</v>
      </c>
      <c r="J2055" s="2">
        <v>16</v>
      </c>
      <c r="K2055" s="4">
        <v>1</v>
      </c>
      <c r="L2055" s="4">
        <v>0.41143625194105943</v>
      </c>
      <c r="M2055" s="4">
        <v>0.41143625194105943</v>
      </c>
      <c r="N2055" s="10">
        <v>0.41099999999999998</v>
      </c>
      <c r="O2055" s="4">
        <v>2.1682985276017468</v>
      </c>
      <c r="P2055" s="4">
        <v>2.17</v>
      </c>
      <c r="Q2055" s="3" t="s">
        <v>1597</v>
      </c>
      <c r="R2055" s="3" t="s">
        <v>1602</v>
      </c>
      <c r="S2055" s="3" t="s">
        <v>1603</v>
      </c>
      <c r="T2055" s="3"/>
    </row>
    <row r="2056" spans="1:20">
      <c r="A2056" s="3" t="s">
        <v>1600</v>
      </c>
      <c r="B2056" s="3" t="s">
        <v>1606</v>
      </c>
      <c r="C2056" s="3" t="s">
        <v>1596</v>
      </c>
      <c r="D2056" s="3" t="s">
        <v>685</v>
      </c>
      <c r="E2056" s="3" t="s">
        <v>686</v>
      </c>
      <c r="F2056" s="2">
        <v>1</v>
      </c>
      <c r="G2056" s="4">
        <v>1.0647482014388487</v>
      </c>
      <c r="H2056" s="2">
        <v>25</v>
      </c>
      <c r="I2056" s="2">
        <v>5</v>
      </c>
      <c r="J2056" s="2">
        <v>1</v>
      </c>
      <c r="K2056" s="11">
        <v>1</v>
      </c>
      <c r="L2056" s="11">
        <v>0.39465077141610544</v>
      </c>
      <c r="M2056" s="4">
        <v>0.39465077141610544</v>
      </c>
      <c r="N2056" s="10">
        <v>0.39500000000000002</v>
      </c>
      <c r="O2056" s="4">
        <v>2.068931446994418</v>
      </c>
      <c r="P2056" s="4">
        <v>2.0699999999999998</v>
      </c>
      <c r="Q2056" s="3" t="s">
        <v>1597</v>
      </c>
      <c r="R2056" s="3" t="s">
        <v>1607</v>
      </c>
      <c r="S2056" s="3" t="s">
        <v>1608</v>
      </c>
      <c r="T2056" s="3"/>
    </row>
    <row r="2057" spans="1:20">
      <c r="A2057" s="3" t="s">
        <v>1600</v>
      </c>
      <c r="B2057" s="3" t="s">
        <v>1606</v>
      </c>
      <c r="C2057" s="3" t="s">
        <v>1596</v>
      </c>
      <c r="D2057" s="3" t="s">
        <v>685</v>
      </c>
      <c r="E2057" s="3" t="s">
        <v>686</v>
      </c>
      <c r="F2057" s="2">
        <v>1</v>
      </c>
      <c r="G2057" s="4">
        <v>1.0647482014388487</v>
      </c>
      <c r="H2057" s="2">
        <v>25</v>
      </c>
      <c r="I2057" s="2">
        <v>5</v>
      </c>
      <c r="J2057" s="2">
        <v>16</v>
      </c>
      <c r="K2057" s="11">
        <v>1</v>
      </c>
      <c r="L2057" s="11">
        <v>0.36531918832142879</v>
      </c>
      <c r="M2057" s="4">
        <v>0.36531918832142879</v>
      </c>
      <c r="N2057" s="10">
        <v>0.36499999999999999</v>
      </c>
      <c r="O2057" s="4">
        <v>1.8989424343298773</v>
      </c>
      <c r="P2057" s="4">
        <v>1.9</v>
      </c>
      <c r="Q2057" s="3" t="s">
        <v>1597</v>
      </c>
      <c r="R2057" s="3" t="s">
        <v>1607</v>
      </c>
      <c r="S2057" s="3" t="s">
        <v>1608</v>
      </c>
      <c r="T2057" s="3"/>
    </row>
    <row r="2058" spans="1:20">
      <c r="A2058" s="3" t="s">
        <v>1600</v>
      </c>
      <c r="B2058" s="3" t="s">
        <v>1606</v>
      </c>
      <c r="C2058" s="3" t="s">
        <v>1616</v>
      </c>
      <c r="D2058" s="3" t="s">
        <v>685</v>
      </c>
      <c r="E2058" s="3" t="s">
        <v>686</v>
      </c>
      <c r="F2058" s="2">
        <v>1</v>
      </c>
      <c r="G2058" s="4">
        <v>1.0647482014388487</v>
      </c>
      <c r="H2058" s="2">
        <v>25</v>
      </c>
      <c r="I2058" s="2">
        <v>5</v>
      </c>
      <c r="J2058" s="2">
        <v>16</v>
      </c>
      <c r="K2058" s="11">
        <v>1</v>
      </c>
      <c r="L2058" s="11">
        <v>0.24355978912053677</v>
      </c>
      <c r="M2058" s="4">
        <v>0.24355978912053677</v>
      </c>
      <c r="N2058" s="10">
        <v>0.24399999999999999</v>
      </c>
      <c r="O2058" s="4">
        <v>1.2323194906110884</v>
      </c>
      <c r="P2058" s="4">
        <v>1.23</v>
      </c>
      <c r="Q2058" s="3" t="s">
        <v>1597</v>
      </c>
      <c r="R2058" s="3" t="s">
        <v>1607</v>
      </c>
      <c r="S2058" s="3" t="s">
        <v>1608</v>
      </c>
      <c r="T2058" s="3"/>
    </row>
    <row r="2059" spans="1:20">
      <c r="A2059" s="3" t="s">
        <v>1600</v>
      </c>
      <c r="B2059" s="3" t="s">
        <v>1606</v>
      </c>
      <c r="C2059" s="3" t="s">
        <v>1616</v>
      </c>
      <c r="D2059" s="3" t="s">
        <v>685</v>
      </c>
      <c r="E2059" s="3" t="s">
        <v>686</v>
      </c>
      <c r="F2059" s="2">
        <v>1</v>
      </c>
      <c r="G2059" s="4">
        <v>1.0647482014388487</v>
      </c>
      <c r="H2059" s="2">
        <v>25</v>
      </c>
      <c r="I2059" s="2">
        <v>5</v>
      </c>
      <c r="J2059" s="2">
        <v>1</v>
      </c>
      <c r="K2059" s="4">
        <v>1</v>
      </c>
      <c r="L2059" s="4">
        <v>0.16912445443724375</v>
      </c>
      <c r="M2059" s="4">
        <v>0.16912445443724375</v>
      </c>
      <c r="N2059" s="10">
        <v>0.16900000000000001</v>
      </c>
      <c r="O2059" s="4">
        <v>0.84664299026019108</v>
      </c>
      <c r="P2059" s="4">
        <v>0.85</v>
      </c>
      <c r="Q2059" s="3" t="s">
        <v>1597</v>
      </c>
      <c r="R2059" s="3" t="s">
        <v>1607</v>
      </c>
      <c r="S2059" s="3" t="s">
        <v>1608</v>
      </c>
      <c r="T2059" s="3"/>
    </row>
    <row r="2060" spans="1:20">
      <c r="A2060" s="3" t="s">
        <v>1594</v>
      </c>
      <c r="B2060" s="3" t="s">
        <v>1595</v>
      </c>
      <c r="C2060" s="3" t="s">
        <v>1596</v>
      </c>
      <c r="D2060" s="3" t="s">
        <v>685</v>
      </c>
      <c r="E2060" s="3" t="s">
        <v>686</v>
      </c>
      <c r="F2060" s="2">
        <v>1</v>
      </c>
      <c r="G2060" s="4">
        <v>1.0647482014388487</v>
      </c>
      <c r="H2060" s="2">
        <v>50</v>
      </c>
      <c r="I2060" s="2">
        <v>5</v>
      </c>
      <c r="J2060" s="2">
        <v>16</v>
      </c>
      <c r="K2060" s="4">
        <v>1</v>
      </c>
      <c r="L2060" s="14">
        <v>9.4671861098543392E-2</v>
      </c>
      <c r="M2060" s="4">
        <v>9.4671861098543392E-2</v>
      </c>
      <c r="N2060" s="10">
        <v>9.5000000000000001E-2</v>
      </c>
      <c r="O2060" s="4">
        <v>0.51026263574039077</v>
      </c>
      <c r="P2060" s="4">
        <v>0.51</v>
      </c>
      <c r="Q2060" s="3" t="s">
        <v>1597</v>
      </c>
      <c r="R2060" s="3" t="s">
        <v>1598</v>
      </c>
      <c r="S2060" s="3" t="s">
        <v>1599</v>
      </c>
      <c r="T2060" s="3"/>
    </row>
    <row r="2061" spans="1:20">
      <c r="A2061" s="3" t="s">
        <v>1594</v>
      </c>
      <c r="B2061" s="3" t="s">
        <v>1612</v>
      </c>
      <c r="C2061" s="3" t="s">
        <v>1596</v>
      </c>
      <c r="D2061" s="3" t="s">
        <v>685</v>
      </c>
      <c r="E2061" s="3" t="s">
        <v>686</v>
      </c>
      <c r="F2061" s="2">
        <v>1</v>
      </c>
      <c r="G2061" s="4">
        <v>1.0647482014388487</v>
      </c>
      <c r="H2061" s="2">
        <v>50</v>
      </c>
      <c r="I2061" s="2">
        <v>5</v>
      </c>
      <c r="J2061" s="2">
        <v>16</v>
      </c>
      <c r="K2061" s="4">
        <v>1</v>
      </c>
      <c r="L2061" s="14">
        <v>-0.18578153598854527</v>
      </c>
      <c r="M2061" s="4">
        <v>0.18578153598854527</v>
      </c>
      <c r="N2061" s="10">
        <v>0.186</v>
      </c>
      <c r="O2061" s="4">
        <v>1.0100566201536345</v>
      </c>
      <c r="P2061" s="4">
        <v>-1.01</v>
      </c>
      <c r="Q2061" s="3" t="s">
        <v>1617</v>
      </c>
      <c r="R2061" s="3" t="s">
        <v>1627</v>
      </c>
      <c r="S2061" s="3" t="s">
        <v>1628</v>
      </c>
      <c r="T2061" s="3"/>
    </row>
    <row r="2062" spans="1:20">
      <c r="A2062" s="3" t="s">
        <v>1600</v>
      </c>
      <c r="B2062" s="3" t="s">
        <v>1601</v>
      </c>
      <c r="C2062" s="3" t="s">
        <v>1596</v>
      </c>
      <c r="D2062" s="3" t="s">
        <v>906</v>
      </c>
      <c r="E2062" s="3" t="s">
        <v>907</v>
      </c>
      <c r="F2062" s="2">
        <v>1</v>
      </c>
      <c r="G2062" s="4">
        <v>1.0649402127237892</v>
      </c>
      <c r="H2062" s="2">
        <v>25</v>
      </c>
      <c r="I2062" s="2">
        <v>5</v>
      </c>
      <c r="J2062" s="2">
        <v>16</v>
      </c>
      <c r="K2062" s="4">
        <v>1</v>
      </c>
      <c r="L2062" s="4">
        <v>0.89822224708271581</v>
      </c>
      <c r="M2062" s="4">
        <v>0.89822224708271581</v>
      </c>
      <c r="N2062" s="10">
        <v>0.89800000000000002</v>
      </c>
      <c r="O2062" s="4">
        <v>7.253167183419083</v>
      </c>
      <c r="P2062" s="4">
        <v>7.25</v>
      </c>
      <c r="Q2062" s="3" t="s">
        <v>1597</v>
      </c>
      <c r="R2062" s="3" t="s">
        <v>1602</v>
      </c>
      <c r="S2062" s="3" t="s">
        <v>1603</v>
      </c>
      <c r="T2062" s="3"/>
    </row>
    <row r="2063" spans="1:20">
      <c r="A2063" s="3" t="s">
        <v>1600</v>
      </c>
      <c r="B2063" s="3" t="s">
        <v>1601</v>
      </c>
      <c r="C2063" s="3" t="s">
        <v>1616</v>
      </c>
      <c r="D2063" s="3" t="s">
        <v>906</v>
      </c>
      <c r="E2063" s="3" t="s">
        <v>907</v>
      </c>
      <c r="F2063" s="2">
        <v>1</v>
      </c>
      <c r="G2063" s="4">
        <v>1.0649402127237892</v>
      </c>
      <c r="H2063" s="2">
        <v>25</v>
      </c>
      <c r="I2063" s="2">
        <v>5</v>
      </c>
      <c r="J2063" s="2">
        <v>1</v>
      </c>
      <c r="K2063" s="4">
        <v>1</v>
      </c>
      <c r="L2063" s="4">
        <v>0.88948441441956572</v>
      </c>
      <c r="M2063" s="4">
        <v>0.88948441441956572</v>
      </c>
      <c r="N2063" s="10">
        <v>0.88900000000000001</v>
      </c>
      <c r="O2063" s="4">
        <v>7.0375494879738136</v>
      </c>
      <c r="P2063" s="4">
        <v>7.03</v>
      </c>
      <c r="Q2063" s="3" t="s">
        <v>1597</v>
      </c>
      <c r="R2063" s="3" t="s">
        <v>1602</v>
      </c>
      <c r="S2063" s="3" t="s">
        <v>1603</v>
      </c>
      <c r="T2063" s="3"/>
    </row>
    <row r="2064" spans="1:20">
      <c r="A2064" s="3" t="s">
        <v>1600</v>
      </c>
      <c r="B2064" s="3" t="s">
        <v>1606</v>
      </c>
      <c r="C2064" s="3" t="s">
        <v>1596</v>
      </c>
      <c r="D2064" s="3" t="s">
        <v>906</v>
      </c>
      <c r="E2064" s="3" t="s">
        <v>907</v>
      </c>
      <c r="F2064" s="2">
        <v>1</v>
      </c>
      <c r="G2064" s="4">
        <v>1.0649402127237892</v>
      </c>
      <c r="H2064" s="2">
        <v>25</v>
      </c>
      <c r="I2064" s="2">
        <v>5</v>
      </c>
      <c r="J2064" s="2">
        <v>1</v>
      </c>
      <c r="K2064" s="4">
        <v>1</v>
      </c>
      <c r="L2064" s="4">
        <v>0.8861538432903765</v>
      </c>
      <c r="M2064" s="4">
        <v>0.8861538432903765</v>
      </c>
      <c r="N2064" s="10">
        <v>0.88600000000000001</v>
      </c>
      <c r="O2064" s="4">
        <v>6.9595717576246159</v>
      </c>
      <c r="P2064" s="4">
        <v>6.96</v>
      </c>
      <c r="Q2064" s="3" t="s">
        <v>1597</v>
      </c>
      <c r="R2064" s="3" t="s">
        <v>1607</v>
      </c>
      <c r="S2064" s="3" t="s">
        <v>1608</v>
      </c>
      <c r="T2064" s="3"/>
    </row>
    <row r="2065" spans="1:20">
      <c r="A2065" s="3" t="s">
        <v>1600</v>
      </c>
      <c r="B2065" s="3" t="s">
        <v>1606</v>
      </c>
      <c r="C2065" s="3" t="s">
        <v>1596</v>
      </c>
      <c r="D2065" s="3" t="s">
        <v>906</v>
      </c>
      <c r="E2065" s="3" t="s">
        <v>907</v>
      </c>
      <c r="F2065" s="2">
        <v>1</v>
      </c>
      <c r="G2065" s="4">
        <v>1.0649402127237892</v>
      </c>
      <c r="H2065" s="2">
        <v>25</v>
      </c>
      <c r="I2065" s="2">
        <v>5</v>
      </c>
      <c r="J2065" s="2">
        <v>16</v>
      </c>
      <c r="K2065" s="4">
        <v>1</v>
      </c>
      <c r="L2065" s="4">
        <v>0.88288763504481083</v>
      </c>
      <c r="M2065" s="4">
        <v>0.88288763504481083</v>
      </c>
      <c r="N2065" s="10">
        <v>0.88300000000000001</v>
      </c>
      <c r="O2065" s="4">
        <v>6.8851556088282937</v>
      </c>
      <c r="P2065" s="4">
        <v>6.89</v>
      </c>
      <c r="Q2065" s="3" t="s">
        <v>1597</v>
      </c>
      <c r="R2065" s="3" t="s">
        <v>1607</v>
      </c>
      <c r="S2065" s="3" t="s">
        <v>1608</v>
      </c>
      <c r="T2065" s="3"/>
    </row>
    <row r="2066" spans="1:20">
      <c r="A2066" s="3" t="s">
        <v>1600</v>
      </c>
      <c r="B2066" s="3" t="s">
        <v>1601</v>
      </c>
      <c r="C2066" s="3" t="s">
        <v>1616</v>
      </c>
      <c r="D2066" s="3" t="s">
        <v>906</v>
      </c>
      <c r="E2066" s="3" t="s">
        <v>907</v>
      </c>
      <c r="F2066" s="2">
        <v>1</v>
      </c>
      <c r="G2066" s="4">
        <v>1.0649402127237892</v>
      </c>
      <c r="H2066" s="2">
        <v>25</v>
      </c>
      <c r="I2066" s="2">
        <v>5</v>
      </c>
      <c r="J2066" s="2">
        <v>16</v>
      </c>
      <c r="K2066" s="4">
        <v>1</v>
      </c>
      <c r="L2066" s="4">
        <v>0.88254169007111682</v>
      </c>
      <c r="M2066" s="4">
        <v>0.88254169007111682</v>
      </c>
      <c r="N2066" s="10">
        <v>0.88300000000000001</v>
      </c>
      <c r="O2066" s="4">
        <v>6.8773881306487663</v>
      </c>
      <c r="P2066" s="4">
        <v>6.89</v>
      </c>
      <c r="Q2066" s="3" t="s">
        <v>1597</v>
      </c>
      <c r="R2066" s="3" t="s">
        <v>1602</v>
      </c>
      <c r="S2066" s="3" t="s">
        <v>1603</v>
      </c>
      <c r="T2066" s="3"/>
    </row>
    <row r="2067" spans="1:20">
      <c r="A2067" s="3" t="s">
        <v>1605</v>
      </c>
      <c r="B2067" s="3" t="s">
        <v>1601</v>
      </c>
      <c r="C2067" s="3" t="s">
        <v>1596</v>
      </c>
      <c r="D2067" s="3" t="s">
        <v>906</v>
      </c>
      <c r="E2067" s="3" t="s">
        <v>907</v>
      </c>
      <c r="F2067" s="2">
        <v>1</v>
      </c>
      <c r="G2067" s="4">
        <v>1.0649402127237892</v>
      </c>
      <c r="H2067" s="2">
        <v>25</v>
      </c>
      <c r="I2067" s="2">
        <v>5</v>
      </c>
      <c r="J2067" s="2">
        <v>16</v>
      </c>
      <c r="K2067" s="4">
        <v>1</v>
      </c>
      <c r="L2067" s="4">
        <v>0.87643195174279243</v>
      </c>
      <c r="M2067" s="4">
        <v>0.87643195174279243</v>
      </c>
      <c r="N2067" s="10">
        <v>0.876</v>
      </c>
      <c r="O2067" s="4">
        <v>6.7436247633469097</v>
      </c>
      <c r="P2067" s="4">
        <v>6.73</v>
      </c>
      <c r="Q2067" s="3" t="s">
        <v>1597</v>
      </c>
      <c r="R2067" s="3" t="s">
        <v>1602</v>
      </c>
      <c r="S2067" s="3" t="s">
        <v>1603</v>
      </c>
      <c r="T2067" s="3"/>
    </row>
    <row r="2068" spans="1:20">
      <c r="A2068" s="3" t="s">
        <v>1604</v>
      </c>
      <c r="B2068" s="3" t="s">
        <v>1601</v>
      </c>
      <c r="C2068" s="3" t="s">
        <v>1616</v>
      </c>
      <c r="D2068" s="3" t="s">
        <v>906</v>
      </c>
      <c r="E2068" s="3" t="s">
        <v>907</v>
      </c>
      <c r="F2068" s="2">
        <v>1</v>
      </c>
      <c r="G2068" s="4">
        <v>1.0649402127237892</v>
      </c>
      <c r="H2068" s="2">
        <v>25</v>
      </c>
      <c r="I2068" s="2">
        <v>30</v>
      </c>
      <c r="J2068" s="2">
        <v>16</v>
      </c>
      <c r="K2068" s="4">
        <v>1</v>
      </c>
      <c r="L2068" s="4">
        <v>0.87267344833098148</v>
      </c>
      <c r="M2068" s="4">
        <v>0.87267344833098148</v>
      </c>
      <c r="N2068" s="10">
        <v>0.873</v>
      </c>
      <c r="O2068" s="4">
        <v>6.6643769323287936</v>
      </c>
      <c r="P2068" s="4">
        <v>6.67</v>
      </c>
      <c r="Q2068" s="3" t="s">
        <v>1597</v>
      </c>
      <c r="R2068" s="3" t="s">
        <v>1602</v>
      </c>
      <c r="S2068" s="3" t="s">
        <v>1603</v>
      </c>
      <c r="T2068" s="3"/>
    </row>
    <row r="2069" spans="1:20">
      <c r="A2069" s="3" t="s">
        <v>1600</v>
      </c>
      <c r="B2069" s="3" t="s">
        <v>1601</v>
      </c>
      <c r="C2069" s="3" t="s">
        <v>1596</v>
      </c>
      <c r="D2069" s="3" t="s">
        <v>906</v>
      </c>
      <c r="E2069" s="3" t="s">
        <v>907</v>
      </c>
      <c r="F2069" s="2">
        <v>1</v>
      </c>
      <c r="G2069" s="4">
        <v>1.0649402127237892</v>
      </c>
      <c r="H2069" s="2">
        <v>25</v>
      </c>
      <c r="I2069" s="2">
        <v>5</v>
      </c>
      <c r="J2069" s="2">
        <v>1</v>
      </c>
      <c r="K2069" s="4">
        <v>0.45658486299178169</v>
      </c>
      <c r="L2069" s="4">
        <v>0.86667556910122068</v>
      </c>
      <c r="M2069" s="4">
        <v>0.86667556910122068</v>
      </c>
      <c r="N2069" s="10">
        <v>0.86699999999999999</v>
      </c>
      <c r="O2069" s="4">
        <v>6.5423164766031849</v>
      </c>
      <c r="P2069" s="4">
        <v>6.55</v>
      </c>
      <c r="Q2069" s="3" t="s">
        <v>1597</v>
      </c>
      <c r="R2069" s="3" t="s">
        <v>1602</v>
      </c>
      <c r="S2069" s="3" t="s">
        <v>1603</v>
      </c>
      <c r="T2069" s="3"/>
    </row>
    <row r="2070" spans="1:20">
      <c r="A2070" s="3" t="s">
        <v>1604</v>
      </c>
      <c r="B2070" s="3" t="s">
        <v>1601</v>
      </c>
      <c r="C2070" s="3" t="s">
        <v>1596</v>
      </c>
      <c r="D2070" s="3" t="s">
        <v>906</v>
      </c>
      <c r="E2070" s="3" t="s">
        <v>907</v>
      </c>
      <c r="F2070" s="2">
        <v>1</v>
      </c>
      <c r="G2070" s="4">
        <v>1.0649402127237892</v>
      </c>
      <c r="H2070" s="2">
        <v>25</v>
      </c>
      <c r="I2070" s="2">
        <v>30</v>
      </c>
      <c r="J2070" s="2">
        <v>16</v>
      </c>
      <c r="K2070" s="4">
        <v>1</v>
      </c>
      <c r="L2070" s="4">
        <v>0.8656557317921556</v>
      </c>
      <c r="M2070" s="4">
        <v>0.8656557317921556</v>
      </c>
      <c r="N2070" s="10">
        <v>0.86599999999999999</v>
      </c>
      <c r="O2070" s="4">
        <v>6.522071558671013</v>
      </c>
      <c r="P2070" s="4">
        <v>6.53</v>
      </c>
      <c r="Q2070" s="3" t="s">
        <v>1597</v>
      </c>
      <c r="R2070" s="3" t="s">
        <v>1602</v>
      </c>
      <c r="S2070" s="3" t="s">
        <v>1603</v>
      </c>
      <c r="T2070" s="3"/>
    </row>
    <row r="2071" spans="1:20">
      <c r="A2071" s="3" t="s">
        <v>1600</v>
      </c>
      <c r="B2071" s="3" t="s">
        <v>1609</v>
      </c>
      <c r="C2071" s="3" t="s">
        <v>1596</v>
      </c>
      <c r="D2071" s="3" t="s">
        <v>906</v>
      </c>
      <c r="E2071" s="3" t="s">
        <v>907</v>
      </c>
      <c r="F2071" s="2">
        <v>1</v>
      </c>
      <c r="G2071" s="4">
        <v>1.0649402127237892</v>
      </c>
      <c r="H2071" s="2">
        <v>25</v>
      </c>
      <c r="I2071" s="2">
        <v>5</v>
      </c>
      <c r="J2071" s="2">
        <v>1</v>
      </c>
      <c r="K2071" s="4">
        <v>0.99295316707962156</v>
      </c>
      <c r="L2071" s="4">
        <v>0.82961449499493634</v>
      </c>
      <c r="M2071" s="4">
        <v>0.82961449499493634</v>
      </c>
      <c r="N2071" s="10">
        <v>0.83</v>
      </c>
      <c r="O2071" s="4">
        <v>5.8845672638085675</v>
      </c>
      <c r="P2071" s="4">
        <v>5.89</v>
      </c>
      <c r="Q2071" s="3" t="s">
        <v>1597</v>
      </c>
      <c r="R2071" s="3" t="s">
        <v>1610</v>
      </c>
      <c r="S2071" s="3" t="s">
        <v>1611</v>
      </c>
      <c r="T2071" s="3"/>
    </row>
    <row r="2072" spans="1:20">
      <c r="A2072" s="3" t="s">
        <v>1600</v>
      </c>
      <c r="B2072" s="3" t="s">
        <v>1609</v>
      </c>
      <c r="C2072" s="3" t="s">
        <v>1596</v>
      </c>
      <c r="D2072" s="3" t="s">
        <v>906</v>
      </c>
      <c r="E2072" s="3" t="s">
        <v>907</v>
      </c>
      <c r="F2072" s="2">
        <v>1</v>
      </c>
      <c r="G2072" s="4">
        <v>1.0649402127237892</v>
      </c>
      <c r="H2072" s="2">
        <v>25</v>
      </c>
      <c r="I2072" s="2">
        <v>5</v>
      </c>
      <c r="J2072" s="2">
        <v>16</v>
      </c>
      <c r="K2072" s="4">
        <v>1</v>
      </c>
      <c r="L2072" s="4">
        <v>0.81403144620544521</v>
      </c>
      <c r="M2072" s="4">
        <v>0.81403144620544521</v>
      </c>
      <c r="N2072" s="10">
        <v>0.81399999999999995</v>
      </c>
      <c r="O2072" s="4">
        <v>5.646418624474661</v>
      </c>
      <c r="P2072" s="4">
        <v>5.65</v>
      </c>
      <c r="Q2072" s="3" t="s">
        <v>1597</v>
      </c>
      <c r="R2072" s="3" t="s">
        <v>1610</v>
      </c>
      <c r="S2072" s="3" t="s">
        <v>1611</v>
      </c>
      <c r="T2072" s="3"/>
    </row>
    <row r="2073" spans="1:20">
      <c r="A2073" s="3" t="s">
        <v>1600</v>
      </c>
      <c r="B2073" s="3" t="s">
        <v>1606</v>
      </c>
      <c r="C2073" s="3" t="s">
        <v>1616</v>
      </c>
      <c r="D2073" s="3" t="s">
        <v>906</v>
      </c>
      <c r="E2073" s="3" t="s">
        <v>907</v>
      </c>
      <c r="F2073" s="2">
        <v>1</v>
      </c>
      <c r="G2073" s="4">
        <v>1.0649402127237892</v>
      </c>
      <c r="H2073" s="2">
        <v>25</v>
      </c>
      <c r="I2073" s="2">
        <v>5</v>
      </c>
      <c r="J2073" s="2">
        <v>16</v>
      </c>
      <c r="K2073" s="4">
        <v>1</v>
      </c>
      <c r="L2073" s="4">
        <v>0.75955255275631761</v>
      </c>
      <c r="M2073" s="4">
        <v>0.75955255275631761</v>
      </c>
      <c r="N2073" s="10">
        <v>0.76</v>
      </c>
      <c r="O2073" s="4">
        <v>4.9339232626239928</v>
      </c>
      <c r="P2073" s="4">
        <v>4.9400000000000004</v>
      </c>
      <c r="Q2073" s="3" t="s">
        <v>1597</v>
      </c>
      <c r="R2073" s="3" t="s">
        <v>1607</v>
      </c>
      <c r="S2073" s="3" t="s">
        <v>1608</v>
      </c>
      <c r="T2073" s="3"/>
    </row>
    <row r="2074" spans="1:20">
      <c r="A2074" s="3" t="s">
        <v>1600</v>
      </c>
      <c r="B2074" s="3" t="s">
        <v>1609</v>
      </c>
      <c r="C2074" s="3" t="s">
        <v>1616</v>
      </c>
      <c r="D2074" s="3" t="s">
        <v>906</v>
      </c>
      <c r="E2074" s="3" t="s">
        <v>907</v>
      </c>
      <c r="F2074" s="2">
        <v>1</v>
      </c>
      <c r="G2074" s="4">
        <v>1.0649402127237892</v>
      </c>
      <c r="H2074" s="2">
        <v>25</v>
      </c>
      <c r="I2074" s="2">
        <v>5</v>
      </c>
      <c r="J2074" s="2">
        <v>1</v>
      </c>
      <c r="K2074" s="4">
        <v>0.96977061196097025</v>
      </c>
      <c r="L2074" s="4">
        <v>0.74228432945313794</v>
      </c>
      <c r="M2074" s="4">
        <v>0.74228432945313794</v>
      </c>
      <c r="N2074" s="10">
        <v>0.74199999999999999</v>
      </c>
      <c r="O2074" s="4">
        <v>4.7375447730260252</v>
      </c>
      <c r="P2074" s="4">
        <v>4.7300000000000004</v>
      </c>
      <c r="Q2074" s="3" t="s">
        <v>1597</v>
      </c>
      <c r="R2074" s="3" t="s">
        <v>1610</v>
      </c>
      <c r="S2074" s="3" t="s">
        <v>1611</v>
      </c>
      <c r="T2074" s="3"/>
    </row>
    <row r="2075" spans="1:20">
      <c r="A2075" s="3" t="s">
        <v>1600</v>
      </c>
      <c r="B2075" s="3" t="s">
        <v>1609</v>
      </c>
      <c r="C2075" s="3" t="s">
        <v>1616</v>
      </c>
      <c r="D2075" s="3" t="s">
        <v>906</v>
      </c>
      <c r="E2075" s="3" t="s">
        <v>907</v>
      </c>
      <c r="F2075" s="2">
        <v>1</v>
      </c>
      <c r="G2075" s="4">
        <v>1.0649402127237892</v>
      </c>
      <c r="H2075" s="2">
        <v>25</v>
      </c>
      <c r="I2075" s="2">
        <v>5</v>
      </c>
      <c r="J2075" s="2">
        <v>16</v>
      </c>
      <c r="K2075" s="4">
        <v>0.96562296352479293</v>
      </c>
      <c r="L2075" s="4">
        <v>0.73000854947675031</v>
      </c>
      <c r="M2075" s="4">
        <v>0.73000854947675031</v>
      </c>
      <c r="N2075" s="10">
        <v>0.73</v>
      </c>
      <c r="O2075" s="4">
        <v>4.6046619063039245</v>
      </c>
      <c r="P2075" s="4">
        <v>4.5999999999999996</v>
      </c>
      <c r="Q2075" s="3" t="s">
        <v>1597</v>
      </c>
      <c r="R2075" s="3" t="s">
        <v>1610</v>
      </c>
      <c r="S2075" s="3" t="s">
        <v>1611</v>
      </c>
      <c r="T2075" s="3"/>
    </row>
    <row r="2076" spans="1:20">
      <c r="A2076" s="3" t="s">
        <v>1600</v>
      </c>
      <c r="B2076" s="3" t="s">
        <v>1606</v>
      </c>
      <c r="C2076" s="3" t="s">
        <v>1616</v>
      </c>
      <c r="D2076" s="3" t="s">
        <v>906</v>
      </c>
      <c r="E2076" s="3" t="s">
        <v>907</v>
      </c>
      <c r="F2076" s="2">
        <v>1</v>
      </c>
      <c r="G2076" s="4">
        <v>1.0649402127237892</v>
      </c>
      <c r="H2076" s="2">
        <v>25</v>
      </c>
      <c r="I2076" s="2">
        <v>5</v>
      </c>
      <c r="J2076" s="2">
        <v>1</v>
      </c>
      <c r="K2076" s="4">
        <v>1</v>
      </c>
      <c r="L2076" s="4">
        <v>0.72320871496668238</v>
      </c>
      <c r="M2076" s="4">
        <v>0.72320871496668238</v>
      </c>
      <c r="N2076" s="10">
        <v>0.72299999999999998</v>
      </c>
      <c r="O2076" s="4">
        <v>4.5332385933390933</v>
      </c>
      <c r="P2076" s="4">
        <v>4.53</v>
      </c>
      <c r="Q2076" s="3" t="s">
        <v>1597</v>
      </c>
      <c r="R2076" s="3" t="s">
        <v>1607</v>
      </c>
      <c r="S2076" s="3" t="s">
        <v>1608</v>
      </c>
      <c r="T2076" s="3"/>
    </row>
    <row r="2077" spans="1:20">
      <c r="A2077" s="3" t="s">
        <v>1594</v>
      </c>
      <c r="B2077" s="3" t="s">
        <v>1595</v>
      </c>
      <c r="C2077" s="3" t="s">
        <v>1596</v>
      </c>
      <c r="D2077" s="3" t="s">
        <v>906</v>
      </c>
      <c r="E2077" s="3" t="s">
        <v>907</v>
      </c>
      <c r="F2077" s="2">
        <v>1</v>
      </c>
      <c r="G2077" s="4">
        <v>1.0649402127237892</v>
      </c>
      <c r="H2077" s="2">
        <v>50</v>
      </c>
      <c r="I2077" s="2">
        <v>5</v>
      </c>
      <c r="J2077" s="2">
        <v>16</v>
      </c>
      <c r="K2077" s="4">
        <v>0.35280813551553425</v>
      </c>
      <c r="L2077" s="4">
        <v>0.14715663024701287</v>
      </c>
      <c r="M2077" s="4">
        <v>0.14715663024701287</v>
      </c>
      <c r="N2077" s="10">
        <v>0.14699999999999999</v>
      </c>
      <c r="O2077" s="4">
        <v>0.79655328844391371</v>
      </c>
      <c r="P2077" s="4">
        <v>0.8</v>
      </c>
      <c r="Q2077" s="3" t="s">
        <v>1597</v>
      </c>
      <c r="R2077" s="3" t="s">
        <v>1598</v>
      </c>
      <c r="S2077" s="3" t="s">
        <v>1599</v>
      </c>
      <c r="T2077" s="3"/>
    </row>
    <row r="2078" spans="1:20">
      <c r="A2078" s="3" t="s">
        <v>1594</v>
      </c>
      <c r="B2078" s="3" t="s">
        <v>1595</v>
      </c>
      <c r="C2078" s="3" t="s">
        <v>1596</v>
      </c>
      <c r="D2078" s="3" t="s">
        <v>906</v>
      </c>
      <c r="E2078" s="3" t="s">
        <v>907</v>
      </c>
      <c r="F2078" s="2">
        <v>1</v>
      </c>
      <c r="G2078" s="4">
        <v>1.0649402127237892</v>
      </c>
      <c r="H2078" s="2">
        <v>25</v>
      </c>
      <c r="I2078" s="2">
        <v>5</v>
      </c>
      <c r="J2078" s="2">
        <v>16</v>
      </c>
      <c r="K2078" s="4">
        <v>4.9784411598096656E-2</v>
      </c>
      <c r="L2078" s="4">
        <v>0.12130695018666242</v>
      </c>
      <c r="M2078" s="4">
        <v>0.12130695018666242</v>
      </c>
      <c r="N2078" s="10">
        <v>0.121</v>
      </c>
      <c r="O2078" s="4">
        <v>0.60440856193795633</v>
      </c>
      <c r="P2078" s="4">
        <v>0.6</v>
      </c>
      <c r="Q2078" s="3" t="s">
        <v>1597</v>
      </c>
      <c r="R2078" s="3" t="s">
        <v>1598</v>
      </c>
      <c r="S2078" s="3" t="s">
        <v>1599</v>
      </c>
      <c r="T2078" s="3"/>
    </row>
    <row r="2079" spans="1:20">
      <c r="A2079" s="3" t="s">
        <v>1594</v>
      </c>
      <c r="B2079" s="3" t="s">
        <v>1612</v>
      </c>
      <c r="C2079" s="3" t="s">
        <v>1596</v>
      </c>
      <c r="D2079" s="3" t="s">
        <v>906</v>
      </c>
      <c r="E2079" s="3" t="s">
        <v>907</v>
      </c>
      <c r="F2079" s="2">
        <v>1</v>
      </c>
      <c r="G2079" s="4">
        <v>1.0649402127237892</v>
      </c>
      <c r="H2079" s="2">
        <v>50</v>
      </c>
      <c r="I2079" s="2">
        <v>5</v>
      </c>
      <c r="J2079" s="2">
        <v>16</v>
      </c>
      <c r="K2079" s="4">
        <v>0.526249920307991</v>
      </c>
      <c r="L2079" s="4">
        <v>0.11305149197808693</v>
      </c>
      <c r="M2079" s="4">
        <v>0.11305149197808693</v>
      </c>
      <c r="N2079" s="10">
        <v>0.113</v>
      </c>
      <c r="O2079" s="4">
        <v>0.6101085438147027</v>
      </c>
      <c r="P2079" s="4">
        <v>0.61</v>
      </c>
      <c r="Q2079" s="3" t="s">
        <v>1597</v>
      </c>
      <c r="R2079" s="3" t="s">
        <v>1613</v>
      </c>
      <c r="S2079" s="3" t="s">
        <v>1614</v>
      </c>
      <c r="T2079" s="3"/>
    </row>
    <row r="2080" spans="1:20">
      <c r="A2080" s="3" t="s">
        <v>1600</v>
      </c>
      <c r="B2080" s="3" t="s">
        <v>1601</v>
      </c>
      <c r="C2080" s="3" t="s">
        <v>1596</v>
      </c>
      <c r="D2080" s="3" t="s">
        <v>1427</v>
      </c>
      <c r="E2080" s="3" t="s">
        <v>1428</v>
      </c>
      <c r="F2080" s="2">
        <v>1</v>
      </c>
      <c r="G2080" s="4">
        <v>1.0669851697023987</v>
      </c>
      <c r="H2080" s="2">
        <v>25</v>
      </c>
      <c r="I2080" s="2">
        <v>5</v>
      </c>
      <c r="J2080" s="2">
        <v>1</v>
      </c>
      <c r="K2080" s="4">
        <v>2.0518420759631173E-2</v>
      </c>
      <c r="L2080" s="4">
        <v>0.25871234494979328</v>
      </c>
      <c r="M2080" s="4">
        <v>0.25871234494979328</v>
      </c>
      <c r="N2080" s="10">
        <v>0.25900000000000001</v>
      </c>
      <c r="O2080" s="4">
        <v>1.3125040300104296</v>
      </c>
      <c r="P2080" s="4">
        <v>1.31</v>
      </c>
      <c r="Q2080" s="3" t="s">
        <v>1597</v>
      </c>
      <c r="R2080" s="3" t="s">
        <v>1602</v>
      </c>
      <c r="S2080" s="3" t="s">
        <v>1603</v>
      </c>
      <c r="T2080" s="3"/>
    </row>
    <row r="2081" spans="1:20">
      <c r="A2081" s="3" t="s">
        <v>1600</v>
      </c>
      <c r="B2081" s="3" t="s">
        <v>1609</v>
      </c>
      <c r="C2081" s="3" t="s">
        <v>1616</v>
      </c>
      <c r="D2081" s="3" t="s">
        <v>1427</v>
      </c>
      <c r="E2081" s="3" t="s">
        <v>1428</v>
      </c>
      <c r="F2081" s="2">
        <v>1</v>
      </c>
      <c r="G2081" s="4">
        <v>1.0669851697023987</v>
      </c>
      <c r="H2081" s="2">
        <v>25</v>
      </c>
      <c r="I2081" s="2">
        <v>5</v>
      </c>
      <c r="J2081" s="2">
        <v>1</v>
      </c>
      <c r="K2081" s="4">
        <v>3.4954062197721125E-2</v>
      </c>
      <c r="L2081" s="4">
        <v>0.16490799686055638</v>
      </c>
      <c r="M2081" s="4">
        <v>0.16490799686055638</v>
      </c>
      <c r="N2081" s="10">
        <v>0.16500000000000001</v>
      </c>
      <c r="O2081" s="4">
        <v>0.82513816174452004</v>
      </c>
      <c r="P2081" s="4">
        <v>0.83</v>
      </c>
      <c r="Q2081" s="3" t="s">
        <v>1597</v>
      </c>
      <c r="R2081" s="3" t="s">
        <v>1610</v>
      </c>
      <c r="S2081" s="3" t="s">
        <v>1611</v>
      </c>
      <c r="T2081" s="3"/>
    </row>
    <row r="2082" spans="1:20">
      <c r="A2082" s="3" t="s">
        <v>1604</v>
      </c>
      <c r="B2082" s="3" t="s">
        <v>1601</v>
      </c>
      <c r="C2082" s="3" t="s">
        <v>1596</v>
      </c>
      <c r="D2082" s="3" t="s">
        <v>1427</v>
      </c>
      <c r="E2082" s="3" t="s">
        <v>1428</v>
      </c>
      <c r="F2082" s="2">
        <v>1</v>
      </c>
      <c r="G2082" s="4">
        <v>1.0669851697023987</v>
      </c>
      <c r="H2082" s="2">
        <v>25</v>
      </c>
      <c r="I2082" s="2">
        <v>30</v>
      </c>
      <c r="J2082" s="2">
        <v>16</v>
      </c>
      <c r="K2082" s="4">
        <v>1</v>
      </c>
      <c r="L2082" s="4">
        <v>0.15709630320485077</v>
      </c>
      <c r="M2082" s="4">
        <v>0.15709630320485077</v>
      </c>
      <c r="N2082" s="10">
        <v>0.157</v>
      </c>
      <c r="O2082" s="4">
        <v>0.78537739164945319</v>
      </c>
      <c r="P2082" s="4">
        <v>0.78</v>
      </c>
      <c r="Q2082" s="3" t="s">
        <v>1597</v>
      </c>
      <c r="R2082" s="3" t="s">
        <v>1602</v>
      </c>
      <c r="S2082" s="3" t="s">
        <v>1603</v>
      </c>
      <c r="T2082" s="3"/>
    </row>
    <row r="2083" spans="1:20">
      <c r="A2083" s="3" t="s">
        <v>1600</v>
      </c>
      <c r="B2083" s="3" t="s">
        <v>1601</v>
      </c>
      <c r="C2083" s="3" t="s">
        <v>1596</v>
      </c>
      <c r="D2083" s="3" t="s">
        <v>1427</v>
      </c>
      <c r="E2083" s="3" t="s">
        <v>1428</v>
      </c>
      <c r="F2083" s="2">
        <v>1</v>
      </c>
      <c r="G2083" s="4">
        <v>1.0669851697023987</v>
      </c>
      <c r="H2083" s="2">
        <v>25</v>
      </c>
      <c r="I2083" s="2">
        <v>5</v>
      </c>
      <c r="J2083" s="2">
        <v>16</v>
      </c>
      <c r="K2083" s="4">
        <v>1</v>
      </c>
      <c r="L2083" s="4">
        <v>0.13735641380137781</v>
      </c>
      <c r="M2083" s="4">
        <v>0.13735641380137781</v>
      </c>
      <c r="N2083" s="10">
        <v>0.13700000000000001</v>
      </c>
      <c r="O2083" s="4">
        <v>0.68533628889709097</v>
      </c>
      <c r="P2083" s="4">
        <v>0.68</v>
      </c>
      <c r="Q2083" s="3" t="s">
        <v>1597</v>
      </c>
      <c r="R2083" s="3" t="s">
        <v>1602</v>
      </c>
      <c r="S2083" s="3" t="s">
        <v>1603</v>
      </c>
      <c r="T2083" s="3"/>
    </row>
    <row r="2084" spans="1:20">
      <c r="A2084" s="3" t="s">
        <v>1605</v>
      </c>
      <c r="B2084" s="3" t="s">
        <v>1601</v>
      </c>
      <c r="C2084" s="3" t="s">
        <v>1596</v>
      </c>
      <c r="D2084" s="3" t="s">
        <v>1427</v>
      </c>
      <c r="E2084" s="3" t="s">
        <v>1428</v>
      </c>
      <c r="F2084" s="2">
        <v>1</v>
      </c>
      <c r="G2084" s="4">
        <v>1.0669851697023987</v>
      </c>
      <c r="H2084" s="2">
        <v>25</v>
      </c>
      <c r="I2084" s="2">
        <v>5</v>
      </c>
      <c r="J2084" s="2">
        <v>16</v>
      </c>
      <c r="K2084" s="4">
        <v>1</v>
      </c>
      <c r="L2084" s="4">
        <v>0.12788714086091285</v>
      </c>
      <c r="M2084" s="4">
        <v>0.12788714086091285</v>
      </c>
      <c r="N2084" s="10">
        <v>0.128</v>
      </c>
      <c r="O2084" s="4">
        <v>0.63754731564229372</v>
      </c>
      <c r="P2084" s="4">
        <v>0.64</v>
      </c>
      <c r="Q2084" s="3" t="s">
        <v>1597</v>
      </c>
      <c r="R2084" s="3" t="s">
        <v>1602</v>
      </c>
      <c r="S2084" s="3" t="s">
        <v>1603</v>
      </c>
      <c r="T2084" s="3"/>
    </row>
    <row r="2085" spans="1:20">
      <c r="A2085" s="3" t="s">
        <v>1600</v>
      </c>
      <c r="B2085" s="3" t="s">
        <v>1601</v>
      </c>
      <c r="C2085" s="3" t="s">
        <v>1616</v>
      </c>
      <c r="D2085" s="3" t="s">
        <v>1427</v>
      </c>
      <c r="E2085" s="3" t="s">
        <v>1428</v>
      </c>
      <c r="F2085" s="2">
        <v>1</v>
      </c>
      <c r="G2085" s="4">
        <v>1.0669851697023987</v>
      </c>
      <c r="H2085" s="2">
        <v>25</v>
      </c>
      <c r="I2085" s="2">
        <v>5</v>
      </c>
      <c r="J2085" s="2">
        <v>16</v>
      </c>
      <c r="K2085" s="4">
        <v>1</v>
      </c>
      <c r="L2085" s="4">
        <v>0.12780304298868744</v>
      </c>
      <c r="M2085" s="4">
        <v>0.12780304298868744</v>
      </c>
      <c r="N2085" s="10">
        <v>0.128</v>
      </c>
      <c r="O2085" s="4">
        <v>0.63712343569471164</v>
      </c>
      <c r="P2085" s="4">
        <v>0.64</v>
      </c>
      <c r="Q2085" s="3" t="s">
        <v>1597</v>
      </c>
      <c r="R2085" s="3" t="s">
        <v>1602</v>
      </c>
      <c r="S2085" s="3" t="s">
        <v>1603</v>
      </c>
      <c r="T2085" s="3"/>
    </row>
    <row r="2086" spans="1:20">
      <c r="A2086" s="3" t="s">
        <v>1594</v>
      </c>
      <c r="B2086" s="3" t="s">
        <v>1612</v>
      </c>
      <c r="C2086" s="3" t="s">
        <v>1596</v>
      </c>
      <c r="D2086" s="3" t="s">
        <v>1427</v>
      </c>
      <c r="E2086" s="3" t="s">
        <v>1428</v>
      </c>
      <c r="F2086" s="2">
        <v>1</v>
      </c>
      <c r="G2086" s="4">
        <v>1.0669851697023987</v>
      </c>
      <c r="H2086" s="2">
        <v>50</v>
      </c>
      <c r="I2086" s="2">
        <v>5</v>
      </c>
      <c r="J2086" s="2">
        <v>16</v>
      </c>
      <c r="K2086" s="4">
        <v>1</v>
      </c>
      <c r="L2086" s="4">
        <v>8.4296925351632107E-2</v>
      </c>
      <c r="M2086" s="4">
        <v>8.4296925351632107E-2</v>
      </c>
      <c r="N2086" s="10">
        <v>8.4000000000000005E-2</v>
      </c>
      <c r="O2086" s="4">
        <v>0.45406068945122985</v>
      </c>
      <c r="P2086" s="4">
        <v>0.45</v>
      </c>
      <c r="Q2086" s="3" t="s">
        <v>1597</v>
      </c>
      <c r="R2086" s="3" t="s">
        <v>1613</v>
      </c>
      <c r="S2086" s="3" t="s">
        <v>1614</v>
      </c>
      <c r="T2086" s="3"/>
    </row>
    <row r="2087" spans="1:20">
      <c r="A2087" s="3" t="s">
        <v>1600</v>
      </c>
      <c r="B2087" s="3" t="s">
        <v>1609</v>
      </c>
      <c r="C2087" s="3" t="s">
        <v>1616</v>
      </c>
      <c r="D2087" s="3" t="s">
        <v>1427</v>
      </c>
      <c r="E2087" s="3" t="s">
        <v>1428</v>
      </c>
      <c r="F2087" s="2">
        <v>1</v>
      </c>
      <c r="G2087" s="4">
        <v>1.0669851697023987</v>
      </c>
      <c r="H2087" s="2">
        <v>25</v>
      </c>
      <c r="I2087" s="2">
        <v>5</v>
      </c>
      <c r="J2087" s="2">
        <v>16</v>
      </c>
      <c r="K2087" s="4">
        <v>9.9265558737081871E-2</v>
      </c>
      <c r="L2087" s="4">
        <v>6.8931179464483253E-2</v>
      </c>
      <c r="M2087" s="4">
        <v>6.8931179464483253E-2</v>
      </c>
      <c r="N2087" s="10">
        <v>6.9000000000000006E-2</v>
      </c>
      <c r="O2087" s="4">
        <v>0.34229923476028046</v>
      </c>
      <c r="P2087" s="4">
        <v>0.34</v>
      </c>
      <c r="Q2087" s="3" t="s">
        <v>1597</v>
      </c>
      <c r="R2087" s="3" t="s">
        <v>1610</v>
      </c>
      <c r="S2087" s="3" t="s">
        <v>1611</v>
      </c>
      <c r="T2087" s="3"/>
    </row>
    <row r="2088" spans="1:20">
      <c r="A2088" s="3" t="s">
        <v>1600</v>
      </c>
      <c r="B2088" s="3" t="s">
        <v>1606</v>
      </c>
      <c r="C2088" s="3" t="s">
        <v>1616</v>
      </c>
      <c r="D2088" s="3" t="s">
        <v>1427</v>
      </c>
      <c r="E2088" s="3" t="s">
        <v>1428</v>
      </c>
      <c r="F2088" s="2">
        <v>1</v>
      </c>
      <c r="G2088" s="4">
        <v>1.0669851697023987</v>
      </c>
      <c r="H2088" s="2">
        <v>25</v>
      </c>
      <c r="I2088" s="2">
        <v>5</v>
      </c>
      <c r="J2088" s="2">
        <v>1</v>
      </c>
      <c r="K2088" s="4">
        <v>0.74365683951531647</v>
      </c>
      <c r="L2088" s="4">
        <v>3.090319403475086E-2</v>
      </c>
      <c r="M2088" s="4">
        <v>3.090319403475086E-2</v>
      </c>
      <c r="N2088" s="10">
        <v>3.1E-2</v>
      </c>
      <c r="O2088" s="4">
        <v>0.15326487116287207</v>
      </c>
      <c r="P2088" s="4">
        <v>0.15</v>
      </c>
      <c r="Q2088" s="3" t="s">
        <v>1597</v>
      </c>
      <c r="R2088" s="3" t="s">
        <v>1607</v>
      </c>
      <c r="S2088" s="3" t="s">
        <v>1608</v>
      </c>
      <c r="T2088" s="3"/>
    </row>
    <row r="2089" spans="1:20">
      <c r="A2089" s="3" t="s">
        <v>1600</v>
      </c>
      <c r="B2089" s="3" t="s">
        <v>1601</v>
      </c>
      <c r="C2089" s="3" t="s">
        <v>1616</v>
      </c>
      <c r="D2089" s="3" t="s">
        <v>1427</v>
      </c>
      <c r="E2089" s="3" t="s">
        <v>1428</v>
      </c>
      <c r="F2089" s="2">
        <v>1</v>
      </c>
      <c r="G2089" s="4">
        <v>1.0669851697023987</v>
      </c>
      <c r="H2089" s="2">
        <v>25</v>
      </c>
      <c r="I2089" s="2">
        <v>5</v>
      </c>
      <c r="J2089" s="2">
        <v>1</v>
      </c>
      <c r="K2089" s="4">
        <v>0.35723870256276224</v>
      </c>
      <c r="L2089" s="4">
        <v>2.5315984767280399E-2</v>
      </c>
      <c r="M2089" s="4">
        <v>2.5315984767280399E-2</v>
      </c>
      <c r="N2089" s="10">
        <v>2.5000000000000001E-2</v>
      </c>
      <c r="O2089" s="4">
        <v>0.12554186558789357</v>
      </c>
      <c r="P2089" s="4">
        <v>0.12</v>
      </c>
      <c r="Q2089" s="3" t="s">
        <v>1597</v>
      </c>
      <c r="R2089" s="3" t="s">
        <v>1602</v>
      </c>
      <c r="S2089" s="3" t="s">
        <v>1603</v>
      </c>
      <c r="T2089" s="3"/>
    </row>
    <row r="2090" spans="1:20">
      <c r="A2090" s="3" t="s">
        <v>1600</v>
      </c>
      <c r="B2090" s="3" t="s">
        <v>1606</v>
      </c>
      <c r="C2090" s="3" t="s">
        <v>1596</v>
      </c>
      <c r="D2090" s="3" t="s">
        <v>1427</v>
      </c>
      <c r="E2090" s="3" t="s">
        <v>1428</v>
      </c>
      <c r="F2090" s="2">
        <v>1</v>
      </c>
      <c r="G2090" s="4">
        <v>1.0669851697023987</v>
      </c>
      <c r="H2090" s="2">
        <v>25</v>
      </c>
      <c r="I2090" s="2">
        <v>5</v>
      </c>
      <c r="J2090" s="2">
        <v>16</v>
      </c>
      <c r="K2090" s="4">
        <v>1</v>
      </c>
      <c r="L2090" s="4">
        <v>2.230065767278866E-2</v>
      </c>
      <c r="M2090" s="4">
        <v>2.230065767278866E-2</v>
      </c>
      <c r="N2090" s="10">
        <v>2.1999999999999999E-2</v>
      </c>
      <c r="O2090" s="4">
        <v>0.1105835755199181</v>
      </c>
      <c r="P2090" s="4">
        <v>0.11</v>
      </c>
      <c r="Q2090" s="3" t="s">
        <v>1597</v>
      </c>
      <c r="R2090" s="3" t="s">
        <v>1607</v>
      </c>
      <c r="S2090" s="3" t="s">
        <v>1608</v>
      </c>
      <c r="T2090" s="3"/>
    </row>
    <row r="2091" spans="1:20">
      <c r="A2091" s="3" t="s">
        <v>1604</v>
      </c>
      <c r="B2091" s="3" t="s">
        <v>1601</v>
      </c>
      <c r="C2091" s="3" t="s">
        <v>1616</v>
      </c>
      <c r="D2091" s="3" t="s">
        <v>1427</v>
      </c>
      <c r="E2091" s="3" t="s">
        <v>1428</v>
      </c>
      <c r="F2091" s="2">
        <v>1</v>
      </c>
      <c r="G2091" s="4">
        <v>1.0669851697023987</v>
      </c>
      <c r="H2091" s="2">
        <v>25</v>
      </c>
      <c r="I2091" s="2">
        <v>30</v>
      </c>
      <c r="J2091" s="2">
        <v>16</v>
      </c>
      <c r="K2091" s="4">
        <v>1</v>
      </c>
      <c r="L2091" s="4">
        <v>7.1342571839095254E-3</v>
      </c>
      <c r="M2091" s="4">
        <v>7.1342571839095254E-3</v>
      </c>
      <c r="N2091" s="10">
        <v>7.0000000000000001E-3</v>
      </c>
      <c r="O2091" s="4">
        <v>3.5371793143926383E-2</v>
      </c>
      <c r="P2091" s="4">
        <v>0.03</v>
      </c>
      <c r="Q2091" s="3" t="s">
        <v>1597</v>
      </c>
      <c r="R2091" s="3" t="s">
        <v>1602</v>
      </c>
      <c r="S2091" s="3" t="s">
        <v>1603</v>
      </c>
      <c r="T2091" s="3"/>
    </row>
    <row r="2092" spans="1:20">
      <c r="A2092" s="3" t="s">
        <v>1600</v>
      </c>
      <c r="B2092" s="3" t="s">
        <v>1606</v>
      </c>
      <c r="C2092" s="3" t="s">
        <v>1596</v>
      </c>
      <c r="D2092" s="3" t="s">
        <v>1427</v>
      </c>
      <c r="E2092" s="3" t="s">
        <v>1428</v>
      </c>
      <c r="F2092" s="2">
        <v>1</v>
      </c>
      <c r="G2092" s="4">
        <v>1.0669851697023987</v>
      </c>
      <c r="H2092" s="2">
        <v>25</v>
      </c>
      <c r="I2092" s="2">
        <v>5</v>
      </c>
      <c r="J2092" s="2">
        <v>1</v>
      </c>
      <c r="K2092" s="4">
        <v>0.7492486561125874</v>
      </c>
      <c r="L2092" s="4">
        <v>-8.6066842182604027E-3</v>
      </c>
      <c r="M2092" s="4">
        <v>8.6066842182604027E-3</v>
      </c>
      <c r="N2092" s="10">
        <v>8.9999999999999993E-3</v>
      </c>
      <c r="O2092" s="4">
        <v>4.2672446213504397E-2</v>
      </c>
      <c r="P2092" s="4">
        <v>-0.04</v>
      </c>
      <c r="Q2092" s="3" t="s">
        <v>1617</v>
      </c>
      <c r="R2092" s="3" t="s">
        <v>1621</v>
      </c>
      <c r="S2092" s="3" t="s">
        <v>1622</v>
      </c>
      <c r="T2092" s="3"/>
    </row>
    <row r="2093" spans="1:20">
      <c r="A2093" s="3" t="s">
        <v>1600</v>
      </c>
      <c r="B2093" s="3" t="s">
        <v>1606</v>
      </c>
      <c r="C2093" s="3" t="s">
        <v>1616</v>
      </c>
      <c r="D2093" s="3" t="s">
        <v>1427</v>
      </c>
      <c r="E2093" s="3" t="s">
        <v>1428</v>
      </c>
      <c r="F2093" s="2">
        <v>1</v>
      </c>
      <c r="G2093" s="4">
        <v>1.0669851697023987</v>
      </c>
      <c r="H2093" s="2">
        <v>25</v>
      </c>
      <c r="I2093" s="2">
        <v>5</v>
      </c>
      <c r="J2093" s="2">
        <v>16</v>
      </c>
      <c r="K2093" s="4">
        <v>0.98789401796303711</v>
      </c>
      <c r="L2093" s="4">
        <v>-2.3986650325477817E-2</v>
      </c>
      <c r="M2093" s="4">
        <v>2.3986650325477817E-2</v>
      </c>
      <c r="N2093" s="10">
        <v>2.4E-2</v>
      </c>
      <c r="O2093" s="4">
        <v>0.11894710150864958</v>
      </c>
      <c r="P2093" s="4">
        <v>-0.12</v>
      </c>
      <c r="Q2093" s="3" t="s">
        <v>1617</v>
      </c>
      <c r="R2093" s="3" t="s">
        <v>1621</v>
      </c>
      <c r="S2093" s="3" t="s">
        <v>1622</v>
      </c>
      <c r="T2093" s="3"/>
    </row>
    <row r="2094" spans="1:20">
      <c r="A2094" s="3" t="s">
        <v>1600</v>
      </c>
      <c r="B2094" s="3" t="s">
        <v>1609</v>
      </c>
      <c r="C2094" s="3" t="s">
        <v>1596</v>
      </c>
      <c r="D2094" s="3" t="s">
        <v>1427</v>
      </c>
      <c r="E2094" s="3" t="s">
        <v>1428</v>
      </c>
      <c r="F2094" s="2">
        <v>1</v>
      </c>
      <c r="G2094" s="4">
        <v>1.0669851697023987</v>
      </c>
      <c r="H2094" s="2">
        <v>25</v>
      </c>
      <c r="I2094" s="2">
        <v>5</v>
      </c>
      <c r="J2094" s="2">
        <v>16</v>
      </c>
      <c r="K2094" s="4">
        <v>1</v>
      </c>
      <c r="L2094" s="4">
        <v>-8.7188080704887663E-2</v>
      </c>
      <c r="M2094" s="4">
        <v>8.7188080704887663E-2</v>
      </c>
      <c r="N2094" s="10">
        <v>8.6999999999999994E-2</v>
      </c>
      <c r="O2094" s="4">
        <v>0.43337332312341537</v>
      </c>
      <c r="P2094" s="4">
        <v>-0.43</v>
      </c>
      <c r="Q2094" s="3" t="s">
        <v>1617</v>
      </c>
      <c r="R2094" s="3" t="s">
        <v>1623</v>
      </c>
      <c r="S2094" s="3" t="s">
        <v>1624</v>
      </c>
      <c r="T2094" s="3"/>
    </row>
    <row r="2095" spans="1:20">
      <c r="A2095" s="3" t="s">
        <v>1600</v>
      </c>
      <c r="B2095" s="3" t="s">
        <v>1609</v>
      </c>
      <c r="C2095" s="3" t="s">
        <v>1596</v>
      </c>
      <c r="D2095" s="3" t="s">
        <v>1427</v>
      </c>
      <c r="E2095" s="3" t="s">
        <v>1428</v>
      </c>
      <c r="F2095" s="2">
        <v>1</v>
      </c>
      <c r="G2095" s="4">
        <v>1.0669851697023987</v>
      </c>
      <c r="H2095" s="2">
        <v>25</v>
      </c>
      <c r="I2095" s="2">
        <v>5</v>
      </c>
      <c r="J2095" s="2">
        <v>1</v>
      </c>
      <c r="K2095" s="4">
        <v>0.26929712066250877</v>
      </c>
      <c r="L2095" s="4">
        <v>-0.10788013682839162</v>
      </c>
      <c r="M2095" s="4">
        <v>0.10788013682839162</v>
      </c>
      <c r="N2095" s="10">
        <v>0.108</v>
      </c>
      <c r="O2095" s="4">
        <v>0.53695239575419973</v>
      </c>
      <c r="P2095" s="4">
        <v>-0.54</v>
      </c>
      <c r="Q2095" s="3" t="s">
        <v>1617</v>
      </c>
      <c r="R2095" s="3" t="s">
        <v>1623</v>
      </c>
      <c r="S2095" s="3" t="s">
        <v>1624</v>
      </c>
      <c r="T2095" s="3"/>
    </row>
    <row r="2096" spans="1:20">
      <c r="A2096" s="3" t="s">
        <v>1594</v>
      </c>
      <c r="B2096" s="3" t="s">
        <v>1595</v>
      </c>
      <c r="C2096" s="3" t="s">
        <v>1596</v>
      </c>
      <c r="D2096" s="3" t="s">
        <v>1427</v>
      </c>
      <c r="E2096" s="3" t="s">
        <v>1428</v>
      </c>
      <c r="F2096" s="2">
        <v>1</v>
      </c>
      <c r="G2096" s="4">
        <v>1.0669851697023987</v>
      </c>
      <c r="H2096" s="2">
        <v>25</v>
      </c>
      <c r="I2096" s="2">
        <v>5</v>
      </c>
      <c r="J2096" s="2">
        <v>16</v>
      </c>
      <c r="K2096" s="4">
        <v>0.82603178709619907</v>
      </c>
      <c r="L2096" s="4">
        <v>-0.12761800956355132</v>
      </c>
      <c r="M2096" s="4">
        <v>0.12761800956355132</v>
      </c>
      <c r="N2096" s="10">
        <v>0.128</v>
      </c>
      <c r="O2096" s="4">
        <v>0.63619084115044078</v>
      </c>
      <c r="P2096" s="4">
        <v>-0.64</v>
      </c>
      <c r="Q2096" s="3" t="s">
        <v>1617</v>
      </c>
      <c r="R2096" s="3" t="s">
        <v>1625</v>
      </c>
      <c r="S2096" s="3" t="s">
        <v>1626</v>
      </c>
      <c r="T2096" s="3"/>
    </row>
    <row r="2097" spans="1:20">
      <c r="A2097" s="3" t="s">
        <v>1594</v>
      </c>
      <c r="B2097" s="3" t="s">
        <v>1595</v>
      </c>
      <c r="C2097" s="3" t="s">
        <v>1596</v>
      </c>
      <c r="D2097" s="3" t="s">
        <v>1427</v>
      </c>
      <c r="E2097" s="3" t="s">
        <v>1428</v>
      </c>
      <c r="F2097" s="2">
        <v>1</v>
      </c>
      <c r="G2097" s="4">
        <v>1.0669851697023987</v>
      </c>
      <c r="H2097" s="2">
        <v>50</v>
      </c>
      <c r="I2097" s="2">
        <v>5</v>
      </c>
      <c r="J2097" s="2">
        <v>16</v>
      </c>
      <c r="K2097" s="4">
        <v>1</v>
      </c>
      <c r="L2097" s="4">
        <v>-0.21708630870604434</v>
      </c>
      <c r="M2097" s="4">
        <v>0.21708630870604434</v>
      </c>
      <c r="N2097" s="10">
        <v>0.217</v>
      </c>
      <c r="O2097" s="4">
        <v>1.1854096716088649</v>
      </c>
      <c r="P2097" s="4">
        <v>-1.18</v>
      </c>
      <c r="Q2097" s="3" t="s">
        <v>1617</v>
      </c>
      <c r="R2097" s="3" t="s">
        <v>1625</v>
      </c>
      <c r="S2097" s="3" t="s">
        <v>1626</v>
      </c>
      <c r="T2097" s="3"/>
    </row>
    <row r="2098" spans="1:20">
      <c r="A2098" s="3" t="s">
        <v>1600</v>
      </c>
      <c r="B2098" s="3" t="s">
        <v>1609</v>
      </c>
      <c r="C2098" s="3" t="s">
        <v>1596</v>
      </c>
      <c r="D2098" s="3" t="s">
        <v>694</v>
      </c>
      <c r="E2098" s="3" t="s">
        <v>695</v>
      </c>
      <c r="F2098" s="2">
        <v>1</v>
      </c>
      <c r="G2098" s="4">
        <v>1.0671373839086915</v>
      </c>
      <c r="H2098" s="2">
        <v>25</v>
      </c>
      <c r="I2098" s="2">
        <v>5</v>
      </c>
      <c r="J2098" s="2">
        <v>16</v>
      </c>
      <c r="K2098" s="4">
        <v>1</v>
      </c>
      <c r="L2098" s="4">
        <v>0.73124127763131364</v>
      </c>
      <c r="M2098" s="4">
        <v>0.73124127763131364</v>
      </c>
      <c r="N2098" s="10">
        <v>0.73099999999999998</v>
      </c>
      <c r="O2098" s="4">
        <v>4.617772082910208</v>
      </c>
      <c r="P2098" s="4">
        <v>4.62</v>
      </c>
      <c r="Q2098" s="3" t="s">
        <v>1597</v>
      </c>
      <c r="R2098" s="3" t="s">
        <v>1610</v>
      </c>
      <c r="S2098" s="3" t="s">
        <v>1611</v>
      </c>
      <c r="T2098" s="3"/>
    </row>
    <row r="2099" spans="1:20">
      <c r="A2099" s="3" t="s">
        <v>1600</v>
      </c>
      <c r="B2099" s="3" t="s">
        <v>1609</v>
      </c>
      <c r="C2099" s="3" t="s">
        <v>1596</v>
      </c>
      <c r="D2099" s="3" t="s">
        <v>694</v>
      </c>
      <c r="E2099" s="3" t="s">
        <v>695</v>
      </c>
      <c r="F2099" s="2">
        <v>1</v>
      </c>
      <c r="G2099" s="4">
        <v>1.0671373839086915</v>
      </c>
      <c r="H2099" s="2">
        <v>25</v>
      </c>
      <c r="I2099" s="2">
        <v>5</v>
      </c>
      <c r="J2099" s="2">
        <v>1</v>
      </c>
      <c r="K2099" s="11">
        <v>1</v>
      </c>
      <c r="L2099" s="11">
        <v>0.68656731552493977</v>
      </c>
      <c r="M2099" s="4">
        <v>0.68656731552493977</v>
      </c>
      <c r="N2099" s="10">
        <v>0.68700000000000006</v>
      </c>
      <c r="O2099" s="4">
        <v>4.1717711417414804</v>
      </c>
      <c r="P2099" s="4">
        <v>4.18</v>
      </c>
      <c r="Q2099" s="3" t="s">
        <v>1597</v>
      </c>
      <c r="R2099" s="3" t="s">
        <v>1610</v>
      </c>
      <c r="S2099" s="3" t="s">
        <v>1611</v>
      </c>
      <c r="T2099" s="3"/>
    </row>
    <row r="2100" spans="1:20">
      <c r="A2100" s="12" t="s">
        <v>1605</v>
      </c>
      <c r="B2100" s="3" t="s">
        <v>1601</v>
      </c>
      <c r="C2100" s="3" t="s">
        <v>1596</v>
      </c>
      <c r="D2100" s="3" t="s">
        <v>694</v>
      </c>
      <c r="E2100" s="3" t="s">
        <v>695</v>
      </c>
      <c r="F2100" s="2">
        <v>1</v>
      </c>
      <c r="G2100" s="4">
        <v>1.0671373839086915</v>
      </c>
      <c r="H2100" s="2">
        <v>25</v>
      </c>
      <c r="I2100" s="2">
        <v>5</v>
      </c>
      <c r="J2100" s="2">
        <v>16</v>
      </c>
      <c r="K2100" s="11">
        <v>1</v>
      </c>
      <c r="L2100" s="11">
        <v>0.62304002039947837</v>
      </c>
      <c r="M2100" s="4">
        <v>0.62304002039947837</v>
      </c>
      <c r="N2100" s="10">
        <v>0.623</v>
      </c>
      <c r="O2100" s="4">
        <v>3.619088273439715</v>
      </c>
      <c r="P2100" s="4">
        <v>3.62</v>
      </c>
      <c r="Q2100" s="3" t="s">
        <v>1597</v>
      </c>
      <c r="R2100" s="3" t="s">
        <v>1602</v>
      </c>
      <c r="S2100" s="3" t="s">
        <v>1603</v>
      </c>
      <c r="T2100" s="3"/>
    </row>
    <row r="2101" spans="1:20">
      <c r="A2101" s="3" t="s">
        <v>1600</v>
      </c>
      <c r="B2101" s="3" t="s">
        <v>1601</v>
      </c>
      <c r="C2101" s="3" t="s">
        <v>1616</v>
      </c>
      <c r="D2101" s="3" t="s">
        <v>694</v>
      </c>
      <c r="E2101" s="3" t="s">
        <v>695</v>
      </c>
      <c r="F2101" s="2">
        <v>1</v>
      </c>
      <c r="G2101" s="4">
        <v>1.0671373839086915</v>
      </c>
      <c r="H2101" s="2">
        <v>25</v>
      </c>
      <c r="I2101" s="2">
        <v>5</v>
      </c>
      <c r="J2101" s="2">
        <v>1</v>
      </c>
      <c r="K2101" s="4">
        <v>1</v>
      </c>
      <c r="L2101" s="4">
        <v>0.60786965475144239</v>
      </c>
      <c r="M2101" s="4">
        <v>0.60786965475144239</v>
      </c>
      <c r="N2101" s="10">
        <v>0.60799999999999998</v>
      </c>
      <c r="O2101" s="4">
        <v>3.4980003199783858</v>
      </c>
      <c r="P2101" s="4">
        <v>3.5</v>
      </c>
      <c r="Q2101" s="3" t="s">
        <v>1597</v>
      </c>
      <c r="R2101" s="3" t="s">
        <v>1602</v>
      </c>
      <c r="S2101" s="3" t="s">
        <v>1603</v>
      </c>
      <c r="T2101" s="3"/>
    </row>
    <row r="2102" spans="1:20">
      <c r="A2102" s="3" t="s">
        <v>1600</v>
      </c>
      <c r="B2102" s="3" t="s">
        <v>1601</v>
      </c>
      <c r="C2102" s="3" t="s">
        <v>1596</v>
      </c>
      <c r="D2102" s="3" t="s">
        <v>694</v>
      </c>
      <c r="E2102" s="3" t="s">
        <v>695</v>
      </c>
      <c r="F2102" s="2">
        <v>1</v>
      </c>
      <c r="G2102" s="4">
        <v>1.0671373839086915</v>
      </c>
      <c r="H2102" s="2">
        <v>25</v>
      </c>
      <c r="I2102" s="2">
        <v>5</v>
      </c>
      <c r="J2102" s="2">
        <v>1</v>
      </c>
      <c r="K2102" s="4">
        <v>1</v>
      </c>
      <c r="L2102" s="4">
        <v>0.60756084428597223</v>
      </c>
      <c r="M2102" s="4">
        <v>0.60756084428597223</v>
      </c>
      <c r="N2102" s="10">
        <v>0.60799999999999998</v>
      </c>
      <c r="O2102" s="4">
        <v>3.495572690411596</v>
      </c>
      <c r="P2102" s="4">
        <v>3.5</v>
      </c>
      <c r="Q2102" s="3" t="s">
        <v>1597</v>
      </c>
      <c r="R2102" s="3" t="s">
        <v>1602</v>
      </c>
      <c r="S2102" s="3" t="s">
        <v>1603</v>
      </c>
      <c r="T2102" s="3"/>
    </row>
    <row r="2103" spans="1:20">
      <c r="A2103" s="3" t="s">
        <v>1600</v>
      </c>
      <c r="B2103" s="3" t="s">
        <v>1601</v>
      </c>
      <c r="C2103" s="3" t="s">
        <v>1596</v>
      </c>
      <c r="D2103" s="3" t="s">
        <v>694</v>
      </c>
      <c r="E2103" s="3" t="s">
        <v>695</v>
      </c>
      <c r="F2103" s="2">
        <v>1</v>
      </c>
      <c r="G2103" s="4">
        <v>1.0671373839086915</v>
      </c>
      <c r="H2103" s="2">
        <v>25</v>
      </c>
      <c r="I2103" s="2">
        <v>5</v>
      </c>
      <c r="J2103" s="2">
        <v>16</v>
      </c>
      <c r="K2103" s="4">
        <v>1</v>
      </c>
      <c r="L2103" s="4">
        <v>0.59876098698312918</v>
      </c>
      <c r="M2103" s="4">
        <v>0.59876098698312918</v>
      </c>
      <c r="N2103" s="10">
        <v>0.59899999999999998</v>
      </c>
      <c r="O2103" s="4">
        <v>3.4269923709787551</v>
      </c>
      <c r="P2103" s="4">
        <v>3.43</v>
      </c>
      <c r="Q2103" s="3" t="s">
        <v>1597</v>
      </c>
      <c r="R2103" s="3" t="s">
        <v>1602</v>
      </c>
      <c r="S2103" s="3" t="s">
        <v>1603</v>
      </c>
      <c r="T2103" s="3"/>
    </row>
    <row r="2104" spans="1:20">
      <c r="A2104" s="3" t="s">
        <v>1600</v>
      </c>
      <c r="B2104" s="3" t="s">
        <v>1601</v>
      </c>
      <c r="C2104" s="3" t="s">
        <v>1616</v>
      </c>
      <c r="D2104" s="3" t="s">
        <v>694</v>
      </c>
      <c r="E2104" s="3" t="s">
        <v>695</v>
      </c>
      <c r="F2104" s="2">
        <v>1</v>
      </c>
      <c r="G2104" s="4">
        <v>1.0671373839086915</v>
      </c>
      <c r="H2104" s="2">
        <v>25</v>
      </c>
      <c r="I2104" s="2">
        <v>5</v>
      </c>
      <c r="J2104" s="2">
        <v>16</v>
      </c>
      <c r="K2104" s="4">
        <v>1</v>
      </c>
      <c r="L2104" s="4">
        <v>0.58957735405372458</v>
      </c>
      <c r="M2104" s="4">
        <v>0.58957735405372458</v>
      </c>
      <c r="N2104" s="10">
        <v>0.59</v>
      </c>
      <c r="O2104" s="4">
        <v>3.3566120831454809</v>
      </c>
      <c r="P2104" s="4">
        <v>3.36</v>
      </c>
      <c r="Q2104" s="3" t="s">
        <v>1597</v>
      </c>
      <c r="R2104" s="3" t="s">
        <v>1602</v>
      </c>
      <c r="S2104" s="3" t="s">
        <v>1603</v>
      </c>
      <c r="T2104" s="3"/>
    </row>
    <row r="2105" spans="1:20">
      <c r="A2105" s="3" t="s">
        <v>1604</v>
      </c>
      <c r="B2105" s="3" t="s">
        <v>1601</v>
      </c>
      <c r="C2105" s="3" t="s">
        <v>1616</v>
      </c>
      <c r="D2105" s="3" t="s">
        <v>694</v>
      </c>
      <c r="E2105" s="3" t="s">
        <v>695</v>
      </c>
      <c r="F2105" s="2">
        <v>1</v>
      </c>
      <c r="G2105" s="4">
        <v>1.0671373839086915</v>
      </c>
      <c r="H2105" s="2">
        <v>25</v>
      </c>
      <c r="I2105" s="2">
        <v>30</v>
      </c>
      <c r="J2105" s="2">
        <v>16</v>
      </c>
      <c r="K2105" s="4">
        <v>1</v>
      </c>
      <c r="L2105" s="4">
        <v>0.55220480673992667</v>
      </c>
      <c r="M2105" s="4">
        <v>0.55220480673992667</v>
      </c>
      <c r="N2105" s="10">
        <v>0.55200000000000005</v>
      </c>
      <c r="O2105" s="4">
        <v>3.0815946419854883</v>
      </c>
      <c r="P2105" s="4">
        <v>3.08</v>
      </c>
      <c r="Q2105" s="3" t="s">
        <v>1597</v>
      </c>
      <c r="R2105" s="3" t="s">
        <v>1602</v>
      </c>
      <c r="S2105" s="3" t="s">
        <v>1603</v>
      </c>
      <c r="T2105" s="3"/>
    </row>
    <row r="2106" spans="1:20">
      <c r="A2106" s="3" t="s">
        <v>1604</v>
      </c>
      <c r="B2106" s="3" t="s">
        <v>1601</v>
      </c>
      <c r="C2106" s="3" t="s">
        <v>1596</v>
      </c>
      <c r="D2106" s="3" t="s">
        <v>694</v>
      </c>
      <c r="E2106" s="3" t="s">
        <v>695</v>
      </c>
      <c r="F2106" s="2">
        <v>1</v>
      </c>
      <c r="G2106" s="4">
        <v>1.0671373839086915</v>
      </c>
      <c r="H2106" s="2">
        <v>25</v>
      </c>
      <c r="I2106" s="2">
        <v>30</v>
      </c>
      <c r="J2106" s="2">
        <v>16</v>
      </c>
      <c r="K2106" s="4">
        <v>1</v>
      </c>
      <c r="L2106" s="4">
        <v>0.49328399298700176</v>
      </c>
      <c r="M2106" s="4">
        <v>0.49328399298700176</v>
      </c>
      <c r="N2106" s="10">
        <v>0.49299999999999999</v>
      </c>
      <c r="O2106" s="4">
        <v>2.6792249086766589</v>
      </c>
      <c r="P2106" s="4">
        <v>2.68</v>
      </c>
      <c r="Q2106" s="3" t="s">
        <v>1597</v>
      </c>
      <c r="R2106" s="3" t="s">
        <v>1602</v>
      </c>
      <c r="S2106" s="3" t="s">
        <v>1603</v>
      </c>
      <c r="T2106" s="3"/>
    </row>
    <row r="2107" spans="1:20">
      <c r="A2107" s="3" t="s">
        <v>1600</v>
      </c>
      <c r="B2107" s="3" t="s">
        <v>1606</v>
      </c>
      <c r="C2107" s="3" t="s">
        <v>1596</v>
      </c>
      <c r="D2107" s="3" t="s">
        <v>694</v>
      </c>
      <c r="E2107" s="3" t="s">
        <v>695</v>
      </c>
      <c r="F2107" s="2">
        <v>1</v>
      </c>
      <c r="G2107" s="4">
        <v>1.0671373839086915</v>
      </c>
      <c r="H2107" s="2">
        <v>25</v>
      </c>
      <c r="I2107" s="2">
        <v>5</v>
      </c>
      <c r="J2107" s="2">
        <v>16</v>
      </c>
      <c r="K2107" s="11">
        <v>1</v>
      </c>
      <c r="L2107" s="11">
        <v>0.44875547809607602</v>
      </c>
      <c r="M2107" s="4">
        <v>0.44875547809607602</v>
      </c>
      <c r="N2107" s="10">
        <v>0.44900000000000001</v>
      </c>
      <c r="O2107" s="4">
        <v>2.3953815496163759</v>
      </c>
      <c r="P2107" s="4">
        <v>2.4</v>
      </c>
      <c r="Q2107" s="3" t="s">
        <v>1597</v>
      </c>
      <c r="R2107" s="3" t="s">
        <v>1607</v>
      </c>
      <c r="S2107" s="3" t="s">
        <v>1608</v>
      </c>
      <c r="T2107" s="3"/>
    </row>
    <row r="2108" spans="1:20">
      <c r="A2108" s="3" t="s">
        <v>1600</v>
      </c>
      <c r="B2108" s="3" t="s">
        <v>1609</v>
      </c>
      <c r="C2108" s="3" t="s">
        <v>1616</v>
      </c>
      <c r="D2108" s="3" t="s">
        <v>694</v>
      </c>
      <c r="E2108" s="3" t="s">
        <v>695</v>
      </c>
      <c r="F2108" s="2">
        <v>1</v>
      </c>
      <c r="G2108" s="4">
        <v>1.0671373839086915</v>
      </c>
      <c r="H2108" s="2">
        <v>25</v>
      </c>
      <c r="I2108" s="2">
        <v>5</v>
      </c>
      <c r="J2108" s="2">
        <v>1</v>
      </c>
      <c r="K2108" s="4">
        <v>1</v>
      </c>
      <c r="L2108" s="4">
        <v>0.44801548993811519</v>
      </c>
      <c r="M2108" s="4">
        <v>0.44801548993811519</v>
      </c>
      <c r="N2108" s="10">
        <v>0.44800000000000001</v>
      </c>
      <c r="O2108" s="4">
        <v>2.3907895069284675</v>
      </c>
      <c r="P2108" s="4">
        <v>2.39</v>
      </c>
      <c r="Q2108" s="3" t="s">
        <v>1597</v>
      </c>
      <c r="R2108" s="3" t="s">
        <v>1610</v>
      </c>
      <c r="S2108" s="3" t="s">
        <v>1611</v>
      </c>
      <c r="T2108" s="3"/>
    </row>
    <row r="2109" spans="1:20">
      <c r="A2109" s="3" t="s">
        <v>1600</v>
      </c>
      <c r="B2109" s="3" t="s">
        <v>1606</v>
      </c>
      <c r="C2109" s="3" t="s">
        <v>1596</v>
      </c>
      <c r="D2109" s="3" t="s">
        <v>694</v>
      </c>
      <c r="E2109" s="3" t="s">
        <v>695</v>
      </c>
      <c r="F2109" s="2">
        <v>1</v>
      </c>
      <c r="G2109" s="4">
        <v>1.0671373839086915</v>
      </c>
      <c r="H2109" s="2">
        <v>25</v>
      </c>
      <c r="I2109" s="2">
        <v>5</v>
      </c>
      <c r="J2109" s="2">
        <v>1</v>
      </c>
      <c r="K2109" s="11">
        <v>1</v>
      </c>
      <c r="L2109" s="11">
        <v>0.4134645156805874</v>
      </c>
      <c r="M2109" s="4">
        <v>0.4134645156805874</v>
      </c>
      <c r="N2109" s="10">
        <v>0.41299999999999998</v>
      </c>
      <c r="O2109" s="4">
        <v>2.1804158859689116</v>
      </c>
      <c r="P2109" s="4">
        <v>2.1800000000000002</v>
      </c>
      <c r="Q2109" s="3" t="s">
        <v>1597</v>
      </c>
      <c r="R2109" s="3" t="s">
        <v>1607</v>
      </c>
      <c r="S2109" s="3" t="s">
        <v>1608</v>
      </c>
      <c r="T2109" s="3"/>
    </row>
    <row r="2110" spans="1:20">
      <c r="A2110" s="3" t="s">
        <v>1600</v>
      </c>
      <c r="B2110" s="3" t="s">
        <v>1609</v>
      </c>
      <c r="C2110" s="3" t="s">
        <v>1616</v>
      </c>
      <c r="D2110" s="3" t="s">
        <v>694</v>
      </c>
      <c r="E2110" s="3" t="s">
        <v>695</v>
      </c>
      <c r="F2110" s="2">
        <v>1</v>
      </c>
      <c r="G2110" s="4">
        <v>1.0671373839086915</v>
      </c>
      <c r="H2110" s="2">
        <v>25</v>
      </c>
      <c r="I2110" s="2">
        <v>5</v>
      </c>
      <c r="J2110" s="2">
        <v>16</v>
      </c>
      <c r="K2110" s="11">
        <v>1</v>
      </c>
      <c r="L2110" s="11">
        <v>0.38324230120932096</v>
      </c>
      <c r="M2110" s="4">
        <v>0.38324230120932096</v>
      </c>
      <c r="N2110" s="10">
        <v>0.38300000000000001</v>
      </c>
      <c r="O2110" s="4">
        <v>2.0022855944832401</v>
      </c>
      <c r="P2110" s="4">
        <v>2</v>
      </c>
      <c r="Q2110" s="3" t="s">
        <v>1597</v>
      </c>
      <c r="R2110" s="3" t="s">
        <v>1610</v>
      </c>
      <c r="S2110" s="3" t="s">
        <v>1611</v>
      </c>
      <c r="T2110" s="3"/>
    </row>
    <row r="2111" spans="1:20">
      <c r="A2111" s="3" t="s">
        <v>1600</v>
      </c>
      <c r="B2111" s="3" t="s">
        <v>1606</v>
      </c>
      <c r="C2111" s="3" t="s">
        <v>1616</v>
      </c>
      <c r="D2111" s="3" t="s">
        <v>694</v>
      </c>
      <c r="E2111" s="3" t="s">
        <v>695</v>
      </c>
      <c r="F2111" s="2">
        <v>1</v>
      </c>
      <c r="G2111" s="4">
        <v>1.0671373839086915</v>
      </c>
      <c r="H2111" s="2">
        <v>25</v>
      </c>
      <c r="I2111" s="2">
        <v>5</v>
      </c>
      <c r="J2111" s="2">
        <v>16</v>
      </c>
      <c r="K2111" s="11">
        <v>1</v>
      </c>
      <c r="L2111" s="11">
        <v>0.38138882507285105</v>
      </c>
      <c r="M2111" s="4">
        <v>0.38138882507285105</v>
      </c>
      <c r="N2111" s="10">
        <v>0.38100000000000001</v>
      </c>
      <c r="O2111" s="4">
        <v>1.9915230654879466</v>
      </c>
      <c r="P2111" s="4">
        <v>1.99</v>
      </c>
      <c r="Q2111" s="3" t="s">
        <v>1597</v>
      </c>
      <c r="R2111" s="3" t="s">
        <v>1607</v>
      </c>
      <c r="S2111" s="3" t="s">
        <v>1608</v>
      </c>
      <c r="T2111" s="3"/>
    </row>
    <row r="2112" spans="1:20">
      <c r="A2112" s="3" t="s">
        <v>1600</v>
      </c>
      <c r="B2112" s="3" t="s">
        <v>1606</v>
      </c>
      <c r="C2112" s="3" t="s">
        <v>1616</v>
      </c>
      <c r="D2112" s="3" t="s">
        <v>694</v>
      </c>
      <c r="E2112" s="3" t="s">
        <v>695</v>
      </c>
      <c r="F2112" s="2">
        <v>1</v>
      </c>
      <c r="G2112" s="4">
        <v>1.0671373839086915</v>
      </c>
      <c r="H2112" s="2">
        <v>25</v>
      </c>
      <c r="I2112" s="2">
        <v>5</v>
      </c>
      <c r="J2112" s="2">
        <v>1</v>
      </c>
      <c r="K2112" s="4">
        <v>1</v>
      </c>
      <c r="L2112" s="4">
        <v>0.36063815097666418</v>
      </c>
      <c r="M2112" s="4">
        <v>0.36063815097666418</v>
      </c>
      <c r="N2112" s="10">
        <v>0.36099999999999999</v>
      </c>
      <c r="O2112" s="4">
        <v>1.8722122787407973</v>
      </c>
      <c r="P2112" s="4">
        <v>1.87</v>
      </c>
      <c r="Q2112" s="3" t="s">
        <v>1597</v>
      </c>
      <c r="R2112" s="3" t="s">
        <v>1607</v>
      </c>
      <c r="S2112" s="3" t="s">
        <v>1608</v>
      </c>
      <c r="T2112" s="3"/>
    </row>
    <row r="2113" spans="1:20">
      <c r="A2113" s="3" t="s">
        <v>1594</v>
      </c>
      <c r="B2113" s="3" t="s">
        <v>1612</v>
      </c>
      <c r="C2113" s="3" t="s">
        <v>1596</v>
      </c>
      <c r="D2113" s="3" t="s">
        <v>694</v>
      </c>
      <c r="E2113" s="3" t="s">
        <v>695</v>
      </c>
      <c r="F2113" s="2">
        <v>1</v>
      </c>
      <c r="G2113" s="4">
        <v>1.0671373839086915</v>
      </c>
      <c r="H2113" s="2">
        <v>50</v>
      </c>
      <c r="I2113" s="2">
        <v>5</v>
      </c>
      <c r="J2113" s="2">
        <v>16</v>
      </c>
      <c r="K2113" s="4">
        <v>0.65031982942430711</v>
      </c>
      <c r="L2113" s="14">
        <v>-0.20729189655100619</v>
      </c>
      <c r="M2113" s="4">
        <v>0.20729189655100619</v>
      </c>
      <c r="N2113" s="10">
        <v>0.20699999999999999</v>
      </c>
      <c r="O2113" s="4">
        <v>1.1302958367111759</v>
      </c>
      <c r="P2113" s="4">
        <v>-1.1299999999999999</v>
      </c>
      <c r="Q2113" s="3" t="s">
        <v>1617</v>
      </c>
      <c r="R2113" s="3" t="s">
        <v>1627</v>
      </c>
      <c r="S2113" s="3" t="s">
        <v>1628</v>
      </c>
      <c r="T2113" s="3"/>
    </row>
    <row r="2114" spans="1:20">
      <c r="A2114" s="3" t="s">
        <v>1594</v>
      </c>
      <c r="B2114" s="3" t="s">
        <v>1595</v>
      </c>
      <c r="C2114" s="3" t="s">
        <v>1596</v>
      </c>
      <c r="D2114" s="3" t="s">
        <v>694</v>
      </c>
      <c r="E2114" s="3" t="s">
        <v>695</v>
      </c>
      <c r="F2114" s="2">
        <v>1</v>
      </c>
      <c r="G2114" s="4">
        <v>1.0671373839086915</v>
      </c>
      <c r="H2114" s="2">
        <v>50</v>
      </c>
      <c r="I2114" s="2">
        <v>5</v>
      </c>
      <c r="J2114" s="2">
        <v>16</v>
      </c>
      <c r="K2114" s="4">
        <v>1</v>
      </c>
      <c r="L2114" s="14">
        <v>-0.56390722279172223</v>
      </c>
      <c r="M2114" s="4">
        <v>0.56390722279172223</v>
      </c>
      <c r="N2114" s="10">
        <v>0.56399999999999995</v>
      </c>
      <c r="O2114" s="4">
        <v>3.4313181018170686</v>
      </c>
      <c r="P2114" s="4">
        <v>-3.43</v>
      </c>
      <c r="Q2114" s="3" t="s">
        <v>1617</v>
      </c>
      <c r="R2114" s="3" t="s">
        <v>1625</v>
      </c>
      <c r="S2114" s="3" t="s">
        <v>1626</v>
      </c>
      <c r="T2114" s="3"/>
    </row>
    <row r="2115" spans="1:20">
      <c r="A2115" s="3" t="s">
        <v>1600</v>
      </c>
      <c r="B2115" s="3" t="s">
        <v>1601</v>
      </c>
      <c r="C2115" s="3" t="s">
        <v>1596</v>
      </c>
      <c r="D2115" s="3" t="s">
        <v>370</v>
      </c>
      <c r="E2115" s="3" t="s">
        <v>371</v>
      </c>
      <c r="F2115" s="2">
        <v>1</v>
      </c>
      <c r="G2115" s="4">
        <v>1.0679024783397137</v>
      </c>
      <c r="H2115" s="2">
        <v>25</v>
      </c>
      <c r="I2115" s="2">
        <v>5</v>
      </c>
      <c r="J2115" s="2">
        <v>16</v>
      </c>
      <c r="K2115" s="4">
        <v>1</v>
      </c>
      <c r="L2115" s="4">
        <v>0.840248926129051</v>
      </c>
      <c r="M2115" s="4">
        <v>0.840248926129051</v>
      </c>
      <c r="N2115" s="10">
        <v>0.84</v>
      </c>
      <c r="O2115" s="4">
        <v>6.0586956727989802</v>
      </c>
      <c r="P2115" s="4">
        <v>6.05</v>
      </c>
      <c r="Q2115" s="3" t="s">
        <v>1597</v>
      </c>
      <c r="R2115" s="3" t="s">
        <v>1602</v>
      </c>
      <c r="S2115" s="3" t="s">
        <v>1603</v>
      </c>
      <c r="T2115" s="3"/>
    </row>
    <row r="2116" spans="1:20">
      <c r="A2116" s="3" t="s">
        <v>1600</v>
      </c>
      <c r="B2116" s="3" t="s">
        <v>1601</v>
      </c>
      <c r="C2116" s="3" t="s">
        <v>1596</v>
      </c>
      <c r="D2116" s="3" t="s">
        <v>370</v>
      </c>
      <c r="E2116" s="3" t="s">
        <v>371</v>
      </c>
      <c r="F2116" s="2">
        <v>1</v>
      </c>
      <c r="G2116" s="4">
        <v>1.0679024783397137</v>
      </c>
      <c r="H2116" s="2">
        <v>25</v>
      </c>
      <c r="I2116" s="2">
        <v>5</v>
      </c>
      <c r="J2116" s="2">
        <v>1</v>
      </c>
      <c r="K2116" s="4">
        <v>0.72662429611345103</v>
      </c>
      <c r="L2116" s="4">
        <v>0.82622988809947739</v>
      </c>
      <c r="M2116" s="4">
        <v>0.82622988809947739</v>
      </c>
      <c r="N2116" s="10">
        <v>0.82599999999999996</v>
      </c>
      <c r="O2116" s="4">
        <v>5.8312166502821272</v>
      </c>
      <c r="P2116" s="4">
        <v>5.83</v>
      </c>
      <c r="Q2116" s="3" t="s">
        <v>1597</v>
      </c>
      <c r="R2116" s="3" t="s">
        <v>1602</v>
      </c>
      <c r="S2116" s="3" t="s">
        <v>1603</v>
      </c>
      <c r="T2116" s="3"/>
    </row>
    <row r="2117" spans="1:20">
      <c r="A2117" s="12" t="s">
        <v>1605</v>
      </c>
      <c r="B2117" s="3" t="s">
        <v>1601</v>
      </c>
      <c r="C2117" s="3" t="s">
        <v>1596</v>
      </c>
      <c r="D2117" s="3" t="s">
        <v>370</v>
      </c>
      <c r="E2117" s="3" t="s">
        <v>371</v>
      </c>
      <c r="F2117" s="2">
        <v>1</v>
      </c>
      <c r="G2117" s="4">
        <v>1.0679024783397137</v>
      </c>
      <c r="H2117" s="2">
        <v>25</v>
      </c>
      <c r="I2117" s="2">
        <v>5</v>
      </c>
      <c r="J2117" s="2">
        <v>16</v>
      </c>
      <c r="K2117" s="11">
        <v>1</v>
      </c>
      <c r="L2117" s="11">
        <v>0.82512632646940531</v>
      </c>
      <c r="M2117" s="4">
        <v>0.82512632646940531</v>
      </c>
      <c r="N2117" s="10">
        <v>0.82499999999999996</v>
      </c>
      <c r="O2117" s="4">
        <v>5.8140247959069669</v>
      </c>
      <c r="P2117" s="4">
        <v>5.81</v>
      </c>
      <c r="Q2117" s="3" t="s">
        <v>1597</v>
      </c>
      <c r="R2117" s="3" t="s">
        <v>1602</v>
      </c>
      <c r="S2117" s="3" t="s">
        <v>1603</v>
      </c>
      <c r="T2117" s="3"/>
    </row>
    <row r="2118" spans="1:20">
      <c r="A2118" s="3" t="s">
        <v>1600</v>
      </c>
      <c r="B2118" s="3" t="s">
        <v>1606</v>
      </c>
      <c r="C2118" s="3" t="s">
        <v>1596</v>
      </c>
      <c r="D2118" s="3" t="s">
        <v>370</v>
      </c>
      <c r="E2118" s="3" t="s">
        <v>371</v>
      </c>
      <c r="F2118" s="2">
        <v>1</v>
      </c>
      <c r="G2118" s="4">
        <v>1.0679024783397137</v>
      </c>
      <c r="H2118" s="2">
        <v>25</v>
      </c>
      <c r="I2118" s="2">
        <v>5</v>
      </c>
      <c r="J2118" s="2">
        <v>16</v>
      </c>
      <c r="K2118" s="11">
        <v>1</v>
      </c>
      <c r="L2118" s="11">
        <v>0.82066744641745026</v>
      </c>
      <c r="M2118" s="4">
        <v>0.82066744641745026</v>
      </c>
      <c r="N2118" s="10">
        <v>0.82099999999999995</v>
      </c>
      <c r="O2118" s="4">
        <v>5.7455454873182212</v>
      </c>
      <c r="P2118" s="4">
        <v>5.75</v>
      </c>
      <c r="Q2118" s="3" t="s">
        <v>1597</v>
      </c>
      <c r="R2118" s="3" t="s">
        <v>1607</v>
      </c>
      <c r="S2118" s="3" t="s">
        <v>1608</v>
      </c>
      <c r="T2118" s="3"/>
    </row>
    <row r="2119" spans="1:20">
      <c r="A2119" s="3" t="s">
        <v>1600</v>
      </c>
      <c r="B2119" s="3" t="s">
        <v>1606</v>
      </c>
      <c r="C2119" s="3" t="s">
        <v>1596</v>
      </c>
      <c r="D2119" s="3" t="s">
        <v>370</v>
      </c>
      <c r="E2119" s="3" t="s">
        <v>371</v>
      </c>
      <c r="F2119" s="2">
        <v>1</v>
      </c>
      <c r="G2119" s="4">
        <v>1.0679024783397137</v>
      </c>
      <c r="H2119" s="2">
        <v>25</v>
      </c>
      <c r="I2119" s="2">
        <v>5</v>
      </c>
      <c r="J2119" s="2">
        <v>1</v>
      </c>
      <c r="K2119" s="11">
        <v>1</v>
      </c>
      <c r="L2119" s="11">
        <v>0.79119298829869367</v>
      </c>
      <c r="M2119" s="4">
        <v>0.79119298829869367</v>
      </c>
      <c r="N2119" s="10">
        <v>0.79100000000000004</v>
      </c>
      <c r="O2119" s="4">
        <v>5.3278646257581794</v>
      </c>
      <c r="P2119" s="4">
        <v>5.33</v>
      </c>
      <c r="Q2119" s="3" t="s">
        <v>1597</v>
      </c>
      <c r="R2119" s="3" t="s">
        <v>1607</v>
      </c>
      <c r="S2119" s="3" t="s">
        <v>1608</v>
      </c>
      <c r="T2119" s="3"/>
    </row>
    <row r="2120" spans="1:20">
      <c r="A2120" s="3" t="s">
        <v>1600</v>
      </c>
      <c r="B2120" s="3" t="s">
        <v>1601</v>
      </c>
      <c r="C2120" s="3" t="s">
        <v>1616</v>
      </c>
      <c r="D2120" s="3" t="s">
        <v>370</v>
      </c>
      <c r="E2120" s="3" t="s">
        <v>371</v>
      </c>
      <c r="F2120" s="2">
        <v>1</v>
      </c>
      <c r="G2120" s="4">
        <v>1.0679024783397137</v>
      </c>
      <c r="H2120" s="2">
        <v>25</v>
      </c>
      <c r="I2120" s="2">
        <v>5</v>
      </c>
      <c r="J2120" s="2">
        <v>1</v>
      </c>
      <c r="K2120" s="4">
        <v>1</v>
      </c>
      <c r="L2120" s="4">
        <v>0.78808745069919006</v>
      </c>
      <c r="M2120" s="4">
        <v>0.78808745069919006</v>
      </c>
      <c r="N2120" s="10">
        <v>0.78800000000000003</v>
      </c>
      <c r="O2120" s="4">
        <v>5.2869652793200563</v>
      </c>
      <c r="P2120" s="4">
        <v>5.29</v>
      </c>
      <c r="Q2120" s="3" t="s">
        <v>1597</v>
      </c>
      <c r="R2120" s="3" t="s">
        <v>1602</v>
      </c>
      <c r="S2120" s="3" t="s">
        <v>1603</v>
      </c>
      <c r="T2120" s="3"/>
    </row>
    <row r="2121" spans="1:20">
      <c r="A2121" s="3" t="s">
        <v>1600</v>
      </c>
      <c r="B2121" s="3" t="s">
        <v>1601</v>
      </c>
      <c r="C2121" s="3" t="s">
        <v>1616</v>
      </c>
      <c r="D2121" s="3" t="s">
        <v>370</v>
      </c>
      <c r="E2121" s="3" t="s">
        <v>371</v>
      </c>
      <c r="F2121" s="2">
        <v>1</v>
      </c>
      <c r="G2121" s="4">
        <v>1.0679024783397137</v>
      </c>
      <c r="H2121" s="2">
        <v>25</v>
      </c>
      <c r="I2121" s="2">
        <v>5</v>
      </c>
      <c r="J2121" s="2">
        <v>16</v>
      </c>
      <c r="K2121" s="4">
        <v>1</v>
      </c>
      <c r="L2121" s="4">
        <v>0.78687342773505942</v>
      </c>
      <c r="M2121" s="4">
        <v>0.78687342773505942</v>
      </c>
      <c r="N2121" s="10">
        <v>0.78700000000000003</v>
      </c>
      <c r="O2121" s="4">
        <v>5.2711204086572501</v>
      </c>
      <c r="P2121" s="4">
        <v>5.27</v>
      </c>
      <c r="Q2121" s="3" t="s">
        <v>1597</v>
      </c>
      <c r="R2121" s="3" t="s">
        <v>1602</v>
      </c>
      <c r="S2121" s="3" t="s">
        <v>1603</v>
      </c>
      <c r="T2121" s="3"/>
    </row>
    <row r="2122" spans="1:20">
      <c r="A2122" s="3" t="s">
        <v>1604</v>
      </c>
      <c r="B2122" s="3" t="s">
        <v>1601</v>
      </c>
      <c r="C2122" s="3" t="s">
        <v>1616</v>
      </c>
      <c r="D2122" s="3" t="s">
        <v>370</v>
      </c>
      <c r="E2122" s="3" t="s">
        <v>371</v>
      </c>
      <c r="F2122" s="2">
        <v>1</v>
      </c>
      <c r="G2122" s="4">
        <v>1.0679024783397137</v>
      </c>
      <c r="H2122" s="2">
        <v>25</v>
      </c>
      <c r="I2122" s="2">
        <v>30</v>
      </c>
      <c r="J2122" s="2">
        <v>16</v>
      </c>
      <c r="K2122" s="4">
        <v>1</v>
      </c>
      <c r="L2122" s="4">
        <v>0.78683156905003615</v>
      </c>
      <c r="M2122" s="4">
        <v>0.78683156905003615</v>
      </c>
      <c r="N2122" s="10">
        <v>0.78700000000000003</v>
      </c>
      <c r="O2122" s="4">
        <v>5.2705755076896974</v>
      </c>
      <c r="P2122" s="4">
        <v>5.27</v>
      </c>
      <c r="Q2122" s="3" t="s">
        <v>1597</v>
      </c>
      <c r="R2122" s="3" t="s">
        <v>1602</v>
      </c>
      <c r="S2122" s="3" t="s">
        <v>1603</v>
      </c>
      <c r="T2122" s="3"/>
    </row>
    <row r="2123" spans="1:20">
      <c r="A2123" s="3" t="s">
        <v>1604</v>
      </c>
      <c r="B2123" s="3" t="s">
        <v>1601</v>
      </c>
      <c r="C2123" s="3" t="s">
        <v>1596</v>
      </c>
      <c r="D2123" s="3" t="s">
        <v>370</v>
      </c>
      <c r="E2123" s="3" t="s">
        <v>371</v>
      </c>
      <c r="F2123" s="2">
        <v>1</v>
      </c>
      <c r="G2123" s="4">
        <v>1.0679024783397137</v>
      </c>
      <c r="H2123" s="2">
        <v>25</v>
      </c>
      <c r="I2123" s="2">
        <v>30</v>
      </c>
      <c r="J2123" s="2">
        <v>16</v>
      </c>
      <c r="K2123" s="4">
        <v>1</v>
      </c>
      <c r="L2123" s="4">
        <v>0.76788325595244644</v>
      </c>
      <c r="M2123" s="4">
        <v>0.76788325595244644</v>
      </c>
      <c r="N2123" s="10">
        <v>0.76800000000000002</v>
      </c>
      <c r="O2123" s="4">
        <v>5.0330435256612143</v>
      </c>
      <c r="P2123" s="4">
        <v>5.03</v>
      </c>
      <c r="Q2123" s="3" t="s">
        <v>1597</v>
      </c>
      <c r="R2123" s="3" t="s">
        <v>1602</v>
      </c>
      <c r="S2123" s="3" t="s">
        <v>1603</v>
      </c>
      <c r="T2123" s="3"/>
    </row>
    <row r="2124" spans="1:20">
      <c r="A2124" s="3" t="s">
        <v>1600</v>
      </c>
      <c r="B2124" s="3" t="s">
        <v>1609</v>
      </c>
      <c r="C2124" s="3" t="s">
        <v>1596</v>
      </c>
      <c r="D2124" s="3" t="s">
        <v>370</v>
      </c>
      <c r="E2124" s="3" t="s">
        <v>371</v>
      </c>
      <c r="F2124" s="2">
        <v>1</v>
      </c>
      <c r="G2124" s="4">
        <v>1.0679024783397137</v>
      </c>
      <c r="H2124" s="2">
        <v>25</v>
      </c>
      <c r="I2124" s="2">
        <v>5</v>
      </c>
      <c r="J2124" s="2">
        <v>16</v>
      </c>
      <c r="K2124" s="4">
        <v>1</v>
      </c>
      <c r="L2124" s="4">
        <v>0.70865845682330608</v>
      </c>
      <c r="M2124" s="4">
        <v>0.70865845682330608</v>
      </c>
      <c r="N2124" s="10">
        <v>0.70899999999999996</v>
      </c>
      <c r="O2124" s="4">
        <v>4.3852142506024183</v>
      </c>
      <c r="P2124" s="4">
        <v>4.3899999999999997</v>
      </c>
      <c r="Q2124" s="3" t="s">
        <v>1597</v>
      </c>
      <c r="R2124" s="3" t="s">
        <v>1610</v>
      </c>
      <c r="S2124" s="3" t="s">
        <v>1611</v>
      </c>
      <c r="T2124" s="3"/>
    </row>
    <row r="2125" spans="1:20">
      <c r="A2125" s="3" t="s">
        <v>1600</v>
      </c>
      <c r="B2125" s="3" t="s">
        <v>1609</v>
      </c>
      <c r="C2125" s="3" t="s">
        <v>1596</v>
      </c>
      <c r="D2125" s="3" t="s">
        <v>370</v>
      </c>
      <c r="E2125" s="3" t="s">
        <v>371</v>
      </c>
      <c r="F2125" s="2">
        <v>1</v>
      </c>
      <c r="G2125" s="4">
        <v>1.0679024783397137</v>
      </c>
      <c r="H2125" s="2">
        <v>25</v>
      </c>
      <c r="I2125" s="2">
        <v>5</v>
      </c>
      <c r="J2125" s="2">
        <v>1</v>
      </c>
      <c r="K2125" s="11">
        <v>1</v>
      </c>
      <c r="L2125" s="11">
        <v>0.67200049759447988</v>
      </c>
      <c r="M2125" s="4">
        <v>0.67200049759447988</v>
      </c>
      <c r="N2125" s="10">
        <v>0.67200000000000004</v>
      </c>
      <c r="O2125" s="4">
        <v>4.0376541203930953</v>
      </c>
      <c r="P2125" s="4">
        <v>4.04</v>
      </c>
      <c r="Q2125" s="3" t="s">
        <v>1597</v>
      </c>
      <c r="R2125" s="3" t="s">
        <v>1610</v>
      </c>
      <c r="S2125" s="3" t="s">
        <v>1611</v>
      </c>
      <c r="T2125" s="3"/>
    </row>
    <row r="2126" spans="1:20">
      <c r="A2126" s="3" t="s">
        <v>1600</v>
      </c>
      <c r="B2126" s="3" t="s">
        <v>1606</v>
      </c>
      <c r="C2126" s="3" t="s">
        <v>1616</v>
      </c>
      <c r="D2126" s="3" t="s">
        <v>370</v>
      </c>
      <c r="E2126" s="3" t="s">
        <v>371</v>
      </c>
      <c r="F2126" s="2">
        <v>1</v>
      </c>
      <c r="G2126" s="4">
        <v>1.0679024783397137</v>
      </c>
      <c r="H2126" s="2">
        <v>25</v>
      </c>
      <c r="I2126" s="2">
        <v>5</v>
      </c>
      <c r="J2126" s="2">
        <v>1</v>
      </c>
      <c r="K2126" s="4">
        <v>1</v>
      </c>
      <c r="L2126" s="4">
        <v>0.63448005115571815</v>
      </c>
      <c r="M2126" s="4">
        <v>0.63448005115571815</v>
      </c>
      <c r="N2126" s="10">
        <v>0.63400000000000001</v>
      </c>
      <c r="O2126" s="4">
        <v>3.7128973011913065</v>
      </c>
      <c r="P2126" s="4">
        <v>3.71</v>
      </c>
      <c r="Q2126" s="3" t="s">
        <v>1597</v>
      </c>
      <c r="R2126" s="3" t="s">
        <v>1607</v>
      </c>
      <c r="S2126" s="3" t="s">
        <v>1608</v>
      </c>
      <c r="T2126" s="3"/>
    </row>
    <row r="2127" spans="1:20">
      <c r="A2127" s="3" t="s">
        <v>1600</v>
      </c>
      <c r="B2127" s="3" t="s">
        <v>1606</v>
      </c>
      <c r="C2127" s="3" t="s">
        <v>1616</v>
      </c>
      <c r="D2127" s="3" t="s">
        <v>370</v>
      </c>
      <c r="E2127" s="3" t="s">
        <v>371</v>
      </c>
      <c r="F2127" s="2">
        <v>1</v>
      </c>
      <c r="G2127" s="4">
        <v>1.0679024783397137</v>
      </c>
      <c r="H2127" s="2">
        <v>25</v>
      </c>
      <c r="I2127" s="2">
        <v>5</v>
      </c>
      <c r="J2127" s="2">
        <v>16</v>
      </c>
      <c r="K2127" s="11">
        <v>1</v>
      </c>
      <c r="L2127" s="11">
        <v>0.62273254012873314</v>
      </c>
      <c r="M2127" s="4">
        <v>0.62273254012873314</v>
      </c>
      <c r="N2127" s="10">
        <v>0.623</v>
      </c>
      <c r="O2127" s="4">
        <v>3.6165973647938419</v>
      </c>
      <c r="P2127" s="4">
        <v>3.62</v>
      </c>
      <c r="Q2127" s="3" t="s">
        <v>1597</v>
      </c>
      <c r="R2127" s="3" t="s">
        <v>1607</v>
      </c>
      <c r="S2127" s="3" t="s">
        <v>1608</v>
      </c>
      <c r="T2127" s="3"/>
    </row>
    <row r="2128" spans="1:20">
      <c r="A2128" s="3" t="s">
        <v>1600</v>
      </c>
      <c r="B2128" s="3" t="s">
        <v>1609</v>
      </c>
      <c r="C2128" s="3" t="s">
        <v>1616</v>
      </c>
      <c r="D2128" s="3" t="s">
        <v>370</v>
      </c>
      <c r="E2128" s="3" t="s">
        <v>371</v>
      </c>
      <c r="F2128" s="2">
        <v>1</v>
      </c>
      <c r="G2128" s="4">
        <v>1.0679024783397137</v>
      </c>
      <c r="H2128" s="2">
        <v>25</v>
      </c>
      <c r="I2128" s="2">
        <v>5</v>
      </c>
      <c r="J2128" s="2">
        <v>1</v>
      </c>
      <c r="K2128" s="4">
        <v>1</v>
      </c>
      <c r="L2128" s="4">
        <v>0.5398012272158742</v>
      </c>
      <c r="M2128" s="4">
        <v>0.5398012272158742</v>
      </c>
      <c r="N2128" s="10">
        <v>0.54</v>
      </c>
      <c r="O2128" s="4">
        <v>2.993974068551184</v>
      </c>
      <c r="P2128" s="4">
        <v>3</v>
      </c>
      <c r="Q2128" s="3" t="s">
        <v>1597</v>
      </c>
      <c r="R2128" s="3" t="s">
        <v>1610</v>
      </c>
      <c r="S2128" s="3" t="s">
        <v>1611</v>
      </c>
      <c r="T2128" s="3"/>
    </row>
    <row r="2129" spans="1:20">
      <c r="A2129" s="3" t="s">
        <v>1600</v>
      </c>
      <c r="B2129" s="3" t="s">
        <v>1609</v>
      </c>
      <c r="C2129" s="3" t="s">
        <v>1616</v>
      </c>
      <c r="D2129" s="3" t="s">
        <v>370</v>
      </c>
      <c r="E2129" s="3" t="s">
        <v>371</v>
      </c>
      <c r="F2129" s="2">
        <v>1</v>
      </c>
      <c r="G2129" s="4">
        <v>1.0679024783397137</v>
      </c>
      <c r="H2129" s="2">
        <v>25</v>
      </c>
      <c r="I2129" s="2">
        <v>5</v>
      </c>
      <c r="J2129" s="2">
        <v>16</v>
      </c>
      <c r="K2129" s="11">
        <v>1</v>
      </c>
      <c r="L2129" s="11">
        <v>0.52462244431072158</v>
      </c>
      <c r="M2129" s="4">
        <v>0.52462244431072158</v>
      </c>
      <c r="N2129" s="10">
        <v>0.52500000000000002</v>
      </c>
      <c r="O2129" s="4">
        <v>2.8889715101172402</v>
      </c>
      <c r="P2129" s="4">
        <v>2.89</v>
      </c>
      <c r="Q2129" s="3" t="s">
        <v>1597</v>
      </c>
      <c r="R2129" s="3" t="s">
        <v>1610</v>
      </c>
      <c r="S2129" s="3" t="s">
        <v>1611</v>
      </c>
      <c r="T2129" s="3"/>
    </row>
    <row r="2130" spans="1:20">
      <c r="A2130" s="3" t="s">
        <v>1594</v>
      </c>
      <c r="B2130" s="3" t="s">
        <v>1595</v>
      </c>
      <c r="C2130" s="3" t="s">
        <v>1596</v>
      </c>
      <c r="D2130" s="3" t="s">
        <v>370</v>
      </c>
      <c r="E2130" s="3" t="s">
        <v>371</v>
      </c>
      <c r="F2130" s="2">
        <v>1</v>
      </c>
      <c r="G2130" s="4">
        <v>1.0679024783397137</v>
      </c>
      <c r="H2130" s="2">
        <v>50</v>
      </c>
      <c r="I2130" s="2">
        <v>5</v>
      </c>
      <c r="J2130" s="2">
        <v>16</v>
      </c>
      <c r="K2130" s="4">
        <v>0.96938621350267173</v>
      </c>
      <c r="L2130" s="14">
        <v>-0.14896507455079303</v>
      </c>
      <c r="M2130" s="4">
        <v>0.14896507455079303</v>
      </c>
      <c r="N2130" s="10">
        <v>0.14899999999999999</v>
      </c>
      <c r="O2130" s="4">
        <v>0.80648907103857082</v>
      </c>
      <c r="P2130" s="4">
        <v>-0.81</v>
      </c>
      <c r="Q2130" s="3" t="s">
        <v>1617</v>
      </c>
      <c r="R2130" s="3" t="s">
        <v>1625</v>
      </c>
      <c r="S2130" s="3" t="s">
        <v>1626</v>
      </c>
      <c r="T2130" s="3"/>
    </row>
    <row r="2131" spans="1:20">
      <c r="A2131" s="3" t="s">
        <v>1594</v>
      </c>
      <c r="B2131" s="3" t="s">
        <v>1612</v>
      </c>
      <c r="C2131" s="3" t="s">
        <v>1596</v>
      </c>
      <c r="D2131" s="3" t="s">
        <v>370</v>
      </c>
      <c r="E2131" s="3" t="s">
        <v>371</v>
      </c>
      <c r="F2131" s="2">
        <v>1</v>
      </c>
      <c r="G2131" s="4">
        <v>1.0679024783397137</v>
      </c>
      <c r="H2131" s="2">
        <v>50</v>
      </c>
      <c r="I2131" s="2">
        <v>5</v>
      </c>
      <c r="J2131" s="2">
        <v>16</v>
      </c>
      <c r="K2131" s="4">
        <v>1</v>
      </c>
      <c r="L2131" s="14">
        <v>-0.19869399163100179</v>
      </c>
      <c r="M2131" s="4">
        <v>0.19869399163100179</v>
      </c>
      <c r="N2131" s="10">
        <v>0.19900000000000001</v>
      </c>
      <c r="O2131" s="4">
        <v>1.0821076088208179</v>
      </c>
      <c r="P2131" s="4">
        <v>-1.08</v>
      </c>
      <c r="Q2131" s="3" t="s">
        <v>1617</v>
      </c>
      <c r="R2131" s="3" t="s">
        <v>1627</v>
      </c>
      <c r="S2131" s="3" t="s">
        <v>1628</v>
      </c>
      <c r="T2131" s="3"/>
    </row>
    <row r="2132" spans="1:20">
      <c r="A2132" s="3" t="s">
        <v>1600</v>
      </c>
      <c r="B2132" s="3" t="s">
        <v>1601</v>
      </c>
      <c r="C2132" s="3" t="s">
        <v>1596</v>
      </c>
      <c r="D2132" s="3" t="s">
        <v>1419</v>
      </c>
      <c r="E2132" s="3" t="s">
        <v>1420</v>
      </c>
      <c r="F2132" s="2">
        <v>1</v>
      </c>
      <c r="G2132" s="4">
        <v>1.0686313553697067</v>
      </c>
      <c r="H2132" s="2">
        <v>25</v>
      </c>
      <c r="I2132" s="2">
        <v>5</v>
      </c>
      <c r="J2132" s="2">
        <v>1</v>
      </c>
      <c r="K2132" s="4">
        <v>2.7954696622991659E-2</v>
      </c>
      <c r="L2132" s="4">
        <v>1</v>
      </c>
      <c r="M2132" s="4">
        <v>1</v>
      </c>
      <c r="N2132" s="10">
        <v>0.995</v>
      </c>
      <c r="O2132" s="4">
        <v>14.85</v>
      </c>
      <c r="P2132" s="4">
        <v>14.85</v>
      </c>
      <c r="Q2132" s="3" t="s">
        <v>1597</v>
      </c>
      <c r="R2132" s="3" t="s">
        <v>1602</v>
      </c>
      <c r="S2132" s="3" t="s">
        <v>1603</v>
      </c>
      <c r="T2132" s="3"/>
    </row>
    <row r="2133" spans="1:20">
      <c r="A2133" s="3" t="s">
        <v>1604</v>
      </c>
      <c r="B2133" s="3" t="s">
        <v>1601</v>
      </c>
      <c r="C2133" s="3" t="s">
        <v>1616</v>
      </c>
      <c r="D2133" s="3" t="s">
        <v>1419</v>
      </c>
      <c r="E2133" s="3" t="s">
        <v>1420</v>
      </c>
      <c r="F2133" s="2">
        <v>1</v>
      </c>
      <c r="G2133" s="4">
        <v>1.0686313553697067</v>
      </c>
      <c r="H2133" s="2">
        <v>25</v>
      </c>
      <c r="I2133" s="2">
        <v>30</v>
      </c>
      <c r="J2133" s="2">
        <v>16</v>
      </c>
      <c r="K2133" s="4">
        <v>1</v>
      </c>
      <c r="L2133" s="4">
        <v>0.84792950382058097</v>
      </c>
      <c r="M2133" s="4">
        <v>0.84792950382058097</v>
      </c>
      <c r="N2133" s="10">
        <v>0.84799999999999998</v>
      </c>
      <c r="O2133" s="4">
        <v>6.1911657534134354</v>
      </c>
      <c r="P2133" s="4">
        <v>6.19</v>
      </c>
      <c r="Q2133" s="3" t="s">
        <v>1597</v>
      </c>
      <c r="R2133" s="3" t="s">
        <v>1602</v>
      </c>
      <c r="S2133" s="3" t="s">
        <v>1603</v>
      </c>
      <c r="T2133" s="3"/>
    </row>
    <row r="2134" spans="1:20">
      <c r="A2134" s="3" t="s">
        <v>1600</v>
      </c>
      <c r="B2134" s="3" t="s">
        <v>1601</v>
      </c>
      <c r="C2134" s="3" t="s">
        <v>1616</v>
      </c>
      <c r="D2134" s="3" t="s">
        <v>1419</v>
      </c>
      <c r="E2134" s="3" t="s">
        <v>1420</v>
      </c>
      <c r="F2134" s="2">
        <v>1</v>
      </c>
      <c r="G2134" s="4">
        <v>1.0686313553697067</v>
      </c>
      <c r="H2134" s="2">
        <v>25</v>
      </c>
      <c r="I2134" s="2">
        <v>5</v>
      </c>
      <c r="J2134" s="2">
        <v>16</v>
      </c>
      <c r="K2134" s="4">
        <v>1</v>
      </c>
      <c r="L2134" s="4">
        <v>0.83620794854228508</v>
      </c>
      <c r="M2134" s="4">
        <v>0.83620794854228508</v>
      </c>
      <c r="N2134" s="10">
        <v>0.83599999999999997</v>
      </c>
      <c r="O2134" s="4">
        <v>5.9913194749936594</v>
      </c>
      <c r="P2134" s="4">
        <v>5.99</v>
      </c>
      <c r="Q2134" s="3" t="s">
        <v>1597</v>
      </c>
      <c r="R2134" s="3" t="s">
        <v>1602</v>
      </c>
      <c r="S2134" s="3" t="s">
        <v>1603</v>
      </c>
      <c r="T2134" s="3"/>
    </row>
    <row r="2135" spans="1:20">
      <c r="A2135" s="3" t="s">
        <v>1600</v>
      </c>
      <c r="B2135" s="3" t="s">
        <v>1601</v>
      </c>
      <c r="C2135" s="3" t="s">
        <v>1616</v>
      </c>
      <c r="D2135" s="3" t="s">
        <v>1419</v>
      </c>
      <c r="E2135" s="3" t="s">
        <v>1420</v>
      </c>
      <c r="F2135" s="2">
        <v>1</v>
      </c>
      <c r="G2135" s="4">
        <v>1.0686313553697067</v>
      </c>
      <c r="H2135" s="2">
        <v>25</v>
      </c>
      <c r="I2135" s="2">
        <v>5</v>
      </c>
      <c r="J2135" s="2">
        <v>1</v>
      </c>
      <c r="K2135" s="4">
        <v>0.30140669733303005</v>
      </c>
      <c r="L2135" s="4">
        <v>0.81332478005865105</v>
      </c>
      <c r="M2135" s="4">
        <v>0.81332478005865105</v>
      </c>
      <c r="N2135" s="10">
        <v>0.81299999999999994</v>
      </c>
      <c r="O2135" s="4">
        <v>5.6360507048777233</v>
      </c>
      <c r="P2135" s="4">
        <v>5.63</v>
      </c>
      <c r="Q2135" s="3" t="s">
        <v>1597</v>
      </c>
      <c r="R2135" s="3" t="s">
        <v>1602</v>
      </c>
      <c r="S2135" s="3" t="s">
        <v>1603</v>
      </c>
      <c r="T2135" s="3"/>
    </row>
    <row r="2136" spans="1:20">
      <c r="A2136" s="3" t="s">
        <v>1604</v>
      </c>
      <c r="B2136" s="3" t="s">
        <v>1601</v>
      </c>
      <c r="C2136" s="3" t="s">
        <v>1596</v>
      </c>
      <c r="D2136" s="3" t="s">
        <v>1419</v>
      </c>
      <c r="E2136" s="3" t="s">
        <v>1420</v>
      </c>
      <c r="F2136" s="2">
        <v>1</v>
      </c>
      <c r="G2136" s="4">
        <v>1.0686313553697067</v>
      </c>
      <c r="H2136" s="2">
        <v>25</v>
      </c>
      <c r="I2136" s="2">
        <v>30</v>
      </c>
      <c r="J2136" s="2">
        <v>16</v>
      </c>
      <c r="K2136" s="4">
        <v>1</v>
      </c>
      <c r="L2136" s="4">
        <v>0.80571625629527588</v>
      </c>
      <c r="M2136" s="4">
        <v>0.80571625629527588</v>
      </c>
      <c r="N2136" s="10">
        <v>0.80600000000000005</v>
      </c>
      <c r="O2136" s="4">
        <v>5.526594105738365</v>
      </c>
      <c r="P2136" s="4">
        <v>5.53</v>
      </c>
      <c r="Q2136" s="3" t="s">
        <v>1597</v>
      </c>
      <c r="R2136" s="3" t="s">
        <v>1602</v>
      </c>
      <c r="S2136" s="3" t="s">
        <v>1603</v>
      </c>
      <c r="T2136" s="3"/>
    </row>
    <row r="2137" spans="1:20">
      <c r="A2137" s="3" t="s">
        <v>1600</v>
      </c>
      <c r="B2137" s="3" t="s">
        <v>1601</v>
      </c>
      <c r="C2137" s="3" t="s">
        <v>1596</v>
      </c>
      <c r="D2137" s="3" t="s">
        <v>1419</v>
      </c>
      <c r="E2137" s="3" t="s">
        <v>1420</v>
      </c>
      <c r="F2137" s="2">
        <v>1</v>
      </c>
      <c r="G2137" s="4">
        <v>1.0686313553697067</v>
      </c>
      <c r="H2137" s="2">
        <v>25</v>
      </c>
      <c r="I2137" s="2">
        <v>5</v>
      </c>
      <c r="J2137" s="2">
        <v>16</v>
      </c>
      <c r="K2137" s="4">
        <v>0.72744706162384376</v>
      </c>
      <c r="L2137" s="4">
        <v>0.80106996348948156</v>
      </c>
      <c r="M2137" s="4">
        <v>0.80106996348948156</v>
      </c>
      <c r="N2137" s="10">
        <v>0.80100000000000005</v>
      </c>
      <c r="O2137" s="4">
        <v>5.461620550273925</v>
      </c>
      <c r="P2137" s="4">
        <v>5.46</v>
      </c>
      <c r="Q2137" s="3" t="s">
        <v>1597</v>
      </c>
      <c r="R2137" s="3" t="s">
        <v>1602</v>
      </c>
      <c r="S2137" s="3" t="s">
        <v>1603</v>
      </c>
      <c r="T2137" s="3"/>
    </row>
    <row r="2138" spans="1:20">
      <c r="A2138" s="3" t="s">
        <v>1605</v>
      </c>
      <c r="B2138" s="3" t="s">
        <v>1601</v>
      </c>
      <c r="C2138" s="3" t="s">
        <v>1596</v>
      </c>
      <c r="D2138" s="3" t="s">
        <v>1419</v>
      </c>
      <c r="E2138" s="3" t="s">
        <v>1420</v>
      </c>
      <c r="F2138" s="2">
        <v>1</v>
      </c>
      <c r="G2138" s="4">
        <v>1.0686313553697067</v>
      </c>
      <c r="H2138" s="2">
        <v>25</v>
      </c>
      <c r="I2138" s="2">
        <v>5</v>
      </c>
      <c r="J2138" s="2">
        <v>16</v>
      </c>
      <c r="K2138" s="4">
        <v>0.83791104084895185</v>
      </c>
      <c r="L2138" s="4">
        <v>0.77229521880929553</v>
      </c>
      <c r="M2138" s="4">
        <v>0.77229521880929553</v>
      </c>
      <c r="N2138" s="10">
        <v>0.77200000000000002</v>
      </c>
      <c r="O2138" s="4">
        <v>5.0867949717715737</v>
      </c>
      <c r="P2138" s="4">
        <v>5.08</v>
      </c>
      <c r="Q2138" s="3" t="s">
        <v>1597</v>
      </c>
      <c r="R2138" s="3" t="s">
        <v>1602</v>
      </c>
      <c r="S2138" s="3" t="s">
        <v>1603</v>
      </c>
      <c r="T2138" s="3"/>
    </row>
    <row r="2139" spans="1:20">
      <c r="A2139" s="3" t="s">
        <v>1600</v>
      </c>
      <c r="B2139" s="3" t="s">
        <v>1609</v>
      </c>
      <c r="C2139" s="3" t="s">
        <v>1596</v>
      </c>
      <c r="D2139" s="3" t="s">
        <v>1419</v>
      </c>
      <c r="E2139" s="3" t="s">
        <v>1420</v>
      </c>
      <c r="F2139" s="2">
        <v>1</v>
      </c>
      <c r="G2139" s="4">
        <v>1.0686313553697067</v>
      </c>
      <c r="H2139" s="2">
        <v>25</v>
      </c>
      <c r="I2139" s="2">
        <v>5</v>
      </c>
      <c r="J2139" s="2">
        <v>1</v>
      </c>
      <c r="K2139" s="4">
        <v>0.14661355950129873</v>
      </c>
      <c r="L2139" s="4">
        <v>0.73611560626256844</v>
      </c>
      <c r="M2139" s="4">
        <v>0.73611560626256844</v>
      </c>
      <c r="N2139" s="10">
        <v>0.73599999999999999</v>
      </c>
      <c r="O2139" s="4">
        <v>4.6701142174021655</v>
      </c>
      <c r="P2139" s="4">
        <v>4.67</v>
      </c>
      <c r="Q2139" s="3" t="s">
        <v>1597</v>
      </c>
      <c r="R2139" s="3" t="s">
        <v>1610</v>
      </c>
      <c r="S2139" s="3" t="s">
        <v>1611</v>
      </c>
      <c r="T2139" s="3"/>
    </row>
    <row r="2140" spans="1:20">
      <c r="A2140" s="3" t="s">
        <v>1600</v>
      </c>
      <c r="B2140" s="3" t="s">
        <v>1609</v>
      </c>
      <c r="C2140" s="3" t="s">
        <v>1596</v>
      </c>
      <c r="D2140" s="3" t="s">
        <v>1419</v>
      </c>
      <c r="E2140" s="3" t="s">
        <v>1420</v>
      </c>
      <c r="F2140" s="2">
        <v>1</v>
      </c>
      <c r="G2140" s="4">
        <v>1.0686313553697067</v>
      </c>
      <c r="H2140" s="2">
        <v>25</v>
      </c>
      <c r="I2140" s="2">
        <v>5</v>
      </c>
      <c r="J2140" s="2">
        <v>16</v>
      </c>
      <c r="K2140" s="4">
        <v>0.98035529475909822</v>
      </c>
      <c r="L2140" s="4">
        <v>0.72916494805419674</v>
      </c>
      <c r="M2140" s="4">
        <v>0.72916494805419674</v>
      </c>
      <c r="N2140" s="10">
        <v>0.72899999999999998</v>
      </c>
      <c r="O2140" s="4">
        <v>4.5957192150482049</v>
      </c>
      <c r="P2140" s="4">
        <v>4.59</v>
      </c>
      <c r="Q2140" s="3" t="s">
        <v>1597</v>
      </c>
      <c r="R2140" s="3" t="s">
        <v>1610</v>
      </c>
      <c r="S2140" s="3" t="s">
        <v>1611</v>
      </c>
      <c r="T2140" s="3"/>
    </row>
    <row r="2141" spans="1:20">
      <c r="A2141" s="3" t="s">
        <v>1600</v>
      </c>
      <c r="B2141" s="3" t="s">
        <v>1609</v>
      </c>
      <c r="C2141" s="3" t="s">
        <v>1616</v>
      </c>
      <c r="D2141" s="3" t="s">
        <v>1419</v>
      </c>
      <c r="E2141" s="3" t="s">
        <v>1420</v>
      </c>
      <c r="F2141" s="2">
        <v>1</v>
      </c>
      <c r="G2141" s="4">
        <v>1.0686313553697067</v>
      </c>
      <c r="H2141" s="2">
        <v>25</v>
      </c>
      <c r="I2141" s="2">
        <v>5</v>
      </c>
      <c r="J2141" s="2">
        <v>16</v>
      </c>
      <c r="K2141" s="4">
        <v>0.98059446931610039</v>
      </c>
      <c r="L2141" s="4">
        <v>0.6290607524883326</v>
      </c>
      <c r="M2141" s="4">
        <v>0.6290607524883326</v>
      </c>
      <c r="N2141" s="10">
        <v>0.629</v>
      </c>
      <c r="O2141" s="4">
        <v>3.6681802911356347</v>
      </c>
      <c r="P2141" s="4">
        <v>3.67</v>
      </c>
      <c r="Q2141" s="3" t="s">
        <v>1597</v>
      </c>
      <c r="R2141" s="3" t="s">
        <v>1610</v>
      </c>
      <c r="S2141" s="3" t="s">
        <v>1611</v>
      </c>
      <c r="T2141" s="3"/>
    </row>
    <row r="2142" spans="1:20">
      <c r="A2142" s="3" t="s">
        <v>1600</v>
      </c>
      <c r="B2142" s="3" t="s">
        <v>1609</v>
      </c>
      <c r="C2142" s="3" t="s">
        <v>1616</v>
      </c>
      <c r="D2142" s="3" t="s">
        <v>1419</v>
      </c>
      <c r="E2142" s="3" t="s">
        <v>1420</v>
      </c>
      <c r="F2142" s="2">
        <v>1</v>
      </c>
      <c r="G2142" s="4">
        <v>1.0686313553697067</v>
      </c>
      <c r="H2142" s="2">
        <v>25</v>
      </c>
      <c r="I2142" s="2">
        <v>5</v>
      </c>
      <c r="J2142" s="2">
        <v>1</v>
      </c>
      <c r="K2142" s="4">
        <v>0.15106029967909851</v>
      </c>
      <c r="L2142" s="4">
        <v>0.5212608857162202</v>
      </c>
      <c r="M2142" s="4">
        <v>0.5212608857162202</v>
      </c>
      <c r="N2142" s="10">
        <v>0.52100000000000002</v>
      </c>
      <c r="O2142" s="4">
        <v>2.8660317809242324</v>
      </c>
      <c r="P2142" s="4">
        <v>2.86</v>
      </c>
      <c r="Q2142" s="3" t="s">
        <v>1597</v>
      </c>
      <c r="R2142" s="3" t="s">
        <v>1610</v>
      </c>
      <c r="S2142" s="3" t="s">
        <v>1611</v>
      </c>
      <c r="T2142" s="3"/>
    </row>
    <row r="2143" spans="1:20">
      <c r="A2143" s="3" t="s">
        <v>1594</v>
      </c>
      <c r="B2143" s="3" t="s">
        <v>1595</v>
      </c>
      <c r="C2143" s="3" t="s">
        <v>1596</v>
      </c>
      <c r="D2143" s="3" t="s">
        <v>1419</v>
      </c>
      <c r="E2143" s="3" t="s">
        <v>1420</v>
      </c>
      <c r="F2143" s="2">
        <v>1</v>
      </c>
      <c r="G2143" s="4">
        <v>1.0686313553697067</v>
      </c>
      <c r="H2143" s="2">
        <v>25</v>
      </c>
      <c r="I2143" s="2">
        <v>5</v>
      </c>
      <c r="J2143" s="2">
        <v>16</v>
      </c>
      <c r="K2143" s="4">
        <v>8.9151300978850267E-3</v>
      </c>
      <c r="L2143" s="4">
        <v>0.31669820245979186</v>
      </c>
      <c r="M2143" s="4">
        <v>0.31669820245979186</v>
      </c>
      <c r="N2143" s="10">
        <v>0.317</v>
      </c>
      <c r="O2143" s="4">
        <v>1.626068980173242</v>
      </c>
      <c r="P2143" s="4">
        <v>1.63</v>
      </c>
      <c r="Q2143" s="3" t="s">
        <v>1597</v>
      </c>
      <c r="R2143" s="3" t="s">
        <v>1598</v>
      </c>
      <c r="S2143" s="3" t="s">
        <v>1599</v>
      </c>
      <c r="T2143" s="3"/>
    </row>
    <row r="2144" spans="1:20">
      <c r="A2144" s="3" t="s">
        <v>1594</v>
      </c>
      <c r="B2144" s="3" t="s">
        <v>1612</v>
      </c>
      <c r="C2144" s="3" t="s">
        <v>1596</v>
      </c>
      <c r="D2144" s="3" t="s">
        <v>1419</v>
      </c>
      <c r="E2144" s="3" t="s">
        <v>1420</v>
      </c>
      <c r="F2144" s="2">
        <v>1</v>
      </c>
      <c r="G2144" s="4">
        <v>1.0686313553697067</v>
      </c>
      <c r="H2144" s="2">
        <v>50</v>
      </c>
      <c r="I2144" s="2">
        <v>5</v>
      </c>
      <c r="J2144" s="2">
        <v>16</v>
      </c>
      <c r="K2144" s="4">
        <v>0.42702484369482108</v>
      </c>
      <c r="L2144" s="4">
        <v>0.1305059822204398</v>
      </c>
      <c r="M2144" s="4">
        <v>0.1305059822204398</v>
      </c>
      <c r="N2144" s="10">
        <v>0.13100000000000001</v>
      </c>
      <c r="O2144" s="4">
        <v>0.70531758204290873</v>
      </c>
      <c r="P2144" s="4">
        <v>0.71</v>
      </c>
      <c r="Q2144" s="3" t="s">
        <v>1597</v>
      </c>
      <c r="R2144" s="3" t="s">
        <v>1613</v>
      </c>
      <c r="S2144" s="3" t="s">
        <v>1614</v>
      </c>
      <c r="T2144" s="3"/>
    </row>
    <row r="2145" spans="1:20">
      <c r="A2145" s="3" t="s">
        <v>1600</v>
      </c>
      <c r="B2145" s="3" t="s">
        <v>1606</v>
      </c>
      <c r="C2145" s="3" t="s">
        <v>1616</v>
      </c>
      <c r="D2145" s="3" t="s">
        <v>1419</v>
      </c>
      <c r="E2145" s="3" t="s">
        <v>1420</v>
      </c>
      <c r="F2145" s="2">
        <v>1</v>
      </c>
      <c r="G2145" s="4">
        <v>1.0686313553697067</v>
      </c>
      <c r="H2145" s="2">
        <v>25</v>
      </c>
      <c r="I2145" s="2">
        <v>5</v>
      </c>
      <c r="J2145" s="2">
        <v>16</v>
      </c>
      <c r="K2145" s="4">
        <v>0.31409093528731624</v>
      </c>
      <c r="L2145" s="4">
        <v>8.5614446742554876E-2</v>
      </c>
      <c r="M2145" s="4">
        <v>8.5614446742554876E-2</v>
      </c>
      <c r="N2145" s="10">
        <v>8.5999999999999993E-2</v>
      </c>
      <c r="O2145" s="4">
        <v>0.42551266320058606</v>
      </c>
      <c r="P2145" s="4">
        <v>0.43</v>
      </c>
      <c r="Q2145" s="3" t="s">
        <v>1597</v>
      </c>
      <c r="R2145" s="3" t="s">
        <v>1607</v>
      </c>
      <c r="S2145" s="3" t="s">
        <v>1608</v>
      </c>
      <c r="T2145" s="3"/>
    </row>
    <row r="2146" spans="1:20">
      <c r="A2146" s="3" t="s">
        <v>1594</v>
      </c>
      <c r="B2146" s="3" t="s">
        <v>1595</v>
      </c>
      <c r="C2146" s="3" t="s">
        <v>1596</v>
      </c>
      <c r="D2146" s="3" t="s">
        <v>1419</v>
      </c>
      <c r="E2146" s="3" t="s">
        <v>1420</v>
      </c>
      <c r="F2146" s="2">
        <v>1</v>
      </c>
      <c r="G2146" s="4">
        <v>1.0686313553697067</v>
      </c>
      <c r="H2146" s="2">
        <v>50</v>
      </c>
      <c r="I2146" s="2">
        <v>5</v>
      </c>
      <c r="J2146" s="2">
        <v>16</v>
      </c>
      <c r="K2146" s="4">
        <v>0.10576292799251308</v>
      </c>
      <c r="L2146" s="4">
        <v>6.9485808314841153E-3</v>
      </c>
      <c r="M2146" s="4">
        <v>6.9485808314841153E-3</v>
      </c>
      <c r="N2146" s="10">
        <v>7.0000000000000001E-3</v>
      </c>
      <c r="O2146" s="4">
        <v>3.7339921217580049E-2</v>
      </c>
      <c r="P2146" s="4">
        <v>0.04</v>
      </c>
      <c r="Q2146" s="3" t="s">
        <v>1597</v>
      </c>
      <c r="R2146" s="3" t="s">
        <v>1598</v>
      </c>
      <c r="S2146" s="3" t="s">
        <v>1599</v>
      </c>
      <c r="T2146" s="3"/>
    </row>
    <row r="2147" spans="1:20">
      <c r="A2147" s="3" t="s">
        <v>1600</v>
      </c>
      <c r="B2147" s="3" t="s">
        <v>1606</v>
      </c>
      <c r="C2147" s="3" t="s">
        <v>1616</v>
      </c>
      <c r="D2147" s="3" t="s">
        <v>1419</v>
      </c>
      <c r="E2147" s="3" t="s">
        <v>1420</v>
      </c>
      <c r="F2147" s="2">
        <v>1</v>
      </c>
      <c r="G2147" s="4">
        <v>1.0686313553697067</v>
      </c>
      <c r="H2147" s="2">
        <v>25</v>
      </c>
      <c r="I2147" s="2">
        <v>5</v>
      </c>
      <c r="J2147" s="2">
        <v>1</v>
      </c>
      <c r="K2147" s="4">
        <v>7.9359318788669642E-2</v>
      </c>
      <c r="L2147" s="4">
        <v>-6.2394664180442294E-3</v>
      </c>
      <c r="M2147" s="4">
        <v>6.2394664180442294E-3</v>
      </c>
      <c r="N2147" s="10">
        <v>6.0000000000000001E-3</v>
      </c>
      <c r="O2147" s="4">
        <v>3.0935278809300124E-2</v>
      </c>
      <c r="P2147" s="4">
        <v>-0.03</v>
      </c>
      <c r="Q2147" s="3" t="s">
        <v>1617</v>
      </c>
      <c r="R2147" s="3" t="s">
        <v>1621</v>
      </c>
      <c r="S2147" s="3" t="s">
        <v>1622</v>
      </c>
      <c r="T2147" s="3"/>
    </row>
    <row r="2148" spans="1:20">
      <c r="A2148" s="3" t="s">
        <v>1600</v>
      </c>
      <c r="B2148" s="3" t="s">
        <v>1606</v>
      </c>
      <c r="C2148" s="3" t="s">
        <v>1596</v>
      </c>
      <c r="D2148" s="3" t="s">
        <v>1419</v>
      </c>
      <c r="E2148" s="3" t="s">
        <v>1420</v>
      </c>
      <c r="F2148" s="2">
        <v>1</v>
      </c>
      <c r="G2148" s="4">
        <v>1.0686313553697067</v>
      </c>
      <c r="H2148" s="2">
        <v>25</v>
      </c>
      <c r="I2148" s="2">
        <v>5</v>
      </c>
      <c r="J2148" s="2">
        <v>16</v>
      </c>
      <c r="K2148" s="4">
        <v>1</v>
      </c>
      <c r="L2148" s="4">
        <v>-2.4132883659409583E-2</v>
      </c>
      <c r="M2148" s="4">
        <v>2.4132883659409583E-2</v>
      </c>
      <c r="N2148" s="10">
        <v>2.4E-2</v>
      </c>
      <c r="O2148" s="4">
        <v>0.11967253700640657</v>
      </c>
      <c r="P2148" s="4">
        <v>-0.12</v>
      </c>
      <c r="Q2148" s="3" t="s">
        <v>1617</v>
      </c>
      <c r="R2148" s="3" t="s">
        <v>1621</v>
      </c>
      <c r="S2148" s="3" t="s">
        <v>1622</v>
      </c>
      <c r="T2148" s="3"/>
    </row>
    <row r="2149" spans="1:20">
      <c r="A2149" s="3" t="s">
        <v>1600</v>
      </c>
      <c r="B2149" s="3" t="s">
        <v>1606</v>
      </c>
      <c r="C2149" s="3" t="s">
        <v>1596</v>
      </c>
      <c r="D2149" s="3" t="s">
        <v>1419</v>
      </c>
      <c r="E2149" s="3" t="s">
        <v>1420</v>
      </c>
      <c r="F2149" s="2">
        <v>1</v>
      </c>
      <c r="G2149" s="4">
        <v>1.0686313553697067</v>
      </c>
      <c r="H2149" s="2">
        <v>25</v>
      </c>
      <c r="I2149" s="2">
        <v>5</v>
      </c>
      <c r="J2149" s="2">
        <v>1</v>
      </c>
      <c r="K2149" s="4">
        <v>8.5384929468410364E-2</v>
      </c>
      <c r="L2149" s="4">
        <v>-9.3523005612153501E-2</v>
      </c>
      <c r="M2149" s="4">
        <v>9.3523005612153501E-2</v>
      </c>
      <c r="N2149" s="10">
        <v>9.4E-2</v>
      </c>
      <c r="O2149" s="4">
        <v>0.46504011863619854</v>
      </c>
      <c r="P2149" s="4">
        <v>-0.47</v>
      </c>
      <c r="Q2149" s="3" t="s">
        <v>1617</v>
      </c>
      <c r="R2149" s="3" t="s">
        <v>1621</v>
      </c>
      <c r="S2149" s="3" t="s">
        <v>1622</v>
      </c>
      <c r="T2149" s="3"/>
    </row>
    <row r="2150" spans="1:20">
      <c r="A2150" s="3" t="s">
        <v>1600</v>
      </c>
      <c r="B2150" s="3" t="s">
        <v>1609</v>
      </c>
      <c r="C2150" s="3" t="s">
        <v>1616</v>
      </c>
      <c r="D2150" s="3" t="s">
        <v>458</v>
      </c>
      <c r="E2150" s="3" t="s">
        <v>459</v>
      </c>
      <c r="F2150" s="2">
        <v>1</v>
      </c>
      <c r="G2150" s="4">
        <v>1.0687393733300949</v>
      </c>
      <c r="H2150" s="2">
        <v>25</v>
      </c>
      <c r="I2150" s="2">
        <v>5</v>
      </c>
      <c r="J2150" s="2">
        <v>16</v>
      </c>
      <c r="K2150" s="11">
        <v>2.3104590365468969E-2</v>
      </c>
      <c r="L2150" s="11">
        <v>0.68702473385095653</v>
      </c>
      <c r="M2150" s="4">
        <v>0.68702473385095653</v>
      </c>
      <c r="N2150" s="10">
        <v>0.68700000000000006</v>
      </c>
      <c r="O2150" s="4">
        <v>4.1760637844111361</v>
      </c>
      <c r="P2150" s="4">
        <v>4.18</v>
      </c>
      <c r="Q2150" s="3" t="s">
        <v>1597</v>
      </c>
      <c r="R2150" s="3" t="s">
        <v>1610</v>
      </c>
      <c r="S2150" s="3" t="s">
        <v>1611</v>
      </c>
      <c r="T2150" s="3"/>
    </row>
    <row r="2151" spans="1:20">
      <c r="A2151" s="3" t="s">
        <v>1600</v>
      </c>
      <c r="B2151" s="3" t="s">
        <v>1601</v>
      </c>
      <c r="C2151" s="3" t="s">
        <v>1596</v>
      </c>
      <c r="D2151" s="3" t="s">
        <v>458</v>
      </c>
      <c r="E2151" s="3" t="s">
        <v>459</v>
      </c>
      <c r="F2151" s="2">
        <v>1</v>
      </c>
      <c r="G2151" s="4">
        <v>1.0687393733300949</v>
      </c>
      <c r="H2151" s="2">
        <v>25</v>
      </c>
      <c r="I2151" s="2">
        <v>5</v>
      </c>
      <c r="J2151" s="2">
        <v>16</v>
      </c>
      <c r="K2151" s="4">
        <v>0.9224458225828186</v>
      </c>
      <c r="L2151" s="4">
        <v>0.34766003923052735</v>
      </c>
      <c r="M2151" s="4">
        <v>0.34766003923052735</v>
      </c>
      <c r="N2151" s="10">
        <v>0.34799999999999998</v>
      </c>
      <c r="O2151" s="4">
        <v>1.7986382278209694</v>
      </c>
      <c r="P2151" s="4">
        <v>1.8</v>
      </c>
      <c r="Q2151" s="3" t="s">
        <v>1597</v>
      </c>
      <c r="R2151" s="3" t="s">
        <v>1602</v>
      </c>
      <c r="S2151" s="3" t="s">
        <v>1603</v>
      </c>
      <c r="T2151" s="3"/>
    </row>
    <row r="2152" spans="1:20">
      <c r="A2152" s="3" t="s">
        <v>1600</v>
      </c>
      <c r="B2152" s="3" t="s">
        <v>1606</v>
      </c>
      <c r="C2152" s="3" t="s">
        <v>1616</v>
      </c>
      <c r="D2152" s="3" t="s">
        <v>458</v>
      </c>
      <c r="E2152" s="3" t="s">
        <v>459</v>
      </c>
      <c r="F2152" s="2">
        <v>1</v>
      </c>
      <c r="G2152" s="4">
        <v>1.0687393733300949</v>
      </c>
      <c r="H2152" s="2">
        <v>25</v>
      </c>
      <c r="I2152" s="2">
        <v>5</v>
      </c>
      <c r="J2152" s="2">
        <v>1</v>
      </c>
      <c r="K2152" s="4">
        <v>0.63272717199693407</v>
      </c>
      <c r="L2152" s="4">
        <v>0.33533365760465073</v>
      </c>
      <c r="M2152" s="4">
        <v>0.33533365760465073</v>
      </c>
      <c r="N2152" s="10">
        <v>0.33500000000000002</v>
      </c>
      <c r="O2152" s="4">
        <v>1.7294553610575165</v>
      </c>
      <c r="P2152" s="4">
        <v>1.73</v>
      </c>
      <c r="Q2152" s="3" t="s">
        <v>1597</v>
      </c>
      <c r="R2152" s="3" t="s">
        <v>1607</v>
      </c>
      <c r="S2152" s="3" t="s">
        <v>1608</v>
      </c>
      <c r="T2152" s="3"/>
    </row>
    <row r="2153" spans="1:20">
      <c r="A2153" s="12" t="s">
        <v>1605</v>
      </c>
      <c r="B2153" s="3" t="s">
        <v>1601</v>
      </c>
      <c r="C2153" s="3" t="s">
        <v>1596</v>
      </c>
      <c r="D2153" s="3" t="s">
        <v>458</v>
      </c>
      <c r="E2153" s="3" t="s">
        <v>459</v>
      </c>
      <c r="F2153" s="2">
        <v>1</v>
      </c>
      <c r="G2153" s="4">
        <v>1.0687393733300949</v>
      </c>
      <c r="H2153" s="2">
        <v>25</v>
      </c>
      <c r="I2153" s="2">
        <v>5</v>
      </c>
      <c r="J2153" s="2">
        <v>16</v>
      </c>
      <c r="K2153" s="11">
        <v>0.98573056305322293</v>
      </c>
      <c r="L2153" s="11">
        <v>0.31389122849235951</v>
      </c>
      <c r="M2153" s="4">
        <v>0.31389122849235951</v>
      </c>
      <c r="N2153" s="10">
        <v>0.314</v>
      </c>
      <c r="O2153" s="4">
        <v>1.6106159720338507</v>
      </c>
      <c r="P2153" s="4">
        <v>1.61</v>
      </c>
      <c r="Q2153" s="3" t="s">
        <v>1597</v>
      </c>
      <c r="R2153" s="3" t="s">
        <v>1602</v>
      </c>
      <c r="S2153" s="3" t="s">
        <v>1603</v>
      </c>
      <c r="T2153" s="3"/>
    </row>
    <row r="2154" spans="1:20">
      <c r="A2154" s="3" t="s">
        <v>1600</v>
      </c>
      <c r="B2154" s="3" t="s">
        <v>1601</v>
      </c>
      <c r="C2154" s="3" t="s">
        <v>1616</v>
      </c>
      <c r="D2154" s="3" t="s">
        <v>458</v>
      </c>
      <c r="E2154" s="3" t="s">
        <v>459</v>
      </c>
      <c r="F2154" s="2">
        <v>1</v>
      </c>
      <c r="G2154" s="4">
        <v>1.0687393733300949</v>
      </c>
      <c r="H2154" s="2">
        <v>25</v>
      </c>
      <c r="I2154" s="2">
        <v>5</v>
      </c>
      <c r="J2154" s="2">
        <v>1</v>
      </c>
      <c r="K2154" s="4">
        <v>4.1554467307149401E-2</v>
      </c>
      <c r="L2154" s="4">
        <v>0.26915133308298911</v>
      </c>
      <c r="M2154" s="4">
        <v>0.26915133308298911</v>
      </c>
      <c r="N2154" s="10">
        <v>0.26900000000000002</v>
      </c>
      <c r="O2154" s="4">
        <v>1.3681358378492325</v>
      </c>
      <c r="P2154" s="4">
        <v>1.37</v>
      </c>
      <c r="Q2154" s="3" t="s">
        <v>1597</v>
      </c>
      <c r="R2154" s="3" t="s">
        <v>1602</v>
      </c>
      <c r="S2154" s="3" t="s">
        <v>1603</v>
      </c>
      <c r="T2154" s="3"/>
    </row>
    <row r="2155" spans="1:20">
      <c r="A2155" s="3" t="s">
        <v>1600</v>
      </c>
      <c r="B2155" s="3" t="s">
        <v>1609</v>
      </c>
      <c r="C2155" s="3" t="s">
        <v>1596</v>
      </c>
      <c r="D2155" s="3" t="s">
        <v>458</v>
      </c>
      <c r="E2155" s="3" t="s">
        <v>459</v>
      </c>
      <c r="F2155" s="2">
        <v>1</v>
      </c>
      <c r="G2155" s="4">
        <v>1.0687393733300949</v>
      </c>
      <c r="H2155" s="2">
        <v>25</v>
      </c>
      <c r="I2155" s="2">
        <v>5</v>
      </c>
      <c r="J2155" s="2">
        <v>16</v>
      </c>
      <c r="K2155" s="4">
        <v>0.89476574561654199</v>
      </c>
      <c r="L2155" s="4">
        <v>0.25808603626681437</v>
      </c>
      <c r="M2155" s="4">
        <v>0.25808603626681437</v>
      </c>
      <c r="N2155" s="10">
        <v>0.25800000000000001</v>
      </c>
      <c r="O2155" s="4">
        <v>1.309176662483595</v>
      </c>
      <c r="P2155" s="4">
        <v>1.31</v>
      </c>
      <c r="Q2155" s="3" t="s">
        <v>1597</v>
      </c>
      <c r="R2155" s="3" t="s">
        <v>1610</v>
      </c>
      <c r="S2155" s="3" t="s">
        <v>1611</v>
      </c>
      <c r="T2155" s="3"/>
    </row>
    <row r="2156" spans="1:20">
      <c r="A2156" s="3" t="s">
        <v>1604</v>
      </c>
      <c r="B2156" s="3" t="s">
        <v>1601</v>
      </c>
      <c r="C2156" s="3" t="s">
        <v>1596</v>
      </c>
      <c r="D2156" s="3" t="s">
        <v>458</v>
      </c>
      <c r="E2156" s="3" t="s">
        <v>459</v>
      </c>
      <c r="F2156" s="2">
        <v>1</v>
      </c>
      <c r="G2156" s="4">
        <v>1.0687393733300949</v>
      </c>
      <c r="H2156" s="2">
        <v>25</v>
      </c>
      <c r="I2156" s="2">
        <v>30</v>
      </c>
      <c r="J2156" s="2">
        <v>16</v>
      </c>
      <c r="K2156" s="4">
        <v>1</v>
      </c>
      <c r="L2156" s="4">
        <v>0.18615565437338416</v>
      </c>
      <c r="M2156" s="4">
        <v>0.18615565437338416</v>
      </c>
      <c r="N2156" s="10">
        <v>0.186</v>
      </c>
      <c r="O2156" s="4">
        <v>0.93383645387156522</v>
      </c>
      <c r="P2156" s="4">
        <v>0.93</v>
      </c>
      <c r="Q2156" s="3" t="s">
        <v>1597</v>
      </c>
      <c r="R2156" s="3" t="s">
        <v>1602</v>
      </c>
      <c r="S2156" s="3" t="s">
        <v>1603</v>
      </c>
      <c r="T2156" s="3"/>
    </row>
    <row r="2157" spans="1:20">
      <c r="A2157" s="3" t="s">
        <v>1600</v>
      </c>
      <c r="B2157" s="3" t="s">
        <v>1609</v>
      </c>
      <c r="C2157" s="3" t="s">
        <v>1596</v>
      </c>
      <c r="D2157" s="3" t="s">
        <v>458</v>
      </c>
      <c r="E2157" s="3" t="s">
        <v>459</v>
      </c>
      <c r="F2157" s="2">
        <v>1</v>
      </c>
      <c r="G2157" s="4">
        <v>1.0687393733300949</v>
      </c>
      <c r="H2157" s="2">
        <v>25</v>
      </c>
      <c r="I2157" s="2">
        <v>5</v>
      </c>
      <c r="J2157" s="2">
        <v>1</v>
      </c>
      <c r="K2157" s="11">
        <v>0.2920336983636066</v>
      </c>
      <c r="L2157" s="11">
        <v>0.17518957309277319</v>
      </c>
      <c r="M2157" s="4">
        <v>0.17518957309277319</v>
      </c>
      <c r="N2157" s="10">
        <v>0.17499999999999999</v>
      </c>
      <c r="O2157" s="4">
        <v>0.87763202322962619</v>
      </c>
      <c r="P2157" s="4">
        <v>0.88</v>
      </c>
      <c r="Q2157" s="3" t="s">
        <v>1597</v>
      </c>
      <c r="R2157" s="3" t="s">
        <v>1610</v>
      </c>
      <c r="S2157" s="3" t="s">
        <v>1611</v>
      </c>
      <c r="T2157" s="3"/>
    </row>
    <row r="2158" spans="1:20">
      <c r="A2158" s="3" t="s">
        <v>1600</v>
      </c>
      <c r="B2158" s="3" t="s">
        <v>1606</v>
      </c>
      <c r="C2158" s="3" t="s">
        <v>1616</v>
      </c>
      <c r="D2158" s="3" t="s">
        <v>458</v>
      </c>
      <c r="E2158" s="3" t="s">
        <v>459</v>
      </c>
      <c r="F2158" s="2">
        <v>1</v>
      </c>
      <c r="G2158" s="4">
        <v>1.0687393733300949</v>
      </c>
      <c r="H2158" s="2">
        <v>25</v>
      </c>
      <c r="I2158" s="2">
        <v>5</v>
      </c>
      <c r="J2158" s="2">
        <v>16</v>
      </c>
      <c r="K2158" s="11">
        <v>0.83342694597744926</v>
      </c>
      <c r="L2158" s="11">
        <v>0.17115512068584623</v>
      </c>
      <c r="M2158" s="4">
        <v>0.17115512068584623</v>
      </c>
      <c r="N2158" s="10">
        <v>0.17100000000000001</v>
      </c>
      <c r="O2158" s="4">
        <v>0.85701103780328647</v>
      </c>
      <c r="P2158" s="4">
        <v>0.86</v>
      </c>
      <c r="Q2158" s="3" t="s">
        <v>1597</v>
      </c>
      <c r="R2158" s="3" t="s">
        <v>1607</v>
      </c>
      <c r="S2158" s="3" t="s">
        <v>1608</v>
      </c>
      <c r="T2158" s="3"/>
    </row>
    <row r="2159" spans="1:20">
      <c r="A2159" s="3" t="s">
        <v>1600</v>
      </c>
      <c r="B2159" s="3" t="s">
        <v>1601</v>
      </c>
      <c r="C2159" s="3" t="s">
        <v>1596</v>
      </c>
      <c r="D2159" s="3" t="s">
        <v>458</v>
      </c>
      <c r="E2159" s="3" t="s">
        <v>459</v>
      </c>
      <c r="F2159" s="2">
        <v>1</v>
      </c>
      <c r="G2159" s="4">
        <v>1.0687393733300949</v>
      </c>
      <c r="H2159" s="2">
        <v>25</v>
      </c>
      <c r="I2159" s="2">
        <v>5</v>
      </c>
      <c r="J2159" s="2">
        <v>1</v>
      </c>
      <c r="K2159" s="4">
        <v>0.25115098785837497</v>
      </c>
      <c r="L2159" s="4">
        <v>0.16693291743928293</v>
      </c>
      <c r="M2159" s="4">
        <v>0.16693291743928293</v>
      </c>
      <c r="N2159" s="10">
        <v>0.16700000000000001</v>
      </c>
      <c r="O2159" s="4">
        <v>0.83546179858783121</v>
      </c>
      <c r="P2159" s="4">
        <v>0.84</v>
      </c>
      <c r="Q2159" s="3" t="s">
        <v>1597</v>
      </c>
      <c r="R2159" s="3" t="s">
        <v>1602</v>
      </c>
      <c r="S2159" s="3" t="s">
        <v>1603</v>
      </c>
      <c r="T2159" s="3"/>
    </row>
    <row r="2160" spans="1:20">
      <c r="A2160" s="3" t="s">
        <v>1600</v>
      </c>
      <c r="B2160" s="3" t="s">
        <v>1601</v>
      </c>
      <c r="C2160" s="3" t="s">
        <v>1616</v>
      </c>
      <c r="D2160" s="3" t="s">
        <v>458</v>
      </c>
      <c r="E2160" s="3" t="s">
        <v>459</v>
      </c>
      <c r="F2160" s="2">
        <v>1</v>
      </c>
      <c r="G2160" s="4">
        <v>1.0687393733300949</v>
      </c>
      <c r="H2160" s="2">
        <v>25</v>
      </c>
      <c r="I2160" s="2">
        <v>5</v>
      </c>
      <c r="J2160" s="2">
        <v>16</v>
      </c>
      <c r="K2160" s="4">
        <v>6.1652380206775659E-2</v>
      </c>
      <c r="L2160" s="4">
        <v>0.1123335967418394</v>
      </c>
      <c r="M2160" s="4">
        <v>0.1123335967418394</v>
      </c>
      <c r="N2160" s="10">
        <v>0.112</v>
      </c>
      <c r="O2160" s="4">
        <v>0.55930337792356</v>
      </c>
      <c r="P2160" s="4">
        <v>0.56000000000000005</v>
      </c>
      <c r="Q2160" s="3" t="s">
        <v>1597</v>
      </c>
      <c r="R2160" s="3" t="s">
        <v>1602</v>
      </c>
      <c r="S2160" s="3" t="s">
        <v>1603</v>
      </c>
      <c r="T2160" s="3"/>
    </row>
    <row r="2161" spans="1:20">
      <c r="A2161" s="3" t="s">
        <v>1600</v>
      </c>
      <c r="B2161" s="3" t="s">
        <v>1606</v>
      </c>
      <c r="C2161" s="3" t="s">
        <v>1596</v>
      </c>
      <c r="D2161" s="3" t="s">
        <v>458</v>
      </c>
      <c r="E2161" s="3" t="s">
        <v>459</v>
      </c>
      <c r="F2161" s="2">
        <v>1</v>
      </c>
      <c r="G2161" s="4">
        <v>1.0687393733300949</v>
      </c>
      <c r="H2161" s="2">
        <v>25</v>
      </c>
      <c r="I2161" s="2">
        <v>5</v>
      </c>
      <c r="J2161" s="2">
        <v>16</v>
      </c>
      <c r="K2161" s="11">
        <v>1</v>
      </c>
      <c r="L2161" s="11">
        <v>5.2397331245210316E-2</v>
      </c>
      <c r="M2161" s="4">
        <v>5.2397331245210316E-2</v>
      </c>
      <c r="N2161" s="10">
        <v>5.1999999999999998E-2</v>
      </c>
      <c r="O2161" s="4">
        <v>0.26002076832649151</v>
      </c>
      <c r="P2161" s="4">
        <v>0.26</v>
      </c>
      <c r="Q2161" s="3" t="s">
        <v>1597</v>
      </c>
      <c r="R2161" s="3" t="s">
        <v>1607</v>
      </c>
      <c r="S2161" s="3" t="s">
        <v>1608</v>
      </c>
      <c r="T2161" s="3"/>
    </row>
    <row r="2162" spans="1:20">
      <c r="A2162" s="3" t="s">
        <v>1594</v>
      </c>
      <c r="B2162" s="3" t="s">
        <v>1612</v>
      </c>
      <c r="C2162" s="3" t="s">
        <v>1596</v>
      </c>
      <c r="D2162" s="3" t="s">
        <v>458</v>
      </c>
      <c r="E2162" s="3" t="s">
        <v>459</v>
      </c>
      <c r="F2162" s="2">
        <v>1</v>
      </c>
      <c r="G2162" s="4">
        <v>1.0687393733300949</v>
      </c>
      <c r="H2162" s="2">
        <v>50</v>
      </c>
      <c r="I2162" s="2">
        <v>5</v>
      </c>
      <c r="J2162" s="2">
        <v>16</v>
      </c>
      <c r="K2162" s="4">
        <v>0.90870607884889509</v>
      </c>
      <c r="L2162" s="14">
        <v>3.5811719635777131E-2</v>
      </c>
      <c r="M2162" s="4">
        <v>3.5811719635777131E-2</v>
      </c>
      <c r="N2162" s="10">
        <v>3.5999999999999997E-2</v>
      </c>
      <c r="O2162" s="4">
        <v>0.19252238383789005</v>
      </c>
      <c r="P2162" s="4">
        <v>0.19</v>
      </c>
      <c r="Q2162" s="3" t="s">
        <v>1597</v>
      </c>
      <c r="R2162" s="3" t="s">
        <v>1613</v>
      </c>
      <c r="S2162" s="3" t="s">
        <v>1614</v>
      </c>
      <c r="T2162" s="3"/>
    </row>
    <row r="2163" spans="1:20">
      <c r="A2163" s="3" t="s">
        <v>1600</v>
      </c>
      <c r="B2163" s="3" t="s">
        <v>1609</v>
      </c>
      <c r="C2163" s="3" t="s">
        <v>1616</v>
      </c>
      <c r="D2163" s="3" t="s">
        <v>458</v>
      </c>
      <c r="E2163" s="3" t="s">
        <v>459</v>
      </c>
      <c r="F2163" s="2">
        <v>1</v>
      </c>
      <c r="G2163" s="4">
        <v>1.0687393733300949</v>
      </c>
      <c r="H2163" s="2">
        <v>25</v>
      </c>
      <c r="I2163" s="2">
        <v>5</v>
      </c>
      <c r="J2163" s="2">
        <v>1</v>
      </c>
      <c r="K2163" s="4">
        <v>0</v>
      </c>
      <c r="L2163" s="4">
        <v>0</v>
      </c>
      <c r="M2163" s="4">
        <v>0</v>
      </c>
      <c r="N2163" s="10">
        <v>0</v>
      </c>
      <c r="O2163" s="4">
        <v>0</v>
      </c>
      <c r="P2163" s="4">
        <v>0</v>
      </c>
      <c r="Q2163" s="3" t="s">
        <v>1617</v>
      </c>
      <c r="R2163" s="3" t="s">
        <v>1623</v>
      </c>
      <c r="S2163" s="3" t="s">
        <v>1624</v>
      </c>
      <c r="T2163" s="3"/>
    </row>
    <row r="2164" spans="1:20">
      <c r="A2164" s="3" t="s">
        <v>1594</v>
      </c>
      <c r="B2164" s="3" t="s">
        <v>1595</v>
      </c>
      <c r="C2164" s="3" t="s">
        <v>1596</v>
      </c>
      <c r="D2164" s="3" t="s">
        <v>458</v>
      </c>
      <c r="E2164" s="3" t="s">
        <v>459</v>
      </c>
      <c r="F2164" s="2">
        <v>1</v>
      </c>
      <c r="G2164" s="4">
        <v>1.0687393733300949</v>
      </c>
      <c r="H2164" s="2">
        <v>50</v>
      </c>
      <c r="I2164" s="2">
        <v>5</v>
      </c>
      <c r="J2164" s="2">
        <v>16</v>
      </c>
      <c r="K2164" s="4">
        <v>1</v>
      </c>
      <c r="L2164" s="14">
        <v>-1.0761685617159846E-2</v>
      </c>
      <c r="M2164" s="4">
        <v>1.0761685617159846E-2</v>
      </c>
      <c r="N2164" s="10">
        <v>1.0999999999999999E-2</v>
      </c>
      <c r="O2164" s="4">
        <v>5.7831886709081841E-2</v>
      </c>
      <c r="P2164" s="4">
        <v>-0.06</v>
      </c>
      <c r="Q2164" s="3" t="s">
        <v>1617</v>
      </c>
      <c r="R2164" s="3" t="s">
        <v>1625</v>
      </c>
      <c r="S2164" s="3" t="s">
        <v>1626</v>
      </c>
      <c r="T2164" s="3"/>
    </row>
    <row r="2165" spans="1:20">
      <c r="A2165" s="3" t="s">
        <v>1604</v>
      </c>
      <c r="B2165" s="3" t="s">
        <v>1601</v>
      </c>
      <c r="C2165" s="3" t="s">
        <v>1616</v>
      </c>
      <c r="D2165" s="3" t="s">
        <v>458</v>
      </c>
      <c r="E2165" s="3" t="s">
        <v>459</v>
      </c>
      <c r="F2165" s="2">
        <v>1</v>
      </c>
      <c r="G2165" s="4">
        <v>1.0687393733300949</v>
      </c>
      <c r="H2165" s="2">
        <v>25</v>
      </c>
      <c r="I2165" s="2">
        <v>30</v>
      </c>
      <c r="J2165" s="2">
        <v>16</v>
      </c>
      <c r="K2165" s="4">
        <v>0.13423900258005861</v>
      </c>
      <c r="L2165" s="4">
        <v>-1.4037340600666756E-2</v>
      </c>
      <c r="M2165" s="4">
        <v>1.4037340600666756E-2</v>
      </c>
      <c r="N2165" s="10">
        <v>1.4E-2</v>
      </c>
      <c r="O2165" s="4">
        <v>6.9600813003819512E-2</v>
      </c>
      <c r="P2165" s="4">
        <v>-7.0000000000000007E-2</v>
      </c>
      <c r="Q2165" s="3" t="s">
        <v>1617</v>
      </c>
      <c r="R2165" s="3" t="s">
        <v>1618</v>
      </c>
      <c r="S2165" s="3" t="s">
        <v>1619</v>
      </c>
      <c r="T2165" s="3"/>
    </row>
    <row r="2166" spans="1:20">
      <c r="A2166" s="3" t="s">
        <v>1600</v>
      </c>
      <c r="B2166" s="3" t="s">
        <v>1606</v>
      </c>
      <c r="C2166" s="3" t="s">
        <v>1596</v>
      </c>
      <c r="D2166" s="3" t="s">
        <v>458</v>
      </c>
      <c r="E2166" s="3" t="s">
        <v>459</v>
      </c>
      <c r="F2166" s="2">
        <v>1</v>
      </c>
      <c r="G2166" s="4">
        <v>1.0687393733300949</v>
      </c>
      <c r="H2166" s="2">
        <v>25</v>
      </c>
      <c r="I2166" s="2">
        <v>5</v>
      </c>
      <c r="J2166" s="2">
        <v>1</v>
      </c>
      <c r="K2166" s="11">
        <v>1</v>
      </c>
      <c r="L2166" s="11">
        <v>-2.5302174663015767E-2</v>
      </c>
      <c r="M2166" s="4">
        <v>2.5302174663015767E-2</v>
      </c>
      <c r="N2166" s="10">
        <v>2.5000000000000001E-2</v>
      </c>
      <c r="O2166" s="4">
        <v>0.12547335208366961</v>
      </c>
      <c r="P2166" s="4">
        <v>-0.12</v>
      </c>
      <c r="Q2166" s="3" t="s">
        <v>1617</v>
      </c>
      <c r="R2166" s="3" t="s">
        <v>1621</v>
      </c>
      <c r="S2166" s="3" t="s">
        <v>1622</v>
      </c>
      <c r="T2166" s="3"/>
    </row>
    <row r="2167" spans="1:20">
      <c r="A2167" s="3" t="s">
        <v>1594</v>
      </c>
      <c r="B2167" s="3" t="s">
        <v>1612</v>
      </c>
      <c r="C2167" s="3" t="s">
        <v>1596</v>
      </c>
      <c r="D2167" s="3" t="s">
        <v>164</v>
      </c>
      <c r="E2167" s="3" t="s">
        <v>165</v>
      </c>
      <c r="F2167" s="2">
        <v>1</v>
      </c>
      <c r="G2167" s="4">
        <v>1.069218769171443</v>
      </c>
      <c r="H2167" s="2">
        <v>50</v>
      </c>
      <c r="I2167" s="2">
        <v>5</v>
      </c>
      <c r="J2167" s="2">
        <v>16</v>
      </c>
      <c r="K2167" s="4">
        <v>1</v>
      </c>
      <c r="L2167" s="14">
        <v>0.9151881125750837</v>
      </c>
      <c r="M2167" s="4">
        <v>0.9151881125750837</v>
      </c>
      <c r="N2167" s="10">
        <v>0.91500000000000004</v>
      </c>
      <c r="O2167" s="4">
        <v>8.3752150458556507</v>
      </c>
      <c r="P2167" s="4">
        <v>8.3699999999999992</v>
      </c>
      <c r="Q2167" s="3" t="s">
        <v>1597</v>
      </c>
      <c r="R2167" s="3" t="s">
        <v>1613</v>
      </c>
      <c r="S2167" s="3" t="s">
        <v>1614</v>
      </c>
      <c r="T2167" s="3"/>
    </row>
    <row r="2168" spans="1:20">
      <c r="A2168" s="12" t="s">
        <v>1605</v>
      </c>
      <c r="B2168" s="3" t="s">
        <v>1601</v>
      </c>
      <c r="C2168" s="3" t="s">
        <v>1596</v>
      </c>
      <c r="D2168" s="3" t="s">
        <v>164</v>
      </c>
      <c r="E2168" s="3" t="s">
        <v>165</v>
      </c>
      <c r="F2168" s="2">
        <v>1</v>
      </c>
      <c r="G2168" s="4">
        <v>1.069218769171443</v>
      </c>
      <c r="H2168" s="2">
        <v>25</v>
      </c>
      <c r="I2168" s="2">
        <v>5</v>
      </c>
      <c r="J2168" s="2">
        <v>16</v>
      </c>
      <c r="K2168" s="11">
        <v>1</v>
      </c>
      <c r="L2168" s="11">
        <v>0.32420900675985626</v>
      </c>
      <c r="M2168" s="4">
        <v>0.32420900675985626</v>
      </c>
      <c r="N2168" s="10">
        <v>0.32400000000000001</v>
      </c>
      <c r="O2168" s="4">
        <v>1.6675690139818606</v>
      </c>
      <c r="P2168" s="4">
        <v>1.67</v>
      </c>
      <c r="Q2168" s="3" t="s">
        <v>1597</v>
      </c>
      <c r="R2168" s="3" t="s">
        <v>1602</v>
      </c>
      <c r="S2168" s="3" t="s">
        <v>1603</v>
      </c>
      <c r="T2168" s="3"/>
    </row>
    <row r="2169" spans="1:20">
      <c r="A2169" s="3" t="s">
        <v>1604</v>
      </c>
      <c r="B2169" s="3" t="s">
        <v>1601</v>
      </c>
      <c r="C2169" s="3" t="s">
        <v>1596</v>
      </c>
      <c r="D2169" s="3" t="s">
        <v>164</v>
      </c>
      <c r="E2169" s="3" t="s">
        <v>165</v>
      </c>
      <c r="F2169" s="2">
        <v>1</v>
      </c>
      <c r="G2169" s="4">
        <v>1.069218769171443</v>
      </c>
      <c r="H2169" s="2">
        <v>25</v>
      </c>
      <c r="I2169" s="2">
        <v>30</v>
      </c>
      <c r="J2169" s="2">
        <v>16</v>
      </c>
      <c r="K2169" s="4">
        <v>1</v>
      </c>
      <c r="L2169" s="4">
        <v>0.32069308070111657</v>
      </c>
      <c r="M2169" s="4">
        <v>0.32069308070111657</v>
      </c>
      <c r="N2169" s="10">
        <v>0.32100000000000001</v>
      </c>
      <c r="O2169" s="4">
        <v>1.6481144667953249</v>
      </c>
      <c r="P2169" s="4">
        <v>1.65</v>
      </c>
      <c r="Q2169" s="3" t="s">
        <v>1597</v>
      </c>
      <c r="R2169" s="3" t="s">
        <v>1602</v>
      </c>
      <c r="S2169" s="3" t="s">
        <v>1603</v>
      </c>
      <c r="T2169" s="3"/>
    </row>
    <row r="2170" spans="1:20">
      <c r="A2170" s="3" t="s">
        <v>1600</v>
      </c>
      <c r="B2170" s="3" t="s">
        <v>1601</v>
      </c>
      <c r="C2170" s="3" t="s">
        <v>1596</v>
      </c>
      <c r="D2170" s="3" t="s">
        <v>164</v>
      </c>
      <c r="E2170" s="3" t="s">
        <v>165</v>
      </c>
      <c r="F2170" s="2">
        <v>1</v>
      </c>
      <c r="G2170" s="4">
        <v>1.069218769171443</v>
      </c>
      <c r="H2170" s="2">
        <v>25</v>
      </c>
      <c r="I2170" s="2">
        <v>5</v>
      </c>
      <c r="J2170" s="2">
        <v>16</v>
      </c>
      <c r="K2170" s="4">
        <v>1</v>
      </c>
      <c r="L2170" s="4">
        <v>0.30669953562532754</v>
      </c>
      <c r="M2170" s="4">
        <v>0.30669953562532754</v>
      </c>
      <c r="N2170" s="10">
        <v>0.307</v>
      </c>
      <c r="O2170" s="4">
        <v>1.5711609138112321</v>
      </c>
      <c r="P2170" s="4">
        <v>1.57</v>
      </c>
      <c r="Q2170" s="3" t="s">
        <v>1597</v>
      </c>
      <c r="R2170" s="3" t="s">
        <v>1602</v>
      </c>
      <c r="S2170" s="3" t="s">
        <v>1603</v>
      </c>
      <c r="T2170" s="3"/>
    </row>
    <row r="2171" spans="1:20">
      <c r="A2171" s="3" t="s">
        <v>1600</v>
      </c>
      <c r="B2171" s="3" t="s">
        <v>1601</v>
      </c>
      <c r="C2171" s="3" t="s">
        <v>1596</v>
      </c>
      <c r="D2171" s="3" t="s">
        <v>164</v>
      </c>
      <c r="E2171" s="3" t="s">
        <v>165</v>
      </c>
      <c r="F2171" s="2">
        <v>1</v>
      </c>
      <c r="G2171" s="4">
        <v>1.069218769171443</v>
      </c>
      <c r="H2171" s="2">
        <v>25</v>
      </c>
      <c r="I2171" s="2">
        <v>5</v>
      </c>
      <c r="J2171" s="2">
        <v>1</v>
      </c>
      <c r="K2171" s="4">
        <v>1</v>
      </c>
      <c r="L2171" s="4">
        <v>0.30469526990658025</v>
      </c>
      <c r="M2171" s="4">
        <v>0.30469526990658025</v>
      </c>
      <c r="N2171" s="10">
        <v>0.30499999999999999</v>
      </c>
      <c r="O2171" s="4">
        <v>1.5601995361351442</v>
      </c>
      <c r="P2171" s="4">
        <v>1.56</v>
      </c>
      <c r="Q2171" s="3" t="s">
        <v>1597</v>
      </c>
      <c r="R2171" s="3" t="s">
        <v>1602</v>
      </c>
      <c r="S2171" s="3" t="s">
        <v>1603</v>
      </c>
      <c r="T2171" s="3"/>
    </row>
    <row r="2172" spans="1:20">
      <c r="A2172" s="3" t="s">
        <v>1600</v>
      </c>
      <c r="B2172" s="3" t="s">
        <v>1601</v>
      </c>
      <c r="C2172" s="3" t="s">
        <v>1616</v>
      </c>
      <c r="D2172" s="3" t="s">
        <v>164</v>
      </c>
      <c r="E2172" s="3" t="s">
        <v>165</v>
      </c>
      <c r="F2172" s="2">
        <v>1</v>
      </c>
      <c r="G2172" s="4">
        <v>1.069218769171443</v>
      </c>
      <c r="H2172" s="2">
        <v>25</v>
      </c>
      <c r="I2172" s="2">
        <v>5</v>
      </c>
      <c r="J2172" s="2">
        <v>1</v>
      </c>
      <c r="K2172" s="4">
        <v>1</v>
      </c>
      <c r="L2172" s="4">
        <v>0.23091729932532568</v>
      </c>
      <c r="M2172" s="4">
        <v>0.23091729932532568</v>
      </c>
      <c r="N2172" s="10">
        <v>0.23100000000000001</v>
      </c>
      <c r="O2172" s="4">
        <v>1.165899475443688</v>
      </c>
      <c r="P2172" s="4">
        <v>1.17</v>
      </c>
      <c r="Q2172" s="3" t="s">
        <v>1597</v>
      </c>
      <c r="R2172" s="3" t="s">
        <v>1602</v>
      </c>
      <c r="S2172" s="3" t="s">
        <v>1603</v>
      </c>
      <c r="T2172" s="3"/>
    </row>
    <row r="2173" spans="1:20">
      <c r="A2173" s="3" t="s">
        <v>1604</v>
      </c>
      <c r="B2173" s="3" t="s">
        <v>1601</v>
      </c>
      <c r="C2173" s="3" t="s">
        <v>1616</v>
      </c>
      <c r="D2173" s="3" t="s">
        <v>164</v>
      </c>
      <c r="E2173" s="3" t="s">
        <v>165</v>
      </c>
      <c r="F2173" s="2">
        <v>1</v>
      </c>
      <c r="G2173" s="4">
        <v>1.069218769171443</v>
      </c>
      <c r="H2173" s="2">
        <v>25</v>
      </c>
      <c r="I2173" s="2">
        <v>30</v>
      </c>
      <c r="J2173" s="2">
        <v>16</v>
      </c>
      <c r="K2173" s="4">
        <v>1</v>
      </c>
      <c r="L2173" s="4">
        <v>0.21021005975223503</v>
      </c>
      <c r="M2173" s="4">
        <v>0.21021005975223503</v>
      </c>
      <c r="N2173" s="10">
        <v>0.21</v>
      </c>
      <c r="O2173" s="4">
        <v>1.0579795284954157</v>
      </c>
      <c r="P2173" s="4">
        <v>1.06</v>
      </c>
      <c r="Q2173" s="3" t="s">
        <v>1597</v>
      </c>
      <c r="R2173" s="3" t="s">
        <v>1602</v>
      </c>
      <c r="S2173" s="3" t="s">
        <v>1603</v>
      </c>
      <c r="T2173" s="3"/>
    </row>
    <row r="2174" spans="1:20">
      <c r="A2174" s="3" t="s">
        <v>1600</v>
      </c>
      <c r="B2174" s="3" t="s">
        <v>1601</v>
      </c>
      <c r="C2174" s="3" t="s">
        <v>1616</v>
      </c>
      <c r="D2174" s="3" t="s">
        <v>164</v>
      </c>
      <c r="E2174" s="3" t="s">
        <v>165</v>
      </c>
      <c r="F2174" s="2">
        <v>1</v>
      </c>
      <c r="G2174" s="4">
        <v>1.069218769171443</v>
      </c>
      <c r="H2174" s="2">
        <v>25</v>
      </c>
      <c r="I2174" s="2">
        <v>5</v>
      </c>
      <c r="J2174" s="2">
        <v>16</v>
      </c>
      <c r="K2174" s="4">
        <v>1</v>
      </c>
      <c r="L2174" s="4">
        <v>0.19292848964675816</v>
      </c>
      <c r="M2174" s="4">
        <v>0.19292848964675816</v>
      </c>
      <c r="N2174" s="10">
        <v>0.193</v>
      </c>
      <c r="O2174" s="4">
        <v>0.96866723039893599</v>
      </c>
      <c r="P2174" s="4">
        <v>0.97</v>
      </c>
      <c r="Q2174" s="3" t="s">
        <v>1597</v>
      </c>
      <c r="R2174" s="3" t="s">
        <v>1602</v>
      </c>
      <c r="S2174" s="3" t="s">
        <v>1603</v>
      </c>
      <c r="T2174" s="3"/>
    </row>
    <row r="2175" spans="1:20">
      <c r="A2175" s="3" t="s">
        <v>1600</v>
      </c>
      <c r="B2175" s="3" t="s">
        <v>1609</v>
      </c>
      <c r="C2175" s="3" t="s">
        <v>1616</v>
      </c>
      <c r="D2175" s="3" t="s">
        <v>164</v>
      </c>
      <c r="E2175" s="3" t="s">
        <v>165</v>
      </c>
      <c r="F2175" s="2">
        <v>1</v>
      </c>
      <c r="G2175" s="4">
        <v>1.069218769171443</v>
      </c>
      <c r="H2175" s="2">
        <v>25</v>
      </c>
      <c r="I2175" s="2">
        <v>5</v>
      </c>
      <c r="J2175" s="2">
        <v>1</v>
      </c>
      <c r="K2175" s="4">
        <v>1</v>
      </c>
      <c r="L2175" s="4">
        <v>-8.4151362450630152E-2</v>
      </c>
      <c r="M2175" s="4">
        <v>8.4151362450630152E-2</v>
      </c>
      <c r="N2175" s="10">
        <v>8.4000000000000005E-2</v>
      </c>
      <c r="O2175" s="4">
        <v>0.4182061387714201</v>
      </c>
      <c r="P2175" s="4">
        <v>-0.42</v>
      </c>
      <c r="Q2175" s="3" t="s">
        <v>1617</v>
      </c>
      <c r="R2175" s="3" t="s">
        <v>1623</v>
      </c>
      <c r="S2175" s="3" t="s">
        <v>1624</v>
      </c>
      <c r="T2175" s="3"/>
    </row>
    <row r="2176" spans="1:20">
      <c r="A2176" s="3" t="s">
        <v>1600</v>
      </c>
      <c r="B2176" s="3" t="s">
        <v>1609</v>
      </c>
      <c r="C2176" s="3" t="s">
        <v>1616</v>
      </c>
      <c r="D2176" s="3" t="s">
        <v>164</v>
      </c>
      <c r="E2176" s="3" t="s">
        <v>165</v>
      </c>
      <c r="F2176" s="2">
        <v>1</v>
      </c>
      <c r="G2176" s="4">
        <v>1.069218769171443</v>
      </c>
      <c r="H2176" s="2">
        <v>25</v>
      </c>
      <c r="I2176" s="2">
        <v>5</v>
      </c>
      <c r="J2176" s="2">
        <v>16</v>
      </c>
      <c r="K2176" s="11">
        <v>1</v>
      </c>
      <c r="L2176" s="11">
        <v>-0.13752001661630406</v>
      </c>
      <c r="M2176" s="4">
        <v>0.13752001661630406</v>
      </c>
      <c r="N2176" s="10">
        <v>0.13800000000000001</v>
      </c>
      <c r="O2176" s="4">
        <v>0.6861630379219269</v>
      </c>
      <c r="P2176" s="4">
        <v>-0.69</v>
      </c>
      <c r="Q2176" s="3" t="s">
        <v>1617</v>
      </c>
      <c r="R2176" s="3" t="s">
        <v>1623</v>
      </c>
      <c r="S2176" s="3" t="s">
        <v>1624</v>
      </c>
      <c r="T2176" s="3"/>
    </row>
    <row r="2177" spans="1:20">
      <c r="A2177" s="3" t="s">
        <v>1600</v>
      </c>
      <c r="B2177" s="3" t="s">
        <v>1609</v>
      </c>
      <c r="C2177" s="3" t="s">
        <v>1596</v>
      </c>
      <c r="D2177" s="3" t="s">
        <v>164</v>
      </c>
      <c r="E2177" s="3" t="s">
        <v>165</v>
      </c>
      <c r="F2177" s="2">
        <v>1</v>
      </c>
      <c r="G2177" s="4">
        <v>1.069218769171443</v>
      </c>
      <c r="H2177" s="2">
        <v>25</v>
      </c>
      <c r="I2177" s="2">
        <v>5</v>
      </c>
      <c r="J2177" s="2">
        <v>16</v>
      </c>
      <c r="K2177" s="4">
        <v>1</v>
      </c>
      <c r="L2177" s="4">
        <v>-0.17681958502010059</v>
      </c>
      <c r="M2177" s="4">
        <v>0.17681958502010059</v>
      </c>
      <c r="N2177" s="10">
        <v>0.17699999999999999</v>
      </c>
      <c r="O2177" s="4">
        <v>0.88597186920935445</v>
      </c>
      <c r="P2177" s="4">
        <v>-0.89</v>
      </c>
      <c r="Q2177" s="3" t="s">
        <v>1617</v>
      </c>
      <c r="R2177" s="3" t="s">
        <v>1623</v>
      </c>
      <c r="S2177" s="3" t="s">
        <v>1624</v>
      </c>
      <c r="T2177" s="3"/>
    </row>
    <row r="2178" spans="1:20">
      <c r="A2178" s="3" t="s">
        <v>1600</v>
      </c>
      <c r="B2178" s="3" t="s">
        <v>1609</v>
      </c>
      <c r="C2178" s="3" t="s">
        <v>1596</v>
      </c>
      <c r="D2178" s="3" t="s">
        <v>164</v>
      </c>
      <c r="E2178" s="3" t="s">
        <v>165</v>
      </c>
      <c r="F2178" s="2">
        <v>1</v>
      </c>
      <c r="G2178" s="4">
        <v>1.069218769171443</v>
      </c>
      <c r="H2178" s="2">
        <v>25</v>
      </c>
      <c r="I2178" s="2">
        <v>5</v>
      </c>
      <c r="J2178" s="2">
        <v>1</v>
      </c>
      <c r="K2178" s="11">
        <v>1</v>
      </c>
      <c r="L2178" s="11">
        <v>-0.29388769845392143</v>
      </c>
      <c r="M2178" s="4">
        <v>0.29388769845392143</v>
      </c>
      <c r="N2178" s="10">
        <v>0.29399999999999998</v>
      </c>
      <c r="O2178" s="4">
        <v>1.5013434273726454</v>
      </c>
      <c r="P2178" s="4">
        <v>-1.5</v>
      </c>
      <c r="Q2178" s="3" t="s">
        <v>1617</v>
      </c>
      <c r="R2178" s="3" t="s">
        <v>1623</v>
      </c>
      <c r="S2178" s="3" t="s">
        <v>1624</v>
      </c>
      <c r="T2178" s="3"/>
    </row>
    <row r="2179" spans="1:20">
      <c r="A2179" s="3" t="s">
        <v>1600</v>
      </c>
      <c r="B2179" s="3" t="s">
        <v>1606</v>
      </c>
      <c r="C2179" s="3" t="s">
        <v>1616</v>
      </c>
      <c r="D2179" s="3" t="s">
        <v>164</v>
      </c>
      <c r="E2179" s="3" t="s">
        <v>165</v>
      </c>
      <c r="F2179" s="2">
        <v>1</v>
      </c>
      <c r="G2179" s="4">
        <v>1.069218769171443</v>
      </c>
      <c r="H2179" s="2">
        <v>25</v>
      </c>
      <c r="I2179" s="2">
        <v>5</v>
      </c>
      <c r="J2179" s="2">
        <v>16</v>
      </c>
      <c r="K2179" s="11">
        <v>1</v>
      </c>
      <c r="L2179" s="11">
        <v>-0.31113922825357976</v>
      </c>
      <c r="M2179" s="4">
        <v>0.31113922825357976</v>
      </c>
      <c r="N2179" s="10">
        <v>0.311</v>
      </c>
      <c r="O2179" s="4">
        <v>1.5954949057928749</v>
      </c>
      <c r="P2179" s="4">
        <v>-1.59</v>
      </c>
      <c r="Q2179" s="3" t="s">
        <v>1617</v>
      </c>
      <c r="R2179" s="3" t="s">
        <v>1621</v>
      </c>
      <c r="S2179" s="3" t="s">
        <v>1622</v>
      </c>
      <c r="T2179" s="3"/>
    </row>
    <row r="2180" spans="1:20">
      <c r="A2180" s="3" t="s">
        <v>1600</v>
      </c>
      <c r="B2180" s="3" t="s">
        <v>1606</v>
      </c>
      <c r="C2180" s="3" t="s">
        <v>1616</v>
      </c>
      <c r="D2180" s="3" t="s">
        <v>164</v>
      </c>
      <c r="E2180" s="3" t="s">
        <v>165</v>
      </c>
      <c r="F2180" s="2">
        <v>1</v>
      </c>
      <c r="G2180" s="4">
        <v>1.069218769171443</v>
      </c>
      <c r="H2180" s="2">
        <v>25</v>
      </c>
      <c r="I2180" s="2">
        <v>5</v>
      </c>
      <c r="J2180" s="2">
        <v>1</v>
      </c>
      <c r="K2180" s="4">
        <v>1</v>
      </c>
      <c r="L2180" s="4">
        <v>-0.32517347151493492</v>
      </c>
      <c r="M2180" s="4">
        <v>0.32517347151493492</v>
      </c>
      <c r="N2180" s="10">
        <v>0.32500000000000001</v>
      </c>
      <c r="O2180" s="4">
        <v>1.6729142922135638</v>
      </c>
      <c r="P2180" s="4">
        <v>-1.67</v>
      </c>
      <c r="Q2180" s="3" t="s">
        <v>1617</v>
      </c>
      <c r="R2180" s="3" t="s">
        <v>1621</v>
      </c>
      <c r="S2180" s="3" t="s">
        <v>1622</v>
      </c>
      <c r="T2180" s="3"/>
    </row>
    <row r="2181" spans="1:20">
      <c r="A2181" s="3" t="s">
        <v>1600</v>
      </c>
      <c r="B2181" s="3" t="s">
        <v>1606</v>
      </c>
      <c r="C2181" s="3" t="s">
        <v>1596</v>
      </c>
      <c r="D2181" s="3" t="s">
        <v>164</v>
      </c>
      <c r="E2181" s="3" t="s">
        <v>165</v>
      </c>
      <c r="F2181" s="2">
        <v>1</v>
      </c>
      <c r="G2181" s="4">
        <v>1.069218769171443</v>
      </c>
      <c r="H2181" s="2">
        <v>25</v>
      </c>
      <c r="I2181" s="2">
        <v>5</v>
      </c>
      <c r="J2181" s="2">
        <v>1</v>
      </c>
      <c r="K2181" s="11">
        <v>0.45069577894023016</v>
      </c>
      <c r="L2181" s="11">
        <v>-0.37981458441503307</v>
      </c>
      <c r="M2181" s="4">
        <v>0.37981458441503307</v>
      </c>
      <c r="N2181" s="10">
        <v>0.38</v>
      </c>
      <c r="O2181" s="4">
        <v>1.9823959438888015</v>
      </c>
      <c r="P2181" s="4">
        <v>-1.98</v>
      </c>
      <c r="Q2181" s="3" t="s">
        <v>1617</v>
      </c>
      <c r="R2181" s="3" t="s">
        <v>1621</v>
      </c>
      <c r="S2181" s="3" t="s">
        <v>1622</v>
      </c>
      <c r="T2181" s="3"/>
    </row>
    <row r="2182" spans="1:20">
      <c r="A2182" s="3" t="s">
        <v>1600</v>
      </c>
      <c r="B2182" s="3" t="s">
        <v>1606</v>
      </c>
      <c r="C2182" s="3" t="s">
        <v>1596</v>
      </c>
      <c r="D2182" s="3" t="s">
        <v>164</v>
      </c>
      <c r="E2182" s="3" t="s">
        <v>165</v>
      </c>
      <c r="F2182" s="2">
        <v>1</v>
      </c>
      <c r="G2182" s="4">
        <v>1.069218769171443</v>
      </c>
      <c r="H2182" s="2">
        <v>25</v>
      </c>
      <c r="I2182" s="2">
        <v>5</v>
      </c>
      <c r="J2182" s="2">
        <v>16</v>
      </c>
      <c r="K2182" s="11">
        <v>1</v>
      </c>
      <c r="L2182" s="11">
        <v>-0.52621527132327328</v>
      </c>
      <c r="M2182" s="4">
        <v>0.52621527132327328</v>
      </c>
      <c r="N2182" s="10">
        <v>0.52600000000000002</v>
      </c>
      <c r="O2182" s="4">
        <v>2.8998801421201086</v>
      </c>
      <c r="P2182" s="4">
        <v>-2.9</v>
      </c>
      <c r="Q2182" s="3" t="s">
        <v>1617</v>
      </c>
      <c r="R2182" s="3" t="s">
        <v>1621</v>
      </c>
      <c r="S2182" s="3" t="s">
        <v>1622</v>
      </c>
      <c r="T2182" s="3"/>
    </row>
    <row r="2183" spans="1:20">
      <c r="A2183" s="3" t="s">
        <v>1594</v>
      </c>
      <c r="B2183" s="3" t="s">
        <v>1595</v>
      </c>
      <c r="C2183" s="3" t="s">
        <v>1596</v>
      </c>
      <c r="D2183" s="3" t="s">
        <v>164</v>
      </c>
      <c r="E2183" s="3" t="s">
        <v>165</v>
      </c>
      <c r="F2183" s="2">
        <v>1</v>
      </c>
      <c r="G2183" s="4">
        <v>1.069218769171443</v>
      </c>
      <c r="H2183" s="2">
        <v>50</v>
      </c>
      <c r="I2183" s="2">
        <v>5</v>
      </c>
      <c r="J2183" s="2">
        <v>16</v>
      </c>
      <c r="K2183" s="4">
        <v>1</v>
      </c>
      <c r="L2183" s="14">
        <v>-0.89873806530650047</v>
      </c>
      <c r="M2183" s="4">
        <v>0.89873806530650047</v>
      </c>
      <c r="N2183" s="10">
        <v>0.89900000000000002</v>
      </c>
      <c r="O2183" s="4">
        <v>7.8757299528339075</v>
      </c>
      <c r="P2183" s="4">
        <v>-7.88</v>
      </c>
      <c r="Q2183" s="3" t="s">
        <v>1617</v>
      </c>
      <c r="R2183" s="3" t="s">
        <v>1625</v>
      </c>
      <c r="S2183" s="3" t="s">
        <v>1626</v>
      </c>
      <c r="T2183" s="3"/>
    </row>
    <row r="2184" spans="1:20">
      <c r="A2184" s="3" t="s">
        <v>1594</v>
      </c>
      <c r="B2184" s="3" t="s">
        <v>1595</v>
      </c>
      <c r="C2184" s="3" t="s">
        <v>1596</v>
      </c>
      <c r="D2184" s="3" t="s">
        <v>1411</v>
      </c>
      <c r="E2184" s="3" t="s">
        <v>1412</v>
      </c>
      <c r="F2184" s="2">
        <v>1</v>
      </c>
      <c r="G2184" s="4">
        <v>1.0692581514015402</v>
      </c>
      <c r="H2184" s="2">
        <v>50</v>
      </c>
      <c r="I2184" s="2">
        <v>5</v>
      </c>
      <c r="J2184" s="2">
        <v>16</v>
      </c>
      <c r="K2184" s="4">
        <v>0.90498319236291713</v>
      </c>
      <c r="L2184" s="4">
        <v>0.24412957236245461</v>
      </c>
      <c r="M2184" s="4">
        <v>0.24412957236245461</v>
      </c>
      <c r="N2184" s="10">
        <v>0.24399999999999999</v>
      </c>
      <c r="O2184" s="4">
        <v>1.338905374653204</v>
      </c>
      <c r="P2184" s="4">
        <v>1.34</v>
      </c>
      <c r="Q2184" s="3" t="s">
        <v>1597</v>
      </c>
      <c r="R2184" s="3" t="s">
        <v>1598</v>
      </c>
      <c r="S2184" s="3" t="s">
        <v>1599</v>
      </c>
      <c r="T2184" s="3"/>
    </row>
    <row r="2185" spans="1:20">
      <c r="A2185" s="3" t="s">
        <v>1594</v>
      </c>
      <c r="B2185" s="3" t="s">
        <v>1595</v>
      </c>
      <c r="C2185" s="3" t="s">
        <v>1596</v>
      </c>
      <c r="D2185" s="3" t="s">
        <v>1411</v>
      </c>
      <c r="E2185" s="3" t="s">
        <v>1412</v>
      </c>
      <c r="F2185" s="2">
        <v>1</v>
      </c>
      <c r="G2185" s="4">
        <v>1.0692581514015402</v>
      </c>
      <c r="H2185" s="2">
        <v>25</v>
      </c>
      <c r="I2185" s="2">
        <v>5</v>
      </c>
      <c r="J2185" s="2">
        <v>16</v>
      </c>
      <c r="K2185" s="4">
        <v>0.47017016764552522</v>
      </c>
      <c r="L2185" s="4">
        <v>4.2126670339504631E-2</v>
      </c>
      <c r="M2185" s="4">
        <v>4.2126670339504631E-2</v>
      </c>
      <c r="N2185" s="10">
        <v>4.2000000000000003E-2</v>
      </c>
      <c r="O2185" s="4">
        <v>0.20898503427955553</v>
      </c>
      <c r="P2185" s="4">
        <v>0.21</v>
      </c>
      <c r="Q2185" s="3" t="s">
        <v>1597</v>
      </c>
      <c r="R2185" s="3" t="s">
        <v>1598</v>
      </c>
      <c r="S2185" s="3" t="s">
        <v>1599</v>
      </c>
      <c r="T2185" s="3"/>
    </row>
    <row r="2186" spans="1:20">
      <c r="A2186" s="3" t="s">
        <v>1604</v>
      </c>
      <c r="B2186" s="3" t="s">
        <v>1601</v>
      </c>
      <c r="C2186" s="3" t="s">
        <v>1596</v>
      </c>
      <c r="D2186" s="3" t="s">
        <v>1411</v>
      </c>
      <c r="E2186" s="3" t="s">
        <v>1412</v>
      </c>
      <c r="F2186" s="2">
        <v>1</v>
      </c>
      <c r="G2186" s="4">
        <v>1.0692581514015402</v>
      </c>
      <c r="H2186" s="2">
        <v>25</v>
      </c>
      <c r="I2186" s="2">
        <v>30</v>
      </c>
      <c r="J2186" s="2">
        <v>16</v>
      </c>
      <c r="K2186" s="4">
        <v>0.9821686367842567</v>
      </c>
      <c r="L2186" s="4">
        <v>2.9286475382618124E-2</v>
      </c>
      <c r="M2186" s="4">
        <v>2.9286475382618124E-2</v>
      </c>
      <c r="N2186" s="10">
        <v>2.9000000000000001E-2</v>
      </c>
      <c r="O2186" s="4">
        <v>0.14524201494243816</v>
      </c>
      <c r="P2186" s="4">
        <v>0.14000000000000001</v>
      </c>
      <c r="Q2186" s="3" t="s">
        <v>1597</v>
      </c>
      <c r="R2186" s="3" t="s">
        <v>1602</v>
      </c>
      <c r="S2186" s="3" t="s">
        <v>1603</v>
      </c>
      <c r="T2186" s="3"/>
    </row>
    <row r="2187" spans="1:20">
      <c r="A2187" s="3" t="s">
        <v>1600</v>
      </c>
      <c r="B2187" s="3" t="s">
        <v>1601</v>
      </c>
      <c r="C2187" s="3" t="s">
        <v>1596</v>
      </c>
      <c r="D2187" s="3" t="s">
        <v>1411</v>
      </c>
      <c r="E2187" s="3" t="s">
        <v>1412</v>
      </c>
      <c r="F2187" s="2">
        <v>1</v>
      </c>
      <c r="G2187" s="4">
        <v>1.0692581514015402</v>
      </c>
      <c r="H2187" s="2">
        <v>25</v>
      </c>
      <c r="I2187" s="2">
        <v>5</v>
      </c>
      <c r="J2187" s="2">
        <v>1</v>
      </c>
      <c r="K2187" s="4">
        <v>5.5977522132884205E-2</v>
      </c>
      <c r="L2187" s="4">
        <v>-9.3356506166275052E-3</v>
      </c>
      <c r="M2187" s="4">
        <v>9.3356506166275052E-3</v>
      </c>
      <c r="N2187" s="10">
        <v>8.9999999999999993E-3</v>
      </c>
      <c r="O2187" s="4">
        <v>4.6286906276421118E-2</v>
      </c>
      <c r="P2187" s="4">
        <v>-0.04</v>
      </c>
      <c r="Q2187" s="3" t="s">
        <v>1617</v>
      </c>
      <c r="R2187" s="3" t="s">
        <v>1618</v>
      </c>
      <c r="S2187" s="3" t="s">
        <v>1619</v>
      </c>
      <c r="T2187" s="3"/>
    </row>
    <row r="2188" spans="1:20">
      <c r="A2188" s="3" t="s">
        <v>1600</v>
      </c>
      <c r="B2188" s="3" t="s">
        <v>1609</v>
      </c>
      <c r="C2188" s="3" t="s">
        <v>1596</v>
      </c>
      <c r="D2188" s="3" t="s">
        <v>1411</v>
      </c>
      <c r="E2188" s="3" t="s">
        <v>1412</v>
      </c>
      <c r="F2188" s="2">
        <v>1</v>
      </c>
      <c r="G2188" s="4">
        <v>1.0692581514015402</v>
      </c>
      <c r="H2188" s="2">
        <v>25</v>
      </c>
      <c r="I2188" s="2">
        <v>5</v>
      </c>
      <c r="J2188" s="2">
        <v>1</v>
      </c>
      <c r="K2188" s="4">
        <v>5.7246029472726945E-2</v>
      </c>
      <c r="L2188" s="4">
        <v>-0.13912345303026108</v>
      </c>
      <c r="M2188" s="4">
        <v>0.13912345303026108</v>
      </c>
      <c r="N2188" s="10">
        <v>0.13900000000000001</v>
      </c>
      <c r="O2188" s="4">
        <v>0.69426784393739838</v>
      </c>
      <c r="P2188" s="4">
        <v>-0.69</v>
      </c>
      <c r="Q2188" s="3" t="s">
        <v>1617</v>
      </c>
      <c r="R2188" s="3" t="s">
        <v>1623</v>
      </c>
      <c r="S2188" s="3" t="s">
        <v>1624</v>
      </c>
      <c r="T2188" s="3"/>
    </row>
    <row r="2189" spans="1:20">
      <c r="A2189" s="3" t="s">
        <v>1600</v>
      </c>
      <c r="B2189" s="3" t="s">
        <v>1609</v>
      </c>
      <c r="C2189" s="3" t="s">
        <v>1616</v>
      </c>
      <c r="D2189" s="3" t="s">
        <v>1411</v>
      </c>
      <c r="E2189" s="3" t="s">
        <v>1412</v>
      </c>
      <c r="F2189" s="2">
        <v>1</v>
      </c>
      <c r="G2189" s="4">
        <v>1.0692581514015402</v>
      </c>
      <c r="H2189" s="2">
        <v>25</v>
      </c>
      <c r="I2189" s="2">
        <v>5</v>
      </c>
      <c r="J2189" s="2">
        <v>1</v>
      </c>
      <c r="K2189" s="4">
        <v>9.6264248507738848E-2</v>
      </c>
      <c r="L2189" s="4">
        <v>-0.14430523038925619</v>
      </c>
      <c r="M2189" s="4">
        <v>0.14430523038925619</v>
      </c>
      <c r="N2189" s="10">
        <v>0.14399999999999999</v>
      </c>
      <c r="O2189" s="4">
        <v>0.72048535481785114</v>
      </c>
      <c r="P2189" s="4">
        <v>-0.72</v>
      </c>
      <c r="Q2189" s="3" t="s">
        <v>1617</v>
      </c>
      <c r="R2189" s="3" t="s">
        <v>1623</v>
      </c>
      <c r="S2189" s="3" t="s">
        <v>1624</v>
      </c>
      <c r="T2189" s="3"/>
    </row>
    <row r="2190" spans="1:20">
      <c r="A2190" s="3" t="s">
        <v>1600</v>
      </c>
      <c r="B2190" s="3" t="s">
        <v>1609</v>
      </c>
      <c r="C2190" s="3" t="s">
        <v>1616</v>
      </c>
      <c r="D2190" s="3" t="s">
        <v>1411</v>
      </c>
      <c r="E2190" s="3" t="s">
        <v>1412</v>
      </c>
      <c r="F2190" s="2">
        <v>1</v>
      </c>
      <c r="G2190" s="4">
        <v>1.0692581514015402</v>
      </c>
      <c r="H2190" s="2">
        <v>25</v>
      </c>
      <c r="I2190" s="2">
        <v>5</v>
      </c>
      <c r="J2190" s="2">
        <v>16</v>
      </c>
      <c r="K2190" s="4">
        <v>0.62029395286340538</v>
      </c>
      <c r="L2190" s="4">
        <v>-0.20229402362969695</v>
      </c>
      <c r="M2190" s="4">
        <v>0.20229402362969695</v>
      </c>
      <c r="N2190" s="10">
        <v>0.20200000000000001</v>
      </c>
      <c r="O2190" s="4">
        <v>1.0169883106567834</v>
      </c>
      <c r="P2190" s="4">
        <v>-1.02</v>
      </c>
      <c r="Q2190" s="3" t="s">
        <v>1617</v>
      </c>
      <c r="R2190" s="3" t="s">
        <v>1623</v>
      </c>
      <c r="S2190" s="3" t="s">
        <v>1624</v>
      </c>
      <c r="T2190" s="3"/>
    </row>
    <row r="2191" spans="1:20">
      <c r="A2191" s="3" t="s">
        <v>1594</v>
      </c>
      <c r="B2191" s="3" t="s">
        <v>1612</v>
      </c>
      <c r="C2191" s="3" t="s">
        <v>1596</v>
      </c>
      <c r="D2191" s="3" t="s">
        <v>1411</v>
      </c>
      <c r="E2191" s="3" t="s">
        <v>1412</v>
      </c>
      <c r="F2191" s="2">
        <v>1</v>
      </c>
      <c r="G2191" s="4">
        <v>1.0692581514015402</v>
      </c>
      <c r="H2191" s="2">
        <v>50</v>
      </c>
      <c r="I2191" s="2">
        <v>5</v>
      </c>
      <c r="J2191" s="2">
        <v>16</v>
      </c>
      <c r="K2191" s="4">
        <v>0.46881057512124358</v>
      </c>
      <c r="L2191" s="4">
        <v>-0.21481260634223823</v>
      </c>
      <c r="M2191" s="4">
        <v>0.21481260634223823</v>
      </c>
      <c r="N2191" s="10">
        <v>0.215</v>
      </c>
      <c r="O2191" s="4">
        <v>1.172593905920863</v>
      </c>
      <c r="P2191" s="4">
        <v>-1.17</v>
      </c>
      <c r="Q2191" s="3" t="s">
        <v>1617</v>
      </c>
      <c r="R2191" s="3" t="s">
        <v>1627</v>
      </c>
      <c r="S2191" s="3" t="s">
        <v>1628</v>
      </c>
      <c r="T2191" s="3"/>
    </row>
    <row r="2192" spans="1:20">
      <c r="A2192" s="3" t="s">
        <v>1604</v>
      </c>
      <c r="B2192" s="3" t="s">
        <v>1601</v>
      </c>
      <c r="C2192" s="3" t="s">
        <v>1616</v>
      </c>
      <c r="D2192" s="3" t="s">
        <v>1411</v>
      </c>
      <c r="E2192" s="3" t="s">
        <v>1412</v>
      </c>
      <c r="F2192" s="2">
        <v>1</v>
      </c>
      <c r="G2192" s="4">
        <v>1.0692581514015402</v>
      </c>
      <c r="H2192" s="2">
        <v>25</v>
      </c>
      <c r="I2192" s="2">
        <v>30</v>
      </c>
      <c r="J2192" s="2">
        <v>16</v>
      </c>
      <c r="K2192" s="4">
        <v>1</v>
      </c>
      <c r="L2192" s="4">
        <v>-0.34720050198266106</v>
      </c>
      <c r="M2192" s="4">
        <v>0.34720050198266106</v>
      </c>
      <c r="N2192" s="10">
        <v>0.34699999999999998</v>
      </c>
      <c r="O2192" s="4">
        <v>1.7960471022796507</v>
      </c>
      <c r="P2192" s="4">
        <v>-1.79</v>
      </c>
      <c r="Q2192" s="3" t="s">
        <v>1617</v>
      </c>
      <c r="R2192" s="3" t="s">
        <v>1618</v>
      </c>
      <c r="S2192" s="3" t="s">
        <v>1619</v>
      </c>
      <c r="T2192" s="3"/>
    </row>
    <row r="2193" spans="1:20">
      <c r="A2193" s="3" t="s">
        <v>1605</v>
      </c>
      <c r="B2193" s="3" t="s">
        <v>1601</v>
      </c>
      <c r="C2193" s="3" t="s">
        <v>1596</v>
      </c>
      <c r="D2193" s="3" t="s">
        <v>1411</v>
      </c>
      <c r="E2193" s="3" t="s">
        <v>1412</v>
      </c>
      <c r="F2193" s="2">
        <v>1</v>
      </c>
      <c r="G2193" s="4">
        <v>1.0692581514015402</v>
      </c>
      <c r="H2193" s="2">
        <v>25</v>
      </c>
      <c r="I2193" s="2">
        <v>5</v>
      </c>
      <c r="J2193" s="2">
        <v>16</v>
      </c>
      <c r="K2193" s="4">
        <v>0.46654222832953973</v>
      </c>
      <c r="L2193" s="4">
        <v>-0.47743102517561953</v>
      </c>
      <c r="M2193" s="4">
        <v>0.47743102517561953</v>
      </c>
      <c r="N2193" s="10">
        <v>0.47699999999999998</v>
      </c>
      <c r="O2193" s="4">
        <v>2.5763992603980812</v>
      </c>
      <c r="P2193" s="4">
        <v>-2.57</v>
      </c>
      <c r="Q2193" s="3" t="s">
        <v>1617</v>
      </c>
      <c r="R2193" s="3" t="s">
        <v>1618</v>
      </c>
      <c r="S2193" s="3" t="s">
        <v>1619</v>
      </c>
      <c r="T2193" s="3"/>
    </row>
    <row r="2194" spans="1:20">
      <c r="A2194" s="3" t="s">
        <v>1600</v>
      </c>
      <c r="B2194" s="3" t="s">
        <v>1601</v>
      </c>
      <c r="C2194" s="3" t="s">
        <v>1616</v>
      </c>
      <c r="D2194" s="3" t="s">
        <v>1411</v>
      </c>
      <c r="E2194" s="3" t="s">
        <v>1412</v>
      </c>
      <c r="F2194" s="2">
        <v>1</v>
      </c>
      <c r="G2194" s="4">
        <v>1.0692581514015402</v>
      </c>
      <c r="H2194" s="2">
        <v>25</v>
      </c>
      <c r="I2194" s="2">
        <v>5</v>
      </c>
      <c r="J2194" s="2">
        <v>16</v>
      </c>
      <c r="K2194" s="4">
        <v>0.76540149438202931</v>
      </c>
      <c r="L2194" s="4">
        <v>-0.51110213672816862</v>
      </c>
      <c r="M2194" s="4">
        <v>0.51110213672816862</v>
      </c>
      <c r="N2194" s="10">
        <v>0.51100000000000001</v>
      </c>
      <c r="O2194" s="4">
        <v>2.7973692181492065</v>
      </c>
      <c r="P2194" s="4">
        <v>-2.8</v>
      </c>
      <c r="Q2194" s="3" t="s">
        <v>1617</v>
      </c>
      <c r="R2194" s="3" t="s">
        <v>1618</v>
      </c>
      <c r="S2194" s="3" t="s">
        <v>1619</v>
      </c>
      <c r="T2194" s="3"/>
    </row>
    <row r="2195" spans="1:20">
      <c r="A2195" s="3" t="s">
        <v>1600</v>
      </c>
      <c r="B2195" s="3" t="s">
        <v>1609</v>
      </c>
      <c r="C2195" s="3" t="s">
        <v>1596</v>
      </c>
      <c r="D2195" s="3" t="s">
        <v>1411</v>
      </c>
      <c r="E2195" s="3" t="s">
        <v>1412</v>
      </c>
      <c r="F2195" s="2">
        <v>1</v>
      </c>
      <c r="G2195" s="4">
        <v>1.0692581514015402</v>
      </c>
      <c r="H2195" s="2">
        <v>25</v>
      </c>
      <c r="I2195" s="2">
        <v>5</v>
      </c>
      <c r="J2195" s="2">
        <v>16</v>
      </c>
      <c r="K2195" s="4">
        <v>0.27398822105919129</v>
      </c>
      <c r="L2195" s="4">
        <v>-0.59078242229367628</v>
      </c>
      <c r="M2195" s="4">
        <v>0.59078242229367628</v>
      </c>
      <c r="N2195" s="10">
        <v>0.59099999999999997</v>
      </c>
      <c r="O2195" s="4">
        <v>3.3657800559585551</v>
      </c>
      <c r="P2195" s="4">
        <v>-3.37</v>
      </c>
      <c r="Q2195" s="3" t="s">
        <v>1617</v>
      </c>
      <c r="R2195" s="3" t="s">
        <v>1623</v>
      </c>
      <c r="S2195" s="3" t="s">
        <v>1624</v>
      </c>
      <c r="T2195" s="3"/>
    </row>
    <row r="2196" spans="1:20">
      <c r="A2196" s="3" t="s">
        <v>1600</v>
      </c>
      <c r="B2196" s="3" t="s">
        <v>1601</v>
      </c>
      <c r="C2196" s="3" t="s">
        <v>1596</v>
      </c>
      <c r="D2196" s="3" t="s">
        <v>1411</v>
      </c>
      <c r="E2196" s="3" t="s">
        <v>1412</v>
      </c>
      <c r="F2196" s="2">
        <v>1</v>
      </c>
      <c r="G2196" s="4">
        <v>1.0692581514015402</v>
      </c>
      <c r="H2196" s="2">
        <v>25</v>
      </c>
      <c r="I2196" s="2">
        <v>5</v>
      </c>
      <c r="J2196" s="2">
        <v>16</v>
      </c>
      <c r="K2196" s="4">
        <v>0.53051069715760424</v>
      </c>
      <c r="L2196" s="4">
        <v>-0.61494811035188335</v>
      </c>
      <c r="M2196" s="4">
        <v>0.61494811035188335</v>
      </c>
      <c r="N2196" s="10">
        <v>0.61499999999999999</v>
      </c>
      <c r="O2196" s="4">
        <v>3.5540470976326022</v>
      </c>
      <c r="P2196" s="4">
        <v>-3.55</v>
      </c>
      <c r="Q2196" s="3" t="s">
        <v>1617</v>
      </c>
      <c r="R2196" s="3" t="s">
        <v>1618</v>
      </c>
      <c r="S2196" s="3" t="s">
        <v>1619</v>
      </c>
      <c r="T2196" s="3"/>
    </row>
    <row r="2197" spans="1:20">
      <c r="A2197" s="3" t="s">
        <v>1600</v>
      </c>
      <c r="B2197" s="3" t="s">
        <v>1606</v>
      </c>
      <c r="C2197" s="3" t="s">
        <v>1616</v>
      </c>
      <c r="D2197" s="3" t="s">
        <v>1411</v>
      </c>
      <c r="E2197" s="3" t="s">
        <v>1412</v>
      </c>
      <c r="F2197" s="2">
        <v>1</v>
      </c>
      <c r="G2197" s="4">
        <v>1.0692581514015402</v>
      </c>
      <c r="H2197" s="2">
        <v>25</v>
      </c>
      <c r="I2197" s="2">
        <v>5</v>
      </c>
      <c r="J2197" s="2">
        <v>16</v>
      </c>
      <c r="K2197" s="4">
        <v>1</v>
      </c>
      <c r="L2197" s="4">
        <v>-0.64330427540634449</v>
      </c>
      <c r="M2197" s="4">
        <v>0.64330427540634449</v>
      </c>
      <c r="N2197" s="10">
        <v>0.64300000000000002</v>
      </c>
      <c r="O2197" s="4">
        <v>3.7868251537747346</v>
      </c>
      <c r="P2197" s="4">
        <v>-3.78</v>
      </c>
      <c r="Q2197" s="3" t="s">
        <v>1617</v>
      </c>
      <c r="R2197" s="3" t="s">
        <v>1621</v>
      </c>
      <c r="S2197" s="3" t="s">
        <v>1622</v>
      </c>
      <c r="T2197" s="3"/>
    </row>
    <row r="2198" spans="1:20">
      <c r="A2198" s="3" t="s">
        <v>1600</v>
      </c>
      <c r="B2198" s="3" t="s">
        <v>1606</v>
      </c>
      <c r="C2198" s="3" t="s">
        <v>1596</v>
      </c>
      <c r="D2198" s="3" t="s">
        <v>1411</v>
      </c>
      <c r="E2198" s="3" t="s">
        <v>1412</v>
      </c>
      <c r="F2198" s="2">
        <v>1</v>
      </c>
      <c r="G2198" s="4">
        <v>1.0692581514015402</v>
      </c>
      <c r="H2198" s="2">
        <v>25</v>
      </c>
      <c r="I2198" s="2">
        <v>5</v>
      </c>
      <c r="J2198" s="2">
        <v>16</v>
      </c>
      <c r="K2198" s="4">
        <v>0.39120568752287066</v>
      </c>
      <c r="L2198" s="4">
        <v>-0.6440633678418568</v>
      </c>
      <c r="M2198" s="4">
        <v>0.6440633678418568</v>
      </c>
      <c r="N2198" s="10">
        <v>0.64400000000000002</v>
      </c>
      <c r="O2198" s="4">
        <v>3.7932511715823551</v>
      </c>
      <c r="P2198" s="4">
        <v>-3.79</v>
      </c>
      <c r="Q2198" s="3" t="s">
        <v>1617</v>
      </c>
      <c r="R2198" s="3" t="s">
        <v>1621</v>
      </c>
      <c r="S2198" s="3" t="s">
        <v>1622</v>
      </c>
      <c r="T2198" s="3"/>
    </row>
    <row r="2199" spans="1:20">
      <c r="A2199" s="3" t="s">
        <v>1600</v>
      </c>
      <c r="B2199" s="3" t="s">
        <v>1606</v>
      </c>
      <c r="C2199" s="3" t="s">
        <v>1616</v>
      </c>
      <c r="D2199" s="3" t="s">
        <v>1411</v>
      </c>
      <c r="E2199" s="3" t="s">
        <v>1412</v>
      </c>
      <c r="F2199" s="2">
        <v>1</v>
      </c>
      <c r="G2199" s="4">
        <v>1.0692581514015402</v>
      </c>
      <c r="H2199" s="2">
        <v>25</v>
      </c>
      <c r="I2199" s="2">
        <v>5</v>
      </c>
      <c r="J2199" s="2">
        <v>1</v>
      </c>
      <c r="K2199" s="4">
        <v>0.39717631335310233</v>
      </c>
      <c r="L2199" s="4">
        <v>-0.65189063642361667</v>
      </c>
      <c r="M2199" s="4">
        <v>0.65189063642361667</v>
      </c>
      <c r="N2199" s="10">
        <v>0.65200000000000002</v>
      </c>
      <c r="O2199" s="4">
        <v>3.8601477472598695</v>
      </c>
      <c r="P2199" s="4">
        <v>-3.86</v>
      </c>
      <c r="Q2199" s="3" t="s">
        <v>1617</v>
      </c>
      <c r="R2199" s="3" t="s">
        <v>1621</v>
      </c>
      <c r="S2199" s="3" t="s">
        <v>1622</v>
      </c>
      <c r="T2199" s="3"/>
    </row>
    <row r="2200" spans="1:20">
      <c r="A2200" s="3" t="s">
        <v>1600</v>
      </c>
      <c r="B2200" s="3" t="s">
        <v>1601</v>
      </c>
      <c r="C2200" s="3" t="s">
        <v>1616</v>
      </c>
      <c r="D2200" s="3" t="s">
        <v>1411</v>
      </c>
      <c r="E2200" s="3" t="s">
        <v>1412</v>
      </c>
      <c r="F2200" s="2">
        <v>1</v>
      </c>
      <c r="G2200" s="4">
        <v>1.0692581514015402</v>
      </c>
      <c r="H2200" s="2">
        <v>25</v>
      </c>
      <c r="I2200" s="2">
        <v>5</v>
      </c>
      <c r="J2200" s="2">
        <v>1</v>
      </c>
      <c r="K2200" s="4">
        <v>0.13847885961076123</v>
      </c>
      <c r="L2200" s="4">
        <v>-0.73441666066152622</v>
      </c>
      <c r="M2200" s="4">
        <v>0.73441666066152622</v>
      </c>
      <c r="N2200" s="10">
        <v>0.73399999999999999</v>
      </c>
      <c r="O2200" s="4">
        <v>4.6517781530490296</v>
      </c>
      <c r="P2200" s="4">
        <v>-4.6500000000000004</v>
      </c>
      <c r="Q2200" s="3" t="s">
        <v>1617</v>
      </c>
      <c r="R2200" s="3" t="s">
        <v>1618</v>
      </c>
      <c r="S2200" s="3" t="s">
        <v>1619</v>
      </c>
      <c r="T2200" s="3"/>
    </row>
    <row r="2201" spans="1:20">
      <c r="A2201" s="3" t="s">
        <v>1600</v>
      </c>
      <c r="B2201" s="3" t="s">
        <v>1606</v>
      </c>
      <c r="C2201" s="3" t="s">
        <v>1596</v>
      </c>
      <c r="D2201" s="3" t="s">
        <v>1411</v>
      </c>
      <c r="E2201" s="3" t="s">
        <v>1412</v>
      </c>
      <c r="F2201" s="2">
        <v>1</v>
      </c>
      <c r="G2201" s="4">
        <v>1.0692581514015402</v>
      </c>
      <c r="H2201" s="2">
        <v>25</v>
      </c>
      <c r="I2201" s="2">
        <v>5</v>
      </c>
      <c r="J2201" s="2">
        <v>1</v>
      </c>
      <c r="K2201" s="4">
        <v>5.9970494276497921E-2</v>
      </c>
      <c r="L2201" s="4">
        <v>-1</v>
      </c>
      <c r="M2201" s="4">
        <v>1</v>
      </c>
      <c r="N2201" s="10">
        <v>0.995</v>
      </c>
      <c r="O2201" s="4">
        <v>14.85</v>
      </c>
      <c r="P2201" s="4">
        <v>-14.85</v>
      </c>
      <c r="Q2201" s="3" t="s">
        <v>1617</v>
      </c>
      <c r="R2201" s="3" t="s">
        <v>1621</v>
      </c>
      <c r="S2201" s="3" t="s">
        <v>1622</v>
      </c>
      <c r="T2201" s="3"/>
    </row>
    <row r="2202" spans="1:20">
      <c r="A2202" s="3" t="s">
        <v>1600</v>
      </c>
      <c r="B2202" s="3" t="s">
        <v>1601</v>
      </c>
      <c r="C2202" s="3" t="s">
        <v>1616</v>
      </c>
      <c r="D2202" s="3" t="s">
        <v>1535</v>
      </c>
      <c r="E2202" s="3" t="s">
        <v>1536</v>
      </c>
      <c r="F2202" s="2">
        <v>1</v>
      </c>
      <c r="G2202" s="4">
        <v>1.0693970420932877</v>
      </c>
      <c r="H2202" s="2">
        <v>25</v>
      </c>
      <c r="I2202" s="2">
        <v>5</v>
      </c>
      <c r="J2202" s="2">
        <v>16</v>
      </c>
      <c r="K2202" s="4">
        <v>1</v>
      </c>
      <c r="L2202" s="4">
        <v>0.67945961253868548</v>
      </c>
      <c r="M2202" s="4">
        <v>0.67945961253868548</v>
      </c>
      <c r="N2202" s="10">
        <v>0.67900000000000005</v>
      </c>
      <c r="O2202" s="4">
        <v>4.1057143879395825</v>
      </c>
      <c r="P2202" s="4">
        <v>4.0999999999999996</v>
      </c>
      <c r="Q2202" s="3" t="s">
        <v>1597</v>
      </c>
      <c r="R2202" s="3" t="s">
        <v>1602</v>
      </c>
      <c r="S2202" s="3" t="s">
        <v>1603</v>
      </c>
      <c r="T2202" s="3"/>
    </row>
    <row r="2203" spans="1:20">
      <c r="A2203" s="3" t="s">
        <v>1600</v>
      </c>
      <c r="B2203" s="3" t="s">
        <v>1601</v>
      </c>
      <c r="C2203" s="3" t="s">
        <v>1616</v>
      </c>
      <c r="D2203" s="3" t="s">
        <v>1535</v>
      </c>
      <c r="E2203" s="3" t="s">
        <v>1536</v>
      </c>
      <c r="F2203" s="2">
        <v>1</v>
      </c>
      <c r="G2203" s="4">
        <v>1.0693970420932877</v>
      </c>
      <c r="H2203" s="2">
        <v>25</v>
      </c>
      <c r="I2203" s="2">
        <v>5</v>
      </c>
      <c r="J2203" s="2">
        <v>1</v>
      </c>
      <c r="K2203" s="4">
        <v>1</v>
      </c>
      <c r="L2203" s="4">
        <v>0.66287360840547505</v>
      </c>
      <c r="M2203" s="4">
        <v>0.66287360840547505</v>
      </c>
      <c r="N2203" s="10">
        <v>0.66300000000000003</v>
      </c>
      <c r="O2203" s="4">
        <v>3.9560478885402617</v>
      </c>
      <c r="P2203" s="4">
        <v>3.96</v>
      </c>
      <c r="Q2203" s="3" t="s">
        <v>1597</v>
      </c>
      <c r="R2203" s="3" t="s">
        <v>1602</v>
      </c>
      <c r="S2203" s="3" t="s">
        <v>1603</v>
      </c>
      <c r="T2203" s="3"/>
    </row>
    <row r="2204" spans="1:20">
      <c r="A2204" s="3" t="s">
        <v>1600</v>
      </c>
      <c r="B2204" s="3" t="s">
        <v>1601</v>
      </c>
      <c r="C2204" s="3" t="s">
        <v>1596</v>
      </c>
      <c r="D2204" s="3" t="s">
        <v>1535</v>
      </c>
      <c r="E2204" s="3" t="s">
        <v>1536</v>
      </c>
      <c r="F2204" s="2">
        <v>1</v>
      </c>
      <c r="G2204" s="4">
        <v>1.0693970420932877</v>
      </c>
      <c r="H2204" s="2">
        <v>25</v>
      </c>
      <c r="I2204" s="2">
        <v>5</v>
      </c>
      <c r="J2204" s="2">
        <v>1</v>
      </c>
      <c r="K2204" s="4">
        <v>0.6809062995596431</v>
      </c>
      <c r="L2204" s="4">
        <v>0.56005604233404904</v>
      </c>
      <c r="M2204" s="4">
        <v>0.56005604233404904</v>
      </c>
      <c r="N2204" s="10">
        <v>0.56000000000000005</v>
      </c>
      <c r="O2204" s="4">
        <v>3.1379514775906712</v>
      </c>
      <c r="P2204" s="4">
        <v>3.14</v>
      </c>
      <c r="Q2204" s="3" t="s">
        <v>1597</v>
      </c>
      <c r="R2204" s="3" t="s">
        <v>1602</v>
      </c>
      <c r="S2204" s="3" t="s">
        <v>1603</v>
      </c>
      <c r="T2204" s="3"/>
    </row>
    <row r="2205" spans="1:20">
      <c r="A2205" s="3" t="s">
        <v>1605</v>
      </c>
      <c r="B2205" s="3" t="s">
        <v>1601</v>
      </c>
      <c r="C2205" s="3" t="s">
        <v>1596</v>
      </c>
      <c r="D2205" s="3" t="s">
        <v>1535</v>
      </c>
      <c r="E2205" s="3" t="s">
        <v>1536</v>
      </c>
      <c r="F2205" s="2">
        <v>1</v>
      </c>
      <c r="G2205" s="4">
        <v>1.0693970420932877</v>
      </c>
      <c r="H2205" s="2">
        <v>25</v>
      </c>
      <c r="I2205" s="2">
        <v>5</v>
      </c>
      <c r="J2205" s="2">
        <v>16</v>
      </c>
      <c r="K2205" s="4">
        <v>1</v>
      </c>
      <c r="L2205" s="4">
        <v>0.55345810291268416</v>
      </c>
      <c r="M2205" s="4">
        <v>0.55345810291268416</v>
      </c>
      <c r="N2205" s="10">
        <v>0.55300000000000005</v>
      </c>
      <c r="O2205" s="4">
        <v>3.0905433290278865</v>
      </c>
      <c r="P2205" s="4">
        <v>3.09</v>
      </c>
      <c r="Q2205" s="3" t="s">
        <v>1597</v>
      </c>
      <c r="R2205" s="3" t="s">
        <v>1602</v>
      </c>
      <c r="S2205" s="3" t="s">
        <v>1603</v>
      </c>
      <c r="T2205" s="3"/>
    </row>
    <row r="2206" spans="1:20">
      <c r="A2206" s="3" t="s">
        <v>1600</v>
      </c>
      <c r="B2206" s="3" t="s">
        <v>1601</v>
      </c>
      <c r="C2206" s="3" t="s">
        <v>1596</v>
      </c>
      <c r="D2206" s="3" t="s">
        <v>1535</v>
      </c>
      <c r="E2206" s="3" t="s">
        <v>1536</v>
      </c>
      <c r="F2206" s="2">
        <v>1</v>
      </c>
      <c r="G2206" s="4">
        <v>1.0693970420932877</v>
      </c>
      <c r="H2206" s="2">
        <v>25</v>
      </c>
      <c r="I2206" s="2">
        <v>5</v>
      </c>
      <c r="J2206" s="2">
        <v>16</v>
      </c>
      <c r="K2206" s="4">
        <v>1</v>
      </c>
      <c r="L2206" s="4">
        <v>0.53496826349289084</v>
      </c>
      <c r="M2206" s="4">
        <v>0.53496826349289084</v>
      </c>
      <c r="N2206" s="10">
        <v>0.53500000000000003</v>
      </c>
      <c r="O2206" s="4">
        <v>2.9602829768018917</v>
      </c>
      <c r="P2206" s="4">
        <v>2.96</v>
      </c>
      <c r="Q2206" s="3" t="s">
        <v>1597</v>
      </c>
      <c r="R2206" s="3" t="s">
        <v>1602</v>
      </c>
      <c r="S2206" s="3" t="s">
        <v>1603</v>
      </c>
      <c r="T2206" s="3"/>
    </row>
    <row r="2207" spans="1:20">
      <c r="A2207" s="3" t="s">
        <v>1594</v>
      </c>
      <c r="B2207" s="3" t="s">
        <v>1612</v>
      </c>
      <c r="C2207" s="3" t="s">
        <v>1596</v>
      </c>
      <c r="D2207" s="3" t="s">
        <v>1535</v>
      </c>
      <c r="E2207" s="3" t="s">
        <v>1536</v>
      </c>
      <c r="F2207" s="2">
        <v>1</v>
      </c>
      <c r="G2207" s="4">
        <v>1.0693970420932877</v>
      </c>
      <c r="H2207" s="2">
        <v>50</v>
      </c>
      <c r="I2207" s="2">
        <v>5</v>
      </c>
      <c r="J2207" s="2">
        <v>16</v>
      </c>
      <c r="K2207" s="4">
        <v>1</v>
      </c>
      <c r="L2207" s="4">
        <v>0.41392290285191641</v>
      </c>
      <c r="M2207" s="4">
        <v>0.41392290285191641</v>
      </c>
      <c r="N2207" s="10">
        <v>0.41399999999999998</v>
      </c>
      <c r="O2207" s="4">
        <v>2.3662164764996412</v>
      </c>
      <c r="P2207" s="4">
        <v>2.37</v>
      </c>
      <c r="Q2207" s="3" t="s">
        <v>1597</v>
      </c>
      <c r="R2207" s="3" t="s">
        <v>1613</v>
      </c>
      <c r="S2207" s="3" t="s">
        <v>1614</v>
      </c>
      <c r="T2207" s="3"/>
    </row>
    <row r="2208" spans="1:20">
      <c r="A2208" s="3" t="s">
        <v>1600</v>
      </c>
      <c r="B2208" s="3" t="s">
        <v>1609</v>
      </c>
      <c r="C2208" s="3" t="s">
        <v>1596</v>
      </c>
      <c r="D2208" s="3" t="s">
        <v>1535</v>
      </c>
      <c r="E2208" s="3" t="s">
        <v>1536</v>
      </c>
      <c r="F2208" s="2">
        <v>1</v>
      </c>
      <c r="G2208" s="4">
        <v>1.0693970420932877</v>
      </c>
      <c r="H2208" s="2">
        <v>25</v>
      </c>
      <c r="I2208" s="2">
        <v>5</v>
      </c>
      <c r="J2208" s="2">
        <v>1</v>
      </c>
      <c r="K2208" s="4">
        <v>0.98736967247397212</v>
      </c>
      <c r="L2208" s="4">
        <v>0.33582190083089958</v>
      </c>
      <c r="M2208" s="4">
        <v>0.33582190083089958</v>
      </c>
      <c r="N2208" s="10">
        <v>0.33600000000000002</v>
      </c>
      <c r="O2208" s="4">
        <v>1.7321832322222466</v>
      </c>
      <c r="P2208" s="4">
        <v>1.73</v>
      </c>
      <c r="Q2208" s="3" t="s">
        <v>1597</v>
      </c>
      <c r="R2208" s="3" t="s">
        <v>1610</v>
      </c>
      <c r="S2208" s="3" t="s">
        <v>1611</v>
      </c>
      <c r="T2208" s="3"/>
    </row>
    <row r="2209" spans="1:20">
      <c r="A2209" s="3" t="s">
        <v>1600</v>
      </c>
      <c r="B2209" s="3" t="s">
        <v>1609</v>
      </c>
      <c r="C2209" s="3" t="s">
        <v>1596</v>
      </c>
      <c r="D2209" s="3" t="s">
        <v>1535</v>
      </c>
      <c r="E2209" s="3" t="s">
        <v>1536</v>
      </c>
      <c r="F2209" s="2">
        <v>1</v>
      </c>
      <c r="G2209" s="4">
        <v>1.0693970420932877</v>
      </c>
      <c r="H2209" s="2">
        <v>25</v>
      </c>
      <c r="I2209" s="2">
        <v>5</v>
      </c>
      <c r="J2209" s="2">
        <v>16</v>
      </c>
      <c r="K2209" s="4">
        <v>0.98883396678794089</v>
      </c>
      <c r="L2209" s="4">
        <v>0.28472106049241641</v>
      </c>
      <c r="M2209" s="4">
        <v>0.28472106049241641</v>
      </c>
      <c r="N2209" s="10">
        <v>0.28499999999999998</v>
      </c>
      <c r="O2209" s="4">
        <v>1.4517440230753373</v>
      </c>
      <c r="P2209" s="4">
        <v>1.45</v>
      </c>
      <c r="Q2209" s="3" t="s">
        <v>1597</v>
      </c>
      <c r="R2209" s="3" t="s">
        <v>1610</v>
      </c>
      <c r="S2209" s="3" t="s">
        <v>1611</v>
      </c>
      <c r="T2209" s="3"/>
    </row>
    <row r="2210" spans="1:20">
      <c r="A2210" s="3" t="s">
        <v>1604</v>
      </c>
      <c r="B2210" s="3" t="s">
        <v>1601</v>
      </c>
      <c r="C2210" s="3" t="s">
        <v>1616</v>
      </c>
      <c r="D2210" s="3" t="s">
        <v>1535</v>
      </c>
      <c r="E2210" s="3" t="s">
        <v>1536</v>
      </c>
      <c r="F2210" s="2">
        <v>1</v>
      </c>
      <c r="G2210" s="4">
        <v>1.0693970420932877</v>
      </c>
      <c r="H2210" s="2">
        <v>25</v>
      </c>
      <c r="I2210" s="2">
        <v>30</v>
      </c>
      <c r="J2210" s="2">
        <v>16</v>
      </c>
      <c r="K2210" s="4">
        <v>1</v>
      </c>
      <c r="L2210" s="4">
        <v>0.2833799457361697</v>
      </c>
      <c r="M2210" s="4">
        <v>0.2833799457361697</v>
      </c>
      <c r="N2210" s="10">
        <v>0.28299999999999997</v>
      </c>
      <c r="O2210" s="4">
        <v>1.4445112891268546</v>
      </c>
      <c r="P2210" s="4">
        <v>1.44</v>
      </c>
      <c r="Q2210" s="3" t="s">
        <v>1597</v>
      </c>
      <c r="R2210" s="3" t="s">
        <v>1602</v>
      </c>
      <c r="S2210" s="3" t="s">
        <v>1603</v>
      </c>
      <c r="T2210" s="3"/>
    </row>
    <row r="2211" spans="1:20">
      <c r="A2211" s="3" t="s">
        <v>1600</v>
      </c>
      <c r="B2211" s="3" t="s">
        <v>1606</v>
      </c>
      <c r="C2211" s="3" t="s">
        <v>1596</v>
      </c>
      <c r="D2211" s="3" t="s">
        <v>1535</v>
      </c>
      <c r="E2211" s="3" t="s">
        <v>1536</v>
      </c>
      <c r="F2211" s="2">
        <v>1</v>
      </c>
      <c r="G2211" s="4">
        <v>1.0693970420932877</v>
      </c>
      <c r="H2211" s="2">
        <v>25</v>
      </c>
      <c r="I2211" s="2">
        <v>5</v>
      </c>
      <c r="J2211" s="2">
        <v>1</v>
      </c>
      <c r="K2211" s="4">
        <v>0.997765502985278</v>
      </c>
      <c r="L2211" s="4">
        <v>0.27304774867005194</v>
      </c>
      <c r="M2211" s="4">
        <v>0.27304774867005194</v>
      </c>
      <c r="N2211" s="10">
        <v>0.27300000000000002</v>
      </c>
      <c r="O2211" s="4">
        <v>1.3889864694290843</v>
      </c>
      <c r="P2211" s="4">
        <v>1.39</v>
      </c>
      <c r="Q2211" s="3" t="s">
        <v>1597</v>
      </c>
      <c r="R2211" s="3" t="s">
        <v>1607</v>
      </c>
      <c r="S2211" s="3" t="s">
        <v>1608</v>
      </c>
      <c r="T2211" s="3"/>
    </row>
    <row r="2212" spans="1:20">
      <c r="A2212" s="3" t="s">
        <v>1600</v>
      </c>
      <c r="B2212" s="3" t="s">
        <v>1606</v>
      </c>
      <c r="C2212" s="3" t="s">
        <v>1596</v>
      </c>
      <c r="D2212" s="3" t="s">
        <v>1535</v>
      </c>
      <c r="E2212" s="3" t="s">
        <v>1536</v>
      </c>
      <c r="F2212" s="2">
        <v>1</v>
      </c>
      <c r="G2212" s="4">
        <v>1.0693970420932877</v>
      </c>
      <c r="H2212" s="2">
        <v>25</v>
      </c>
      <c r="I2212" s="2">
        <v>5</v>
      </c>
      <c r="J2212" s="2">
        <v>16</v>
      </c>
      <c r="K2212" s="4">
        <v>1</v>
      </c>
      <c r="L2212" s="4">
        <v>0.26556601103171762</v>
      </c>
      <c r="M2212" s="4">
        <v>0.26556601103171762</v>
      </c>
      <c r="N2212" s="10">
        <v>0.26600000000000001</v>
      </c>
      <c r="O2212" s="4">
        <v>1.348991567426256</v>
      </c>
      <c r="P2212" s="4">
        <v>1.35</v>
      </c>
      <c r="Q2212" s="3" t="s">
        <v>1597</v>
      </c>
      <c r="R2212" s="3" t="s">
        <v>1607</v>
      </c>
      <c r="S2212" s="3" t="s">
        <v>1608</v>
      </c>
      <c r="T2212" s="3"/>
    </row>
    <row r="2213" spans="1:20">
      <c r="A2213" s="3" t="s">
        <v>1600</v>
      </c>
      <c r="B2213" s="3" t="s">
        <v>1606</v>
      </c>
      <c r="C2213" s="3" t="s">
        <v>1616</v>
      </c>
      <c r="D2213" s="3" t="s">
        <v>1535</v>
      </c>
      <c r="E2213" s="3" t="s">
        <v>1536</v>
      </c>
      <c r="F2213" s="2">
        <v>1</v>
      </c>
      <c r="G2213" s="4">
        <v>1.0693970420932877</v>
      </c>
      <c r="H2213" s="2">
        <v>25</v>
      </c>
      <c r="I2213" s="2">
        <v>5</v>
      </c>
      <c r="J2213" s="2">
        <v>1</v>
      </c>
      <c r="K2213" s="4">
        <v>1</v>
      </c>
      <c r="L2213" s="4">
        <v>0.24932896201326524</v>
      </c>
      <c r="M2213" s="4">
        <v>0.24932896201326524</v>
      </c>
      <c r="N2213" s="10">
        <v>0.249</v>
      </c>
      <c r="O2213" s="4">
        <v>1.2627723373969231</v>
      </c>
      <c r="P2213" s="4">
        <v>1.26</v>
      </c>
      <c r="Q2213" s="3" t="s">
        <v>1597</v>
      </c>
      <c r="R2213" s="3" t="s">
        <v>1607</v>
      </c>
      <c r="S2213" s="3" t="s">
        <v>1608</v>
      </c>
      <c r="T2213" s="3"/>
    </row>
    <row r="2214" spans="1:20">
      <c r="A2214" s="3" t="s">
        <v>1600</v>
      </c>
      <c r="B2214" s="3" t="s">
        <v>1609</v>
      </c>
      <c r="C2214" s="3" t="s">
        <v>1616</v>
      </c>
      <c r="D2214" s="3" t="s">
        <v>1535</v>
      </c>
      <c r="E2214" s="3" t="s">
        <v>1536</v>
      </c>
      <c r="F2214" s="2">
        <v>1</v>
      </c>
      <c r="G2214" s="4">
        <v>1.0693970420932877</v>
      </c>
      <c r="H2214" s="2">
        <v>25</v>
      </c>
      <c r="I2214" s="2">
        <v>5</v>
      </c>
      <c r="J2214" s="2">
        <v>16</v>
      </c>
      <c r="K2214" s="4">
        <v>1</v>
      </c>
      <c r="L2214" s="4">
        <v>0.21598213007805861</v>
      </c>
      <c r="M2214" s="4">
        <v>0.21598213007805861</v>
      </c>
      <c r="N2214" s="10">
        <v>0.216</v>
      </c>
      <c r="O2214" s="4">
        <v>1.0879585296646366</v>
      </c>
      <c r="P2214" s="4">
        <v>1.0900000000000001</v>
      </c>
      <c r="Q2214" s="3" t="s">
        <v>1597</v>
      </c>
      <c r="R2214" s="3" t="s">
        <v>1610</v>
      </c>
      <c r="S2214" s="3" t="s">
        <v>1611</v>
      </c>
      <c r="T2214" s="3"/>
    </row>
    <row r="2215" spans="1:20">
      <c r="A2215" s="3" t="s">
        <v>1600</v>
      </c>
      <c r="B2215" s="3" t="s">
        <v>1609</v>
      </c>
      <c r="C2215" s="3" t="s">
        <v>1616</v>
      </c>
      <c r="D2215" s="3" t="s">
        <v>1535</v>
      </c>
      <c r="E2215" s="3" t="s">
        <v>1536</v>
      </c>
      <c r="F2215" s="2">
        <v>1</v>
      </c>
      <c r="G2215" s="4">
        <v>1.0693970420932877</v>
      </c>
      <c r="H2215" s="2">
        <v>25</v>
      </c>
      <c r="I2215" s="2">
        <v>5</v>
      </c>
      <c r="J2215" s="2">
        <v>1</v>
      </c>
      <c r="K2215" s="4">
        <v>0.20754242397511491</v>
      </c>
      <c r="L2215" s="4">
        <v>0.21196482207402126</v>
      </c>
      <c r="M2215" s="4">
        <v>0.21196482207402126</v>
      </c>
      <c r="N2215" s="10">
        <v>0.21199999999999999</v>
      </c>
      <c r="O2215" s="4">
        <v>1.0670852636764387</v>
      </c>
      <c r="P2215" s="4">
        <v>1.07</v>
      </c>
      <c r="Q2215" s="3" t="s">
        <v>1597</v>
      </c>
      <c r="R2215" s="3" t="s">
        <v>1610</v>
      </c>
      <c r="S2215" s="3" t="s">
        <v>1611</v>
      </c>
      <c r="T2215" s="3"/>
    </row>
    <row r="2216" spans="1:20">
      <c r="A2216" s="3" t="s">
        <v>1600</v>
      </c>
      <c r="B2216" s="3" t="s">
        <v>1606</v>
      </c>
      <c r="C2216" s="3" t="s">
        <v>1616</v>
      </c>
      <c r="D2216" s="3" t="s">
        <v>1535</v>
      </c>
      <c r="E2216" s="3" t="s">
        <v>1536</v>
      </c>
      <c r="F2216" s="2">
        <v>1</v>
      </c>
      <c r="G2216" s="4">
        <v>1.0693970420932877</v>
      </c>
      <c r="H2216" s="2">
        <v>25</v>
      </c>
      <c r="I2216" s="2">
        <v>5</v>
      </c>
      <c r="J2216" s="2">
        <v>16</v>
      </c>
      <c r="K2216" s="4">
        <v>1</v>
      </c>
      <c r="L2216" s="4">
        <v>0.20105521388750267</v>
      </c>
      <c r="M2216" s="4">
        <v>0.20105521388750267</v>
      </c>
      <c r="N2216" s="10">
        <v>0.20100000000000001</v>
      </c>
      <c r="O2216" s="4">
        <v>1.0105859696612438</v>
      </c>
      <c r="P2216" s="4">
        <v>1.01</v>
      </c>
      <c r="Q2216" s="3" t="s">
        <v>1597</v>
      </c>
      <c r="R2216" s="3" t="s">
        <v>1607</v>
      </c>
      <c r="S2216" s="3" t="s">
        <v>1608</v>
      </c>
      <c r="T2216" s="3"/>
    </row>
    <row r="2217" spans="1:20">
      <c r="A2217" s="3" t="s">
        <v>1604</v>
      </c>
      <c r="B2217" s="3" t="s">
        <v>1601</v>
      </c>
      <c r="C2217" s="3" t="s">
        <v>1596</v>
      </c>
      <c r="D2217" s="3" t="s">
        <v>1535</v>
      </c>
      <c r="E2217" s="3" t="s">
        <v>1536</v>
      </c>
      <c r="F2217" s="2">
        <v>1</v>
      </c>
      <c r="G2217" s="4">
        <v>1.0693970420932877</v>
      </c>
      <c r="H2217" s="2">
        <v>25</v>
      </c>
      <c r="I2217" s="2">
        <v>30</v>
      </c>
      <c r="J2217" s="2">
        <v>16</v>
      </c>
      <c r="K2217" s="4">
        <v>1</v>
      </c>
      <c r="L2217" s="4">
        <v>0.18102554873187243</v>
      </c>
      <c r="M2217" s="4">
        <v>0.18102554873187243</v>
      </c>
      <c r="N2217" s="10">
        <v>0.18099999999999999</v>
      </c>
      <c r="O2217" s="4">
        <v>0.90751445446150503</v>
      </c>
      <c r="P2217" s="4">
        <v>0.91</v>
      </c>
      <c r="Q2217" s="3" t="s">
        <v>1597</v>
      </c>
      <c r="R2217" s="3" t="s">
        <v>1602</v>
      </c>
      <c r="S2217" s="3" t="s">
        <v>1603</v>
      </c>
      <c r="T2217" s="3"/>
    </row>
    <row r="2218" spans="1:20">
      <c r="A2218" s="3" t="s">
        <v>1594</v>
      </c>
      <c r="B2218" s="3" t="s">
        <v>1595</v>
      </c>
      <c r="C2218" s="3" t="s">
        <v>1596</v>
      </c>
      <c r="D2218" s="3" t="s">
        <v>1535</v>
      </c>
      <c r="E2218" s="3" t="s">
        <v>1536</v>
      </c>
      <c r="F2218" s="2">
        <v>1</v>
      </c>
      <c r="G2218" s="4">
        <v>1.0693970420932877</v>
      </c>
      <c r="H2218" s="2">
        <v>50</v>
      </c>
      <c r="I2218" s="2">
        <v>5</v>
      </c>
      <c r="J2218" s="2">
        <v>16</v>
      </c>
      <c r="K2218" s="4">
        <v>1</v>
      </c>
      <c r="L2218" s="4">
        <v>-0.15478908567040578</v>
      </c>
      <c r="M2218" s="4">
        <v>0.15478908567040578</v>
      </c>
      <c r="N2218" s="10">
        <v>0.155</v>
      </c>
      <c r="O2218" s="4">
        <v>0.83852438079361558</v>
      </c>
      <c r="P2218" s="4">
        <v>-0.84</v>
      </c>
      <c r="Q2218" s="3" t="s">
        <v>1617</v>
      </c>
      <c r="R2218" s="3" t="s">
        <v>1625</v>
      </c>
      <c r="S2218" s="3" t="s">
        <v>1626</v>
      </c>
      <c r="T2218" s="3"/>
    </row>
    <row r="2219" spans="1:20">
      <c r="A2219" s="3" t="s">
        <v>1594</v>
      </c>
      <c r="B2219" s="3" t="s">
        <v>1595</v>
      </c>
      <c r="C2219" s="3" t="s">
        <v>1596</v>
      </c>
      <c r="D2219" s="3" t="s">
        <v>1535</v>
      </c>
      <c r="E2219" s="3" t="s">
        <v>1536</v>
      </c>
      <c r="F2219" s="2">
        <v>1</v>
      </c>
      <c r="G2219" s="4">
        <v>1.0693970420932877</v>
      </c>
      <c r="H2219" s="2">
        <v>25</v>
      </c>
      <c r="I2219" s="2">
        <v>5</v>
      </c>
      <c r="J2219" s="2">
        <v>16</v>
      </c>
      <c r="K2219" s="4">
        <v>1</v>
      </c>
      <c r="L2219" s="4">
        <v>-0.29543743048813254</v>
      </c>
      <c r="M2219" s="4">
        <v>0.29543743048813254</v>
      </c>
      <c r="N2219" s="10">
        <v>0.29499999999999998</v>
      </c>
      <c r="O2219" s="4">
        <v>1.5097574594584864</v>
      </c>
      <c r="P2219" s="4">
        <v>-1.51</v>
      </c>
      <c r="Q2219" s="3" t="s">
        <v>1617</v>
      </c>
      <c r="R2219" s="3" t="s">
        <v>1625</v>
      </c>
      <c r="S2219" s="3" t="s">
        <v>1626</v>
      </c>
      <c r="T2219" s="3"/>
    </row>
    <row r="2220" spans="1:20">
      <c r="A2220" s="3" t="s">
        <v>1594</v>
      </c>
      <c r="B2220" s="3" t="s">
        <v>1595</v>
      </c>
      <c r="C2220" s="3" t="s">
        <v>1596</v>
      </c>
      <c r="D2220" s="3" t="s">
        <v>1496</v>
      </c>
      <c r="E2220" s="3" t="s">
        <v>1497</v>
      </c>
      <c r="F2220" s="2">
        <v>1</v>
      </c>
      <c r="G2220" s="4">
        <v>1.0695854836024636</v>
      </c>
      <c r="H2220" s="2">
        <v>50</v>
      </c>
      <c r="I2220" s="2">
        <v>5</v>
      </c>
      <c r="J2220" s="2">
        <v>16</v>
      </c>
      <c r="K2220" s="4">
        <v>1</v>
      </c>
      <c r="L2220" s="4">
        <v>0.54817027225601422</v>
      </c>
      <c r="M2220" s="4">
        <v>0.54817027225601422</v>
      </c>
      <c r="N2220" s="10">
        <v>0.54800000000000004</v>
      </c>
      <c r="O2220" s="4">
        <v>3.308895500380427</v>
      </c>
      <c r="P2220" s="4">
        <v>3.31</v>
      </c>
      <c r="Q2220" s="3" t="s">
        <v>1597</v>
      </c>
      <c r="R2220" s="3" t="s">
        <v>1598</v>
      </c>
      <c r="S2220" s="3" t="s">
        <v>1599</v>
      </c>
      <c r="T2220" s="3"/>
    </row>
    <row r="2221" spans="1:20">
      <c r="A2221" s="3" t="s">
        <v>1594</v>
      </c>
      <c r="B2221" s="3" t="s">
        <v>1595</v>
      </c>
      <c r="C2221" s="3" t="s">
        <v>1596</v>
      </c>
      <c r="D2221" s="3" t="s">
        <v>1496</v>
      </c>
      <c r="E2221" s="3" t="s">
        <v>1497</v>
      </c>
      <c r="F2221" s="2">
        <v>1</v>
      </c>
      <c r="G2221" s="4">
        <v>1.0695854836024636</v>
      </c>
      <c r="H2221" s="2">
        <v>25</v>
      </c>
      <c r="I2221" s="2">
        <v>5</v>
      </c>
      <c r="J2221" s="2">
        <v>16</v>
      </c>
      <c r="K2221" s="4">
        <v>0.82157945425147927</v>
      </c>
      <c r="L2221" s="4">
        <v>0.50107609977333156</v>
      </c>
      <c r="M2221" s="4">
        <v>0.50107609977333156</v>
      </c>
      <c r="N2221" s="10">
        <v>0.501</v>
      </c>
      <c r="O2221" s="4">
        <v>2.7305436577327731</v>
      </c>
      <c r="P2221" s="4">
        <v>2.73</v>
      </c>
      <c r="Q2221" s="3" t="s">
        <v>1597</v>
      </c>
      <c r="R2221" s="3" t="s">
        <v>1598</v>
      </c>
      <c r="S2221" s="3" t="s">
        <v>1599</v>
      </c>
      <c r="T2221" s="3"/>
    </row>
    <row r="2222" spans="1:20">
      <c r="A2222" s="3" t="s">
        <v>1604</v>
      </c>
      <c r="B2222" s="3" t="s">
        <v>1601</v>
      </c>
      <c r="C2222" s="3" t="s">
        <v>1616</v>
      </c>
      <c r="D2222" s="3" t="s">
        <v>1496</v>
      </c>
      <c r="E2222" s="3" t="s">
        <v>1497</v>
      </c>
      <c r="F2222" s="2">
        <v>1</v>
      </c>
      <c r="G2222" s="4">
        <v>1.0695854836024636</v>
      </c>
      <c r="H2222" s="2">
        <v>25</v>
      </c>
      <c r="I2222" s="2">
        <v>30</v>
      </c>
      <c r="J2222" s="2">
        <v>16</v>
      </c>
      <c r="K2222" s="4">
        <v>1</v>
      </c>
      <c r="L2222" s="4">
        <v>0.14797055953146324</v>
      </c>
      <c r="M2222" s="4">
        <v>0.14797055953146324</v>
      </c>
      <c r="N2222" s="10">
        <v>0.14799999999999999</v>
      </c>
      <c r="O2222" s="4">
        <v>0.73905441207726941</v>
      </c>
      <c r="P2222" s="4">
        <v>0.74</v>
      </c>
      <c r="Q2222" s="3" t="s">
        <v>1597</v>
      </c>
      <c r="R2222" s="3" t="s">
        <v>1602</v>
      </c>
      <c r="S2222" s="3" t="s">
        <v>1603</v>
      </c>
      <c r="T2222" s="3"/>
    </row>
    <row r="2223" spans="1:20">
      <c r="A2223" s="3" t="s">
        <v>1600</v>
      </c>
      <c r="B2223" s="3" t="s">
        <v>1609</v>
      </c>
      <c r="C2223" s="3" t="s">
        <v>1596</v>
      </c>
      <c r="D2223" s="3" t="s">
        <v>1496</v>
      </c>
      <c r="E2223" s="3" t="s">
        <v>1497</v>
      </c>
      <c r="F2223" s="2">
        <v>1</v>
      </c>
      <c r="G2223" s="4">
        <v>1.0695854836024636</v>
      </c>
      <c r="H2223" s="2">
        <v>25</v>
      </c>
      <c r="I2223" s="2">
        <v>5</v>
      </c>
      <c r="J2223" s="2">
        <v>16</v>
      </c>
      <c r="K2223" s="4">
        <v>1</v>
      </c>
      <c r="L2223" s="4">
        <v>0.14168352660600958</v>
      </c>
      <c r="M2223" s="4">
        <v>0.14168352660600958</v>
      </c>
      <c r="N2223" s="10">
        <v>0.14199999999999999</v>
      </c>
      <c r="O2223" s="4">
        <v>0.70721577785116652</v>
      </c>
      <c r="P2223" s="4">
        <v>0.71</v>
      </c>
      <c r="Q2223" s="3" t="s">
        <v>1597</v>
      </c>
      <c r="R2223" s="3" t="s">
        <v>1610</v>
      </c>
      <c r="S2223" s="3" t="s">
        <v>1611</v>
      </c>
      <c r="T2223" s="3"/>
    </row>
    <row r="2224" spans="1:20">
      <c r="A2224" s="3" t="s">
        <v>1600</v>
      </c>
      <c r="B2224" s="3" t="s">
        <v>1609</v>
      </c>
      <c r="C2224" s="3" t="s">
        <v>1596</v>
      </c>
      <c r="D2224" s="3" t="s">
        <v>1496</v>
      </c>
      <c r="E2224" s="3" t="s">
        <v>1497</v>
      </c>
      <c r="F2224" s="2">
        <v>1</v>
      </c>
      <c r="G2224" s="4">
        <v>1.0695854836024636</v>
      </c>
      <c r="H2224" s="2">
        <v>25</v>
      </c>
      <c r="I2224" s="2">
        <v>5</v>
      </c>
      <c r="J2224" s="2">
        <v>1</v>
      </c>
      <c r="K2224" s="4">
        <v>0.98707361209175171</v>
      </c>
      <c r="L2224" s="4">
        <v>0.1277614026101048</v>
      </c>
      <c r="M2224" s="4">
        <v>0.1277614026101048</v>
      </c>
      <c r="N2224" s="10">
        <v>0.128</v>
      </c>
      <c r="O2224" s="4">
        <v>0.63691355840954389</v>
      </c>
      <c r="P2224" s="4">
        <v>0.64</v>
      </c>
      <c r="Q2224" s="3" t="s">
        <v>1597</v>
      </c>
      <c r="R2224" s="3" t="s">
        <v>1610</v>
      </c>
      <c r="S2224" s="3" t="s">
        <v>1611</v>
      </c>
      <c r="T2224" s="3"/>
    </row>
    <row r="2225" spans="1:20">
      <c r="A2225" s="3" t="s">
        <v>1594</v>
      </c>
      <c r="B2225" s="3" t="s">
        <v>1612</v>
      </c>
      <c r="C2225" s="3" t="s">
        <v>1596</v>
      </c>
      <c r="D2225" s="3" t="s">
        <v>1496</v>
      </c>
      <c r="E2225" s="3" t="s">
        <v>1497</v>
      </c>
      <c r="F2225" s="2">
        <v>1</v>
      </c>
      <c r="G2225" s="4">
        <v>1.0695854836024636</v>
      </c>
      <c r="H2225" s="2">
        <v>50</v>
      </c>
      <c r="I2225" s="2">
        <v>5</v>
      </c>
      <c r="J2225" s="2">
        <v>16</v>
      </c>
      <c r="K2225" s="4">
        <v>0.7580678158539933</v>
      </c>
      <c r="L2225" s="4">
        <v>0.11968901946194209</v>
      </c>
      <c r="M2225" s="4">
        <v>0.11968901946194209</v>
      </c>
      <c r="N2225" s="10">
        <v>0.12</v>
      </c>
      <c r="O2225" s="4">
        <v>0.646266156460374</v>
      </c>
      <c r="P2225" s="4">
        <v>0.65</v>
      </c>
      <c r="Q2225" s="3" t="s">
        <v>1597</v>
      </c>
      <c r="R2225" s="3" t="s">
        <v>1613</v>
      </c>
      <c r="S2225" s="3" t="s">
        <v>1614</v>
      </c>
      <c r="T2225" s="3"/>
    </row>
    <row r="2226" spans="1:20">
      <c r="A2226" s="3" t="s">
        <v>1604</v>
      </c>
      <c r="B2226" s="3" t="s">
        <v>1601</v>
      </c>
      <c r="C2226" s="3" t="s">
        <v>1596</v>
      </c>
      <c r="D2226" s="3" t="s">
        <v>1496</v>
      </c>
      <c r="E2226" s="3" t="s">
        <v>1497</v>
      </c>
      <c r="F2226" s="2">
        <v>1</v>
      </c>
      <c r="G2226" s="4">
        <v>1.0695854836024636</v>
      </c>
      <c r="H2226" s="2">
        <v>25</v>
      </c>
      <c r="I2226" s="2">
        <v>30</v>
      </c>
      <c r="J2226" s="2">
        <v>16</v>
      </c>
      <c r="K2226" s="4">
        <v>1</v>
      </c>
      <c r="L2226" s="4">
        <v>9.8975373177811105E-2</v>
      </c>
      <c r="M2226" s="4">
        <v>9.8975373177811105E-2</v>
      </c>
      <c r="N2226" s="10">
        <v>9.9000000000000005E-2</v>
      </c>
      <c r="O2226" s="4">
        <v>0.49232544885432433</v>
      </c>
      <c r="P2226" s="4">
        <v>0.49</v>
      </c>
      <c r="Q2226" s="3" t="s">
        <v>1597</v>
      </c>
      <c r="R2226" s="3" t="s">
        <v>1602</v>
      </c>
      <c r="S2226" s="3" t="s">
        <v>1603</v>
      </c>
      <c r="T2226" s="3"/>
    </row>
    <row r="2227" spans="1:20">
      <c r="A2227" s="3" t="s">
        <v>1600</v>
      </c>
      <c r="B2227" s="3" t="s">
        <v>1601</v>
      </c>
      <c r="C2227" s="3" t="s">
        <v>1616</v>
      </c>
      <c r="D2227" s="3" t="s">
        <v>1496</v>
      </c>
      <c r="E2227" s="3" t="s">
        <v>1497</v>
      </c>
      <c r="F2227" s="2">
        <v>1</v>
      </c>
      <c r="G2227" s="4">
        <v>1.0695854836024636</v>
      </c>
      <c r="H2227" s="2">
        <v>25</v>
      </c>
      <c r="I2227" s="2">
        <v>5</v>
      </c>
      <c r="J2227" s="2">
        <v>16</v>
      </c>
      <c r="K2227" s="4">
        <v>1</v>
      </c>
      <c r="L2227" s="4">
        <v>9.185241427390517E-2</v>
      </c>
      <c r="M2227" s="4">
        <v>9.185241427390517E-2</v>
      </c>
      <c r="N2227" s="10">
        <v>9.1999999999999998E-2</v>
      </c>
      <c r="O2227" s="4">
        <v>0.45668565783448556</v>
      </c>
      <c r="P2227" s="4">
        <v>0.46</v>
      </c>
      <c r="Q2227" s="3" t="s">
        <v>1597</v>
      </c>
      <c r="R2227" s="3" t="s">
        <v>1602</v>
      </c>
      <c r="S2227" s="3" t="s">
        <v>1603</v>
      </c>
      <c r="T2227" s="3"/>
    </row>
    <row r="2228" spans="1:20">
      <c r="A2228" s="3" t="s">
        <v>1600</v>
      </c>
      <c r="B2228" s="3" t="s">
        <v>1601</v>
      </c>
      <c r="C2228" s="3" t="s">
        <v>1616</v>
      </c>
      <c r="D2228" s="3" t="s">
        <v>1496</v>
      </c>
      <c r="E2228" s="3" t="s">
        <v>1497</v>
      </c>
      <c r="F2228" s="2">
        <v>1</v>
      </c>
      <c r="G2228" s="4">
        <v>1.0695854836024636</v>
      </c>
      <c r="H2228" s="2">
        <v>25</v>
      </c>
      <c r="I2228" s="2">
        <v>5</v>
      </c>
      <c r="J2228" s="2">
        <v>1</v>
      </c>
      <c r="K2228" s="4">
        <v>1</v>
      </c>
      <c r="L2228" s="4">
        <v>7.7696233018934857E-2</v>
      </c>
      <c r="M2228" s="4">
        <v>7.7696233018934857E-2</v>
      </c>
      <c r="N2228" s="10">
        <v>7.8E-2</v>
      </c>
      <c r="O2228" s="4">
        <v>0.38599093666545725</v>
      </c>
      <c r="P2228" s="4">
        <v>0.39</v>
      </c>
      <c r="Q2228" s="3" t="s">
        <v>1597</v>
      </c>
      <c r="R2228" s="3" t="s">
        <v>1602</v>
      </c>
      <c r="S2228" s="3" t="s">
        <v>1603</v>
      </c>
      <c r="T2228" s="3"/>
    </row>
    <row r="2229" spans="1:20">
      <c r="A2229" s="3" t="s">
        <v>1600</v>
      </c>
      <c r="B2229" s="3" t="s">
        <v>1606</v>
      </c>
      <c r="C2229" s="3" t="s">
        <v>1616</v>
      </c>
      <c r="D2229" s="3" t="s">
        <v>1496</v>
      </c>
      <c r="E2229" s="3" t="s">
        <v>1497</v>
      </c>
      <c r="F2229" s="2">
        <v>1</v>
      </c>
      <c r="G2229" s="4">
        <v>1.0695854836024636</v>
      </c>
      <c r="H2229" s="2">
        <v>25</v>
      </c>
      <c r="I2229" s="2">
        <v>5</v>
      </c>
      <c r="J2229" s="2">
        <v>16</v>
      </c>
      <c r="K2229" s="4">
        <v>1</v>
      </c>
      <c r="L2229" s="4">
        <v>5.1208785628985773E-2</v>
      </c>
      <c r="M2229" s="4">
        <v>5.1208785628985773E-2</v>
      </c>
      <c r="N2229" s="10">
        <v>5.0999999999999997E-2</v>
      </c>
      <c r="O2229" s="4">
        <v>0.25411217807119979</v>
      </c>
      <c r="P2229" s="4">
        <v>0.25</v>
      </c>
      <c r="Q2229" s="3" t="s">
        <v>1597</v>
      </c>
      <c r="R2229" s="3" t="s">
        <v>1607</v>
      </c>
      <c r="S2229" s="3" t="s">
        <v>1608</v>
      </c>
      <c r="T2229" s="3"/>
    </row>
    <row r="2230" spans="1:20">
      <c r="A2230" s="3" t="s">
        <v>1600</v>
      </c>
      <c r="B2230" s="3" t="s">
        <v>1606</v>
      </c>
      <c r="C2230" s="3" t="s">
        <v>1616</v>
      </c>
      <c r="D2230" s="3" t="s">
        <v>1496</v>
      </c>
      <c r="E2230" s="3" t="s">
        <v>1497</v>
      </c>
      <c r="F2230" s="2">
        <v>1</v>
      </c>
      <c r="G2230" s="4">
        <v>1.0695854836024636</v>
      </c>
      <c r="H2230" s="2">
        <v>25</v>
      </c>
      <c r="I2230" s="2">
        <v>5</v>
      </c>
      <c r="J2230" s="2">
        <v>1</v>
      </c>
      <c r="K2230" s="4">
        <v>1</v>
      </c>
      <c r="L2230" s="4">
        <v>2.7669117633048565E-2</v>
      </c>
      <c r="M2230" s="4">
        <v>2.7669117633048565E-2</v>
      </c>
      <c r="N2230" s="10">
        <v>2.8000000000000001E-2</v>
      </c>
      <c r="O2230" s="4">
        <v>0.13721674803958003</v>
      </c>
      <c r="P2230" s="4">
        <v>0.14000000000000001</v>
      </c>
      <c r="Q2230" s="3" t="s">
        <v>1597</v>
      </c>
      <c r="R2230" s="3" t="s">
        <v>1607</v>
      </c>
      <c r="S2230" s="3" t="s">
        <v>1608</v>
      </c>
      <c r="T2230" s="3"/>
    </row>
    <row r="2231" spans="1:20">
      <c r="A2231" s="3" t="s">
        <v>1600</v>
      </c>
      <c r="B2231" s="3" t="s">
        <v>1606</v>
      </c>
      <c r="C2231" s="3" t="s">
        <v>1596</v>
      </c>
      <c r="D2231" s="3" t="s">
        <v>1496</v>
      </c>
      <c r="E2231" s="3" t="s">
        <v>1497</v>
      </c>
      <c r="F2231" s="2">
        <v>1</v>
      </c>
      <c r="G2231" s="4">
        <v>1.0695854836024636</v>
      </c>
      <c r="H2231" s="2">
        <v>25</v>
      </c>
      <c r="I2231" s="2">
        <v>5</v>
      </c>
      <c r="J2231" s="2">
        <v>16</v>
      </c>
      <c r="K2231" s="4">
        <v>1</v>
      </c>
      <c r="L2231" s="4">
        <v>-4.6745445638389574E-3</v>
      </c>
      <c r="M2231" s="4">
        <v>4.6745445638389574E-3</v>
      </c>
      <c r="N2231" s="10">
        <v>5.0000000000000001E-3</v>
      </c>
      <c r="O2231" s="4">
        <v>2.3176263224745926E-2</v>
      </c>
      <c r="P2231" s="4">
        <v>-0.02</v>
      </c>
      <c r="Q2231" s="3" t="s">
        <v>1617</v>
      </c>
      <c r="R2231" s="3" t="s">
        <v>1621</v>
      </c>
      <c r="S2231" s="3" t="s">
        <v>1622</v>
      </c>
      <c r="T2231" s="3"/>
    </row>
    <row r="2232" spans="1:20">
      <c r="A2232" s="3" t="s">
        <v>1600</v>
      </c>
      <c r="B2232" s="3" t="s">
        <v>1606</v>
      </c>
      <c r="C2232" s="3" t="s">
        <v>1596</v>
      </c>
      <c r="D2232" s="3" t="s">
        <v>1496</v>
      </c>
      <c r="E2232" s="3" t="s">
        <v>1497</v>
      </c>
      <c r="F2232" s="2">
        <v>1</v>
      </c>
      <c r="G2232" s="4">
        <v>1.0695854836024636</v>
      </c>
      <c r="H2232" s="2">
        <v>25</v>
      </c>
      <c r="I2232" s="2">
        <v>5</v>
      </c>
      <c r="J2232" s="2">
        <v>1</v>
      </c>
      <c r="K2232" s="4">
        <v>1</v>
      </c>
      <c r="L2232" s="4">
        <v>-8.882620392407288E-3</v>
      </c>
      <c r="M2232" s="4">
        <v>8.882620392407288E-3</v>
      </c>
      <c r="N2232" s="10">
        <v>8.9999999999999993E-3</v>
      </c>
      <c r="O2232" s="4">
        <v>4.4040624833445334E-2</v>
      </c>
      <c r="P2232" s="4">
        <v>-0.04</v>
      </c>
      <c r="Q2232" s="3" t="s">
        <v>1617</v>
      </c>
      <c r="R2232" s="3" t="s">
        <v>1621</v>
      </c>
      <c r="S2232" s="3" t="s">
        <v>1622</v>
      </c>
      <c r="T2232" s="3"/>
    </row>
    <row r="2233" spans="1:20">
      <c r="A2233" s="3" t="s">
        <v>1600</v>
      </c>
      <c r="B2233" s="3" t="s">
        <v>1609</v>
      </c>
      <c r="C2233" s="3" t="s">
        <v>1616</v>
      </c>
      <c r="D2233" s="3" t="s">
        <v>1496</v>
      </c>
      <c r="E2233" s="3" t="s">
        <v>1497</v>
      </c>
      <c r="F2233" s="2">
        <v>1</v>
      </c>
      <c r="G2233" s="4">
        <v>1.0695854836024636</v>
      </c>
      <c r="H2233" s="2">
        <v>25</v>
      </c>
      <c r="I2233" s="2">
        <v>5</v>
      </c>
      <c r="J2233" s="2">
        <v>1</v>
      </c>
      <c r="K2233" s="4">
        <v>0.96134357084223321</v>
      </c>
      <c r="L2233" s="4">
        <v>-2.6715374573816914E-2</v>
      </c>
      <c r="M2233" s="4">
        <v>2.6715374573816914E-2</v>
      </c>
      <c r="N2233" s="10">
        <v>2.7E-2</v>
      </c>
      <c r="O2233" s="4">
        <v>0.13248465129920853</v>
      </c>
      <c r="P2233" s="4">
        <v>-0.13</v>
      </c>
      <c r="Q2233" s="3" t="s">
        <v>1617</v>
      </c>
      <c r="R2233" s="3" t="s">
        <v>1623</v>
      </c>
      <c r="S2233" s="3" t="s">
        <v>1624</v>
      </c>
      <c r="T2233" s="3"/>
    </row>
    <row r="2234" spans="1:20">
      <c r="A2234" s="3" t="s">
        <v>1600</v>
      </c>
      <c r="B2234" s="3" t="s">
        <v>1601</v>
      </c>
      <c r="C2234" s="3" t="s">
        <v>1596</v>
      </c>
      <c r="D2234" s="3" t="s">
        <v>1496</v>
      </c>
      <c r="E2234" s="3" t="s">
        <v>1497</v>
      </c>
      <c r="F2234" s="2">
        <v>1</v>
      </c>
      <c r="G2234" s="4">
        <v>1.0695854836024636</v>
      </c>
      <c r="H2234" s="2">
        <v>25</v>
      </c>
      <c r="I2234" s="2">
        <v>5</v>
      </c>
      <c r="J2234" s="2">
        <v>1</v>
      </c>
      <c r="K2234" s="4">
        <v>1</v>
      </c>
      <c r="L2234" s="4">
        <v>-2.9986890749798264E-2</v>
      </c>
      <c r="M2234" s="4">
        <v>2.9986890749798264E-2</v>
      </c>
      <c r="N2234" s="10">
        <v>0.03</v>
      </c>
      <c r="O2234" s="4">
        <v>0.14871768268768942</v>
      </c>
      <c r="P2234" s="4">
        <v>-0.15</v>
      </c>
      <c r="Q2234" s="3" t="s">
        <v>1617</v>
      </c>
      <c r="R2234" s="3" t="s">
        <v>1618</v>
      </c>
      <c r="S2234" s="3" t="s">
        <v>1619</v>
      </c>
      <c r="T2234" s="3"/>
    </row>
    <row r="2235" spans="1:20">
      <c r="A2235" s="3" t="s">
        <v>1605</v>
      </c>
      <c r="B2235" s="3" t="s">
        <v>1601</v>
      </c>
      <c r="C2235" s="3" t="s">
        <v>1596</v>
      </c>
      <c r="D2235" s="3" t="s">
        <v>1496</v>
      </c>
      <c r="E2235" s="3" t="s">
        <v>1497</v>
      </c>
      <c r="F2235" s="2">
        <v>1</v>
      </c>
      <c r="G2235" s="4">
        <v>1.0695854836024636</v>
      </c>
      <c r="H2235" s="2">
        <v>25</v>
      </c>
      <c r="I2235" s="2">
        <v>5</v>
      </c>
      <c r="J2235" s="2">
        <v>16</v>
      </c>
      <c r="K2235" s="4">
        <v>1</v>
      </c>
      <c r="L2235" s="4">
        <v>-3.6751759977144992E-2</v>
      </c>
      <c r="M2235" s="4">
        <v>3.6751759977144992E-2</v>
      </c>
      <c r="N2235" s="10">
        <v>3.6999999999999998E-2</v>
      </c>
      <c r="O2235" s="4">
        <v>0.18229499108710787</v>
      </c>
      <c r="P2235" s="4">
        <v>-0.18</v>
      </c>
      <c r="Q2235" s="3" t="s">
        <v>1617</v>
      </c>
      <c r="R2235" s="3" t="s">
        <v>1618</v>
      </c>
      <c r="S2235" s="3" t="s">
        <v>1619</v>
      </c>
      <c r="T2235" s="3"/>
    </row>
    <row r="2236" spans="1:20">
      <c r="A2236" s="3" t="s">
        <v>1600</v>
      </c>
      <c r="B2236" s="3" t="s">
        <v>1609</v>
      </c>
      <c r="C2236" s="3" t="s">
        <v>1616</v>
      </c>
      <c r="D2236" s="3" t="s">
        <v>1496</v>
      </c>
      <c r="E2236" s="3" t="s">
        <v>1497</v>
      </c>
      <c r="F2236" s="2">
        <v>1</v>
      </c>
      <c r="G2236" s="4">
        <v>1.0695854836024636</v>
      </c>
      <c r="H2236" s="2">
        <v>25</v>
      </c>
      <c r="I2236" s="2">
        <v>5</v>
      </c>
      <c r="J2236" s="2">
        <v>16</v>
      </c>
      <c r="K2236" s="4">
        <v>1</v>
      </c>
      <c r="L2236" s="4">
        <v>-3.7272726748381106E-2</v>
      </c>
      <c r="M2236" s="4">
        <v>3.7272726748381106E-2</v>
      </c>
      <c r="N2236" s="10">
        <v>3.6999999999999998E-2</v>
      </c>
      <c r="O2236" s="4">
        <v>0.18488145445027163</v>
      </c>
      <c r="P2236" s="4">
        <v>-0.18</v>
      </c>
      <c r="Q2236" s="3" t="s">
        <v>1617</v>
      </c>
      <c r="R2236" s="3" t="s">
        <v>1623</v>
      </c>
      <c r="S2236" s="3" t="s">
        <v>1624</v>
      </c>
      <c r="T2236" s="3"/>
    </row>
    <row r="2237" spans="1:20">
      <c r="A2237" s="3" t="s">
        <v>1600</v>
      </c>
      <c r="B2237" s="3" t="s">
        <v>1601</v>
      </c>
      <c r="C2237" s="3" t="s">
        <v>1596</v>
      </c>
      <c r="D2237" s="3" t="s">
        <v>1496</v>
      </c>
      <c r="E2237" s="3" t="s">
        <v>1497</v>
      </c>
      <c r="F2237" s="2">
        <v>1</v>
      </c>
      <c r="G2237" s="4">
        <v>1.0695854836024636</v>
      </c>
      <c r="H2237" s="2">
        <v>25</v>
      </c>
      <c r="I2237" s="2">
        <v>5</v>
      </c>
      <c r="J2237" s="2">
        <v>16</v>
      </c>
      <c r="K2237" s="4">
        <v>1</v>
      </c>
      <c r="L2237" s="4">
        <v>-3.7637470934885973E-2</v>
      </c>
      <c r="M2237" s="4">
        <v>3.7637470934885973E-2</v>
      </c>
      <c r="N2237" s="10">
        <v>3.7999999999999999E-2</v>
      </c>
      <c r="O2237" s="4">
        <v>0.18669237344124021</v>
      </c>
      <c r="P2237" s="4">
        <v>-0.19</v>
      </c>
      <c r="Q2237" s="3" t="s">
        <v>1617</v>
      </c>
      <c r="R2237" s="3" t="s">
        <v>1618</v>
      </c>
      <c r="S2237" s="3" t="s">
        <v>1619</v>
      </c>
      <c r="T2237" s="3"/>
    </row>
    <row r="2238" spans="1:20">
      <c r="A2238" s="3" t="s">
        <v>1594</v>
      </c>
      <c r="B2238" s="3" t="s">
        <v>1595</v>
      </c>
      <c r="C2238" s="3" t="s">
        <v>1596</v>
      </c>
      <c r="D2238" s="3" t="s">
        <v>1289</v>
      </c>
      <c r="E2238" s="3" t="s">
        <v>1290</v>
      </c>
      <c r="F2238" s="2">
        <v>1</v>
      </c>
      <c r="G2238" s="4">
        <v>1.0698663344212567</v>
      </c>
      <c r="H2238" s="2">
        <v>25</v>
      </c>
      <c r="I2238" s="2">
        <v>5</v>
      </c>
      <c r="J2238" s="2">
        <v>16</v>
      </c>
      <c r="K2238" s="4">
        <v>0.69243052336155575</v>
      </c>
      <c r="L2238" s="4">
        <v>0.40687391947390111</v>
      </c>
      <c r="M2238" s="4">
        <v>0.40687391947390111</v>
      </c>
      <c r="N2238" s="10">
        <v>0.40699999999999997</v>
      </c>
      <c r="O2238" s="4">
        <v>2.1411305559432963</v>
      </c>
      <c r="P2238" s="4">
        <v>2.14</v>
      </c>
      <c r="Q2238" s="3" t="s">
        <v>1597</v>
      </c>
      <c r="R2238" s="3" t="s">
        <v>1598</v>
      </c>
      <c r="S2238" s="3" t="s">
        <v>1599</v>
      </c>
      <c r="T2238" s="3"/>
    </row>
    <row r="2239" spans="1:20">
      <c r="A2239" s="3" t="s">
        <v>1594</v>
      </c>
      <c r="B2239" s="3" t="s">
        <v>1595</v>
      </c>
      <c r="C2239" s="3" t="s">
        <v>1596</v>
      </c>
      <c r="D2239" s="3" t="s">
        <v>1289</v>
      </c>
      <c r="E2239" s="3" t="s">
        <v>1290</v>
      </c>
      <c r="F2239" s="2">
        <v>1</v>
      </c>
      <c r="G2239" s="4">
        <v>1.0698663344212567</v>
      </c>
      <c r="H2239" s="2">
        <v>50</v>
      </c>
      <c r="I2239" s="2">
        <v>5</v>
      </c>
      <c r="J2239" s="2">
        <v>16</v>
      </c>
      <c r="K2239" s="4">
        <v>1</v>
      </c>
      <c r="L2239" s="4">
        <v>0.39733397052738434</v>
      </c>
      <c r="M2239" s="4">
        <v>0.39733397052738434</v>
      </c>
      <c r="N2239" s="10">
        <v>0.39700000000000002</v>
      </c>
      <c r="O2239" s="4">
        <v>2.2595122837125774</v>
      </c>
      <c r="P2239" s="4">
        <v>2.2599999999999998</v>
      </c>
      <c r="Q2239" s="3" t="s">
        <v>1597</v>
      </c>
      <c r="R2239" s="3" t="s">
        <v>1598</v>
      </c>
      <c r="S2239" s="3" t="s">
        <v>1599</v>
      </c>
      <c r="T2239" s="3"/>
    </row>
    <row r="2240" spans="1:20">
      <c r="A2240" s="3" t="s">
        <v>1594</v>
      </c>
      <c r="B2240" s="3" t="s">
        <v>1612</v>
      </c>
      <c r="C2240" s="3" t="s">
        <v>1596</v>
      </c>
      <c r="D2240" s="3" t="s">
        <v>1289</v>
      </c>
      <c r="E2240" s="3" t="s">
        <v>1290</v>
      </c>
      <c r="F2240" s="2">
        <v>1</v>
      </c>
      <c r="G2240" s="4">
        <v>1.0698663344212567</v>
      </c>
      <c r="H2240" s="2">
        <v>50</v>
      </c>
      <c r="I2240" s="2">
        <v>5</v>
      </c>
      <c r="J2240" s="2">
        <v>16</v>
      </c>
      <c r="K2240" s="4">
        <v>0.99520361509623911</v>
      </c>
      <c r="L2240" s="4">
        <v>0.27188950973232523</v>
      </c>
      <c r="M2240" s="4">
        <v>0.27188950973232523</v>
      </c>
      <c r="N2240" s="10">
        <v>0.27200000000000002</v>
      </c>
      <c r="O2240" s="4">
        <v>1.498730453352088</v>
      </c>
      <c r="P2240" s="4">
        <v>1.5</v>
      </c>
      <c r="Q2240" s="3" t="s">
        <v>1597</v>
      </c>
      <c r="R2240" s="3" t="s">
        <v>1613</v>
      </c>
      <c r="S2240" s="3" t="s">
        <v>1614</v>
      </c>
      <c r="T2240" s="3"/>
    </row>
    <row r="2241" spans="1:20">
      <c r="A2241" s="3" t="s">
        <v>1600</v>
      </c>
      <c r="B2241" s="3" t="s">
        <v>1609</v>
      </c>
      <c r="C2241" s="3" t="s">
        <v>1616</v>
      </c>
      <c r="D2241" s="3" t="s">
        <v>1289</v>
      </c>
      <c r="E2241" s="3" t="s">
        <v>1290</v>
      </c>
      <c r="F2241" s="2">
        <v>1</v>
      </c>
      <c r="G2241" s="4">
        <v>1.0698663344212567</v>
      </c>
      <c r="H2241" s="2">
        <v>25</v>
      </c>
      <c r="I2241" s="2">
        <v>5</v>
      </c>
      <c r="J2241" s="2">
        <v>1</v>
      </c>
      <c r="K2241" s="4">
        <v>0.98446689701870227</v>
      </c>
      <c r="L2241" s="4">
        <v>-0.21426534504130226</v>
      </c>
      <c r="M2241" s="4">
        <v>0.21426534504130226</v>
      </c>
      <c r="N2241" s="10">
        <v>0.214</v>
      </c>
      <c r="O2241" s="4">
        <v>1.0790337952642857</v>
      </c>
      <c r="P2241" s="4">
        <v>-1.08</v>
      </c>
      <c r="Q2241" s="3" t="s">
        <v>1617</v>
      </c>
      <c r="R2241" s="3" t="s">
        <v>1623</v>
      </c>
      <c r="S2241" s="3" t="s">
        <v>1624</v>
      </c>
      <c r="T2241" s="3"/>
    </row>
    <row r="2242" spans="1:20">
      <c r="A2242" s="3" t="s">
        <v>1600</v>
      </c>
      <c r="B2242" s="3" t="s">
        <v>1609</v>
      </c>
      <c r="C2242" s="3" t="s">
        <v>1616</v>
      </c>
      <c r="D2242" s="3" t="s">
        <v>1289</v>
      </c>
      <c r="E2242" s="3" t="s">
        <v>1290</v>
      </c>
      <c r="F2242" s="2">
        <v>1</v>
      </c>
      <c r="G2242" s="4">
        <v>1.0698663344212567</v>
      </c>
      <c r="H2242" s="2">
        <v>25</v>
      </c>
      <c r="I2242" s="2">
        <v>5</v>
      </c>
      <c r="J2242" s="2">
        <v>16</v>
      </c>
      <c r="K2242" s="4">
        <v>1</v>
      </c>
      <c r="L2242" s="4">
        <v>-0.23902556962481694</v>
      </c>
      <c r="M2242" s="4">
        <v>0.23902556962481694</v>
      </c>
      <c r="N2242" s="10">
        <v>0.23899999999999999</v>
      </c>
      <c r="O2242" s="4">
        <v>1.208449293583562</v>
      </c>
      <c r="P2242" s="4">
        <v>-1.21</v>
      </c>
      <c r="Q2242" s="3" t="s">
        <v>1617</v>
      </c>
      <c r="R2242" s="3" t="s">
        <v>1623</v>
      </c>
      <c r="S2242" s="3" t="s">
        <v>1624</v>
      </c>
      <c r="T2242" s="3"/>
    </row>
    <row r="2243" spans="1:20">
      <c r="A2243" s="3" t="s">
        <v>1600</v>
      </c>
      <c r="B2243" s="3" t="s">
        <v>1601</v>
      </c>
      <c r="C2243" s="3" t="s">
        <v>1596</v>
      </c>
      <c r="D2243" s="3" t="s">
        <v>1289</v>
      </c>
      <c r="E2243" s="3" t="s">
        <v>1290</v>
      </c>
      <c r="F2243" s="2">
        <v>1</v>
      </c>
      <c r="G2243" s="4">
        <v>1.0698663344212567</v>
      </c>
      <c r="H2243" s="2">
        <v>25</v>
      </c>
      <c r="I2243" s="2">
        <v>5</v>
      </c>
      <c r="J2243" s="2">
        <v>1</v>
      </c>
      <c r="K2243" s="4">
        <v>0.46927747975631429</v>
      </c>
      <c r="L2243" s="4">
        <v>-0.3278686914605215</v>
      </c>
      <c r="M2243" s="4">
        <v>0.3278686914605215</v>
      </c>
      <c r="N2243" s="10">
        <v>0.32800000000000001</v>
      </c>
      <c r="O2243" s="4">
        <v>1.6878717377972745</v>
      </c>
      <c r="P2243" s="4">
        <v>-1.69</v>
      </c>
      <c r="Q2243" s="3" t="s">
        <v>1617</v>
      </c>
      <c r="R2243" s="3" t="s">
        <v>1618</v>
      </c>
      <c r="S2243" s="3" t="s">
        <v>1619</v>
      </c>
      <c r="T2243" s="3"/>
    </row>
    <row r="2244" spans="1:20">
      <c r="A2244" s="3" t="s">
        <v>1604</v>
      </c>
      <c r="B2244" s="3" t="s">
        <v>1601</v>
      </c>
      <c r="C2244" s="3" t="s">
        <v>1596</v>
      </c>
      <c r="D2244" s="3" t="s">
        <v>1289</v>
      </c>
      <c r="E2244" s="3" t="s">
        <v>1290</v>
      </c>
      <c r="F2244" s="2">
        <v>1</v>
      </c>
      <c r="G2244" s="4">
        <v>1.0698663344212567</v>
      </c>
      <c r="H2244" s="2">
        <v>25</v>
      </c>
      <c r="I2244" s="2">
        <v>30</v>
      </c>
      <c r="J2244" s="2">
        <v>16</v>
      </c>
      <c r="K2244" s="4">
        <v>1</v>
      </c>
      <c r="L2244" s="4">
        <v>-0.33265538230616992</v>
      </c>
      <c r="M2244" s="4">
        <v>0.33265538230616992</v>
      </c>
      <c r="N2244" s="10">
        <v>0.33300000000000002</v>
      </c>
      <c r="O2244" s="4">
        <v>1.714509368775526</v>
      </c>
      <c r="P2244" s="4">
        <v>-1.72</v>
      </c>
      <c r="Q2244" s="3" t="s">
        <v>1617</v>
      </c>
      <c r="R2244" s="3" t="s">
        <v>1618</v>
      </c>
      <c r="S2244" s="3" t="s">
        <v>1619</v>
      </c>
      <c r="T2244" s="3"/>
    </row>
    <row r="2245" spans="1:20">
      <c r="A2245" s="3" t="s">
        <v>1600</v>
      </c>
      <c r="B2245" s="3" t="s">
        <v>1601</v>
      </c>
      <c r="C2245" s="3" t="s">
        <v>1596</v>
      </c>
      <c r="D2245" s="3" t="s">
        <v>1289</v>
      </c>
      <c r="E2245" s="3" t="s">
        <v>1290</v>
      </c>
      <c r="F2245" s="2">
        <v>1</v>
      </c>
      <c r="G2245" s="4">
        <v>1.0698663344212567</v>
      </c>
      <c r="H2245" s="2">
        <v>25</v>
      </c>
      <c r="I2245" s="2">
        <v>5</v>
      </c>
      <c r="J2245" s="2">
        <v>16</v>
      </c>
      <c r="K2245" s="4">
        <v>1</v>
      </c>
      <c r="L2245" s="4">
        <v>-0.35330091686789522</v>
      </c>
      <c r="M2245" s="4">
        <v>0.35330091686789522</v>
      </c>
      <c r="N2245" s="10">
        <v>0.35299999999999998</v>
      </c>
      <c r="O2245" s="4">
        <v>1.8305219601859251</v>
      </c>
      <c r="P2245" s="4">
        <v>-1.83</v>
      </c>
      <c r="Q2245" s="3" t="s">
        <v>1617</v>
      </c>
      <c r="R2245" s="3" t="s">
        <v>1618</v>
      </c>
      <c r="S2245" s="3" t="s">
        <v>1619</v>
      </c>
      <c r="T2245" s="3"/>
    </row>
    <row r="2246" spans="1:20">
      <c r="A2246" s="3" t="s">
        <v>1605</v>
      </c>
      <c r="B2246" s="3" t="s">
        <v>1601</v>
      </c>
      <c r="C2246" s="3" t="s">
        <v>1596</v>
      </c>
      <c r="D2246" s="3" t="s">
        <v>1289</v>
      </c>
      <c r="E2246" s="3" t="s">
        <v>1290</v>
      </c>
      <c r="F2246" s="2">
        <v>1</v>
      </c>
      <c r="G2246" s="4">
        <v>1.0698663344212567</v>
      </c>
      <c r="H2246" s="2">
        <v>25</v>
      </c>
      <c r="I2246" s="2">
        <v>5</v>
      </c>
      <c r="J2246" s="2">
        <v>16</v>
      </c>
      <c r="K2246" s="4">
        <v>1</v>
      </c>
      <c r="L2246" s="4">
        <v>-0.35808335153613063</v>
      </c>
      <c r="M2246" s="4">
        <v>0.35808335153613063</v>
      </c>
      <c r="N2246" s="10">
        <v>0.35799999999999998</v>
      </c>
      <c r="O2246" s="4">
        <v>1.8576674060952438</v>
      </c>
      <c r="P2246" s="4">
        <v>-1.86</v>
      </c>
      <c r="Q2246" s="3" t="s">
        <v>1617</v>
      </c>
      <c r="R2246" s="3" t="s">
        <v>1618</v>
      </c>
      <c r="S2246" s="3" t="s">
        <v>1619</v>
      </c>
      <c r="T2246" s="3"/>
    </row>
    <row r="2247" spans="1:20">
      <c r="A2247" s="3" t="s">
        <v>1600</v>
      </c>
      <c r="B2247" s="3" t="s">
        <v>1606</v>
      </c>
      <c r="C2247" s="3" t="s">
        <v>1596</v>
      </c>
      <c r="D2247" s="3" t="s">
        <v>1289</v>
      </c>
      <c r="E2247" s="3" t="s">
        <v>1290</v>
      </c>
      <c r="F2247" s="2">
        <v>1</v>
      </c>
      <c r="G2247" s="4">
        <v>1.0698663344212567</v>
      </c>
      <c r="H2247" s="2">
        <v>25</v>
      </c>
      <c r="I2247" s="2">
        <v>5</v>
      </c>
      <c r="J2247" s="2">
        <v>1</v>
      </c>
      <c r="K2247" s="4">
        <v>0.99682908405720994</v>
      </c>
      <c r="L2247" s="4">
        <v>-0.39108191373169321</v>
      </c>
      <c r="M2247" s="4">
        <v>0.39108191373169321</v>
      </c>
      <c r="N2247" s="10">
        <v>0.39100000000000001</v>
      </c>
      <c r="O2247" s="4">
        <v>2.0480078008644962</v>
      </c>
      <c r="P2247" s="4">
        <v>-2.0499999999999998</v>
      </c>
      <c r="Q2247" s="3" t="s">
        <v>1617</v>
      </c>
      <c r="R2247" s="3" t="s">
        <v>1621</v>
      </c>
      <c r="S2247" s="3" t="s">
        <v>1622</v>
      </c>
      <c r="T2247" s="3"/>
    </row>
    <row r="2248" spans="1:20">
      <c r="A2248" s="3" t="s">
        <v>1600</v>
      </c>
      <c r="B2248" s="3" t="s">
        <v>1606</v>
      </c>
      <c r="C2248" s="3" t="s">
        <v>1596</v>
      </c>
      <c r="D2248" s="3" t="s">
        <v>1289</v>
      </c>
      <c r="E2248" s="3" t="s">
        <v>1290</v>
      </c>
      <c r="F2248" s="2">
        <v>1</v>
      </c>
      <c r="G2248" s="4">
        <v>1.0698663344212567</v>
      </c>
      <c r="H2248" s="2">
        <v>25</v>
      </c>
      <c r="I2248" s="2">
        <v>5</v>
      </c>
      <c r="J2248" s="2">
        <v>16</v>
      </c>
      <c r="K2248" s="4">
        <v>1</v>
      </c>
      <c r="L2248" s="4">
        <v>-0.39399352746228034</v>
      </c>
      <c r="M2248" s="4">
        <v>0.39399352746228034</v>
      </c>
      <c r="N2248" s="10">
        <v>0.39400000000000002</v>
      </c>
      <c r="O2248" s="4">
        <v>2.0650729091833333</v>
      </c>
      <c r="P2248" s="4">
        <v>-2.0699999999999998</v>
      </c>
      <c r="Q2248" s="3" t="s">
        <v>1617</v>
      </c>
      <c r="R2248" s="3" t="s">
        <v>1621</v>
      </c>
      <c r="S2248" s="3" t="s">
        <v>1622</v>
      </c>
      <c r="T2248" s="3"/>
    </row>
    <row r="2249" spans="1:20">
      <c r="A2249" s="3" t="s">
        <v>1600</v>
      </c>
      <c r="B2249" s="3" t="s">
        <v>1609</v>
      </c>
      <c r="C2249" s="3" t="s">
        <v>1596</v>
      </c>
      <c r="D2249" s="3" t="s">
        <v>1289</v>
      </c>
      <c r="E2249" s="3" t="s">
        <v>1290</v>
      </c>
      <c r="F2249" s="2">
        <v>1</v>
      </c>
      <c r="G2249" s="4">
        <v>1.0698663344212567</v>
      </c>
      <c r="H2249" s="2">
        <v>25</v>
      </c>
      <c r="I2249" s="2">
        <v>5</v>
      </c>
      <c r="J2249" s="2">
        <v>1</v>
      </c>
      <c r="K2249" s="4">
        <v>1</v>
      </c>
      <c r="L2249" s="4">
        <v>-0.40318061583045256</v>
      </c>
      <c r="M2249" s="4">
        <v>0.40318061583045256</v>
      </c>
      <c r="N2249" s="10">
        <v>0.40300000000000002</v>
      </c>
      <c r="O2249" s="4">
        <v>2.1192259623273433</v>
      </c>
      <c r="P2249" s="4">
        <v>-2.12</v>
      </c>
      <c r="Q2249" s="3" t="s">
        <v>1617</v>
      </c>
      <c r="R2249" s="3" t="s">
        <v>1623</v>
      </c>
      <c r="S2249" s="3" t="s">
        <v>1624</v>
      </c>
      <c r="T2249" s="3"/>
    </row>
    <row r="2250" spans="1:20">
      <c r="A2250" s="3" t="s">
        <v>1604</v>
      </c>
      <c r="B2250" s="3" t="s">
        <v>1601</v>
      </c>
      <c r="C2250" s="3" t="s">
        <v>1616</v>
      </c>
      <c r="D2250" s="3" t="s">
        <v>1289</v>
      </c>
      <c r="E2250" s="3" t="s">
        <v>1290</v>
      </c>
      <c r="F2250" s="2">
        <v>1</v>
      </c>
      <c r="G2250" s="4">
        <v>1.0698663344212567</v>
      </c>
      <c r="H2250" s="2">
        <v>25</v>
      </c>
      <c r="I2250" s="2">
        <v>30</v>
      </c>
      <c r="J2250" s="2">
        <v>16</v>
      </c>
      <c r="K2250" s="4">
        <v>1</v>
      </c>
      <c r="L2250" s="4">
        <v>-0.40511944173801895</v>
      </c>
      <c r="M2250" s="4">
        <v>0.40511944173801895</v>
      </c>
      <c r="N2250" s="10">
        <v>0.40500000000000003</v>
      </c>
      <c r="O2250" s="4">
        <v>2.1307151577102199</v>
      </c>
      <c r="P2250" s="4">
        <v>-2.13</v>
      </c>
      <c r="Q2250" s="3" t="s">
        <v>1617</v>
      </c>
      <c r="R2250" s="3" t="s">
        <v>1618</v>
      </c>
      <c r="S2250" s="3" t="s">
        <v>1619</v>
      </c>
      <c r="T2250" s="3"/>
    </row>
    <row r="2251" spans="1:20">
      <c r="A2251" s="3" t="s">
        <v>1600</v>
      </c>
      <c r="B2251" s="3" t="s">
        <v>1601</v>
      </c>
      <c r="C2251" s="3" t="s">
        <v>1616</v>
      </c>
      <c r="D2251" s="3" t="s">
        <v>1289</v>
      </c>
      <c r="E2251" s="3" t="s">
        <v>1290</v>
      </c>
      <c r="F2251" s="2">
        <v>1</v>
      </c>
      <c r="G2251" s="4">
        <v>1.0698663344212567</v>
      </c>
      <c r="H2251" s="2">
        <v>25</v>
      </c>
      <c r="I2251" s="2">
        <v>5</v>
      </c>
      <c r="J2251" s="2">
        <v>1</v>
      </c>
      <c r="K2251" s="4">
        <v>1</v>
      </c>
      <c r="L2251" s="4">
        <v>-0.41101910336026859</v>
      </c>
      <c r="M2251" s="4">
        <v>0.41101910336026859</v>
      </c>
      <c r="N2251" s="10">
        <v>0.41099999999999998</v>
      </c>
      <c r="O2251" s="4">
        <v>2.1658093994328711</v>
      </c>
      <c r="P2251" s="4">
        <v>-2.17</v>
      </c>
      <c r="Q2251" s="3" t="s">
        <v>1617</v>
      </c>
      <c r="R2251" s="3" t="s">
        <v>1618</v>
      </c>
      <c r="S2251" s="3" t="s">
        <v>1619</v>
      </c>
      <c r="T2251" s="3"/>
    </row>
    <row r="2252" spans="1:20">
      <c r="A2252" s="3" t="s">
        <v>1600</v>
      </c>
      <c r="B2252" s="3" t="s">
        <v>1601</v>
      </c>
      <c r="C2252" s="3" t="s">
        <v>1616</v>
      </c>
      <c r="D2252" s="3" t="s">
        <v>1289</v>
      </c>
      <c r="E2252" s="3" t="s">
        <v>1290</v>
      </c>
      <c r="F2252" s="2">
        <v>1</v>
      </c>
      <c r="G2252" s="4">
        <v>1.0698663344212567</v>
      </c>
      <c r="H2252" s="2">
        <v>25</v>
      </c>
      <c r="I2252" s="2">
        <v>5</v>
      </c>
      <c r="J2252" s="2">
        <v>16</v>
      </c>
      <c r="K2252" s="4">
        <v>1</v>
      </c>
      <c r="L2252" s="4">
        <v>-0.41654782021882303</v>
      </c>
      <c r="M2252" s="4">
        <v>0.41654782021882303</v>
      </c>
      <c r="N2252" s="10">
        <v>0.41699999999999998</v>
      </c>
      <c r="O2252" s="4">
        <v>2.1988834031064495</v>
      </c>
      <c r="P2252" s="4">
        <v>-2.2000000000000002</v>
      </c>
      <c r="Q2252" s="3" t="s">
        <v>1617</v>
      </c>
      <c r="R2252" s="3" t="s">
        <v>1618</v>
      </c>
      <c r="S2252" s="3" t="s">
        <v>1619</v>
      </c>
      <c r="T2252" s="3"/>
    </row>
    <row r="2253" spans="1:20">
      <c r="A2253" s="3" t="s">
        <v>1600</v>
      </c>
      <c r="B2253" s="3" t="s">
        <v>1609</v>
      </c>
      <c r="C2253" s="3" t="s">
        <v>1596</v>
      </c>
      <c r="D2253" s="3" t="s">
        <v>1289</v>
      </c>
      <c r="E2253" s="3" t="s">
        <v>1290</v>
      </c>
      <c r="F2253" s="2">
        <v>1</v>
      </c>
      <c r="G2253" s="4">
        <v>1.0698663344212567</v>
      </c>
      <c r="H2253" s="2">
        <v>25</v>
      </c>
      <c r="I2253" s="2">
        <v>5</v>
      </c>
      <c r="J2253" s="2">
        <v>16</v>
      </c>
      <c r="K2253" s="4">
        <v>0.99248688847258282</v>
      </c>
      <c r="L2253" s="4">
        <v>-0.42051856709820346</v>
      </c>
      <c r="M2253" s="4">
        <v>0.42051856709820346</v>
      </c>
      <c r="N2253" s="10">
        <v>0.42099999999999999</v>
      </c>
      <c r="O2253" s="4">
        <v>2.2227510717238803</v>
      </c>
      <c r="P2253" s="4">
        <v>-2.23</v>
      </c>
      <c r="Q2253" s="3" t="s">
        <v>1617</v>
      </c>
      <c r="R2253" s="3" t="s">
        <v>1623</v>
      </c>
      <c r="S2253" s="3" t="s">
        <v>1624</v>
      </c>
      <c r="T2253" s="3"/>
    </row>
    <row r="2254" spans="1:20">
      <c r="A2254" s="3" t="s">
        <v>1600</v>
      </c>
      <c r="B2254" s="3" t="s">
        <v>1606</v>
      </c>
      <c r="C2254" s="3" t="s">
        <v>1616</v>
      </c>
      <c r="D2254" s="3" t="s">
        <v>1289</v>
      </c>
      <c r="E2254" s="3" t="s">
        <v>1290</v>
      </c>
      <c r="F2254" s="2">
        <v>1</v>
      </c>
      <c r="G2254" s="4">
        <v>1.0698663344212567</v>
      </c>
      <c r="H2254" s="2">
        <v>25</v>
      </c>
      <c r="I2254" s="2">
        <v>5</v>
      </c>
      <c r="J2254" s="2">
        <v>1</v>
      </c>
      <c r="K2254" s="4">
        <v>1</v>
      </c>
      <c r="L2254" s="4">
        <v>-0.4954676016190086</v>
      </c>
      <c r="M2254" s="4">
        <v>0.4954676016190086</v>
      </c>
      <c r="N2254" s="10">
        <v>0.495</v>
      </c>
      <c r="O2254" s="4">
        <v>2.6935530083498906</v>
      </c>
      <c r="P2254" s="4">
        <v>-2.69</v>
      </c>
      <c r="Q2254" s="3" t="s">
        <v>1617</v>
      </c>
      <c r="R2254" s="3" t="s">
        <v>1621</v>
      </c>
      <c r="S2254" s="3" t="s">
        <v>1622</v>
      </c>
      <c r="T2254" s="3"/>
    </row>
    <row r="2255" spans="1:20">
      <c r="A2255" s="3" t="s">
        <v>1600</v>
      </c>
      <c r="B2255" s="3" t="s">
        <v>1606</v>
      </c>
      <c r="C2255" s="3" t="s">
        <v>1616</v>
      </c>
      <c r="D2255" s="3" t="s">
        <v>1289</v>
      </c>
      <c r="E2255" s="3" t="s">
        <v>1290</v>
      </c>
      <c r="F2255" s="2">
        <v>1</v>
      </c>
      <c r="G2255" s="4">
        <v>1.0698663344212567</v>
      </c>
      <c r="H2255" s="2">
        <v>25</v>
      </c>
      <c r="I2255" s="2">
        <v>5</v>
      </c>
      <c r="J2255" s="2">
        <v>16</v>
      </c>
      <c r="K2255" s="4">
        <v>1</v>
      </c>
      <c r="L2255" s="4">
        <v>-0.50336355037048719</v>
      </c>
      <c r="M2255" s="4">
        <v>0.50336355037048719</v>
      </c>
      <c r="N2255" s="10">
        <v>0.503</v>
      </c>
      <c r="O2255" s="4">
        <v>2.74571004635134</v>
      </c>
      <c r="P2255" s="4">
        <v>-2.74</v>
      </c>
      <c r="Q2255" s="3" t="s">
        <v>1617</v>
      </c>
      <c r="R2255" s="3" t="s">
        <v>1621</v>
      </c>
      <c r="S2255" s="3" t="s">
        <v>1622</v>
      </c>
      <c r="T2255" s="3"/>
    </row>
    <row r="2256" spans="1:20">
      <c r="A2256" s="3" t="s">
        <v>1600</v>
      </c>
      <c r="B2256" s="3" t="s">
        <v>1601</v>
      </c>
      <c r="C2256" s="3" t="s">
        <v>1596</v>
      </c>
      <c r="D2256" s="3" t="s">
        <v>1155</v>
      </c>
      <c r="E2256" s="3" t="s">
        <v>1156</v>
      </c>
      <c r="F2256" s="2">
        <v>1</v>
      </c>
      <c r="G2256" s="4">
        <v>1.0714772159753014</v>
      </c>
      <c r="H2256" s="2">
        <v>25</v>
      </c>
      <c r="I2256" s="2">
        <v>5</v>
      </c>
      <c r="J2256" s="2">
        <v>16</v>
      </c>
      <c r="K2256" s="4">
        <v>1</v>
      </c>
      <c r="L2256" s="4">
        <v>0.95827291723694941</v>
      </c>
      <c r="M2256" s="4">
        <v>0.95827291723694941</v>
      </c>
      <c r="N2256" s="10">
        <v>0.95799999999999996</v>
      </c>
      <c r="O2256" s="4">
        <v>9.5407250279536928</v>
      </c>
      <c r="P2256" s="4">
        <v>9.52</v>
      </c>
      <c r="Q2256" s="3" t="s">
        <v>1597</v>
      </c>
      <c r="R2256" s="3" t="s">
        <v>1602</v>
      </c>
      <c r="S2256" s="3" t="s">
        <v>1603</v>
      </c>
      <c r="T2256" s="3"/>
    </row>
    <row r="2257" spans="1:20">
      <c r="A2257" s="3" t="s">
        <v>1600</v>
      </c>
      <c r="B2257" s="3" t="s">
        <v>1606</v>
      </c>
      <c r="C2257" s="3" t="s">
        <v>1596</v>
      </c>
      <c r="D2257" s="3" t="s">
        <v>1155</v>
      </c>
      <c r="E2257" s="3" t="s">
        <v>1156</v>
      </c>
      <c r="F2257" s="2">
        <v>1</v>
      </c>
      <c r="G2257" s="4">
        <v>1.0714772159753014</v>
      </c>
      <c r="H2257" s="2">
        <v>25</v>
      </c>
      <c r="I2257" s="2">
        <v>5</v>
      </c>
      <c r="J2257" s="2">
        <v>1</v>
      </c>
      <c r="K2257" s="4">
        <v>1</v>
      </c>
      <c r="L2257" s="4">
        <v>0.95733294558414506</v>
      </c>
      <c r="M2257" s="4">
        <v>0.95733294558414506</v>
      </c>
      <c r="N2257" s="10">
        <v>0.95699999999999996</v>
      </c>
      <c r="O2257" s="4">
        <v>9.4843116600616213</v>
      </c>
      <c r="P2257" s="4">
        <v>9.4600000000000009</v>
      </c>
      <c r="Q2257" s="3" t="s">
        <v>1597</v>
      </c>
      <c r="R2257" s="3" t="s">
        <v>1607</v>
      </c>
      <c r="S2257" s="3" t="s">
        <v>1608</v>
      </c>
      <c r="T2257" s="3"/>
    </row>
    <row r="2258" spans="1:20">
      <c r="A2258" s="3" t="s">
        <v>1600</v>
      </c>
      <c r="B2258" s="3" t="s">
        <v>1606</v>
      </c>
      <c r="C2258" s="3" t="s">
        <v>1596</v>
      </c>
      <c r="D2258" s="3" t="s">
        <v>1155</v>
      </c>
      <c r="E2258" s="3" t="s">
        <v>1156</v>
      </c>
      <c r="F2258" s="2">
        <v>1</v>
      </c>
      <c r="G2258" s="4">
        <v>1.0714772159753014</v>
      </c>
      <c r="H2258" s="2">
        <v>25</v>
      </c>
      <c r="I2258" s="2">
        <v>5</v>
      </c>
      <c r="J2258" s="2">
        <v>16</v>
      </c>
      <c r="K2258" s="4">
        <v>1</v>
      </c>
      <c r="L2258" s="4">
        <v>0.95349161627565748</v>
      </c>
      <c r="M2258" s="4">
        <v>0.95349161627565748</v>
      </c>
      <c r="N2258" s="10">
        <v>0.95299999999999996</v>
      </c>
      <c r="O2258" s="4">
        <v>9.2657410631177548</v>
      </c>
      <c r="P2258" s="4">
        <v>9.24</v>
      </c>
      <c r="Q2258" s="3" t="s">
        <v>1597</v>
      </c>
      <c r="R2258" s="3" t="s">
        <v>1607</v>
      </c>
      <c r="S2258" s="3" t="s">
        <v>1608</v>
      </c>
      <c r="T2258" s="3"/>
    </row>
    <row r="2259" spans="1:20">
      <c r="A2259" s="3" t="s">
        <v>1605</v>
      </c>
      <c r="B2259" s="3" t="s">
        <v>1601</v>
      </c>
      <c r="C2259" s="3" t="s">
        <v>1596</v>
      </c>
      <c r="D2259" s="3" t="s">
        <v>1155</v>
      </c>
      <c r="E2259" s="3" t="s">
        <v>1156</v>
      </c>
      <c r="F2259" s="2">
        <v>1</v>
      </c>
      <c r="G2259" s="4">
        <v>1.0714772159753014</v>
      </c>
      <c r="H2259" s="2">
        <v>25</v>
      </c>
      <c r="I2259" s="2">
        <v>5</v>
      </c>
      <c r="J2259" s="2">
        <v>16</v>
      </c>
      <c r="K2259" s="4">
        <v>1</v>
      </c>
      <c r="L2259" s="4">
        <v>0.95053283018255075</v>
      </c>
      <c r="M2259" s="4">
        <v>0.95053283018255075</v>
      </c>
      <c r="N2259" s="10">
        <v>0.95099999999999996</v>
      </c>
      <c r="O2259" s="4">
        <v>9.1090891532909524</v>
      </c>
      <c r="P2259" s="4">
        <v>9.1300000000000008</v>
      </c>
      <c r="Q2259" s="3" t="s">
        <v>1597</v>
      </c>
      <c r="R2259" s="3" t="s">
        <v>1602</v>
      </c>
      <c r="S2259" s="3" t="s">
        <v>1603</v>
      </c>
      <c r="T2259" s="3"/>
    </row>
    <row r="2260" spans="1:20">
      <c r="A2260" s="3" t="s">
        <v>1600</v>
      </c>
      <c r="B2260" s="3" t="s">
        <v>1601</v>
      </c>
      <c r="C2260" s="3" t="s">
        <v>1596</v>
      </c>
      <c r="D2260" s="3" t="s">
        <v>1155</v>
      </c>
      <c r="E2260" s="3" t="s">
        <v>1156</v>
      </c>
      <c r="F2260" s="2">
        <v>1</v>
      </c>
      <c r="G2260" s="4">
        <v>1.0714772159753014</v>
      </c>
      <c r="H2260" s="2">
        <v>25</v>
      </c>
      <c r="I2260" s="2">
        <v>5</v>
      </c>
      <c r="J2260" s="2">
        <v>1</v>
      </c>
      <c r="K2260" s="4">
        <v>0.5685543250997358</v>
      </c>
      <c r="L2260" s="4">
        <v>0.94810367525595984</v>
      </c>
      <c r="M2260" s="4">
        <v>0.94810367525595984</v>
      </c>
      <c r="N2260" s="10">
        <v>0.94799999999999995</v>
      </c>
      <c r="O2260" s="4">
        <v>8.9871613111703095</v>
      </c>
      <c r="P2260" s="4">
        <v>8.98</v>
      </c>
      <c r="Q2260" s="3" t="s">
        <v>1597</v>
      </c>
      <c r="R2260" s="3" t="s">
        <v>1602</v>
      </c>
      <c r="S2260" s="3" t="s">
        <v>1603</v>
      </c>
      <c r="T2260" s="3"/>
    </row>
    <row r="2261" spans="1:20">
      <c r="A2261" s="3" t="s">
        <v>1600</v>
      </c>
      <c r="B2261" s="3" t="s">
        <v>1606</v>
      </c>
      <c r="C2261" s="3" t="s">
        <v>1616</v>
      </c>
      <c r="D2261" s="3" t="s">
        <v>1155</v>
      </c>
      <c r="E2261" s="3" t="s">
        <v>1156</v>
      </c>
      <c r="F2261" s="2">
        <v>1</v>
      </c>
      <c r="G2261" s="4">
        <v>1.0714772159753014</v>
      </c>
      <c r="H2261" s="2">
        <v>25</v>
      </c>
      <c r="I2261" s="2">
        <v>5</v>
      </c>
      <c r="J2261" s="2">
        <v>16</v>
      </c>
      <c r="K2261" s="4">
        <v>1</v>
      </c>
      <c r="L2261" s="4">
        <v>0.94227402106152569</v>
      </c>
      <c r="M2261" s="4">
        <v>0.94227402106152569</v>
      </c>
      <c r="N2261" s="10">
        <v>0.94199999999999995</v>
      </c>
      <c r="O2261" s="4">
        <v>8.7158226193826902</v>
      </c>
      <c r="P2261" s="4">
        <v>8.6999999999999993</v>
      </c>
      <c r="Q2261" s="3" t="s">
        <v>1597</v>
      </c>
      <c r="R2261" s="3" t="s">
        <v>1607</v>
      </c>
      <c r="S2261" s="3" t="s">
        <v>1608</v>
      </c>
      <c r="T2261" s="3"/>
    </row>
    <row r="2262" spans="1:20">
      <c r="A2262" s="3" t="s">
        <v>1604</v>
      </c>
      <c r="B2262" s="3" t="s">
        <v>1601</v>
      </c>
      <c r="C2262" s="3" t="s">
        <v>1596</v>
      </c>
      <c r="D2262" s="3" t="s">
        <v>1155</v>
      </c>
      <c r="E2262" s="3" t="s">
        <v>1156</v>
      </c>
      <c r="F2262" s="2">
        <v>1</v>
      </c>
      <c r="G2262" s="4">
        <v>1.0714772159753014</v>
      </c>
      <c r="H2262" s="2">
        <v>25</v>
      </c>
      <c r="I2262" s="2">
        <v>30</v>
      </c>
      <c r="J2262" s="2">
        <v>16</v>
      </c>
      <c r="K2262" s="4">
        <v>1</v>
      </c>
      <c r="L2262" s="4">
        <v>0.93310349765389633</v>
      </c>
      <c r="M2262" s="4">
        <v>0.93310349765389633</v>
      </c>
      <c r="N2262" s="10">
        <v>0.93300000000000005</v>
      </c>
      <c r="O2262" s="4">
        <v>8.3385928478858133</v>
      </c>
      <c r="P2262" s="4">
        <v>8.33</v>
      </c>
      <c r="Q2262" s="3" t="s">
        <v>1597</v>
      </c>
      <c r="R2262" s="3" t="s">
        <v>1602</v>
      </c>
      <c r="S2262" s="3" t="s">
        <v>1603</v>
      </c>
      <c r="T2262" s="3"/>
    </row>
    <row r="2263" spans="1:20">
      <c r="A2263" s="3" t="s">
        <v>1600</v>
      </c>
      <c r="B2263" s="3" t="s">
        <v>1601</v>
      </c>
      <c r="C2263" s="3" t="s">
        <v>1616</v>
      </c>
      <c r="D2263" s="3" t="s">
        <v>1155</v>
      </c>
      <c r="E2263" s="3" t="s">
        <v>1156</v>
      </c>
      <c r="F2263" s="2">
        <v>1</v>
      </c>
      <c r="G2263" s="4">
        <v>1.0714772159753014</v>
      </c>
      <c r="H2263" s="2">
        <v>25</v>
      </c>
      <c r="I2263" s="2">
        <v>5</v>
      </c>
      <c r="J2263" s="2">
        <v>16</v>
      </c>
      <c r="K2263" s="4">
        <v>1</v>
      </c>
      <c r="L2263" s="4">
        <v>0.92483136870382132</v>
      </c>
      <c r="M2263" s="4">
        <v>0.92483136870382132</v>
      </c>
      <c r="N2263" s="10">
        <v>0.92500000000000004</v>
      </c>
      <c r="O2263" s="4">
        <v>8.0389458319016409</v>
      </c>
      <c r="P2263" s="4">
        <v>8.0399999999999991</v>
      </c>
      <c r="Q2263" s="3" t="s">
        <v>1597</v>
      </c>
      <c r="R2263" s="3" t="s">
        <v>1602</v>
      </c>
      <c r="S2263" s="3" t="s">
        <v>1603</v>
      </c>
      <c r="T2263" s="3"/>
    </row>
    <row r="2264" spans="1:20">
      <c r="A2264" s="3" t="s">
        <v>1604</v>
      </c>
      <c r="B2264" s="3" t="s">
        <v>1601</v>
      </c>
      <c r="C2264" s="3" t="s">
        <v>1616</v>
      </c>
      <c r="D2264" s="3" t="s">
        <v>1155</v>
      </c>
      <c r="E2264" s="3" t="s">
        <v>1156</v>
      </c>
      <c r="F2264" s="2">
        <v>1</v>
      </c>
      <c r="G2264" s="4">
        <v>1.0714772159753014</v>
      </c>
      <c r="H2264" s="2">
        <v>25</v>
      </c>
      <c r="I2264" s="2">
        <v>30</v>
      </c>
      <c r="J2264" s="2">
        <v>16</v>
      </c>
      <c r="K2264" s="4">
        <v>1</v>
      </c>
      <c r="L2264" s="4">
        <v>0.92327802338692155</v>
      </c>
      <c r="M2264" s="4">
        <v>0.92327802338692155</v>
      </c>
      <c r="N2264" s="10">
        <v>0.92300000000000004</v>
      </c>
      <c r="O2264" s="4">
        <v>7.9862392092751424</v>
      </c>
      <c r="P2264" s="4">
        <v>7.98</v>
      </c>
      <c r="Q2264" s="3" t="s">
        <v>1597</v>
      </c>
      <c r="R2264" s="3" t="s">
        <v>1602</v>
      </c>
      <c r="S2264" s="3" t="s">
        <v>1603</v>
      </c>
      <c r="T2264" s="3"/>
    </row>
    <row r="2265" spans="1:20">
      <c r="A2265" s="3" t="s">
        <v>1600</v>
      </c>
      <c r="B2265" s="3" t="s">
        <v>1601</v>
      </c>
      <c r="C2265" s="3" t="s">
        <v>1616</v>
      </c>
      <c r="D2265" s="3" t="s">
        <v>1155</v>
      </c>
      <c r="E2265" s="3" t="s">
        <v>1156</v>
      </c>
      <c r="F2265" s="2">
        <v>1</v>
      </c>
      <c r="G2265" s="4">
        <v>1.0714772159753014</v>
      </c>
      <c r="H2265" s="2">
        <v>25</v>
      </c>
      <c r="I2265" s="2">
        <v>5</v>
      </c>
      <c r="J2265" s="2">
        <v>1</v>
      </c>
      <c r="K2265" s="4">
        <v>1</v>
      </c>
      <c r="L2265" s="4">
        <v>0.92052819784317041</v>
      </c>
      <c r="M2265" s="4">
        <v>0.92052819784317041</v>
      </c>
      <c r="N2265" s="10">
        <v>0.92100000000000004</v>
      </c>
      <c r="O2265" s="4">
        <v>7.8953977737230252</v>
      </c>
      <c r="P2265" s="4">
        <v>7.91</v>
      </c>
      <c r="Q2265" s="3" t="s">
        <v>1597</v>
      </c>
      <c r="R2265" s="3" t="s">
        <v>1602</v>
      </c>
      <c r="S2265" s="3" t="s">
        <v>1603</v>
      </c>
      <c r="T2265" s="3"/>
    </row>
    <row r="2266" spans="1:20">
      <c r="A2266" s="3" t="s">
        <v>1600</v>
      </c>
      <c r="B2266" s="3" t="s">
        <v>1606</v>
      </c>
      <c r="C2266" s="3" t="s">
        <v>1616</v>
      </c>
      <c r="D2266" s="3" t="s">
        <v>1155</v>
      </c>
      <c r="E2266" s="3" t="s">
        <v>1156</v>
      </c>
      <c r="F2266" s="2">
        <v>1</v>
      </c>
      <c r="G2266" s="4">
        <v>1.0714772159753014</v>
      </c>
      <c r="H2266" s="2">
        <v>25</v>
      </c>
      <c r="I2266" s="2">
        <v>5</v>
      </c>
      <c r="J2266" s="2">
        <v>1</v>
      </c>
      <c r="K2266" s="4">
        <v>1</v>
      </c>
      <c r="L2266" s="4">
        <v>0.9135705741793555</v>
      </c>
      <c r="M2266" s="4">
        <v>0.9135705741793555</v>
      </c>
      <c r="N2266" s="10">
        <v>0.91400000000000003</v>
      </c>
      <c r="O2266" s="4">
        <v>7.6783510474216072</v>
      </c>
      <c r="P2266" s="4">
        <v>7.69</v>
      </c>
      <c r="Q2266" s="3" t="s">
        <v>1597</v>
      </c>
      <c r="R2266" s="3" t="s">
        <v>1607</v>
      </c>
      <c r="S2266" s="3" t="s">
        <v>1608</v>
      </c>
      <c r="T2266" s="3"/>
    </row>
    <row r="2267" spans="1:20">
      <c r="A2267" s="3" t="s">
        <v>1600</v>
      </c>
      <c r="B2267" s="3" t="s">
        <v>1609</v>
      </c>
      <c r="C2267" s="3" t="s">
        <v>1596</v>
      </c>
      <c r="D2267" s="3" t="s">
        <v>1155</v>
      </c>
      <c r="E2267" s="3" t="s">
        <v>1156</v>
      </c>
      <c r="F2267" s="2">
        <v>1</v>
      </c>
      <c r="G2267" s="4">
        <v>1.0714772159753014</v>
      </c>
      <c r="H2267" s="2">
        <v>25</v>
      </c>
      <c r="I2267" s="2">
        <v>5</v>
      </c>
      <c r="J2267" s="2">
        <v>1</v>
      </c>
      <c r="K2267" s="4">
        <v>1</v>
      </c>
      <c r="L2267" s="4">
        <v>0.84367906764185518</v>
      </c>
      <c r="M2267" s="4">
        <v>0.84367906764185518</v>
      </c>
      <c r="N2267" s="10">
        <v>0.84399999999999997</v>
      </c>
      <c r="O2267" s="4">
        <v>6.1171197044685117</v>
      </c>
      <c r="P2267" s="4">
        <v>6.12</v>
      </c>
      <c r="Q2267" s="3" t="s">
        <v>1597</v>
      </c>
      <c r="R2267" s="3" t="s">
        <v>1610</v>
      </c>
      <c r="S2267" s="3" t="s">
        <v>1611</v>
      </c>
      <c r="T2267" s="3"/>
    </row>
    <row r="2268" spans="1:20">
      <c r="A2268" s="3" t="s">
        <v>1600</v>
      </c>
      <c r="B2268" s="3" t="s">
        <v>1609</v>
      </c>
      <c r="C2268" s="3" t="s">
        <v>1596</v>
      </c>
      <c r="D2268" s="3" t="s">
        <v>1155</v>
      </c>
      <c r="E2268" s="3" t="s">
        <v>1156</v>
      </c>
      <c r="F2268" s="2">
        <v>1</v>
      </c>
      <c r="G2268" s="4">
        <v>1.0714772159753014</v>
      </c>
      <c r="H2268" s="2">
        <v>25</v>
      </c>
      <c r="I2268" s="2">
        <v>5</v>
      </c>
      <c r="J2268" s="2">
        <v>16</v>
      </c>
      <c r="K2268" s="4">
        <v>1</v>
      </c>
      <c r="L2268" s="4">
        <v>0.84154263517083361</v>
      </c>
      <c r="M2268" s="4">
        <v>0.84154263517083361</v>
      </c>
      <c r="N2268" s="10">
        <v>0.84199999999999997</v>
      </c>
      <c r="O2268" s="4">
        <v>6.0805949038158484</v>
      </c>
      <c r="P2268" s="4">
        <v>6.09</v>
      </c>
      <c r="Q2268" s="3" t="s">
        <v>1597</v>
      </c>
      <c r="R2268" s="3" t="s">
        <v>1610</v>
      </c>
      <c r="S2268" s="3" t="s">
        <v>1611</v>
      </c>
      <c r="T2268" s="3"/>
    </row>
    <row r="2269" spans="1:20">
      <c r="A2269" s="3" t="s">
        <v>1600</v>
      </c>
      <c r="B2269" s="3" t="s">
        <v>1609</v>
      </c>
      <c r="C2269" s="3" t="s">
        <v>1616</v>
      </c>
      <c r="D2269" s="3" t="s">
        <v>1155</v>
      </c>
      <c r="E2269" s="3" t="s">
        <v>1156</v>
      </c>
      <c r="F2269" s="2">
        <v>1</v>
      </c>
      <c r="G2269" s="4">
        <v>1.0714772159753014</v>
      </c>
      <c r="H2269" s="2">
        <v>25</v>
      </c>
      <c r="I2269" s="2">
        <v>5</v>
      </c>
      <c r="J2269" s="2">
        <v>16</v>
      </c>
      <c r="K2269" s="4">
        <v>1</v>
      </c>
      <c r="L2269" s="4">
        <v>0.80322726440901249</v>
      </c>
      <c r="M2269" s="4">
        <v>0.80322726440901249</v>
      </c>
      <c r="N2269" s="10">
        <v>0.80300000000000005</v>
      </c>
      <c r="O2269" s="4">
        <v>5.4916181052987545</v>
      </c>
      <c r="P2269" s="4">
        <v>5.49</v>
      </c>
      <c r="Q2269" s="3" t="s">
        <v>1597</v>
      </c>
      <c r="R2269" s="3" t="s">
        <v>1610</v>
      </c>
      <c r="S2269" s="3" t="s">
        <v>1611</v>
      </c>
      <c r="T2269" s="3"/>
    </row>
    <row r="2270" spans="1:20">
      <c r="A2270" s="3" t="s">
        <v>1600</v>
      </c>
      <c r="B2270" s="3" t="s">
        <v>1609</v>
      </c>
      <c r="C2270" s="3" t="s">
        <v>1616</v>
      </c>
      <c r="D2270" s="3" t="s">
        <v>1155</v>
      </c>
      <c r="E2270" s="3" t="s">
        <v>1156</v>
      </c>
      <c r="F2270" s="2">
        <v>1</v>
      </c>
      <c r="G2270" s="4">
        <v>1.0714772159753014</v>
      </c>
      <c r="H2270" s="2">
        <v>25</v>
      </c>
      <c r="I2270" s="2">
        <v>5</v>
      </c>
      <c r="J2270" s="2">
        <v>1</v>
      </c>
      <c r="K2270" s="4">
        <v>0.97965018265389048</v>
      </c>
      <c r="L2270" s="4">
        <v>0.80217210657453797</v>
      </c>
      <c r="M2270" s="4">
        <v>0.80217210657453797</v>
      </c>
      <c r="N2270" s="10">
        <v>0.80200000000000005</v>
      </c>
      <c r="O2270" s="4">
        <v>5.4769096132995694</v>
      </c>
      <c r="P2270" s="4">
        <v>5.47</v>
      </c>
      <c r="Q2270" s="3" t="s">
        <v>1597</v>
      </c>
      <c r="R2270" s="3" t="s">
        <v>1610</v>
      </c>
      <c r="S2270" s="3" t="s">
        <v>1611</v>
      </c>
      <c r="T2270" s="3"/>
    </row>
    <row r="2271" spans="1:20">
      <c r="A2271" s="3" t="s">
        <v>1594</v>
      </c>
      <c r="B2271" s="3" t="s">
        <v>1612</v>
      </c>
      <c r="C2271" s="3" t="s">
        <v>1596</v>
      </c>
      <c r="D2271" s="3" t="s">
        <v>1155</v>
      </c>
      <c r="E2271" s="3" t="s">
        <v>1156</v>
      </c>
      <c r="F2271" s="2">
        <v>1</v>
      </c>
      <c r="G2271" s="4">
        <v>1.0714772159753014</v>
      </c>
      <c r="H2271" s="2">
        <v>50</v>
      </c>
      <c r="I2271" s="2">
        <v>5</v>
      </c>
      <c r="J2271" s="2">
        <v>16</v>
      </c>
      <c r="K2271" s="4">
        <v>0.53811241228554185</v>
      </c>
      <c r="L2271" s="4">
        <v>0.52099611415200764</v>
      </c>
      <c r="M2271" s="4">
        <v>0.52099611415200764</v>
      </c>
      <c r="N2271" s="10">
        <v>0.52100000000000002</v>
      </c>
      <c r="O2271" s="4">
        <v>3.1043964781871374</v>
      </c>
      <c r="P2271" s="4">
        <v>3.1</v>
      </c>
      <c r="Q2271" s="3" t="s">
        <v>1597</v>
      </c>
      <c r="R2271" s="3" t="s">
        <v>1613</v>
      </c>
      <c r="S2271" s="3" t="s">
        <v>1614</v>
      </c>
      <c r="T2271" s="3"/>
    </row>
    <row r="2272" spans="1:20">
      <c r="A2272" s="3" t="s">
        <v>1594</v>
      </c>
      <c r="B2272" s="3" t="s">
        <v>1595</v>
      </c>
      <c r="C2272" s="3" t="s">
        <v>1596</v>
      </c>
      <c r="D2272" s="3" t="s">
        <v>1155</v>
      </c>
      <c r="E2272" s="3" t="s">
        <v>1156</v>
      </c>
      <c r="F2272" s="2">
        <v>1</v>
      </c>
      <c r="G2272" s="4">
        <v>1.0714772159753014</v>
      </c>
      <c r="H2272" s="2">
        <v>50</v>
      </c>
      <c r="I2272" s="2">
        <v>5</v>
      </c>
      <c r="J2272" s="2">
        <v>16</v>
      </c>
      <c r="K2272" s="4">
        <v>1</v>
      </c>
      <c r="L2272" s="4">
        <v>0.1934667712278258</v>
      </c>
      <c r="M2272" s="4">
        <v>0.1934667712278258</v>
      </c>
      <c r="N2272" s="10">
        <v>0.193</v>
      </c>
      <c r="O2272" s="4">
        <v>1.0528950698583479</v>
      </c>
      <c r="P2272" s="4">
        <v>1.05</v>
      </c>
      <c r="Q2272" s="3" t="s">
        <v>1597</v>
      </c>
      <c r="R2272" s="3" t="s">
        <v>1598</v>
      </c>
      <c r="S2272" s="3" t="s">
        <v>1599</v>
      </c>
      <c r="T2272" s="3"/>
    </row>
    <row r="2273" spans="1:20">
      <c r="A2273" s="3" t="s">
        <v>1594</v>
      </c>
      <c r="B2273" s="3" t="s">
        <v>1595</v>
      </c>
      <c r="C2273" s="3" t="s">
        <v>1596</v>
      </c>
      <c r="D2273" s="3" t="s">
        <v>1155</v>
      </c>
      <c r="E2273" s="3" t="s">
        <v>1156</v>
      </c>
      <c r="F2273" s="2">
        <v>1</v>
      </c>
      <c r="G2273" s="4">
        <v>1.0714772159753014</v>
      </c>
      <c r="H2273" s="2">
        <v>25</v>
      </c>
      <c r="I2273" s="2">
        <v>5</v>
      </c>
      <c r="J2273" s="2">
        <v>16</v>
      </c>
      <c r="K2273" s="4">
        <v>0.47795986551211045</v>
      </c>
      <c r="L2273" s="4">
        <v>0.12448846287136127</v>
      </c>
      <c r="M2273" s="4">
        <v>0.12448846287136127</v>
      </c>
      <c r="N2273" s="10">
        <v>0.124</v>
      </c>
      <c r="O2273" s="4">
        <v>0.62042421157334382</v>
      </c>
      <c r="P2273" s="4">
        <v>0.62</v>
      </c>
      <c r="Q2273" s="3" t="s">
        <v>1597</v>
      </c>
      <c r="R2273" s="3" t="s">
        <v>1598</v>
      </c>
      <c r="S2273" s="3" t="s">
        <v>1599</v>
      </c>
      <c r="T2273" s="3"/>
    </row>
    <row r="2274" spans="1:20">
      <c r="A2274" s="3" t="s">
        <v>1594</v>
      </c>
      <c r="B2274" s="3" t="s">
        <v>1612</v>
      </c>
      <c r="C2274" s="3" t="s">
        <v>1596</v>
      </c>
      <c r="D2274" s="3" t="s">
        <v>263</v>
      </c>
      <c r="E2274" s="3" t="s">
        <v>264</v>
      </c>
      <c r="F2274" s="2">
        <v>1</v>
      </c>
      <c r="G2274" s="4">
        <v>1.0714816150728819</v>
      </c>
      <c r="H2274" s="2">
        <v>50</v>
      </c>
      <c r="I2274" s="2">
        <v>5</v>
      </c>
      <c r="J2274" s="2">
        <v>16</v>
      </c>
      <c r="K2274" s="4">
        <v>1</v>
      </c>
      <c r="L2274" s="14">
        <v>0.82965891186394713</v>
      </c>
      <c r="M2274" s="4">
        <v>0.82965891186394713</v>
      </c>
      <c r="N2274" s="10">
        <v>0.83</v>
      </c>
      <c r="O2274" s="4">
        <v>6.378756379608344</v>
      </c>
      <c r="P2274" s="4">
        <v>6.38</v>
      </c>
      <c r="Q2274" s="3" t="s">
        <v>1597</v>
      </c>
      <c r="R2274" s="3" t="s">
        <v>1613</v>
      </c>
      <c r="S2274" s="3" t="s">
        <v>1614</v>
      </c>
      <c r="T2274" s="3"/>
    </row>
    <row r="2275" spans="1:20">
      <c r="A2275" s="3" t="s">
        <v>1600</v>
      </c>
      <c r="B2275" s="3" t="s">
        <v>1606</v>
      </c>
      <c r="C2275" s="3" t="s">
        <v>1616</v>
      </c>
      <c r="D2275" s="3" t="s">
        <v>263</v>
      </c>
      <c r="E2275" s="3" t="s">
        <v>264</v>
      </c>
      <c r="F2275" s="2">
        <v>1</v>
      </c>
      <c r="G2275" s="4">
        <v>1.0714816150728819</v>
      </c>
      <c r="H2275" s="2">
        <v>25</v>
      </c>
      <c r="I2275" s="2">
        <v>5</v>
      </c>
      <c r="J2275" s="2">
        <v>16</v>
      </c>
      <c r="K2275" s="11">
        <v>1</v>
      </c>
      <c r="L2275" s="11">
        <v>0.42436234177011162</v>
      </c>
      <c r="M2275" s="4">
        <v>0.42436234177011162</v>
      </c>
      <c r="N2275" s="10">
        <v>0.42399999999999999</v>
      </c>
      <c r="O2275" s="4">
        <v>2.2459479328711276</v>
      </c>
      <c r="P2275" s="4">
        <v>2.2400000000000002</v>
      </c>
      <c r="Q2275" s="3" t="s">
        <v>1597</v>
      </c>
      <c r="R2275" s="3" t="s">
        <v>1607</v>
      </c>
      <c r="S2275" s="3" t="s">
        <v>1608</v>
      </c>
      <c r="T2275" s="3"/>
    </row>
    <row r="2276" spans="1:20">
      <c r="A2276" s="3" t="s">
        <v>1600</v>
      </c>
      <c r="B2276" s="3" t="s">
        <v>1606</v>
      </c>
      <c r="C2276" s="3" t="s">
        <v>1616</v>
      </c>
      <c r="D2276" s="3" t="s">
        <v>263</v>
      </c>
      <c r="E2276" s="3" t="s">
        <v>264</v>
      </c>
      <c r="F2276" s="2">
        <v>1</v>
      </c>
      <c r="G2276" s="4">
        <v>1.0714816150728819</v>
      </c>
      <c r="H2276" s="2">
        <v>25</v>
      </c>
      <c r="I2276" s="2">
        <v>5</v>
      </c>
      <c r="J2276" s="2">
        <v>1</v>
      </c>
      <c r="K2276" s="4">
        <v>1</v>
      </c>
      <c r="L2276" s="4">
        <v>0.41356776360871089</v>
      </c>
      <c r="M2276" s="4">
        <v>0.41356776360871089</v>
      </c>
      <c r="N2276" s="10">
        <v>0.41399999999999998</v>
      </c>
      <c r="O2276" s="4">
        <v>2.1810333696101512</v>
      </c>
      <c r="P2276" s="4">
        <v>2.1800000000000002</v>
      </c>
      <c r="Q2276" s="3" t="s">
        <v>1597</v>
      </c>
      <c r="R2276" s="3" t="s">
        <v>1607</v>
      </c>
      <c r="S2276" s="3" t="s">
        <v>1608</v>
      </c>
      <c r="T2276" s="3"/>
    </row>
    <row r="2277" spans="1:20">
      <c r="A2277" s="3" t="s">
        <v>1600</v>
      </c>
      <c r="B2277" s="3" t="s">
        <v>1609</v>
      </c>
      <c r="C2277" s="3" t="s">
        <v>1616</v>
      </c>
      <c r="D2277" s="3" t="s">
        <v>263</v>
      </c>
      <c r="E2277" s="3" t="s">
        <v>264</v>
      </c>
      <c r="F2277" s="2">
        <v>1</v>
      </c>
      <c r="G2277" s="4">
        <v>1.0714816150728819</v>
      </c>
      <c r="H2277" s="2">
        <v>25</v>
      </c>
      <c r="I2277" s="2">
        <v>5</v>
      </c>
      <c r="J2277" s="2">
        <v>1</v>
      </c>
      <c r="K2277" s="4">
        <v>0.78511118282245895</v>
      </c>
      <c r="L2277" s="4">
        <v>0.28944449195660443</v>
      </c>
      <c r="M2277" s="4">
        <v>0.28944449195660443</v>
      </c>
      <c r="N2277" s="10">
        <v>0.28899999999999998</v>
      </c>
      <c r="O2277" s="4">
        <v>1.477265992000721</v>
      </c>
      <c r="P2277" s="4">
        <v>1.47</v>
      </c>
      <c r="Q2277" s="3" t="s">
        <v>1597</v>
      </c>
      <c r="R2277" s="3" t="s">
        <v>1610</v>
      </c>
      <c r="S2277" s="3" t="s">
        <v>1611</v>
      </c>
      <c r="T2277" s="3"/>
    </row>
    <row r="2278" spans="1:20">
      <c r="A2278" s="3" t="s">
        <v>1600</v>
      </c>
      <c r="B2278" s="3" t="s">
        <v>1609</v>
      </c>
      <c r="C2278" s="3" t="s">
        <v>1616</v>
      </c>
      <c r="D2278" s="3" t="s">
        <v>263</v>
      </c>
      <c r="E2278" s="3" t="s">
        <v>264</v>
      </c>
      <c r="F2278" s="2">
        <v>1</v>
      </c>
      <c r="G2278" s="4">
        <v>1.0714816150728819</v>
      </c>
      <c r="H2278" s="2">
        <v>25</v>
      </c>
      <c r="I2278" s="2">
        <v>5</v>
      </c>
      <c r="J2278" s="2">
        <v>16</v>
      </c>
      <c r="K2278" s="11">
        <v>1</v>
      </c>
      <c r="L2278" s="11">
        <v>0.24885072350782086</v>
      </c>
      <c r="M2278" s="4">
        <v>0.24885072350782086</v>
      </c>
      <c r="N2278" s="10">
        <v>0.249</v>
      </c>
      <c r="O2278" s="4">
        <v>1.2602444143874041</v>
      </c>
      <c r="P2278" s="4">
        <v>1.26</v>
      </c>
      <c r="Q2278" s="3" t="s">
        <v>1597</v>
      </c>
      <c r="R2278" s="3" t="s">
        <v>1610</v>
      </c>
      <c r="S2278" s="3" t="s">
        <v>1611</v>
      </c>
      <c r="T2278" s="3"/>
    </row>
    <row r="2279" spans="1:20">
      <c r="A2279" s="3" t="s">
        <v>1600</v>
      </c>
      <c r="B2279" s="3" t="s">
        <v>1606</v>
      </c>
      <c r="C2279" s="3" t="s">
        <v>1596</v>
      </c>
      <c r="D2279" s="3" t="s">
        <v>263</v>
      </c>
      <c r="E2279" s="3" t="s">
        <v>264</v>
      </c>
      <c r="F2279" s="2">
        <v>1</v>
      </c>
      <c r="G2279" s="4">
        <v>1.0714816150728819</v>
      </c>
      <c r="H2279" s="2">
        <v>25</v>
      </c>
      <c r="I2279" s="2">
        <v>5</v>
      </c>
      <c r="J2279" s="2">
        <v>16</v>
      </c>
      <c r="K2279" s="11">
        <v>1</v>
      </c>
      <c r="L2279" s="11">
        <v>0.12041672472137191</v>
      </c>
      <c r="M2279" s="4">
        <v>0.12041672472137191</v>
      </c>
      <c r="N2279" s="10">
        <v>0.12</v>
      </c>
      <c r="O2279" s="4">
        <v>0.59992945144894161</v>
      </c>
      <c r="P2279" s="4">
        <v>0.6</v>
      </c>
      <c r="Q2279" s="3" t="s">
        <v>1597</v>
      </c>
      <c r="R2279" s="3" t="s">
        <v>1607</v>
      </c>
      <c r="S2279" s="3" t="s">
        <v>1608</v>
      </c>
      <c r="T2279" s="3"/>
    </row>
    <row r="2280" spans="1:20">
      <c r="A2280" s="3" t="s">
        <v>1600</v>
      </c>
      <c r="B2280" s="3" t="s">
        <v>1606</v>
      </c>
      <c r="C2280" s="3" t="s">
        <v>1596</v>
      </c>
      <c r="D2280" s="3" t="s">
        <v>263</v>
      </c>
      <c r="E2280" s="3" t="s">
        <v>264</v>
      </c>
      <c r="F2280" s="2">
        <v>1</v>
      </c>
      <c r="G2280" s="4">
        <v>1.0714816150728819</v>
      </c>
      <c r="H2280" s="2">
        <v>25</v>
      </c>
      <c r="I2280" s="2">
        <v>5</v>
      </c>
      <c r="J2280" s="2">
        <v>1</v>
      </c>
      <c r="K2280" s="11">
        <v>0.36480991220798653</v>
      </c>
      <c r="L2280" s="11">
        <v>1.1887079396468032E-2</v>
      </c>
      <c r="M2280" s="4">
        <v>1.1887079396468032E-2</v>
      </c>
      <c r="N2280" s="10">
        <v>1.2E-2</v>
      </c>
      <c r="O2280" s="4">
        <v>5.8938159179184352E-2</v>
      </c>
      <c r="P2280" s="4">
        <v>0.06</v>
      </c>
      <c r="Q2280" s="3" t="s">
        <v>1597</v>
      </c>
      <c r="R2280" s="3" t="s">
        <v>1607</v>
      </c>
      <c r="S2280" s="3" t="s">
        <v>1608</v>
      </c>
      <c r="T2280" s="3"/>
    </row>
    <row r="2281" spans="1:20">
      <c r="A2281" s="3" t="s">
        <v>1600</v>
      </c>
      <c r="B2281" s="3" t="s">
        <v>1601</v>
      </c>
      <c r="C2281" s="3" t="s">
        <v>1616</v>
      </c>
      <c r="D2281" s="3" t="s">
        <v>263</v>
      </c>
      <c r="E2281" s="3" t="s">
        <v>264</v>
      </c>
      <c r="F2281" s="2">
        <v>1</v>
      </c>
      <c r="G2281" s="4">
        <v>1.0714816150728819</v>
      </c>
      <c r="H2281" s="2">
        <v>25</v>
      </c>
      <c r="I2281" s="2">
        <v>5</v>
      </c>
      <c r="J2281" s="2">
        <v>1</v>
      </c>
      <c r="K2281" s="4">
        <v>1</v>
      </c>
      <c r="L2281" s="4">
        <v>-1.1760923300519911E-2</v>
      </c>
      <c r="M2281" s="4">
        <v>1.1760923300519911E-2</v>
      </c>
      <c r="N2281" s="10">
        <v>1.2E-2</v>
      </c>
      <c r="O2281" s="4">
        <v>5.8312597826617567E-2</v>
      </c>
      <c r="P2281" s="4">
        <v>-0.06</v>
      </c>
      <c r="Q2281" s="3" t="s">
        <v>1617</v>
      </c>
      <c r="R2281" s="3" t="s">
        <v>1618</v>
      </c>
      <c r="S2281" s="3" t="s">
        <v>1619</v>
      </c>
      <c r="T2281" s="3"/>
    </row>
    <row r="2282" spans="1:20">
      <c r="A2282" s="3" t="s">
        <v>1600</v>
      </c>
      <c r="B2282" s="3" t="s">
        <v>1601</v>
      </c>
      <c r="C2282" s="3" t="s">
        <v>1616</v>
      </c>
      <c r="D2282" s="3" t="s">
        <v>263</v>
      </c>
      <c r="E2282" s="3" t="s">
        <v>264</v>
      </c>
      <c r="F2282" s="2">
        <v>1</v>
      </c>
      <c r="G2282" s="4">
        <v>1.0714816150728819</v>
      </c>
      <c r="H2282" s="2">
        <v>25</v>
      </c>
      <c r="I2282" s="2">
        <v>5</v>
      </c>
      <c r="J2282" s="2">
        <v>16</v>
      </c>
      <c r="K2282" s="4">
        <v>1</v>
      </c>
      <c r="L2282" s="4">
        <v>-2.7361191044046884E-2</v>
      </c>
      <c r="M2282" s="4">
        <v>2.7361191044046884E-2</v>
      </c>
      <c r="N2282" s="10">
        <v>2.7E-2</v>
      </c>
      <c r="O2282" s="4">
        <v>0.13568891089810381</v>
      </c>
      <c r="P2282" s="4">
        <v>-0.13</v>
      </c>
      <c r="Q2282" s="3" t="s">
        <v>1617</v>
      </c>
      <c r="R2282" s="3" t="s">
        <v>1618</v>
      </c>
      <c r="S2282" s="3" t="s">
        <v>1619</v>
      </c>
      <c r="T2282" s="3"/>
    </row>
    <row r="2283" spans="1:20">
      <c r="A2283" s="3" t="s">
        <v>1604</v>
      </c>
      <c r="B2283" s="3" t="s">
        <v>1601</v>
      </c>
      <c r="C2283" s="3" t="s">
        <v>1616</v>
      </c>
      <c r="D2283" s="3" t="s">
        <v>263</v>
      </c>
      <c r="E2283" s="3" t="s">
        <v>264</v>
      </c>
      <c r="F2283" s="2">
        <v>1</v>
      </c>
      <c r="G2283" s="4">
        <v>1.0714816150728819</v>
      </c>
      <c r="H2283" s="2">
        <v>25</v>
      </c>
      <c r="I2283" s="2">
        <v>30</v>
      </c>
      <c r="J2283" s="2">
        <v>16</v>
      </c>
      <c r="K2283" s="4">
        <v>1</v>
      </c>
      <c r="L2283" s="4">
        <v>-6.3552970440652237E-2</v>
      </c>
      <c r="M2283" s="4">
        <v>6.3552970440652237E-2</v>
      </c>
      <c r="N2283" s="10">
        <v>6.4000000000000001E-2</v>
      </c>
      <c r="O2283" s="4">
        <v>0.3155168295190236</v>
      </c>
      <c r="P2283" s="4">
        <v>-0.32</v>
      </c>
      <c r="Q2283" s="3" t="s">
        <v>1617</v>
      </c>
      <c r="R2283" s="3" t="s">
        <v>1618</v>
      </c>
      <c r="S2283" s="3" t="s">
        <v>1619</v>
      </c>
      <c r="T2283" s="3"/>
    </row>
    <row r="2284" spans="1:20">
      <c r="A2284" s="3" t="s">
        <v>1600</v>
      </c>
      <c r="B2284" s="3" t="s">
        <v>1609</v>
      </c>
      <c r="C2284" s="3" t="s">
        <v>1596</v>
      </c>
      <c r="D2284" s="3" t="s">
        <v>263</v>
      </c>
      <c r="E2284" s="3" t="s">
        <v>264</v>
      </c>
      <c r="F2284" s="2">
        <v>1</v>
      </c>
      <c r="G2284" s="4">
        <v>1.0714816150728819</v>
      </c>
      <c r="H2284" s="2">
        <v>25</v>
      </c>
      <c r="I2284" s="2">
        <v>5</v>
      </c>
      <c r="J2284" s="2">
        <v>1</v>
      </c>
      <c r="K2284" s="11">
        <v>1</v>
      </c>
      <c r="L2284" s="11">
        <v>-7.5345861090609992E-2</v>
      </c>
      <c r="M2284" s="4">
        <v>7.5345861090609992E-2</v>
      </c>
      <c r="N2284" s="10">
        <v>7.4999999999999997E-2</v>
      </c>
      <c r="O2284" s="4">
        <v>0.37426930102941292</v>
      </c>
      <c r="P2284" s="4">
        <v>-0.37</v>
      </c>
      <c r="Q2284" s="3" t="s">
        <v>1617</v>
      </c>
      <c r="R2284" s="3" t="s">
        <v>1623</v>
      </c>
      <c r="S2284" s="3" t="s">
        <v>1624</v>
      </c>
      <c r="T2284" s="3"/>
    </row>
    <row r="2285" spans="1:20">
      <c r="A2285" s="3" t="s">
        <v>1604</v>
      </c>
      <c r="B2285" s="3" t="s">
        <v>1601</v>
      </c>
      <c r="C2285" s="3" t="s">
        <v>1596</v>
      </c>
      <c r="D2285" s="3" t="s">
        <v>263</v>
      </c>
      <c r="E2285" s="3" t="s">
        <v>264</v>
      </c>
      <c r="F2285" s="2">
        <v>1</v>
      </c>
      <c r="G2285" s="4">
        <v>1.0714816150728819</v>
      </c>
      <c r="H2285" s="2">
        <v>25</v>
      </c>
      <c r="I2285" s="2">
        <v>30</v>
      </c>
      <c r="J2285" s="2">
        <v>16</v>
      </c>
      <c r="K2285" s="4">
        <v>1</v>
      </c>
      <c r="L2285" s="4">
        <v>-0.13880605610861893</v>
      </c>
      <c r="M2285" s="4">
        <v>0.13880605610861893</v>
      </c>
      <c r="N2285" s="10">
        <v>0.13900000000000001</v>
      </c>
      <c r="O2285" s="4">
        <v>0.69266322302753036</v>
      </c>
      <c r="P2285" s="4">
        <v>-0.69</v>
      </c>
      <c r="Q2285" s="3" t="s">
        <v>1617</v>
      </c>
      <c r="R2285" s="3" t="s">
        <v>1618</v>
      </c>
      <c r="S2285" s="3" t="s">
        <v>1619</v>
      </c>
      <c r="T2285" s="3"/>
    </row>
    <row r="2286" spans="1:20">
      <c r="A2286" s="3" t="s">
        <v>1600</v>
      </c>
      <c r="B2286" s="3" t="s">
        <v>1601</v>
      </c>
      <c r="C2286" s="3" t="s">
        <v>1596</v>
      </c>
      <c r="D2286" s="3" t="s">
        <v>263</v>
      </c>
      <c r="E2286" s="3" t="s">
        <v>264</v>
      </c>
      <c r="F2286" s="2">
        <v>1</v>
      </c>
      <c r="G2286" s="4">
        <v>1.0714816150728819</v>
      </c>
      <c r="H2286" s="2">
        <v>25</v>
      </c>
      <c r="I2286" s="2">
        <v>5</v>
      </c>
      <c r="J2286" s="2">
        <v>1</v>
      </c>
      <c r="K2286" s="4">
        <v>1</v>
      </c>
      <c r="L2286" s="4">
        <v>-0.14277914010065004</v>
      </c>
      <c r="M2286" s="4">
        <v>0.14277914010065004</v>
      </c>
      <c r="N2286" s="10">
        <v>0.14299999999999999</v>
      </c>
      <c r="O2286" s="4">
        <v>0.71275991698291075</v>
      </c>
      <c r="P2286" s="4">
        <v>-0.71</v>
      </c>
      <c r="Q2286" s="3" t="s">
        <v>1617</v>
      </c>
      <c r="R2286" s="3" t="s">
        <v>1618</v>
      </c>
      <c r="S2286" s="3" t="s">
        <v>1619</v>
      </c>
      <c r="T2286" s="3"/>
    </row>
    <row r="2287" spans="1:20">
      <c r="A2287" s="3" t="s">
        <v>1600</v>
      </c>
      <c r="B2287" s="3" t="s">
        <v>1601</v>
      </c>
      <c r="C2287" s="3" t="s">
        <v>1596</v>
      </c>
      <c r="D2287" s="3" t="s">
        <v>263</v>
      </c>
      <c r="E2287" s="3" t="s">
        <v>264</v>
      </c>
      <c r="F2287" s="2">
        <v>1</v>
      </c>
      <c r="G2287" s="4">
        <v>1.0714816150728819</v>
      </c>
      <c r="H2287" s="2">
        <v>25</v>
      </c>
      <c r="I2287" s="2">
        <v>5</v>
      </c>
      <c r="J2287" s="2">
        <v>16</v>
      </c>
      <c r="K2287" s="4">
        <v>1</v>
      </c>
      <c r="L2287" s="4">
        <v>-0.14425405452077456</v>
      </c>
      <c r="M2287" s="4">
        <v>0.14425405452077456</v>
      </c>
      <c r="N2287" s="10">
        <v>0.14399999999999999</v>
      </c>
      <c r="O2287" s="4">
        <v>0.72022623410298303</v>
      </c>
      <c r="P2287" s="4">
        <v>-0.72</v>
      </c>
      <c r="Q2287" s="3" t="s">
        <v>1617</v>
      </c>
      <c r="R2287" s="3" t="s">
        <v>1618</v>
      </c>
      <c r="S2287" s="3" t="s">
        <v>1619</v>
      </c>
      <c r="T2287" s="3"/>
    </row>
    <row r="2288" spans="1:20">
      <c r="A2288" s="12" t="s">
        <v>1605</v>
      </c>
      <c r="B2288" s="3" t="s">
        <v>1601</v>
      </c>
      <c r="C2288" s="3" t="s">
        <v>1596</v>
      </c>
      <c r="D2288" s="3" t="s">
        <v>263</v>
      </c>
      <c r="E2288" s="3" t="s">
        <v>264</v>
      </c>
      <c r="F2288" s="2">
        <v>1</v>
      </c>
      <c r="G2288" s="4">
        <v>1.0714816150728819</v>
      </c>
      <c r="H2288" s="2">
        <v>25</v>
      </c>
      <c r="I2288" s="2">
        <v>5</v>
      </c>
      <c r="J2288" s="2">
        <v>16</v>
      </c>
      <c r="K2288" s="11">
        <v>1</v>
      </c>
      <c r="L2288" s="11">
        <v>-0.14502991226260614</v>
      </c>
      <c r="M2288" s="4">
        <v>0.14502991226260614</v>
      </c>
      <c r="N2288" s="10">
        <v>0.14499999999999999</v>
      </c>
      <c r="O2288" s="4">
        <v>0.72415508428405895</v>
      </c>
      <c r="P2288" s="4">
        <v>-0.72</v>
      </c>
      <c r="Q2288" s="3" t="s">
        <v>1617</v>
      </c>
      <c r="R2288" s="3" t="s">
        <v>1618</v>
      </c>
      <c r="S2288" s="3" t="s">
        <v>1619</v>
      </c>
      <c r="T2288" s="3"/>
    </row>
    <row r="2289" spans="1:20">
      <c r="A2289" s="3" t="s">
        <v>1600</v>
      </c>
      <c r="B2289" s="3" t="s">
        <v>1609</v>
      </c>
      <c r="C2289" s="3" t="s">
        <v>1596</v>
      </c>
      <c r="D2289" s="3" t="s">
        <v>263</v>
      </c>
      <c r="E2289" s="3" t="s">
        <v>264</v>
      </c>
      <c r="F2289" s="2">
        <v>1</v>
      </c>
      <c r="G2289" s="4">
        <v>1.0714816150728819</v>
      </c>
      <c r="H2289" s="2">
        <v>25</v>
      </c>
      <c r="I2289" s="2">
        <v>5</v>
      </c>
      <c r="J2289" s="2">
        <v>16</v>
      </c>
      <c r="K2289" s="4">
        <v>1</v>
      </c>
      <c r="L2289" s="4">
        <v>-0.22026675934376619</v>
      </c>
      <c r="M2289" s="4">
        <v>0.22026675934376619</v>
      </c>
      <c r="N2289" s="10">
        <v>0.22</v>
      </c>
      <c r="O2289" s="4">
        <v>1.1102626828869093</v>
      </c>
      <c r="P2289" s="4">
        <v>-1.1100000000000001</v>
      </c>
      <c r="Q2289" s="3" t="s">
        <v>1617</v>
      </c>
      <c r="R2289" s="3" t="s">
        <v>1623</v>
      </c>
      <c r="S2289" s="3" t="s">
        <v>1624</v>
      </c>
      <c r="T2289" s="3"/>
    </row>
    <row r="2290" spans="1:20">
      <c r="A2290" s="3" t="s">
        <v>1594</v>
      </c>
      <c r="B2290" s="3" t="s">
        <v>1595</v>
      </c>
      <c r="C2290" s="3" t="s">
        <v>1596</v>
      </c>
      <c r="D2290" s="3" t="s">
        <v>263</v>
      </c>
      <c r="E2290" s="3" t="s">
        <v>264</v>
      </c>
      <c r="F2290" s="2">
        <v>1</v>
      </c>
      <c r="G2290" s="4">
        <v>1.0714816150728819</v>
      </c>
      <c r="H2290" s="2">
        <v>50</v>
      </c>
      <c r="I2290" s="2">
        <v>5</v>
      </c>
      <c r="J2290" s="2">
        <v>16</v>
      </c>
      <c r="K2290" s="4">
        <v>1</v>
      </c>
      <c r="L2290" s="14">
        <v>-0.39726668918880959</v>
      </c>
      <c r="M2290" s="4">
        <v>0.39726668918880959</v>
      </c>
      <c r="N2290" s="10">
        <v>0.39700000000000002</v>
      </c>
      <c r="O2290" s="4">
        <v>2.2590829705521602</v>
      </c>
      <c r="P2290" s="4">
        <v>-2.2599999999999998</v>
      </c>
      <c r="Q2290" s="3" t="s">
        <v>1617</v>
      </c>
      <c r="R2290" s="3" t="s">
        <v>1625</v>
      </c>
      <c r="S2290" s="3" t="s">
        <v>1626</v>
      </c>
      <c r="T2290" s="3"/>
    </row>
    <row r="2291" spans="1:20">
      <c r="A2291" s="3" t="s">
        <v>1600</v>
      </c>
      <c r="B2291" s="3" t="s">
        <v>1601</v>
      </c>
      <c r="C2291" s="3" t="s">
        <v>1596</v>
      </c>
      <c r="D2291" s="3" t="s">
        <v>298</v>
      </c>
      <c r="E2291" s="3" t="s">
        <v>299</v>
      </c>
      <c r="F2291" s="2">
        <v>1</v>
      </c>
      <c r="G2291" s="4">
        <v>1.0736196319018405</v>
      </c>
      <c r="H2291" s="2">
        <v>25</v>
      </c>
      <c r="I2291" s="2">
        <v>5</v>
      </c>
      <c r="J2291" s="2">
        <v>16</v>
      </c>
      <c r="K2291" s="4">
        <v>1</v>
      </c>
      <c r="L2291" s="4">
        <v>0.14587165310487973</v>
      </c>
      <c r="M2291" s="4">
        <v>0.14587165310487973</v>
      </c>
      <c r="N2291" s="10">
        <v>0.14599999999999999</v>
      </c>
      <c r="O2291" s="4">
        <v>0.72841858030081053</v>
      </c>
      <c r="P2291" s="4">
        <v>0.73</v>
      </c>
      <c r="Q2291" s="3" t="s">
        <v>1597</v>
      </c>
      <c r="R2291" s="3" t="s">
        <v>1602</v>
      </c>
      <c r="S2291" s="3" t="s">
        <v>1603</v>
      </c>
      <c r="T2291" s="3"/>
    </row>
    <row r="2292" spans="1:20">
      <c r="A2292" s="3" t="s">
        <v>1604</v>
      </c>
      <c r="B2292" s="3" t="s">
        <v>1601</v>
      </c>
      <c r="C2292" s="3" t="s">
        <v>1596</v>
      </c>
      <c r="D2292" s="3" t="s">
        <v>298</v>
      </c>
      <c r="E2292" s="3" t="s">
        <v>299</v>
      </c>
      <c r="F2292" s="2">
        <v>1</v>
      </c>
      <c r="G2292" s="4">
        <v>1.0736196319018405</v>
      </c>
      <c r="H2292" s="2">
        <v>25</v>
      </c>
      <c r="I2292" s="2">
        <v>30</v>
      </c>
      <c r="J2292" s="2">
        <v>16</v>
      </c>
      <c r="K2292" s="4">
        <v>1</v>
      </c>
      <c r="L2292" s="4">
        <v>2.8588822011161217E-3</v>
      </c>
      <c r="M2292" s="4">
        <v>2.8588822011161217E-3</v>
      </c>
      <c r="N2292" s="10">
        <v>3.0000000000000001E-3</v>
      </c>
      <c r="O2292" s="4">
        <v>1.4174194601577031E-2</v>
      </c>
      <c r="P2292" s="4">
        <v>0.01</v>
      </c>
      <c r="Q2292" s="3" t="s">
        <v>1597</v>
      </c>
      <c r="R2292" s="3" t="s">
        <v>1602</v>
      </c>
      <c r="S2292" s="3" t="s">
        <v>1603</v>
      </c>
      <c r="T2292" s="3"/>
    </row>
    <row r="2293" spans="1:20">
      <c r="A2293" s="12" t="s">
        <v>1605</v>
      </c>
      <c r="B2293" s="3" t="s">
        <v>1601</v>
      </c>
      <c r="C2293" s="3" t="s">
        <v>1596</v>
      </c>
      <c r="D2293" s="3" t="s">
        <v>298</v>
      </c>
      <c r="E2293" s="3" t="s">
        <v>299</v>
      </c>
      <c r="F2293" s="2">
        <v>1</v>
      </c>
      <c r="G2293" s="4">
        <v>1.0736196319018405</v>
      </c>
      <c r="H2293" s="2">
        <v>25</v>
      </c>
      <c r="I2293" s="2">
        <v>5</v>
      </c>
      <c r="J2293" s="2">
        <v>16</v>
      </c>
      <c r="K2293" s="11">
        <v>1</v>
      </c>
      <c r="L2293" s="11">
        <v>-6.332841356129687E-3</v>
      </c>
      <c r="M2293" s="4">
        <v>6.332841356129687E-3</v>
      </c>
      <c r="N2293" s="10">
        <v>6.0000000000000001E-3</v>
      </c>
      <c r="O2293" s="4">
        <v>3.1398244103761158E-2</v>
      </c>
      <c r="P2293" s="4">
        <v>-0.03</v>
      </c>
      <c r="Q2293" s="3" t="s">
        <v>1617</v>
      </c>
      <c r="R2293" s="3" t="s">
        <v>1618</v>
      </c>
      <c r="S2293" s="3" t="s">
        <v>1619</v>
      </c>
      <c r="T2293" s="3"/>
    </row>
    <row r="2294" spans="1:20">
      <c r="A2294" s="3" t="s">
        <v>1600</v>
      </c>
      <c r="B2294" s="3" t="s">
        <v>1609</v>
      </c>
      <c r="C2294" s="3" t="s">
        <v>1596</v>
      </c>
      <c r="D2294" s="3" t="s">
        <v>298</v>
      </c>
      <c r="E2294" s="3" t="s">
        <v>299</v>
      </c>
      <c r="F2294" s="2">
        <v>1</v>
      </c>
      <c r="G2294" s="4">
        <v>1.0736196319018405</v>
      </c>
      <c r="H2294" s="2">
        <v>25</v>
      </c>
      <c r="I2294" s="2">
        <v>5</v>
      </c>
      <c r="J2294" s="2">
        <v>16</v>
      </c>
      <c r="K2294" s="4">
        <v>1</v>
      </c>
      <c r="L2294" s="4">
        <v>-4.8554607531850043E-2</v>
      </c>
      <c r="M2294" s="4">
        <v>4.8554607531850043E-2</v>
      </c>
      <c r="N2294" s="10">
        <v>4.9000000000000002E-2</v>
      </c>
      <c r="O2294" s="4">
        <v>0.24092009986894308</v>
      </c>
      <c r="P2294" s="4">
        <v>-0.24</v>
      </c>
      <c r="Q2294" s="3" t="s">
        <v>1617</v>
      </c>
      <c r="R2294" s="3" t="s">
        <v>1623</v>
      </c>
      <c r="S2294" s="3" t="s">
        <v>1624</v>
      </c>
      <c r="T2294" s="3"/>
    </row>
    <row r="2295" spans="1:20">
      <c r="A2295" s="3" t="s">
        <v>1600</v>
      </c>
      <c r="B2295" s="3" t="s">
        <v>1606</v>
      </c>
      <c r="C2295" s="3" t="s">
        <v>1596</v>
      </c>
      <c r="D2295" s="3" t="s">
        <v>298</v>
      </c>
      <c r="E2295" s="3" t="s">
        <v>299</v>
      </c>
      <c r="F2295" s="2">
        <v>1</v>
      </c>
      <c r="G2295" s="4">
        <v>1.0736196319018405</v>
      </c>
      <c r="H2295" s="2">
        <v>25</v>
      </c>
      <c r="I2295" s="2">
        <v>5</v>
      </c>
      <c r="J2295" s="2">
        <v>16</v>
      </c>
      <c r="K2295" s="11">
        <v>0.98552746972649075</v>
      </c>
      <c r="L2295" s="11">
        <v>-7.2152211514702219E-2</v>
      </c>
      <c r="M2295" s="4">
        <v>7.2152211514702219E-2</v>
      </c>
      <c r="N2295" s="10">
        <v>7.1999999999999995E-2</v>
      </c>
      <c r="O2295" s="4">
        <v>0.35834878546402871</v>
      </c>
      <c r="P2295" s="4">
        <v>-0.36</v>
      </c>
      <c r="Q2295" s="3" t="s">
        <v>1617</v>
      </c>
      <c r="R2295" s="3" t="s">
        <v>1621</v>
      </c>
      <c r="S2295" s="3" t="s">
        <v>1622</v>
      </c>
      <c r="T2295" s="3"/>
    </row>
    <row r="2296" spans="1:20">
      <c r="A2296" s="3" t="s">
        <v>1600</v>
      </c>
      <c r="B2296" s="3" t="s">
        <v>1609</v>
      </c>
      <c r="C2296" s="3" t="s">
        <v>1616</v>
      </c>
      <c r="D2296" s="3" t="s">
        <v>298</v>
      </c>
      <c r="E2296" s="3" t="s">
        <v>299</v>
      </c>
      <c r="F2296" s="2">
        <v>1</v>
      </c>
      <c r="G2296" s="4">
        <v>1.0736196319018405</v>
      </c>
      <c r="H2296" s="2">
        <v>25</v>
      </c>
      <c r="I2296" s="2">
        <v>5</v>
      </c>
      <c r="J2296" s="2">
        <v>1</v>
      </c>
      <c r="K2296" s="4">
        <v>0.15029296624747079</v>
      </c>
      <c r="L2296" s="4">
        <v>-9.4852561046194883E-2</v>
      </c>
      <c r="M2296" s="4">
        <v>9.4852561046194883E-2</v>
      </c>
      <c r="N2296" s="10">
        <v>9.5000000000000001E-2</v>
      </c>
      <c r="O2296" s="4">
        <v>0.47169097284598444</v>
      </c>
      <c r="P2296" s="4">
        <v>-0.47</v>
      </c>
      <c r="Q2296" s="3" t="s">
        <v>1617</v>
      </c>
      <c r="R2296" s="3" t="s">
        <v>1623</v>
      </c>
      <c r="S2296" s="3" t="s">
        <v>1624</v>
      </c>
      <c r="T2296" s="3"/>
    </row>
    <row r="2297" spans="1:20">
      <c r="A2297" s="3" t="s">
        <v>1600</v>
      </c>
      <c r="B2297" s="3" t="s">
        <v>1609</v>
      </c>
      <c r="C2297" s="3" t="s">
        <v>1596</v>
      </c>
      <c r="D2297" s="3" t="s">
        <v>298</v>
      </c>
      <c r="E2297" s="3" t="s">
        <v>299</v>
      </c>
      <c r="F2297" s="2">
        <v>1</v>
      </c>
      <c r="G2297" s="4">
        <v>1.0736196319018405</v>
      </c>
      <c r="H2297" s="2">
        <v>25</v>
      </c>
      <c r="I2297" s="2">
        <v>5</v>
      </c>
      <c r="J2297" s="2">
        <v>1</v>
      </c>
      <c r="K2297" s="11">
        <v>1.6008525547692942E-2</v>
      </c>
      <c r="L2297" s="11">
        <v>-0.13932027909070449</v>
      </c>
      <c r="M2297" s="4">
        <v>0.13932027909070449</v>
      </c>
      <c r="N2297" s="10">
        <v>0.13900000000000001</v>
      </c>
      <c r="O2297" s="4">
        <v>0.69526298354080895</v>
      </c>
      <c r="P2297" s="4">
        <v>-0.69</v>
      </c>
      <c r="Q2297" s="3" t="s">
        <v>1617</v>
      </c>
      <c r="R2297" s="3" t="s">
        <v>1623</v>
      </c>
      <c r="S2297" s="3" t="s">
        <v>1624</v>
      </c>
      <c r="T2297" s="3"/>
    </row>
    <row r="2298" spans="1:20">
      <c r="A2298" s="3" t="s">
        <v>1594</v>
      </c>
      <c r="B2298" s="3" t="s">
        <v>1595</v>
      </c>
      <c r="C2298" s="3" t="s">
        <v>1596</v>
      </c>
      <c r="D2298" s="3" t="s">
        <v>298</v>
      </c>
      <c r="E2298" s="3" t="s">
        <v>299</v>
      </c>
      <c r="F2298" s="2">
        <v>1</v>
      </c>
      <c r="G2298" s="4">
        <v>1.0736196319018405</v>
      </c>
      <c r="H2298" s="2">
        <v>50</v>
      </c>
      <c r="I2298" s="2">
        <v>5</v>
      </c>
      <c r="J2298" s="2">
        <v>16</v>
      </c>
      <c r="K2298" s="4">
        <v>0.24307582598885399</v>
      </c>
      <c r="L2298" s="14">
        <v>-0.20052819629070814</v>
      </c>
      <c r="M2298" s="4">
        <v>0.20052819629070814</v>
      </c>
      <c r="N2298" s="10">
        <v>0.20100000000000001</v>
      </c>
      <c r="O2298" s="4">
        <v>1.092373028282023</v>
      </c>
      <c r="P2298" s="4">
        <v>-1.1000000000000001</v>
      </c>
      <c r="Q2298" s="3" t="s">
        <v>1617</v>
      </c>
      <c r="R2298" s="3" t="s">
        <v>1625</v>
      </c>
      <c r="S2298" s="3" t="s">
        <v>1626</v>
      </c>
      <c r="T2298" s="3"/>
    </row>
    <row r="2299" spans="1:20">
      <c r="A2299" s="3" t="s">
        <v>1600</v>
      </c>
      <c r="B2299" s="3" t="s">
        <v>1609</v>
      </c>
      <c r="C2299" s="3" t="s">
        <v>1616</v>
      </c>
      <c r="D2299" s="3" t="s">
        <v>298</v>
      </c>
      <c r="E2299" s="3" t="s">
        <v>299</v>
      </c>
      <c r="F2299" s="2">
        <v>1</v>
      </c>
      <c r="G2299" s="4">
        <v>1.0736196319018405</v>
      </c>
      <c r="H2299" s="2">
        <v>25</v>
      </c>
      <c r="I2299" s="2">
        <v>5</v>
      </c>
      <c r="J2299" s="2">
        <v>16</v>
      </c>
      <c r="K2299" s="11">
        <v>0.37172394480423177</v>
      </c>
      <c r="L2299" s="11">
        <v>-0.21681887579587233</v>
      </c>
      <c r="M2299" s="4">
        <v>0.21681887579587233</v>
      </c>
      <c r="N2299" s="10">
        <v>0.217</v>
      </c>
      <c r="O2299" s="4">
        <v>1.0923108789148617</v>
      </c>
      <c r="P2299" s="4">
        <v>-1.0900000000000001</v>
      </c>
      <c r="Q2299" s="3" t="s">
        <v>1617</v>
      </c>
      <c r="R2299" s="3" t="s">
        <v>1623</v>
      </c>
      <c r="S2299" s="3" t="s">
        <v>1624</v>
      </c>
      <c r="T2299" s="3"/>
    </row>
    <row r="2300" spans="1:20">
      <c r="A2300" s="3" t="s">
        <v>1594</v>
      </c>
      <c r="B2300" s="3" t="s">
        <v>1612</v>
      </c>
      <c r="C2300" s="3" t="s">
        <v>1596</v>
      </c>
      <c r="D2300" s="3" t="s">
        <v>298</v>
      </c>
      <c r="E2300" s="3" t="s">
        <v>299</v>
      </c>
      <c r="F2300" s="2">
        <v>1</v>
      </c>
      <c r="G2300" s="4">
        <v>1.0736196319018405</v>
      </c>
      <c r="H2300" s="2">
        <v>50</v>
      </c>
      <c r="I2300" s="2">
        <v>5</v>
      </c>
      <c r="J2300" s="2">
        <v>16</v>
      </c>
      <c r="K2300" s="4">
        <v>0.11753635635381957</v>
      </c>
      <c r="L2300" s="14">
        <v>-0.23580289762483223</v>
      </c>
      <c r="M2300" s="4">
        <v>0.23580289762483223</v>
      </c>
      <c r="N2300" s="10">
        <v>0.23599999999999999</v>
      </c>
      <c r="O2300" s="4">
        <v>1.2914262764603601</v>
      </c>
      <c r="P2300" s="4">
        <v>-1.29</v>
      </c>
      <c r="Q2300" s="3" t="s">
        <v>1617</v>
      </c>
      <c r="R2300" s="3" t="s">
        <v>1627</v>
      </c>
      <c r="S2300" s="3" t="s">
        <v>1628</v>
      </c>
      <c r="T2300" s="3"/>
    </row>
    <row r="2301" spans="1:20">
      <c r="A2301" s="3" t="s">
        <v>1600</v>
      </c>
      <c r="B2301" s="3" t="s">
        <v>1601</v>
      </c>
      <c r="C2301" s="3" t="s">
        <v>1616</v>
      </c>
      <c r="D2301" s="3" t="s">
        <v>298</v>
      </c>
      <c r="E2301" s="3" t="s">
        <v>299</v>
      </c>
      <c r="F2301" s="2">
        <v>1</v>
      </c>
      <c r="G2301" s="4">
        <v>1.0736196319018405</v>
      </c>
      <c r="H2301" s="2">
        <v>25</v>
      </c>
      <c r="I2301" s="2">
        <v>5</v>
      </c>
      <c r="J2301" s="2">
        <v>16</v>
      </c>
      <c r="K2301" s="4">
        <v>1</v>
      </c>
      <c r="L2301" s="4">
        <v>-0.29469372190268278</v>
      </c>
      <c r="M2301" s="4">
        <v>0.29469372190268278</v>
      </c>
      <c r="N2301" s="10">
        <v>0.29499999999999998</v>
      </c>
      <c r="O2301" s="4">
        <v>1.5057185576604295</v>
      </c>
      <c r="P2301" s="4">
        <v>-1.51</v>
      </c>
      <c r="Q2301" s="3" t="s">
        <v>1617</v>
      </c>
      <c r="R2301" s="3" t="s">
        <v>1618</v>
      </c>
      <c r="S2301" s="3" t="s">
        <v>1619</v>
      </c>
      <c r="T2301" s="3"/>
    </row>
    <row r="2302" spans="1:20">
      <c r="A2302" s="3" t="s">
        <v>1604</v>
      </c>
      <c r="B2302" s="3" t="s">
        <v>1601</v>
      </c>
      <c r="C2302" s="3" t="s">
        <v>1616</v>
      </c>
      <c r="D2302" s="3" t="s">
        <v>298</v>
      </c>
      <c r="E2302" s="3" t="s">
        <v>299</v>
      </c>
      <c r="F2302" s="2">
        <v>1</v>
      </c>
      <c r="G2302" s="4">
        <v>1.0736196319018405</v>
      </c>
      <c r="H2302" s="2">
        <v>25</v>
      </c>
      <c r="I2302" s="2">
        <v>30</v>
      </c>
      <c r="J2302" s="2">
        <v>16</v>
      </c>
      <c r="K2302" s="4">
        <v>1</v>
      </c>
      <c r="L2302" s="4">
        <v>-0.29963813966528513</v>
      </c>
      <c r="M2302" s="4">
        <v>0.29963813966528513</v>
      </c>
      <c r="N2302" s="10">
        <v>0.3</v>
      </c>
      <c r="O2302" s="4">
        <v>1.5326072147348815</v>
      </c>
      <c r="P2302" s="4">
        <v>-1.53</v>
      </c>
      <c r="Q2302" s="3" t="s">
        <v>1617</v>
      </c>
      <c r="R2302" s="3" t="s">
        <v>1618</v>
      </c>
      <c r="S2302" s="3" t="s">
        <v>1619</v>
      </c>
      <c r="T2302" s="3"/>
    </row>
    <row r="2303" spans="1:20">
      <c r="A2303" s="3" t="s">
        <v>1600</v>
      </c>
      <c r="B2303" s="3" t="s">
        <v>1601</v>
      </c>
      <c r="C2303" s="3" t="s">
        <v>1596</v>
      </c>
      <c r="D2303" s="3" t="s">
        <v>298</v>
      </c>
      <c r="E2303" s="3" t="s">
        <v>299</v>
      </c>
      <c r="F2303" s="2">
        <v>1</v>
      </c>
      <c r="G2303" s="4">
        <v>1.0736196319018405</v>
      </c>
      <c r="H2303" s="2">
        <v>25</v>
      </c>
      <c r="I2303" s="2">
        <v>5</v>
      </c>
      <c r="J2303" s="2">
        <v>1</v>
      </c>
      <c r="K2303" s="4">
        <v>5.7250913682432847E-2</v>
      </c>
      <c r="L2303" s="4">
        <v>-0.36213875657459516</v>
      </c>
      <c r="M2303" s="4">
        <v>0.36213875657459516</v>
      </c>
      <c r="N2303" s="10">
        <v>0.36199999999999999</v>
      </c>
      <c r="O2303" s="4">
        <v>1.8807698166152913</v>
      </c>
      <c r="P2303" s="4">
        <v>-1.88</v>
      </c>
      <c r="Q2303" s="3" t="s">
        <v>1617</v>
      </c>
      <c r="R2303" s="3" t="s">
        <v>1618</v>
      </c>
      <c r="S2303" s="3" t="s">
        <v>1619</v>
      </c>
      <c r="T2303" s="3"/>
    </row>
    <row r="2304" spans="1:20">
      <c r="A2304" s="3" t="s">
        <v>1600</v>
      </c>
      <c r="B2304" s="3" t="s">
        <v>1601</v>
      </c>
      <c r="C2304" s="3" t="s">
        <v>1616</v>
      </c>
      <c r="D2304" s="3" t="s">
        <v>298</v>
      </c>
      <c r="E2304" s="3" t="s">
        <v>299</v>
      </c>
      <c r="F2304" s="2">
        <v>1</v>
      </c>
      <c r="G2304" s="4">
        <v>1.0736196319018405</v>
      </c>
      <c r="H2304" s="2">
        <v>25</v>
      </c>
      <c r="I2304" s="2">
        <v>5</v>
      </c>
      <c r="J2304" s="2">
        <v>1</v>
      </c>
      <c r="K2304" s="4">
        <v>0.44960864301088654</v>
      </c>
      <c r="L2304" s="4">
        <v>-0.37061144151641501</v>
      </c>
      <c r="M2304" s="4">
        <v>0.37061144151641501</v>
      </c>
      <c r="N2304" s="10">
        <v>0.371</v>
      </c>
      <c r="O2304" s="4">
        <v>1.9292902522214543</v>
      </c>
      <c r="P2304" s="4">
        <v>-1.93</v>
      </c>
      <c r="Q2304" s="3" t="s">
        <v>1617</v>
      </c>
      <c r="R2304" s="3" t="s">
        <v>1618</v>
      </c>
      <c r="S2304" s="3" t="s">
        <v>1619</v>
      </c>
      <c r="T2304" s="3"/>
    </row>
    <row r="2305" spans="1:20">
      <c r="A2305" s="3" t="s">
        <v>1600</v>
      </c>
      <c r="B2305" s="3" t="s">
        <v>1606</v>
      </c>
      <c r="C2305" s="3" t="s">
        <v>1616</v>
      </c>
      <c r="D2305" s="3" t="s">
        <v>298</v>
      </c>
      <c r="E2305" s="3" t="s">
        <v>299</v>
      </c>
      <c r="F2305" s="2">
        <v>1</v>
      </c>
      <c r="G2305" s="4">
        <v>1.0736196319018405</v>
      </c>
      <c r="H2305" s="2">
        <v>25</v>
      </c>
      <c r="I2305" s="2">
        <v>5</v>
      </c>
      <c r="J2305" s="2">
        <v>16</v>
      </c>
      <c r="K2305" s="11">
        <v>1</v>
      </c>
      <c r="L2305" s="11">
        <v>-0.37486395298215064</v>
      </c>
      <c r="M2305" s="4">
        <v>0.37486395298215064</v>
      </c>
      <c r="N2305" s="10">
        <v>0.375</v>
      </c>
      <c r="O2305" s="4">
        <v>1.953775863053318</v>
      </c>
      <c r="P2305" s="4">
        <v>-1.95</v>
      </c>
      <c r="Q2305" s="3" t="s">
        <v>1617</v>
      </c>
      <c r="R2305" s="3" t="s">
        <v>1621</v>
      </c>
      <c r="S2305" s="3" t="s">
        <v>1622</v>
      </c>
      <c r="T2305" s="3"/>
    </row>
    <row r="2306" spans="1:20">
      <c r="A2306" s="3" t="s">
        <v>1600</v>
      </c>
      <c r="B2306" s="3" t="s">
        <v>1606</v>
      </c>
      <c r="C2306" s="3" t="s">
        <v>1616</v>
      </c>
      <c r="D2306" s="3" t="s">
        <v>298</v>
      </c>
      <c r="E2306" s="3" t="s">
        <v>299</v>
      </c>
      <c r="F2306" s="2">
        <v>1</v>
      </c>
      <c r="G2306" s="4">
        <v>1.0736196319018405</v>
      </c>
      <c r="H2306" s="2">
        <v>25</v>
      </c>
      <c r="I2306" s="2">
        <v>5</v>
      </c>
      <c r="J2306" s="2">
        <v>1</v>
      </c>
      <c r="K2306" s="4">
        <v>1</v>
      </c>
      <c r="L2306" s="4">
        <v>-0.38791467261909524</v>
      </c>
      <c r="M2306" s="4">
        <v>0.38791467261909524</v>
      </c>
      <c r="N2306" s="10">
        <v>0.38800000000000001</v>
      </c>
      <c r="O2306" s="4">
        <v>2.0294964587517241</v>
      </c>
      <c r="P2306" s="4">
        <v>-2.0299999999999998</v>
      </c>
      <c r="Q2306" s="3" t="s">
        <v>1617</v>
      </c>
      <c r="R2306" s="3" t="s">
        <v>1621</v>
      </c>
      <c r="S2306" s="3" t="s">
        <v>1622</v>
      </c>
      <c r="T2306" s="3"/>
    </row>
    <row r="2307" spans="1:20">
      <c r="A2307" s="3" t="s">
        <v>1600</v>
      </c>
      <c r="B2307" s="3" t="s">
        <v>1606</v>
      </c>
      <c r="C2307" s="3" t="s">
        <v>1596</v>
      </c>
      <c r="D2307" s="3" t="s">
        <v>298</v>
      </c>
      <c r="E2307" s="3" t="s">
        <v>299</v>
      </c>
      <c r="F2307" s="2">
        <v>1</v>
      </c>
      <c r="G2307" s="4">
        <v>1.0736196319018405</v>
      </c>
      <c r="H2307" s="2">
        <v>25</v>
      </c>
      <c r="I2307" s="2">
        <v>5</v>
      </c>
      <c r="J2307" s="2">
        <v>1</v>
      </c>
      <c r="K2307" s="11">
        <v>7.2306770195721515E-2</v>
      </c>
      <c r="L2307" s="11">
        <v>-1</v>
      </c>
      <c r="M2307" s="4">
        <v>1</v>
      </c>
      <c r="N2307" s="10">
        <v>0.995</v>
      </c>
      <c r="O2307" s="4">
        <v>14.85</v>
      </c>
      <c r="P2307" s="4">
        <v>-14.85</v>
      </c>
      <c r="Q2307" s="3" t="s">
        <v>1617</v>
      </c>
      <c r="R2307" s="3" t="s">
        <v>1621</v>
      </c>
      <c r="S2307" s="3" t="s">
        <v>1622</v>
      </c>
      <c r="T2307" s="3"/>
    </row>
    <row r="2308" spans="1:20">
      <c r="A2308" s="3" t="s">
        <v>1600</v>
      </c>
      <c r="B2308" s="3" t="s">
        <v>1601</v>
      </c>
      <c r="C2308" s="3" t="s">
        <v>1596</v>
      </c>
      <c r="D2308" s="3" t="s">
        <v>1051</v>
      </c>
      <c r="E2308" s="3" t="s">
        <v>1620</v>
      </c>
      <c r="F2308" s="2">
        <v>1</v>
      </c>
      <c r="G2308" s="4">
        <v>1.0736248428634527</v>
      </c>
      <c r="H2308" s="2">
        <v>25</v>
      </c>
      <c r="I2308" s="2">
        <v>5</v>
      </c>
      <c r="J2308" s="2">
        <v>1</v>
      </c>
      <c r="K2308" s="4">
        <v>0</v>
      </c>
      <c r="L2308" s="4">
        <v>0</v>
      </c>
      <c r="M2308" s="4">
        <v>0</v>
      </c>
      <c r="N2308" s="10">
        <v>0</v>
      </c>
      <c r="O2308" s="4">
        <v>0</v>
      </c>
      <c r="P2308" s="4">
        <v>0</v>
      </c>
      <c r="Q2308" s="3" t="s">
        <v>1617</v>
      </c>
      <c r="R2308" s="3" t="s">
        <v>1618</v>
      </c>
      <c r="S2308" s="3" t="s">
        <v>1619</v>
      </c>
      <c r="T2308" s="3"/>
    </row>
    <row r="2309" spans="1:20">
      <c r="A2309" s="3" t="s">
        <v>1594</v>
      </c>
      <c r="B2309" s="3" t="s">
        <v>1612</v>
      </c>
      <c r="C2309" s="3" t="s">
        <v>1596</v>
      </c>
      <c r="D2309" s="3" t="s">
        <v>1051</v>
      </c>
      <c r="E2309" s="3" t="s">
        <v>1620</v>
      </c>
      <c r="F2309" s="2">
        <v>1</v>
      </c>
      <c r="G2309" s="4">
        <v>1.0736248428634527</v>
      </c>
      <c r="H2309" s="2">
        <v>50</v>
      </c>
      <c r="I2309" s="2">
        <v>5</v>
      </c>
      <c r="J2309" s="2">
        <v>16</v>
      </c>
      <c r="K2309" s="4">
        <v>0.38440900534780498</v>
      </c>
      <c r="L2309" s="4">
        <v>-2.4865697457878557E-2</v>
      </c>
      <c r="M2309" s="4">
        <v>2.4865697457878557E-2</v>
      </c>
      <c r="N2309" s="10">
        <v>2.5000000000000001E-2</v>
      </c>
      <c r="O2309" s="4">
        <v>0.13364738676933824</v>
      </c>
      <c r="P2309" s="4">
        <v>-0.13</v>
      </c>
      <c r="Q2309" s="3" t="s">
        <v>1617</v>
      </c>
      <c r="R2309" s="3" t="s">
        <v>1627</v>
      </c>
      <c r="S2309" s="3" t="s">
        <v>1628</v>
      </c>
      <c r="T2309" s="3"/>
    </row>
    <row r="2310" spans="1:20">
      <c r="A2310" s="3" t="s">
        <v>1600</v>
      </c>
      <c r="B2310" s="3" t="s">
        <v>1601</v>
      </c>
      <c r="C2310" s="3" t="s">
        <v>1596</v>
      </c>
      <c r="D2310" s="3" t="s">
        <v>1051</v>
      </c>
      <c r="E2310" s="3" t="s">
        <v>1620</v>
      </c>
      <c r="F2310" s="2">
        <v>1</v>
      </c>
      <c r="G2310" s="4">
        <v>1.0736248428634527</v>
      </c>
      <c r="H2310" s="2">
        <v>25</v>
      </c>
      <c r="I2310" s="2">
        <v>5</v>
      </c>
      <c r="J2310" s="2">
        <v>16</v>
      </c>
      <c r="K2310" s="4">
        <v>0.99039334056414607</v>
      </c>
      <c r="L2310" s="4">
        <v>-4.1973494319833798E-2</v>
      </c>
      <c r="M2310" s="4">
        <v>4.1973494319833798E-2</v>
      </c>
      <c r="N2310" s="10">
        <v>4.2000000000000003E-2</v>
      </c>
      <c r="O2310" s="4">
        <v>0.20822425209996345</v>
      </c>
      <c r="P2310" s="4">
        <v>-0.21</v>
      </c>
      <c r="Q2310" s="3" t="s">
        <v>1617</v>
      </c>
      <c r="R2310" s="3" t="s">
        <v>1618</v>
      </c>
      <c r="S2310" s="3" t="s">
        <v>1619</v>
      </c>
      <c r="T2310" s="3"/>
    </row>
    <row r="2311" spans="1:20">
      <c r="A2311" s="3" t="s">
        <v>1605</v>
      </c>
      <c r="B2311" s="3" t="s">
        <v>1601</v>
      </c>
      <c r="C2311" s="3" t="s">
        <v>1596</v>
      </c>
      <c r="D2311" s="3" t="s">
        <v>1051</v>
      </c>
      <c r="E2311" s="3" t="s">
        <v>1620</v>
      </c>
      <c r="F2311" s="2">
        <v>1</v>
      </c>
      <c r="G2311" s="4">
        <v>1.0736248428634527</v>
      </c>
      <c r="H2311" s="2">
        <v>25</v>
      </c>
      <c r="I2311" s="2">
        <v>5</v>
      </c>
      <c r="J2311" s="2">
        <v>16</v>
      </c>
      <c r="K2311" s="4">
        <v>1</v>
      </c>
      <c r="L2311" s="4">
        <v>-4.2413825512377129E-2</v>
      </c>
      <c r="M2311" s="4">
        <v>4.2413825512377129E-2</v>
      </c>
      <c r="N2311" s="10">
        <v>4.2000000000000003E-2</v>
      </c>
      <c r="O2311" s="4">
        <v>0.21041127973720261</v>
      </c>
      <c r="P2311" s="4">
        <v>-0.21</v>
      </c>
      <c r="Q2311" s="3" t="s">
        <v>1617</v>
      </c>
      <c r="R2311" s="3" t="s">
        <v>1618</v>
      </c>
      <c r="S2311" s="3" t="s">
        <v>1619</v>
      </c>
      <c r="T2311" s="3"/>
    </row>
    <row r="2312" spans="1:20">
      <c r="A2312" s="3" t="s">
        <v>1600</v>
      </c>
      <c r="B2312" s="3" t="s">
        <v>1609</v>
      </c>
      <c r="C2312" s="3" t="s">
        <v>1596</v>
      </c>
      <c r="D2312" s="3" t="s">
        <v>1051</v>
      </c>
      <c r="E2312" s="3" t="s">
        <v>1620</v>
      </c>
      <c r="F2312" s="2">
        <v>1</v>
      </c>
      <c r="G2312" s="4">
        <v>1.0736248428634527</v>
      </c>
      <c r="H2312" s="2">
        <v>25</v>
      </c>
      <c r="I2312" s="2">
        <v>5</v>
      </c>
      <c r="J2312" s="2">
        <v>1</v>
      </c>
      <c r="K2312" s="4">
        <v>0.80232798412571071</v>
      </c>
      <c r="L2312" s="4">
        <v>-7.2811824552976884E-2</v>
      </c>
      <c r="M2312" s="4">
        <v>7.2811824552976884E-2</v>
      </c>
      <c r="N2312" s="10">
        <v>7.2999999999999995E-2</v>
      </c>
      <c r="O2312" s="4">
        <v>0.36163637687655087</v>
      </c>
      <c r="P2312" s="4">
        <v>-0.36</v>
      </c>
      <c r="Q2312" s="3" t="s">
        <v>1617</v>
      </c>
      <c r="R2312" s="3" t="s">
        <v>1623</v>
      </c>
      <c r="S2312" s="3" t="s">
        <v>1624</v>
      </c>
      <c r="T2312" s="3"/>
    </row>
    <row r="2313" spans="1:20">
      <c r="A2313" s="3" t="s">
        <v>1604</v>
      </c>
      <c r="B2313" s="3" t="s">
        <v>1601</v>
      </c>
      <c r="C2313" s="3" t="s">
        <v>1596</v>
      </c>
      <c r="D2313" s="3" t="s">
        <v>1051</v>
      </c>
      <c r="E2313" s="3" t="s">
        <v>1620</v>
      </c>
      <c r="F2313" s="2">
        <v>1</v>
      </c>
      <c r="G2313" s="4">
        <v>1.0736248428634527</v>
      </c>
      <c r="H2313" s="2">
        <v>25</v>
      </c>
      <c r="I2313" s="2">
        <v>30</v>
      </c>
      <c r="J2313" s="2">
        <v>16</v>
      </c>
      <c r="K2313" s="4">
        <v>1</v>
      </c>
      <c r="L2313" s="4">
        <v>-7.5223758320408562E-2</v>
      </c>
      <c r="M2313" s="4">
        <v>7.5223758320408562E-2</v>
      </c>
      <c r="N2313" s="10">
        <v>7.4999999999999997E-2</v>
      </c>
      <c r="O2313" s="4">
        <v>0.3736604725461784</v>
      </c>
      <c r="P2313" s="4">
        <v>-0.37</v>
      </c>
      <c r="Q2313" s="3" t="s">
        <v>1617</v>
      </c>
      <c r="R2313" s="3" t="s">
        <v>1618</v>
      </c>
      <c r="S2313" s="3" t="s">
        <v>1619</v>
      </c>
      <c r="T2313" s="3"/>
    </row>
    <row r="2314" spans="1:20">
      <c r="A2314" s="3" t="s">
        <v>1600</v>
      </c>
      <c r="B2314" s="3" t="s">
        <v>1609</v>
      </c>
      <c r="C2314" s="3" t="s">
        <v>1596</v>
      </c>
      <c r="D2314" s="3" t="s">
        <v>1051</v>
      </c>
      <c r="E2314" s="3" t="s">
        <v>1620</v>
      </c>
      <c r="F2314" s="2">
        <v>1</v>
      </c>
      <c r="G2314" s="4">
        <v>1.0736248428634527</v>
      </c>
      <c r="H2314" s="2">
        <v>25</v>
      </c>
      <c r="I2314" s="2">
        <v>5</v>
      </c>
      <c r="J2314" s="2">
        <v>16</v>
      </c>
      <c r="K2314" s="4">
        <v>1</v>
      </c>
      <c r="L2314" s="4">
        <v>-8.7058840459441553E-2</v>
      </c>
      <c r="M2314" s="4">
        <v>8.7058840459441553E-2</v>
      </c>
      <c r="N2314" s="10">
        <v>8.6999999999999994E-2</v>
      </c>
      <c r="O2314" s="4">
        <v>0.4327276572868653</v>
      </c>
      <c r="P2314" s="4">
        <v>-0.43</v>
      </c>
      <c r="Q2314" s="3" t="s">
        <v>1617</v>
      </c>
      <c r="R2314" s="3" t="s">
        <v>1623</v>
      </c>
      <c r="S2314" s="3" t="s">
        <v>1624</v>
      </c>
      <c r="T2314" s="3"/>
    </row>
    <row r="2315" spans="1:20">
      <c r="A2315" s="3" t="s">
        <v>1600</v>
      </c>
      <c r="B2315" s="3" t="s">
        <v>1601</v>
      </c>
      <c r="C2315" s="3" t="s">
        <v>1616</v>
      </c>
      <c r="D2315" s="3" t="s">
        <v>1051</v>
      </c>
      <c r="E2315" s="3" t="s">
        <v>1620</v>
      </c>
      <c r="F2315" s="2">
        <v>1</v>
      </c>
      <c r="G2315" s="4">
        <v>1.0736248428634527</v>
      </c>
      <c r="H2315" s="2">
        <v>25</v>
      </c>
      <c r="I2315" s="2">
        <v>5</v>
      </c>
      <c r="J2315" s="2">
        <v>1</v>
      </c>
      <c r="K2315" s="4">
        <v>1</v>
      </c>
      <c r="L2315" s="4">
        <v>-0.10419265718215694</v>
      </c>
      <c r="M2315" s="4">
        <v>0.10419265718215694</v>
      </c>
      <c r="N2315" s="10">
        <v>0.104</v>
      </c>
      <c r="O2315" s="4">
        <v>0.51846218577413539</v>
      </c>
      <c r="P2315" s="4">
        <v>-0.52</v>
      </c>
      <c r="Q2315" s="3" t="s">
        <v>1617</v>
      </c>
      <c r="R2315" s="3" t="s">
        <v>1618</v>
      </c>
      <c r="S2315" s="3" t="s">
        <v>1619</v>
      </c>
      <c r="T2315" s="3"/>
    </row>
    <row r="2316" spans="1:20">
      <c r="A2316" s="3" t="s">
        <v>1600</v>
      </c>
      <c r="B2316" s="3" t="s">
        <v>1601</v>
      </c>
      <c r="C2316" s="3" t="s">
        <v>1616</v>
      </c>
      <c r="D2316" s="3" t="s">
        <v>1051</v>
      </c>
      <c r="E2316" s="3" t="s">
        <v>1620</v>
      </c>
      <c r="F2316" s="2">
        <v>1</v>
      </c>
      <c r="G2316" s="4">
        <v>1.0736248428634527</v>
      </c>
      <c r="H2316" s="2">
        <v>25</v>
      </c>
      <c r="I2316" s="2">
        <v>5</v>
      </c>
      <c r="J2316" s="2">
        <v>16</v>
      </c>
      <c r="K2316" s="4">
        <v>1</v>
      </c>
      <c r="L2316" s="4">
        <v>-0.11729975142318236</v>
      </c>
      <c r="M2316" s="4">
        <v>0.11729975142318236</v>
      </c>
      <c r="N2316" s="10">
        <v>0.11700000000000001</v>
      </c>
      <c r="O2316" s="4">
        <v>0.58425423462432469</v>
      </c>
      <c r="P2316" s="4">
        <v>-0.57999999999999996</v>
      </c>
      <c r="Q2316" s="3" t="s">
        <v>1617</v>
      </c>
      <c r="R2316" s="3" t="s">
        <v>1618</v>
      </c>
      <c r="S2316" s="3" t="s">
        <v>1619</v>
      </c>
      <c r="T2316" s="3"/>
    </row>
    <row r="2317" spans="1:20">
      <c r="A2317" s="3" t="s">
        <v>1604</v>
      </c>
      <c r="B2317" s="3" t="s">
        <v>1601</v>
      </c>
      <c r="C2317" s="3" t="s">
        <v>1616</v>
      </c>
      <c r="D2317" s="3" t="s">
        <v>1051</v>
      </c>
      <c r="E2317" s="3" t="s">
        <v>1620</v>
      </c>
      <c r="F2317" s="2">
        <v>1</v>
      </c>
      <c r="G2317" s="4">
        <v>1.0736248428634527</v>
      </c>
      <c r="H2317" s="2">
        <v>25</v>
      </c>
      <c r="I2317" s="2">
        <v>30</v>
      </c>
      <c r="J2317" s="2">
        <v>16</v>
      </c>
      <c r="K2317" s="4">
        <v>1</v>
      </c>
      <c r="L2317" s="4">
        <v>-0.12711230575183188</v>
      </c>
      <c r="M2317" s="4">
        <v>0.12711230575183188</v>
      </c>
      <c r="N2317" s="10">
        <v>0.127</v>
      </c>
      <c r="O2317" s="4">
        <v>0.63364225084739467</v>
      </c>
      <c r="P2317" s="4">
        <v>-0.63</v>
      </c>
      <c r="Q2317" s="3" t="s">
        <v>1617</v>
      </c>
      <c r="R2317" s="3" t="s">
        <v>1618</v>
      </c>
      <c r="S2317" s="3" t="s">
        <v>1619</v>
      </c>
      <c r="T2317" s="3"/>
    </row>
    <row r="2318" spans="1:20">
      <c r="A2318" s="3" t="s">
        <v>1594</v>
      </c>
      <c r="B2318" s="3" t="s">
        <v>1595</v>
      </c>
      <c r="C2318" s="3" t="s">
        <v>1596</v>
      </c>
      <c r="D2318" s="3" t="s">
        <v>1051</v>
      </c>
      <c r="E2318" s="3" t="s">
        <v>1620</v>
      </c>
      <c r="F2318" s="2">
        <v>1</v>
      </c>
      <c r="G2318" s="4">
        <v>1.0736248428634527</v>
      </c>
      <c r="H2318" s="2">
        <v>25</v>
      </c>
      <c r="I2318" s="2">
        <v>5</v>
      </c>
      <c r="J2318" s="2">
        <v>16</v>
      </c>
      <c r="K2318" s="4">
        <v>0.44599734659619683</v>
      </c>
      <c r="L2318" s="4">
        <v>-0.18436709172824478</v>
      </c>
      <c r="M2318" s="4">
        <v>0.18436709172824478</v>
      </c>
      <c r="N2318" s="10">
        <v>0.184</v>
      </c>
      <c r="O2318" s="4">
        <v>0.92465370300143224</v>
      </c>
      <c r="P2318" s="4">
        <v>-0.92</v>
      </c>
      <c r="Q2318" s="3" t="s">
        <v>1617</v>
      </c>
      <c r="R2318" s="3" t="s">
        <v>1625</v>
      </c>
      <c r="S2318" s="3" t="s">
        <v>1626</v>
      </c>
      <c r="T2318" s="3"/>
    </row>
    <row r="2319" spans="1:20">
      <c r="A2319" s="3" t="s">
        <v>1600</v>
      </c>
      <c r="B2319" s="3" t="s">
        <v>1609</v>
      </c>
      <c r="C2319" s="3" t="s">
        <v>1616</v>
      </c>
      <c r="D2319" s="3" t="s">
        <v>1051</v>
      </c>
      <c r="E2319" s="3" t="s">
        <v>1620</v>
      </c>
      <c r="F2319" s="2">
        <v>1</v>
      </c>
      <c r="G2319" s="4">
        <v>1.0736248428634527</v>
      </c>
      <c r="H2319" s="2">
        <v>25</v>
      </c>
      <c r="I2319" s="2">
        <v>5</v>
      </c>
      <c r="J2319" s="2">
        <v>1</v>
      </c>
      <c r="K2319" s="4">
        <v>0.41347450235296779</v>
      </c>
      <c r="L2319" s="4">
        <v>-0.19384169537068888</v>
      </c>
      <c r="M2319" s="4">
        <v>0.19384169537068888</v>
      </c>
      <c r="N2319" s="10">
        <v>0.19400000000000001</v>
      </c>
      <c r="O2319" s="4">
        <v>0.97337074780537314</v>
      </c>
      <c r="P2319" s="4">
        <v>-0.97</v>
      </c>
      <c r="Q2319" s="3" t="s">
        <v>1617</v>
      </c>
      <c r="R2319" s="3" t="s">
        <v>1623</v>
      </c>
      <c r="S2319" s="3" t="s">
        <v>1624</v>
      </c>
      <c r="T2319" s="3"/>
    </row>
    <row r="2320" spans="1:20">
      <c r="A2320" s="3" t="s">
        <v>1594</v>
      </c>
      <c r="B2320" s="3" t="s">
        <v>1595</v>
      </c>
      <c r="C2320" s="3" t="s">
        <v>1596</v>
      </c>
      <c r="D2320" s="3" t="s">
        <v>1051</v>
      </c>
      <c r="E2320" s="3" t="s">
        <v>1620</v>
      </c>
      <c r="F2320" s="2">
        <v>1</v>
      </c>
      <c r="G2320" s="4">
        <v>1.0736248428634527</v>
      </c>
      <c r="H2320" s="2">
        <v>50</v>
      </c>
      <c r="I2320" s="2">
        <v>5</v>
      </c>
      <c r="J2320" s="2">
        <v>16</v>
      </c>
      <c r="K2320" s="4">
        <v>1</v>
      </c>
      <c r="L2320" s="4">
        <v>-0.2163687630845825</v>
      </c>
      <c r="M2320" s="4">
        <v>0.2163687630845825</v>
      </c>
      <c r="N2320" s="10">
        <v>0.216</v>
      </c>
      <c r="O2320" s="4">
        <v>1.1813637856264352</v>
      </c>
      <c r="P2320" s="4">
        <v>-1.18</v>
      </c>
      <c r="Q2320" s="3" t="s">
        <v>1617</v>
      </c>
      <c r="R2320" s="3" t="s">
        <v>1625</v>
      </c>
      <c r="S2320" s="3" t="s">
        <v>1626</v>
      </c>
      <c r="T2320" s="3"/>
    </row>
    <row r="2321" spans="1:20">
      <c r="A2321" s="3" t="s">
        <v>1600</v>
      </c>
      <c r="B2321" s="3" t="s">
        <v>1609</v>
      </c>
      <c r="C2321" s="3" t="s">
        <v>1616</v>
      </c>
      <c r="D2321" s="3" t="s">
        <v>1051</v>
      </c>
      <c r="E2321" s="3" t="s">
        <v>1620</v>
      </c>
      <c r="F2321" s="2">
        <v>1</v>
      </c>
      <c r="G2321" s="4">
        <v>1.0736248428634527</v>
      </c>
      <c r="H2321" s="2">
        <v>25</v>
      </c>
      <c r="I2321" s="2">
        <v>5</v>
      </c>
      <c r="J2321" s="2">
        <v>16</v>
      </c>
      <c r="K2321" s="4">
        <v>1</v>
      </c>
      <c r="L2321" s="4">
        <v>-0.21882692299705792</v>
      </c>
      <c r="M2321" s="4">
        <v>0.21882692299705792</v>
      </c>
      <c r="N2321" s="10">
        <v>0.219</v>
      </c>
      <c r="O2321" s="4">
        <v>1.102762551939533</v>
      </c>
      <c r="P2321" s="4">
        <v>-1.1000000000000001</v>
      </c>
      <c r="Q2321" s="3" t="s">
        <v>1617</v>
      </c>
      <c r="R2321" s="3" t="s">
        <v>1623</v>
      </c>
      <c r="S2321" s="3" t="s">
        <v>1624</v>
      </c>
      <c r="T2321" s="3"/>
    </row>
    <row r="2322" spans="1:20">
      <c r="A2322" s="3" t="s">
        <v>1600</v>
      </c>
      <c r="B2322" s="3" t="s">
        <v>1606</v>
      </c>
      <c r="C2322" s="3" t="s">
        <v>1616</v>
      </c>
      <c r="D2322" s="3" t="s">
        <v>1051</v>
      </c>
      <c r="E2322" s="3" t="s">
        <v>1620</v>
      </c>
      <c r="F2322" s="2">
        <v>1</v>
      </c>
      <c r="G2322" s="4">
        <v>1.0736248428634527</v>
      </c>
      <c r="H2322" s="2">
        <v>25</v>
      </c>
      <c r="I2322" s="2">
        <v>5</v>
      </c>
      <c r="J2322" s="2">
        <v>16</v>
      </c>
      <c r="K2322" s="4">
        <v>1</v>
      </c>
      <c r="L2322" s="4">
        <v>-0.28310961598834505</v>
      </c>
      <c r="M2322" s="4">
        <v>0.28310961598834505</v>
      </c>
      <c r="N2322" s="10">
        <v>0.28299999999999997</v>
      </c>
      <c r="O2322" s="4">
        <v>1.4430541050411254</v>
      </c>
      <c r="P2322" s="4">
        <v>-1.44</v>
      </c>
      <c r="Q2322" s="3" t="s">
        <v>1617</v>
      </c>
      <c r="R2322" s="3" t="s">
        <v>1621</v>
      </c>
      <c r="S2322" s="3" t="s">
        <v>1622</v>
      </c>
      <c r="T2322" s="3"/>
    </row>
    <row r="2323" spans="1:20">
      <c r="A2323" s="3" t="s">
        <v>1600</v>
      </c>
      <c r="B2323" s="3" t="s">
        <v>1606</v>
      </c>
      <c r="C2323" s="3" t="s">
        <v>1616</v>
      </c>
      <c r="D2323" s="3" t="s">
        <v>1051</v>
      </c>
      <c r="E2323" s="3" t="s">
        <v>1620</v>
      </c>
      <c r="F2323" s="2">
        <v>1</v>
      </c>
      <c r="G2323" s="4">
        <v>1.0736248428634527</v>
      </c>
      <c r="H2323" s="2">
        <v>25</v>
      </c>
      <c r="I2323" s="2">
        <v>5</v>
      </c>
      <c r="J2323" s="2">
        <v>1</v>
      </c>
      <c r="K2323" s="4">
        <v>1</v>
      </c>
      <c r="L2323" s="4">
        <v>-0.30094255933986575</v>
      </c>
      <c r="M2323" s="4">
        <v>0.30094255933986575</v>
      </c>
      <c r="N2323" s="10">
        <v>0.30099999999999999</v>
      </c>
      <c r="O2323" s="4">
        <v>1.5397154235765382</v>
      </c>
      <c r="P2323" s="4">
        <v>-1.54</v>
      </c>
      <c r="Q2323" s="3" t="s">
        <v>1617</v>
      </c>
      <c r="R2323" s="3" t="s">
        <v>1621</v>
      </c>
      <c r="S2323" s="3" t="s">
        <v>1622</v>
      </c>
      <c r="T2323" s="3"/>
    </row>
    <row r="2324" spans="1:20">
      <c r="A2324" s="3" t="s">
        <v>1600</v>
      </c>
      <c r="B2324" s="3" t="s">
        <v>1606</v>
      </c>
      <c r="C2324" s="3" t="s">
        <v>1596</v>
      </c>
      <c r="D2324" s="3" t="s">
        <v>1051</v>
      </c>
      <c r="E2324" s="3" t="s">
        <v>1620</v>
      </c>
      <c r="F2324" s="2">
        <v>1</v>
      </c>
      <c r="G2324" s="4">
        <v>1.0736248428634527</v>
      </c>
      <c r="H2324" s="2">
        <v>25</v>
      </c>
      <c r="I2324" s="2">
        <v>5</v>
      </c>
      <c r="J2324" s="2">
        <v>16</v>
      </c>
      <c r="K2324" s="4">
        <v>1</v>
      </c>
      <c r="L2324" s="4">
        <v>-0.31843166953577084</v>
      </c>
      <c r="M2324" s="4">
        <v>0.31843166953577084</v>
      </c>
      <c r="N2324" s="10">
        <v>0.318</v>
      </c>
      <c r="O2324" s="4">
        <v>1.6356273396124112</v>
      </c>
      <c r="P2324" s="4">
        <v>-1.63</v>
      </c>
      <c r="Q2324" s="3" t="s">
        <v>1617</v>
      </c>
      <c r="R2324" s="3" t="s">
        <v>1621</v>
      </c>
      <c r="S2324" s="3" t="s">
        <v>1622</v>
      </c>
      <c r="T2324" s="3"/>
    </row>
    <row r="2325" spans="1:20">
      <c r="A2325" s="3" t="s">
        <v>1600</v>
      </c>
      <c r="B2325" s="3" t="s">
        <v>1606</v>
      </c>
      <c r="C2325" s="3" t="s">
        <v>1596</v>
      </c>
      <c r="D2325" s="3" t="s">
        <v>1051</v>
      </c>
      <c r="E2325" s="3" t="s">
        <v>1620</v>
      </c>
      <c r="F2325" s="2">
        <v>1</v>
      </c>
      <c r="G2325" s="4">
        <v>1.0736248428634527</v>
      </c>
      <c r="H2325" s="2">
        <v>25</v>
      </c>
      <c r="I2325" s="2">
        <v>5</v>
      </c>
      <c r="J2325" s="2">
        <v>1</v>
      </c>
      <c r="K2325" s="4">
        <v>1</v>
      </c>
      <c r="L2325" s="4">
        <v>-0.32735681022600871</v>
      </c>
      <c r="M2325" s="4">
        <v>0.32735681022600871</v>
      </c>
      <c r="N2325" s="10">
        <v>0.32700000000000001</v>
      </c>
      <c r="O2325" s="4">
        <v>1.6850287219045301</v>
      </c>
      <c r="P2325" s="4">
        <v>-1.68</v>
      </c>
      <c r="Q2325" s="3" t="s">
        <v>1617</v>
      </c>
      <c r="R2325" s="3" t="s">
        <v>1621</v>
      </c>
      <c r="S2325" s="3" t="s">
        <v>1622</v>
      </c>
      <c r="T2325" s="3"/>
    </row>
    <row r="2326" spans="1:20">
      <c r="A2326" s="3" t="s">
        <v>1600</v>
      </c>
      <c r="B2326" s="3" t="s">
        <v>1609</v>
      </c>
      <c r="C2326" s="3" t="s">
        <v>1596</v>
      </c>
      <c r="D2326" s="3" t="s">
        <v>1342</v>
      </c>
      <c r="E2326" s="3" t="s">
        <v>1343</v>
      </c>
      <c r="F2326" s="2">
        <v>1</v>
      </c>
      <c r="G2326" s="4">
        <v>1.0738133910846417</v>
      </c>
      <c r="H2326" s="2">
        <v>25</v>
      </c>
      <c r="I2326" s="2">
        <v>5</v>
      </c>
      <c r="J2326" s="2">
        <v>16</v>
      </c>
      <c r="K2326" s="4">
        <v>0.97613736869150702</v>
      </c>
      <c r="L2326" s="4">
        <v>0.88217412614943258</v>
      </c>
      <c r="M2326" s="4">
        <v>0.88217412614943258</v>
      </c>
      <c r="N2326" s="10">
        <v>0.88200000000000001</v>
      </c>
      <c r="O2326" s="4">
        <v>6.8691587108939611</v>
      </c>
      <c r="P2326" s="4">
        <v>6.87</v>
      </c>
      <c r="Q2326" s="3" t="s">
        <v>1597</v>
      </c>
      <c r="R2326" s="3" t="s">
        <v>1610</v>
      </c>
      <c r="S2326" s="3" t="s">
        <v>1611</v>
      </c>
      <c r="T2326" s="3"/>
    </row>
    <row r="2327" spans="1:20">
      <c r="A2327" s="3" t="s">
        <v>1600</v>
      </c>
      <c r="B2327" s="3" t="s">
        <v>1609</v>
      </c>
      <c r="C2327" s="3" t="s">
        <v>1596</v>
      </c>
      <c r="D2327" s="3" t="s">
        <v>1342</v>
      </c>
      <c r="E2327" s="3" t="s">
        <v>1343</v>
      </c>
      <c r="F2327" s="2">
        <v>1</v>
      </c>
      <c r="G2327" s="4">
        <v>1.0738133910846417</v>
      </c>
      <c r="H2327" s="2">
        <v>25</v>
      </c>
      <c r="I2327" s="2">
        <v>5</v>
      </c>
      <c r="J2327" s="2">
        <v>1</v>
      </c>
      <c r="K2327" s="4">
        <v>0.98009896968923049</v>
      </c>
      <c r="L2327" s="4">
        <v>0.85807434377960656</v>
      </c>
      <c r="M2327" s="4">
        <v>0.85807434377960656</v>
      </c>
      <c r="N2327" s="10">
        <v>0.85799999999999998</v>
      </c>
      <c r="O2327" s="4">
        <v>6.375887699138973</v>
      </c>
      <c r="P2327" s="4">
        <v>6.37</v>
      </c>
      <c r="Q2327" s="3" t="s">
        <v>1597</v>
      </c>
      <c r="R2327" s="3" t="s">
        <v>1610</v>
      </c>
      <c r="S2327" s="3" t="s">
        <v>1611</v>
      </c>
      <c r="T2327" s="3"/>
    </row>
    <row r="2328" spans="1:20">
      <c r="A2328" s="3" t="s">
        <v>1600</v>
      </c>
      <c r="B2328" s="3" t="s">
        <v>1601</v>
      </c>
      <c r="C2328" s="3" t="s">
        <v>1596</v>
      </c>
      <c r="D2328" s="3" t="s">
        <v>1342</v>
      </c>
      <c r="E2328" s="3" t="s">
        <v>1343</v>
      </c>
      <c r="F2328" s="2">
        <v>1</v>
      </c>
      <c r="G2328" s="4">
        <v>1.0738133910846417</v>
      </c>
      <c r="H2328" s="2">
        <v>25</v>
      </c>
      <c r="I2328" s="2">
        <v>5</v>
      </c>
      <c r="J2328" s="2">
        <v>16</v>
      </c>
      <c r="K2328" s="4">
        <v>1</v>
      </c>
      <c r="L2328" s="4">
        <v>0.78036951351823403</v>
      </c>
      <c r="M2328" s="4">
        <v>0.78036951351823403</v>
      </c>
      <c r="N2328" s="10">
        <v>0.78</v>
      </c>
      <c r="O2328" s="4">
        <v>5.1875623943381859</v>
      </c>
      <c r="P2328" s="4">
        <v>5.18</v>
      </c>
      <c r="Q2328" s="3" t="s">
        <v>1597</v>
      </c>
      <c r="R2328" s="3" t="s">
        <v>1602</v>
      </c>
      <c r="S2328" s="3" t="s">
        <v>1603</v>
      </c>
      <c r="T2328" s="3"/>
    </row>
    <row r="2329" spans="1:20">
      <c r="A2329" s="3" t="s">
        <v>1605</v>
      </c>
      <c r="B2329" s="3" t="s">
        <v>1601</v>
      </c>
      <c r="C2329" s="3" t="s">
        <v>1596</v>
      </c>
      <c r="D2329" s="3" t="s">
        <v>1342</v>
      </c>
      <c r="E2329" s="3" t="s">
        <v>1343</v>
      </c>
      <c r="F2329" s="2">
        <v>1</v>
      </c>
      <c r="G2329" s="4">
        <v>1.0738133910846417</v>
      </c>
      <c r="H2329" s="2">
        <v>25</v>
      </c>
      <c r="I2329" s="2">
        <v>5</v>
      </c>
      <c r="J2329" s="2">
        <v>16</v>
      </c>
      <c r="K2329" s="4">
        <v>1</v>
      </c>
      <c r="L2329" s="4">
        <v>0.76388599480751374</v>
      </c>
      <c r="M2329" s="4">
        <v>0.76388599480751374</v>
      </c>
      <c r="N2329" s="10">
        <v>0.76400000000000001</v>
      </c>
      <c r="O2329" s="4">
        <v>4.985105455597667</v>
      </c>
      <c r="P2329" s="4">
        <v>4.99</v>
      </c>
      <c r="Q2329" s="3" t="s">
        <v>1597</v>
      </c>
      <c r="R2329" s="3" t="s">
        <v>1602</v>
      </c>
      <c r="S2329" s="3" t="s">
        <v>1603</v>
      </c>
      <c r="T2329" s="3"/>
    </row>
    <row r="2330" spans="1:20">
      <c r="A2330" s="3" t="s">
        <v>1600</v>
      </c>
      <c r="B2330" s="3" t="s">
        <v>1601</v>
      </c>
      <c r="C2330" s="3" t="s">
        <v>1596</v>
      </c>
      <c r="D2330" s="3" t="s">
        <v>1342</v>
      </c>
      <c r="E2330" s="3" t="s">
        <v>1343</v>
      </c>
      <c r="F2330" s="2">
        <v>1</v>
      </c>
      <c r="G2330" s="4">
        <v>1.0738133910846417</v>
      </c>
      <c r="H2330" s="2">
        <v>25</v>
      </c>
      <c r="I2330" s="2">
        <v>5</v>
      </c>
      <c r="J2330" s="2">
        <v>1</v>
      </c>
      <c r="K2330" s="4">
        <v>0.95443316867242378</v>
      </c>
      <c r="L2330" s="4">
        <v>0.76374170756356696</v>
      </c>
      <c r="M2330" s="4">
        <v>0.76374170756356696</v>
      </c>
      <c r="N2330" s="10">
        <v>0.76400000000000001</v>
      </c>
      <c r="O2330" s="4">
        <v>4.9833882522621753</v>
      </c>
      <c r="P2330" s="4">
        <v>4.99</v>
      </c>
      <c r="Q2330" s="3" t="s">
        <v>1597</v>
      </c>
      <c r="R2330" s="3" t="s">
        <v>1602</v>
      </c>
      <c r="S2330" s="3" t="s">
        <v>1603</v>
      </c>
      <c r="T2330" s="3"/>
    </row>
    <row r="2331" spans="1:20">
      <c r="A2331" s="3" t="s">
        <v>1604</v>
      </c>
      <c r="B2331" s="3" t="s">
        <v>1601</v>
      </c>
      <c r="C2331" s="3" t="s">
        <v>1596</v>
      </c>
      <c r="D2331" s="3" t="s">
        <v>1342</v>
      </c>
      <c r="E2331" s="3" t="s">
        <v>1343</v>
      </c>
      <c r="F2331" s="2">
        <v>1</v>
      </c>
      <c r="G2331" s="4">
        <v>1.0738133910846417</v>
      </c>
      <c r="H2331" s="2">
        <v>25</v>
      </c>
      <c r="I2331" s="2">
        <v>30</v>
      </c>
      <c r="J2331" s="2">
        <v>16</v>
      </c>
      <c r="K2331" s="4">
        <v>1</v>
      </c>
      <c r="L2331" s="4">
        <v>0.68511737022729569</v>
      </c>
      <c r="M2331" s="4">
        <v>0.68511737022729569</v>
      </c>
      <c r="N2331" s="10">
        <v>0.68500000000000005</v>
      </c>
      <c r="O2331" s="4">
        <v>4.1581977428660126</v>
      </c>
      <c r="P2331" s="4">
        <v>4.16</v>
      </c>
      <c r="Q2331" s="3" t="s">
        <v>1597</v>
      </c>
      <c r="R2331" s="3" t="s">
        <v>1602</v>
      </c>
      <c r="S2331" s="3" t="s">
        <v>1603</v>
      </c>
      <c r="T2331" s="3"/>
    </row>
    <row r="2332" spans="1:20">
      <c r="A2332" s="3" t="s">
        <v>1600</v>
      </c>
      <c r="B2332" s="3" t="s">
        <v>1601</v>
      </c>
      <c r="C2332" s="3" t="s">
        <v>1616</v>
      </c>
      <c r="D2332" s="3" t="s">
        <v>1342</v>
      </c>
      <c r="E2332" s="3" t="s">
        <v>1343</v>
      </c>
      <c r="F2332" s="2">
        <v>1</v>
      </c>
      <c r="G2332" s="4">
        <v>1.0738133910846417</v>
      </c>
      <c r="H2332" s="2">
        <v>25</v>
      </c>
      <c r="I2332" s="2">
        <v>5</v>
      </c>
      <c r="J2332" s="2">
        <v>1</v>
      </c>
      <c r="K2332" s="4">
        <v>1</v>
      </c>
      <c r="L2332" s="4">
        <v>0.6722975058602676</v>
      </c>
      <c r="M2332" s="4">
        <v>0.6722975058602676</v>
      </c>
      <c r="N2332" s="10">
        <v>0.67200000000000004</v>
      </c>
      <c r="O2332" s="4">
        <v>4.0403401947060331</v>
      </c>
      <c r="P2332" s="4">
        <v>4.04</v>
      </c>
      <c r="Q2332" s="3" t="s">
        <v>1597</v>
      </c>
      <c r="R2332" s="3" t="s">
        <v>1602</v>
      </c>
      <c r="S2332" s="3" t="s">
        <v>1603</v>
      </c>
      <c r="T2332" s="3"/>
    </row>
    <row r="2333" spans="1:20">
      <c r="A2333" s="3" t="s">
        <v>1600</v>
      </c>
      <c r="B2333" s="3" t="s">
        <v>1601</v>
      </c>
      <c r="C2333" s="3" t="s">
        <v>1616</v>
      </c>
      <c r="D2333" s="3" t="s">
        <v>1342</v>
      </c>
      <c r="E2333" s="3" t="s">
        <v>1343</v>
      </c>
      <c r="F2333" s="2">
        <v>1</v>
      </c>
      <c r="G2333" s="4">
        <v>1.0738133910846417</v>
      </c>
      <c r="H2333" s="2">
        <v>25</v>
      </c>
      <c r="I2333" s="2">
        <v>5</v>
      </c>
      <c r="J2333" s="2">
        <v>16</v>
      </c>
      <c r="K2333" s="4">
        <v>1</v>
      </c>
      <c r="L2333" s="4">
        <v>0.66158466356484025</v>
      </c>
      <c r="M2333" s="4">
        <v>0.66158466356484025</v>
      </c>
      <c r="N2333" s="10">
        <v>0.66200000000000003</v>
      </c>
      <c r="O2333" s="4">
        <v>3.9446657820137334</v>
      </c>
      <c r="P2333" s="4">
        <v>3.95</v>
      </c>
      <c r="Q2333" s="3" t="s">
        <v>1597</v>
      </c>
      <c r="R2333" s="3" t="s">
        <v>1602</v>
      </c>
      <c r="S2333" s="3" t="s">
        <v>1603</v>
      </c>
      <c r="T2333" s="3"/>
    </row>
    <row r="2334" spans="1:20">
      <c r="A2334" s="3" t="s">
        <v>1604</v>
      </c>
      <c r="B2334" s="3" t="s">
        <v>1601</v>
      </c>
      <c r="C2334" s="3" t="s">
        <v>1616</v>
      </c>
      <c r="D2334" s="3" t="s">
        <v>1342</v>
      </c>
      <c r="E2334" s="3" t="s">
        <v>1343</v>
      </c>
      <c r="F2334" s="2">
        <v>1</v>
      </c>
      <c r="G2334" s="4">
        <v>1.0738133910846417</v>
      </c>
      <c r="H2334" s="2">
        <v>25</v>
      </c>
      <c r="I2334" s="2">
        <v>30</v>
      </c>
      <c r="J2334" s="2">
        <v>16</v>
      </c>
      <c r="K2334" s="4">
        <v>1</v>
      </c>
      <c r="L2334" s="4">
        <v>0.63268267842892512</v>
      </c>
      <c r="M2334" s="4">
        <v>0.63268267842892512</v>
      </c>
      <c r="N2334" s="10">
        <v>0.63300000000000001</v>
      </c>
      <c r="O2334" s="4">
        <v>3.6980098109282395</v>
      </c>
      <c r="P2334" s="4">
        <v>3.7</v>
      </c>
      <c r="Q2334" s="3" t="s">
        <v>1597</v>
      </c>
      <c r="R2334" s="3" t="s">
        <v>1602</v>
      </c>
      <c r="S2334" s="3" t="s">
        <v>1603</v>
      </c>
      <c r="T2334" s="3"/>
    </row>
    <row r="2335" spans="1:20">
      <c r="A2335" s="3" t="s">
        <v>1600</v>
      </c>
      <c r="B2335" s="3" t="s">
        <v>1606</v>
      </c>
      <c r="C2335" s="3" t="s">
        <v>1596</v>
      </c>
      <c r="D2335" s="3" t="s">
        <v>1342</v>
      </c>
      <c r="E2335" s="3" t="s">
        <v>1343</v>
      </c>
      <c r="F2335" s="2">
        <v>1</v>
      </c>
      <c r="G2335" s="4">
        <v>1.0738133910846417</v>
      </c>
      <c r="H2335" s="2">
        <v>25</v>
      </c>
      <c r="I2335" s="2">
        <v>5</v>
      </c>
      <c r="J2335" s="2">
        <v>1</v>
      </c>
      <c r="K2335" s="4">
        <v>1</v>
      </c>
      <c r="L2335" s="4">
        <v>0.4988228116420409</v>
      </c>
      <c r="M2335" s="4">
        <v>0.4988228116420409</v>
      </c>
      <c r="N2335" s="10">
        <v>0.499</v>
      </c>
      <c r="O2335" s="4">
        <v>2.715649096347954</v>
      </c>
      <c r="P2335" s="4">
        <v>2.72</v>
      </c>
      <c r="Q2335" s="3" t="s">
        <v>1597</v>
      </c>
      <c r="R2335" s="3" t="s">
        <v>1607</v>
      </c>
      <c r="S2335" s="3" t="s">
        <v>1608</v>
      </c>
      <c r="T2335" s="3"/>
    </row>
    <row r="2336" spans="1:20">
      <c r="A2336" s="3" t="s">
        <v>1600</v>
      </c>
      <c r="B2336" s="3" t="s">
        <v>1606</v>
      </c>
      <c r="C2336" s="3" t="s">
        <v>1596</v>
      </c>
      <c r="D2336" s="3" t="s">
        <v>1342</v>
      </c>
      <c r="E2336" s="3" t="s">
        <v>1343</v>
      </c>
      <c r="F2336" s="2">
        <v>1</v>
      </c>
      <c r="G2336" s="4">
        <v>1.0738133910846417</v>
      </c>
      <c r="H2336" s="2">
        <v>25</v>
      </c>
      <c r="I2336" s="2">
        <v>5</v>
      </c>
      <c r="J2336" s="2">
        <v>16</v>
      </c>
      <c r="K2336" s="4">
        <v>0.99847387350705941</v>
      </c>
      <c r="L2336" s="4">
        <v>0.47670583908247893</v>
      </c>
      <c r="M2336" s="4">
        <v>0.47670583908247893</v>
      </c>
      <c r="N2336" s="10">
        <v>0.47699999999999998</v>
      </c>
      <c r="O2336" s="4">
        <v>2.5717444178915878</v>
      </c>
      <c r="P2336" s="4">
        <v>2.57</v>
      </c>
      <c r="Q2336" s="3" t="s">
        <v>1597</v>
      </c>
      <c r="R2336" s="3" t="s">
        <v>1607</v>
      </c>
      <c r="S2336" s="3" t="s">
        <v>1608</v>
      </c>
      <c r="T2336" s="3"/>
    </row>
    <row r="2337" spans="1:20">
      <c r="A2337" s="3" t="s">
        <v>1600</v>
      </c>
      <c r="B2337" s="3" t="s">
        <v>1609</v>
      </c>
      <c r="C2337" s="3" t="s">
        <v>1616</v>
      </c>
      <c r="D2337" s="3" t="s">
        <v>1342</v>
      </c>
      <c r="E2337" s="3" t="s">
        <v>1343</v>
      </c>
      <c r="F2337" s="2">
        <v>1</v>
      </c>
      <c r="G2337" s="4">
        <v>1.0738133910846417</v>
      </c>
      <c r="H2337" s="2">
        <v>25</v>
      </c>
      <c r="I2337" s="2">
        <v>5</v>
      </c>
      <c r="J2337" s="2">
        <v>16</v>
      </c>
      <c r="K2337" s="4">
        <v>0.96893109290829527</v>
      </c>
      <c r="L2337" s="4">
        <v>0.32625754634701182</v>
      </c>
      <c r="M2337" s="4">
        <v>0.32625754634701182</v>
      </c>
      <c r="N2337" s="10">
        <v>0.32600000000000001</v>
      </c>
      <c r="O2337" s="4">
        <v>1.6789269539451923</v>
      </c>
      <c r="P2337" s="4">
        <v>1.68</v>
      </c>
      <c r="Q2337" s="3" t="s">
        <v>1597</v>
      </c>
      <c r="R2337" s="3" t="s">
        <v>1610</v>
      </c>
      <c r="S2337" s="3" t="s">
        <v>1611</v>
      </c>
      <c r="T2337" s="3"/>
    </row>
    <row r="2338" spans="1:20">
      <c r="A2338" s="3" t="s">
        <v>1600</v>
      </c>
      <c r="B2338" s="3" t="s">
        <v>1606</v>
      </c>
      <c r="C2338" s="3" t="s">
        <v>1616</v>
      </c>
      <c r="D2338" s="3" t="s">
        <v>1342</v>
      </c>
      <c r="E2338" s="3" t="s">
        <v>1343</v>
      </c>
      <c r="F2338" s="2">
        <v>1</v>
      </c>
      <c r="G2338" s="4">
        <v>1.0738133910846417</v>
      </c>
      <c r="H2338" s="2">
        <v>25</v>
      </c>
      <c r="I2338" s="2">
        <v>5</v>
      </c>
      <c r="J2338" s="2">
        <v>1</v>
      </c>
      <c r="K2338" s="4">
        <v>0.9882939757093655</v>
      </c>
      <c r="L2338" s="4">
        <v>0.30832478922693302</v>
      </c>
      <c r="M2338" s="4">
        <v>0.30832478922693302</v>
      </c>
      <c r="N2338" s="10">
        <v>0.308</v>
      </c>
      <c r="O2338" s="4">
        <v>1.5800603879697601</v>
      </c>
      <c r="P2338" s="4">
        <v>1.58</v>
      </c>
      <c r="Q2338" s="3" t="s">
        <v>1597</v>
      </c>
      <c r="R2338" s="3" t="s">
        <v>1607</v>
      </c>
      <c r="S2338" s="3" t="s">
        <v>1608</v>
      </c>
      <c r="T2338" s="3"/>
    </row>
    <row r="2339" spans="1:20">
      <c r="A2339" s="3" t="s">
        <v>1600</v>
      </c>
      <c r="B2339" s="3" t="s">
        <v>1606</v>
      </c>
      <c r="C2339" s="3" t="s">
        <v>1616</v>
      </c>
      <c r="D2339" s="3" t="s">
        <v>1342</v>
      </c>
      <c r="E2339" s="3" t="s">
        <v>1343</v>
      </c>
      <c r="F2339" s="2">
        <v>1</v>
      </c>
      <c r="G2339" s="4">
        <v>1.0738133910846417</v>
      </c>
      <c r="H2339" s="2">
        <v>25</v>
      </c>
      <c r="I2339" s="2">
        <v>5</v>
      </c>
      <c r="J2339" s="2">
        <v>16</v>
      </c>
      <c r="K2339" s="4">
        <v>1</v>
      </c>
      <c r="L2339" s="4">
        <v>0.30522497947038185</v>
      </c>
      <c r="M2339" s="4">
        <v>0.30522497947038185</v>
      </c>
      <c r="N2339" s="10">
        <v>0.30499999999999999</v>
      </c>
      <c r="O2339" s="4">
        <v>1.5630950911064367</v>
      </c>
      <c r="P2339" s="4">
        <v>1.56</v>
      </c>
      <c r="Q2339" s="3" t="s">
        <v>1597</v>
      </c>
      <c r="R2339" s="3" t="s">
        <v>1607</v>
      </c>
      <c r="S2339" s="3" t="s">
        <v>1608</v>
      </c>
      <c r="T2339" s="3"/>
    </row>
    <row r="2340" spans="1:20">
      <c r="A2340" s="3" t="s">
        <v>1600</v>
      </c>
      <c r="B2340" s="3" t="s">
        <v>1609</v>
      </c>
      <c r="C2340" s="3" t="s">
        <v>1616</v>
      </c>
      <c r="D2340" s="3" t="s">
        <v>1342</v>
      </c>
      <c r="E2340" s="3" t="s">
        <v>1343</v>
      </c>
      <c r="F2340" s="2">
        <v>1</v>
      </c>
      <c r="G2340" s="4">
        <v>1.0738133910846417</v>
      </c>
      <c r="H2340" s="2">
        <v>25</v>
      </c>
      <c r="I2340" s="2">
        <v>5</v>
      </c>
      <c r="J2340" s="2">
        <v>1</v>
      </c>
      <c r="K2340" s="4">
        <v>0.95386078782605588</v>
      </c>
      <c r="L2340" s="4">
        <v>0.24480587238848112</v>
      </c>
      <c r="M2340" s="4">
        <v>0.24480587238848112</v>
      </c>
      <c r="N2340" s="10">
        <v>0.245</v>
      </c>
      <c r="O2340" s="4">
        <v>1.2388892146777073</v>
      </c>
      <c r="P2340" s="4">
        <v>1.24</v>
      </c>
      <c r="Q2340" s="3" t="s">
        <v>1597</v>
      </c>
      <c r="R2340" s="3" t="s">
        <v>1610</v>
      </c>
      <c r="S2340" s="3" t="s">
        <v>1611</v>
      </c>
      <c r="T2340" s="3"/>
    </row>
    <row r="2341" spans="1:20">
      <c r="A2341" s="3" t="s">
        <v>1594</v>
      </c>
      <c r="B2341" s="3" t="s">
        <v>1595</v>
      </c>
      <c r="C2341" s="3" t="s">
        <v>1596</v>
      </c>
      <c r="D2341" s="3" t="s">
        <v>1342</v>
      </c>
      <c r="E2341" s="3" t="s">
        <v>1343</v>
      </c>
      <c r="F2341" s="2">
        <v>1</v>
      </c>
      <c r="G2341" s="4">
        <v>1.0738133910846417</v>
      </c>
      <c r="H2341" s="2">
        <v>25</v>
      </c>
      <c r="I2341" s="2">
        <v>5</v>
      </c>
      <c r="J2341" s="2">
        <v>16</v>
      </c>
      <c r="K2341" s="4">
        <v>1</v>
      </c>
      <c r="L2341" s="4">
        <v>-0.32104408868042572</v>
      </c>
      <c r="M2341" s="4">
        <v>0.32104408868042572</v>
      </c>
      <c r="N2341" s="10">
        <v>0.32100000000000001</v>
      </c>
      <c r="O2341" s="4">
        <v>1.650054479221909</v>
      </c>
      <c r="P2341" s="4">
        <v>-1.65</v>
      </c>
      <c r="Q2341" s="3" t="s">
        <v>1617</v>
      </c>
      <c r="R2341" s="3" t="s">
        <v>1625</v>
      </c>
      <c r="S2341" s="3" t="s">
        <v>1626</v>
      </c>
      <c r="T2341" s="3"/>
    </row>
    <row r="2342" spans="1:20">
      <c r="A2342" s="3" t="s">
        <v>1594</v>
      </c>
      <c r="B2342" s="3" t="s">
        <v>1595</v>
      </c>
      <c r="C2342" s="3" t="s">
        <v>1596</v>
      </c>
      <c r="D2342" s="3" t="s">
        <v>1342</v>
      </c>
      <c r="E2342" s="3" t="s">
        <v>1343</v>
      </c>
      <c r="F2342" s="2">
        <v>1</v>
      </c>
      <c r="G2342" s="4">
        <v>1.0738133910846417</v>
      </c>
      <c r="H2342" s="2">
        <v>50</v>
      </c>
      <c r="I2342" s="2">
        <v>5</v>
      </c>
      <c r="J2342" s="2">
        <v>16</v>
      </c>
      <c r="K2342" s="4">
        <v>1</v>
      </c>
      <c r="L2342" s="4">
        <v>-0.32881318918039298</v>
      </c>
      <c r="M2342" s="4">
        <v>0.32881318918039298</v>
      </c>
      <c r="N2342" s="10">
        <v>0.32900000000000001</v>
      </c>
      <c r="O2342" s="4">
        <v>1.8350891738107267</v>
      </c>
      <c r="P2342" s="4">
        <v>-1.84</v>
      </c>
      <c r="Q2342" s="3" t="s">
        <v>1617</v>
      </c>
      <c r="R2342" s="3" t="s">
        <v>1625</v>
      </c>
      <c r="S2342" s="3" t="s">
        <v>1626</v>
      </c>
      <c r="T2342" s="3"/>
    </row>
    <row r="2343" spans="1:20">
      <c r="A2343" s="3" t="s">
        <v>1594</v>
      </c>
      <c r="B2343" s="3" t="s">
        <v>1612</v>
      </c>
      <c r="C2343" s="3" t="s">
        <v>1596</v>
      </c>
      <c r="D2343" s="3" t="s">
        <v>1342</v>
      </c>
      <c r="E2343" s="3" t="s">
        <v>1343</v>
      </c>
      <c r="F2343" s="2">
        <v>1</v>
      </c>
      <c r="G2343" s="4">
        <v>1.0738133910846417</v>
      </c>
      <c r="H2343" s="2">
        <v>50</v>
      </c>
      <c r="I2343" s="2">
        <v>5</v>
      </c>
      <c r="J2343" s="2">
        <v>16</v>
      </c>
      <c r="K2343" s="4">
        <v>0.95679832793953012</v>
      </c>
      <c r="L2343" s="4">
        <v>-0.38157641031291317</v>
      </c>
      <c r="M2343" s="4">
        <v>0.38157641031291317</v>
      </c>
      <c r="N2343" s="10">
        <v>0.38200000000000001</v>
      </c>
      <c r="O2343" s="4">
        <v>2.1596927929052838</v>
      </c>
      <c r="P2343" s="4">
        <v>-2.16</v>
      </c>
      <c r="Q2343" s="3" t="s">
        <v>1617</v>
      </c>
      <c r="R2343" s="3" t="s">
        <v>1627</v>
      </c>
      <c r="S2343" s="3" t="s">
        <v>1628</v>
      </c>
      <c r="T2343" s="3"/>
    </row>
    <row r="2344" spans="1:20">
      <c r="A2344" s="3" t="s">
        <v>1594</v>
      </c>
      <c r="B2344" s="3" t="s">
        <v>1612</v>
      </c>
      <c r="C2344" s="3" t="s">
        <v>1596</v>
      </c>
      <c r="D2344" s="3" t="s">
        <v>851</v>
      </c>
      <c r="E2344" s="3" t="s">
        <v>852</v>
      </c>
      <c r="F2344" s="2">
        <v>1</v>
      </c>
      <c r="G2344" s="4">
        <v>1.0743581677837732</v>
      </c>
      <c r="H2344" s="2">
        <v>50</v>
      </c>
      <c r="I2344" s="2">
        <v>5</v>
      </c>
      <c r="J2344" s="2">
        <v>16</v>
      </c>
      <c r="K2344" s="4">
        <v>0.25724929726432799</v>
      </c>
      <c r="L2344" s="4">
        <v>9.9747861038728125E-2</v>
      </c>
      <c r="M2344" s="4">
        <v>9.9747861038728125E-2</v>
      </c>
      <c r="N2344" s="10">
        <v>0.1</v>
      </c>
      <c r="O2344" s="4">
        <v>0.53779961962253653</v>
      </c>
      <c r="P2344" s="4">
        <v>0.54</v>
      </c>
      <c r="Q2344" s="3" t="s">
        <v>1597</v>
      </c>
      <c r="R2344" s="3" t="s">
        <v>1613</v>
      </c>
      <c r="S2344" s="3" t="s">
        <v>1614</v>
      </c>
      <c r="T2344" s="3"/>
    </row>
    <row r="2345" spans="1:20">
      <c r="A2345" s="3" t="s">
        <v>1600</v>
      </c>
      <c r="B2345" s="3" t="s">
        <v>1601</v>
      </c>
      <c r="C2345" s="3" t="s">
        <v>1596</v>
      </c>
      <c r="D2345" s="3" t="s">
        <v>851</v>
      </c>
      <c r="E2345" s="3" t="s">
        <v>852</v>
      </c>
      <c r="F2345" s="2">
        <v>1</v>
      </c>
      <c r="G2345" s="4">
        <v>1.0743581677837732</v>
      </c>
      <c r="H2345" s="2">
        <v>25</v>
      </c>
      <c r="I2345" s="2">
        <v>5</v>
      </c>
      <c r="J2345" s="2">
        <v>1</v>
      </c>
      <c r="K2345" s="4">
        <v>0</v>
      </c>
      <c r="L2345" s="4">
        <v>0</v>
      </c>
      <c r="M2345" s="4">
        <v>0</v>
      </c>
      <c r="N2345" s="10">
        <v>0</v>
      </c>
      <c r="O2345" s="4">
        <v>0</v>
      </c>
      <c r="P2345" s="4">
        <v>0</v>
      </c>
      <c r="Q2345" s="3" t="s">
        <v>1617</v>
      </c>
      <c r="R2345" s="3" t="s">
        <v>1618</v>
      </c>
      <c r="S2345" s="3" t="s">
        <v>1619</v>
      </c>
      <c r="T2345" s="3"/>
    </row>
    <row r="2346" spans="1:20">
      <c r="A2346" s="3" t="s">
        <v>1600</v>
      </c>
      <c r="B2346" s="3" t="s">
        <v>1606</v>
      </c>
      <c r="C2346" s="3" t="s">
        <v>1596</v>
      </c>
      <c r="D2346" s="3" t="s">
        <v>851</v>
      </c>
      <c r="E2346" s="3" t="s">
        <v>852</v>
      </c>
      <c r="F2346" s="2">
        <v>1</v>
      </c>
      <c r="G2346" s="4">
        <v>1.0743581677837732</v>
      </c>
      <c r="H2346" s="2">
        <v>25</v>
      </c>
      <c r="I2346" s="2">
        <v>5</v>
      </c>
      <c r="J2346" s="2">
        <v>1</v>
      </c>
      <c r="K2346" s="4">
        <v>0</v>
      </c>
      <c r="L2346" s="4">
        <v>0</v>
      </c>
      <c r="M2346" s="4">
        <v>0</v>
      </c>
      <c r="N2346" s="10">
        <v>0</v>
      </c>
      <c r="O2346" s="4">
        <v>0</v>
      </c>
      <c r="P2346" s="4">
        <v>0</v>
      </c>
      <c r="Q2346" s="3" t="s">
        <v>1617</v>
      </c>
      <c r="R2346" s="3" t="s">
        <v>1621</v>
      </c>
      <c r="S2346" s="3" t="s">
        <v>1622</v>
      </c>
      <c r="T2346" s="3"/>
    </row>
    <row r="2347" spans="1:20">
      <c r="A2347" s="3" t="s">
        <v>1600</v>
      </c>
      <c r="B2347" s="3" t="s">
        <v>1606</v>
      </c>
      <c r="C2347" s="3" t="s">
        <v>1616</v>
      </c>
      <c r="D2347" s="3" t="s">
        <v>851</v>
      </c>
      <c r="E2347" s="3" t="s">
        <v>852</v>
      </c>
      <c r="F2347" s="2">
        <v>1</v>
      </c>
      <c r="G2347" s="4">
        <v>1.0743581677837732</v>
      </c>
      <c r="H2347" s="2">
        <v>25</v>
      </c>
      <c r="I2347" s="2">
        <v>5</v>
      </c>
      <c r="J2347" s="2">
        <v>1</v>
      </c>
      <c r="K2347" s="4">
        <v>0</v>
      </c>
      <c r="L2347" s="4">
        <v>0</v>
      </c>
      <c r="M2347" s="4">
        <v>0</v>
      </c>
      <c r="N2347" s="10">
        <v>0</v>
      </c>
      <c r="O2347" s="4">
        <v>0</v>
      </c>
      <c r="P2347" s="4">
        <v>0</v>
      </c>
      <c r="Q2347" s="3" t="s">
        <v>1617</v>
      </c>
      <c r="R2347" s="3" t="s">
        <v>1621</v>
      </c>
      <c r="S2347" s="3" t="s">
        <v>1622</v>
      </c>
      <c r="T2347" s="3"/>
    </row>
    <row r="2348" spans="1:20">
      <c r="A2348" s="3" t="s">
        <v>1604</v>
      </c>
      <c r="B2348" s="3" t="s">
        <v>1601</v>
      </c>
      <c r="C2348" s="3" t="s">
        <v>1596</v>
      </c>
      <c r="D2348" s="3" t="s">
        <v>851</v>
      </c>
      <c r="E2348" s="3" t="s">
        <v>852</v>
      </c>
      <c r="F2348" s="2">
        <v>1</v>
      </c>
      <c r="G2348" s="4">
        <v>1.0743581677837732</v>
      </c>
      <c r="H2348" s="2">
        <v>25</v>
      </c>
      <c r="I2348" s="2">
        <v>30</v>
      </c>
      <c r="J2348" s="2">
        <v>16</v>
      </c>
      <c r="K2348" s="4">
        <v>0.19331787973650427</v>
      </c>
      <c r="L2348" s="4">
        <v>-8.5718424829538174E-4</v>
      </c>
      <c r="M2348" s="4">
        <v>8.5718424829538174E-4</v>
      </c>
      <c r="N2348" s="10">
        <v>1E-3</v>
      </c>
      <c r="O2348" s="4">
        <v>4.2498659841554969E-3</v>
      </c>
      <c r="P2348" s="4">
        <v>0</v>
      </c>
      <c r="Q2348" s="3" t="s">
        <v>1617</v>
      </c>
      <c r="R2348" s="3" t="s">
        <v>1618</v>
      </c>
      <c r="S2348" s="3" t="s">
        <v>1619</v>
      </c>
      <c r="T2348" s="3"/>
    </row>
    <row r="2349" spans="1:20">
      <c r="A2349" s="3" t="s">
        <v>1605</v>
      </c>
      <c r="B2349" s="3" t="s">
        <v>1601</v>
      </c>
      <c r="C2349" s="3" t="s">
        <v>1596</v>
      </c>
      <c r="D2349" s="3" t="s">
        <v>851</v>
      </c>
      <c r="E2349" s="3" t="s">
        <v>852</v>
      </c>
      <c r="F2349" s="2">
        <v>1</v>
      </c>
      <c r="G2349" s="4">
        <v>1.0743581677837732</v>
      </c>
      <c r="H2349" s="2">
        <v>25</v>
      </c>
      <c r="I2349" s="2">
        <v>5</v>
      </c>
      <c r="J2349" s="2">
        <v>16</v>
      </c>
      <c r="K2349" s="4">
        <v>7.1654705113644912E-2</v>
      </c>
      <c r="L2349" s="4">
        <v>-1.6373334598983318E-2</v>
      </c>
      <c r="M2349" s="4">
        <v>1.6373334598983318E-2</v>
      </c>
      <c r="N2349" s="10">
        <v>1.6E-2</v>
      </c>
      <c r="O2349" s="4">
        <v>8.118520617245141E-2</v>
      </c>
      <c r="P2349" s="4">
        <v>-0.08</v>
      </c>
      <c r="Q2349" s="3" t="s">
        <v>1617</v>
      </c>
      <c r="R2349" s="3" t="s">
        <v>1618</v>
      </c>
      <c r="S2349" s="3" t="s">
        <v>1619</v>
      </c>
      <c r="T2349" s="3"/>
    </row>
    <row r="2350" spans="1:20">
      <c r="A2350" s="3" t="s">
        <v>1600</v>
      </c>
      <c r="B2350" s="3" t="s">
        <v>1601</v>
      </c>
      <c r="C2350" s="3" t="s">
        <v>1596</v>
      </c>
      <c r="D2350" s="3" t="s">
        <v>851</v>
      </c>
      <c r="E2350" s="3" t="s">
        <v>852</v>
      </c>
      <c r="F2350" s="2">
        <v>1</v>
      </c>
      <c r="G2350" s="4">
        <v>1.0743581677837732</v>
      </c>
      <c r="H2350" s="2">
        <v>25</v>
      </c>
      <c r="I2350" s="2">
        <v>5</v>
      </c>
      <c r="J2350" s="2">
        <v>16</v>
      </c>
      <c r="K2350" s="4">
        <v>7.2407279815623005E-2</v>
      </c>
      <c r="L2350" s="4">
        <v>-0.11177059920674064</v>
      </c>
      <c r="M2350" s="4">
        <v>0.11177059920674064</v>
      </c>
      <c r="N2350" s="10">
        <v>0.112</v>
      </c>
      <c r="O2350" s="4">
        <v>0.55647657954576002</v>
      </c>
      <c r="P2350" s="4">
        <v>-0.56000000000000005</v>
      </c>
      <c r="Q2350" s="3" t="s">
        <v>1617</v>
      </c>
      <c r="R2350" s="3" t="s">
        <v>1618</v>
      </c>
      <c r="S2350" s="3" t="s">
        <v>1619</v>
      </c>
      <c r="T2350" s="3"/>
    </row>
    <row r="2351" spans="1:20">
      <c r="A2351" s="3" t="s">
        <v>1604</v>
      </c>
      <c r="B2351" s="3" t="s">
        <v>1601</v>
      </c>
      <c r="C2351" s="3" t="s">
        <v>1616</v>
      </c>
      <c r="D2351" s="3" t="s">
        <v>851</v>
      </c>
      <c r="E2351" s="3" t="s">
        <v>852</v>
      </c>
      <c r="F2351" s="2">
        <v>1</v>
      </c>
      <c r="G2351" s="4">
        <v>1.0743581677837732</v>
      </c>
      <c r="H2351" s="2">
        <v>25</v>
      </c>
      <c r="I2351" s="2">
        <v>30</v>
      </c>
      <c r="J2351" s="2">
        <v>16</v>
      </c>
      <c r="K2351" s="4">
        <v>0.73814626980481735</v>
      </c>
      <c r="L2351" s="4">
        <v>-0.11648922082392038</v>
      </c>
      <c r="M2351" s="4">
        <v>0.11648922082392038</v>
      </c>
      <c r="N2351" s="10">
        <v>0.11600000000000001</v>
      </c>
      <c r="O2351" s="4">
        <v>0.58018000366890621</v>
      </c>
      <c r="P2351" s="4">
        <v>-0.57999999999999996</v>
      </c>
      <c r="Q2351" s="3" t="s">
        <v>1617</v>
      </c>
      <c r="R2351" s="3" t="s">
        <v>1618</v>
      </c>
      <c r="S2351" s="3" t="s">
        <v>1619</v>
      </c>
      <c r="T2351" s="3"/>
    </row>
    <row r="2352" spans="1:20">
      <c r="A2352" s="3" t="s">
        <v>1600</v>
      </c>
      <c r="B2352" s="3" t="s">
        <v>1609</v>
      </c>
      <c r="C2352" s="3" t="s">
        <v>1596</v>
      </c>
      <c r="D2352" s="3" t="s">
        <v>851</v>
      </c>
      <c r="E2352" s="3" t="s">
        <v>852</v>
      </c>
      <c r="F2352" s="2">
        <v>1</v>
      </c>
      <c r="G2352" s="4">
        <v>1.0743581677837732</v>
      </c>
      <c r="H2352" s="2">
        <v>25</v>
      </c>
      <c r="I2352" s="2">
        <v>5</v>
      </c>
      <c r="J2352" s="2">
        <v>16</v>
      </c>
      <c r="K2352" s="4">
        <v>0.12381409428057544</v>
      </c>
      <c r="L2352" s="4">
        <v>-0.25425974281281921</v>
      </c>
      <c r="M2352" s="4">
        <v>0.25425974281281921</v>
      </c>
      <c r="N2352" s="10">
        <v>0.254</v>
      </c>
      <c r="O2352" s="4">
        <v>1.2888737413000311</v>
      </c>
      <c r="P2352" s="4">
        <v>-1.29</v>
      </c>
      <c r="Q2352" s="3" t="s">
        <v>1617</v>
      </c>
      <c r="R2352" s="3" t="s">
        <v>1623</v>
      </c>
      <c r="S2352" s="3" t="s">
        <v>1624</v>
      </c>
      <c r="T2352" s="3"/>
    </row>
    <row r="2353" spans="1:20">
      <c r="A2353" s="3" t="s">
        <v>1600</v>
      </c>
      <c r="B2353" s="3" t="s">
        <v>1606</v>
      </c>
      <c r="C2353" s="3" t="s">
        <v>1596</v>
      </c>
      <c r="D2353" s="3" t="s">
        <v>851</v>
      </c>
      <c r="E2353" s="3" t="s">
        <v>852</v>
      </c>
      <c r="F2353" s="2">
        <v>1</v>
      </c>
      <c r="G2353" s="4">
        <v>1.0743581677837732</v>
      </c>
      <c r="H2353" s="2">
        <v>25</v>
      </c>
      <c r="I2353" s="2">
        <v>5</v>
      </c>
      <c r="J2353" s="2">
        <v>16</v>
      </c>
      <c r="K2353" s="4">
        <v>0.17239415623539855</v>
      </c>
      <c r="L2353" s="4">
        <v>-0.2691328015990142</v>
      </c>
      <c r="M2353" s="4">
        <v>0.2691328015990142</v>
      </c>
      <c r="N2353" s="10">
        <v>0.26900000000000002</v>
      </c>
      <c r="O2353" s="4">
        <v>1.3680367847791601</v>
      </c>
      <c r="P2353" s="4">
        <v>-1.37</v>
      </c>
      <c r="Q2353" s="3" t="s">
        <v>1617</v>
      </c>
      <c r="R2353" s="3" t="s">
        <v>1621</v>
      </c>
      <c r="S2353" s="3" t="s">
        <v>1622</v>
      </c>
      <c r="T2353" s="3"/>
    </row>
    <row r="2354" spans="1:20">
      <c r="A2354" s="3" t="s">
        <v>1600</v>
      </c>
      <c r="B2354" s="3" t="s">
        <v>1606</v>
      </c>
      <c r="C2354" s="3" t="s">
        <v>1616</v>
      </c>
      <c r="D2354" s="3" t="s">
        <v>851</v>
      </c>
      <c r="E2354" s="3" t="s">
        <v>852</v>
      </c>
      <c r="F2354" s="2">
        <v>1</v>
      </c>
      <c r="G2354" s="4">
        <v>1.0743581677837732</v>
      </c>
      <c r="H2354" s="2">
        <v>25</v>
      </c>
      <c r="I2354" s="2">
        <v>5</v>
      </c>
      <c r="J2354" s="2">
        <v>16</v>
      </c>
      <c r="K2354" s="4">
        <v>0.2218883907742395</v>
      </c>
      <c r="L2354" s="4">
        <v>-0.31044202556208361</v>
      </c>
      <c r="M2354" s="4">
        <v>0.31044202556208361</v>
      </c>
      <c r="N2354" s="10">
        <v>0.31</v>
      </c>
      <c r="O2354" s="4">
        <v>1.5916686365436041</v>
      </c>
      <c r="P2354" s="4">
        <v>-1.59</v>
      </c>
      <c r="Q2354" s="3" t="s">
        <v>1617</v>
      </c>
      <c r="R2354" s="3" t="s">
        <v>1621</v>
      </c>
      <c r="S2354" s="3" t="s">
        <v>1622</v>
      </c>
      <c r="T2354" s="3"/>
    </row>
    <row r="2355" spans="1:20">
      <c r="A2355" s="3" t="s">
        <v>1600</v>
      </c>
      <c r="B2355" s="3" t="s">
        <v>1609</v>
      </c>
      <c r="C2355" s="3" t="s">
        <v>1616</v>
      </c>
      <c r="D2355" s="3" t="s">
        <v>851</v>
      </c>
      <c r="E2355" s="3" t="s">
        <v>852</v>
      </c>
      <c r="F2355" s="2">
        <v>1</v>
      </c>
      <c r="G2355" s="4">
        <v>1.0743581677837732</v>
      </c>
      <c r="H2355" s="2">
        <v>25</v>
      </c>
      <c r="I2355" s="2">
        <v>5</v>
      </c>
      <c r="J2355" s="2">
        <v>16</v>
      </c>
      <c r="K2355" s="4">
        <v>0.11814342998427774</v>
      </c>
      <c r="L2355" s="4">
        <v>-0.3437976139140434</v>
      </c>
      <c r="M2355" s="4">
        <v>0.3437976139140434</v>
      </c>
      <c r="N2355" s="10">
        <v>0.34399999999999997</v>
      </c>
      <c r="O2355" s="4">
        <v>1.7768888595673962</v>
      </c>
      <c r="P2355" s="4">
        <v>-1.78</v>
      </c>
      <c r="Q2355" s="3" t="s">
        <v>1617</v>
      </c>
      <c r="R2355" s="3" t="s">
        <v>1623</v>
      </c>
      <c r="S2355" s="3" t="s">
        <v>1624</v>
      </c>
      <c r="T2355" s="3"/>
    </row>
    <row r="2356" spans="1:20">
      <c r="A2356" s="3" t="s">
        <v>1600</v>
      </c>
      <c r="B2356" s="3" t="s">
        <v>1601</v>
      </c>
      <c r="C2356" s="3" t="s">
        <v>1616</v>
      </c>
      <c r="D2356" s="3" t="s">
        <v>851</v>
      </c>
      <c r="E2356" s="3" t="s">
        <v>852</v>
      </c>
      <c r="F2356" s="2">
        <v>1</v>
      </c>
      <c r="G2356" s="4">
        <v>1.0743581677837732</v>
      </c>
      <c r="H2356" s="2">
        <v>25</v>
      </c>
      <c r="I2356" s="2">
        <v>5</v>
      </c>
      <c r="J2356" s="2">
        <v>16</v>
      </c>
      <c r="K2356" s="4">
        <v>0.31430150836544624</v>
      </c>
      <c r="L2356" s="4">
        <v>-0.42113936918588485</v>
      </c>
      <c r="M2356" s="4">
        <v>0.42113936918588485</v>
      </c>
      <c r="N2356" s="10">
        <v>0.42099999999999999</v>
      </c>
      <c r="O2356" s="4">
        <v>2.2264913637590396</v>
      </c>
      <c r="P2356" s="4">
        <v>-2.23</v>
      </c>
      <c r="Q2356" s="3" t="s">
        <v>1617</v>
      </c>
      <c r="R2356" s="3" t="s">
        <v>1618</v>
      </c>
      <c r="S2356" s="3" t="s">
        <v>1619</v>
      </c>
      <c r="T2356" s="3"/>
    </row>
    <row r="2357" spans="1:20">
      <c r="A2357" s="3" t="s">
        <v>1600</v>
      </c>
      <c r="B2357" s="3" t="s">
        <v>1609</v>
      </c>
      <c r="C2357" s="3" t="s">
        <v>1616</v>
      </c>
      <c r="D2357" s="3" t="s">
        <v>851</v>
      </c>
      <c r="E2357" s="3" t="s">
        <v>852</v>
      </c>
      <c r="F2357" s="2">
        <v>1</v>
      </c>
      <c r="G2357" s="4">
        <v>1.0743581677837732</v>
      </c>
      <c r="H2357" s="2">
        <v>25</v>
      </c>
      <c r="I2357" s="2">
        <v>5</v>
      </c>
      <c r="J2357" s="2">
        <v>1</v>
      </c>
      <c r="K2357" s="4">
        <v>3.7607045633485492E-2</v>
      </c>
      <c r="L2357" s="4">
        <v>-0.54115685542346537</v>
      </c>
      <c r="M2357" s="4">
        <v>0.54115685542346537</v>
      </c>
      <c r="N2357" s="10">
        <v>0.54100000000000004</v>
      </c>
      <c r="O2357" s="4">
        <v>3.0034687560384534</v>
      </c>
      <c r="P2357" s="4">
        <v>-3</v>
      </c>
      <c r="Q2357" s="3" t="s">
        <v>1617</v>
      </c>
      <c r="R2357" s="3" t="s">
        <v>1623</v>
      </c>
      <c r="S2357" s="3" t="s">
        <v>1624</v>
      </c>
      <c r="T2357" s="3"/>
    </row>
    <row r="2358" spans="1:20">
      <c r="A2358" s="3" t="s">
        <v>1594</v>
      </c>
      <c r="B2358" s="3" t="s">
        <v>1595</v>
      </c>
      <c r="C2358" s="3" t="s">
        <v>1596</v>
      </c>
      <c r="D2358" s="3" t="s">
        <v>851</v>
      </c>
      <c r="E2358" s="3" t="s">
        <v>852</v>
      </c>
      <c r="F2358" s="2">
        <v>1</v>
      </c>
      <c r="G2358" s="4">
        <v>1.0743581677837732</v>
      </c>
      <c r="H2358" s="2">
        <v>25</v>
      </c>
      <c r="I2358" s="2">
        <v>5</v>
      </c>
      <c r="J2358" s="2">
        <v>16</v>
      </c>
      <c r="K2358" s="4">
        <v>2.6784545833783757E-2</v>
      </c>
      <c r="L2358" s="4">
        <v>-0.56000164331785873</v>
      </c>
      <c r="M2358" s="4">
        <v>0.56000164331785873</v>
      </c>
      <c r="N2358" s="10">
        <v>0.56000000000000005</v>
      </c>
      <c r="O2358" s="4">
        <v>3.1375585295222619</v>
      </c>
      <c r="P2358" s="4">
        <v>-3.14</v>
      </c>
      <c r="Q2358" s="3" t="s">
        <v>1617</v>
      </c>
      <c r="R2358" s="3" t="s">
        <v>1625</v>
      </c>
      <c r="S2358" s="3" t="s">
        <v>1626</v>
      </c>
      <c r="T2358" s="3"/>
    </row>
    <row r="2359" spans="1:20">
      <c r="A2359" s="3" t="s">
        <v>1594</v>
      </c>
      <c r="B2359" s="3" t="s">
        <v>1595</v>
      </c>
      <c r="C2359" s="3" t="s">
        <v>1596</v>
      </c>
      <c r="D2359" s="3" t="s">
        <v>851</v>
      </c>
      <c r="E2359" s="3" t="s">
        <v>852</v>
      </c>
      <c r="F2359" s="2">
        <v>1</v>
      </c>
      <c r="G2359" s="4">
        <v>1.0743581677837732</v>
      </c>
      <c r="H2359" s="2">
        <v>50</v>
      </c>
      <c r="I2359" s="2">
        <v>5</v>
      </c>
      <c r="J2359" s="2">
        <v>16</v>
      </c>
      <c r="K2359" s="4">
        <v>0.42486348595967627</v>
      </c>
      <c r="L2359" s="4">
        <v>-0.56679974402668132</v>
      </c>
      <c r="M2359" s="4">
        <v>0.56679974402668132</v>
      </c>
      <c r="N2359" s="10">
        <v>0.56699999999999995</v>
      </c>
      <c r="O2359" s="4">
        <v>3.4541635405817059</v>
      </c>
      <c r="P2359" s="4">
        <v>-3.46</v>
      </c>
      <c r="Q2359" s="3" t="s">
        <v>1617</v>
      </c>
      <c r="R2359" s="3" t="s">
        <v>1625</v>
      </c>
      <c r="S2359" s="3" t="s">
        <v>1626</v>
      </c>
      <c r="T2359" s="3"/>
    </row>
    <row r="2360" spans="1:20">
      <c r="A2360" s="3" t="s">
        <v>1600</v>
      </c>
      <c r="B2360" s="3" t="s">
        <v>1601</v>
      </c>
      <c r="C2360" s="3" t="s">
        <v>1616</v>
      </c>
      <c r="D2360" s="3" t="s">
        <v>851</v>
      </c>
      <c r="E2360" s="3" t="s">
        <v>852</v>
      </c>
      <c r="F2360" s="2">
        <v>1</v>
      </c>
      <c r="G2360" s="4">
        <v>1.0743581677837732</v>
      </c>
      <c r="H2360" s="2">
        <v>25</v>
      </c>
      <c r="I2360" s="2">
        <v>5</v>
      </c>
      <c r="J2360" s="2">
        <v>1</v>
      </c>
      <c r="K2360" s="4">
        <v>1.9005741272638321E-2</v>
      </c>
      <c r="L2360" s="4">
        <v>-1</v>
      </c>
      <c r="M2360" s="4">
        <v>1</v>
      </c>
      <c r="N2360" s="10">
        <v>0.995</v>
      </c>
      <c r="O2360" s="4">
        <v>14.85</v>
      </c>
      <c r="P2360" s="4">
        <v>-14.85</v>
      </c>
      <c r="Q2360" s="3" t="s">
        <v>1617</v>
      </c>
      <c r="R2360" s="3" t="s">
        <v>1618</v>
      </c>
      <c r="S2360" s="3" t="s">
        <v>1619</v>
      </c>
      <c r="T2360" s="3"/>
    </row>
    <row r="2361" spans="1:20">
      <c r="A2361" s="3" t="s">
        <v>1600</v>
      </c>
      <c r="B2361" s="3" t="s">
        <v>1609</v>
      </c>
      <c r="C2361" s="3" t="s">
        <v>1596</v>
      </c>
      <c r="D2361" s="3" t="s">
        <v>851</v>
      </c>
      <c r="E2361" s="3" t="s">
        <v>852</v>
      </c>
      <c r="F2361" s="2">
        <v>1</v>
      </c>
      <c r="G2361" s="4">
        <v>1.0743581677837732</v>
      </c>
      <c r="H2361" s="2">
        <v>25</v>
      </c>
      <c r="I2361" s="2">
        <v>5</v>
      </c>
      <c r="J2361" s="2">
        <v>1</v>
      </c>
      <c r="K2361" s="4">
        <v>2.2433621881451593E-2</v>
      </c>
      <c r="L2361" s="4">
        <v>-1</v>
      </c>
      <c r="M2361" s="4">
        <v>1</v>
      </c>
      <c r="N2361" s="10">
        <v>0.995</v>
      </c>
      <c r="O2361" s="4">
        <v>14.85</v>
      </c>
      <c r="P2361" s="4">
        <v>-14.85</v>
      </c>
      <c r="Q2361" s="3" t="s">
        <v>1617</v>
      </c>
      <c r="R2361" s="3" t="s">
        <v>1623</v>
      </c>
      <c r="S2361" s="3" t="s">
        <v>1624</v>
      </c>
      <c r="T2361" s="3"/>
    </row>
    <row r="2362" spans="1:20">
      <c r="A2362" s="3" t="s">
        <v>1594</v>
      </c>
      <c r="B2362" s="3" t="s">
        <v>1612</v>
      </c>
      <c r="C2362" s="3" t="s">
        <v>1596</v>
      </c>
      <c r="D2362" s="3" t="s">
        <v>749</v>
      </c>
      <c r="E2362" s="3" t="s">
        <v>750</v>
      </c>
      <c r="F2362" s="2">
        <v>1</v>
      </c>
      <c r="G2362" s="4">
        <v>1.0753145188711322</v>
      </c>
      <c r="H2362" s="2">
        <v>50</v>
      </c>
      <c r="I2362" s="2">
        <v>5</v>
      </c>
      <c r="J2362" s="2">
        <v>16</v>
      </c>
      <c r="K2362" s="4">
        <v>1</v>
      </c>
      <c r="L2362" s="14">
        <v>0.61067448740163222</v>
      </c>
      <c r="M2362" s="4">
        <v>0.61067448740163222</v>
      </c>
      <c r="N2362" s="10">
        <v>0.61099999999999999</v>
      </c>
      <c r="O2362" s="4">
        <v>3.8152794596883943</v>
      </c>
      <c r="P2362" s="4">
        <v>3.82</v>
      </c>
      <c r="Q2362" s="3" t="s">
        <v>1597</v>
      </c>
      <c r="R2362" s="3" t="s">
        <v>1613</v>
      </c>
      <c r="S2362" s="3" t="s">
        <v>1614</v>
      </c>
      <c r="T2362" s="3"/>
    </row>
    <row r="2363" spans="1:20">
      <c r="A2363" s="3" t="s">
        <v>1600</v>
      </c>
      <c r="B2363" s="3" t="s">
        <v>1609</v>
      </c>
      <c r="C2363" s="3" t="s">
        <v>1616</v>
      </c>
      <c r="D2363" s="3" t="s">
        <v>749</v>
      </c>
      <c r="E2363" s="3" t="s">
        <v>750</v>
      </c>
      <c r="F2363" s="2">
        <v>1</v>
      </c>
      <c r="G2363" s="4">
        <v>1.0753145188711322</v>
      </c>
      <c r="H2363" s="2">
        <v>25</v>
      </c>
      <c r="I2363" s="2">
        <v>5</v>
      </c>
      <c r="J2363" s="2">
        <v>1</v>
      </c>
      <c r="K2363" s="4">
        <v>1</v>
      </c>
      <c r="L2363" s="4">
        <v>0.35755651779338771</v>
      </c>
      <c r="M2363" s="4">
        <v>0.35755651779338771</v>
      </c>
      <c r="N2363" s="10">
        <v>0.35799999999999998</v>
      </c>
      <c r="O2363" s="4">
        <v>1.854671863166353</v>
      </c>
      <c r="P2363" s="4">
        <v>1.86</v>
      </c>
      <c r="Q2363" s="3" t="s">
        <v>1597</v>
      </c>
      <c r="R2363" s="3" t="s">
        <v>1610</v>
      </c>
      <c r="S2363" s="3" t="s">
        <v>1611</v>
      </c>
      <c r="T2363" s="3"/>
    </row>
    <row r="2364" spans="1:20">
      <c r="A2364" s="3" t="s">
        <v>1600</v>
      </c>
      <c r="B2364" s="3" t="s">
        <v>1609</v>
      </c>
      <c r="C2364" s="3" t="s">
        <v>1616</v>
      </c>
      <c r="D2364" s="3" t="s">
        <v>749</v>
      </c>
      <c r="E2364" s="3" t="s">
        <v>750</v>
      </c>
      <c r="F2364" s="2">
        <v>1</v>
      </c>
      <c r="G2364" s="4">
        <v>1.0753145188711322</v>
      </c>
      <c r="H2364" s="2">
        <v>25</v>
      </c>
      <c r="I2364" s="2">
        <v>5</v>
      </c>
      <c r="J2364" s="2">
        <v>16</v>
      </c>
      <c r="K2364" s="11">
        <v>1</v>
      </c>
      <c r="L2364" s="11">
        <v>0.33040754379098836</v>
      </c>
      <c r="M2364" s="4">
        <v>0.33040754379098836</v>
      </c>
      <c r="N2364" s="10">
        <v>0.33</v>
      </c>
      <c r="O2364" s="4">
        <v>1.7019885145789533</v>
      </c>
      <c r="P2364" s="4">
        <v>1.7</v>
      </c>
      <c r="Q2364" s="3" t="s">
        <v>1597</v>
      </c>
      <c r="R2364" s="3" t="s">
        <v>1610</v>
      </c>
      <c r="S2364" s="3" t="s">
        <v>1611</v>
      </c>
      <c r="T2364" s="3"/>
    </row>
    <row r="2365" spans="1:20">
      <c r="A2365" s="3" t="s">
        <v>1600</v>
      </c>
      <c r="B2365" s="3" t="s">
        <v>1609</v>
      </c>
      <c r="C2365" s="3" t="s">
        <v>1596</v>
      </c>
      <c r="D2365" s="3" t="s">
        <v>749</v>
      </c>
      <c r="E2365" s="3" t="s">
        <v>750</v>
      </c>
      <c r="F2365" s="2">
        <v>1</v>
      </c>
      <c r="G2365" s="4">
        <v>1.0753145188711322</v>
      </c>
      <c r="H2365" s="2">
        <v>25</v>
      </c>
      <c r="I2365" s="2">
        <v>5</v>
      </c>
      <c r="J2365" s="2">
        <v>16</v>
      </c>
      <c r="K2365" s="4">
        <v>1</v>
      </c>
      <c r="L2365" s="4">
        <v>0.32002644874454339</v>
      </c>
      <c r="M2365" s="4">
        <v>0.32002644874454339</v>
      </c>
      <c r="N2365" s="10">
        <v>0.32</v>
      </c>
      <c r="O2365" s="4">
        <v>1.6444313478993031</v>
      </c>
      <c r="P2365" s="4">
        <v>1.64</v>
      </c>
      <c r="Q2365" s="3" t="s">
        <v>1597</v>
      </c>
      <c r="R2365" s="3" t="s">
        <v>1610</v>
      </c>
      <c r="S2365" s="3" t="s">
        <v>1611</v>
      </c>
      <c r="T2365" s="3"/>
    </row>
    <row r="2366" spans="1:20">
      <c r="A2366" s="3" t="s">
        <v>1600</v>
      </c>
      <c r="B2366" s="3" t="s">
        <v>1609</v>
      </c>
      <c r="C2366" s="3" t="s">
        <v>1596</v>
      </c>
      <c r="D2366" s="3" t="s">
        <v>749</v>
      </c>
      <c r="E2366" s="3" t="s">
        <v>750</v>
      </c>
      <c r="F2366" s="2">
        <v>1</v>
      </c>
      <c r="G2366" s="4">
        <v>1.0753145188711322</v>
      </c>
      <c r="H2366" s="2">
        <v>25</v>
      </c>
      <c r="I2366" s="2">
        <v>5</v>
      </c>
      <c r="J2366" s="2">
        <v>1</v>
      </c>
      <c r="K2366" s="11">
        <v>0.86494350105589302</v>
      </c>
      <c r="L2366" s="11">
        <v>0.23819393035587114</v>
      </c>
      <c r="M2366" s="4">
        <v>0.23819393035587114</v>
      </c>
      <c r="N2366" s="10">
        <v>0.23799999999999999</v>
      </c>
      <c r="O2366" s="4">
        <v>1.2040771525524547</v>
      </c>
      <c r="P2366" s="4">
        <v>1.2</v>
      </c>
      <c r="Q2366" s="3" t="s">
        <v>1597</v>
      </c>
      <c r="R2366" s="3" t="s">
        <v>1610</v>
      </c>
      <c r="S2366" s="3" t="s">
        <v>1611</v>
      </c>
      <c r="T2366" s="3"/>
    </row>
    <row r="2367" spans="1:20">
      <c r="A2367" s="3" t="s">
        <v>1600</v>
      </c>
      <c r="B2367" s="3" t="s">
        <v>1601</v>
      </c>
      <c r="C2367" s="3" t="s">
        <v>1616</v>
      </c>
      <c r="D2367" s="3" t="s">
        <v>749</v>
      </c>
      <c r="E2367" s="3" t="s">
        <v>750</v>
      </c>
      <c r="F2367" s="2">
        <v>1</v>
      </c>
      <c r="G2367" s="4">
        <v>1.0753145188711322</v>
      </c>
      <c r="H2367" s="2">
        <v>25</v>
      </c>
      <c r="I2367" s="2">
        <v>5</v>
      </c>
      <c r="J2367" s="2">
        <v>1</v>
      </c>
      <c r="K2367" s="4">
        <v>1</v>
      </c>
      <c r="L2367" s="4">
        <v>0.19630743714476268</v>
      </c>
      <c r="M2367" s="4">
        <v>0.19630743714476268</v>
      </c>
      <c r="N2367" s="10">
        <v>0.19600000000000001</v>
      </c>
      <c r="O2367" s="4">
        <v>0.98607936068719348</v>
      </c>
      <c r="P2367" s="4">
        <v>0.98</v>
      </c>
      <c r="Q2367" s="3" t="s">
        <v>1597</v>
      </c>
      <c r="R2367" s="3" t="s">
        <v>1602</v>
      </c>
      <c r="S2367" s="3" t="s">
        <v>1603</v>
      </c>
      <c r="T2367" s="3"/>
    </row>
    <row r="2368" spans="1:20">
      <c r="A2368" s="3" t="s">
        <v>1600</v>
      </c>
      <c r="B2368" s="3" t="s">
        <v>1601</v>
      </c>
      <c r="C2368" s="3" t="s">
        <v>1616</v>
      </c>
      <c r="D2368" s="3" t="s">
        <v>749</v>
      </c>
      <c r="E2368" s="3" t="s">
        <v>750</v>
      </c>
      <c r="F2368" s="2">
        <v>1</v>
      </c>
      <c r="G2368" s="4">
        <v>1.0753145188711322</v>
      </c>
      <c r="H2368" s="2">
        <v>25</v>
      </c>
      <c r="I2368" s="2">
        <v>5</v>
      </c>
      <c r="J2368" s="2">
        <v>16</v>
      </c>
      <c r="K2368" s="4">
        <v>1</v>
      </c>
      <c r="L2368" s="4">
        <v>0.18952710998175051</v>
      </c>
      <c r="M2368" s="4">
        <v>0.18952710998175051</v>
      </c>
      <c r="N2368" s="10">
        <v>0.19</v>
      </c>
      <c r="O2368" s="4">
        <v>0.95116330218247902</v>
      </c>
      <c r="P2368" s="4">
        <v>0.95</v>
      </c>
      <c r="Q2368" s="3" t="s">
        <v>1597</v>
      </c>
      <c r="R2368" s="3" t="s">
        <v>1602</v>
      </c>
      <c r="S2368" s="3" t="s">
        <v>1603</v>
      </c>
      <c r="T2368" s="3"/>
    </row>
    <row r="2369" spans="1:20">
      <c r="A2369" s="3" t="s">
        <v>1604</v>
      </c>
      <c r="B2369" s="3" t="s">
        <v>1601</v>
      </c>
      <c r="C2369" s="3" t="s">
        <v>1596</v>
      </c>
      <c r="D2369" s="3" t="s">
        <v>749</v>
      </c>
      <c r="E2369" s="3" t="s">
        <v>750</v>
      </c>
      <c r="F2369" s="2">
        <v>1</v>
      </c>
      <c r="G2369" s="4">
        <v>1.0753145188711322</v>
      </c>
      <c r="H2369" s="2">
        <v>25</v>
      </c>
      <c r="I2369" s="2">
        <v>30</v>
      </c>
      <c r="J2369" s="2">
        <v>16</v>
      </c>
      <c r="K2369" s="4">
        <v>1</v>
      </c>
      <c r="L2369" s="4">
        <v>0.18407798815691012</v>
      </c>
      <c r="M2369" s="4">
        <v>0.18407798815691012</v>
      </c>
      <c r="N2369" s="10">
        <v>0.184</v>
      </c>
      <c r="O2369" s="4">
        <v>0.92316999177558567</v>
      </c>
      <c r="P2369" s="4">
        <v>0.92</v>
      </c>
      <c r="Q2369" s="3" t="s">
        <v>1597</v>
      </c>
      <c r="R2369" s="3" t="s">
        <v>1602</v>
      </c>
      <c r="S2369" s="3" t="s">
        <v>1603</v>
      </c>
      <c r="T2369" s="3"/>
    </row>
    <row r="2370" spans="1:20">
      <c r="A2370" s="12" t="s">
        <v>1605</v>
      </c>
      <c r="B2370" s="3" t="s">
        <v>1601</v>
      </c>
      <c r="C2370" s="3" t="s">
        <v>1596</v>
      </c>
      <c r="D2370" s="3" t="s">
        <v>749</v>
      </c>
      <c r="E2370" s="3" t="s">
        <v>750</v>
      </c>
      <c r="F2370" s="2">
        <v>1</v>
      </c>
      <c r="G2370" s="4">
        <v>1.0753145188711322</v>
      </c>
      <c r="H2370" s="2">
        <v>25</v>
      </c>
      <c r="I2370" s="2">
        <v>5</v>
      </c>
      <c r="J2370" s="2">
        <v>16</v>
      </c>
      <c r="K2370" s="11">
        <v>1</v>
      </c>
      <c r="L2370" s="11">
        <v>0.18213021210464794</v>
      </c>
      <c r="M2370" s="4">
        <v>0.18213021210464794</v>
      </c>
      <c r="N2370" s="10">
        <v>0.182</v>
      </c>
      <c r="O2370" s="4">
        <v>0.91317803710903334</v>
      </c>
      <c r="P2370" s="4">
        <v>0.91</v>
      </c>
      <c r="Q2370" s="3" t="s">
        <v>1597</v>
      </c>
      <c r="R2370" s="3" t="s">
        <v>1602</v>
      </c>
      <c r="S2370" s="3" t="s">
        <v>1603</v>
      </c>
      <c r="T2370" s="3"/>
    </row>
    <row r="2371" spans="1:20">
      <c r="A2371" s="3" t="s">
        <v>1604</v>
      </c>
      <c r="B2371" s="3" t="s">
        <v>1601</v>
      </c>
      <c r="C2371" s="3" t="s">
        <v>1616</v>
      </c>
      <c r="D2371" s="3" t="s">
        <v>749</v>
      </c>
      <c r="E2371" s="3" t="s">
        <v>750</v>
      </c>
      <c r="F2371" s="2">
        <v>1</v>
      </c>
      <c r="G2371" s="4">
        <v>1.0753145188711322</v>
      </c>
      <c r="H2371" s="2">
        <v>25</v>
      </c>
      <c r="I2371" s="2">
        <v>30</v>
      </c>
      <c r="J2371" s="2">
        <v>16</v>
      </c>
      <c r="K2371" s="4">
        <v>1</v>
      </c>
      <c r="L2371" s="4">
        <v>0.18034859211785714</v>
      </c>
      <c r="M2371" s="4">
        <v>0.18034859211785714</v>
      </c>
      <c r="N2371" s="10">
        <v>0.18</v>
      </c>
      <c r="O2371" s="4">
        <v>0.90404487221956387</v>
      </c>
      <c r="P2371" s="4">
        <v>0.9</v>
      </c>
      <c r="Q2371" s="3" t="s">
        <v>1597</v>
      </c>
      <c r="R2371" s="3" t="s">
        <v>1602</v>
      </c>
      <c r="S2371" s="3" t="s">
        <v>1603</v>
      </c>
      <c r="T2371" s="3"/>
    </row>
    <row r="2372" spans="1:20">
      <c r="A2372" s="3" t="s">
        <v>1600</v>
      </c>
      <c r="B2372" s="3" t="s">
        <v>1601</v>
      </c>
      <c r="C2372" s="3" t="s">
        <v>1596</v>
      </c>
      <c r="D2372" s="3" t="s">
        <v>749</v>
      </c>
      <c r="E2372" s="3" t="s">
        <v>750</v>
      </c>
      <c r="F2372" s="2">
        <v>1</v>
      </c>
      <c r="G2372" s="4">
        <v>1.0753145188711322</v>
      </c>
      <c r="H2372" s="2">
        <v>25</v>
      </c>
      <c r="I2372" s="2">
        <v>5</v>
      </c>
      <c r="J2372" s="2">
        <v>1</v>
      </c>
      <c r="K2372" s="4">
        <v>0.93108271581327406</v>
      </c>
      <c r="L2372" s="4">
        <v>0.17376427475982587</v>
      </c>
      <c r="M2372" s="4">
        <v>0.17376427475982587</v>
      </c>
      <c r="N2372" s="10">
        <v>0.17399999999999999</v>
      </c>
      <c r="O2372" s="4">
        <v>0.87034360805588529</v>
      </c>
      <c r="P2372" s="4">
        <v>0.87</v>
      </c>
      <c r="Q2372" s="3" t="s">
        <v>1597</v>
      </c>
      <c r="R2372" s="3" t="s">
        <v>1602</v>
      </c>
      <c r="S2372" s="3" t="s">
        <v>1603</v>
      </c>
      <c r="T2372" s="3"/>
    </row>
    <row r="2373" spans="1:20">
      <c r="A2373" s="3" t="s">
        <v>1600</v>
      </c>
      <c r="B2373" s="3" t="s">
        <v>1601</v>
      </c>
      <c r="C2373" s="3" t="s">
        <v>1596</v>
      </c>
      <c r="D2373" s="3" t="s">
        <v>749</v>
      </c>
      <c r="E2373" s="3" t="s">
        <v>750</v>
      </c>
      <c r="F2373" s="2">
        <v>1</v>
      </c>
      <c r="G2373" s="4">
        <v>1.0753145188711322</v>
      </c>
      <c r="H2373" s="2">
        <v>25</v>
      </c>
      <c r="I2373" s="2">
        <v>5</v>
      </c>
      <c r="J2373" s="2">
        <v>16</v>
      </c>
      <c r="K2373" s="4">
        <v>1</v>
      </c>
      <c r="L2373" s="4">
        <v>0.15689635849960074</v>
      </c>
      <c r="M2373" s="4">
        <v>0.15689635849960074</v>
      </c>
      <c r="N2373" s="10">
        <v>0.157</v>
      </c>
      <c r="O2373" s="4">
        <v>0.78436102733042834</v>
      </c>
      <c r="P2373" s="4">
        <v>0.78</v>
      </c>
      <c r="Q2373" s="3" t="s">
        <v>1597</v>
      </c>
      <c r="R2373" s="3" t="s">
        <v>1602</v>
      </c>
      <c r="S2373" s="3" t="s">
        <v>1603</v>
      </c>
      <c r="T2373" s="3"/>
    </row>
    <row r="2374" spans="1:20">
      <c r="A2374" s="3" t="s">
        <v>1600</v>
      </c>
      <c r="B2374" s="3" t="s">
        <v>1606</v>
      </c>
      <c r="C2374" s="3" t="s">
        <v>1616</v>
      </c>
      <c r="D2374" s="3" t="s">
        <v>749</v>
      </c>
      <c r="E2374" s="3" t="s">
        <v>750</v>
      </c>
      <c r="F2374" s="2">
        <v>1</v>
      </c>
      <c r="G2374" s="4">
        <v>1.0753145188711322</v>
      </c>
      <c r="H2374" s="2">
        <v>25</v>
      </c>
      <c r="I2374" s="2">
        <v>5</v>
      </c>
      <c r="J2374" s="2">
        <v>1</v>
      </c>
      <c r="K2374" s="4">
        <v>1</v>
      </c>
      <c r="L2374" s="4">
        <v>-0.1137229091250999</v>
      </c>
      <c r="M2374" s="4">
        <v>0.1137229091250999</v>
      </c>
      <c r="N2374" s="10">
        <v>0.114</v>
      </c>
      <c r="O2374" s="4">
        <v>0.56628063866939105</v>
      </c>
      <c r="P2374" s="4">
        <v>-0.56999999999999995</v>
      </c>
      <c r="Q2374" s="3" t="s">
        <v>1617</v>
      </c>
      <c r="R2374" s="3" t="s">
        <v>1621</v>
      </c>
      <c r="S2374" s="3" t="s">
        <v>1622</v>
      </c>
      <c r="T2374" s="3"/>
    </row>
    <row r="2375" spans="1:20">
      <c r="A2375" s="3" t="s">
        <v>1600</v>
      </c>
      <c r="B2375" s="3" t="s">
        <v>1606</v>
      </c>
      <c r="C2375" s="3" t="s">
        <v>1616</v>
      </c>
      <c r="D2375" s="3" t="s">
        <v>749</v>
      </c>
      <c r="E2375" s="3" t="s">
        <v>750</v>
      </c>
      <c r="F2375" s="2">
        <v>1</v>
      </c>
      <c r="G2375" s="4">
        <v>1.0753145188711322</v>
      </c>
      <c r="H2375" s="2">
        <v>25</v>
      </c>
      <c r="I2375" s="2">
        <v>5</v>
      </c>
      <c r="J2375" s="2">
        <v>16</v>
      </c>
      <c r="K2375" s="11">
        <v>1</v>
      </c>
      <c r="L2375" s="11">
        <v>-0.20423417824793344</v>
      </c>
      <c r="M2375" s="4">
        <v>0.20423417824793344</v>
      </c>
      <c r="N2375" s="10">
        <v>0.20399999999999999</v>
      </c>
      <c r="O2375" s="4">
        <v>1.0270220337121452</v>
      </c>
      <c r="P2375" s="4">
        <v>-1.03</v>
      </c>
      <c r="Q2375" s="3" t="s">
        <v>1617</v>
      </c>
      <c r="R2375" s="3" t="s">
        <v>1621</v>
      </c>
      <c r="S2375" s="3" t="s">
        <v>1622</v>
      </c>
      <c r="T2375" s="3"/>
    </row>
    <row r="2376" spans="1:20">
      <c r="A2376" s="3" t="s">
        <v>1600</v>
      </c>
      <c r="B2376" s="3" t="s">
        <v>1606</v>
      </c>
      <c r="C2376" s="3" t="s">
        <v>1596</v>
      </c>
      <c r="D2376" s="3" t="s">
        <v>749</v>
      </c>
      <c r="E2376" s="3" t="s">
        <v>750</v>
      </c>
      <c r="F2376" s="2">
        <v>1</v>
      </c>
      <c r="G2376" s="4">
        <v>1.0753145188711322</v>
      </c>
      <c r="H2376" s="2">
        <v>25</v>
      </c>
      <c r="I2376" s="2">
        <v>5</v>
      </c>
      <c r="J2376" s="2">
        <v>16</v>
      </c>
      <c r="K2376" s="11">
        <v>1</v>
      </c>
      <c r="L2376" s="11">
        <v>-0.48096301033341948</v>
      </c>
      <c r="M2376" s="4">
        <v>0.48096301033341948</v>
      </c>
      <c r="N2376" s="10">
        <v>0.48099999999999998</v>
      </c>
      <c r="O2376" s="4">
        <v>2.5991304213315343</v>
      </c>
      <c r="P2376" s="4">
        <v>-2.6</v>
      </c>
      <c r="Q2376" s="3" t="s">
        <v>1617</v>
      </c>
      <c r="R2376" s="3" t="s">
        <v>1621</v>
      </c>
      <c r="S2376" s="3" t="s">
        <v>1622</v>
      </c>
      <c r="T2376" s="3"/>
    </row>
    <row r="2377" spans="1:20">
      <c r="A2377" s="3" t="s">
        <v>1600</v>
      </c>
      <c r="B2377" s="3" t="s">
        <v>1606</v>
      </c>
      <c r="C2377" s="3" t="s">
        <v>1596</v>
      </c>
      <c r="D2377" s="3" t="s">
        <v>749</v>
      </c>
      <c r="E2377" s="3" t="s">
        <v>750</v>
      </c>
      <c r="F2377" s="2">
        <v>1</v>
      </c>
      <c r="G2377" s="4">
        <v>1.0753145188711322</v>
      </c>
      <c r="H2377" s="2">
        <v>25</v>
      </c>
      <c r="I2377" s="2">
        <v>5</v>
      </c>
      <c r="J2377" s="2">
        <v>1</v>
      </c>
      <c r="K2377" s="11">
        <v>0.91144698405562907</v>
      </c>
      <c r="L2377" s="11">
        <v>-0.50707514953852584</v>
      </c>
      <c r="M2377" s="4">
        <v>0.50707514953852584</v>
      </c>
      <c r="N2377" s="10">
        <v>0.50700000000000001</v>
      </c>
      <c r="O2377" s="4">
        <v>2.770418815020236</v>
      </c>
      <c r="P2377" s="4">
        <v>-2.77</v>
      </c>
      <c r="Q2377" s="3" t="s">
        <v>1617</v>
      </c>
      <c r="R2377" s="3" t="s">
        <v>1621</v>
      </c>
      <c r="S2377" s="3" t="s">
        <v>1622</v>
      </c>
      <c r="T2377" s="3"/>
    </row>
    <row r="2378" spans="1:20">
      <c r="A2378" s="3" t="s">
        <v>1594</v>
      </c>
      <c r="B2378" s="3" t="s">
        <v>1595</v>
      </c>
      <c r="C2378" s="3" t="s">
        <v>1596</v>
      </c>
      <c r="D2378" s="3" t="s">
        <v>749</v>
      </c>
      <c r="E2378" s="3" t="s">
        <v>750</v>
      </c>
      <c r="F2378" s="2">
        <v>1</v>
      </c>
      <c r="G2378" s="4">
        <v>1.0753145188711322</v>
      </c>
      <c r="H2378" s="2">
        <v>50</v>
      </c>
      <c r="I2378" s="2">
        <v>5</v>
      </c>
      <c r="J2378" s="2">
        <v>16</v>
      </c>
      <c r="K2378" s="4">
        <v>1</v>
      </c>
      <c r="L2378" s="14">
        <v>-0.52160188466915414</v>
      </c>
      <c r="M2378" s="4">
        <v>0.52160188466915414</v>
      </c>
      <c r="N2378" s="10">
        <v>0.52200000000000002</v>
      </c>
      <c r="O2378" s="4">
        <v>3.1088663961913876</v>
      </c>
      <c r="P2378" s="4">
        <v>-3.11</v>
      </c>
      <c r="Q2378" s="3" t="s">
        <v>1617</v>
      </c>
      <c r="R2378" s="3" t="s">
        <v>1625</v>
      </c>
      <c r="S2378" s="3" t="s">
        <v>1626</v>
      </c>
      <c r="T2378" s="3"/>
    </row>
    <row r="2379" spans="1:20">
      <c r="A2379" s="3" t="s">
        <v>1600</v>
      </c>
      <c r="B2379" s="3" t="s">
        <v>1601</v>
      </c>
      <c r="C2379" s="3" t="s">
        <v>1616</v>
      </c>
      <c r="D2379" s="3" t="s">
        <v>1320</v>
      </c>
      <c r="E2379" s="3" t="s">
        <v>1321</v>
      </c>
      <c r="F2379" s="2">
        <v>1</v>
      </c>
      <c r="G2379" s="4">
        <v>1.0761280698950508</v>
      </c>
      <c r="H2379" s="2">
        <v>25</v>
      </c>
      <c r="I2379" s="2">
        <v>5</v>
      </c>
      <c r="J2379" s="2">
        <v>16</v>
      </c>
      <c r="K2379" s="4">
        <v>1</v>
      </c>
      <c r="L2379" s="4">
        <v>0.59883883599266841</v>
      </c>
      <c r="M2379" s="4">
        <v>0.59883883599266841</v>
      </c>
      <c r="N2379" s="10">
        <v>0.59899999999999998</v>
      </c>
      <c r="O2379" s="4">
        <v>3.4275940971540644</v>
      </c>
      <c r="P2379" s="4">
        <v>3.43</v>
      </c>
      <c r="Q2379" s="3" t="s">
        <v>1597</v>
      </c>
      <c r="R2379" s="3" t="s">
        <v>1602</v>
      </c>
      <c r="S2379" s="3" t="s">
        <v>1603</v>
      </c>
      <c r="T2379" s="3"/>
    </row>
    <row r="2380" spans="1:20">
      <c r="A2380" s="3" t="s">
        <v>1600</v>
      </c>
      <c r="B2380" s="3" t="s">
        <v>1601</v>
      </c>
      <c r="C2380" s="3" t="s">
        <v>1616</v>
      </c>
      <c r="D2380" s="3" t="s">
        <v>1320</v>
      </c>
      <c r="E2380" s="3" t="s">
        <v>1321</v>
      </c>
      <c r="F2380" s="2">
        <v>1</v>
      </c>
      <c r="G2380" s="4">
        <v>1.0761280698950508</v>
      </c>
      <c r="H2380" s="2">
        <v>25</v>
      </c>
      <c r="I2380" s="2">
        <v>5</v>
      </c>
      <c r="J2380" s="2">
        <v>1</v>
      </c>
      <c r="K2380" s="4">
        <v>1</v>
      </c>
      <c r="L2380" s="4">
        <v>0.59640226911697958</v>
      </c>
      <c r="M2380" s="4">
        <v>0.59640226911697958</v>
      </c>
      <c r="N2380" s="10">
        <v>0.59599999999999997</v>
      </c>
      <c r="O2380" s="4">
        <v>3.4088021868414344</v>
      </c>
      <c r="P2380" s="4">
        <v>3.41</v>
      </c>
      <c r="Q2380" s="3" t="s">
        <v>1597</v>
      </c>
      <c r="R2380" s="3" t="s">
        <v>1602</v>
      </c>
      <c r="S2380" s="3" t="s">
        <v>1603</v>
      </c>
      <c r="T2380" s="3"/>
    </row>
    <row r="2381" spans="1:20">
      <c r="A2381" s="3" t="s">
        <v>1605</v>
      </c>
      <c r="B2381" s="3" t="s">
        <v>1601</v>
      </c>
      <c r="C2381" s="3" t="s">
        <v>1596</v>
      </c>
      <c r="D2381" s="3" t="s">
        <v>1320</v>
      </c>
      <c r="E2381" s="3" t="s">
        <v>1321</v>
      </c>
      <c r="F2381" s="2">
        <v>1</v>
      </c>
      <c r="G2381" s="4">
        <v>1.0761280698950508</v>
      </c>
      <c r="H2381" s="2">
        <v>25</v>
      </c>
      <c r="I2381" s="2">
        <v>5</v>
      </c>
      <c r="J2381" s="2">
        <v>16</v>
      </c>
      <c r="K2381" s="4">
        <v>1</v>
      </c>
      <c r="L2381" s="4">
        <v>0.57163059788517279</v>
      </c>
      <c r="M2381" s="4">
        <v>0.57163059788517279</v>
      </c>
      <c r="N2381" s="10">
        <v>0.57199999999999995</v>
      </c>
      <c r="O2381" s="4">
        <v>3.2223686982014326</v>
      </c>
      <c r="P2381" s="4">
        <v>3.23</v>
      </c>
      <c r="Q2381" s="3" t="s">
        <v>1597</v>
      </c>
      <c r="R2381" s="3" t="s">
        <v>1602</v>
      </c>
      <c r="S2381" s="3" t="s">
        <v>1603</v>
      </c>
      <c r="T2381" s="3"/>
    </row>
    <row r="2382" spans="1:20">
      <c r="A2382" s="3" t="s">
        <v>1600</v>
      </c>
      <c r="B2382" s="3" t="s">
        <v>1601</v>
      </c>
      <c r="C2382" s="3" t="s">
        <v>1596</v>
      </c>
      <c r="D2382" s="3" t="s">
        <v>1320</v>
      </c>
      <c r="E2382" s="3" t="s">
        <v>1321</v>
      </c>
      <c r="F2382" s="2">
        <v>1</v>
      </c>
      <c r="G2382" s="4">
        <v>1.0761280698950508</v>
      </c>
      <c r="H2382" s="2">
        <v>25</v>
      </c>
      <c r="I2382" s="2">
        <v>5</v>
      </c>
      <c r="J2382" s="2">
        <v>16</v>
      </c>
      <c r="K2382" s="4">
        <v>1</v>
      </c>
      <c r="L2382" s="4">
        <v>0.56831281442160952</v>
      </c>
      <c r="M2382" s="4">
        <v>0.56831281442160952</v>
      </c>
      <c r="N2382" s="10">
        <v>0.56799999999999995</v>
      </c>
      <c r="O2382" s="4">
        <v>3.1980039541055034</v>
      </c>
      <c r="P2382" s="4">
        <v>3.2</v>
      </c>
      <c r="Q2382" s="3" t="s">
        <v>1597</v>
      </c>
      <c r="R2382" s="3" t="s">
        <v>1602</v>
      </c>
      <c r="S2382" s="3" t="s">
        <v>1603</v>
      </c>
      <c r="T2382" s="3"/>
    </row>
    <row r="2383" spans="1:20">
      <c r="A2383" s="3" t="s">
        <v>1600</v>
      </c>
      <c r="B2383" s="3" t="s">
        <v>1601</v>
      </c>
      <c r="C2383" s="3" t="s">
        <v>1596</v>
      </c>
      <c r="D2383" s="3" t="s">
        <v>1320</v>
      </c>
      <c r="E2383" s="3" t="s">
        <v>1321</v>
      </c>
      <c r="F2383" s="2">
        <v>1</v>
      </c>
      <c r="G2383" s="4">
        <v>1.0761280698950508</v>
      </c>
      <c r="H2383" s="2">
        <v>25</v>
      </c>
      <c r="I2383" s="2">
        <v>5</v>
      </c>
      <c r="J2383" s="2">
        <v>1</v>
      </c>
      <c r="K2383" s="4">
        <v>0.23934375714400102</v>
      </c>
      <c r="L2383" s="4">
        <v>0.55456354748025238</v>
      </c>
      <c r="M2383" s="4">
        <v>0.55456354748025238</v>
      </c>
      <c r="N2383" s="10">
        <v>0.55500000000000005</v>
      </c>
      <c r="O2383" s="4">
        <v>3.0984512029460882</v>
      </c>
      <c r="P2383" s="4">
        <v>3.1</v>
      </c>
      <c r="Q2383" s="3" t="s">
        <v>1597</v>
      </c>
      <c r="R2383" s="3" t="s">
        <v>1602</v>
      </c>
      <c r="S2383" s="3" t="s">
        <v>1603</v>
      </c>
      <c r="T2383" s="3"/>
    </row>
    <row r="2384" spans="1:20">
      <c r="A2384" s="3" t="s">
        <v>1604</v>
      </c>
      <c r="B2384" s="3" t="s">
        <v>1601</v>
      </c>
      <c r="C2384" s="3" t="s">
        <v>1596</v>
      </c>
      <c r="D2384" s="3" t="s">
        <v>1320</v>
      </c>
      <c r="E2384" s="3" t="s">
        <v>1321</v>
      </c>
      <c r="F2384" s="2">
        <v>1</v>
      </c>
      <c r="G2384" s="4">
        <v>1.0761280698950508</v>
      </c>
      <c r="H2384" s="2">
        <v>25</v>
      </c>
      <c r="I2384" s="2">
        <v>30</v>
      </c>
      <c r="J2384" s="2">
        <v>16</v>
      </c>
      <c r="K2384" s="4">
        <v>1</v>
      </c>
      <c r="L2384" s="4">
        <v>0.52233894584728469</v>
      </c>
      <c r="M2384" s="4">
        <v>0.52233894584728469</v>
      </c>
      <c r="N2384" s="10">
        <v>0.52200000000000002</v>
      </c>
      <c r="O2384" s="4">
        <v>2.8733765284654567</v>
      </c>
      <c r="P2384" s="4">
        <v>2.87</v>
      </c>
      <c r="Q2384" s="3" t="s">
        <v>1597</v>
      </c>
      <c r="R2384" s="3" t="s">
        <v>1602</v>
      </c>
      <c r="S2384" s="3" t="s">
        <v>1603</v>
      </c>
      <c r="T2384" s="3"/>
    </row>
    <row r="2385" spans="1:20">
      <c r="A2385" s="3" t="s">
        <v>1600</v>
      </c>
      <c r="B2385" s="3" t="s">
        <v>1609</v>
      </c>
      <c r="C2385" s="3" t="s">
        <v>1596</v>
      </c>
      <c r="D2385" s="3" t="s">
        <v>1320</v>
      </c>
      <c r="E2385" s="3" t="s">
        <v>1321</v>
      </c>
      <c r="F2385" s="2">
        <v>1</v>
      </c>
      <c r="G2385" s="4">
        <v>1.0761280698950508</v>
      </c>
      <c r="H2385" s="2">
        <v>25</v>
      </c>
      <c r="I2385" s="2">
        <v>5</v>
      </c>
      <c r="J2385" s="2">
        <v>1</v>
      </c>
      <c r="K2385" s="4">
        <v>1</v>
      </c>
      <c r="L2385" s="4">
        <v>0.51257259533840083</v>
      </c>
      <c r="M2385" s="4">
        <v>0.51257259533840083</v>
      </c>
      <c r="N2385" s="10">
        <v>0.51300000000000001</v>
      </c>
      <c r="O2385" s="4">
        <v>2.8072475679232576</v>
      </c>
      <c r="P2385" s="4">
        <v>2.81</v>
      </c>
      <c r="Q2385" s="3" t="s">
        <v>1597</v>
      </c>
      <c r="R2385" s="3" t="s">
        <v>1610</v>
      </c>
      <c r="S2385" s="3" t="s">
        <v>1611</v>
      </c>
      <c r="T2385" s="3"/>
    </row>
    <row r="2386" spans="1:20">
      <c r="A2386" s="3" t="s">
        <v>1600</v>
      </c>
      <c r="B2386" s="3" t="s">
        <v>1609</v>
      </c>
      <c r="C2386" s="3" t="s">
        <v>1596</v>
      </c>
      <c r="D2386" s="3" t="s">
        <v>1320</v>
      </c>
      <c r="E2386" s="3" t="s">
        <v>1321</v>
      </c>
      <c r="F2386" s="2">
        <v>1</v>
      </c>
      <c r="G2386" s="4">
        <v>1.0761280698950508</v>
      </c>
      <c r="H2386" s="2">
        <v>25</v>
      </c>
      <c r="I2386" s="2">
        <v>5</v>
      </c>
      <c r="J2386" s="2">
        <v>16</v>
      </c>
      <c r="K2386" s="4">
        <v>1</v>
      </c>
      <c r="L2386" s="4">
        <v>0.50387007077586288</v>
      </c>
      <c r="M2386" s="4">
        <v>0.50387007077586288</v>
      </c>
      <c r="N2386" s="10">
        <v>0.504</v>
      </c>
      <c r="O2386" s="4">
        <v>2.749074725713855</v>
      </c>
      <c r="P2386" s="4">
        <v>2.75</v>
      </c>
      <c r="Q2386" s="3" t="s">
        <v>1597</v>
      </c>
      <c r="R2386" s="3" t="s">
        <v>1610</v>
      </c>
      <c r="S2386" s="3" t="s">
        <v>1611</v>
      </c>
      <c r="T2386" s="3"/>
    </row>
    <row r="2387" spans="1:20">
      <c r="A2387" s="3" t="s">
        <v>1604</v>
      </c>
      <c r="B2387" s="3" t="s">
        <v>1601</v>
      </c>
      <c r="C2387" s="3" t="s">
        <v>1616</v>
      </c>
      <c r="D2387" s="3" t="s">
        <v>1320</v>
      </c>
      <c r="E2387" s="3" t="s">
        <v>1321</v>
      </c>
      <c r="F2387" s="2">
        <v>1</v>
      </c>
      <c r="G2387" s="4">
        <v>1.0761280698950508</v>
      </c>
      <c r="H2387" s="2">
        <v>25</v>
      </c>
      <c r="I2387" s="2">
        <v>30</v>
      </c>
      <c r="J2387" s="2">
        <v>16</v>
      </c>
      <c r="K2387" s="4">
        <v>1</v>
      </c>
      <c r="L2387" s="4">
        <v>0.38028792520377713</v>
      </c>
      <c r="M2387" s="4">
        <v>0.38028792520377713</v>
      </c>
      <c r="N2387" s="10">
        <v>0.38</v>
      </c>
      <c r="O2387" s="4">
        <v>1.9851389317860213</v>
      </c>
      <c r="P2387" s="4">
        <v>1.98</v>
      </c>
      <c r="Q2387" s="3" t="s">
        <v>1597</v>
      </c>
      <c r="R2387" s="3" t="s">
        <v>1602</v>
      </c>
      <c r="S2387" s="3" t="s">
        <v>1603</v>
      </c>
      <c r="T2387" s="3"/>
    </row>
    <row r="2388" spans="1:20">
      <c r="A2388" s="3" t="s">
        <v>1600</v>
      </c>
      <c r="B2388" s="3" t="s">
        <v>1606</v>
      </c>
      <c r="C2388" s="3" t="s">
        <v>1616</v>
      </c>
      <c r="D2388" s="3" t="s">
        <v>1320</v>
      </c>
      <c r="E2388" s="3" t="s">
        <v>1321</v>
      </c>
      <c r="F2388" s="2">
        <v>1</v>
      </c>
      <c r="G2388" s="4">
        <v>1.0761280698950508</v>
      </c>
      <c r="H2388" s="2">
        <v>25</v>
      </c>
      <c r="I2388" s="2">
        <v>5</v>
      </c>
      <c r="J2388" s="2">
        <v>1</v>
      </c>
      <c r="K2388" s="4">
        <v>0.99621724043332083</v>
      </c>
      <c r="L2388" s="4">
        <v>0.35524907598416466</v>
      </c>
      <c r="M2388" s="4">
        <v>0.35524907598416466</v>
      </c>
      <c r="N2388" s="10">
        <v>0.35499999999999998</v>
      </c>
      <c r="O2388" s="4">
        <v>1.8415670984218004</v>
      </c>
      <c r="P2388" s="4">
        <v>1.84</v>
      </c>
      <c r="Q2388" s="3" t="s">
        <v>1597</v>
      </c>
      <c r="R2388" s="3" t="s">
        <v>1607</v>
      </c>
      <c r="S2388" s="3" t="s">
        <v>1608</v>
      </c>
      <c r="T2388" s="3"/>
    </row>
    <row r="2389" spans="1:20">
      <c r="A2389" s="3" t="s">
        <v>1600</v>
      </c>
      <c r="B2389" s="3" t="s">
        <v>1606</v>
      </c>
      <c r="C2389" s="3" t="s">
        <v>1616</v>
      </c>
      <c r="D2389" s="3" t="s">
        <v>1320</v>
      </c>
      <c r="E2389" s="3" t="s">
        <v>1321</v>
      </c>
      <c r="F2389" s="2">
        <v>1</v>
      </c>
      <c r="G2389" s="4">
        <v>1.0761280698950508</v>
      </c>
      <c r="H2389" s="2">
        <v>25</v>
      </c>
      <c r="I2389" s="2">
        <v>5</v>
      </c>
      <c r="J2389" s="2">
        <v>16</v>
      </c>
      <c r="K2389" s="4">
        <v>1</v>
      </c>
      <c r="L2389" s="4">
        <v>0.33929749073816651</v>
      </c>
      <c r="M2389" s="4">
        <v>0.33929749073816651</v>
      </c>
      <c r="N2389" s="10">
        <v>0.33900000000000002</v>
      </c>
      <c r="O2389" s="4">
        <v>1.7516310241717654</v>
      </c>
      <c r="P2389" s="4">
        <v>1.75</v>
      </c>
      <c r="Q2389" s="3" t="s">
        <v>1597</v>
      </c>
      <c r="R2389" s="3" t="s">
        <v>1607</v>
      </c>
      <c r="S2389" s="3" t="s">
        <v>1608</v>
      </c>
      <c r="T2389" s="3"/>
    </row>
    <row r="2390" spans="1:20">
      <c r="A2390" s="3" t="s">
        <v>1600</v>
      </c>
      <c r="B2390" s="3" t="s">
        <v>1606</v>
      </c>
      <c r="C2390" s="3" t="s">
        <v>1596</v>
      </c>
      <c r="D2390" s="3" t="s">
        <v>1320</v>
      </c>
      <c r="E2390" s="3" t="s">
        <v>1321</v>
      </c>
      <c r="F2390" s="2">
        <v>1</v>
      </c>
      <c r="G2390" s="4">
        <v>1.0761280698950508</v>
      </c>
      <c r="H2390" s="2">
        <v>25</v>
      </c>
      <c r="I2390" s="2">
        <v>5</v>
      </c>
      <c r="J2390" s="2">
        <v>1</v>
      </c>
      <c r="K2390" s="4">
        <v>1</v>
      </c>
      <c r="L2390" s="4">
        <v>0.3248489076323049</v>
      </c>
      <c r="M2390" s="4">
        <v>0.3248489076323049</v>
      </c>
      <c r="N2390" s="10">
        <v>0.32500000000000001</v>
      </c>
      <c r="O2390" s="4">
        <v>1.6711150690899068</v>
      </c>
      <c r="P2390" s="4">
        <v>1.67</v>
      </c>
      <c r="Q2390" s="3" t="s">
        <v>1597</v>
      </c>
      <c r="R2390" s="3" t="s">
        <v>1607</v>
      </c>
      <c r="S2390" s="3" t="s">
        <v>1608</v>
      </c>
      <c r="T2390" s="3"/>
    </row>
    <row r="2391" spans="1:20">
      <c r="A2391" s="3" t="s">
        <v>1600</v>
      </c>
      <c r="B2391" s="3" t="s">
        <v>1606</v>
      </c>
      <c r="C2391" s="3" t="s">
        <v>1596</v>
      </c>
      <c r="D2391" s="3" t="s">
        <v>1320</v>
      </c>
      <c r="E2391" s="3" t="s">
        <v>1321</v>
      </c>
      <c r="F2391" s="2">
        <v>1</v>
      </c>
      <c r="G2391" s="4">
        <v>1.0761280698950508</v>
      </c>
      <c r="H2391" s="2">
        <v>25</v>
      </c>
      <c r="I2391" s="2">
        <v>5</v>
      </c>
      <c r="J2391" s="2">
        <v>16</v>
      </c>
      <c r="K2391" s="4">
        <v>1</v>
      </c>
      <c r="L2391" s="4">
        <v>0.25921004529694341</v>
      </c>
      <c r="M2391" s="4">
        <v>0.25921004529694341</v>
      </c>
      <c r="N2391" s="10">
        <v>0.25900000000000001</v>
      </c>
      <c r="O2391" s="4">
        <v>1.3151489686933211</v>
      </c>
      <c r="P2391" s="4">
        <v>1.31</v>
      </c>
      <c r="Q2391" s="3" t="s">
        <v>1597</v>
      </c>
      <c r="R2391" s="3" t="s">
        <v>1607</v>
      </c>
      <c r="S2391" s="3" t="s">
        <v>1608</v>
      </c>
      <c r="T2391" s="3"/>
    </row>
    <row r="2392" spans="1:20">
      <c r="A2392" s="3" t="s">
        <v>1600</v>
      </c>
      <c r="B2392" s="3" t="s">
        <v>1609</v>
      </c>
      <c r="C2392" s="3" t="s">
        <v>1616</v>
      </c>
      <c r="D2392" s="3" t="s">
        <v>1320</v>
      </c>
      <c r="E2392" s="3" t="s">
        <v>1321</v>
      </c>
      <c r="F2392" s="2">
        <v>1</v>
      </c>
      <c r="G2392" s="4">
        <v>1.0761280698950508</v>
      </c>
      <c r="H2392" s="2">
        <v>25</v>
      </c>
      <c r="I2392" s="2">
        <v>5</v>
      </c>
      <c r="J2392" s="2">
        <v>1</v>
      </c>
      <c r="K2392" s="4">
        <v>0.94346672093992168</v>
      </c>
      <c r="L2392" s="4">
        <v>0.25458318505271282</v>
      </c>
      <c r="M2392" s="4">
        <v>0.25458318505271282</v>
      </c>
      <c r="N2392" s="10">
        <v>0.255</v>
      </c>
      <c r="O2392" s="4">
        <v>1.29058833338543</v>
      </c>
      <c r="P2392" s="4">
        <v>1.29</v>
      </c>
      <c r="Q2392" s="3" t="s">
        <v>1597</v>
      </c>
      <c r="R2392" s="3" t="s">
        <v>1610</v>
      </c>
      <c r="S2392" s="3" t="s">
        <v>1611</v>
      </c>
      <c r="T2392" s="3"/>
    </row>
    <row r="2393" spans="1:20">
      <c r="A2393" s="3" t="s">
        <v>1600</v>
      </c>
      <c r="B2393" s="3" t="s">
        <v>1609</v>
      </c>
      <c r="C2393" s="3" t="s">
        <v>1616</v>
      </c>
      <c r="D2393" s="3" t="s">
        <v>1320</v>
      </c>
      <c r="E2393" s="3" t="s">
        <v>1321</v>
      </c>
      <c r="F2393" s="2">
        <v>1</v>
      </c>
      <c r="G2393" s="4">
        <v>1.0761280698950508</v>
      </c>
      <c r="H2393" s="2">
        <v>25</v>
      </c>
      <c r="I2393" s="2">
        <v>5</v>
      </c>
      <c r="J2393" s="2">
        <v>16</v>
      </c>
      <c r="K2393" s="4">
        <v>0.97326249142385268</v>
      </c>
      <c r="L2393" s="4">
        <v>0.20543992647834036</v>
      </c>
      <c r="M2393" s="4">
        <v>0.20543992647834036</v>
      </c>
      <c r="N2393" s="10">
        <v>0.20499999999999999</v>
      </c>
      <c r="O2393" s="4">
        <v>1.0332618699920806</v>
      </c>
      <c r="P2393" s="4">
        <v>1.03</v>
      </c>
      <c r="Q2393" s="3" t="s">
        <v>1597</v>
      </c>
      <c r="R2393" s="3" t="s">
        <v>1610</v>
      </c>
      <c r="S2393" s="3" t="s">
        <v>1611</v>
      </c>
      <c r="T2393" s="3"/>
    </row>
    <row r="2394" spans="1:20">
      <c r="A2394" s="3" t="s">
        <v>1594</v>
      </c>
      <c r="B2394" s="3" t="s">
        <v>1612</v>
      </c>
      <c r="C2394" s="3" t="s">
        <v>1596</v>
      </c>
      <c r="D2394" s="3" t="s">
        <v>1320</v>
      </c>
      <c r="E2394" s="3" t="s">
        <v>1321</v>
      </c>
      <c r="F2394" s="2">
        <v>1</v>
      </c>
      <c r="G2394" s="4">
        <v>1.0761280698950508</v>
      </c>
      <c r="H2394" s="2">
        <v>50</v>
      </c>
      <c r="I2394" s="2">
        <v>5</v>
      </c>
      <c r="J2394" s="2">
        <v>16</v>
      </c>
      <c r="K2394" s="4">
        <v>0.75255150281783711</v>
      </c>
      <c r="L2394" s="4">
        <v>6.3715202565106974E-2</v>
      </c>
      <c r="M2394" s="4">
        <v>6.3715202565106974E-2</v>
      </c>
      <c r="N2394" s="10">
        <v>6.4000000000000001E-2</v>
      </c>
      <c r="O2394" s="4">
        <v>0.34284837025917425</v>
      </c>
      <c r="P2394" s="4">
        <v>0.34</v>
      </c>
      <c r="Q2394" s="3" t="s">
        <v>1597</v>
      </c>
      <c r="R2394" s="3" t="s">
        <v>1613</v>
      </c>
      <c r="S2394" s="3" t="s">
        <v>1614</v>
      </c>
      <c r="T2394" s="3"/>
    </row>
    <row r="2395" spans="1:20">
      <c r="A2395" s="3" t="s">
        <v>1594</v>
      </c>
      <c r="B2395" s="3" t="s">
        <v>1595</v>
      </c>
      <c r="C2395" s="3" t="s">
        <v>1596</v>
      </c>
      <c r="D2395" s="3" t="s">
        <v>1320</v>
      </c>
      <c r="E2395" s="3" t="s">
        <v>1321</v>
      </c>
      <c r="F2395" s="2">
        <v>1</v>
      </c>
      <c r="G2395" s="4">
        <v>1.0761280698950508</v>
      </c>
      <c r="H2395" s="2">
        <v>25</v>
      </c>
      <c r="I2395" s="2">
        <v>5</v>
      </c>
      <c r="J2395" s="2">
        <v>16</v>
      </c>
      <c r="K2395" s="4">
        <v>0.99204150034049665</v>
      </c>
      <c r="L2395" s="4">
        <v>8.4694304362444277E-3</v>
      </c>
      <c r="M2395" s="4">
        <v>8.4694304362444277E-3</v>
      </c>
      <c r="N2395" s="10">
        <v>8.0000000000000002E-3</v>
      </c>
      <c r="O2395" s="4">
        <v>4.1991901086737352E-2</v>
      </c>
      <c r="P2395" s="4">
        <v>0.04</v>
      </c>
      <c r="Q2395" s="3" t="s">
        <v>1597</v>
      </c>
      <c r="R2395" s="3" t="s">
        <v>1598</v>
      </c>
      <c r="S2395" s="3" t="s">
        <v>1599</v>
      </c>
      <c r="T2395" s="3"/>
    </row>
    <row r="2396" spans="1:20">
      <c r="A2396" s="3" t="s">
        <v>1594</v>
      </c>
      <c r="B2396" s="3" t="s">
        <v>1595</v>
      </c>
      <c r="C2396" s="3" t="s">
        <v>1596</v>
      </c>
      <c r="D2396" s="3" t="s">
        <v>1320</v>
      </c>
      <c r="E2396" s="3" t="s">
        <v>1321</v>
      </c>
      <c r="F2396" s="2">
        <v>1</v>
      </c>
      <c r="G2396" s="4">
        <v>1.0761280698950508</v>
      </c>
      <c r="H2396" s="2">
        <v>50</v>
      </c>
      <c r="I2396" s="2">
        <v>5</v>
      </c>
      <c r="J2396" s="2">
        <v>16</v>
      </c>
      <c r="K2396" s="4">
        <v>1</v>
      </c>
      <c r="L2396" s="4">
        <v>5.6658106928081983E-3</v>
      </c>
      <c r="M2396" s="4">
        <v>5.6658106928081983E-3</v>
      </c>
      <c r="N2396" s="10">
        <v>6.0000000000000001E-3</v>
      </c>
      <c r="O2396" s="4">
        <v>3.0446473730736594E-2</v>
      </c>
      <c r="P2396" s="4">
        <v>0.03</v>
      </c>
      <c r="Q2396" s="3" t="s">
        <v>1597</v>
      </c>
      <c r="R2396" s="3" t="s">
        <v>1598</v>
      </c>
      <c r="S2396" s="3" t="s">
        <v>1599</v>
      </c>
      <c r="T2396" s="3"/>
    </row>
    <row r="2397" spans="1:20">
      <c r="A2397" s="3" t="s">
        <v>1600</v>
      </c>
      <c r="B2397" s="3" t="s">
        <v>1601</v>
      </c>
      <c r="C2397" s="3" t="s">
        <v>1596</v>
      </c>
      <c r="D2397" s="3" t="s">
        <v>945</v>
      </c>
      <c r="E2397" s="3" t="s">
        <v>946</v>
      </c>
      <c r="F2397" s="2">
        <v>1</v>
      </c>
      <c r="G2397" s="4">
        <v>1.0767160161507403</v>
      </c>
      <c r="H2397" s="2">
        <v>25</v>
      </c>
      <c r="I2397" s="2">
        <v>5</v>
      </c>
      <c r="J2397" s="2">
        <v>1</v>
      </c>
      <c r="K2397" s="4">
        <v>0.21585374889779119</v>
      </c>
      <c r="L2397" s="4">
        <v>1</v>
      </c>
      <c r="M2397" s="4">
        <v>1</v>
      </c>
      <c r="N2397" s="10">
        <v>0.995</v>
      </c>
      <c r="O2397" s="4">
        <v>14.85</v>
      </c>
      <c r="P2397" s="4">
        <v>14.85</v>
      </c>
      <c r="Q2397" s="3" t="s">
        <v>1597</v>
      </c>
      <c r="R2397" s="3" t="s">
        <v>1602</v>
      </c>
      <c r="S2397" s="3" t="s">
        <v>1603</v>
      </c>
      <c r="T2397" s="3"/>
    </row>
    <row r="2398" spans="1:20">
      <c r="A2398" s="3" t="s">
        <v>1600</v>
      </c>
      <c r="B2398" s="3" t="s">
        <v>1601</v>
      </c>
      <c r="C2398" s="3" t="s">
        <v>1596</v>
      </c>
      <c r="D2398" s="3" t="s">
        <v>945</v>
      </c>
      <c r="E2398" s="3" t="s">
        <v>946</v>
      </c>
      <c r="F2398" s="2">
        <v>1</v>
      </c>
      <c r="G2398" s="4">
        <v>1.0767160161507403</v>
      </c>
      <c r="H2398" s="2">
        <v>25</v>
      </c>
      <c r="I2398" s="2">
        <v>5</v>
      </c>
      <c r="J2398" s="2">
        <v>16</v>
      </c>
      <c r="K2398" s="4">
        <v>1</v>
      </c>
      <c r="L2398" s="4">
        <v>1</v>
      </c>
      <c r="M2398" s="4">
        <v>1</v>
      </c>
      <c r="N2398" s="10">
        <v>0.995</v>
      </c>
      <c r="O2398" s="4">
        <v>14.85</v>
      </c>
      <c r="P2398" s="4">
        <v>14.85</v>
      </c>
      <c r="Q2398" s="3" t="s">
        <v>1597</v>
      </c>
      <c r="R2398" s="3" t="s">
        <v>1602</v>
      </c>
      <c r="S2398" s="3" t="s">
        <v>1603</v>
      </c>
      <c r="T2398" s="3"/>
    </row>
    <row r="2399" spans="1:20">
      <c r="A2399" s="3" t="s">
        <v>1600</v>
      </c>
      <c r="B2399" s="3" t="s">
        <v>1606</v>
      </c>
      <c r="C2399" s="3" t="s">
        <v>1596</v>
      </c>
      <c r="D2399" s="3" t="s">
        <v>945</v>
      </c>
      <c r="E2399" s="3" t="s">
        <v>946</v>
      </c>
      <c r="F2399" s="2">
        <v>1</v>
      </c>
      <c r="G2399" s="4">
        <v>1.0767160161507403</v>
      </c>
      <c r="H2399" s="2">
        <v>25</v>
      </c>
      <c r="I2399" s="2">
        <v>5</v>
      </c>
      <c r="J2399" s="2">
        <v>1</v>
      </c>
      <c r="K2399" s="4">
        <v>8.5734812576200858E-2</v>
      </c>
      <c r="L2399" s="4">
        <v>1</v>
      </c>
      <c r="M2399" s="4">
        <v>1</v>
      </c>
      <c r="N2399" s="10">
        <v>0.995</v>
      </c>
      <c r="O2399" s="4">
        <v>14.85</v>
      </c>
      <c r="P2399" s="4">
        <v>14.85</v>
      </c>
      <c r="Q2399" s="3" t="s">
        <v>1597</v>
      </c>
      <c r="R2399" s="3" t="s">
        <v>1607</v>
      </c>
      <c r="S2399" s="3" t="s">
        <v>1608</v>
      </c>
      <c r="T2399" s="3"/>
    </row>
    <row r="2400" spans="1:20">
      <c r="A2400" s="3" t="s">
        <v>1600</v>
      </c>
      <c r="B2400" s="3" t="s">
        <v>1601</v>
      </c>
      <c r="C2400" s="3" t="s">
        <v>1616</v>
      </c>
      <c r="D2400" s="3" t="s">
        <v>945</v>
      </c>
      <c r="E2400" s="3" t="s">
        <v>946</v>
      </c>
      <c r="F2400" s="2">
        <v>1</v>
      </c>
      <c r="G2400" s="4">
        <v>1.0767160161507403</v>
      </c>
      <c r="H2400" s="2">
        <v>25</v>
      </c>
      <c r="I2400" s="2">
        <v>5</v>
      </c>
      <c r="J2400" s="2">
        <v>1</v>
      </c>
      <c r="K2400" s="4">
        <v>1</v>
      </c>
      <c r="L2400" s="4">
        <v>1</v>
      </c>
      <c r="M2400" s="4">
        <v>1</v>
      </c>
      <c r="N2400" s="10">
        <v>0.995</v>
      </c>
      <c r="O2400" s="4">
        <v>14.85</v>
      </c>
      <c r="P2400" s="4">
        <v>14.85</v>
      </c>
      <c r="Q2400" s="3" t="s">
        <v>1597</v>
      </c>
      <c r="R2400" s="3" t="s">
        <v>1602</v>
      </c>
      <c r="S2400" s="3" t="s">
        <v>1603</v>
      </c>
      <c r="T2400" s="3"/>
    </row>
    <row r="2401" spans="1:20">
      <c r="A2401" s="3" t="s">
        <v>1600</v>
      </c>
      <c r="B2401" s="3" t="s">
        <v>1601</v>
      </c>
      <c r="C2401" s="3" t="s">
        <v>1616</v>
      </c>
      <c r="D2401" s="3" t="s">
        <v>945</v>
      </c>
      <c r="E2401" s="3" t="s">
        <v>946</v>
      </c>
      <c r="F2401" s="2">
        <v>1</v>
      </c>
      <c r="G2401" s="4">
        <v>1.0767160161507403</v>
      </c>
      <c r="H2401" s="2">
        <v>25</v>
      </c>
      <c r="I2401" s="2">
        <v>5</v>
      </c>
      <c r="J2401" s="2">
        <v>16</v>
      </c>
      <c r="K2401" s="4">
        <v>1</v>
      </c>
      <c r="L2401" s="4">
        <v>1</v>
      </c>
      <c r="M2401" s="4">
        <v>1</v>
      </c>
      <c r="N2401" s="10">
        <v>0.995</v>
      </c>
      <c r="O2401" s="4">
        <v>14.85</v>
      </c>
      <c r="P2401" s="4">
        <v>14.85</v>
      </c>
      <c r="Q2401" s="3" t="s">
        <v>1597</v>
      </c>
      <c r="R2401" s="3" t="s">
        <v>1602</v>
      </c>
      <c r="S2401" s="3" t="s">
        <v>1603</v>
      </c>
      <c r="T2401" s="3"/>
    </row>
    <row r="2402" spans="1:20">
      <c r="A2402" s="3" t="s">
        <v>1604</v>
      </c>
      <c r="B2402" s="3" t="s">
        <v>1601</v>
      </c>
      <c r="C2402" s="3" t="s">
        <v>1616</v>
      </c>
      <c r="D2402" s="3" t="s">
        <v>945</v>
      </c>
      <c r="E2402" s="3" t="s">
        <v>946</v>
      </c>
      <c r="F2402" s="2">
        <v>1</v>
      </c>
      <c r="G2402" s="4">
        <v>1.0767160161507403</v>
      </c>
      <c r="H2402" s="2">
        <v>25</v>
      </c>
      <c r="I2402" s="2">
        <v>30</v>
      </c>
      <c r="J2402" s="2">
        <v>16</v>
      </c>
      <c r="K2402" s="4">
        <v>1</v>
      </c>
      <c r="L2402" s="4">
        <v>1</v>
      </c>
      <c r="M2402" s="4">
        <v>1</v>
      </c>
      <c r="N2402" s="10">
        <v>0.995</v>
      </c>
      <c r="O2402" s="4">
        <v>14.85</v>
      </c>
      <c r="P2402" s="4">
        <v>14.85</v>
      </c>
      <c r="Q2402" s="3" t="s">
        <v>1597</v>
      </c>
      <c r="R2402" s="3" t="s">
        <v>1602</v>
      </c>
      <c r="S2402" s="3" t="s">
        <v>1603</v>
      </c>
      <c r="T2402" s="3"/>
    </row>
    <row r="2403" spans="1:20">
      <c r="A2403" s="3" t="s">
        <v>1600</v>
      </c>
      <c r="B2403" s="3" t="s">
        <v>1606</v>
      </c>
      <c r="C2403" s="3" t="s">
        <v>1616</v>
      </c>
      <c r="D2403" s="3" t="s">
        <v>945</v>
      </c>
      <c r="E2403" s="3" t="s">
        <v>946</v>
      </c>
      <c r="F2403" s="2">
        <v>1</v>
      </c>
      <c r="G2403" s="4">
        <v>1.0767160161507403</v>
      </c>
      <c r="H2403" s="2">
        <v>25</v>
      </c>
      <c r="I2403" s="2">
        <v>5</v>
      </c>
      <c r="J2403" s="2">
        <v>1</v>
      </c>
      <c r="K2403" s="4">
        <v>0.72276733803483584</v>
      </c>
      <c r="L2403" s="4">
        <v>1</v>
      </c>
      <c r="M2403" s="4">
        <v>1</v>
      </c>
      <c r="N2403" s="10">
        <v>0.995</v>
      </c>
      <c r="O2403" s="4">
        <v>14.85</v>
      </c>
      <c r="P2403" s="4">
        <v>14.85</v>
      </c>
      <c r="Q2403" s="3" t="s">
        <v>1597</v>
      </c>
      <c r="R2403" s="3" t="s">
        <v>1607</v>
      </c>
      <c r="S2403" s="3" t="s">
        <v>1608</v>
      </c>
      <c r="T2403" s="3"/>
    </row>
    <row r="2404" spans="1:20">
      <c r="A2404" s="3" t="s">
        <v>1600</v>
      </c>
      <c r="B2404" s="3" t="s">
        <v>1606</v>
      </c>
      <c r="C2404" s="3" t="s">
        <v>1616</v>
      </c>
      <c r="D2404" s="3" t="s">
        <v>945</v>
      </c>
      <c r="E2404" s="3" t="s">
        <v>946</v>
      </c>
      <c r="F2404" s="2">
        <v>1</v>
      </c>
      <c r="G2404" s="4">
        <v>1.0767160161507403</v>
      </c>
      <c r="H2404" s="2">
        <v>25</v>
      </c>
      <c r="I2404" s="2">
        <v>5</v>
      </c>
      <c r="J2404" s="2">
        <v>16</v>
      </c>
      <c r="K2404" s="4">
        <v>1</v>
      </c>
      <c r="L2404" s="4">
        <v>1</v>
      </c>
      <c r="M2404" s="4">
        <v>1</v>
      </c>
      <c r="N2404" s="10">
        <v>0.995</v>
      </c>
      <c r="O2404" s="4">
        <v>14.85</v>
      </c>
      <c r="P2404" s="4">
        <v>14.85</v>
      </c>
      <c r="Q2404" s="3" t="s">
        <v>1597</v>
      </c>
      <c r="R2404" s="3" t="s">
        <v>1607</v>
      </c>
      <c r="S2404" s="3" t="s">
        <v>1608</v>
      </c>
      <c r="T2404" s="3"/>
    </row>
    <row r="2405" spans="1:20">
      <c r="A2405" s="3" t="s">
        <v>1605</v>
      </c>
      <c r="B2405" s="3" t="s">
        <v>1601</v>
      </c>
      <c r="C2405" s="3" t="s">
        <v>1596</v>
      </c>
      <c r="D2405" s="3" t="s">
        <v>945</v>
      </c>
      <c r="E2405" s="3" t="s">
        <v>946</v>
      </c>
      <c r="F2405" s="2">
        <v>1</v>
      </c>
      <c r="G2405" s="4">
        <v>1.0767160161507403</v>
      </c>
      <c r="H2405" s="2">
        <v>25</v>
      </c>
      <c r="I2405" s="2">
        <v>5</v>
      </c>
      <c r="J2405" s="2">
        <v>16</v>
      </c>
      <c r="K2405" s="4">
        <v>1</v>
      </c>
      <c r="L2405" s="4">
        <v>0.99809022810398262</v>
      </c>
      <c r="M2405" s="4">
        <v>0.99809022810398262</v>
      </c>
      <c r="N2405" s="10">
        <v>0.995</v>
      </c>
      <c r="O2405" s="4">
        <v>17.23617476406697</v>
      </c>
      <c r="P2405" s="4">
        <v>14.85</v>
      </c>
      <c r="Q2405" s="3" t="s">
        <v>1597</v>
      </c>
      <c r="R2405" s="3" t="s">
        <v>1602</v>
      </c>
      <c r="S2405" s="3" t="s">
        <v>1603</v>
      </c>
      <c r="T2405" s="3"/>
    </row>
    <row r="2406" spans="1:20">
      <c r="A2406" s="3" t="s">
        <v>1604</v>
      </c>
      <c r="B2406" s="3" t="s">
        <v>1601</v>
      </c>
      <c r="C2406" s="3" t="s">
        <v>1596</v>
      </c>
      <c r="D2406" s="3" t="s">
        <v>945</v>
      </c>
      <c r="E2406" s="3" t="s">
        <v>946</v>
      </c>
      <c r="F2406" s="2">
        <v>1</v>
      </c>
      <c r="G2406" s="4">
        <v>1.0767160161507403</v>
      </c>
      <c r="H2406" s="2">
        <v>25</v>
      </c>
      <c r="I2406" s="2">
        <v>30</v>
      </c>
      <c r="J2406" s="2">
        <v>16</v>
      </c>
      <c r="K2406" s="4">
        <v>1</v>
      </c>
      <c r="L2406" s="4">
        <v>0.98777889068896674</v>
      </c>
      <c r="M2406" s="4">
        <v>0.98777889068896674</v>
      </c>
      <c r="N2406" s="10">
        <v>0.98799999999999999</v>
      </c>
      <c r="O2406" s="4">
        <v>12.621935260266378</v>
      </c>
      <c r="P2406" s="4">
        <v>12.67</v>
      </c>
      <c r="Q2406" s="3" t="s">
        <v>1597</v>
      </c>
      <c r="R2406" s="3" t="s">
        <v>1602</v>
      </c>
      <c r="S2406" s="3" t="s">
        <v>1603</v>
      </c>
      <c r="T2406" s="3"/>
    </row>
    <row r="2407" spans="1:20">
      <c r="A2407" s="3" t="s">
        <v>1600</v>
      </c>
      <c r="B2407" s="3" t="s">
        <v>1609</v>
      </c>
      <c r="C2407" s="3" t="s">
        <v>1596</v>
      </c>
      <c r="D2407" s="3" t="s">
        <v>945</v>
      </c>
      <c r="E2407" s="3" t="s">
        <v>946</v>
      </c>
      <c r="F2407" s="2">
        <v>1</v>
      </c>
      <c r="G2407" s="4">
        <v>1.0767160161507403</v>
      </c>
      <c r="H2407" s="2">
        <v>25</v>
      </c>
      <c r="I2407" s="2">
        <v>5</v>
      </c>
      <c r="J2407" s="2">
        <v>1</v>
      </c>
      <c r="K2407" s="4">
        <v>0.98132298080999325</v>
      </c>
      <c r="L2407" s="4">
        <v>0.9411077544619959</v>
      </c>
      <c r="M2407" s="4">
        <v>0.9411077544619959</v>
      </c>
      <c r="N2407" s="10">
        <v>0.94099999999999995</v>
      </c>
      <c r="O2407" s="4">
        <v>8.6647490370289102</v>
      </c>
      <c r="P2407" s="4">
        <v>8.66</v>
      </c>
      <c r="Q2407" s="3" t="s">
        <v>1597</v>
      </c>
      <c r="R2407" s="3" t="s">
        <v>1610</v>
      </c>
      <c r="S2407" s="3" t="s">
        <v>1611</v>
      </c>
      <c r="T2407" s="3"/>
    </row>
    <row r="2408" spans="1:20">
      <c r="A2408" s="3" t="s">
        <v>1600</v>
      </c>
      <c r="B2408" s="3" t="s">
        <v>1609</v>
      </c>
      <c r="C2408" s="3" t="s">
        <v>1596</v>
      </c>
      <c r="D2408" s="3" t="s">
        <v>945</v>
      </c>
      <c r="E2408" s="3" t="s">
        <v>946</v>
      </c>
      <c r="F2408" s="2">
        <v>1</v>
      </c>
      <c r="G2408" s="4">
        <v>1.0767160161507403</v>
      </c>
      <c r="H2408" s="2">
        <v>25</v>
      </c>
      <c r="I2408" s="2">
        <v>5</v>
      </c>
      <c r="J2408" s="2">
        <v>16</v>
      </c>
      <c r="K2408" s="4">
        <v>1</v>
      </c>
      <c r="L2408" s="4">
        <v>0.92919497401924944</v>
      </c>
      <c r="M2408" s="4">
        <v>0.92919497401924944</v>
      </c>
      <c r="N2408" s="10">
        <v>0.92900000000000005</v>
      </c>
      <c r="O2408" s="4">
        <v>8.1928115715587193</v>
      </c>
      <c r="P2408" s="4">
        <v>8.19</v>
      </c>
      <c r="Q2408" s="3" t="s">
        <v>1597</v>
      </c>
      <c r="R2408" s="3" t="s">
        <v>1610</v>
      </c>
      <c r="S2408" s="3" t="s">
        <v>1611</v>
      </c>
      <c r="T2408" s="3"/>
    </row>
    <row r="2409" spans="1:20">
      <c r="A2409" s="3" t="s">
        <v>1600</v>
      </c>
      <c r="B2409" s="3" t="s">
        <v>1609</v>
      </c>
      <c r="C2409" s="3" t="s">
        <v>1616</v>
      </c>
      <c r="D2409" s="3" t="s">
        <v>945</v>
      </c>
      <c r="E2409" s="3" t="s">
        <v>946</v>
      </c>
      <c r="F2409" s="2">
        <v>1</v>
      </c>
      <c r="G2409" s="4">
        <v>1.0767160161507403</v>
      </c>
      <c r="H2409" s="2">
        <v>25</v>
      </c>
      <c r="I2409" s="2">
        <v>5</v>
      </c>
      <c r="J2409" s="2">
        <v>1</v>
      </c>
      <c r="K2409" s="4">
        <v>0.36789281166364429</v>
      </c>
      <c r="L2409" s="4">
        <v>0.91680186525477247</v>
      </c>
      <c r="M2409" s="4">
        <v>0.91680186525477247</v>
      </c>
      <c r="N2409" s="10">
        <v>0.91700000000000004</v>
      </c>
      <c r="O2409" s="4">
        <v>7.7769903324301604</v>
      </c>
      <c r="P2409" s="4">
        <v>7.78</v>
      </c>
      <c r="Q2409" s="3" t="s">
        <v>1597</v>
      </c>
      <c r="R2409" s="3" t="s">
        <v>1610</v>
      </c>
      <c r="S2409" s="3" t="s">
        <v>1611</v>
      </c>
      <c r="T2409" s="3"/>
    </row>
    <row r="2410" spans="1:20">
      <c r="A2410" s="3" t="s">
        <v>1600</v>
      </c>
      <c r="B2410" s="3" t="s">
        <v>1609</v>
      </c>
      <c r="C2410" s="3" t="s">
        <v>1616</v>
      </c>
      <c r="D2410" s="3" t="s">
        <v>945</v>
      </c>
      <c r="E2410" s="3" t="s">
        <v>946</v>
      </c>
      <c r="F2410" s="2">
        <v>1</v>
      </c>
      <c r="G2410" s="4">
        <v>1.0767160161507403</v>
      </c>
      <c r="H2410" s="2">
        <v>25</v>
      </c>
      <c r="I2410" s="2">
        <v>5</v>
      </c>
      <c r="J2410" s="2">
        <v>16</v>
      </c>
      <c r="K2410" s="4">
        <v>0.97363320714859525</v>
      </c>
      <c r="L2410" s="4">
        <v>0.8672605642165615</v>
      </c>
      <c r="M2410" s="4">
        <v>0.8672605642165615</v>
      </c>
      <c r="N2410" s="10">
        <v>0.86699999999999999</v>
      </c>
      <c r="O2410" s="4">
        <v>6.5539942770038513</v>
      </c>
      <c r="P2410" s="4">
        <v>6.55</v>
      </c>
      <c r="Q2410" s="3" t="s">
        <v>1597</v>
      </c>
      <c r="R2410" s="3" t="s">
        <v>1610</v>
      </c>
      <c r="S2410" s="3" t="s">
        <v>1611</v>
      </c>
      <c r="T2410" s="3"/>
    </row>
    <row r="2411" spans="1:20">
      <c r="A2411" s="3" t="s">
        <v>1600</v>
      </c>
      <c r="B2411" s="3" t="s">
        <v>1606</v>
      </c>
      <c r="C2411" s="3" t="s">
        <v>1596</v>
      </c>
      <c r="D2411" s="3" t="s">
        <v>945</v>
      </c>
      <c r="E2411" s="3" t="s">
        <v>946</v>
      </c>
      <c r="F2411" s="2">
        <v>1</v>
      </c>
      <c r="G2411" s="4">
        <v>1.0767160161507403</v>
      </c>
      <c r="H2411" s="2">
        <v>25</v>
      </c>
      <c r="I2411" s="2">
        <v>5</v>
      </c>
      <c r="J2411" s="2">
        <v>16</v>
      </c>
      <c r="K2411" s="4">
        <v>0.80456773054994457</v>
      </c>
      <c r="L2411" s="4">
        <v>0.86021711519566724</v>
      </c>
      <c r="M2411" s="4">
        <v>0.86021711519566724</v>
      </c>
      <c r="N2411" s="10">
        <v>0.86</v>
      </c>
      <c r="O2411" s="4">
        <v>6.4164573367669364</v>
      </c>
      <c r="P2411" s="4">
        <v>6.41</v>
      </c>
      <c r="Q2411" s="3" t="s">
        <v>1597</v>
      </c>
      <c r="R2411" s="3" t="s">
        <v>1607</v>
      </c>
      <c r="S2411" s="3" t="s">
        <v>1608</v>
      </c>
      <c r="T2411" s="3"/>
    </row>
    <row r="2412" spans="1:20">
      <c r="A2412" s="3" t="s">
        <v>1594</v>
      </c>
      <c r="B2412" s="3" t="s">
        <v>1612</v>
      </c>
      <c r="C2412" s="3" t="s">
        <v>1596</v>
      </c>
      <c r="D2412" s="3" t="s">
        <v>945</v>
      </c>
      <c r="E2412" s="3" t="s">
        <v>946</v>
      </c>
      <c r="F2412" s="2">
        <v>1</v>
      </c>
      <c r="G2412" s="4">
        <v>1.0767160161507403</v>
      </c>
      <c r="H2412" s="2">
        <v>50</v>
      </c>
      <c r="I2412" s="2">
        <v>5</v>
      </c>
      <c r="J2412" s="2">
        <v>16</v>
      </c>
      <c r="K2412" s="4">
        <v>0.37140336971000365</v>
      </c>
      <c r="L2412" s="4">
        <v>5.8255561013262229E-2</v>
      </c>
      <c r="M2412" s="4">
        <v>5.8255561013262229E-2</v>
      </c>
      <c r="N2412" s="10">
        <v>5.8000000000000003E-2</v>
      </c>
      <c r="O2412" s="4">
        <v>0.31340050824413368</v>
      </c>
      <c r="P2412" s="4">
        <v>0.31</v>
      </c>
      <c r="Q2412" s="3" t="s">
        <v>1597</v>
      </c>
      <c r="R2412" s="3" t="s">
        <v>1613</v>
      </c>
      <c r="S2412" s="3" t="s">
        <v>1614</v>
      </c>
      <c r="T2412" s="3"/>
    </row>
    <row r="2413" spans="1:20">
      <c r="A2413" s="3" t="s">
        <v>1594</v>
      </c>
      <c r="B2413" s="3" t="s">
        <v>1595</v>
      </c>
      <c r="C2413" s="3" t="s">
        <v>1596</v>
      </c>
      <c r="D2413" s="3" t="s">
        <v>945</v>
      </c>
      <c r="E2413" s="3" t="s">
        <v>946</v>
      </c>
      <c r="F2413" s="2">
        <v>1</v>
      </c>
      <c r="G2413" s="4">
        <v>1.0767160161507403</v>
      </c>
      <c r="H2413" s="2">
        <v>50</v>
      </c>
      <c r="I2413" s="2">
        <v>5</v>
      </c>
      <c r="J2413" s="2">
        <v>16</v>
      </c>
      <c r="K2413" s="4">
        <v>0.91690296165468677</v>
      </c>
      <c r="L2413" s="4">
        <v>4.9531228715404538E-2</v>
      </c>
      <c r="M2413" s="4">
        <v>4.9531228715404538E-2</v>
      </c>
      <c r="N2413" s="10">
        <v>0.05</v>
      </c>
      <c r="O2413" s="4">
        <v>0.26638203419951745</v>
      </c>
      <c r="P2413" s="4">
        <v>0.27</v>
      </c>
      <c r="Q2413" s="3" t="s">
        <v>1597</v>
      </c>
      <c r="R2413" s="3" t="s">
        <v>1598</v>
      </c>
      <c r="S2413" s="3" t="s">
        <v>1599</v>
      </c>
      <c r="T2413" s="3"/>
    </row>
    <row r="2414" spans="1:20">
      <c r="A2414" s="3" t="s">
        <v>1594</v>
      </c>
      <c r="B2414" s="3" t="s">
        <v>1595</v>
      </c>
      <c r="C2414" s="3" t="s">
        <v>1596</v>
      </c>
      <c r="D2414" s="3" t="s">
        <v>945</v>
      </c>
      <c r="E2414" s="3" t="s">
        <v>946</v>
      </c>
      <c r="F2414" s="2">
        <v>1</v>
      </c>
      <c r="G2414" s="4">
        <v>1.0767160161507403</v>
      </c>
      <c r="H2414" s="2">
        <v>25</v>
      </c>
      <c r="I2414" s="2">
        <v>5</v>
      </c>
      <c r="J2414" s="2">
        <v>16</v>
      </c>
      <c r="K2414" s="4">
        <v>5.9671265393701711E-2</v>
      </c>
      <c r="L2414" s="4">
        <v>-0.10512082246040599</v>
      </c>
      <c r="M2414" s="4">
        <v>0.10512082246040599</v>
      </c>
      <c r="N2414" s="10">
        <v>0.105</v>
      </c>
      <c r="O2414" s="4">
        <v>0.52311493218061023</v>
      </c>
      <c r="P2414" s="4">
        <v>-0.52</v>
      </c>
      <c r="Q2414" s="3" t="s">
        <v>1617</v>
      </c>
      <c r="R2414" s="3" t="s">
        <v>1625</v>
      </c>
      <c r="S2414" s="3" t="s">
        <v>1626</v>
      </c>
      <c r="T2414" s="3"/>
    </row>
    <row r="2415" spans="1:20">
      <c r="A2415" s="3" t="s">
        <v>1600</v>
      </c>
      <c r="B2415" s="3" t="s">
        <v>1606</v>
      </c>
      <c r="C2415" s="3" t="s">
        <v>1596</v>
      </c>
      <c r="D2415" s="3" t="s">
        <v>651</v>
      </c>
      <c r="E2415" s="3" t="s">
        <v>652</v>
      </c>
      <c r="F2415" s="2">
        <v>1</v>
      </c>
      <c r="G2415" s="4">
        <v>1.0771419446621955</v>
      </c>
      <c r="H2415" s="2">
        <v>25</v>
      </c>
      <c r="I2415" s="2">
        <v>5</v>
      </c>
      <c r="J2415" s="2">
        <v>1</v>
      </c>
      <c r="K2415" s="11">
        <v>0.99846044294514991</v>
      </c>
      <c r="L2415" s="11">
        <v>1</v>
      </c>
      <c r="M2415" s="4">
        <v>1</v>
      </c>
      <c r="N2415" s="10">
        <v>0.995</v>
      </c>
      <c r="O2415" s="4">
        <v>14.85</v>
      </c>
      <c r="P2415" s="4">
        <v>14.85</v>
      </c>
      <c r="Q2415" s="3" t="s">
        <v>1597</v>
      </c>
      <c r="R2415" s="3" t="s">
        <v>1607</v>
      </c>
      <c r="S2415" s="3" t="s">
        <v>1608</v>
      </c>
      <c r="T2415" s="3"/>
    </row>
    <row r="2416" spans="1:20">
      <c r="A2416" s="3" t="s">
        <v>1600</v>
      </c>
      <c r="B2416" s="3" t="s">
        <v>1606</v>
      </c>
      <c r="C2416" s="3" t="s">
        <v>1596</v>
      </c>
      <c r="D2416" s="3" t="s">
        <v>651</v>
      </c>
      <c r="E2416" s="3" t="s">
        <v>652</v>
      </c>
      <c r="F2416" s="2">
        <v>1</v>
      </c>
      <c r="G2416" s="4">
        <v>1.0771419446621955</v>
      </c>
      <c r="H2416" s="2">
        <v>25</v>
      </c>
      <c r="I2416" s="2">
        <v>5</v>
      </c>
      <c r="J2416" s="2">
        <v>16</v>
      </c>
      <c r="K2416" s="11">
        <v>1</v>
      </c>
      <c r="L2416" s="11">
        <v>1</v>
      </c>
      <c r="M2416" s="4">
        <v>1</v>
      </c>
      <c r="N2416" s="10">
        <v>0.995</v>
      </c>
      <c r="O2416" s="4">
        <v>14.85</v>
      </c>
      <c r="P2416" s="4">
        <v>14.85</v>
      </c>
      <c r="Q2416" s="3" t="s">
        <v>1597</v>
      </c>
      <c r="R2416" s="3" t="s">
        <v>1607</v>
      </c>
      <c r="S2416" s="3" t="s">
        <v>1608</v>
      </c>
      <c r="T2416" s="3"/>
    </row>
    <row r="2417" spans="1:20">
      <c r="A2417" s="3" t="s">
        <v>1600</v>
      </c>
      <c r="B2417" s="3" t="s">
        <v>1606</v>
      </c>
      <c r="C2417" s="3" t="s">
        <v>1616</v>
      </c>
      <c r="D2417" s="3" t="s">
        <v>651</v>
      </c>
      <c r="E2417" s="3" t="s">
        <v>652</v>
      </c>
      <c r="F2417" s="2">
        <v>1</v>
      </c>
      <c r="G2417" s="4">
        <v>1.0771419446621955</v>
      </c>
      <c r="H2417" s="2">
        <v>25</v>
      </c>
      <c r="I2417" s="2">
        <v>5</v>
      </c>
      <c r="J2417" s="2">
        <v>1</v>
      </c>
      <c r="K2417" s="4">
        <v>1</v>
      </c>
      <c r="L2417" s="4">
        <v>1</v>
      </c>
      <c r="M2417" s="4">
        <v>1</v>
      </c>
      <c r="N2417" s="10">
        <v>0.995</v>
      </c>
      <c r="O2417" s="4">
        <v>14.85</v>
      </c>
      <c r="P2417" s="4">
        <v>14.85</v>
      </c>
      <c r="Q2417" s="3" t="s">
        <v>1597</v>
      </c>
      <c r="R2417" s="3" t="s">
        <v>1607</v>
      </c>
      <c r="S2417" s="3" t="s">
        <v>1608</v>
      </c>
      <c r="T2417" s="3"/>
    </row>
    <row r="2418" spans="1:20">
      <c r="A2418" s="3" t="s">
        <v>1600</v>
      </c>
      <c r="B2418" s="3" t="s">
        <v>1606</v>
      </c>
      <c r="C2418" s="3" t="s">
        <v>1616</v>
      </c>
      <c r="D2418" s="3" t="s">
        <v>651</v>
      </c>
      <c r="E2418" s="3" t="s">
        <v>652</v>
      </c>
      <c r="F2418" s="2">
        <v>1</v>
      </c>
      <c r="G2418" s="4">
        <v>1.0771419446621955</v>
      </c>
      <c r="H2418" s="2">
        <v>25</v>
      </c>
      <c r="I2418" s="2">
        <v>5</v>
      </c>
      <c r="J2418" s="2">
        <v>16</v>
      </c>
      <c r="K2418" s="11">
        <v>1</v>
      </c>
      <c r="L2418" s="11">
        <v>1</v>
      </c>
      <c r="M2418" s="4">
        <v>1</v>
      </c>
      <c r="N2418" s="10">
        <v>0.995</v>
      </c>
      <c r="O2418" s="4">
        <v>14.85</v>
      </c>
      <c r="P2418" s="4">
        <v>14.85</v>
      </c>
      <c r="Q2418" s="3" t="s">
        <v>1597</v>
      </c>
      <c r="R2418" s="3" t="s">
        <v>1607</v>
      </c>
      <c r="S2418" s="3" t="s">
        <v>1608</v>
      </c>
      <c r="T2418" s="3"/>
    </row>
    <row r="2419" spans="1:20">
      <c r="A2419" s="3" t="s">
        <v>1600</v>
      </c>
      <c r="B2419" s="3" t="s">
        <v>1601</v>
      </c>
      <c r="C2419" s="3" t="s">
        <v>1616</v>
      </c>
      <c r="D2419" s="3" t="s">
        <v>651</v>
      </c>
      <c r="E2419" s="3" t="s">
        <v>652</v>
      </c>
      <c r="F2419" s="2">
        <v>1</v>
      </c>
      <c r="G2419" s="4">
        <v>1.0771419446621955</v>
      </c>
      <c r="H2419" s="2">
        <v>25</v>
      </c>
      <c r="I2419" s="2">
        <v>5</v>
      </c>
      <c r="J2419" s="2">
        <v>1</v>
      </c>
      <c r="K2419" s="4">
        <v>1</v>
      </c>
      <c r="L2419" s="4">
        <v>0.96675327702517411</v>
      </c>
      <c r="M2419" s="4">
        <v>0.96675327702517411</v>
      </c>
      <c r="N2419" s="10">
        <v>0.96699999999999997</v>
      </c>
      <c r="O2419" s="4">
        <v>10.114644237321292</v>
      </c>
      <c r="P2419" s="4">
        <v>10.130000000000001</v>
      </c>
      <c r="Q2419" s="3" t="s">
        <v>1597</v>
      </c>
      <c r="R2419" s="3" t="s">
        <v>1602</v>
      </c>
      <c r="S2419" s="3" t="s">
        <v>1603</v>
      </c>
      <c r="T2419" s="3"/>
    </row>
    <row r="2420" spans="1:20">
      <c r="A2420" s="3" t="s">
        <v>1600</v>
      </c>
      <c r="B2420" s="3" t="s">
        <v>1601</v>
      </c>
      <c r="C2420" s="3" t="s">
        <v>1596</v>
      </c>
      <c r="D2420" s="3" t="s">
        <v>651</v>
      </c>
      <c r="E2420" s="3" t="s">
        <v>652</v>
      </c>
      <c r="F2420" s="2">
        <v>1</v>
      </c>
      <c r="G2420" s="4">
        <v>1.0771419446621955</v>
      </c>
      <c r="H2420" s="2">
        <v>25</v>
      </c>
      <c r="I2420" s="2">
        <v>5</v>
      </c>
      <c r="J2420" s="2">
        <v>16</v>
      </c>
      <c r="K2420" s="4">
        <v>1</v>
      </c>
      <c r="L2420" s="4">
        <v>0.94200454305182035</v>
      </c>
      <c r="M2420" s="4">
        <v>0.94200454305182035</v>
      </c>
      <c r="N2420" s="10">
        <v>0.94199999999999995</v>
      </c>
      <c r="O2420" s="4">
        <v>8.7039331944319756</v>
      </c>
      <c r="P2420" s="4">
        <v>8.6999999999999993</v>
      </c>
      <c r="Q2420" s="3" t="s">
        <v>1597</v>
      </c>
      <c r="R2420" s="3" t="s">
        <v>1602</v>
      </c>
      <c r="S2420" s="3" t="s">
        <v>1603</v>
      </c>
      <c r="T2420" s="3"/>
    </row>
    <row r="2421" spans="1:20">
      <c r="A2421" s="3" t="s">
        <v>1600</v>
      </c>
      <c r="B2421" s="3" t="s">
        <v>1601</v>
      </c>
      <c r="C2421" s="3" t="s">
        <v>1616</v>
      </c>
      <c r="D2421" s="3" t="s">
        <v>651</v>
      </c>
      <c r="E2421" s="3" t="s">
        <v>652</v>
      </c>
      <c r="F2421" s="2">
        <v>1</v>
      </c>
      <c r="G2421" s="4">
        <v>1.0771419446621955</v>
      </c>
      <c r="H2421" s="2">
        <v>25</v>
      </c>
      <c r="I2421" s="2">
        <v>5</v>
      </c>
      <c r="J2421" s="2">
        <v>16</v>
      </c>
      <c r="K2421" s="4">
        <v>1</v>
      </c>
      <c r="L2421" s="4">
        <v>0.9409046113033247</v>
      </c>
      <c r="M2421" s="4">
        <v>0.9409046113033247</v>
      </c>
      <c r="N2421" s="10">
        <v>0.94099999999999995</v>
      </c>
      <c r="O2421" s="4">
        <v>8.6559533422954722</v>
      </c>
      <c r="P2421" s="4">
        <v>8.66</v>
      </c>
      <c r="Q2421" s="3" t="s">
        <v>1597</v>
      </c>
      <c r="R2421" s="3" t="s">
        <v>1602</v>
      </c>
      <c r="S2421" s="3" t="s">
        <v>1603</v>
      </c>
      <c r="T2421" s="3"/>
    </row>
    <row r="2422" spans="1:20">
      <c r="A2422" s="12" t="s">
        <v>1605</v>
      </c>
      <c r="B2422" s="3" t="s">
        <v>1601</v>
      </c>
      <c r="C2422" s="3" t="s">
        <v>1596</v>
      </c>
      <c r="D2422" s="3" t="s">
        <v>651</v>
      </c>
      <c r="E2422" s="3" t="s">
        <v>652</v>
      </c>
      <c r="F2422" s="2">
        <v>1</v>
      </c>
      <c r="G2422" s="4">
        <v>1.0771419446621955</v>
      </c>
      <c r="H2422" s="2">
        <v>25</v>
      </c>
      <c r="I2422" s="2">
        <v>5</v>
      </c>
      <c r="J2422" s="2">
        <v>16</v>
      </c>
      <c r="K2422" s="11">
        <v>1</v>
      </c>
      <c r="L2422" s="11">
        <v>0.91519872196472052</v>
      </c>
      <c r="M2422" s="4">
        <v>0.91519872196472052</v>
      </c>
      <c r="N2422" s="10">
        <v>0.91500000000000004</v>
      </c>
      <c r="O2422" s="4">
        <v>7.7276033399734594</v>
      </c>
      <c r="P2422" s="4">
        <v>7.72</v>
      </c>
      <c r="Q2422" s="3" t="s">
        <v>1597</v>
      </c>
      <c r="R2422" s="3" t="s">
        <v>1602</v>
      </c>
      <c r="S2422" s="3" t="s">
        <v>1603</v>
      </c>
      <c r="T2422" s="3"/>
    </row>
    <row r="2423" spans="1:20">
      <c r="A2423" s="3" t="s">
        <v>1600</v>
      </c>
      <c r="B2423" s="3" t="s">
        <v>1601</v>
      </c>
      <c r="C2423" s="3" t="s">
        <v>1596</v>
      </c>
      <c r="D2423" s="3" t="s">
        <v>651</v>
      </c>
      <c r="E2423" s="3" t="s">
        <v>652</v>
      </c>
      <c r="F2423" s="2">
        <v>1</v>
      </c>
      <c r="G2423" s="4">
        <v>1.0771419446621955</v>
      </c>
      <c r="H2423" s="2">
        <v>25</v>
      </c>
      <c r="I2423" s="2">
        <v>5</v>
      </c>
      <c r="J2423" s="2">
        <v>1</v>
      </c>
      <c r="K2423" s="4">
        <v>1</v>
      </c>
      <c r="L2423" s="4">
        <v>0.91006294520686526</v>
      </c>
      <c r="M2423" s="4">
        <v>0.91006294520686526</v>
      </c>
      <c r="N2423" s="10">
        <v>0.91</v>
      </c>
      <c r="O2423" s="4">
        <v>7.5751849436024452</v>
      </c>
      <c r="P2423" s="4">
        <v>7.57</v>
      </c>
      <c r="Q2423" s="3" t="s">
        <v>1597</v>
      </c>
      <c r="R2423" s="3" t="s">
        <v>1602</v>
      </c>
      <c r="S2423" s="3" t="s">
        <v>1603</v>
      </c>
      <c r="T2423" s="3"/>
    </row>
    <row r="2424" spans="1:20">
      <c r="A2424" s="3" t="s">
        <v>1600</v>
      </c>
      <c r="B2424" s="3" t="s">
        <v>1609</v>
      </c>
      <c r="C2424" s="3" t="s">
        <v>1616</v>
      </c>
      <c r="D2424" s="3" t="s">
        <v>651</v>
      </c>
      <c r="E2424" s="3" t="s">
        <v>652</v>
      </c>
      <c r="F2424" s="2">
        <v>1</v>
      </c>
      <c r="G2424" s="4">
        <v>1.0771419446621955</v>
      </c>
      <c r="H2424" s="2">
        <v>25</v>
      </c>
      <c r="I2424" s="2">
        <v>5</v>
      </c>
      <c r="J2424" s="2">
        <v>1</v>
      </c>
      <c r="K2424" s="4">
        <v>1</v>
      </c>
      <c r="L2424" s="4">
        <v>0.88401714288637501</v>
      </c>
      <c r="M2424" s="4">
        <v>0.88401714288637501</v>
      </c>
      <c r="N2424" s="10">
        <v>0.88400000000000001</v>
      </c>
      <c r="O2424" s="4">
        <v>6.9106670725515791</v>
      </c>
      <c r="P2424" s="4">
        <v>6.91</v>
      </c>
      <c r="Q2424" s="3" t="s">
        <v>1597</v>
      </c>
      <c r="R2424" s="3" t="s">
        <v>1610</v>
      </c>
      <c r="S2424" s="3" t="s">
        <v>1611</v>
      </c>
      <c r="T2424" s="3"/>
    </row>
    <row r="2425" spans="1:20">
      <c r="A2425" s="3" t="s">
        <v>1600</v>
      </c>
      <c r="B2425" s="3" t="s">
        <v>1609</v>
      </c>
      <c r="C2425" s="3" t="s">
        <v>1616</v>
      </c>
      <c r="D2425" s="3" t="s">
        <v>651</v>
      </c>
      <c r="E2425" s="3" t="s">
        <v>652</v>
      </c>
      <c r="F2425" s="2">
        <v>1</v>
      </c>
      <c r="G2425" s="4">
        <v>1.0771419446621955</v>
      </c>
      <c r="H2425" s="2">
        <v>25</v>
      </c>
      <c r="I2425" s="2">
        <v>5</v>
      </c>
      <c r="J2425" s="2">
        <v>16</v>
      </c>
      <c r="K2425" s="11">
        <v>1</v>
      </c>
      <c r="L2425" s="11">
        <v>0.87052984944570566</v>
      </c>
      <c r="M2425" s="4">
        <v>0.87052984944570566</v>
      </c>
      <c r="N2425" s="10">
        <v>0.871</v>
      </c>
      <c r="O2425" s="4">
        <v>6.6201505875990154</v>
      </c>
      <c r="P2425" s="4">
        <v>6.63</v>
      </c>
      <c r="Q2425" s="3" t="s">
        <v>1597</v>
      </c>
      <c r="R2425" s="3" t="s">
        <v>1610</v>
      </c>
      <c r="S2425" s="3" t="s">
        <v>1611</v>
      </c>
      <c r="T2425" s="3"/>
    </row>
    <row r="2426" spans="1:20">
      <c r="A2426" s="3" t="s">
        <v>1604</v>
      </c>
      <c r="B2426" s="3" t="s">
        <v>1601</v>
      </c>
      <c r="C2426" s="3" t="s">
        <v>1616</v>
      </c>
      <c r="D2426" s="3" t="s">
        <v>651</v>
      </c>
      <c r="E2426" s="3" t="s">
        <v>652</v>
      </c>
      <c r="F2426" s="2">
        <v>1</v>
      </c>
      <c r="G2426" s="4">
        <v>1.0771419446621955</v>
      </c>
      <c r="H2426" s="2">
        <v>25</v>
      </c>
      <c r="I2426" s="2">
        <v>30</v>
      </c>
      <c r="J2426" s="2">
        <v>16</v>
      </c>
      <c r="K2426" s="4">
        <v>1</v>
      </c>
      <c r="L2426" s="4">
        <v>0.83642985030315498</v>
      </c>
      <c r="M2426" s="4">
        <v>0.83642985030315498</v>
      </c>
      <c r="N2426" s="10">
        <v>0.83599999999999997</v>
      </c>
      <c r="O2426" s="4">
        <v>5.9949797617973086</v>
      </c>
      <c r="P2426" s="4">
        <v>5.99</v>
      </c>
      <c r="Q2426" s="3" t="s">
        <v>1597</v>
      </c>
      <c r="R2426" s="3" t="s">
        <v>1602</v>
      </c>
      <c r="S2426" s="3" t="s">
        <v>1603</v>
      </c>
      <c r="T2426" s="3"/>
    </row>
    <row r="2427" spans="1:20">
      <c r="A2427" s="3" t="s">
        <v>1600</v>
      </c>
      <c r="B2427" s="3" t="s">
        <v>1609</v>
      </c>
      <c r="C2427" s="3" t="s">
        <v>1596</v>
      </c>
      <c r="D2427" s="3" t="s">
        <v>651</v>
      </c>
      <c r="E2427" s="3" t="s">
        <v>652</v>
      </c>
      <c r="F2427" s="2">
        <v>1</v>
      </c>
      <c r="G2427" s="4">
        <v>1.0771419446621955</v>
      </c>
      <c r="H2427" s="2">
        <v>25</v>
      </c>
      <c r="I2427" s="2">
        <v>5</v>
      </c>
      <c r="J2427" s="2">
        <v>1</v>
      </c>
      <c r="K2427" s="11">
        <v>1</v>
      </c>
      <c r="L2427" s="11">
        <v>0.73413165739767727</v>
      </c>
      <c r="M2427" s="4">
        <v>0.73413165739767727</v>
      </c>
      <c r="N2427" s="10">
        <v>0.73399999999999999</v>
      </c>
      <c r="O2427" s="4">
        <v>4.6487119615620811</v>
      </c>
      <c r="P2427" s="4">
        <v>4.6500000000000004</v>
      </c>
      <c r="Q2427" s="3" t="s">
        <v>1597</v>
      </c>
      <c r="R2427" s="3" t="s">
        <v>1610</v>
      </c>
      <c r="S2427" s="3" t="s">
        <v>1611</v>
      </c>
      <c r="T2427" s="3"/>
    </row>
    <row r="2428" spans="1:20">
      <c r="A2428" s="3" t="s">
        <v>1604</v>
      </c>
      <c r="B2428" s="3" t="s">
        <v>1601</v>
      </c>
      <c r="C2428" s="3" t="s">
        <v>1596</v>
      </c>
      <c r="D2428" s="3" t="s">
        <v>651</v>
      </c>
      <c r="E2428" s="3" t="s">
        <v>652</v>
      </c>
      <c r="F2428" s="2">
        <v>1</v>
      </c>
      <c r="G2428" s="4">
        <v>1.0771419446621955</v>
      </c>
      <c r="H2428" s="2">
        <v>25</v>
      </c>
      <c r="I2428" s="2">
        <v>30</v>
      </c>
      <c r="J2428" s="2">
        <v>16</v>
      </c>
      <c r="K2428" s="4">
        <v>1</v>
      </c>
      <c r="L2428" s="4">
        <v>0.7259095510383754</v>
      </c>
      <c r="M2428" s="4">
        <v>0.7259095510383754</v>
      </c>
      <c r="N2428" s="10">
        <v>0.72599999999999998</v>
      </c>
      <c r="O2428" s="4">
        <v>4.5614286350163553</v>
      </c>
      <c r="P2428" s="4">
        <v>4.5599999999999996</v>
      </c>
      <c r="Q2428" s="3" t="s">
        <v>1597</v>
      </c>
      <c r="R2428" s="3" t="s">
        <v>1602</v>
      </c>
      <c r="S2428" s="3" t="s">
        <v>1603</v>
      </c>
      <c r="T2428" s="3"/>
    </row>
    <row r="2429" spans="1:20">
      <c r="A2429" s="3" t="s">
        <v>1600</v>
      </c>
      <c r="B2429" s="3" t="s">
        <v>1609</v>
      </c>
      <c r="C2429" s="3" t="s">
        <v>1596</v>
      </c>
      <c r="D2429" s="3" t="s">
        <v>651</v>
      </c>
      <c r="E2429" s="3" t="s">
        <v>652</v>
      </c>
      <c r="F2429" s="2">
        <v>1</v>
      </c>
      <c r="G2429" s="4">
        <v>1.0771419446621955</v>
      </c>
      <c r="H2429" s="2">
        <v>25</v>
      </c>
      <c r="I2429" s="2">
        <v>5</v>
      </c>
      <c r="J2429" s="2">
        <v>16</v>
      </c>
      <c r="K2429" s="4">
        <v>1</v>
      </c>
      <c r="L2429" s="4">
        <v>0.71155732280317741</v>
      </c>
      <c r="M2429" s="4">
        <v>0.71155732280317741</v>
      </c>
      <c r="N2429" s="10">
        <v>0.71199999999999997</v>
      </c>
      <c r="O2429" s="4">
        <v>4.4142058575307459</v>
      </c>
      <c r="P2429" s="4">
        <v>4.42</v>
      </c>
      <c r="Q2429" s="3" t="s">
        <v>1597</v>
      </c>
      <c r="R2429" s="3" t="s">
        <v>1610</v>
      </c>
      <c r="S2429" s="3" t="s">
        <v>1611</v>
      </c>
      <c r="T2429" s="3"/>
    </row>
    <row r="2430" spans="1:20">
      <c r="A2430" s="3" t="s">
        <v>1594</v>
      </c>
      <c r="B2430" s="3" t="s">
        <v>1595</v>
      </c>
      <c r="C2430" s="3" t="s">
        <v>1596</v>
      </c>
      <c r="D2430" s="3" t="s">
        <v>651</v>
      </c>
      <c r="E2430" s="3" t="s">
        <v>652</v>
      </c>
      <c r="F2430" s="2">
        <v>1</v>
      </c>
      <c r="G2430" s="4">
        <v>1.0771419446621955</v>
      </c>
      <c r="H2430" s="2">
        <v>50</v>
      </c>
      <c r="I2430" s="2">
        <v>5</v>
      </c>
      <c r="J2430" s="2">
        <v>16</v>
      </c>
      <c r="K2430" s="4">
        <v>1</v>
      </c>
      <c r="L2430" s="14">
        <v>0.19576852679448817</v>
      </c>
      <c r="M2430" s="4">
        <v>0.19576852679448817</v>
      </c>
      <c r="N2430" s="10">
        <v>0.19600000000000001</v>
      </c>
      <c r="O2430" s="4">
        <v>1.0657508575449413</v>
      </c>
      <c r="P2430" s="4">
        <v>1.07</v>
      </c>
      <c r="Q2430" s="3" t="s">
        <v>1597</v>
      </c>
      <c r="R2430" s="3" t="s">
        <v>1598</v>
      </c>
      <c r="S2430" s="3" t="s">
        <v>1599</v>
      </c>
      <c r="T2430" s="3"/>
    </row>
    <row r="2431" spans="1:20">
      <c r="A2431" s="3" t="s">
        <v>1594</v>
      </c>
      <c r="B2431" s="3" t="s">
        <v>1612</v>
      </c>
      <c r="C2431" s="3" t="s">
        <v>1596</v>
      </c>
      <c r="D2431" s="3" t="s">
        <v>651</v>
      </c>
      <c r="E2431" s="3" t="s">
        <v>652</v>
      </c>
      <c r="F2431" s="2">
        <v>1</v>
      </c>
      <c r="G2431" s="4">
        <v>1.0771419446621955</v>
      </c>
      <c r="H2431" s="2">
        <v>50</v>
      </c>
      <c r="I2431" s="2">
        <v>5</v>
      </c>
      <c r="J2431" s="2">
        <v>16</v>
      </c>
      <c r="K2431" s="4">
        <v>1</v>
      </c>
      <c r="L2431" s="14">
        <v>-0.75294479612029841</v>
      </c>
      <c r="M2431" s="4">
        <v>0.75294479612029841</v>
      </c>
      <c r="N2431" s="10">
        <v>0.753</v>
      </c>
      <c r="O2431" s="4">
        <v>5.2646850674447956</v>
      </c>
      <c r="P2431" s="4">
        <v>-5.27</v>
      </c>
      <c r="Q2431" s="3" t="s">
        <v>1617</v>
      </c>
      <c r="R2431" s="3" t="s">
        <v>1627</v>
      </c>
      <c r="S2431" s="3" t="s">
        <v>1628</v>
      </c>
      <c r="T2431" s="3"/>
    </row>
    <row r="2432" spans="1:20">
      <c r="A2432" s="3" t="s">
        <v>1594</v>
      </c>
      <c r="B2432" s="3" t="s">
        <v>1595</v>
      </c>
      <c r="C2432" s="3" t="s">
        <v>1596</v>
      </c>
      <c r="D2432" s="3" t="s">
        <v>236</v>
      </c>
      <c r="E2432" s="3" t="s">
        <v>237</v>
      </c>
      <c r="F2432" s="2">
        <v>1</v>
      </c>
      <c r="G2432" s="4">
        <v>1.0781589297374456</v>
      </c>
      <c r="H2432" s="2">
        <v>50</v>
      </c>
      <c r="I2432" s="2">
        <v>5</v>
      </c>
      <c r="J2432" s="2">
        <v>16</v>
      </c>
      <c r="K2432" s="4">
        <v>1</v>
      </c>
      <c r="L2432" s="14">
        <v>0.56589294442999061</v>
      </c>
      <c r="M2432" s="4">
        <v>0.56589294442999061</v>
      </c>
      <c r="N2432" s="10">
        <v>0.56599999999999995</v>
      </c>
      <c r="O2432" s="4">
        <v>3.4469897130950957</v>
      </c>
      <c r="P2432" s="4">
        <v>3.45</v>
      </c>
      <c r="Q2432" s="3" t="s">
        <v>1597</v>
      </c>
      <c r="R2432" s="3" t="s">
        <v>1598</v>
      </c>
      <c r="S2432" s="3" t="s">
        <v>1599</v>
      </c>
      <c r="T2432" s="3"/>
    </row>
    <row r="2433" spans="1:20">
      <c r="A2433" s="3" t="s">
        <v>1604</v>
      </c>
      <c r="B2433" s="3" t="s">
        <v>1601</v>
      </c>
      <c r="C2433" s="3" t="s">
        <v>1596</v>
      </c>
      <c r="D2433" s="3" t="s">
        <v>236</v>
      </c>
      <c r="E2433" s="3" t="s">
        <v>237</v>
      </c>
      <c r="F2433" s="2">
        <v>1</v>
      </c>
      <c r="G2433" s="4">
        <v>1.0781589297374456</v>
      </c>
      <c r="H2433" s="2">
        <v>25</v>
      </c>
      <c r="I2433" s="2">
        <v>30</v>
      </c>
      <c r="J2433" s="2">
        <v>16</v>
      </c>
      <c r="K2433" s="4">
        <v>1</v>
      </c>
      <c r="L2433" s="4">
        <v>-0.61058041869640212</v>
      </c>
      <c r="M2433" s="4">
        <v>0.61058041869640212</v>
      </c>
      <c r="N2433" s="10">
        <v>0.61099999999999999</v>
      </c>
      <c r="O2433" s="4">
        <v>3.5193725853077478</v>
      </c>
      <c r="P2433" s="4">
        <v>-3.52</v>
      </c>
      <c r="Q2433" s="3" t="s">
        <v>1617</v>
      </c>
      <c r="R2433" s="3" t="s">
        <v>1618</v>
      </c>
      <c r="S2433" s="3" t="s">
        <v>1619</v>
      </c>
      <c r="T2433" s="3"/>
    </row>
    <row r="2434" spans="1:20">
      <c r="A2434" s="3" t="s">
        <v>1594</v>
      </c>
      <c r="B2434" s="3" t="s">
        <v>1612</v>
      </c>
      <c r="C2434" s="3" t="s">
        <v>1596</v>
      </c>
      <c r="D2434" s="3" t="s">
        <v>236</v>
      </c>
      <c r="E2434" s="3" t="s">
        <v>237</v>
      </c>
      <c r="F2434" s="2">
        <v>1</v>
      </c>
      <c r="G2434" s="4">
        <v>1.0781589297374456</v>
      </c>
      <c r="H2434" s="2">
        <v>50</v>
      </c>
      <c r="I2434" s="2">
        <v>5</v>
      </c>
      <c r="J2434" s="2">
        <v>16</v>
      </c>
      <c r="K2434" s="4">
        <v>1</v>
      </c>
      <c r="L2434" s="14">
        <v>-0.66979646073745003</v>
      </c>
      <c r="M2434" s="4">
        <v>0.66979646073745003</v>
      </c>
      <c r="N2434" s="10">
        <v>0.67</v>
      </c>
      <c r="O2434" s="4">
        <v>4.3546748200762186</v>
      </c>
      <c r="P2434" s="4">
        <v>-4.3600000000000003</v>
      </c>
      <c r="Q2434" s="3" t="s">
        <v>1617</v>
      </c>
      <c r="R2434" s="3" t="s">
        <v>1627</v>
      </c>
      <c r="S2434" s="3" t="s">
        <v>1628</v>
      </c>
      <c r="T2434" s="3"/>
    </row>
    <row r="2435" spans="1:20">
      <c r="A2435" s="3" t="s">
        <v>1600</v>
      </c>
      <c r="B2435" s="3" t="s">
        <v>1609</v>
      </c>
      <c r="C2435" s="3" t="s">
        <v>1596</v>
      </c>
      <c r="D2435" s="3" t="s">
        <v>236</v>
      </c>
      <c r="E2435" s="3" t="s">
        <v>237</v>
      </c>
      <c r="F2435" s="2">
        <v>1</v>
      </c>
      <c r="G2435" s="4">
        <v>1.0781589297374456</v>
      </c>
      <c r="H2435" s="2">
        <v>25</v>
      </c>
      <c r="I2435" s="2">
        <v>5</v>
      </c>
      <c r="J2435" s="2">
        <v>16</v>
      </c>
      <c r="K2435" s="4">
        <v>1</v>
      </c>
      <c r="L2435" s="4">
        <v>-0.76471336026246783</v>
      </c>
      <c r="M2435" s="4">
        <v>0.76471336026246783</v>
      </c>
      <c r="N2435" s="10">
        <v>0.76500000000000001</v>
      </c>
      <c r="O2435" s="4">
        <v>4.9949697538223869</v>
      </c>
      <c r="P2435" s="4">
        <v>-5</v>
      </c>
      <c r="Q2435" s="3" t="s">
        <v>1617</v>
      </c>
      <c r="R2435" s="3" t="s">
        <v>1623</v>
      </c>
      <c r="S2435" s="3" t="s">
        <v>1624</v>
      </c>
      <c r="T2435" s="3"/>
    </row>
    <row r="2436" spans="1:20">
      <c r="A2436" s="3" t="s">
        <v>1600</v>
      </c>
      <c r="B2436" s="3" t="s">
        <v>1609</v>
      </c>
      <c r="C2436" s="3" t="s">
        <v>1596</v>
      </c>
      <c r="D2436" s="3" t="s">
        <v>236</v>
      </c>
      <c r="E2436" s="3" t="s">
        <v>237</v>
      </c>
      <c r="F2436" s="2">
        <v>1</v>
      </c>
      <c r="G2436" s="4">
        <v>1.0781589297374456</v>
      </c>
      <c r="H2436" s="2">
        <v>25</v>
      </c>
      <c r="I2436" s="2">
        <v>5</v>
      </c>
      <c r="J2436" s="2">
        <v>1</v>
      </c>
      <c r="K2436" s="11">
        <v>1</v>
      </c>
      <c r="L2436" s="11">
        <v>-0.79347118852734311</v>
      </c>
      <c r="M2436" s="4">
        <v>0.79347118852734311</v>
      </c>
      <c r="N2436" s="10">
        <v>0.79300000000000004</v>
      </c>
      <c r="O2436" s="4">
        <v>5.3582111441274085</v>
      </c>
      <c r="P2436" s="4">
        <v>-5.35</v>
      </c>
      <c r="Q2436" s="3" t="s">
        <v>1617</v>
      </c>
      <c r="R2436" s="3" t="s">
        <v>1623</v>
      </c>
      <c r="S2436" s="3" t="s">
        <v>1624</v>
      </c>
      <c r="T2436" s="3"/>
    </row>
    <row r="2437" spans="1:20">
      <c r="A2437" s="3" t="s">
        <v>1600</v>
      </c>
      <c r="B2437" s="3" t="s">
        <v>1601</v>
      </c>
      <c r="C2437" s="3" t="s">
        <v>1596</v>
      </c>
      <c r="D2437" s="3" t="s">
        <v>236</v>
      </c>
      <c r="E2437" s="3" t="s">
        <v>237</v>
      </c>
      <c r="F2437" s="2">
        <v>1</v>
      </c>
      <c r="G2437" s="4">
        <v>1.0781589297374456</v>
      </c>
      <c r="H2437" s="2">
        <v>25</v>
      </c>
      <c r="I2437" s="2">
        <v>5</v>
      </c>
      <c r="J2437" s="2">
        <v>16</v>
      </c>
      <c r="K2437" s="4">
        <v>1</v>
      </c>
      <c r="L2437" s="4">
        <v>-0.82048355757030822</v>
      </c>
      <c r="M2437" s="4">
        <v>0.82048355757030822</v>
      </c>
      <c r="N2437" s="10">
        <v>0.82</v>
      </c>
      <c r="O2437" s="4">
        <v>5.7427544481104373</v>
      </c>
      <c r="P2437" s="4">
        <v>-5.74</v>
      </c>
      <c r="Q2437" s="3" t="s">
        <v>1617</v>
      </c>
      <c r="R2437" s="3" t="s">
        <v>1618</v>
      </c>
      <c r="S2437" s="3" t="s">
        <v>1619</v>
      </c>
      <c r="T2437" s="3"/>
    </row>
    <row r="2438" spans="1:20">
      <c r="A2438" s="12" t="s">
        <v>1605</v>
      </c>
      <c r="B2438" s="3" t="s">
        <v>1601</v>
      </c>
      <c r="C2438" s="3" t="s">
        <v>1596</v>
      </c>
      <c r="D2438" s="3" t="s">
        <v>236</v>
      </c>
      <c r="E2438" s="3" t="s">
        <v>237</v>
      </c>
      <c r="F2438" s="2">
        <v>1</v>
      </c>
      <c r="G2438" s="4">
        <v>1.0781589297374456</v>
      </c>
      <c r="H2438" s="2">
        <v>25</v>
      </c>
      <c r="I2438" s="2">
        <v>5</v>
      </c>
      <c r="J2438" s="2">
        <v>16</v>
      </c>
      <c r="K2438" s="11">
        <v>1</v>
      </c>
      <c r="L2438" s="11">
        <v>-0.82467284295136434</v>
      </c>
      <c r="M2438" s="4">
        <v>0.82467284295136434</v>
      </c>
      <c r="N2438" s="10">
        <v>0.82499999999999996</v>
      </c>
      <c r="O2438" s="4">
        <v>5.8069886226095013</v>
      </c>
      <c r="P2438" s="4">
        <v>-5.81</v>
      </c>
      <c r="Q2438" s="3" t="s">
        <v>1617</v>
      </c>
      <c r="R2438" s="3" t="s">
        <v>1618</v>
      </c>
      <c r="S2438" s="3" t="s">
        <v>1619</v>
      </c>
      <c r="T2438" s="3"/>
    </row>
    <row r="2439" spans="1:20">
      <c r="A2439" s="3" t="s">
        <v>1600</v>
      </c>
      <c r="B2439" s="3" t="s">
        <v>1601</v>
      </c>
      <c r="C2439" s="3" t="s">
        <v>1596</v>
      </c>
      <c r="D2439" s="3" t="s">
        <v>236</v>
      </c>
      <c r="E2439" s="3" t="s">
        <v>237</v>
      </c>
      <c r="F2439" s="2">
        <v>1</v>
      </c>
      <c r="G2439" s="4">
        <v>1.0781589297374456</v>
      </c>
      <c r="H2439" s="2">
        <v>25</v>
      </c>
      <c r="I2439" s="2">
        <v>5</v>
      </c>
      <c r="J2439" s="2">
        <v>1</v>
      </c>
      <c r="K2439" s="4">
        <v>1</v>
      </c>
      <c r="L2439" s="4">
        <v>-0.82771622923285937</v>
      </c>
      <c r="M2439" s="4">
        <v>0.82771622923285937</v>
      </c>
      <c r="N2439" s="10">
        <v>0.82799999999999996</v>
      </c>
      <c r="O2439" s="4">
        <v>5.8545284611873054</v>
      </c>
      <c r="P2439" s="4">
        <v>-5.86</v>
      </c>
      <c r="Q2439" s="3" t="s">
        <v>1617</v>
      </c>
      <c r="R2439" s="3" t="s">
        <v>1618</v>
      </c>
      <c r="S2439" s="3" t="s">
        <v>1619</v>
      </c>
      <c r="T2439" s="3"/>
    </row>
    <row r="2440" spans="1:20">
      <c r="A2440" s="3" t="s">
        <v>1604</v>
      </c>
      <c r="B2440" s="3" t="s">
        <v>1601</v>
      </c>
      <c r="C2440" s="3" t="s">
        <v>1616</v>
      </c>
      <c r="D2440" s="3" t="s">
        <v>236</v>
      </c>
      <c r="E2440" s="3" t="s">
        <v>237</v>
      </c>
      <c r="F2440" s="2">
        <v>1</v>
      </c>
      <c r="G2440" s="4">
        <v>1.0781589297374456</v>
      </c>
      <c r="H2440" s="2">
        <v>25</v>
      </c>
      <c r="I2440" s="2">
        <v>30</v>
      </c>
      <c r="J2440" s="2">
        <v>16</v>
      </c>
      <c r="K2440" s="4">
        <v>1</v>
      </c>
      <c r="L2440" s="4">
        <v>-0.87563104400028269</v>
      </c>
      <c r="M2440" s="4">
        <v>0.87563104400028269</v>
      </c>
      <c r="N2440" s="10">
        <v>0.876</v>
      </c>
      <c r="O2440" s="4">
        <v>6.7265508380512546</v>
      </c>
      <c r="P2440" s="4">
        <v>-6.73</v>
      </c>
      <c r="Q2440" s="3" t="s">
        <v>1617</v>
      </c>
      <c r="R2440" s="3" t="s">
        <v>1618</v>
      </c>
      <c r="S2440" s="3" t="s">
        <v>1619</v>
      </c>
      <c r="T2440" s="3"/>
    </row>
    <row r="2441" spans="1:20">
      <c r="A2441" s="3" t="s">
        <v>1600</v>
      </c>
      <c r="B2441" s="3" t="s">
        <v>1609</v>
      </c>
      <c r="C2441" s="3" t="s">
        <v>1616</v>
      </c>
      <c r="D2441" s="3" t="s">
        <v>236</v>
      </c>
      <c r="E2441" s="3" t="s">
        <v>237</v>
      </c>
      <c r="F2441" s="2">
        <v>1</v>
      </c>
      <c r="G2441" s="4">
        <v>1.0781589297374456</v>
      </c>
      <c r="H2441" s="2">
        <v>25</v>
      </c>
      <c r="I2441" s="2">
        <v>5</v>
      </c>
      <c r="J2441" s="2">
        <v>1</v>
      </c>
      <c r="K2441" s="4">
        <v>0.97529131396111135</v>
      </c>
      <c r="L2441" s="4">
        <v>-0.88337672277649315</v>
      </c>
      <c r="M2441" s="4">
        <v>0.88337672277649315</v>
      </c>
      <c r="N2441" s="10">
        <v>0.88300000000000001</v>
      </c>
      <c r="O2441" s="4">
        <v>6.896173857286378</v>
      </c>
      <c r="P2441" s="4">
        <v>-6.89</v>
      </c>
      <c r="Q2441" s="3" t="s">
        <v>1617</v>
      </c>
      <c r="R2441" s="3" t="s">
        <v>1623</v>
      </c>
      <c r="S2441" s="3" t="s">
        <v>1624</v>
      </c>
      <c r="T2441" s="3"/>
    </row>
    <row r="2442" spans="1:20">
      <c r="A2442" s="3" t="s">
        <v>1600</v>
      </c>
      <c r="B2442" s="3" t="s">
        <v>1609</v>
      </c>
      <c r="C2442" s="3" t="s">
        <v>1616</v>
      </c>
      <c r="D2442" s="3" t="s">
        <v>236</v>
      </c>
      <c r="E2442" s="3" t="s">
        <v>237</v>
      </c>
      <c r="F2442" s="2">
        <v>1</v>
      </c>
      <c r="G2442" s="4">
        <v>1.0781589297374456</v>
      </c>
      <c r="H2442" s="2">
        <v>25</v>
      </c>
      <c r="I2442" s="2">
        <v>5</v>
      </c>
      <c r="J2442" s="2">
        <v>16</v>
      </c>
      <c r="K2442" s="11">
        <v>1</v>
      </c>
      <c r="L2442" s="11">
        <v>-0.91775145769588984</v>
      </c>
      <c r="M2442" s="4">
        <v>0.91775145769588984</v>
      </c>
      <c r="N2442" s="10">
        <v>0.91800000000000004</v>
      </c>
      <c r="O2442" s="4">
        <v>7.8066748454784198</v>
      </c>
      <c r="P2442" s="4">
        <v>-7.81</v>
      </c>
      <c r="Q2442" s="3" t="s">
        <v>1617</v>
      </c>
      <c r="R2442" s="3" t="s">
        <v>1623</v>
      </c>
      <c r="S2442" s="3" t="s">
        <v>1624</v>
      </c>
      <c r="T2442" s="3"/>
    </row>
    <row r="2443" spans="1:20">
      <c r="A2443" s="3" t="s">
        <v>1600</v>
      </c>
      <c r="B2443" s="3" t="s">
        <v>1601</v>
      </c>
      <c r="C2443" s="3" t="s">
        <v>1616</v>
      </c>
      <c r="D2443" s="3" t="s">
        <v>236</v>
      </c>
      <c r="E2443" s="3" t="s">
        <v>237</v>
      </c>
      <c r="F2443" s="2">
        <v>1</v>
      </c>
      <c r="G2443" s="4">
        <v>1.0781589297374456</v>
      </c>
      <c r="H2443" s="2">
        <v>25</v>
      </c>
      <c r="I2443" s="2">
        <v>5</v>
      </c>
      <c r="J2443" s="2">
        <v>16</v>
      </c>
      <c r="K2443" s="4">
        <v>1</v>
      </c>
      <c r="L2443" s="4">
        <v>-0.92501617016158655</v>
      </c>
      <c r="M2443" s="4">
        <v>0.92501617016158655</v>
      </c>
      <c r="N2443" s="10">
        <v>0.92500000000000004</v>
      </c>
      <c r="O2443" s="4">
        <v>8.0452858508531282</v>
      </c>
      <c r="P2443" s="4">
        <v>-8.0399999999999991</v>
      </c>
      <c r="Q2443" s="3" t="s">
        <v>1617</v>
      </c>
      <c r="R2443" s="3" t="s">
        <v>1618</v>
      </c>
      <c r="S2443" s="3" t="s">
        <v>1619</v>
      </c>
      <c r="T2443" s="3"/>
    </row>
    <row r="2444" spans="1:20">
      <c r="A2444" s="3" t="s">
        <v>1600</v>
      </c>
      <c r="B2444" s="3" t="s">
        <v>1601</v>
      </c>
      <c r="C2444" s="3" t="s">
        <v>1616</v>
      </c>
      <c r="D2444" s="3" t="s">
        <v>236</v>
      </c>
      <c r="E2444" s="3" t="s">
        <v>237</v>
      </c>
      <c r="F2444" s="2">
        <v>1</v>
      </c>
      <c r="G2444" s="4">
        <v>1.0781589297374456</v>
      </c>
      <c r="H2444" s="2">
        <v>25</v>
      </c>
      <c r="I2444" s="2">
        <v>5</v>
      </c>
      <c r="J2444" s="2">
        <v>1</v>
      </c>
      <c r="K2444" s="4">
        <v>1</v>
      </c>
      <c r="L2444" s="4">
        <v>-0.93714687809353692</v>
      </c>
      <c r="M2444" s="4">
        <v>0.93714687809353692</v>
      </c>
      <c r="N2444" s="10">
        <v>0.93700000000000006</v>
      </c>
      <c r="O2444" s="4">
        <v>8.4983265149594622</v>
      </c>
      <c r="P2444" s="4">
        <v>-8.49</v>
      </c>
      <c r="Q2444" s="3" t="s">
        <v>1617</v>
      </c>
      <c r="R2444" s="3" t="s">
        <v>1618</v>
      </c>
      <c r="S2444" s="3" t="s">
        <v>1619</v>
      </c>
      <c r="T2444" s="3"/>
    </row>
    <row r="2445" spans="1:20">
      <c r="A2445" s="3" t="s">
        <v>1600</v>
      </c>
      <c r="B2445" s="3" t="s">
        <v>1606</v>
      </c>
      <c r="C2445" s="3" t="s">
        <v>1616</v>
      </c>
      <c r="D2445" s="3" t="s">
        <v>236</v>
      </c>
      <c r="E2445" s="3" t="s">
        <v>237</v>
      </c>
      <c r="F2445" s="2">
        <v>1</v>
      </c>
      <c r="G2445" s="4">
        <v>1.0781589297374456</v>
      </c>
      <c r="H2445" s="2">
        <v>25</v>
      </c>
      <c r="I2445" s="2">
        <v>5</v>
      </c>
      <c r="J2445" s="2">
        <v>1</v>
      </c>
      <c r="K2445" s="4">
        <v>1</v>
      </c>
      <c r="L2445" s="4">
        <v>-1</v>
      </c>
      <c r="M2445" s="4">
        <v>1</v>
      </c>
      <c r="N2445" s="10">
        <v>0.995</v>
      </c>
      <c r="O2445" s="4">
        <v>14.85</v>
      </c>
      <c r="P2445" s="4">
        <v>-14.85</v>
      </c>
      <c r="Q2445" s="3" t="s">
        <v>1617</v>
      </c>
      <c r="R2445" s="3" t="s">
        <v>1621</v>
      </c>
      <c r="S2445" s="3" t="s">
        <v>1622</v>
      </c>
      <c r="T2445" s="3"/>
    </row>
    <row r="2446" spans="1:20">
      <c r="A2446" s="3" t="s">
        <v>1600</v>
      </c>
      <c r="B2446" s="3" t="s">
        <v>1606</v>
      </c>
      <c r="C2446" s="3" t="s">
        <v>1616</v>
      </c>
      <c r="D2446" s="3" t="s">
        <v>236</v>
      </c>
      <c r="E2446" s="3" t="s">
        <v>237</v>
      </c>
      <c r="F2446" s="2">
        <v>1</v>
      </c>
      <c r="G2446" s="4">
        <v>1.0781589297374456</v>
      </c>
      <c r="H2446" s="2">
        <v>25</v>
      </c>
      <c r="I2446" s="2">
        <v>5</v>
      </c>
      <c r="J2446" s="2">
        <v>16</v>
      </c>
      <c r="K2446" s="11">
        <v>1</v>
      </c>
      <c r="L2446" s="11">
        <v>-1</v>
      </c>
      <c r="M2446" s="4">
        <v>1</v>
      </c>
      <c r="N2446" s="10">
        <v>0.995</v>
      </c>
      <c r="O2446" s="4">
        <v>14.85</v>
      </c>
      <c r="P2446" s="4">
        <v>-14.85</v>
      </c>
      <c r="Q2446" s="3" t="s">
        <v>1617</v>
      </c>
      <c r="R2446" s="3" t="s">
        <v>1621</v>
      </c>
      <c r="S2446" s="3" t="s">
        <v>1622</v>
      </c>
      <c r="T2446" s="3"/>
    </row>
    <row r="2447" spans="1:20">
      <c r="A2447" s="3" t="s">
        <v>1600</v>
      </c>
      <c r="B2447" s="3" t="s">
        <v>1606</v>
      </c>
      <c r="C2447" s="3" t="s">
        <v>1596</v>
      </c>
      <c r="D2447" s="3" t="s">
        <v>236</v>
      </c>
      <c r="E2447" s="3" t="s">
        <v>237</v>
      </c>
      <c r="F2447" s="2">
        <v>1</v>
      </c>
      <c r="G2447" s="4">
        <v>1.0781589297374456</v>
      </c>
      <c r="H2447" s="2">
        <v>25</v>
      </c>
      <c r="I2447" s="2">
        <v>5</v>
      </c>
      <c r="J2447" s="2">
        <v>1</v>
      </c>
      <c r="K2447" s="11">
        <v>1</v>
      </c>
      <c r="L2447" s="11">
        <v>-1</v>
      </c>
      <c r="M2447" s="4">
        <v>1</v>
      </c>
      <c r="N2447" s="10">
        <v>0.995</v>
      </c>
      <c r="O2447" s="4">
        <v>14.85</v>
      </c>
      <c r="P2447" s="4">
        <v>-14.85</v>
      </c>
      <c r="Q2447" s="3" t="s">
        <v>1617</v>
      </c>
      <c r="R2447" s="3" t="s">
        <v>1621</v>
      </c>
      <c r="S2447" s="3" t="s">
        <v>1622</v>
      </c>
      <c r="T2447" s="3"/>
    </row>
    <row r="2448" spans="1:20">
      <c r="A2448" s="3" t="s">
        <v>1600</v>
      </c>
      <c r="B2448" s="3" t="s">
        <v>1606</v>
      </c>
      <c r="C2448" s="3" t="s">
        <v>1596</v>
      </c>
      <c r="D2448" s="3" t="s">
        <v>236</v>
      </c>
      <c r="E2448" s="3" t="s">
        <v>237</v>
      </c>
      <c r="F2448" s="2">
        <v>1</v>
      </c>
      <c r="G2448" s="4">
        <v>1.0781589297374456</v>
      </c>
      <c r="H2448" s="2">
        <v>25</v>
      </c>
      <c r="I2448" s="2">
        <v>5</v>
      </c>
      <c r="J2448" s="2">
        <v>16</v>
      </c>
      <c r="K2448" s="11">
        <v>1</v>
      </c>
      <c r="L2448" s="11">
        <v>-1</v>
      </c>
      <c r="M2448" s="4">
        <v>1</v>
      </c>
      <c r="N2448" s="10">
        <v>0.995</v>
      </c>
      <c r="O2448" s="4">
        <v>14.85</v>
      </c>
      <c r="P2448" s="4">
        <v>-14.85</v>
      </c>
      <c r="Q2448" s="3" t="s">
        <v>1617</v>
      </c>
      <c r="R2448" s="3" t="s">
        <v>1621</v>
      </c>
      <c r="S2448" s="3" t="s">
        <v>1622</v>
      </c>
      <c r="T2448" s="3"/>
    </row>
    <row r="2449" spans="1:20">
      <c r="A2449" s="3" t="s">
        <v>1600</v>
      </c>
      <c r="B2449" s="3" t="s">
        <v>1606</v>
      </c>
      <c r="C2449" s="3" t="s">
        <v>1616</v>
      </c>
      <c r="D2449" s="3" t="s">
        <v>836</v>
      </c>
      <c r="E2449" s="3" t="s">
        <v>837</v>
      </c>
      <c r="F2449" s="2">
        <v>1</v>
      </c>
      <c r="G2449" s="4">
        <v>1.0796804145972791</v>
      </c>
      <c r="H2449" s="2">
        <v>25</v>
      </c>
      <c r="I2449" s="2">
        <v>5</v>
      </c>
      <c r="J2449" s="2">
        <v>16</v>
      </c>
      <c r="K2449" s="4">
        <v>1</v>
      </c>
      <c r="L2449" s="4">
        <v>0.10258609888153825</v>
      </c>
      <c r="M2449" s="4">
        <v>0.10258609888153825</v>
      </c>
      <c r="N2449" s="10">
        <v>0.10299999999999999</v>
      </c>
      <c r="O2449" s="4">
        <v>0.5104109071265216</v>
      </c>
      <c r="P2449" s="4">
        <v>0.51</v>
      </c>
      <c r="Q2449" s="3" t="s">
        <v>1597</v>
      </c>
      <c r="R2449" s="3" t="s">
        <v>1607</v>
      </c>
      <c r="S2449" s="3" t="s">
        <v>1608</v>
      </c>
      <c r="T2449" s="3"/>
    </row>
    <row r="2450" spans="1:20">
      <c r="A2450" s="3" t="s">
        <v>1604</v>
      </c>
      <c r="B2450" s="3" t="s">
        <v>1601</v>
      </c>
      <c r="C2450" s="3" t="s">
        <v>1616</v>
      </c>
      <c r="D2450" s="3" t="s">
        <v>836</v>
      </c>
      <c r="E2450" s="3" t="s">
        <v>837</v>
      </c>
      <c r="F2450" s="2">
        <v>1</v>
      </c>
      <c r="G2450" s="4">
        <v>1.0796804145972791</v>
      </c>
      <c r="H2450" s="2">
        <v>25</v>
      </c>
      <c r="I2450" s="2">
        <v>30</v>
      </c>
      <c r="J2450" s="2">
        <v>16</v>
      </c>
      <c r="K2450" s="4">
        <v>1</v>
      </c>
      <c r="L2450" s="4">
        <v>-2.4359629686207755E-2</v>
      </c>
      <c r="M2450" s="4">
        <v>2.4359629686207755E-2</v>
      </c>
      <c r="N2450" s="10">
        <v>2.4E-2</v>
      </c>
      <c r="O2450" s="4">
        <v>0.12079739065976623</v>
      </c>
      <c r="P2450" s="4">
        <v>-0.12</v>
      </c>
      <c r="Q2450" s="3" t="s">
        <v>1617</v>
      </c>
      <c r="R2450" s="3" t="s">
        <v>1618</v>
      </c>
      <c r="S2450" s="3" t="s">
        <v>1619</v>
      </c>
      <c r="T2450" s="3"/>
    </row>
    <row r="2451" spans="1:20">
      <c r="A2451" s="3" t="s">
        <v>1600</v>
      </c>
      <c r="B2451" s="3" t="s">
        <v>1606</v>
      </c>
      <c r="C2451" s="3" t="s">
        <v>1616</v>
      </c>
      <c r="D2451" s="3" t="s">
        <v>836</v>
      </c>
      <c r="E2451" s="3" t="s">
        <v>837</v>
      </c>
      <c r="F2451" s="2">
        <v>1</v>
      </c>
      <c r="G2451" s="4">
        <v>1.0796804145972791</v>
      </c>
      <c r="H2451" s="2">
        <v>25</v>
      </c>
      <c r="I2451" s="2">
        <v>5</v>
      </c>
      <c r="J2451" s="2">
        <v>1</v>
      </c>
      <c r="K2451" s="4">
        <v>1</v>
      </c>
      <c r="L2451" s="4">
        <v>-4.1918263761267172E-2</v>
      </c>
      <c r="M2451" s="4">
        <v>4.1918263761267172E-2</v>
      </c>
      <c r="N2451" s="10">
        <v>4.2000000000000003E-2</v>
      </c>
      <c r="O2451" s="4">
        <v>0.20794993986542706</v>
      </c>
      <c r="P2451" s="4">
        <v>-0.21</v>
      </c>
      <c r="Q2451" s="3" t="s">
        <v>1617</v>
      </c>
      <c r="R2451" s="3" t="s">
        <v>1621</v>
      </c>
      <c r="S2451" s="3" t="s">
        <v>1622</v>
      </c>
      <c r="T2451" s="3"/>
    </row>
    <row r="2452" spans="1:20">
      <c r="A2452" s="3" t="s">
        <v>1600</v>
      </c>
      <c r="B2452" s="3" t="s">
        <v>1606</v>
      </c>
      <c r="C2452" s="3" t="s">
        <v>1596</v>
      </c>
      <c r="D2452" s="3" t="s">
        <v>836</v>
      </c>
      <c r="E2452" s="3" t="s">
        <v>837</v>
      </c>
      <c r="F2452" s="2">
        <v>1</v>
      </c>
      <c r="G2452" s="4">
        <v>1.0796804145972791</v>
      </c>
      <c r="H2452" s="2">
        <v>25</v>
      </c>
      <c r="I2452" s="2">
        <v>5</v>
      </c>
      <c r="J2452" s="2">
        <v>1</v>
      </c>
      <c r="K2452" s="4">
        <v>1</v>
      </c>
      <c r="L2452" s="4">
        <v>-4.9807403860373078E-2</v>
      </c>
      <c r="M2452" s="4">
        <v>4.9807403860373078E-2</v>
      </c>
      <c r="N2452" s="10">
        <v>0.05</v>
      </c>
      <c r="O2452" s="4">
        <v>0.24714644525317711</v>
      </c>
      <c r="P2452" s="4">
        <v>-0.25</v>
      </c>
      <c r="Q2452" s="3" t="s">
        <v>1617</v>
      </c>
      <c r="R2452" s="3" t="s">
        <v>1621</v>
      </c>
      <c r="S2452" s="3" t="s">
        <v>1622</v>
      </c>
      <c r="T2452" s="3"/>
    </row>
    <row r="2453" spans="1:20">
      <c r="A2453" s="3" t="s">
        <v>1600</v>
      </c>
      <c r="B2453" s="3" t="s">
        <v>1606</v>
      </c>
      <c r="C2453" s="3" t="s">
        <v>1596</v>
      </c>
      <c r="D2453" s="3" t="s">
        <v>836</v>
      </c>
      <c r="E2453" s="3" t="s">
        <v>837</v>
      </c>
      <c r="F2453" s="2">
        <v>1</v>
      </c>
      <c r="G2453" s="4">
        <v>1.0796804145972791</v>
      </c>
      <c r="H2453" s="2">
        <v>25</v>
      </c>
      <c r="I2453" s="2">
        <v>5</v>
      </c>
      <c r="J2453" s="2">
        <v>16</v>
      </c>
      <c r="K2453" s="4">
        <v>1</v>
      </c>
      <c r="L2453" s="4">
        <v>-7.1227641790535104E-2</v>
      </c>
      <c r="M2453" s="4">
        <v>7.1227641790535104E-2</v>
      </c>
      <c r="N2453" s="10">
        <v>7.0999999999999994E-2</v>
      </c>
      <c r="O2453" s="4">
        <v>0.35374114657612726</v>
      </c>
      <c r="P2453" s="4">
        <v>-0.35</v>
      </c>
      <c r="Q2453" s="3" t="s">
        <v>1617</v>
      </c>
      <c r="R2453" s="3" t="s">
        <v>1621</v>
      </c>
      <c r="S2453" s="3" t="s">
        <v>1622</v>
      </c>
      <c r="T2453" s="3"/>
    </row>
    <row r="2454" spans="1:20">
      <c r="A2454" s="3" t="s">
        <v>1600</v>
      </c>
      <c r="B2454" s="3" t="s">
        <v>1601</v>
      </c>
      <c r="C2454" s="3" t="s">
        <v>1616</v>
      </c>
      <c r="D2454" s="3" t="s">
        <v>836</v>
      </c>
      <c r="E2454" s="3" t="s">
        <v>837</v>
      </c>
      <c r="F2454" s="2">
        <v>1</v>
      </c>
      <c r="G2454" s="4">
        <v>1.0796804145972791</v>
      </c>
      <c r="H2454" s="2">
        <v>25</v>
      </c>
      <c r="I2454" s="2">
        <v>5</v>
      </c>
      <c r="J2454" s="2">
        <v>16</v>
      </c>
      <c r="K2454" s="4">
        <v>1</v>
      </c>
      <c r="L2454" s="4">
        <v>-9.5592288317140103E-2</v>
      </c>
      <c r="M2454" s="4">
        <v>9.5592288317140103E-2</v>
      </c>
      <c r="N2454" s="10">
        <v>9.6000000000000002E-2</v>
      </c>
      <c r="O2454" s="4">
        <v>0.47539205258456013</v>
      </c>
      <c r="P2454" s="4">
        <v>-0.48</v>
      </c>
      <c r="Q2454" s="3" t="s">
        <v>1617</v>
      </c>
      <c r="R2454" s="3" t="s">
        <v>1618</v>
      </c>
      <c r="S2454" s="3" t="s">
        <v>1619</v>
      </c>
      <c r="T2454" s="3"/>
    </row>
    <row r="2455" spans="1:20">
      <c r="A2455" s="3" t="s">
        <v>1600</v>
      </c>
      <c r="B2455" s="3" t="s">
        <v>1601</v>
      </c>
      <c r="C2455" s="3" t="s">
        <v>1616</v>
      </c>
      <c r="D2455" s="3" t="s">
        <v>836</v>
      </c>
      <c r="E2455" s="3" t="s">
        <v>837</v>
      </c>
      <c r="F2455" s="2">
        <v>1</v>
      </c>
      <c r="G2455" s="4">
        <v>1.0796804145972791</v>
      </c>
      <c r="H2455" s="2">
        <v>25</v>
      </c>
      <c r="I2455" s="2">
        <v>5</v>
      </c>
      <c r="J2455" s="2">
        <v>1</v>
      </c>
      <c r="K2455" s="4">
        <v>1</v>
      </c>
      <c r="L2455" s="4">
        <v>-9.7756214247509965E-2</v>
      </c>
      <c r="M2455" s="4">
        <v>9.7756214247509965E-2</v>
      </c>
      <c r="N2455" s="10">
        <v>9.8000000000000004E-2</v>
      </c>
      <c r="O2455" s="4">
        <v>0.48622187858734062</v>
      </c>
      <c r="P2455" s="4">
        <v>-0.49</v>
      </c>
      <c r="Q2455" s="3" t="s">
        <v>1617</v>
      </c>
      <c r="R2455" s="3" t="s">
        <v>1618</v>
      </c>
      <c r="S2455" s="3" t="s">
        <v>1619</v>
      </c>
      <c r="T2455" s="3"/>
    </row>
    <row r="2456" spans="1:20">
      <c r="A2456" s="3" t="s">
        <v>1605</v>
      </c>
      <c r="B2456" s="3" t="s">
        <v>1601</v>
      </c>
      <c r="C2456" s="3" t="s">
        <v>1596</v>
      </c>
      <c r="D2456" s="3" t="s">
        <v>836</v>
      </c>
      <c r="E2456" s="3" t="s">
        <v>837</v>
      </c>
      <c r="F2456" s="2">
        <v>1</v>
      </c>
      <c r="G2456" s="4">
        <v>1.0796804145972791</v>
      </c>
      <c r="H2456" s="2">
        <v>25</v>
      </c>
      <c r="I2456" s="2">
        <v>5</v>
      </c>
      <c r="J2456" s="2">
        <v>16</v>
      </c>
      <c r="K2456" s="4">
        <v>1</v>
      </c>
      <c r="L2456" s="4">
        <v>-0.12658895191114627</v>
      </c>
      <c r="M2456" s="4">
        <v>0.12658895191114627</v>
      </c>
      <c r="N2456" s="10">
        <v>0.127</v>
      </c>
      <c r="O2456" s="4">
        <v>0.63100506050649863</v>
      </c>
      <c r="P2456" s="4">
        <v>-0.63</v>
      </c>
      <c r="Q2456" s="3" t="s">
        <v>1617</v>
      </c>
      <c r="R2456" s="3" t="s">
        <v>1618</v>
      </c>
      <c r="S2456" s="3" t="s">
        <v>1619</v>
      </c>
      <c r="T2456" s="3"/>
    </row>
    <row r="2457" spans="1:20">
      <c r="A2457" s="3" t="s">
        <v>1600</v>
      </c>
      <c r="B2457" s="3" t="s">
        <v>1601</v>
      </c>
      <c r="C2457" s="3" t="s">
        <v>1596</v>
      </c>
      <c r="D2457" s="3" t="s">
        <v>836</v>
      </c>
      <c r="E2457" s="3" t="s">
        <v>837</v>
      </c>
      <c r="F2457" s="2">
        <v>1</v>
      </c>
      <c r="G2457" s="4">
        <v>1.0796804145972791</v>
      </c>
      <c r="H2457" s="2">
        <v>25</v>
      </c>
      <c r="I2457" s="2">
        <v>5</v>
      </c>
      <c r="J2457" s="2">
        <v>16</v>
      </c>
      <c r="K2457" s="4">
        <v>1</v>
      </c>
      <c r="L2457" s="4">
        <v>-0.12989460810658066</v>
      </c>
      <c r="M2457" s="4">
        <v>0.12989460810658066</v>
      </c>
      <c r="N2457" s="10">
        <v>0.13</v>
      </c>
      <c r="O2457" s="4">
        <v>0.64766835345887663</v>
      </c>
      <c r="P2457" s="4">
        <v>-0.65</v>
      </c>
      <c r="Q2457" s="3" t="s">
        <v>1617</v>
      </c>
      <c r="R2457" s="3" t="s">
        <v>1618</v>
      </c>
      <c r="S2457" s="3" t="s">
        <v>1619</v>
      </c>
      <c r="T2457" s="3"/>
    </row>
    <row r="2458" spans="1:20">
      <c r="A2458" s="3" t="s">
        <v>1604</v>
      </c>
      <c r="B2458" s="3" t="s">
        <v>1601</v>
      </c>
      <c r="C2458" s="3" t="s">
        <v>1596</v>
      </c>
      <c r="D2458" s="3" t="s">
        <v>836</v>
      </c>
      <c r="E2458" s="3" t="s">
        <v>837</v>
      </c>
      <c r="F2458" s="2">
        <v>1</v>
      </c>
      <c r="G2458" s="4">
        <v>1.0796804145972791</v>
      </c>
      <c r="H2458" s="2">
        <v>25</v>
      </c>
      <c r="I2458" s="2">
        <v>30</v>
      </c>
      <c r="J2458" s="2">
        <v>16</v>
      </c>
      <c r="K2458" s="4">
        <v>1</v>
      </c>
      <c r="L2458" s="4">
        <v>-0.13426102902366127</v>
      </c>
      <c r="M2458" s="4">
        <v>0.13426102902366127</v>
      </c>
      <c r="N2458" s="10">
        <v>0.13400000000000001</v>
      </c>
      <c r="O2458" s="4">
        <v>0.66970118069476936</v>
      </c>
      <c r="P2458" s="4">
        <v>-0.67</v>
      </c>
      <c r="Q2458" s="3" t="s">
        <v>1617</v>
      </c>
      <c r="R2458" s="3" t="s">
        <v>1618</v>
      </c>
      <c r="S2458" s="3" t="s">
        <v>1619</v>
      </c>
      <c r="T2458" s="3"/>
    </row>
    <row r="2459" spans="1:20">
      <c r="A2459" s="3" t="s">
        <v>1600</v>
      </c>
      <c r="B2459" s="3" t="s">
        <v>1601</v>
      </c>
      <c r="C2459" s="3" t="s">
        <v>1596</v>
      </c>
      <c r="D2459" s="3" t="s">
        <v>836</v>
      </c>
      <c r="E2459" s="3" t="s">
        <v>837</v>
      </c>
      <c r="F2459" s="2">
        <v>1</v>
      </c>
      <c r="G2459" s="4">
        <v>1.0796804145972791</v>
      </c>
      <c r="H2459" s="2">
        <v>25</v>
      </c>
      <c r="I2459" s="2">
        <v>5</v>
      </c>
      <c r="J2459" s="2">
        <v>1</v>
      </c>
      <c r="K2459" s="4">
        <v>1</v>
      </c>
      <c r="L2459" s="4">
        <v>-0.13785717491517394</v>
      </c>
      <c r="M2459" s="4">
        <v>0.13785717491517394</v>
      </c>
      <c r="N2459" s="10">
        <v>0.13800000000000001</v>
      </c>
      <c r="O2459" s="4">
        <v>0.68786695035139644</v>
      </c>
      <c r="P2459" s="4">
        <v>-0.69</v>
      </c>
      <c r="Q2459" s="3" t="s">
        <v>1617</v>
      </c>
      <c r="R2459" s="3" t="s">
        <v>1618</v>
      </c>
      <c r="S2459" s="3" t="s">
        <v>1619</v>
      </c>
      <c r="T2459" s="3"/>
    </row>
    <row r="2460" spans="1:20">
      <c r="A2460" s="3" t="s">
        <v>1600</v>
      </c>
      <c r="B2460" s="3" t="s">
        <v>1609</v>
      </c>
      <c r="C2460" s="3" t="s">
        <v>1616</v>
      </c>
      <c r="D2460" s="3" t="s">
        <v>836</v>
      </c>
      <c r="E2460" s="3" t="s">
        <v>837</v>
      </c>
      <c r="F2460" s="2">
        <v>1</v>
      </c>
      <c r="G2460" s="4">
        <v>1.0796804145972791</v>
      </c>
      <c r="H2460" s="2">
        <v>25</v>
      </c>
      <c r="I2460" s="2">
        <v>5</v>
      </c>
      <c r="J2460" s="2">
        <v>1</v>
      </c>
      <c r="K2460" s="4">
        <v>1</v>
      </c>
      <c r="L2460" s="4">
        <v>-0.1458020728200585</v>
      </c>
      <c r="M2460" s="4">
        <v>0.1458020728200585</v>
      </c>
      <c r="N2460" s="10">
        <v>0.14599999999999999</v>
      </c>
      <c r="O2460" s="4">
        <v>0.72806610918390846</v>
      </c>
      <c r="P2460" s="4">
        <v>-0.73</v>
      </c>
      <c r="Q2460" s="3" t="s">
        <v>1617</v>
      </c>
      <c r="R2460" s="3" t="s">
        <v>1623</v>
      </c>
      <c r="S2460" s="3" t="s">
        <v>1624</v>
      </c>
      <c r="T2460" s="3"/>
    </row>
    <row r="2461" spans="1:20">
      <c r="A2461" s="3" t="s">
        <v>1600</v>
      </c>
      <c r="B2461" s="3" t="s">
        <v>1609</v>
      </c>
      <c r="C2461" s="3" t="s">
        <v>1616</v>
      </c>
      <c r="D2461" s="3" t="s">
        <v>836</v>
      </c>
      <c r="E2461" s="3" t="s">
        <v>837</v>
      </c>
      <c r="F2461" s="2">
        <v>1</v>
      </c>
      <c r="G2461" s="4">
        <v>1.0796804145972791</v>
      </c>
      <c r="H2461" s="2">
        <v>25</v>
      </c>
      <c r="I2461" s="2">
        <v>5</v>
      </c>
      <c r="J2461" s="2">
        <v>16</v>
      </c>
      <c r="K2461" s="4">
        <v>1</v>
      </c>
      <c r="L2461" s="4">
        <v>-0.19066653841083905</v>
      </c>
      <c r="M2461" s="4">
        <v>0.19066653841083905</v>
      </c>
      <c r="N2461" s="10">
        <v>0.191</v>
      </c>
      <c r="O2461" s="4">
        <v>0.95702431479409023</v>
      </c>
      <c r="P2461" s="4">
        <v>-0.96</v>
      </c>
      <c r="Q2461" s="3" t="s">
        <v>1617</v>
      </c>
      <c r="R2461" s="3" t="s">
        <v>1623</v>
      </c>
      <c r="S2461" s="3" t="s">
        <v>1624</v>
      </c>
      <c r="T2461" s="3"/>
    </row>
    <row r="2462" spans="1:20">
      <c r="A2462" s="3" t="s">
        <v>1600</v>
      </c>
      <c r="B2462" s="3" t="s">
        <v>1609</v>
      </c>
      <c r="C2462" s="3" t="s">
        <v>1596</v>
      </c>
      <c r="D2462" s="3" t="s">
        <v>836</v>
      </c>
      <c r="E2462" s="3" t="s">
        <v>837</v>
      </c>
      <c r="F2462" s="2">
        <v>1</v>
      </c>
      <c r="G2462" s="4">
        <v>1.0796804145972791</v>
      </c>
      <c r="H2462" s="2">
        <v>25</v>
      </c>
      <c r="I2462" s="2">
        <v>5</v>
      </c>
      <c r="J2462" s="2">
        <v>1</v>
      </c>
      <c r="K2462" s="4">
        <v>1</v>
      </c>
      <c r="L2462" s="4">
        <v>-0.19197967765651341</v>
      </c>
      <c r="M2462" s="4">
        <v>0.19197967765651341</v>
      </c>
      <c r="N2462" s="10">
        <v>0.192</v>
      </c>
      <c r="O2462" s="4">
        <v>0.96378214388026817</v>
      </c>
      <c r="P2462" s="4">
        <v>-0.96</v>
      </c>
      <c r="Q2462" s="3" t="s">
        <v>1617</v>
      </c>
      <c r="R2462" s="3" t="s">
        <v>1623</v>
      </c>
      <c r="S2462" s="3" t="s">
        <v>1624</v>
      </c>
      <c r="T2462" s="3"/>
    </row>
    <row r="2463" spans="1:20">
      <c r="A2463" s="3" t="s">
        <v>1600</v>
      </c>
      <c r="B2463" s="3" t="s">
        <v>1609</v>
      </c>
      <c r="C2463" s="3" t="s">
        <v>1596</v>
      </c>
      <c r="D2463" s="3" t="s">
        <v>836</v>
      </c>
      <c r="E2463" s="3" t="s">
        <v>837</v>
      </c>
      <c r="F2463" s="2">
        <v>1</v>
      </c>
      <c r="G2463" s="4">
        <v>1.0796804145972791</v>
      </c>
      <c r="H2463" s="2">
        <v>25</v>
      </c>
      <c r="I2463" s="2">
        <v>5</v>
      </c>
      <c r="J2463" s="2">
        <v>16</v>
      </c>
      <c r="K2463" s="4">
        <v>1</v>
      </c>
      <c r="L2463" s="4">
        <v>-0.19650714608056777</v>
      </c>
      <c r="M2463" s="4">
        <v>0.19650714608056777</v>
      </c>
      <c r="N2463" s="10">
        <v>0.19700000000000001</v>
      </c>
      <c r="O2463" s="4">
        <v>0.98710923305897491</v>
      </c>
      <c r="P2463" s="4">
        <v>-0.99</v>
      </c>
      <c r="Q2463" s="3" t="s">
        <v>1617</v>
      </c>
      <c r="R2463" s="3" t="s">
        <v>1623</v>
      </c>
      <c r="S2463" s="3" t="s">
        <v>1624</v>
      </c>
      <c r="T2463" s="3"/>
    </row>
    <row r="2464" spans="1:20">
      <c r="A2464" s="3" t="s">
        <v>1594</v>
      </c>
      <c r="B2464" s="3" t="s">
        <v>1595</v>
      </c>
      <c r="C2464" s="3" t="s">
        <v>1596</v>
      </c>
      <c r="D2464" s="3" t="s">
        <v>836</v>
      </c>
      <c r="E2464" s="3" t="s">
        <v>837</v>
      </c>
      <c r="F2464" s="2">
        <v>1</v>
      </c>
      <c r="G2464" s="4">
        <v>1.0796804145972791</v>
      </c>
      <c r="H2464" s="2">
        <v>50</v>
      </c>
      <c r="I2464" s="2">
        <v>5</v>
      </c>
      <c r="J2464" s="2">
        <v>16</v>
      </c>
      <c r="K2464" s="4">
        <v>1</v>
      </c>
      <c r="L2464" s="4">
        <v>-0.55844217451059086</v>
      </c>
      <c r="M2464" s="4">
        <v>0.55844217451059086</v>
      </c>
      <c r="N2464" s="10">
        <v>0.55800000000000005</v>
      </c>
      <c r="O2464" s="4">
        <v>3.3884508530111357</v>
      </c>
      <c r="P2464" s="4">
        <v>-3.38</v>
      </c>
      <c r="Q2464" s="3" t="s">
        <v>1617</v>
      </c>
      <c r="R2464" s="3" t="s">
        <v>1625</v>
      </c>
      <c r="S2464" s="3" t="s">
        <v>1626</v>
      </c>
      <c r="T2464" s="3"/>
    </row>
    <row r="2465" spans="1:20">
      <c r="A2465" s="3" t="s">
        <v>1594</v>
      </c>
      <c r="B2465" s="3" t="s">
        <v>1595</v>
      </c>
      <c r="C2465" s="3" t="s">
        <v>1596</v>
      </c>
      <c r="D2465" s="3" t="s">
        <v>836</v>
      </c>
      <c r="E2465" s="3" t="s">
        <v>837</v>
      </c>
      <c r="F2465" s="2">
        <v>1</v>
      </c>
      <c r="G2465" s="4">
        <v>1.0796804145972791</v>
      </c>
      <c r="H2465" s="2">
        <v>25</v>
      </c>
      <c r="I2465" s="2">
        <v>5</v>
      </c>
      <c r="J2465" s="2">
        <v>16</v>
      </c>
      <c r="K2465" s="4">
        <v>1</v>
      </c>
      <c r="L2465" s="4">
        <v>-0.57039229220060172</v>
      </c>
      <c r="M2465" s="4">
        <v>0.57039229220060172</v>
      </c>
      <c r="N2465" s="10">
        <v>0.56999999999999995</v>
      </c>
      <c r="O2465" s="4">
        <v>3.2132589997630339</v>
      </c>
      <c r="P2465" s="4">
        <v>-3.21</v>
      </c>
      <c r="Q2465" s="3" t="s">
        <v>1617</v>
      </c>
      <c r="R2465" s="3" t="s">
        <v>1625</v>
      </c>
      <c r="S2465" s="3" t="s">
        <v>1626</v>
      </c>
      <c r="T2465" s="3"/>
    </row>
    <row r="2466" spans="1:20">
      <c r="A2466" s="3" t="s">
        <v>1594</v>
      </c>
      <c r="B2466" s="3" t="s">
        <v>1612</v>
      </c>
      <c r="C2466" s="3" t="s">
        <v>1596</v>
      </c>
      <c r="D2466" s="3" t="s">
        <v>836</v>
      </c>
      <c r="E2466" s="3" t="s">
        <v>837</v>
      </c>
      <c r="F2466" s="2">
        <v>1</v>
      </c>
      <c r="G2466" s="4">
        <v>1.0796804145972791</v>
      </c>
      <c r="H2466" s="2">
        <v>50</v>
      </c>
      <c r="I2466" s="2">
        <v>5</v>
      </c>
      <c r="J2466" s="2">
        <v>16</v>
      </c>
      <c r="K2466" s="4">
        <v>1</v>
      </c>
      <c r="L2466" s="4">
        <v>-0.73896741682004929</v>
      </c>
      <c r="M2466" s="4">
        <v>0.73896741682004929</v>
      </c>
      <c r="N2466" s="10">
        <v>0.73899999999999999</v>
      </c>
      <c r="O2466" s="4">
        <v>5.0953098248031203</v>
      </c>
      <c r="P2466" s="4">
        <v>-5.0999999999999996</v>
      </c>
      <c r="Q2466" s="3" t="s">
        <v>1617</v>
      </c>
      <c r="R2466" s="3" t="s">
        <v>1627</v>
      </c>
      <c r="S2466" s="3" t="s">
        <v>1628</v>
      </c>
      <c r="T2466" s="3"/>
    </row>
    <row r="2467" spans="1:20">
      <c r="A2467" s="3" t="s">
        <v>1594</v>
      </c>
      <c r="B2467" s="3" t="s">
        <v>1612</v>
      </c>
      <c r="C2467" s="3" t="s">
        <v>1596</v>
      </c>
      <c r="D2467" s="3" t="s">
        <v>1326</v>
      </c>
      <c r="E2467" s="3" t="s">
        <v>1327</v>
      </c>
      <c r="F2467" s="2">
        <v>1</v>
      </c>
      <c r="G2467" s="4">
        <v>1.0800891335692751</v>
      </c>
      <c r="H2467" s="2">
        <v>50</v>
      </c>
      <c r="I2467" s="2">
        <v>5</v>
      </c>
      <c r="J2467" s="2">
        <v>16</v>
      </c>
      <c r="K2467" s="4">
        <v>0.36937877665616081</v>
      </c>
      <c r="L2467" s="4">
        <v>0.10467258189669715</v>
      </c>
      <c r="M2467" s="4">
        <v>0.10467258189669715</v>
      </c>
      <c r="N2467" s="10">
        <v>0.105</v>
      </c>
      <c r="O2467" s="4">
        <v>0.56454284265129806</v>
      </c>
      <c r="P2467" s="4">
        <v>0.56999999999999995</v>
      </c>
      <c r="Q2467" s="3" t="s">
        <v>1597</v>
      </c>
      <c r="R2467" s="3" t="s">
        <v>1613</v>
      </c>
      <c r="S2467" s="3" t="s">
        <v>1614</v>
      </c>
      <c r="T2467" s="3"/>
    </row>
    <row r="2468" spans="1:20">
      <c r="A2468" s="3" t="s">
        <v>1594</v>
      </c>
      <c r="B2468" s="3" t="s">
        <v>1595</v>
      </c>
      <c r="C2468" s="3" t="s">
        <v>1596</v>
      </c>
      <c r="D2468" s="3" t="s">
        <v>1326</v>
      </c>
      <c r="E2468" s="3" t="s">
        <v>1327</v>
      </c>
      <c r="F2468" s="2">
        <v>1</v>
      </c>
      <c r="G2468" s="4">
        <v>1.0800891335692751</v>
      </c>
      <c r="H2468" s="2">
        <v>50</v>
      </c>
      <c r="I2468" s="2">
        <v>5</v>
      </c>
      <c r="J2468" s="2">
        <v>16</v>
      </c>
      <c r="K2468" s="4">
        <v>0.88095508392402022</v>
      </c>
      <c r="L2468" s="4">
        <v>1.100123149636416E-2</v>
      </c>
      <c r="M2468" s="4">
        <v>1.100123149636416E-2</v>
      </c>
      <c r="N2468" s="10">
        <v>1.0999999999999999E-2</v>
      </c>
      <c r="O2468" s="4">
        <v>5.9119277582856622E-2</v>
      </c>
      <c r="P2468" s="4">
        <v>0.06</v>
      </c>
      <c r="Q2468" s="3" t="s">
        <v>1597</v>
      </c>
      <c r="R2468" s="3" t="s">
        <v>1598</v>
      </c>
      <c r="S2468" s="3" t="s">
        <v>1599</v>
      </c>
      <c r="T2468" s="3"/>
    </row>
    <row r="2469" spans="1:20">
      <c r="A2469" s="3" t="s">
        <v>1594</v>
      </c>
      <c r="B2469" s="3" t="s">
        <v>1595</v>
      </c>
      <c r="C2469" s="3" t="s">
        <v>1596</v>
      </c>
      <c r="D2469" s="3" t="s">
        <v>1326</v>
      </c>
      <c r="E2469" s="3" t="s">
        <v>1327</v>
      </c>
      <c r="F2469" s="2">
        <v>1</v>
      </c>
      <c r="G2469" s="4">
        <v>1.0800891335692751</v>
      </c>
      <c r="H2469" s="2">
        <v>25</v>
      </c>
      <c r="I2469" s="2">
        <v>5</v>
      </c>
      <c r="J2469" s="2">
        <v>16</v>
      </c>
      <c r="K2469" s="4">
        <v>0.19116533282916737</v>
      </c>
      <c r="L2469" s="4">
        <v>2.8720600342032961E-3</v>
      </c>
      <c r="M2469" s="4">
        <v>2.8720600342032961E-3</v>
      </c>
      <c r="N2469" s="10">
        <v>3.0000000000000001E-3</v>
      </c>
      <c r="O2469" s="4">
        <v>1.4239529995719176E-2</v>
      </c>
      <c r="P2469" s="4">
        <v>0.01</v>
      </c>
      <c r="Q2469" s="3" t="s">
        <v>1597</v>
      </c>
      <c r="R2469" s="3" t="s">
        <v>1598</v>
      </c>
      <c r="S2469" s="3" t="s">
        <v>1599</v>
      </c>
      <c r="T2469" s="3"/>
    </row>
    <row r="2470" spans="1:20">
      <c r="A2470" s="3" t="s">
        <v>1600</v>
      </c>
      <c r="B2470" s="3" t="s">
        <v>1601</v>
      </c>
      <c r="C2470" s="3" t="s">
        <v>1616</v>
      </c>
      <c r="D2470" s="3" t="s">
        <v>1326</v>
      </c>
      <c r="E2470" s="3" t="s">
        <v>1327</v>
      </c>
      <c r="F2470" s="2">
        <v>1</v>
      </c>
      <c r="G2470" s="4">
        <v>1.0800891335692751</v>
      </c>
      <c r="H2470" s="2">
        <v>25</v>
      </c>
      <c r="I2470" s="2">
        <v>5</v>
      </c>
      <c r="J2470" s="2">
        <v>1</v>
      </c>
      <c r="K2470" s="4">
        <v>0</v>
      </c>
      <c r="L2470" s="4">
        <v>0</v>
      </c>
      <c r="M2470" s="4">
        <v>0</v>
      </c>
      <c r="N2470" s="10">
        <v>0</v>
      </c>
      <c r="O2470" s="4">
        <v>0</v>
      </c>
      <c r="P2470" s="4">
        <v>0</v>
      </c>
      <c r="Q2470" s="3" t="s">
        <v>1617</v>
      </c>
      <c r="R2470" s="3" t="s">
        <v>1618</v>
      </c>
      <c r="S2470" s="3" t="s">
        <v>1619</v>
      </c>
      <c r="T2470" s="3"/>
    </row>
    <row r="2471" spans="1:20">
      <c r="A2471" s="3" t="s">
        <v>1600</v>
      </c>
      <c r="B2471" s="3" t="s">
        <v>1601</v>
      </c>
      <c r="C2471" s="3" t="s">
        <v>1616</v>
      </c>
      <c r="D2471" s="3" t="s">
        <v>1326</v>
      </c>
      <c r="E2471" s="3" t="s">
        <v>1327</v>
      </c>
      <c r="F2471" s="2">
        <v>1</v>
      </c>
      <c r="G2471" s="4">
        <v>1.0800891335692751</v>
      </c>
      <c r="H2471" s="2">
        <v>25</v>
      </c>
      <c r="I2471" s="2">
        <v>5</v>
      </c>
      <c r="J2471" s="2">
        <v>16</v>
      </c>
      <c r="K2471" s="4">
        <v>0</v>
      </c>
      <c r="L2471" s="4">
        <v>0</v>
      </c>
      <c r="M2471" s="4">
        <v>0</v>
      </c>
      <c r="N2471" s="10">
        <v>0</v>
      </c>
      <c r="O2471" s="4">
        <v>0</v>
      </c>
      <c r="P2471" s="4">
        <v>0</v>
      </c>
      <c r="Q2471" s="3" t="s">
        <v>1617</v>
      </c>
      <c r="R2471" s="3" t="s">
        <v>1618</v>
      </c>
      <c r="S2471" s="3" t="s">
        <v>1619</v>
      </c>
      <c r="T2471" s="3"/>
    </row>
    <row r="2472" spans="1:20">
      <c r="A2472" s="3" t="s">
        <v>1600</v>
      </c>
      <c r="B2472" s="3" t="s">
        <v>1601</v>
      </c>
      <c r="C2472" s="3" t="s">
        <v>1596</v>
      </c>
      <c r="D2472" s="3" t="s">
        <v>1326</v>
      </c>
      <c r="E2472" s="3" t="s">
        <v>1327</v>
      </c>
      <c r="F2472" s="2">
        <v>1</v>
      </c>
      <c r="G2472" s="4">
        <v>1.0800891335692751</v>
      </c>
      <c r="H2472" s="2">
        <v>25</v>
      </c>
      <c r="I2472" s="2">
        <v>5</v>
      </c>
      <c r="J2472" s="2">
        <v>1</v>
      </c>
      <c r="K2472" s="4">
        <v>0</v>
      </c>
      <c r="L2472" s="4">
        <v>0</v>
      </c>
      <c r="M2472" s="4">
        <v>0</v>
      </c>
      <c r="N2472" s="10">
        <v>0</v>
      </c>
      <c r="O2472" s="4">
        <v>0</v>
      </c>
      <c r="P2472" s="4">
        <v>0</v>
      </c>
      <c r="Q2472" s="3" t="s">
        <v>1617</v>
      </c>
      <c r="R2472" s="3" t="s">
        <v>1618</v>
      </c>
      <c r="S2472" s="3" t="s">
        <v>1619</v>
      </c>
      <c r="T2472" s="3"/>
    </row>
    <row r="2473" spans="1:20">
      <c r="A2473" s="3" t="s">
        <v>1600</v>
      </c>
      <c r="B2473" s="3" t="s">
        <v>1601</v>
      </c>
      <c r="C2473" s="3" t="s">
        <v>1596</v>
      </c>
      <c r="D2473" s="3" t="s">
        <v>1326</v>
      </c>
      <c r="E2473" s="3" t="s">
        <v>1327</v>
      </c>
      <c r="F2473" s="2">
        <v>1</v>
      </c>
      <c r="G2473" s="4">
        <v>1.0800891335692751</v>
      </c>
      <c r="H2473" s="2">
        <v>25</v>
      </c>
      <c r="I2473" s="2">
        <v>5</v>
      </c>
      <c r="J2473" s="2">
        <v>16</v>
      </c>
      <c r="K2473" s="4">
        <v>0</v>
      </c>
      <c r="L2473" s="4">
        <v>0</v>
      </c>
      <c r="M2473" s="4">
        <v>0</v>
      </c>
      <c r="N2473" s="10">
        <v>0</v>
      </c>
      <c r="O2473" s="4">
        <v>0</v>
      </c>
      <c r="P2473" s="4">
        <v>0</v>
      </c>
      <c r="Q2473" s="3" t="s">
        <v>1617</v>
      </c>
      <c r="R2473" s="3" t="s">
        <v>1618</v>
      </c>
      <c r="S2473" s="3" t="s">
        <v>1619</v>
      </c>
      <c r="T2473" s="3"/>
    </row>
    <row r="2474" spans="1:20">
      <c r="A2474" s="3" t="s">
        <v>1605</v>
      </c>
      <c r="B2474" s="3" t="s">
        <v>1601</v>
      </c>
      <c r="C2474" s="3" t="s">
        <v>1596</v>
      </c>
      <c r="D2474" s="3" t="s">
        <v>1326</v>
      </c>
      <c r="E2474" s="3" t="s">
        <v>1327</v>
      </c>
      <c r="F2474" s="2">
        <v>1</v>
      </c>
      <c r="G2474" s="4">
        <v>1.0800891335692751</v>
      </c>
      <c r="H2474" s="2">
        <v>25</v>
      </c>
      <c r="I2474" s="2">
        <v>5</v>
      </c>
      <c r="J2474" s="2">
        <v>16</v>
      </c>
      <c r="K2474" s="4">
        <v>0</v>
      </c>
      <c r="L2474" s="4">
        <v>0</v>
      </c>
      <c r="M2474" s="4">
        <v>0</v>
      </c>
      <c r="N2474" s="10">
        <v>0</v>
      </c>
      <c r="O2474" s="4">
        <v>0</v>
      </c>
      <c r="P2474" s="4">
        <v>0</v>
      </c>
      <c r="Q2474" s="3" t="s">
        <v>1617</v>
      </c>
      <c r="R2474" s="3" t="s">
        <v>1618</v>
      </c>
      <c r="S2474" s="3" t="s">
        <v>1619</v>
      </c>
      <c r="T2474" s="3"/>
    </row>
    <row r="2475" spans="1:20">
      <c r="A2475" s="3" t="s">
        <v>1600</v>
      </c>
      <c r="B2475" s="3" t="s">
        <v>1606</v>
      </c>
      <c r="C2475" s="3" t="s">
        <v>1596</v>
      </c>
      <c r="D2475" s="3" t="s">
        <v>1326</v>
      </c>
      <c r="E2475" s="3" t="s">
        <v>1327</v>
      </c>
      <c r="F2475" s="2">
        <v>1</v>
      </c>
      <c r="G2475" s="4">
        <v>1.0800891335692751</v>
      </c>
      <c r="H2475" s="2">
        <v>25</v>
      </c>
      <c r="I2475" s="2">
        <v>5</v>
      </c>
      <c r="J2475" s="2">
        <v>1</v>
      </c>
      <c r="K2475" s="4">
        <v>0</v>
      </c>
      <c r="L2475" s="4">
        <v>0</v>
      </c>
      <c r="M2475" s="4">
        <v>0</v>
      </c>
      <c r="N2475" s="10">
        <v>0</v>
      </c>
      <c r="O2475" s="4">
        <v>0</v>
      </c>
      <c r="P2475" s="4">
        <v>0</v>
      </c>
      <c r="Q2475" s="3" t="s">
        <v>1617</v>
      </c>
      <c r="R2475" s="3" t="s">
        <v>1621</v>
      </c>
      <c r="S2475" s="3" t="s">
        <v>1622</v>
      </c>
      <c r="T2475" s="3"/>
    </row>
    <row r="2476" spans="1:20">
      <c r="A2476" s="3" t="s">
        <v>1600</v>
      </c>
      <c r="B2476" s="3" t="s">
        <v>1606</v>
      </c>
      <c r="C2476" s="3" t="s">
        <v>1596</v>
      </c>
      <c r="D2476" s="3" t="s">
        <v>1326</v>
      </c>
      <c r="E2476" s="3" t="s">
        <v>1327</v>
      </c>
      <c r="F2476" s="2">
        <v>1</v>
      </c>
      <c r="G2476" s="4">
        <v>1.0800891335692751</v>
      </c>
      <c r="H2476" s="2">
        <v>25</v>
      </c>
      <c r="I2476" s="2">
        <v>5</v>
      </c>
      <c r="J2476" s="2">
        <v>16</v>
      </c>
      <c r="K2476" s="4">
        <v>0</v>
      </c>
      <c r="L2476" s="4">
        <v>0</v>
      </c>
      <c r="M2476" s="4">
        <v>0</v>
      </c>
      <c r="N2476" s="10">
        <v>0</v>
      </c>
      <c r="O2476" s="4">
        <v>0</v>
      </c>
      <c r="P2476" s="4">
        <v>0</v>
      </c>
      <c r="Q2476" s="3" t="s">
        <v>1617</v>
      </c>
      <c r="R2476" s="3" t="s">
        <v>1621</v>
      </c>
      <c r="S2476" s="3" t="s">
        <v>1622</v>
      </c>
      <c r="T2476" s="3"/>
    </row>
    <row r="2477" spans="1:20">
      <c r="A2477" s="3" t="s">
        <v>1600</v>
      </c>
      <c r="B2477" s="3" t="s">
        <v>1606</v>
      </c>
      <c r="C2477" s="3" t="s">
        <v>1616</v>
      </c>
      <c r="D2477" s="3" t="s">
        <v>1326</v>
      </c>
      <c r="E2477" s="3" t="s">
        <v>1327</v>
      </c>
      <c r="F2477" s="2">
        <v>1</v>
      </c>
      <c r="G2477" s="4">
        <v>1.0800891335692751</v>
      </c>
      <c r="H2477" s="2">
        <v>25</v>
      </c>
      <c r="I2477" s="2">
        <v>5</v>
      </c>
      <c r="J2477" s="2">
        <v>1</v>
      </c>
      <c r="K2477" s="4">
        <v>0</v>
      </c>
      <c r="L2477" s="4">
        <v>0</v>
      </c>
      <c r="M2477" s="4">
        <v>0</v>
      </c>
      <c r="N2477" s="10">
        <v>0</v>
      </c>
      <c r="O2477" s="4">
        <v>0</v>
      </c>
      <c r="P2477" s="4">
        <v>0</v>
      </c>
      <c r="Q2477" s="3" t="s">
        <v>1617</v>
      </c>
      <c r="R2477" s="3" t="s">
        <v>1621</v>
      </c>
      <c r="S2477" s="3" t="s">
        <v>1622</v>
      </c>
      <c r="T2477" s="3"/>
    </row>
    <row r="2478" spans="1:20">
      <c r="A2478" s="3" t="s">
        <v>1600</v>
      </c>
      <c r="B2478" s="3" t="s">
        <v>1606</v>
      </c>
      <c r="C2478" s="3" t="s">
        <v>1616</v>
      </c>
      <c r="D2478" s="3" t="s">
        <v>1326</v>
      </c>
      <c r="E2478" s="3" t="s">
        <v>1327</v>
      </c>
      <c r="F2478" s="2">
        <v>1</v>
      </c>
      <c r="G2478" s="4">
        <v>1.0800891335692751</v>
      </c>
      <c r="H2478" s="2">
        <v>25</v>
      </c>
      <c r="I2478" s="2">
        <v>5</v>
      </c>
      <c r="J2478" s="2">
        <v>16</v>
      </c>
      <c r="K2478" s="4">
        <v>0</v>
      </c>
      <c r="L2478" s="4">
        <v>0</v>
      </c>
      <c r="M2478" s="4">
        <v>0</v>
      </c>
      <c r="N2478" s="10">
        <v>0</v>
      </c>
      <c r="O2478" s="4">
        <v>0</v>
      </c>
      <c r="P2478" s="4">
        <v>0</v>
      </c>
      <c r="Q2478" s="3" t="s">
        <v>1617</v>
      </c>
      <c r="R2478" s="3" t="s">
        <v>1621</v>
      </c>
      <c r="S2478" s="3" t="s">
        <v>1622</v>
      </c>
      <c r="T2478" s="3"/>
    </row>
    <row r="2479" spans="1:20">
      <c r="A2479" s="3" t="s">
        <v>1600</v>
      </c>
      <c r="B2479" s="3" t="s">
        <v>1609</v>
      </c>
      <c r="C2479" s="3" t="s">
        <v>1616</v>
      </c>
      <c r="D2479" s="3" t="s">
        <v>1326</v>
      </c>
      <c r="E2479" s="3" t="s">
        <v>1327</v>
      </c>
      <c r="F2479" s="2">
        <v>1</v>
      </c>
      <c r="G2479" s="4">
        <v>1.0800891335692751</v>
      </c>
      <c r="H2479" s="2">
        <v>25</v>
      </c>
      <c r="I2479" s="2">
        <v>5</v>
      </c>
      <c r="J2479" s="2">
        <v>1</v>
      </c>
      <c r="K2479" s="4">
        <v>3.4875086360151353E-2</v>
      </c>
      <c r="L2479" s="4">
        <v>-4.4739231312418054E-2</v>
      </c>
      <c r="M2479" s="4">
        <v>4.4739231312418054E-2</v>
      </c>
      <c r="N2479" s="10">
        <v>4.4999999999999998E-2</v>
      </c>
      <c r="O2479" s="4">
        <v>0.2219624335723431</v>
      </c>
      <c r="P2479" s="4">
        <v>-0.22</v>
      </c>
      <c r="Q2479" s="3" t="s">
        <v>1617</v>
      </c>
      <c r="R2479" s="3" t="s">
        <v>1623</v>
      </c>
      <c r="S2479" s="3" t="s">
        <v>1624</v>
      </c>
      <c r="T2479" s="3"/>
    </row>
    <row r="2480" spans="1:20">
      <c r="A2480" s="3" t="s">
        <v>1604</v>
      </c>
      <c r="B2480" s="3" t="s">
        <v>1601</v>
      </c>
      <c r="C2480" s="3" t="s">
        <v>1596</v>
      </c>
      <c r="D2480" s="3" t="s">
        <v>1326</v>
      </c>
      <c r="E2480" s="3" t="s">
        <v>1327</v>
      </c>
      <c r="F2480" s="2">
        <v>1</v>
      </c>
      <c r="G2480" s="4">
        <v>1.0800891335692751</v>
      </c>
      <c r="H2480" s="2">
        <v>25</v>
      </c>
      <c r="I2480" s="2">
        <v>30</v>
      </c>
      <c r="J2480" s="2">
        <v>16</v>
      </c>
      <c r="K2480" s="4">
        <v>1.3548194978174721E-2</v>
      </c>
      <c r="L2480" s="4">
        <v>-7.1970238946916579E-2</v>
      </c>
      <c r="M2480" s="4">
        <v>7.1970238946916579E-2</v>
      </c>
      <c r="N2480" s="10">
        <v>7.1999999999999995E-2</v>
      </c>
      <c r="O2480" s="4">
        <v>0.35744186759151497</v>
      </c>
      <c r="P2480" s="4">
        <v>-0.36</v>
      </c>
      <c r="Q2480" s="3" t="s">
        <v>1617</v>
      </c>
      <c r="R2480" s="3" t="s">
        <v>1618</v>
      </c>
      <c r="S2480" s="3" t="s">
        <v>1619</v>
      </c>
      <c r="T2480" s="3"/>
    </row>
    <row r="2481" spans="1:20">
      <c r="A2481" s="3" t="s">
        <v>1600</v>
      </c>
      <c r="B2481" s="3" t="s">
        <v>1609</v>
      </c>
      <c r="C2481" s="3" t="s">
        <v>1596</v>
      </c>
      <c r="D2481" s="3" t="s">
        <v>1326</v>
      </c>
      <c r="E2481" s="3" t="s">
        <v>1327</v>
      </c>
      <c r="F2481" s="2">
        <v>1</v>
      </c>
      <c r="G2481" s="4">
        <v>1.0800891335692751</v>
      </c>
      <c r="H2481" s="2">
        <v>25</v>
      </c>
      <c r="I2481" s="2">
        <v>5</v>
      </c>
      <c r="J2481" s="2">
        <v>16</v>
      </c>
      <c r="K2481" s="4">
        <v>3.9311796782821817E-2</v>
      </c>
      <c r="L2481" s="4">
        <v>-0.11005768634655656</v>
      </c>
      <c r="M2481" s="4">
        <v>0.11005768634655656</v>
      </c>
      <c r="N2481" s="10">
        <v>0.11</v>
      </c>
      <c r="O2481" s="4">
        <v>0.54787828868576438</v>
      </c>
      <c r="P2481" s="4">
        <v>-0.55000000000000004</v>
      </c>
      <c r="Q2481" s="3" t="s">
        <v>1617</v>
      </c>
      <c r="R2481" s="3" t="s">
        <v>1623</v>
      </c>
      <c r="S2481" s="3" t="s">
        <v>1624</v>
      </c>
      <c r="T2481" s="3"/>
    </row>
    <row r="2482" spans="1:20">
      <c r="A2482" s="3" t="s">
        <v>1604</v>
      </c>
      <c r="B2482" s="3" t="s">
        <v>1601</v>
      </c>
      <c r="C2482" s="3" t="s">
        <v>1616</v>
      </c>
      <c r="D2482" s="3" t="s">
        <v>1326</v>
      </c>
      <c r="E2482" s="3" t="s">
        <v>1327</v>
      </c>
      <c r="F2482" s="2">
        <v>1</v>
      </c>
      <c r="G2482" s="4">
        <v>1.0800891335692751</v>
      </c>
      <c r="H2482" s="2">
        <v>25</v>
      </c>
      <c r="I2482" s="2">
        <v>30</v>
      </c>
      <c r="J2482" s="2">
        <v>16</v>
      </c>
      <c r="K2482" s="4">
        <v>2.1731172163072077E-2</v>
      </c>
      <c r="L2482" s="4">
        <v>-0.14496657687319167</v>
      </c>
      <c r="M2482" s="4">
        <v>0.14496657687319167</v>
      </c>
      <c r="N2482" s="10">
        <v>0.14499999999999999</v>
      </c>
      <c r="O2482" s="4">
        <v>0.72383432771085943</v>
      </c>
      <c r="P2482" s="4">
        <v>-0.72</v>
      </c>
      <c r="Q2482" s="3" t="s">
        <v>1617</v>
      </c>
      <c r="R2482" s="3" t="s">
        <v>1618</v>
      </c>
      <c r="S2482" s="3" t="s">
        <v>1619</v>
      </c>
      <c r="T2482" s="3"/>
    </row>
    <row r="2483" spans="1:20">
      <c r="A2483" s="3" t="s">
        <v>1600</v>
      </c>
      <c r="B2483" s="3" t="s">
        <v>1609</v>
      </c>
      <c r="C2483" s="3" t="s">
        <v>1596</v>
      </c>
      <c r="D2483" s="3" t="s">
        <v>1326</v>
      </c>
      <c r="E2483" s="3" t="s">
        <v>1327</v>
      </c>
      <c r="F2483" s="2">
        <v>1</v>
      </c>
      <c r="G2483" s="4">
        <v>1.0800891335692751</v>
      </c>
      <c r="H2483" s="2">
        <v>25</v>
      </c>
      <c r="I2483" s="2">
        <v>5</v>
      </c>
      <c r="J2483" s="2">
        <v>1</v>
      </c>
      <c r="K2483" s="4">
        <v>3.5439212227515782E-2</v>
      </c>
      <c r="L2483" s="4">
        <v>-0.17257335533395507</v>
      </c>
      <c r="M2483" s="4">
        <v>0.17257335533395507</v>
      </c>
      <c r="N2483" s="10">
        <v>0.17299999999999999</v>
      </c>
      <c r="O2483" s="4">
        <v>0.86425656985223598</v>
      </c>
      <c r="P2483" s="4">
        <v>-0.87</v>
      </c>
      <c r="Q2483" s="3" t="s">
        <v>1617</v>
      </c>
      <c r="R2483" s="3" t="s">
        <v>1623</v>
      </c>
      <c r="S2483" s="3" t="s">
        <v>1624</v>
      </c>
      <c r="T2483" s="3"/>
    </row>
    <row r="2484" spans="1:20">
      <c r="A2484" s="3" t="s">
        <v>1600</v>
      </c>
      <c r="B2484" s="3" t="s">
        <v>1609</v>
      </c>
      <c r="C2484" s="3" t="s">
        <v>1616</v>
      </c>
      <c r="D2484" s="3" t="s">
        <v>1326</v>
      </c>
      <c r="E2484" s="3" t="s">
        <v>1327</v>
      </c>
      <c r="F2484" s="2">
        <v>1</v>
      </c>
      <c r="G2484" s="4">
        <v>1.0800891335692751</v>
      </c>
      <c r="H2484" s="2">
        <v>25</v>
      </c>
      <c r="I2484" s="2">
        <v>5</v>
      </c>
      <c r="J2484" s="2">
        <v>16</v>
      </c>
      <c r="K2484" s="4">
        <v>3.7588972739909909E-2</v>
      </c>
      <c r="L2484" s="4">
        <v>-0.26334885144143549</v>
      </c>
      <c r="M2484" s="4">
        <v>0.26334885144143549</v>
      </c>
      <c r="N2484" s="10">
        <v>0.26300000000000001</v>
      </c>
      <c r="O2484" s="4">
        <v>1.3371724206726159</v>
      </c>
      <c r="P2484" s="4">
        <v>-1.34</v>
      </c>
      <c r="Q2484" s="3" t="s">
        <v>1617</v>
      </c>
      <c r="R2484" s="3" t="s">
        <v>1623</v>
      </c>
      <c r="S2484" s="3" t="s">
        <v>1624</v>
      </c>
      <c r="T2484" s="3"/>
    </row>
    <row r="2485" spans="1:20">
      <c r="A2485" s="3" t="s">
        <v>1600</v>
      </c>
      <c r="B2485" s="3" t="s">
        <v>1609</v>
      </c>
      <c r="C2485" s="3" t="s">
        <v>1596</v>
      </c>
      <c r="D2485" s="3" t="s">
        <v>820</v>
      </c>
      <c r="E2485" s="3" t="s">
        <v>821</v>
      </c>
      <c r="F2485" s="2">
        <v>1</v>
      </c>
      <c r="G2485" s="4">
        <v>1.0819221305543492</v>
      </c>
      <c r="H2485" s="2">
        <v>25</v>
      </c>
      <c r="I2485" s="2">
        <v>5</v>
      </c>
      <c r="J2485" s="2">
        <v>1</v>
      </c>
      <c r="K2485" s="11">
        <v>1</v>
      </c>
      <c r="L2485" s="11">
        <v>0.92739527234136776</v>
      </c>
      <c r="M2485" s="4">
        <v>0.92739527234136776</v>
      </c>
      <c r="N2485" s="10">
        <v>0.92700000000000005</v>
      </c>
      <c r="O2485" s="4">
        <v>8.1282756887378138</v>
      </c>
      <c r="P2485" s="4">
        <v>8.11</v>
      </c>
      <c r="Q2485" s="3" t="s">
        <v>1597</v>
      </c>
      <c r="R2485" s="3" t="s">
        <v>1610</v>
      </c>
      <c r="S2485" s="3" t="s">
        <v>1611</v>
      </c>
      <c r="T2485" s="3"/>
    </row>
    <row r="2486" spans="1:20">
      <c r="A2486" s="3" t="s">
        <v>1600</v>
      </c>
      <c r="B2486" s="3" t="s">
        <v>1609</v>
      </c>
      <c r="C2486" s="3" t="s">
        <v>1596</v>
      </c>
      <c r="D2486" s="3" t="s">
        <v>820</v>
      </c>
      <c r="E2486" s="3" t="s">
        <v>821</v>
      </c>
      <c r="F2486" s="2">
        <v>1</v>
      </c>
      <c r="G2486" s="4">
        <v>1.0819221305543492</v>
      </c>
      <c r="H2486" s="2">
        <v>25</v>
      </c>
      <c r="I2486" s="2">
        <v>5</v>
      </c>
      <c r="J2486" s="2">
        <v>16</v>
      </c>
      <c r="K2486" s="4">
        <v>1</v>
      </c>
      <c r="L2486" s="4">
        <v>0.89466139793459187</v>
      </c>
      <c r="M2486" s="4">
        <v>0.89466139793459187</v>
      </c>
      <c r="N2486" s="10">
        <v>0.89500000000000002</v>
      </c>
      <c r="O2486" s="4">
        <v>7.1632648040974614</v>
      </c>
      <c r="P2486" s="4">
        <v>7.17</v>
      </c>
      <c r="Q2486" s="3" t="s">
        <v>1597</v>
      </c>
      <c r="R2486" s="3" t="s">
        <v>1610</v>
      </c>
      <c r="S2486" s="3" t="s">
        <v>1611</v>
      </c>
      <c r="T2486" s="3"/>
    </row>
    <row r="2487" spans="1:20">
      <c r="A2487" s="12" t="s">
        <v>1605</v>
      </c>
      <c r="B2487" s="3" t="s">
        <v>1601</v>
      </c>
      <c r="C2487" s="3" t="s">
        <v>1596</v>
      </c>
      <c r="D2487" s="3" t="s">
        <v>820</v>
      </c>
      <c r="E2487" s="3" t="s">
        <v>821</v>
      </c>
      <c r="F2487" s="2">
        <v>1</v>
      </c>
      <c r="G2487" s="4">
        <v>1.0819221305543492</v>
      </c>
      <c r="H2487" s="2">
        <v>25</v>
      </c>
      <c r="I2487" s="2">
        <v>5</v>
      </c>
      <c r="J2487" s="2">
        <v>16</v>
      </c>
      <c r="K2487" s="11">
        <v>1</v>
      </c>
      <c r="L2487" s="11">
        <v>0.89403120388663448</v>
      </c>
      <c r="M2487" s="4">
        <v>0.89403120388663448</v>
      </c>
      <c r="N2487" s="10">
        <v>0.89400000000000002</v>
      </c>
      <c r="O2487" s="4">
        <v>7.1476537444665285</v>
      </c>
      <c r="P2487" s="4">
        <v>7.15</v>
      </c>
      <c r="Q2487" s="3" t="s">
        <v>1597</v>
      </c>
      <c r="R2487" s="3" t="s">
        <v>1602</v>
      </c>
      <c r="S2487" s="3" t="s">
        <v>1603</v>
      </c>
      <c r="T2487" s="3"/>
    </row>
    <row r="2488" spans="1:20">
      <c r="A2488" s="3" t="s">
        <v>1600</v>
      </c>
      <c r="B2488" s="3" t="s">
        <v>1601</v>
      </c>
      <c r="C2488" s="3" t="s">
        <v>1596</v>
      </c>
      <c r="D2488" s="3" t="s">
        <v>820</v>
      </c>
      <c r="E2488" s="3" t="s">
        <v>821</v>
      </c>
      <c r="F2488" s="2">
        <v>1</v>
      </c>
      <c r="G2488" s="4">
        <v>1.0819221305543492</v>
      </c>
      <c r="H2488" s="2">
        <v>25</v>
      </c>
      <c r="I2488" s="2">
        <v>5</v>
      </c>
      <c r="J2488" s="2">
        <v>16</v>
      </c>
      <c r="K2488" s="4">
        <v>1</v>
      </c>
      <c r="L2488" s="4">
        <v>0.89154956820706077</v>
      </c>
      <c r="M2488" s="4">
        <v>0.89154956820706077</v>
      </c>
      <c r="N2488" s="10">
        <v>0.89200000000000002</v>
      </c>
      <c r="O2488" s="4">
        <v>7.0870190666296997</v>
      </c>
      <c r="P2488" s="4">
        <v>7.1</v>
      </c>
      <c r="Q2488" s="3" t="s">
        <v>1597</v>
      </c>
      <c r="R2488" s="3" t="s">
        <v>1602</v>
      </c>
      <c r="S2488" s="3" t="s">
        <v>1603</v>
      </c>
      <c r="T2488" s="3"/>
    </row>
    <row r="2489" spans="1:20">
      <c r="A2489" s="3" t="s">
        <v>1600</v>
      </c>
      <c r="B2489" s="3" t="s">
        <v>1601</v>
      </c>
      <c r="C2489" s="3" t="s">
        <v>1596</v>
      </c>
      <c r="D2489" s="3" t="s">
        <v>820</v>
      </c>
      <c r="E2489" s="3" t="s">
        <v>821</v>
      </c>
      <c r="F2489" s="2">
        <v>1</v>
      </c>
      <c r="G2489" s="4">
        <v>1.0819221305543492</v>
      </c>
      <c r="H2489" s="2">
        <v>25</v>
      </c>
      <c r="I2489" s="2">
        <v>5</v>
      </c>
      <c r="J2489" s="2">
        <v>1</v>
      </c>
      <c r="K2489" s="4">
        <v>0.96410565627555345</v>
      </c>
      <c r="L2489" s="4">
        <v>0.8660537680028304</v>
      </c>
      <c r="M2489" s="4">
        <v>0.8660537680028304</v>
      </c>
      <c r="N2489" s="10">
        <v>0.86599999999999999</v>
      </c>
      <c r="O2489" s="4">
        <v>6.529955995819039</v>
      </c>
      <c r="P2489" s="4">
        <v>6.53</v>
      </c>
      <c r="Q2489" s="3" t="s">
        <v>1597</v>
      </c>
      <c r="R2489" s="3" t="s">
        <v>1602</v>
      </c>
      <c r="S2489" s="3" t="s">
        <v>1603</v>
      </c>
      <c r="T2489" s="3"/>
    </row>
    <row r="2490" spans="1:20">
      <c r="A2490" s="3" t="s">
        <v>1600</v>
      </c>
      <c r="B2490" s="3" t="s">
        <v>1601</v>
      </c>
      <c r="C2490" s="3" t="s">
        <v>1616</v>
      </c>
      <c r="D2490" s="3" t="s">
        <v>820</v>
      </c>
      <c r="E2490" s="3" t="s">
        <v>821</v>
      </c>
      <c r="F2490" s="2">
        <v>1</v>
      </c>
      <c r="G2490" s="4">
        <v>1.0819221305543492</v>
      </c>
      <c r="H2490" s="2">
        <v>25</v>
      </c>
      <c r="I2490" s="2">
        <v>5</v>
      </c>
      <c r="J2490" s="2">
        <v>1</v>
      </c>
      <c r="K2490" s="4">
        <v>1</v>
      </c>
      <c r="L2490" s="4">
        <v>0.84650517068228504</v>
      </c>
      <c r="M2490" s="4">
        <v>0.84650517068228504</v>
      </c>
      <c r="N2490" s="10">
        <v>0.84699999999999998</v>
      </c>
      <c r="O2490" s="4">
        <v>6.1661436761030135</v>
      </c>
      <c r="P2490" s="4">
        <v>6.17</v>
      </c>
      <c r="Q2490" s="3" t="s">
        <v>1597</v>
      </c>
      <c r="R2490" s="3" t="s">
        <v>1602</v>
      </c>
      <c r="S2490" s="3" t="s">
        <v>1603</v>
      </c>
      <c r="T2490" s="3"/>
    </row>
    <row r="2491" spans="1:20">
      <c r="A2491" s="3" t="s">
        <v>1604</v>
      </c>
      <c r="B2491" s="3" t="s">
        <v>1601</v>
      </c>
      <c r="C2491" s="3" t="s">
        <v>1596</v>
      </c>
      <c r="D2491" s="3" t="s">
        <v>820</v>
      </c>
      <c r="E2491" s="3" t="s">
        <v>821</v>
      </c>
      <c r="F2491" s="2">
        <v>1</v>
      </c>
      <c r="G2491" s="4">
        <v>1.0819221305543492</v>
      </c>
      <c r="H2491" s="2">
        <v>25</v>
      </c>
      <c r="I2491" s="2">
        <v>30</v>
      </c>
      <c r="J2491" s="2">
        <v>16</v>
      </c>
      <c r="K2491" s="4">
        <v>1</v>
      </c>
      <c r="L2491" s="4">
        <v>0.83324721822554948</v>
      </c>
      <c r="M2491" s="4">
        <v>0.83324721822554948</v>
      </c>
      <c r="N2491" s="10">
        <v>0.83299999999999996</v>
      </c>
      <c r="O2491" s="4">
        <v>5.9429090948478063</v>
      </c>
      <c r="P2491" s="4">
        <v>5.94</v>
      </c>
      <c r="Q2491" s="3" t="s">
        <v>1597</v>
      </c>
      <c r="R2491" s="3" t="s">
        <v>1602</v>
      </c>
      <c r="S2491" s="3" t="s">
        <v>1603</v>
      </c>
      <c r="T2491" s="3"/>
    </row>
    <row r="2492" spans="1:20">
      <c r="A2492" s="3" t="s">
        <v>1600</v>
      </c>
      <c r="B2492" s="3" t="s">
        <v>1601</v>
      </c>
      <c r="C2492" s="3" t="s">
        <v>1616</v>
      </c>
      <c r="D2492" s="3" t="s">
        <v>820</v>
      </c>
      <c r="E2492" s="3" t="s">
        <v>821</v>
      </c>
      <c r="F2492" s="2">
        <v>1</v>
      </c>
      <c r="G2492" s="4">
        <v>1.0819221305543492</v>
      </c>
      <c r="H2492" s="2">
        <v>25</v>
      </c>
      <c r="I2492" s="2">
        <v>5</v>
      </c>
      <c r="J2492" s="2">
        <v>16</v>
      </c>
      <c r="K2492" s="4">
        <v>1</v>
      </c>
      <c r="L2492" s="4">
        <v>0.82220213751042603</v>
      </c>
      <c r="M2492" s="4">
        <v>0.82220213751042603</v>
      </c>
      <c r="N2492" s="10">
        <v>0.82199999999999995</v>
      </c>
      <c r="O2492" s="4">
        <v>5.7689399936118253</v>
      </c>
      <c r="P2492" s="4">
        <v>5.77</v>
      </c>
      <c r="Q2492" s="3" t="s">
        <v>1597</v>
      </c>
      <c r="R2492" s="3" t="s">
        <v>1602</v>
      </c>
      <c r="S2492" s="3" t="s">
        <v>1603</v>
      </c>
      <c r="T2492" s="3"/>
    </row>
    <row r="2493" spans="1:20">
      <c r="A2493" s="3" t="s">
        <v>1604</v>
      </c>
      <c r="B2493" s="3" t="s">
        <v>1601</v>
      </c>
      <c r="C2493" s="3" t="s">
        <v>1616</v>
      </c>
      <c r="D2493" s="3" t="s">
        <v>820</v>
      </c>
      <c r="E2493" s="3" t="s">
        <v>821</v>
      </c>
      <c r="F2493" s="2">
        <v>1</v>
      </c>
      <c r="G2493" s="4">
        <v>1.0819221305543492</v>
      </c>
      <c r="H2493" s="2">
        <v>25</v>
      </c>
      <c r="I2493" s="2">
        <v>30</v>
      </c>
      <c r="J2493" s="2">
        <v>16</v>
      </c>
      <c r="K2493" s="4">
        <v>1</v>
      </c>
      <c r="L2493" s="4">
        <v>0.78123224999767793</v>
      </c>
      <c r="M2493" s="4">
        <v>0.78123224999767793</v>
      </c>
      <c r="N2493" s="10">
        <v>0.78100000000000003</v>
      </c>
      <c r="O2493" s="4">
        <v>5.198520246684625</v>
      </c>
      <c r="P2493" s="4">
        <v>5.2</v>
      </c>
      <c r="Q2493" s="3" t="s">
        <v>1597</v>
      </c>
      <c r="R2493" s="3" t="s">
        <v>1602</v>
      </c>
      <c r="S2493" s="3" t="s">
        <v>1603</v>
      </c>
      <c r="T2493" s="3"/>
    </row>
    <row r="2494" spans="1:20">
      <c r="A2494" s="3" t="s">
        <v>1600</v>
      </c>
      <c r="B2494" s="3" t="s">
        <v>1606</v>
      </c>
      <c r="C2494" s="3" t="s">
        <v>1596</v>
      </c>
      <c r="D2494" s="3" t="s">
        <v>820</v>
      </c>
      <c r="E2494" s="3" t="s">
        <v>821</v>
      </c>
      <c r="F2494" s="2">
        <v>1</v>
      </c>
      <c r="G2494" s="4">
        <v>1.0819221305543492</v>
      </c>
      <c r="H2494" s="2">
        <v>25</v>
      </c>
      <c r="I2494" s="2">
        <v>5</v>
      </c>
      <c r="J2494" s="2">
        <v>1</v>
      </c>
      <c r="K2494" s="11">
        <v>1</v>
      </c>
      <c r="L2494" s="11">
        <v>0.52978768683808619</v>
      </c>
      <c r="M2494" s="4">
        <v>0.52978768683808619</v>
      </c>
      <c r="N2494" s="10">
        <v>0.53</v>
      </c>
      <c r="O2494" s="4">
        <v>2.9244385457033144</v>
      </c>
      <c r="P2494" s="4">
        <v>2.93</v>
      </c>
      <c r="Q2494" s="3" t="s">
        <v>1597</v>
      </c>
      <c r="R2494" s="3" t="s">
        <v>1607</v>
      </c>
      <c r="S2494" s="3" t="s">
        <v>1608</v>
      </c>
      <c r="T2494" s="3"/>
    </row>
    <row r="2495" spans="1:20">
      <c r="A2495" s="3" t="s">
        <v>1600</v>
      </c>
      <c r="B2495" s="3" t="s">
        <v>1606</v>
      </c>
      <c r="C2495" s="3" t="s">
        <v>1596</v>
      </c>
      <c r="D2495" s="3" t="s">
        <v>820</v>
      </c>
      <c r="E2495" s="3" t="s">
        <v>821</v>
      </c>
      <c r="F2495" s="2">
        <v>1</v>
      </c>
      <c r="G2495" s="4">
        <v>1.0819221305543492</v>
      </c>
      <c r="H2495" s="2">
        <v>25</v>
      </c>
      <c r="I2495" s="2">
        <v>5</v>
      </c>
      <c r="J2495" s="2">
        <v>16</v>
      </c>
      <c r="K2495" s="11">
        <v>1</v>
      </c>
      <c r="L2495" s="11">
        <v>0.51712316142588555</v>
      </c>
      <c r="M2495" s="4">
        <v>0.51712316142588555</v>
      </c>
      <c r="N2495" s="10">
        <v>0.51700000000000002</v>
      </c>
      <c r="O2495" s="4">
        <v>2.8379464037240956</v>
      </c>
      <c r="P2495" s="4">
        <v>2.84</v>
      </c>
      <c r="Q2495" s="3" t="s">
        <v>1597</v>
      </c>
      <c r="R2495" s="3" t="s">
        <v>1607</v>
      </c>
      <c r="S2495" s="3" t="s">
        <v>1608</v>
      </c>
      <c r="T2495" s="3"/>
    </row>
    <row r="2496" spans="1:20">
      <c r="A2496" s="3" t="s">
        <v>1600</v>
      </c>
      <c r="B2496" s="3" t="s">
        <v>1609</v>
      </c>
      <c r="C2496" s="3" t="s">
        <v>1616</v>
      </c>
      <c r="D2496" s="3" t="s">
        <v>820</v>
      </c>
      <c r="E2496" s="3" t="s">
        <v>821</v>
      </c>
      <c r="F2496" s="2">
        <v>1</v>
      </c>
      <c r="G2496" s="4">
        <v>1.0819221305543492</v>
      </c>
      <c r="H2496" s="2">
        <v>25</v>
      </c>
      <c r="I2496" s="2">
        <v>5</v>
      </c>
      <c r="J2496" s="2">
        <v>1</v>
      </c>
      <c r="K2496" s="4">
        <v>1</v>
      </c>
      <c r="L2496" s="4">
        <v>0.48587641160314599</v>
      </c>
      <c r="M2496" s="4">
        <v>0.48587641160314599</v>
      </c>
      <c r="N2496" s="10">
        <v>0.48599999999999999</v>
      </c>
      <c r="O2496" s="4">
        <v>2.6309199314477412</v>
      </c>
      <c r="P2496" s="4">
        <v>2.63</v>
      </c>
      <c r="Q2496" s="3" t="s">
        <v>1597</v>
      </c>
      <c r="R2496" s="3" t="s">
        <v>1610</v>
      </c>
      <c r="S2496" s="3" t="s">
        <v>1611</v>
      </c>
      <c r="T2496" s="3"/>
    </row>
    <row r="2497" spans="1:20">
      <c r="A2497" s="3" t="s">
        <v>1600</v>
      </c>
      <c r="B2497" s="3" t="s">
        <v>1609</v>
      </c>
      <c r="C2497" s="3" t="s">
        <v>1616</v>
      </c>
      <c r="D2497" s="3" t="s">
        <v>820</v>
      </c>
      <c r="E2497" s="3" t="s">
        <v>821</v>
      </c>
      <c r="F2497" s="2">
        <v>1</v>
      </c>
      <c r="G2497" s="4">
        <v>1.0819221305543492</v>
      </c>
      <c r="H2497" s="2">
        <v>25</v>
      </c>
      <c r="I2497" s="2">
        <v>5</v>
      </c>
      <c r="J2497" s="2">
        <v>16</v>
      </c>
      <c r="K2497" s="11">
        <v>0.97887155673732018</v>
      </c>
      <c r="L2497" s="11">
        <v>0.44093301113067074</v>
      </c>
      <c r="M2497" s="4">
        <v>0.44093301113067074</v>
      </c>
      <c r="N2497" s="10">
        <v>0.441</v>
      </c>
      <c r="O2497" s="4">
        <v>2.3470295664479157</v>
      </c>
      <c r="P2497" s="4">
        <v>2.35</v>
      </c>
      <c r="Q2497" s="3" t="s">
        <v>1597</v>
      </c>
      <c r="R2497" s="3" t="s">
        <v>1610</v>
      </c>
      <c r="S2497" s="3" t="s">
        <v>1611</v>
      </c>
      <c r="T2497" s="3"/>
    </row>
    <row r="2498" spans="1:20">
      <c r="A2498" s="3" t="s">
        <v>1600</v>
      </c>
      <c r="B2498" s="3" t="s">
        <v>1606</v>
      </c>
      <c r="C2498" s="3" t="s">
        <v>1616</v>
      </c>
      <c r="D2498" s="3" t="s">
        <v>820</v>
      </c>
      <c r="E2498" s="3" t="s">
        <v>821</v>
      </c>
      <c r="F2498" s="2">
        <v>1</v>
      </c>
      <c r="G2498" s="4">
        <v>1.0819221305543492</v>
      </c>
      <c r="H2498" s="2">
        <v>25</v>
      </c>
      <c r="I2498" s="2">
        <v>5</v>
      </c>
      <c r="J2498" s="2">
        <v>16</v>
      </c>
      <c r="K2498" s="11">
        <v>1</v>
      </c>
      <c r="L2498" s="11">
        <v>0.37610830421044644</v>
      </c>
      <c r="M2498" s="4">
        <v>0.37610830421044644</v>
      </c>
      <c r="N2498" s="10">
        <v>0.376</v>
      </c>
      <c r="O2498" s="4">
        <v>1.9609578685259139</v>
      </c>
      <c r="P2498" s="4">
        <v>1.96</v>
      </c>
      <c r="Q2498" s="3" t="s">
        <v>1597</v>
      </c>
      <c r="R2498" s="3" t="s">
        <v>1607</v>
      </c>
      <c r="S2498" s="3" t="s">
        <v>1608</v>
      </c>
      <c r="T2498" s="3"/>
    </row>
    <row r="2499" spans="1:20">
      <c r="A2499" s="3" t="s">
        <v>1600</v>
      </c>
      <c r="B2499" s="3" t="s">
        <v>1606</v>
      </c>
      <c r="C2499" s="3" t="s">
        <v>1616</v>
      </c>
      <c r="D2499" s="3" t="s">
        <v>820</v>
      </c>
      <c r="E2499" s="3" t="s">
        <v>821</v>
      </c>
      <c r="F2499" s="2">
        <v>1</v>
      </c>
      <c r="G2499" s="4">
        <v>1.0819221305543492</v>
      </c>
      <c r="H2499" s="2">
        <v>25</v>
      </c>
      <c r="I2499" s="2">
        <v>5</v>
      </c>
      <c r="J2499" s="2">
        <v>1</v>
      </c>
      <c r="K2499" s="4">
        <v>1</v>
      </c>
      <c r="L2499" s="4">
        <v>0.33391350866683994</v>
      </c>
      <c r="M2499" s="4">
        <v>0.33391350866683994</v>
      </c>
      <c r="N2499" s="10">
        <v>0.33400000000000002</v>
      </c>
      <c r="O2499" s="4">
        <v>1.7215265372840145</v>
      </c>
      <c r="P2499" s="4">
        <v>1.72</v>
      </c>
      <c r="Q2499" s="3" t="s">
        <v>1597</v>
      </c>
      <c r="R2499" s="3" t="s">
        <v>1607</v>
      </c>
      <c r="S2499" s="3" t="s">
        <v>1608</v>
      </c>
      <c r="T2499" s="3"/>
    </row>
    <row r="2500" spans="1:20">
      <c r="A2500" s="3" t="s">
        <v>1594</v>
      </c>
      <c r="B2500" s="3" t="s">
        <v>1595</v>
      </c>
      <c r="C2500" s="3" t="s">
        <v>1596</v>
      </c>
      <c r="D2500" s="3" t="s">
        <v>820</v>
      </c>
      <c r="E2500" s="3" t="s">
        <v>821</v>
      </c>
      <c r="F2500" s="2">
        <v>1</v>
      </c>
      <c r="G2500" s="4">
        <v>1.0819221305543492</v>
      </c>
      <c r="H2500" s="2">
        <v>50</v>
      </c>
      <c r="I2500" s="2">
        <v>5</v>
      </c>
      <c r="J2500" s="2">
        <v>16</v>
      </c>
      <c r="K2500" s="4">
        <v>1</v>
      </c>
      <c r="L2500" s="14">
        <v>0.27508345791932914</v>
      </c>
      <c r="M2500" s="4">
        <v>0.27508345791932914</v>
      </c>
      <c r="N2500" s="10">
        <v>0.27500000000000002</v>
      </c>
      <c r="O2500" s="4">
        <v>1.5172811682101657</v>
      </c>
      <c r="P2500" s="4">
        <v>1.52</v>
      </c>
      <c r="Q2500" s="3" t="s">
        <v>1597</v>
      </c>
      <c r="R2500" s="3" t="s">
        <v>1598</v>
      </c>
      <c r="S2500" s="3" t="s">
        <v>1599</v>
      </c>
      <c r="T2500" s="3"/>
    </row>
    <row r="2501" spans="1:20">
      <c r="A2501" s="3" t="s">
        <v>1594</v>
      </c>
      <c r="B2501" s="3" t="s">
        <v>1612</v>
      </c>
      <c r="C2501" s="3" t="s">
        <v>1596</v>
      </c>
      <c r="D2501" s="3" t="s">
        <v>820</v>
      </c>
      <c r="E2501" s="3" t="s">
        <v>821</v>
      </c>
      <c r="F2501" s="2">
        <v>1</v>
      </c>
      <c r="G2501" s="4">
        <v>1.0819221305543492</v>
      </c>
      <c r="H2501" s="2">
        <v>50</v>
      </c>
      <c r="I2501" s="2">
        <v>5</v>
      </c>
      <c r="J2501" s="2">
        <v>16</v>
      </c>
      <c r="K2501" s="4">
        <v>0.9830823264129458</v>
      </c>
      <c r="L2501" s="14">
        <v>-0.40936066524872322</v>
      </c>
      <c r="M2501" s="4">
        <v>0.40936066524872322</v>
      </c>
      <c r="N2501" s="10">
        <v>0.40899999999999997</v>
      </c>
      <c r="O2501" s="4">
        <v>2.3366987086198536</v>
      </c>
      <c r="P2501" s="4">
        <v>-2.33</v>
      </c>
      <c r="Q2501" s="3" t="s">
        <v>1617</v>
      </c>
      <c r="R2501" s="3" t="s">
        <v>1627</v>
      </c>
      <c r="S2501" s="3" t="s">
        <v>1628</v>
      </c>
      <c r="T2501" s="3"/>
    </row>
    <row r="2502" spans="1:20">
      <c r="A2502" s="3" t="s">
        <v>1600</v>
      </c>
      <c r="B2502" s="3" t="s">
        <v>1606</v>
      </c>
      <c r="C2502" s="3" t="s">
        <v>1596</v>
      </c>
      <c r="D2502" s="3" t="s">
        <v>1212</v>
      </c>
      <c r="E2502" s="3" t="s">
        <v>1213</v>
      </c>
      <c r="F2502" s="2">
        <v>1</v>
      </c>
      <c r="G2502" s="4">
        <v>1.0828389679079409</v>
      </c>
      <c r="H2502" s="2">
        <v>25</v>
      </c>
      <c r="I2502" s="2">
        <v>5</v>
      </c>
      <c r="J2502" s="2">
        <v>16</v>
      </c>
      <c r="K2502" s="4">
        <v>9.630957838191001E-2</v>
      </c>
      <c r="L2502" s="4">
        <v>0.41574681089088877</v>
      </c>
      <c r="M2502" s="4">
        <v>0.41574681089088877</v>
      </c>
      <c r="N2502" s="10">
        <v>0.41599999999999998</v>
      </c>
      <c r="O2502" s="4">
        <v>2.1940802452791819</v>
      </c>
      <c r="P2502" s="4">
        <v>2.2000000000000002</v>
      </c>
      <c r="Q2502" s="3" t="s">
        <v>1597</v>
      </c>
      <c r="R2502" s="3" t="s">
        <v>1607</v>
      </c>
      <c r="S2502" s="3" t="s">
        <v>1608</v>
      </c>
      <c r="T2502" s="3"/>
    </row>
    <row r="2503" spans="1:20">
      <c r="A2503" s="3" t="s">
        <v>1600</v>
      </c>
      <c r="B2503" s="3" t="s">
        <v>1606</v>
      </c>
      <c r="C2503" s="3" t="s">
        <v>1616</v>
      </c>
      <c r="D2503" s="3" t="s">
        <v>1212</v>
      </c>
      <c r="E2503" s="3" t="s">
        <v>1213</v>
      </c>
      <c r="F2503" s="2">
        <v>1</v>
      </c>
      <c r="G2503" s="4">
        <v>1.0828389679079409</v>
      </c>
      <c r="H2503" s="2">
        <v>25</v>
      </c>
      <c r="I2503" s="2">
        <v>5</v>
      </c>
      <c r="J2503" s="2">
        <v>16</v>
      </c>
      <c r="K2503" s="4">
        <v>0.14357642511919277</v>
      </c>
      <c r="L2503" s="4">
        <v>0.37937602994162506</v>
      </c>
      <c r="M2503" s="4">
        <v>0.37937602994162506</v>
      </c>
      <c r="N2503" s="10">
        <v>0.379</v>
      </c>
      <c r="O2503" s="4">
        <v>1.9798555695138789</v>
      </c>
      <c r="P2503" s="4">
        <v>1.98</v>
      </c>
      <c r="Q2503" s="3" t="s">
        <v>1597</v>
      </c>
      <c r="R2503" s="3" t="s">
        <v>1607</v>
      </c>
      <c r="S2503" s="3" t="s">
        <v>1608</v>
      </c>
      <c r="T2503" s="3"/>
    </row>
    <row r="2504" spans="1:20">
      <c r="A2504" s="3" t="s">
        <v>1600</v>
      </c>
      <c r="B2504" s="3" t="s">
        <v>1609</v>
      </c>
      <c r="C2504" s="3" t="s">
        <v>1616</v>
      </c>
      <c r="D2504" s="3" t="s">
        <v>1212</v>
      </c>
      <c r="E2504" s="3" t="s">
        <v>1213</v>
      </c>
      <c r="F2504" s="2">
        <v>1</v>
      </c>
      <c r="G2504" s="4">
        <v>1.0828389679079409</v>
      </c>
      <c r="H2504" s="2">
        <v>25</v>
      </c>
      <c r="I2504" s="2">
        <v>5</v>
      </c>
      <c r="J2504" s="2">
        <v>16</v>
      </c>
      <c r="K2504" s="4">
        <v>0.19965463766033442</v>
      </c>
      <c r="L2504" s="4">
        <v>0.24703206473220626</v>
      </c>
      <c r="M2504" s="4">
        <v>0.24703206473220626</v>
      </c>
      <c r="N2504" s="10">
        <v>0.247</v>
      </c>
      <c r="O2504" s="4">
        <v>1.2506370015124491</v>
      </c>
      <c r="P2504" s="4">
        <v>1.25</v>
      </c>
      <c r="Q2504" s="3" t="s">
        <v>1597</v>
      </c>
      <c r="R2504" s="3" t="s">
        <v>1610</v>
      </c>
      <c r="S2504" s="3" t="s">
        <v>1611</v>
      </c>
      <c r="T2504" s="3"/>
    </row>
    <row r="2505" spans="1:20">
      <c r="A2505" s="3" t="s">
        <v>1600</v>
      </c>
      <c r="B2505" s="3" t="s">
        <v>1609</v>
      </c>
      <c r="C2505" s="3" t="s">
        <v>1616</v>
      </c>
      <c r="D2505" s="3" t="s">
        <v>1212</v>
      </c>
      <c r="E2505" s="3" t="s">
        <v>1213</v>
      </c>
      <c r="F2505" s="2">
        <v>1</v>
      </c>
      <c r="G2505" s="4">
        <v>1.0828389679079409</v>
      </c>
      <c r="H2505" s="2">
        <v>25</v>
      </c>
      <c r="I2505" s="2">
        <v>5</v>
      </c>
      <c r="J2505" s="2">
        <v>1</v>
      </c>
      <c r="K2505" s="4">
        <v>3.7448816597326462E-2</v>
      </c>
      <c r="L2505" s="4">
        <v>0.17518517277206158</v>
      </c>
      <c r="M2505" s="4">
        <v>0.17518517277206158</v>
      </c>
      <c r="N2505" s="10">
        <v>0.17499999999999999</v>
      </c>
      <c r="O2505" s="4">
        <v>0.87760951595758308</v>
      </c>
      <c r="P2505" s="4">
        <v>0.88</v>
      </c>
      <c r="Q2505" s="3" t="s">
        <v>1597</v>
      </c>
      <c r="R2505" s="3" t="s">
        <v>1610</v>
      </c>
      <c r="S2505" s="3" t="s">
        <v>1611</v>
      </c>
      <c r="T2505" s="3"/>
    </row>
    <row r="2506" spans="1:20">
      <c r="A2506" s="3" t="s">
        <v>1604</v>
      </c>
      <c r="B2506" s="3" t="s">
        <v>1601</v>
      </c>
      <c r="C2506" s="3" t="s">
        <v>1616</v>
      </c>
      <c r="D2506" s="3" t="s">
        <v>1212</v>
      </c>
      <c r="E2506" s="3" t="s">
        <v>1213</v>
      </c>
      <c r="F2506" s="2">
        <v>1</v>
      </c>
      <c r="G2506" s="4">
        <v>1.0828389679079409</v>
      </c>
      <c r="H2506" s="2">
        <v>25</v>
      </c>
      <c r="I2506" s="2">
        <v>30</v>
      </c>
      <c r="J2506" s="2">
        <v>16</v>
      </c>
      <c r="K2506" s="4">
        <v>0.62005357070208311</v>
      </c>
      <c r="L2506" s="4">
        <v>0.14640664409326104</v>
      </c>
      <c r="M2506" s="4">
        <v>0.14640664409326104</v>
      </c>
      <c r="N2506" s="10">
        <v>0.14599999999999999</v>
      </c>
      <c r="O2506" s="4">
        <v>0.73112891531769608</v>
      </c>
      <c r="P2506" s="4">
        <v>0.73</v>
      </c>
      <c r="Q2506" s="3" t="s">
        <v>1597</v>
      </c>
      <c r="R2506" s="3" t="s">
        <v>1602</v>
      </c>
      <c r="S2506" s="3" t="s">
        <v>1603</v>
      </c>
      <c r="T2506" s="3"/>
    </row>
    <row r="2507" spans="1:20">
      <c r="A2507" s="3" t="s">
        <v>1600</v>
      </c>
      <c r="B2507" s="3" t="s">
        <v>1601</v>
      </c>
      <c r="C2507" s="3" t="s">
        <v>1616</v>
      </c>
      <c r="D2507" s="3" t="s">
        <v>1212</v>
      </c>
      <c r="E2507" s="3" t="s">
        <v>1213</v>
      </c>
      <c r="F2507" s="2">
        <v>1</v>
      </c>
      <c r="G2507" s="4">
        <v>1.0828389679079409</v>
      </c>
      <c r="H2507" s="2">
        <v>25</v>
      </c>
      <c r="I2507" s="2">
        <v>5</v>
      </c>
      <c r="J2507" s="2">
        <v>16</v>
      </c>
      <c r="K2507" s="4">
        <v>0.22188769282543697</v>
      </c>
      <c r="L2507" s="4">
        <v>0.11883787808475683</v>
      </c>
      <c r="M2507" s="4">
        <v>0.11883787808475683</v>
      </c>
      <c r="N2507" s="10">
        <v>0.11899999999999999</v>
      </c>
      <c r="O2507" s="4">
        <v>0.59198798063590496</v>
      </c>
      <c r="P2507" s="4">
        <v>0.59</v>
      </c>
      <c r="Q2507" s="3" t="s">
        <v>1597</v>
      </c>
      <c r="R2507" s="3" t="s">
        <v>1602</v>
      </c>
      <c r="S2507" s="3" t="s">
        <v>1603</v>
      </c>
      <c r="T2507" s="3"/>
    </row>
    <row r="2508" spans="1:20">
      <c r="A2508" s="3" t="s">
        <v>1594</v>
      </c>
      <c r="B2508" s="3" t="s">
        <v>1612</v>
      </c>
      <c r="C2508" s="3" t="s">
        <v>1596</v>
      </c>
      <c r="D2508" s="3" t="s">
        <v>1212</v>
      </c>
      <c r="E2508" s="3" t="s">
        <v>1213</v>
      </c>
      <c r="F2508" s="2">
        <v>1</v>
      </c>
      <c r="G2508" s="4">
        <v>1.0828389679079409</v>
      </c>
      <c r="H2508" s="2">
        <v>50</v>
      </c>
      <c r="I2508" s="2">
        <v>5</v>
      </c>
      <c r="J2508" s="2">
        <v>16</v>
      </c>
      <c r="K2508" s="4">
        <v>0.52983767813748173</v>
      </c>
      <c r="L2508" s="4">
        <v>7.361037620748917E-2</v>
      </c>
      <c r="M2508" s="4">
        <v>7.361037620748917E-2</v>
      </c>
      <c r="N2508" s="10">
        <v>7.3999999999999996E-2</v>
      </c>
      <c r="O2508" s="4">
        <v>0.39627400596548634</v>
      </c>
      <c r="P2508" s="4">
        <v>0.4</v>
      </c>
      <c r="Q2508" s="3" t="s">
        <v>1597</v>
      </c>
      <c r="R2508" s="3" t="s">
        <v>1613</v>
      </c>
      <c r="S2508" s="3" t="s">
        <v>1614</v>
      </c>
      <c r="T2508" s="3"/>
    </row>
    <row r="2509" spans="1:20">
      <c r="A2509" s="3" t="s">
        <v>1594</v>
      </c>
      <c r="B2509" s="3" t="s">
        <v>1595</v>
      </c>
      <c r="C2509" s="3" t="s">
        <v>1596</v>
      </c>
      <c r="D2509" s="3" t="s">
        <v>1212</v>
      </c>
      <c r="E2509" s="3" t="s">
        <v>1213</v>
      </c>
      <c r="F2509" s="2">
        <v>1</v>
      </c>
      <c r="G2509" s="4">
        <v>1.0828389679079409</v>
      </c>
      <c r="H2509" s="2">
        <v>50</v>
      </c>
      <c r="I2509" s="2">
        <v>5</v>
      </c>
      <c r="J2509" s="2">
        <v>16</v>
      </c>
      <c r="K2509" s="4">
        <v>1</v>
      </c>
      <c r="L2509" s="4">
        <v>1.3509648414742427E-2</v>
      </c>
      <c r="M2509" s="4">
        <v>1.3509648414742427E-2</v>
      </c>
      <c r="N2509" s="10">
        <v>1.4E-2</v>
      </c>
      <c r="O2509" s="4">
        <v>7.2600692552033372E-2</v>
      </c>
      <c r="P2509" s="4">
        <v>0.08</v>
      </c>
      <c r="Q2509" s="3" t="s">
        <v>1597</v>
      </c>
      <c r="R2509" s="3" t="s">
        <v>1598</v>
      </c>
      <c r="S2509" s="3" t="s">
        <v>1599</v>
      </c>
      <c r="T2509" s="3"/>
    </row>
    <row r="2510" spans="1:20">
      <c r="A2510" s="3" t="s">
        <v>1600</v>
      </c>
      <c r="B2510" s="3" t="s">
        <v>1601</v>
      </c>
      <c r="C2510" s="3" t="s">
        <v>1596</v>
      </c>
      <c r="D2510" s="3" t="s">
        <v>1212</v>
      </c>
      <c r="E2510" s="3" t="s">
        <v>1213</v>
      </c>
      <c r="F2510" s="2">
        <v>1</v>
      </c>
      <c r="G2510" s="4">
        <v>1.0828389679079409</v>
      </c>
      <c r="H2510" s="2">
        <v>25</v>
      </c>
      <c r="I2510" s="2">
        <v>5</v>
      </c>
      <c r="J2510" s="2">
        <v>1</v>
      </c>
      <c r="K2510" s="4">
        <v>0</v>
      </c>
      <c r="L2510" s="4">
        <v>0</v>
      </c>
      <c r="M2510" s="4">
        <v>0</v>
      </c>
      <c r="N2510" s="10">
        <v>0</v>
      </c>
      <c r="O2510" s="4">
        <v>0</v>
      </c>
      <c r="P2510" s="4">
        <v>0</v>
      </c>
      <c r="Q2510" s="3" t="s">
        <v>1617</v>
      </c>
      <c r="R2510" s="3" t="s">
        <v>1618</v>
      </c>
      <c r="S2510" s="3" t="s">
        <v>1619</v>
      </c>
      <c r="T2510" s="3"/>
    </row>
    <row r="2511" spans="1:20">
      <c r="A2511" s="3" t="s">
        <v>1600</v>
      </c>
      <c r="B2511" s="3" t="s">
        <v>1606</v>
      </c>
      <c r="C2511" s="3" t="s">
        <v>1596</v>
      </c>
      <c r="D2511" s="3" t="s">
        <v>1212</v>
      </c>
      <c r="E2511" s="3" t="s">
        <v>1213</v>
      </c>
      <c r="F2511" s="2">
        <v>1</v>
      </c>
      <c r="G2511" s="4">
        <v>1.0828389679079409</v>
      </c>
      <c r="H2511" s="2">
        <v>25</v>
      </c>
      <c r="I2511" s="2">
        <v>5</v>
      </c>
      <c r="J2511" s="2">
        <v>1</v>
      </c>
      <c r="K2511" s="4">
        <v>0</v>
      </c>
      <c r="L2511" s="4">
        <v>0</v>
      </c>
      <c r="M2511" s="4">
        <v>0</v>
      </c>
      <c r="N2511" s="10">
        <v>0</v>
      </c>
      <c r="O2511" s="4">
        <v>0</v>
      </c>
      <c r="P2511" s="4">
        <v>0</v>
      </c>
      <c r="Q2511" s="3" t="s">
        <v>1617</v>
      </c>
      <c r="R2511" s="3" t="s">
        <v>1621</v>
      </c>
      <c r="S2511" s="3" t="s">
        <v>1622</v>
      </c>
      <c r="T2511" s="3"/>
    </row>
    <row r="2512" spans="1:20">
      <c r="A2512" s="3" t="s">
        <v>1600</v>
      </c>
      <c r="B2512" s="3" t="s">
        <v>1606</v>
      </c>
      <c r="C2512" s="3" t="s">
        <v>1616</v>
      </c>
      <c r="D2512" s="3" t="s">
        <v>1212</v>
      </c>
      <c r="E2512" s="3" t="s">
        <v>1213</v>
      </c>
      <c r="F2512" s="2">
        <v>1</v>
      </c>
      <c r="G2512" s="4">
        <v>1.0828389679079409</v>
      </c>
      <c r="H2512" s="2">
        <v>25</v>
      </c>
      <c r="I2512" s="2">
        <v>5</v>
      </c>
      <c r="J2512" s="2">
        <v>1</v>
      </c>
      <c r="K2512" s="4">
        <v>0</v>
      </c>
      <c r="L2512" s="4">
        <v>0</v>
      </c>
      <c r="M2512" s="4">
        <v>0</v>
      </c>
      <c r="N2512" s="10">
        <v>0</v>
      </c>
      <c r="O2512" s="4">
        <v>0</v>
      </c>
      <c r="P2512" s="4">
        <v>0</v>
      </c>
      <c r="Q2512" s="3" t="s">
        <v>1617</v>
      </c>
      <c r="R2512" s="3" t="s">
        <v>1621</v>
      </c>
      <c r="S2512" s="3" t="s">
        <v>1622</v>
      </c>
      <c r="T2512" s="3"/>
    </row>
    <row r="2513" spans="1:20">
      <c r="A2513" s="3" t="s">
        <v>1605</v>
      </c>
      <c r="B2513" s="3" t="s">
        <v>1601</v>
      </c>
      <c r="C2513" s="3" t="s">
        <v>1596</v>
      </c>
      <c r="D2513" s="3" t="s">
        <v>1212</v>
      </c>
      <c r="E2513" s="3" t="s">
        <v>1213</v>
      </c>
      <c r="F2513" s="2">
        <v>1</v>
      </c>
      <c r="G2513" s="4">
        <v>1.0828389679079409</v>
      </c>
      <c r="H2513" s="2">
        <v>25</v>
      </c>
      <c r="I2513" s="2">
        <v>5</v>
      </c>
      <c r="J2513" s="2">
        <v>16</v>
      </c>
      <c r="K2513" s="4">
        <v>0.16610224889075953</v>
      </c>
      <c r="L2513" s="4">
        <v>-9.0768102300366974E-3</v>
      </c>
      <c r="M2513" s="4">
        <v>9.0768102300366974E-3</v>
      </c>
      <c r="N2513" s="10">
        <v>8.9999999999999993E-3</v>
      </c>
      <c r="O2513" s="4">
        <v>4.5003483331627153E-2</v>
      </c>
      <c r="P2513" s="4">
        <v>-0.04</v>
      </c>
      <c r="Q2513" s="3" t="s">
        <v>1617</v>
      </c>
      <c r="R2513" s="3" t="s">
        <v>1618</v>
      </c>
      <c r="S2513" s="3" t="s">
        <v>1619</v>
      </c>
      <c r="T2513" s="3"/>
    </row>
    <row r="2514" spans="1:20">
      <c r="A2514" s="3" t="s">
        <v>1604</v>
      </c>
      <c r="B2514" s="3" t="s">
        <v>1601</v>
      </c>
      <c r="C2514" s="3" t="s">
        <v>1596</v>
      </c>
      <c r="D2514" s="3" t="s">
        <v>1212</v>
      </c>
      <c r="E2514" s="3" t="s">
        <v>1213</v>
      </c>
      <c r="F2514" s="2">
        <v>1</v>
      </c>
      <c r="G2514" s="4">
        <v>1.0828389679079409</v>
      </c>
      <c r="H2514" s="2">
        <v>25</v>
      </c>
      <c r="I2514" s="2">
        <v>30</v>
      </c>
      <c r="J2514" s="2">
        <v>16</v>
      </c>
      <c r="K2514" s="4">
        <v>0.58967204337340917</v>
      </c>
      <c r="L2514" s="4">
        <v>-1.0170036691078887E-2</v>
      </c>
      <c r="M2514" s="4">
        <v>1.0170036691078887E-2</v>
      </c>
      <c r="N2514" s="10">
        <v>0.01</v>
      </c>
      <c r="O2514" s="4">
        <v>5.0424133089567974E-2</v>
      </c>
      <c r="P2514" s="4">
        <v>-0.05</v>
      </c>
      <c r="Q2514" s="3" t="s">
        <v>1617</v>
      </c>
      <c r="R2514" s="3" t="s">
        <v>1618</v>
      </c>
      <c r="S2514" s="3" t="s">
        <v>1619</v>
      </c>
      <c r="T2514" s="3"/>
    </row>
    <row r="2515" spans="1:20">
      <c r="A2515" s="3" t="s">
        <v>1600</v>
      </c>
      <c r="B2515" s="3" t="s">
        <v>1609</v>
      </c>
      <c r="C2515" s="3" t="s">
        <v>1596</v>
      </c>
      <c r="D2515" s="3" t="s">
        <v>1212</v>
      </c>
      <c r="E2515" s="3" t="s">
        <v>1213</v>
      </c>
      <c r="F2515" s="2">
        <v>1</v>
      </c>
      <c r="G2515" s="4">
        <v>1.0828389679079409</v>
      </c>
      <c r="H2515" s="2">
        <v>25</v>
      </c>
      <c r="I2515" s="2">
        <v>5</v>
      </c>
      <c r="J2515" s="2">
        <v>16</v>
      </c>
      <c r="K2515" s="4">
        <v>0.27498577536402369</v>
      </c>
      <c r="L2515" s="4">
        <v>-3.011963013444318E-2</v>
      </c>
      <c r="M2515" s="4">
        <v>3.011963013444318E-2</v>
      </c>
      <c r="N2515" s="10">
        <v>0.03</v>
      </c>
      <c r="O2515" s="4">
        <v>0.14937639105325173</v>
      </c>
      <c r="P2515" s="4">
        <v>-0.15</v>
      </c>
      <c r="Q2515" s="3" t="s">
        <v>1617</v>
      </c>
      <c r="R2515" s="3" t="s">
        <v>1623</v>
      </c>
      <c r="S2515" s="3" t="s">
        <v>1624</v>
      </c>
      <c r="T2515" s="3"/>
    </row>
    <row r="2516" spans="1:20">
      <c r="A2516" s="3" t="s">
        <v>1594</v>
      </c>
      <c r="B2516" s="3" t="s">
        <v>1595</v>
      </c>
      <c r="C2516" s="3" t="s">
        <v>1596</v>
      </c>
      <c r="D2516" s="3" t="s">
        <v>1212</v>
      </c>
      <c r="E2516" s="3" t="s">
        <v>1213</v>
      </c>
      <c r="F2516" s="2">
        <v>1</v>
      </c>
      <c r="G2516" s="4">
        <v>1.0828389679079409</v>
      </c>
      <c r="H2516" s="2">
        <v>25</v>
      </c>
      <c r="I2516" s="2">
        <v>5</v>
      </c>
      <c r="J2516" s="2">
        <v>16</v>
      </c>
      <c r="K2516" s="4">
        <v>0.11315570998374702</v>
      </c>
      <c r="L2516" s="4">
        <v>-3.7848322505819591E-2</v>
      </c>
      <c r="M2516" s="4">
        <v>3.7848322505819591E-2</v>
      </c>
      <c r="N2516" s="10">
        <v>3.7999999999999999E-2</v>
      </c>
      <c r="O2516" s="4">
        <v>0.18773925342114189</v>
      </c>
      <c r="P2516" s="4">
        <v>-0.19</v>
      </c>
      <c r="Q2516" s="3" t="s">
        <v>1617</v>
      </c>
      <c r="R2516" s="3" t="s">
        <v>1625</v>
      </c>
      <c r="S2516" s="3" t="s">
        <v>1626</v>
      </c>
      <c r="T2516" s="3"/>
    </row>
    <row r="2517" spans="1:20">
      <c r="A2517" s="3" t="s">
        <v>1600</v>
      </c>
      <c r="B2517" s="3" t="s">
        <v>1601</v>
      </c>
      <c r="C2517" s="3" t="s">
        <v>1596</v>
      </c>
      <c r="D2517" s="3" t="s">
        <v>1212</v>
      </c>
      <c r="E2517" s="3" t="s">
        <v>1213</v>
      </c>
      <c r="F2517" s="2">
        <v>1</v>
      </c>
      <c r="G2517" s="4">
        <v>1.0828389679079409</v>
      </c>
      <c r="H2517" s="2">
        <v>25</v>
      </c>
      <c r="I2517" s="2">
        <v>5</v>
      </c>
      <c r="J2517" s="2">
        <v>16</v>
      </c>
      <c r="K2517" s="4">
        <v>0.13370507359047801</v>
      </c>
      <c r="L2517" s="4">
        <v>-5.1605315636872123E-2</v>
      </c>
      <c r="M2517" s="4">
        <v>5.1605315636872123E-2</v>
      </c>
      <c r="N2517" s="10">
        <v>5.1999999999999998E-2</v>
      </c>
      <c r="O2517" s="4">
        <v>0.256083357844199</v>
      </c>
      <c r="P2517" s="4">
        <v>-0.26</v>
      </c>
      <c r="Q2517" s="3" t="s">
        <v>1617</v>
      </c>
      <c r="R2517" s="3" t="s">
        <v>1618</v>
      </c>
      <c r="S2517" s="3" t="s">
        <v>1619</v>
      </c>
      <c r="T2517" s="3"/>
    </row>
    <row r="2518" spans="1:20">
      <c r="A2518" s="3" t="s">
        <v>1600</v>
      </c>
      <c r="B2518" s="3" t="s">
        <v>1601</v>
      </c>
      <c r="C2518" s="3" t="s">
        <v>1616</v>
      </c>
      <c r="D2518" s="3" t="s">
        <v>1212</v>
      </c>
      <c r="E2518" s="3" t="s">
        <v>1213</v>
      </c>
      <c r="F2518" s="2">
        <v>1</v>
      </c>
      <c r="G2518" s="4">
        <v>1.0828389679079409</v>
      </c>
      <c r="H2518" s="2">
        <v>25</v>
      </c>
      <c r="I2518" s="2">
        <v>5</v>
      </c>
      <c r="J2518" s="2">
        <v>1</v>
      </c>
      <c r="K2518" s="4">
        <v>4.396322564974231E-2</v>
      </c>
      <c r="L2518" s="4">
        <v>-7.9515124555160147E-2</v>
      </c>
      <c r="M2518" s="4">
        <v>7.9515124555160147E-2</v>
      </c>
      <c r="N2518" s="10">
        <v>0.08</v>
      </c>
      <c r="O2518" s="4">
        <v>0.39506495471477732</v>
      </c>
      <c r="P2518" s="4">
        <v>-0.4</v>
      </c>
      <c r="Q2518" s="3" t="s">
        <v>1617</v>
      </c>
      <c r="R2518" s="3" t="s">
        <v>1618</v>
      </c>
      <c r="S2518" s="3" t="s">
        <v>1619</v>
      </c>
      <c r="T2518" s="3"/>
    </row>
    <row r="2519" spans="1:20">
      <c r="A2519" s="3" t="s">
        <v>1600</v>
      </c>
      <c r="B2519" s="3" t="s">
        <v>1609</v>
      </c>
      <c r="C2519" s="3" t="s">
        <v>1596</v>
      </c>
      <c r="D2519" s="3" t="s">
        <v>1212</v>
      </c>
      <c r="E2519" s="3" t="s">
        <v>1213</v>
      </c>
      <c r="F2519" s="2">
        <v>1</v>
      </c>
      <c r="G2519" s="4">
        <v>1.0828389679079409</v>
      </c>
      <c r="H2519" s="2">
        <v>25</v>
      </c>
      <c r="I2519" s="2">
        <v>5</v>
      </c>
      <c r="J2519" s="2">
        <v>1</v>
      </c>
      <c r="K2519" s="4">
        <v>5.4315549939389363E-2</v>
      </c>
      <c r="L2519" s="4">
        <v>-0.11965980712278831</v>
      </c>
      <c r="M2519" s="4">
        <v>0.11965980712278831</v>
      </c>
      <c r="N2519" s="10">
        <v>0.12</v>
      </c>
      <c r="O2519" s="4">
        <v>0.59612183736369917</v>
      </c>
      <c r="P2519" s="4">
        <v>-0.6</v>
      </c>
      <c r="Q2519" s="3" t="s">
        <v>1617</v>
      </c>
      <c r="R2519" s="3" t="s">
        <v>1623</v>
      </c>
      <c r="S2519" s="3" t="s">
        <v>1624</v>
      </c>
      <c r="T2519" s="3"/>
    </row>
    <row r="2520" spans="1:20">
      <c r="A2520" s="3" t="s">
        <v>1600</v>
      </c>
      <c r="B2520" s="3" t="s">
        <v>1609</v>
      </c>
      <c r="C2520" s="3" t="s">
        <v>1616</v>
      </c>
      <c r="D2520" s="3" t="s">
        <v>112</v>
      </c>
      <c r="E2520" s="3" t="s">
        <v>113</v>
      </c>
      <c r="F2520" s="2">
        <v>1</v>
      </c>
      <c r="G2520" s="4">
        <v>1.0834816899251516</v>
      </c>
      <c r="H2520" s="2">
        <v>25</v>
      </c>
      <c r="I2520" s="2">
        <v>5</v>
      </c>
      <c r="J2520" s="2">
        <v>1</v>
      </c>
      <c r="K2520" s="4">
        <v>0.80722497858945652</v>
      </c>
      <c r="L2520" s="4">
        <v>0.79905041593959369</v>
      </c>
      <c r="M2520" s="4">
        <v>0.79905041593959369</v>
      </c>
      <c r="N2520" s="10">
        <v>0.79900000000000004</v>
      </c>
      <c r="O2520" s="4">
        <v>5.43379959390872</v>
      </c>
      <c r="P2520" s="4">
        <v>5.43</v>
      </c>
      <c r="Q2520" s="3" t="s">
        <v>1597</v>
      </c>
      <c r="R2520" s="3" t="s">
        <v>1610</v>
      </c>
      <c r="S2520" s="3" t="s">
        <v>1611</v>
      </c>
      <c r="T2520" s="3"/>
    </row>
    <row r="2521" spans="1:20">
      <c r="A2521" s="3" t="s">
        <v>1600</v>
      </c>
      <c r="B2521" s="3" t="s">
        <v>1609</v>
      </c>
      <c r="C2521" s="3" t="s">
        <v>1616</v>
      </c>
      <c r="D2521" s="3" t="s">
        <v>112</v>
      </c>
      <c r="E2521" s="3" t="s">
        <v>113</v>
      </c>
      <c r="F2521" s="2">
        <v>1</v>
      </c>
      <c r="G2521" s="4">
        <v>1.0834816899251516</v>
      </c>
      <c r="H2521" s="2">
        <v>25</v>
      </c>
      <c r="I2521" s="2">
        <v>5</v>
      </c>
      <c r="J2521" s="2">
        <v>16</v>
      </c>
      <c r="K2521" s="11">
        <v>1</v>
      </c>
      <c r="L2521" s="11">
        <v>0.76467107123273448</v>
      </c>
      <c r="M2521" s="4">
        <v>0.76467107123273448</v>
      </c>
      <c r="N2521" s="10">
        <v>0.76500000000000001</v>
      </c>
      <c r="O2521" s="4">
        <v>4.9944648328561581</v>
      </c>
      <c r="P2521" s="4">
        <v>5</v>
      </c>
      <c r="Q2521" s="3" t="s">
        <v>1597</v>
      </c>
      <c r="R2521" s="3" t="s">
        <v>1610</v>
      </c>
      <c r="S2521" s="3" t="s">
        <v>1611</v>
      </c>
      <c r="T2521" s="3"/>
    </row>
    <row r="2522" spans="1:20">
      <c r="A2522" s="3" t="s">
        <v>1600</v>
      </c>
      <c r="B2522" s="3" t="s">
        <v>1606</v>
      </c>
      <c r="C2522" s="3" t="s">
        <v>1596</v>
      </c>
      <c r="D2522" s="3" t="s">
        <v>112</v>
      </c>
      <c r="E2522" s="3" t="s">
        <v>113</v>
      </c>
      <c r="F2522" s="2">
        <v>1</v>
      </c>
      <c r="G2522" s="4">
        <v>1.0834816899251516</v>
      </c>
      <c r="H2522" s="2">
        <v>25</v>
      </c>
      <c r="I2522" s="2">
        <v>5</v>
      </c>
      <c r="J2522" s="2">
        <v>16</v>
      </c>
      <c r="K2522" s="11">
        <v>1</v>
      </c>
      <c r="L2522" s="11">
        <v>0.64685629749176254</v>
      </c>
      <c r="M2522" s="4">
        <v>0.64685629749176254</v>
      </c>
      <c r="N2522" s="10">
        <v>0.64700000000000002</v>
      </c>
      <c r="O2522" s="4">
        <v>3.8169873107310788</v>
      </c>
      <c r="P2522" s="4">
        <v>3.82</v>
      </c>
      <c r="Q2522" s="3" t="s">
        <v>1597</v>
      </c>
      <c r="R2522" s="3" t="s">
        <v>1607</v>
      </c>
      <c r="S2522" s="3" t="s">
        <v>1608</v>
      </c>
      <c r="T2522" s="3"/>
    </row>
    <row r="2523" spans="1:20">
      <c r="A2523" s="3" t="s">
        <v>1600</v>
      </c>
      <c r="B2523" s="3" t="s">
        <v>1601</v>
      </c>
      <c r="C2523" s="3" t="s">
        <v>1616</v>
      </c>
      <c r="D2523" s="3" t="s">
        <v>112</v>
      </c>
      <c r="E2523" s="3" t="s">
        <v>113</v>
      </c>
      <c r="F2523" s="2">
        <v>1</v>
      </c>
      <c r="G2523" s="4">
        <v>1.0834816899251516</v>
      </c>
      <c r="H2523" s="2">
        <v>25</v>
      </c>
      <c r="I2523" s="2">
        <v>5</v>
      </c>
      <c r="J2523" s="2">
        <v>1</v>
      </c>
      <c r="K2523" s="4">
        <v>0.61775365433419416</v>
      </c>
      <c r="L2523" s="4">
        <v>0.64036048661490941</v>
      </c>
      <c r="M2523" s="4">
        <v>0.64036048661490941</v>
      </c>
      <c r="N2523" s="10">
        <v>0.64</v>
      </c>
      <c r="O2523" s="4">
        <v>3.7620055704866324</v>
      </c>
      <c r="P2523" s="4">
        <v>3.76</v>
      </c>
      <c r="Q2523" s="3" t="s">
        <v>1597</v>
      </c>
      <c r="R2523" s="3" t="s">
        <v>1602</v>
      </c>
      <c r="S2523" s="3" t="s">
        <v>1603</v>
      </c>
      <c r="T2523" s="3"/>
    </row>
    <row r="2524" spans="1:20">
      <c r="A2524" s="3" t="s">
        <v>1600</v>
      </c>
      <c r="B2524" s="3" t="s">
        <v>1606</v>
      </c>
      <c r="C2524" s="3" t="s">
        <v>1596</v>
      </c>
      <c r="D2524" s="3" t="s">
        <v>112</v>
      </c>
      <c r="E2524" s="3" t="s">
        <v>113</v>
      </c>
      <c r="F2524" s="2">
        <v>1</v>
      </c>
      <c r="G2524" s="4">
        <v>1.0834816899251516</v>
      </c>
      <c r="H2524" s="2">
        <v>25</v>
      </c>
      <c r="I2524" s="2">
        <v>5</v>
      </c>
      <c r="J2524" s="2">
        <v>1</v>
      </c>
      <c r="K2524" s="11">
        <v>0.83582480322432762</v>
      </c>
      <c r="L2524" s="11">
        <v>0.63009645313760909</v>
      </c>
      <c r="M2524" s="4">
        <v>0.63009645313760909</v>
      </c>
      <c r="N2524" s="10">
        <v>0.63</v>
      </c>
      <c r="O2524" s="4">
        <v>3.6766870485776062</v>
      </c>
      <c r="P2524" s="4">
        <v>3.68</v>
      </c>
      <c r="Q2524" s="3" t="s">
        <v>1597</v>
      </c>
      <c r="R2524" s="3" t="s">
        <v>1607</v>
      </c>
      <c r="S2524" s="3" t="s">
        <v>1608</v>
      </c>
      <c r="T2524" s="3"/>
    </row>
    <row r="2525" spans="1:20">
      <c r="A2525" s="3" t="s">
        <v>1600</v>
      </c>
      <c r="B2525" s="3" t="s">
        <v>1609</v>
      </c>
      <c r="C2525" s="3" t="s">
        <v>1596</v>
      </c>
      <c r="D2525" s="3" t="s">
        <v>112</v>
      </c>
      <c r="E2525" s="3" t="s">
        <v>113</v>
      </c>
      <c r="F2525" s="2">
        <v>1</v>
      </c>
      <c r="G2525" s="4">
        <v>1.0834816899251516</v>
      </c>
      <c r="H2525" s="2">
        <v>25</v>
      </c>
      <c r="I2525" s="2">
        <v>5</v>
      </c>
      <c r="J2525" s="2">
        <v>16</v>
      </c>
      <c r="K2525" s="4">
        <v>1</v>
      </c>
      <c r="L2525" s="4">
        <v>0.62232511057260254</v>
      </c>
      <c r="M2525" s="4">
        <v>0.62232511057260254</v>
      </c>
      <c r="N2525" s="10">
        <v>0.622</v>
      </c>
      <c r="O2525" s="4">
        <v>3.6132991624290192</v>
      </c>
      <c r="P2525" s="4">
        <v>3.61</v>
      </c>
      <c r="Q2525" s="3" t="s">
        <v>1597</v>
      </c>
      <c r="R2525" s="3" t="s">
        <v>1610</v>
      </c>
      <c r="S2525" s="3" t="s">
        <v>1611</v>
      </c>
      <c r="T2525" s="3"/>
    </row>
    <row r="2526" spans="1:20">
      <c r="A2526" s="3" t="s">
        <v>1600</v>
      </c>
      <c r="B2526" s="3" t="s">
        <v>1601</v>
      </c>
      <c r="C2526" s="3" t="s">
        <v>1616</v>
      </c>
      <c r="D2526" s="3" t="s">
        <v>112</v>
      </c>
      <c r="E2526" s="3" t="s">
        <v>113</v>
      </c>
      <c r="F2526" s="2">
        <v>1</v>
      </c>
      <c r="G2526" s="4">
        <v>1.0834816899251516</v>
      </c>
      <c r="H2526" s="2">
        <v>25</v>
      </c>
      <c r="I2526" s="2">
        <v>5</v>
      </c>
      <c r="J2526" s="2">
        <v>16</v>
      </c>
      <c r="K2526" s="4">
        <v>1</v>
      </c>
      <c r="L2526" s="4">
        <v>0.58728650803083693</v>
      </c>
      <c r="M2526" s="4">
        <v>0.58728650803083693</v>
      </c>
      <c r="N2526" s="10">
        <v>0.58699999999999997</v>
      </c>
      <c r="O2526" s="4">
        <v>3.3392385770661863</v>
      </c>
      <c r="P2526" s="4">
        <v>3.34</v>
      </c>
      <c r="Q2526" s="3" t="s">
        <v>1597</v>
      </c>
      <c r="R2526" s="3" t="s">
        <v>1602</v>
      </c>
      <c r="S2526" s="3" t="s">
        <v>1603</v>
      </c>
      <c r="T2526" s="3"/>
    </row>
    <row r="2527" spans="1:20">
      <c r="A2527" s="3" t="s">
        <v>1600</v>
      </c>
      <c r="B2527" s="3" t="s">
        <v>1601</v>
      </c>
      <c r="C2527" s="3" t="s">
        <v>1596</v>
      </c>
      <c r="D2527" s="3" t="s">
        <v>112</v>
      </c>
      <c r="E2527" s="3" t="s">
        <v>113</v>
      </c>
      <c r="F2527" s="2">
        <v>1</v>
      </c>
      <c r="G2527" s="4">
        <v>1.0834816899251516</v>
      </c>
      <c r="H2527" s="2">
        <v>25</v>
      </c>
      <c r="I2527" s="2">
        <v>5</v>
      </c>
      <c r="J2527" s="2">
        <v>1</v>
      </c>
      <c r="K2527" s="4">
        <v>0.8316946397342464</v>
      </c>
      <c r="L2527" s="4">
        <v>0.58417646121400046</v>
      </c>
      <c r="M2527" s="4">
        <v>0.58417646121400046</v>
      </c>
      <c r="N2527" s="10">
        <v>0.58399999999999996</v>
      </c>
      <c r="O2527" s="4">
        <v>3.3157661530073064</v>
      </c>
      <c r="P2527" s="4">
        <v>3.31</v>
      </c>
      <c r="Q2527" s="3" t="s">
        <v>1597</v>
      </c>
      <c r="R2527" s="3" t="s">
        <v>1602</v>
      </c>
      <c r="S2527" s="3" t="s">
        <v>1603</v>
      </c>
      <c r="T2527" s="3"/>
    </row>
    <row r="2528" spans="1:20">
      <c r="A2528" s="3" t="s">
        <v>1600</v>
      </c>
      <c r="B2528" s="3" t="s">
        <v>1609</v>
      </c>
      <c r="C2528" s="3" t="s">
        <v>1596</v>
      </c>
      <c r="D2528" s="3" t="s">
        <v>112</v>
      </c>
      <c r="E2528" s="3" t="s">
        <v>113</v>
      </c>
      <c r="F2528" s="2">
        <v>1</v>
      </c>
      <c r="G2528" s="4">
        <v>1.0834816899251516</v>
      </c>
      <c r="H2528" s="2">
        <v>25</v>
      </c>
      <c r="I2528" s="2">
        <v>5</v>
      </c>
      <c r="J2528" s="2">
        <v>1</v>
      </c>
      <c r="K2528" s="11">
        <v>1</v>
      </c>
      <c r="L2528" s="11">
        <v>0.57546523276501915</v>
      </c>
      <c r="M2528" s="4">
        <v>0.57546523276501915</v>
      </c>
      <c r="N2528" s="10">
        <v>0.57499999999999996</v>
      </c>
      <c r="O2528" s="4">
        <v>3.2507006894991535</v>
      </c>
      <c r="P2528" s="4">
        <v>3.25</v>
      </c>
      <c r="Q2528" s="3" t="s">
        <v>1597</v>
      </c>
      <c r="R2528" s="3" t="s">
        <v>1610</v>
      </c>
      <c r="S2528" s="3" t="s">
        <v>1611</v>
      </c>
      <c r="T2528" s="3"/>
    </row>
    <row r="2529" spans="1:20">
      <c r="A2529" s="3" t="s">
        <v>1600</v>
      </c>
      <c r="B2529" s="3" t="s">
        <v>1601</v>
      </c>
      <c r="C2529" s="3" t="s">
        <v>1596</v>
      </c>
      <c r="D2529" s="3" t="s">
        <v>112</v>
      </c>
      <c r="E2529" s="3" t="s">
        <v>113</v>
      </c>
      <c r="F2529" s="2">
        <v>1</v>
      </c>
      <c r="G2529" s="4">
        <v>1.0834816899251516</v>
      </c>
      <c r="H2529" s="2">
        <v>25</v>
      </c>
      <c r="I2529" s="2">
        <v>5</v>
      </c>
      <c r="J2529" s="2">
        <v>16</v>
      </c>
      <c r="K2529" s="4">
        <v>1</v>
      </c>
      <c r="L2529" s="4">
        <v>0.57263346824085881</v>
      </c>
      <c r="M2529" s="4">
        <v>0.57263346824085881</v>
      </c>
      <c r="N2529" s="10">
        <v>0.57299999999999995</v>
      </c>
      <c r="O2529" s="4">
        <v>3.2297604454809643</v>
      </c>
      <c r="P2529" s="4">
        <v>3.23</v>
      </c>
      <c r="Q2529" s="3" t="s">
        <v>1597</v>
      </c>
      <c r="R2529" s="3" t="s">
        <v>1602</v>
      </c>
      <c r="S2529" s="3" t="s">
        <v>1603</v>
      </c>
      <c r="T2529" s="3"/>
    </row>
    <row r="2530" spans="1:20">
      <c r="A2530" s="12" t="s">
        <v>1605</v>
      </c>
      <c r="B2530" s="3" t="s">
        <v>1601</v>
      </c>
      <c r="C2530" s="3" t="s">
        <v>1596</v>
      </c>
      <c r="D2530" s="3" t="s">
        <v>112</v>
      </c>
      <c r="E2530" s="3" t="s">
        <v>113</v>
      </c>
      <c r="F2530" s="2">
        <v>1</v>
      </c>
      <c r="G2530" s="4">
        <v>1.0834816899251516</v>
      </c>
      <c r="H2530" s="2">
        <v>25</v>
      </c>
      <c r="I2530" s="2">
        <v>5</v>
      </c>
      <c r="J2530" s="2">
        <v>16</v>
      </c>
      <c r="K2530" s="11">
        <v>1</v>
      </c>
      <c r="L2530" s="11">
        <v>0.55035307601440964</v>
      </c>
      <c r="M2530" s="4">
        <v>0.55035307601440964</v>
      </c>
      <c r="N2530" s="10">
        <v>0.55000000000000004</v>
      </c>
      <c r="O2530" s="4">
        <v>3.0684056100193637</v>
      </c>
      <c r="P2530" s="4">
        <v>3.07</v>
      </c>
      <c r="Q2530" s="3" t="s">
        <v>1597</v>
      </c>
      <c r="R2530" s="3" t="s">
        <v>1602</v>
      </c>
      <c r="S2530" s="3" t="s">
        <v>1603</v>
      </c>
      <c r="T2530" s="3"/>
    </row>
    <row r="2531" spans="1:20">
      <c r="A2531" s="3" t="s">
        <v>1604</v>
      </c>
      <c r="B2531" s="3" t="s">
        <v>1601</v>
      </c>
      <c r="C2531" s="3" t="s">
        <v>1616</v>
      </c>
      <c r="D2531" s="3" t="s">
        <v>112</v>
      </c>
      <c r="E2531" s="3" t="s">
        <v>113</v>
      </c>
      <c r="F2531" s="2">
        <v>1</v>
      </c>
      <c r="G2531" s="4">
        <v>1.0834816899251516</v>
      </c>
      <c r="H2531" s="2">
        <v>25</v>
      </c>
      <c r="I2531" s="2">
        <v>30</v>
      </c>
      <c r="J2531" s="2">
        <v>16</v>
      </c>
      <c r="K2531" s="4">
        <v>1</v>
      </c>
      <c r="L2531" s="4">
        <v>0.4435188206419779</v>
      </c>
      <c r="M2531" s="4">
        <v>0.4435188206419779</v>
      </c>
      <c r="N2531" s="10">
        <v>0.44400000000000001</v>
      </c>
      <c r="O2531" s="4">
        <v>2.3629665616490971</v>
      </c>
      <c r="P2531" s="4">
        <v>2.37</v>
      </c>
      <c r="Q2531" s="3" t="s">
        <v>1597</v>
      </c>
      <c r="R2531" s="3" t="s">
        <v>1602</v>
      </c>
      <c r="S2531" s="3" t="s">
        <v>1603</v>
      </c>
      <c r="T2531" s="3"/>
    </row>
    <row r="2532" spans="1:20">
      <c r="A2532" s="3" t="s">
        <v>1604</v>
      </c>
      <c r="B2532" s="3" t="s">
        <v>1601</v>
      </c>
      <c r="C2532" s="3" t="s">
        <v>1596</v>
      </c>
      <c r="D2532" s="3" t="s">
        <v>112</v>
      </c>
      <c r="E2532" s="3" t="s">
        <v>113</v>
      </c>
      <c r="F2532" s="2">
        <v>1</v>
      </c>
      <c r="G2532" s="4">
        <v>1.0834816899251516</v>
      </c>
      <c r="H2532" s="2">
        <v>25</v>
      </c>
      <c r="I2532" s="2">
        <v>30</v>
      </c>
      <c r="J2532" s="2">
        <v>16</v>
      </c>
      <c r="K2532" s="4">
        <v>1</v>
      </c>
      <c r="L2532" s="4">
        <v>0.43887803372534184</v>
      </c>
      <c r="M2532" s="4">
        <v>0.43887803372534184</v>
      </c>
      <c r="N2532" s="10">
        <v>0.439</v>
      </c>
      <c r="O2532" s="4">
        <v>2.3343963748866128</v>
      </c>
      <c r="P2532" s="4">
        <v>2.34</v>
      </c>
      <c r="Q2532" s="3" t="s">
        <v>1597</v>
      </c>
      <c r="R2532" s="3" t="s">
        <v>1602</v>
      </c>
      <c r="S2532" s="3" t="s">
        <v>1603</v>
      </c>
      <c r="T2532" s="3"/>
    </row>
    <row r="2533" spans="1:20">
      <c r="A2533" s="3" t="s">
        <v>1600</v>
      </c>
      <c r="B2533" s="3" t="s">
        <v>1606</v>
      </c>
      <c r="C2533" s="3" t="s">
        <v>1616</v>
      </c>
      <c r="D2533" s="3" t="s">
        <v>112</v>
      </c>
      <c r="E2533" s="3" t="s">
        <v>113</v>
      </c>
      <c r="F2533" s="2">
        <v>1</v>
      </c>
      <c r="G2533" s="4">
        <v>1.0834816899251516</v>
      </c>
      <c r="H2533" s="2">
        <v>25</v>
      </c>
      <c r="I2533" s="2">
        <v>5</v>
      </c>
      <c r="J2533" s="2">
        <v>1</v>
      </c>
      <c r="K2533" s="4">
        <v>0.69785123739893873</v>
      </c>
      <c r="L2533" s="4">
        <v>0.3171554538807364</v>
      </c>
      <c r="M2533" s="4">
        <v>0.3171554538807364</v>
      </c>
      <c r="N2533" s="10">
        <v>0.317</v>
      </c>
      <c r="O2533" s="4">
        <v>1.6285891345745465</v>
      </c>
      <c r="P2533" s="4">
        <v>1.63</v>
      </c>
      <c r="Q2533" s="3" t="s">
        <v>1597</v>
      </c>
      <c r="R2533" s="3" t="s">
        <v>1607</v>
      </c>
      <c r="S2533" s="3" t="s">
        <v>1608</v>
      </c>
      <c r="T2533" s="3"/>
    </row>
    <row r="2534" spans="1:20">
      <c r="A2534" s="3" t="s">
        <v>1600</v>
      </c>
      <c r="B2534" s="3" t="s">
        <v>1606</v>
      </c>
      <c r="C2534" s="3" t="s">
        <v>1616</v>
      </c>
      <c r="D2534" s="3" t="s">
        <v>112</v>
      </c>
      <c r="E2534" s="3" t="s">
        <v>113</v>
      </c>
      <c r="F2534" s="2">
        <v>1</v>
      </c>
      <c r="G2534" s="4">
        <v>1.0834816899251516</v>
      </c>
      <c r="H2534" s="2">
        <v>25</v>
      </c>
      <c r="I2534" s="2">
        <v>5</v>
      </c>
      <c r="J2534" s="2">
        <v>16</v>
      </c>
      <c r="K2534" s="11">
        <v>1</v>
      </c>
      <c r="L2534" s="11">
        <v>0.31053157547183885</v>
      </c>
      <c r="M2534" s="4">
        <v>0.31053157547183885</v>
      </c>
      <c r="N2534" s="10">
        <v>0.311</v>
      </c>
      <c r="O2534" s="4">
        <v>1.5921599864352256</v>
      </c>
      <c r="P2534" s="4">
        <v>1.59</v>
      </c>
      <c r="Q2534" s="3" t="s">
        <v>1597</v>
      </c>
      <c r="R2534" s="3" t="s">
        <v>1607</v>
      </c>
      <c r="S2534" s="3" t="s">
        <v>1608</v>
      </c>
      <c r="T2534" s="3"/>
    </row>
    <row r="2535" spans="1:20">
      <c r="A2535" s="3" t="s">
        <v>1594</v>
      </c>
      <c r="B2535" s="3" t="s">
        <v>1595</v>
      </c>
      <c r="C2535" s="3" t="s">
        <v>1596</v>
      </c>
      <c r="D2535" s="3" t="s">
        <v>112</v>
      </c>
      <c r="E2535" s="3" t="s">
        <v>113</v>
      </c>
      <c r="F2535" s="2">
        <v>1</v>
      </c>
      <c r="G2535" s="4">
        <v>1.0834816899251516</v>
      </c>
      <c r="H2535" s="2">
        <v>50</v>
      </c>
      <c r="I2535" s="2">
        <v>5</v>
      </c>
      <c r="J2535" s="2">
        <v>16</v>
      </c>
      <c r="K2535" s="4">
        <v>1</v>
      </c>
      <c r="L2535" s="14">
        <v>0.28401341178340794</v>
      </c>
      <c r="M2535" s="4">
        <v>0.28401341178340794</v>
      </c>
      <c r="N2535" s="10">
        <v>0.28399999999999997</v>
      </c>
      <c r="O2535" s="4">
        <v>1.5693361359841371</v>
      </c>
      <c r="P2535" s="4">
        <v>1.57</v>
      </c>
      <c r="Q2535" s="3" t="s">
        <v>1597</v>
      </c>
      <c r="R2535" s="3" t="s">
        <v>1598</v>
      </c>
      <c r="S2535" s="3" t="s">
        <v>1599</v>
      </c>
      <c r="T2535" s="3"/>
    </row>
    <row r="2536" spans="1:20">
      <c r="A2536" s="3" t="s">
        <v>1594</v>
      </c>
      <c r="B2536" s="3" t="s">
        <v>1612</v>
      </c>
      <c r="C2536" s="3" t="s">
        <v>1596</v>
      </c>
      <c r="D2536" s="3" t="s">
        <v>112</v>
      </c>
      <c r="E2536" s="3" t="s">
        <v>113</v>
      </c>
      <c r="F2536" s="2">
        <v>1</v>
      </c>
      <c r="G2536" s="4">
        <v>1.0834816899251516</v>
      </c>
      <c r="H2536" s="2">
        <v>50</v>
      </c>
      <c r="I2536" s="2">
        <v>5</v>
      </c>
      <c r="J2536" s="2">
        <v>16</v>
      </c>
      <c r="K2536" s="4">
        <v>1</v>
      </c>
      <c r="L2536" s="14">
        <v>-0.30443732768808113</v>
      </c>
      <c r="M2536" s="4">
        <v>0.30443732768808113</v>
      </c>
      <c r="N2536" s="10">
        <v>0.30399999999999999</v>
      </c>
      <c r="O2536" s="4">
        <v>1.6894950930271502</v>
      </c>
      <c r="P2536" s="4">
        <v>-1.69</v>
      </c>
      <c r="Q2536" s="3" t="s">
        <v>1617</v>
      </c>
      <c r="R2536" s="3" t="s">
        <v>1627</v>
      </c>
      <c r="S2536" s="3" t="s">
        <v>1628</v>
      </c>
      <c r="T2536" s="3"/>
    </row>
    <row r="2537" spans="1:20">
      <c r="A2537" s="3" t="s">
        <v>1600</v>
      </c>
      <c r="B2537" s="3" t="s">
        <v>1606</v>
      </c>
      <c r="C2537" s="3" t="s">
        <v>1596</v>
      </c>
      <c r="D2537" s="3" t="s">
        <v>598</v>
      </c>
      <c r="E2537" s="3" t="s">
        <v>599</v>
      </c>
      <c r="F2537" s="2">
        <v>1</v>
      </c>
      <c r="G2537" s="4">
        <v>1.0836923880402141</v>
      </c>
      <c r="H2537" s="2">
        <v>25</v>
      </c>
      <c r="I2537" s="2">
        <v>5</v>
      </c>
      <c r="J2537" s="2">
        <v>1</v>
      </c>
      <c r="K2537" s="11">
        <v>1</v>
      </c>
      <c r="L2537" s="11">
        <v>1</v>
      </c>
      <c r="M2537" s="4">
        <v>1</v>
      </c>
      <c r="N2537" s="10">
        <v>0.995</v>
      </c>
      <c r="O2537" s="4">
        <v>14.85</v>
      </c>
      <c r="P2537" s="4">
        <v>14.85</v>
      </c>
      <c r="Q2537" s="3" t="s">
        <v>1597</v>
      </c>
      <c r="R2537" s="3" t="s">
        <v>1607</v>
      </c>
      <c r="S2537" s="3" t="s">
        <v>1608</v>
      </c>
      <c r="T2537" s="3"/>
    </row>
    <row r="2538" spans="1:20">
      <c r="A2538" s="3" t="s">
        <v>1600</v>
      </c>
      <c r="B2538" s="3" t="s">
        <v>1606</v>
      </c>
      <c r="C2538" s="3" t="s">
        <v>1596</v>
      </c>
      <c r="D2538" s="3" t="s">
        <v>598</v>
      </c>
      <c r="E2538" s="3" t="s">
        <v>599</v>
      </c>
      <c r="F2538" s="2">
        <v>1</v>
      </c>
      <c r="G2538" s="4">
        <v>1.0836923880402141</v>
      </c>
      <c r="H2538" s="2">
        <v>25</v>
      </c>
      <c r="I2538" s="2">
        <v>5</v>
      </c>
      <c r="J2538" s="2">
        <v>16</v>
      </c>
      <c r="K2538" s="11">
        <v>1</v>
      </c>
      <c r="L2538" s="11">
        <v>1</v>
      </c>
      <c r="M2538" s="4">
        <v>1</v>
      </c>
      <c r="N2538" s="10">
        <v>0.995</v>
      </c>
      <c r="O2538" s="4">
        <v>14.85</v>
      </c>
      <c r="P2538" s="4">
        <v>14.85</v>
      </c>
      <c r="Q2538" s="3" t="s">
        <v>1597</v>
      </c>
      <c r="R2538" s="3" t="s">
        <v>1607</v>
      </c>
      <c r="S2538" s="3" t="s">
        <v>1608</v>
      </c>
      <c r="T2538" s="3"/>
    </row>
    <row r="2539" spans="1:20">
      <c r="A2539" s="3" t="s">
        <v>1600</v>
      </c>
      <c r="B2539" s="3" t="s">
        <v>1606</v>
      </c>
      <c r="C2539" s="3" t="s">
        <v>1616</v>
      </c>
      <c r="D2539" s="3" t="s">
        <v>598</v>
      </c>
      <c r="E2539" s="3" t="s">
        <v>599</v>
      </c>
      <c r="F2539" s="2">
        <v>1</v>
      </c>
      <c r="G2539" s="4">
        <v>1.0836923880402141</v>
      </c>
      <c r="H2539" s="2">
        <v>25</v>
      </c>
      <c r="I2539" s="2">
        <v>5</v>
      </c>
      <c r="J2539" s="2">
        <v>1</v>
      </c>
      <c r="K2539" s="4">
        <v>1</v>
      </c>
      <c r="L2539" s="4">
        <v>1</v>
      </c>
      <c r="M2539" s="4">
        <v>1</v>
      </c>
      <c r="N2539" s="10">
        <v>0.995</v>
      </c>
      <c r="O2539" s="4">
        <v>14.85</v>
      </c>
      <c r="P2539" s="4">
        <v>14.85</v>
      </c>
      <c r="Q2539" s="3" t="s">
        <v>1597</v>
      </c>
      <c r="R2539" s="3" t="s">
        <v>1607</v>
      </c>
      <c r="S2539" s="3" t="s">
        <v>1608</v>
      </c>
      <c r="T2539" s="3"/>
    </row>
    <row r="2540" spans="1:20">
      <c r="A2540" s="3" t="s">
        <v>1600</v>
      </c>
      <c r="B2540" s="3" t="s">
        <v>1606</v>
      </c>
      <c r="C2540" s="3" t="s">
        <v>1616</v>
      </c>
      <c r="D2540" s="3" t="s">
        <v>598</v>
      </c>
      <c r="E2540" s="3" t="s">
        <v>599</v>
      </c>
      <c r="F2540" s="2">
        <v>1</v>
      </c>
      <c r="G2540" s="4">
        <v>1.0836923880402141</v>
      </c>
      <c r="H2540" s="2">
        <v>25</v>
      </c>
      <c r="I2540" s="2">
        <v>5</v>
      </c>
      <c r="J2540" s="2">
        <v>16</v>
      </c>
      <c r="K2540" s="11">
        <v>1</v>
      </c>
      <c r="L2540" s="11">
        <v>1</v>
      </c>
      <c r="M2540" s="4">
        <v>1</v>
      </c>
      <c r="N2540" s="10">
        <v>0.995</v>
      </c>
      <c r="O2540" s="4">
        <v>14.85</v>
      </c>
      <c r="P2540" s="4">
        <v>14.85</v>
      </c>
      <c r="Q2540" s="3" t="s">
        <v>1597</v>
      </c>
      <c r="R2540" s="3" t="s">
        <v>1607</v>
      </c>
      <c r="S2540" s="3" t="s">
        <v>1608</v>
      </c>
      <c r="T2540" s="3"/>
    </row>
    <row r="2541" spans="1:20">
      <c r="A2541" s="3" t="s">
        <v>1600</v>
      </c>
      <c r="B2541" s="3" t="s">
        <v>1601</v>
      </c>
      <c r="C2541" s="3" t="s">
        <v>1616</v>
      </c>
      <c r="D2541" s="3" t="s">
        <v>598</v>
      </c>
      <c r="E2541" s="3" t="s">
        <v>599</v>
      </c>
      <c r="F2541" s="2">
        <v>1</v>
      </c>
      <c r="G2541" s="4">
        <v>1.0836923880402141</v>
      </c>
      <c r="H2541" s="2">
        <v>25</v>
      </c>
      <c r="I2541" s="2">
        <v>5</v>
      </c>
      <c r="J2541" s="2">
        <v>1</v>
      </c>
      <c r="K2541" s="4">
        <v>1</v>
      </c>
      <c r="L2541" s="4">
        <v>0.97172846037036842</v>
      </c>
      <c r="M2541" s="4">
        <v>0.97172846037036842</v>
      </c>
      <c r="N2541" s="10">
        <v>0.97199999999999998</v>
      </c>
      <c r="O2541" s="4">
        <v>10.522749385470989</v>
      </c>
      <c r="P2541" s="4">
        <v>10.55</v>
      </c>
      <c r="Q2541" s="3" t="s">
        <v>1597</v>
      </c>
      <c r="R2541" s="3" t="s">
        <v>1602</v>
      </c>
      <c r="S2541" s="3" t="s">
        <v>1603</v>
      </c>
      <c r="T2541" s="3"/>
    </row>
    <row r="2542" spans="1:20">
      <c r="A2542" s="3" t="s">
        <v>1600</v>
      </c>
      <c r="B2542" s="3" t="s">
        <v>1601</v>
      </c>
      <c r="C2542" s="3" t="s">
        <v>1596</v>
      </c>
      <c r="D2542" s="3" t="s">
        <v>598</v>
      </c>
      <c r="E2542" s="3" t="s">
        <v>599</v>
      </c>
      <c r="F2542" s="2">
        <v>1</v>
      </c>
      <c r="G2542" s="4">
        <v>1.0836923880402141</v>
      </c>
      <c r="H2542" s="2">
        <v>25</v>
      </c>
      <c r="I2542" s="2">
        <v>5</v>
      </c>
      <c r="J2542" s="2">
        <v>16</v>
      </c>
      <c r="K2542" s="4">
        <v>1</v>
      </c>
      <c r="L2542" s="4">
        <v>0.97056474716889252</v>
      </c>
      <c r="M2542" s="4">
        <v>0.97056474716889252</v>
      </c>
      <c r="N2542" s="10">
        <v>0.97099999999999997</v>
      </c>
      <c r="O2542" s="4">
        <v>10.421290736629688</v>
      </c>
      <c r="P2542" s="4">
        <v>10.46</v>
      </c>
      <c r="Q2542" s="3" t="s">
        <v>1597</v>
      </c>
      <c r="R2542" s="3" t="s">
        <v>1602</v>
      </c>
      <c r="S2542" s="3" t="s">
        <v>1603</v>
      </c>
      <c r="T2542" s="3"/>
    </row>
    <row r="2543" spans="1:20">
      <c r="A2543" s="3" t="s">
        <v>1600</v>
      </c>
      <c r="B2543" s="3" t="s">
        <v>1601</v>
      </c>
      <c r="C2543" s="3" t="s">
        <v>1596</v>
      </c>
      <c r="D2543" s="3" t="s">
        <v>598</v>
      </c>
      <c r="E2543" s="3" t="s">
        <v>599</v>
      </c>
      <c r="F2543" s="2">
        <v>1</v>
      </c>
      <c r="G2543" s="4">
        <v>1.0836923880402141</v>
      </c>
      <c r="H2543" s="2">
        <v>25</v>
      </c>
      <c r="I2543" s="2">
        <v>5</v>
      </c>
      <c r="J2543" s="2">
        <v>1</v>
      </c>
      <c r="K2543" s="4">
        <v>0.51204379954262724</v>
      </c>
      <c r="L2543" s="4">
        <v>0.95629988808917832</v>
      </c>
      <c r="M2543" s="4">
        <v>0.95629988808917832</v>
      </c>
      <c r="N2543" s="10">
        <v>0.95599999999999996</v>
      </c>
      <c r="O2543" s="4">
        <v>9.4236971013894681</v>
      </c>
      <c r="P2543" s="4">
        <v>9.41</v>
      </c>
      <c r="Q2543" s="3" t="s">
        <v>1597</v>
      </c>
      <c r="R2543" s="3" t="s">
        <v>1602</v>
      </c>
      <c r="S2543" s="3" t="s">
        <v>1603</v>
      </c>
      <c r="T2543" s="3"/>
    </row>
    <row r="2544" spans="1:20">
      <c r="A2544" s="3" t="s">
        <v>1600</v>
      </c>
      <c r="B2544" s="3" t="s">
        <v>1601</v>
      </c>
      <c r="C2544" s="3" t="s">
        <v>1616</v>
      </c>
      <c r="D2544" s="3" t="s">
        <v>598</v>
      </c>
      <c r="E2544" s="3" t="s">
        <v>599</v>
      </c>
      <c r="F2544" s="2">
        <v>1</v>
      </c>
      <c r="G2544" s="4">
        <v>1.0836923880402141</v>
      </c>
      <c r="H2544" s="2">
        <v>25</v>
      </c>
      <c r="I2544" s="2">
        <v>5</v>
      </c>
      <c r="J2544" s="2">
        <v>16</v>
      </c>
      <c r="K2544" s="4">
        <v>1</v>
      </c>
      <c r="L2544" s="4">
        <v>0.95579434529920881</v>
      </c>
      <c r="M2544" s="4">
        <v>0.95579434529920881</v>
      </c>
      <c r="N2544" s="10">
        <v>0.95599999999999996</v>
      </c>
      <c r="O2544" s="4">
        <v>9.3945431873521024</v>
      </c>
      <c r="P2544" s="4">
        <v>9.41</v>
      </c>
      <c r="Q2544" s="3" t="s">
        <v>1597</v>
      </c>
      <c r="R2544" s="3" t="s">
        <v>1602</v>
      </c>
      <c r="S2544" s="3" t="s">
        <v>1603</v>
      </c>
      <c r="T2544" s="3"/>
    </row>
    <row r="2545" spans="1:20">
      <c r="A2545" s="3" t="s">
        <v>1600</v>
      </c>
      <c r="B2545" s="3" t="s">
        <v>1609</v>
      </c>
      <c r="C2545" s="3" t="s">
        <v>1596</v>
      </c>
      <c r="D2545" s="3" t="s">
        <v>598</v>
      </c>
      <c r="E2545" s="3" t="s">
        <v>599</v>
      </c>
      <c r="F2545" s="2">
        <v>1</v>
      </c>
      <c r="G2545" s="4">
        <v>1.0836923880402141</v>
      </c>
      <c r="H2545" s="2">
        <v>25</v>
      </c>
      <c r="I2545" s="2">
        <v>5</v>
      </c>
      <c r="J2545" s="2">
        <v>16</v>
      </c>
      <c r="K2545" s="4">
        <v>1</v>
      </c>
      <c r="L2545" s="4">
        <v>0.9545680476680638</v>
      </c>
      <c r="M2545" s="4">
        <v>0.9545680476680638</v>
      </c>
      <c r="N2545" s="10">
        <v>0.95499999999999996</v>
      </c>
      <c r="O2545" s="4">
        <v>9.3251565157400638</v>
      </c>
      <c r="P2545" s="4">
        <v>9.35</v>
      </c>
      <c r="Q2545" s="3" t="s">
        <v>1597</v>
      </c>
      <c r="R2545" s="3" t="s">
        <v>1610</v>
      </c>
      <c r="S2545" s="3" t="s">
        <v>1611</v>
      </c>
      <c r="T2545" s="3"/>
    </row>
    <row r="2546" spans="1:20">
      <c r="A2546" s="3" t="s">
        <v>1600</v>
      </c>
      <c r="B2546" s="3" t="s">
        <v>1609</v>
      </c>
      <c r="C2546" s="3" t="s">
        <v>1616</v>
      </c>
      <c r="D2546" s="3" t="s">
        <v>598</v>
      </c>
      <c r="E2546" s="3" t="s">
        <v>599</v>
      </c>
      <c r="F2546" s="2">
        <v>1</v>
      </c>
      <c r="G2546" s="4">
        <v>1.0836923880402141</v>
      </c>
      <c r="H2546" s="2">
        <v>25</v>
      </c>
      <c r="I2546" s="2">
        <v>5</v>
      </c>
      <c r="J2546" s="2">
        <v>1</v>
      </c>
      <c r="K2546" s="4">
        <v>0.96210717626550091</v>
      </c>
      <c r="L2546" s="4">
        <v>0.95173862032049605</v>
      </c>
      <c r="M2546" s="4">
        <v>0.95173862032049605</v>
      </c>
      <c r="N2546" s="10">
        <v>0.95199999999999996</v>
      </c>
      <c r="O2546" s="4">
        <v>9.1717960396918663</v>
      </c>
      <c r="P2546" s="4">
        <v>9.19</v>
      </c>
      <c r="Q2546" s="3" t="s">
        <v>1597</v>
      </c>
      <c r="R2546" s="3" t="s">
        <v>1610</v>
      </c>
      <c r="S2546" s="3" t="s">
        <v>1611</v>
      </c>
      <c r="T2546" s="3"/>
    </row>
    <row r="2547" spans="1:20">
      <c r="A2547" s="3" t="s">
        <v>1600</v>
      </c>
      <c r="B2547" s="3" t="s">
        <v>1609</v>
      </c>
      <c r="C2547" s="3" t="s">
        <v>1616</v>
      </c>
      <c r="D2547" s="3" t="s">
        <v>598</v>
      </c>
      <c r="E2547" s="3" t="s">
        <v>599</v>
      </c>
      <c r="F2547" s="2">
        <v>1</v>
      </c>
      <c r="G2547" s="4">
        <v>1.0836923880402141</v>
      </c>
      <c r="H2547" s="2">
        <v>25</v>
      </c>
      <c r="I2547" s="2">
        <v>5</v>
      </c>
      <c r="J2547" s="2">
        <v>16</v>
      </c>
      <c r="K2547" s="11">
        <v>1</v>
      </c>
      <c r="L2547" s="11">
        <v>0.94973334323321645</v>
      </c>
      <c r="M2547" s="4">
        <v>0.94973334323321645</v>
      </c>
      <c r="N2547" s="10">
        <v>0.95</v>
      </c>
      <c r="O2547" s="4">
        <v>9.0683281693217719</v>
      </c>
      <c r="P2547" s="4">
        <v>9.08</v>
      </c>
      <c r="Q2547" s="3" t="s">
        <v>1597</v>
      </c>
      <c r="R2547" s="3" t="s">
        <v>1610</v>
      </c>
      <c r="S2547" s="3" t="s">
        <v>1611</v>
      </c>
      <c r="T2547" s="3"/>
    </row>
    <row r="2548" spans="1:20">
      <c r="A2548" s="3" t="s">
        <v>1604</v>
      </c>
      <c r="B2548" s="3" t="s">
        <v>1601</v>
      </c>
      <c r="C2548" s="3" t="s">
        <v>1596</v>
      </c>
      <c r="D2548" s="3" t="s">
        <v>598</v>
      </c>
      <c r="E2548" s="3" t="s">
        <v>599</v>
      </c>
      <c r="F2548" s="2">
        <v>1</v>
      </c>
      <c r="G2548" s="4">
        <v>1.0836923880402141</v>
      </c>
      <c r="H2548" s="2">
        <v>25</v>
      </c>
      <c r="I2548" s="2">
        <v>30</v>
      </c>
      <c r="J2548" s="2">
        <v>16</v>
      </c>
      <c r="K2548" s="4">
        <v>1</v>
      </c>
      <c r="L2548" s="4">
        <v>0.94714703730797367</v>
      </c>
      <c r="M2548" s="4">
        <v>0.94714703730797367</v>
      </c>
      <c r="N2548" s="10">
        <v>0.94699999999999995</v>
      </c>
      <c r="O2548" s="4">
        <v>8.9406633609282693</v>
      </c>
      <c r="P2548" s="4">
        <v>8.93</v>
      </c>
      <c r="Q2548" s="3" t="s">
        <v>1597</v>
      </c>
      <c r="R2548" s="3" t="s">
        <v>1602</v>
      </c>
      <c r="S2548" s="3" t="s">
        <v>1603</v>
      </c>
      <c r="T2548" s="3"/>
    </row>
    <row r="2549" spans="1:20">
      <c r="A2549" s="3" t="s">
        <v>1600</v>
      </c>
      <c r="B2549" s="3" t="s">
        <v>1609</v>
      </c>
      <c r="C2549" s="3" t="s">
        <v>1596</v>
      </c>
      <c r="D2549" s="3" t="s">
        <v>598</v>
      </c>
      <c r="E2549" s="3" t="s">
        <v>599</v>
      </c>
      <c r="F2549" s="2">
        <v>1</v>
      </c>
      <c r="G2549" s="4">
        <v>1.0836923880402141</v>
      </c>
      <c r="H2549" s="2">
        <v>25</v>
      </c>
      <c r="I2549" s="2">
        <v>5</v>
      </c>
      <c r="J2549" s="2">
        <v>1</v>
      </c>
      <c r="K2549" s="11">
        <v>0.86747242535550717</v>
      </c>
      <c r="L2549" s="11">
        <v>0.94486519493516297</v>
      </c>
      <c r="M2549" s="4">
        <v>0.94486519493516297</v>
      </c>
      <c r="N2549" s="10">
        <v>0.94499999999999995</v>
      </c>
      <c r="O2549" s="4">
        <v>8.8329769941273479</v>
      </c>
      <c r="P2549" s="4">
        <v>8.84</v>
      </c>
      <c r="Q2549" s="3" t="s">
        <v>1597</v>
      </c>
      <c r="R2549" s="3" t="s">
        <v>1610</v>
      </c>
      <c r="S2549" s="3" t="s">
        <v>1611</v>
      </c>
      <c r="T2549" s="3"/>
    </row>
    <row r="2550" spans="1:20">
      <c r="A2550" s="12" t="s">
        <v>1605</v>
      </c>
      <c r="B2550" s="3" t="s">
        <v>1601</v>
      </c>
      <c r="C2550" s="3" t="s">
        <v>1596</v>
      </c>
      <c r="D2550" s="3" t="s">
        <v>598</v>
      </c>
      <c r="E2550" s="3" t="s">
        <v>599</v>
      </c>
      <c r="F2550" s="2">
        <v>1</v>
      </c>
      <c r="G2550" s="4">
        <v>1.0836923880402141</v>
      </c>
      <c r="H2550" s="2">
        <v>25</v>
      </c>
      <c r="I2550" s="2">
        <v>5</v>
      </c>
      <c r="J2550" s="2">
        <v>16</v>
      </c>
      <c r="K2550" s="11">
        <v>1</v>
      </c>
      <c r="L2550" s="11">
        <v>0.93830150394489731</v>
      </c>
      <c r="M2550" s="4">
        <v>0.93830150394489731</v>
      </c>
      <c r="N2550" s="10">
        <v>0.93799999999999994</v>
      </c>
      <c r="O2550" s="4">
        <v>8.5457663247537052</v>
      </c>
      <c r="P2550" s="4">
        <v>8.5299999999999994</v>
      </c>
      <c r="Q2550" s="3" t="s">
        <v>1597</v>
      </c>
      <c r="R2550" s="3" t="s">
        <v>1602</v>
      </c>
      <c r="S2550" s="3" t="s">
        <v>1603</v>
      </c>
      <c r="T2550" s="3"/>
    </row>
    <row r="2551" spans="1:20">
      <c r="A2551" s="3" t="s">
        <v>1604</v>
      </c>
      <c r="B2551" s="3" t="s">
        <v>1601</v>
      </c>
      <c r="C2551" s="3" t="s">
        <v>1616</v>
      </c>
      <c r="D2551" s="3" t="s">
        <v>598</v>
      </c>
      <c r="E2551" s="3" t="s">
        <v>599</v>
      </c>
      <c r="F2551" s="2">
        <v>1</v>
      </c>
      <c r="G2551" s="4">
        <v>1.0836923880402141</v>
      </c>
      <c r="H2551" s="2">
        <v>25</v>
      </c>
      <c r="I2551" s="2">
        <v>30</v>
      </c>
      <c r="J2551" s="2">
        <v>16</v>
      </c>
      <c r="K2551" s="4">
        <v>1</v>
      </c>
      <c r="L2551" s="4">
        <v>0.90705356547014704</v>
      </c>
      <c r="M2551" s="4">
        <v>0.90705356547014704</v>
      </c>
      <c r="N2551" s="10">
        <v>0.90700000000000003</v>
      </c>
      <c r="O2551" s="4">
        <v>7.4896850784039364</v>
      </c>
      <c r="P2551" s="4">
        <v>7.49</v>
      </c>
      <c r="Q2551" s="3" t="s">
        <v>1597</v>
      </c>
      <c r="R2551" s="3" t="s">
        <v>1602</v>
      </c>
      <c r="S2551" s="3" t="s">
        <v>1603</v>
      </c>
      <c r="T2551" s="3"/>
    </row>
    <row r="2552" spans="1:20">
      <c r="A2552" s="3" t="s">
        <v>1594</v>
      </c>
      <c r="B2552" s="3" t="s">
        <v>1595</v>
      </c>
      <c r="C2552" s="3" t="s">
        <v>1596</v>
      </c>
      <c r="D2552" s="3" t="s">
        <v>598</v>
      </c>
      <c r="E2552" s="3" t="s">
        <v>599</v>
      </c>
      <c r="F2552" s="2">
        <v>1</v>
      </c>
      <c r="G2552" s="4">
        <v>1.0836923880402141</v>
      </c>
      <c r="H2552" s="2">
        <v>50</v>
      </c>
      <c r="I2552" s="2">
        <v>5</v>
      </c>
      <c r="J2552" s="2">
        <v>16</v>
      </c>
      <c r="K2552" s="4">
        <v>0.79851240282332303</v>
      </c>
      <c r="L2552" s="14">
        <v>0.28670110192698411</v>
      </c>
      <c r="M2552" s="4">
        <v>0.28670110192698411</v>
      </c>
      <c r="N2552" s="10">
        <v>0.28699999999999998</v>
      </c>
      <c r="O2552" s="4">
        <v>1.5850591946876047</v>
      </c>
      <c r="P2552" s="4">
        <v>1.59</v>
      </c>
      <c r="Q2552" s="3" t="s">
        <v>1597</v>
      </c>
      <c r="R2552" s="3" t="s">
        <v>1598</v>
      </c>
      <c r="S2552" s="3" t="s">
        <v>1599</v>
      </c>
      <c r="T2552" s="3"/>
    </row>
    <row r="2553" spans="1:20">
      <c r="A2553" s="3" t="s">
        <v>1594</v>
      </c>
      <c r="B2553" s="3" t="s">
        <v>1612</v>
      </c>
      <c r="C2553" s="3" t="s">
        <v>1596</v>
      </c>
      <c r="D2553" s="3" t="s">
        <v>598</v>
      </c>
      <c r="E2553" s="3" t="s">
        <v>599</v>
      </c>
      <c r="F2553" s="2">
        <v>1</v>
      </c>
      <c r="G2553" s="4">
        <v>1.0836923880402141</v>
      </c>
      <c r="H2553" s="2">
        <v>50</v>
      </c>
      <c r="I2553" s="2">
        <v>5</v>
      </c>
      <c r="J2553" s="2">
        <v>16</v>
      </c>
      <c r="K2553" s="4">
        <v>8.3225285345190525E-2</v>
      </c>
      <c r="L2553" s="14">
        <v>2.6700156930818952E-2</v>
      </c>
      <c r="M2553" s="4">
        <v>2.6700156930818952E-2</v>
      </c>
      <c r="N2553" s="10">
        <v>2.7E-2</v>
      </c>
      <c r="O2553" s="4">
        <v>0.14351171091245465</v>
      </c>
      <c r="P2553" s="4">
        <v>0.15</v>
      </c>
      <c r="Q2553" s="3" t="s">
        <v>1597</v>
      </c>
      <c r="R2553" s="3" t="s">
        <v>1613</v>
      </c>
      <c r="S2553" s="3" t="s">
        <v>1614</v>
      </c>
      <c r="T2553" s="3"/>
    </row>
    <row r="2554" spans="1:20">
      <c r="A2554" s="3" t="s">
        <v>1600</v>
      </c>
      <c r="B2554" s="3" t="s">
        <v>1609</v>
      </c>
      <c r="C2554" s="3" t="s">
        <v>1596</v>
      </c>
      <c r="D2554" s="3" t="s">
        <v>386</v>
      </c>
      <c r="E2554" s="3" t="s">
        <v>387</v>
      </c>
      <c r="F2554" s="2">
        <v>1</v>
      </c>
      <c r="G2554" s="4">
        <v>1.0839508903882311</v>
      </c>
      <c r="H2554" s="2">
        <v>25</v>
      </c>
      <c r="I2554" s="2">
        <v>5</v>
      </c>
      <c r="J2554" s="2">
        <v>16</v>
      </c>
      <c r="K2554" s="4">
        <v>1</v>
      </c>
      <c r="L2554" s="4">
        <v>0.75912067159444674</v>
      </c>
      <c r="M2554" s="4">
        <v>0.75912067159444674</v>
      </c>
      <c r="N2554" s="10">
        <v>0.75900000000000001</v>
      </c>
      <c r="O2554" s="4">
        <v>4.9288661066981954</v>
      </c>
      <c r="P2554" s="4">
        <v>4.93</v>
      </c>
      <c r="Q2554" s="3" t="s">
        <v>1597</v>
      </c>
      <c r="R2554" s="3" t="s">
        <v>1610</v>
      </c>
      <c r="S2554" s="3" t="s">
        <v>1611</v>
      </c>
      <c r="T2554" s="3"/>
    </row>
    <row r="2555" spans="1:20">
      <c r="A2555" s="3" t="s">
        <v>1600</v>
      </c>
      <c r="B2555" s="3" t="s">
        <v>1609</v>
      </c>
      <c r="C2555" s="3" t="s">
        <v>1596</v>
      </c>
      <c r="D2555" s="3" t="s">
        <v>386</v>
      </c>
      <c r="E2555" s="3" t="s">
        <v>387</v>
      </c>
      <c r="F2555" s="2">
        <v>1</v>
      </c>
      <c r="G2555" s="4">
        <v>1.0839508903882311</v>
      </c>
      <c r="H2555" s="2">
        <v>25</v>
      </c>
      <c r="I2555" s="2">
        <v>5</v>
      </c>
      <c r="J2555" s="2">
        <v>1</v>
      </c>
      <c r="K2555" s="11">
        <v>0.34698042573435262</v>
      </c>
      <c r="L2555" s="11">
        <v>0.24671714517189131</v>
      </c>
      <c r="M2555" s="4">
        <v>0.24671714517189131</v>
      </c>
      <c r="N2555" s="10">
        <v>0.247</v>
      </c>
      <c r="O2555" s="4">
        <v>1.2489743144542562</v>
      </c>
      <c r="P2555" s="4">
        <v>1.25</v>
      </c>
      <c r="Q2555" s="3" t="s">
        <v>1597</v>
      </c>
      <c r="R2555" s="3" t="s">
        <v>1610</v>
      </c>
      <c r="S2555" s="3" t="s">
        <v>1611</v>
      </c>
      <c r="T2555" s="3"/>
    </row>
    <row r="2556" spans="1:20">
      <c r="A2556" s="3" t="s">
        <v>1594</v>
      </c>
      <c r="B2556" s="3" t="s">
        <v>1595</v>
      </c>
      <c r="C2556" s="3" t="s">
        <v>1596</v>
      </c>
      <c r="D2556" s="3" t="s">
        <v>386</v>
      </c>
      <c r="E2556" s="3" t="s">
        <v>387</v>
      </c>
      <c r="F2556" s="2">
        <v>1</v>
      </c>
      <c r="G2556" s="4">
        <v>1.0839508903882311</v>
      </c>
      <c r="H2556" s="2">
        <v>50</v>
      </c>
      <c r="I2556" s="2">
        <v>5</v>
      </c>
      <c r="J2556" s="2">
        <v>16</v>
      </c>
      <c r="K2556" s="4">
        <v>1</v>
      </c>
      <c r="L2556" s="14">
        <v>0.23553374504862629</v>
      </c>
      <c r="M2556" s="4">
        <v>0.23553374504862629</v>
      </c>
      <c r="N2556" s="10">
        <v>0.23599999999999999</v>
      </c>
      <c r="O2556" s="4">
        <v>1.2898948890749022</v>
      </c>
      <c r="P2556" s="4">
        <v>1.29</v>
      </c>
      <c r="Q2556" s="3" t="s">
        <v>1597</v>
      </c>
      <c r="R2556" s="3" t="s">
        <v>1598</v>
      </c>
      <c r="S2556" s="3" t="s">
        <v>1599</v>
      </c>
      <c r="T2556" s="3"/>
    </row>
    <row r="2557" spans="1:20">
      <c r="A2557" s="3" t="s">
        <v>1600</v>
      </c>
      <c r="B2557" s="3" t="s">
        <v>1609</v>
      </c>
      <c r="C2557" s="3" t="s">
        <v>1616</v>
      </c>
      <c r="D2557" s="3" t="s">
        <v>386</v>
      </c>
      <c r="E2557" s="3" t="s">
        <v>387</v>
      </c>
      <c r="F2557" s="2">
        <v>1</v>
      </c>
      <c r="G2557" s="4">
        <v>1.0839508903882311</v>
      </c>
      <c r="H2557" s="2">
        <v>25</v>
      </c>
      <c r="I2557" s="2">
        <v>5</v>
      </c>
      <c r="J2557" s="2">
        <v>1</v>
      </c>
      <c r="K2557" s="4">
        <v>1</v>
      </c>
      <c r="L2557" s="4">
        <v>0.19182126156538493</v>
      </c>
      <c r="M2557" s="4">
        <v>0.19182126156538493</v>
      </c>
      <c r="N2557" s="10">
        <v>0.192</v>
      </c>
      <c r="O2557" s="4">
        <v>0.9629666975252511</v>
      </c>
      <c r="P2557" s="4">
        <v>0.96</v>
      </c>
      <c r="Q2557" s="3" t="s">
        <v>1597</v>
      </c>
      <c r="R2557" s="3" t="s">
        <v>1610</v>
      </c>
      <c r="S2557" s="3" t="s">
        <v>1611</v>
      </c>
      <c r="T2557" s="3"/>
    </row>
    <row r="2558" spans="1:20">
      <c r="A2558" s="3" t="s">
        <v>1600</v>
      </c>
      <c r="B2558" s="3" t="s">
        <v>1606</v>
      </c>
      <c r="C2558" s="3" t="s">
        <v>1616</v>
      </c>
      <c r="D2558" s="3" t="s">
        <v>386</v>
      </c>
      <c r="E2558" s="3" t="s">
        <v>387</v>
      </c>
      <c r="F2558" s="2">
        <v>1</v>
      </c>
      <c r="G2558" s="4">
        <v>1.0839508903882311</v>
      </c>
      <c r="H2558" s="2">
        <v>25</v>
      </c>
      <c r="I2558" s="2">
        <v>5</v>
      </c>
      <c r="J2558" s="2">
        <v>1</v>
      </c>
      <c r="K2558" s="4">
        <v>1</v>
      </c>
      <c r="L2558" s="4">
        <v>0.14376711277046159</v>
      </c>
      <c r="M2558" s="4">
        <v>0.14376711277046159</v>
      </c>
      <c r="N2558" s="10">
        <v>0.14399999999999999</v>
      </c>
      <c r="O2558" s="4">
        <v>0.71776087872184846</v>
      </c>
      <c r="P2558" s="4">
        <v>0.72</v>
      </c>
      <c r="Q2558" s="3" t="s">
        <v>1597</v>
      </c>
      <c r="R2558" s="3" t="s">
        <v>1607</v>
      </c>
      <c r="S2558" s="3" t="s">
        <v>1608</v>
      </c>
      <c r="T2558" s="3"/>
    </row>
    <row r="2559" spans="1:20">
      <c r="A2559" s="3" t="s">
        <v>1600</v>
      </c>
      <c r="B2559" s="3" t="s">
        <v>1606</v>
      </c>
      <c r="C2559" s="3" t="s">
        <v>1616</v>
      </c>
      <c r="D2559" s="3" t="s">
        <v>386</v>
      </c>
      <c r="E2559" s="3" t="s">
        <v>387</v>
      </c>
      <c r="F2559" s="2">
        <v>1</v>
      </c>
      <c r="G2559" s="4">
        <v>1.0839508903882311</v>
      </c>
      <c r="H2559" s="2">
        <v>25</v>
      </c>
      <c r="I2559" s="2">
        <v>5</v>
      </c>
      <c r="J2559" s="2">
        <v>16</v>
      </c>
      <c r="K2559" s="11">
        <v>1</v>
      </c>
      <c r="L2559" s="11">
        <v>0.13791018136342553</v>
      </c>
      <c r="M2559" s="4">
        <v>0.13791018136342553</v>
      </c>
      <c r="N2559" s="10">
        <v>0.13800000000000001</v>
      </c>
      <c r="O2559" s="4">
        <v>0.68813484615866283</v>
      </c>
      <c r="P2559" s="4">
        <v>0.69</v>
      </c>
      <c r="Q2559" s="3" t="s">
        <v>1597</v>
      </c>
      <c r="R2559" s="3" t="s">
        <v>1607</v>
      </c>
      <c r="S2559" s="3" t="s">
        <v>1608</v>
      </c>
      <c r="T2559" s="3"/>
    </row>
    <row r="2560" spans="1:20">
      <c r="A2560" s="3" t="s">
        <v>1600</v>
      </c>
      <c r="B2560" s="3" t="s">
        <v>1609</v>
      </c>
      <c r="C2560" s="3" t="s">
        <v>1616</v>
      </c>
      <c r="D2560" s="3" t="s">
        <v>386</v>
      </c>
      <c r="E2560" s="3" t="s">
        <v>387</v>
      </c>
      <c r="F2560" s="2">
        <v>1</v>
      </c>
      <c r="G2560" s="4">
        <v>1.0839508903882311</v>
      </c>
      <c r="H2560" s="2">
        <v>25</v>
      </c>
      <c r="I2560" s="2">
        <v>5</v>
      </c>
      <c r="J2560" s="2">
        <v>16</v>
      </c>
      <c r="K2560" s="11">
        <v>1</v>
      </c>
      <c r="L2560" s="11">
        <v>0.12320901425008753</v>
      </c>
      <c r="M2560" s="4">
        <v>0.12320901425008753</v>
      </c>
      <c r="N2560" s="10">
        <v>0.123</v>
      </c>
      <c r="O2560" s="4">
        <v>0.6139819714475212</v>
      </c>
      <c r="P2560" s="4">
        <v>0.61</v>
      </c>
      <c r="Q2560" s="3" t="s">
        <v>1597</v>
      </c>
      <c r="R2560" s="3" t="s">
        <v>1610</v>
      </c>
      <c r="S2560" s="3" t="s">
        <v>1611</v>
      </c>
      <c r="T2560" s="3"/>
    </row>
    <row r="2561" spans="1:20">
      <c r="A2561" s="3" t="s">
        <v>1600</v>
      </c>
      <c r="B2561" s="3" t="s">
        <v>1606</v>
      </c>
      <c r="C2561" s="3" t="s">
        <v>1596</v>
      </c>
      <c r="D2561" s="3" t="s">
        <v>386</v>
      </c>
      <c r="E2561" s="3" t="s">
        <v>387</v>
      </c>
      <c r="F2561" s="2">
        <v>1</v>
      </c>
      <c r="G2561" s="4">
        <v>1.0839508903882311</v>
      </c>
      <c r="H2561" s="2">
        <v>25</v>
      </c>
      <c r="I2561" s="2">
        <v>5</v>
      </c>
      <c r="J2561" s="2">
        <v>16</v>
      </c>
      <c r="K2561" s="11">
        <v>1</v>
      </c>
      <c r="L2561" s="11">
        <v>8.4415488701855751E-2</v>
      </c>
      <c r="M2561" s="4">
        <v>8.4415488701855751E-2</v>
      </c>
      <c r="N2561" s="10">
        <v>8.4000000000000005E-2</v>
      </c>
      <c r="O2561" s="4">
        <v>0.41952502891566135</v>
      </c>
      <c r="P2561" s="4">
        <v>0.42</v>
      </c>
      <c r="Q2561" s="3" t="s">
        <v>1597</v>
      </c>
      <c r="R2561" s="3" t="s">
        <v>1607</v>
      </c>
      <c r="S2561" s="3" t="s">
        <v>1608</v>
      </c>
      <c r="T2561" s="3"/>
    </row>
    <row r="2562" spans="1:20">
      <c r="A2562" s="3" t="s">
        <v>1600</v>
      </c>
      <c r="B2562" s="3" t="s">
        <v>1606</v>
      </c>
      <c r="C2562" s="3" t="s">
        <v>1596</v>
      </c>
      <c r="D2562" s="3" t="s">
        <v>386</v>
      </c>
      <c r="E2562" s="3" t="s">
        <v>387</v>
      </c>
      <c r="F2562" s="2">
        <v>1</v>
      </c>
      <c r="G2562" s="4">
        <v>1.0839508903882311</v>
      </c>
      <c r="H2562" s="2">
        <v>25</v>
      </c>
      <c r="I2562" s="2">
        <v>5</v>
      </c>
      <c r="J2562" s="2">
        <v>1</v>
      </c>
      <c r="K2562" s="11">
        <v>1</v>
      </c>
      <c r="L2562" s="11">
        <v>8.0179941040236749E-2</v>
      </c>
      <c r="M2562" s="4">
        <v>8.0179941040236749E-2</v>
      </c>
      <c r="N2562" s="10">
        <v>0.08</v>
      </c>
      <c r="O2562" s="4">
        <v>0.39838222232342241</v>
      </c>
      <c r="P2562" s="4">
        <v>0.4</v>
      </c>
      <c r="Q2562" s="3" t="s">
        <v>1597</v>
      </c>
      <c r="R2562" s="3" t="s">
        <v>1607</v>
      </c>
      <c r="S2562" s="3" t="s">
        <v>1608</v>
      </c>
      <c r="T2562" s="3"/>
    </row>
    <row r="2563" spans="1:20">
      <c r="A2563" s="3" t="s">
        <v>1600</v>
      </c>
      <c r="B2563" s="3" t="s">
        <v>1601</v>
      </c>
      <c r="C2563" s="3" t="s">
        <v>1616</v>
      </c>
      <c r="D2563" s="3" t="s">
        <v>386</v>
      </c>
      <c r="E2563" s="3" t="s">
        <v>387</v>
      </c>
      <c r="F2563" s="2">
        <v>1</v>
      </c>
      <c r="G2563" s="4">
        <v>1.0839508903882311</v>
      </c>
      <c r="H2563" s="2">
        <v>25</v>
      </c>
      <c r="I2563" s="2">
        <v>5</v>
      </c>
      <c r="J2563" s="2">
        <v>1</v>
      </c>
      <c r="K2563" s="4">
        <v>1</v>
      </c>
      <c r="L2563" s="4">
        <v>-3.4215902664567109E-2</v>
      </c>
      <c r="M2563" s="4">
        <v>3.4215902664567109E-2</v>
      </c>
      <c r="N2563" s="10">
        <v>3.4000000000000002E-2</v>
      </c>
      <c r="O2563" s="4">
        <v>0.16970651497968436</v>
      </c>
      <c r="P2563" s="4">
        <v>-0.17</v>
      </c>
      <c r="Q2563" s="3" t="s">
        <v>1617</v>
      </c>
      <c r="R2563" s="3" t="s">
        <v>1618</v>
      </c>
      <c r="S2563" s="3" t="s">
        <v>1619</v>
      </c>
      <c r="T2563" s="3"/>
    </row>
    <row r="2564" spans="1:20">
      <c r="A2564" s="3" t="s">
        <v>1600</v>
      </c>
      <c r="B2564" s="3" t="s">
        <v>1601</v>
      </c>
      <c r="C2564" s="3" t="s">
        <v>1616</v>
      </c>
      <c r="D2564" s="3" t="s">
        <v>386</v>
      </c>
      <c r="E2564" s="3" t="s">
        <v>387</v>
      </c>
      <c r="F2564" s="2">
        <v>1</v>
      </c>
      <c r="G2564" s="4">
        <v>1.0839508903882311</v>
      </c>
      <c r="H2564" s="2">
        <v>25</v>
      </c>
      <c r="I2564" s="2">
        <v>5</v>
      </c>
      <c r="J2564" s="2">
        <v>16</v>
      </c>
      <c r="K2564" s="4">
        <v>1</v>
      </c>
      <c r="L2564" s="4">
        <v>-3.9971115040404036E-2</v>
      </c>
      <c r="M2564" s="4">
        <v>3.9971115040404036E-2</v>
      </c>
      <c r="N2564" s="10">
        <v>0.04</v>
      </c>
      <c r="O2564" s="4">
        <v>0.19827988583546083</v>
      </c>
      <c r="P2564" s="4">
        <v>-0.2</v>
      </c>
      <c r="Q2564" s="3" t="s">
        <v>1617</v>
      </c>
      <c r="R2564" s="3" t="s">
        <v>1618</v>
      </c>
      <c r="S2564" s="3" t="s">
        <v>1619</v>
      </c>
      <c r="T2564" s="3"/>
    </row>
    <row r="2565" spans="1:20">
      <c r="A2565" s="3" t="s">
        <v>1604</v>
      </c>
      <c r="B2565" s="3" t="s">
        <v>1601</v>
      </c>
      <c r="C2565" s="3" t="s">
        <v>1596</v>
      </c>
      <c r="D2565" s="3" t="s">
        <v>386</v>
      </c>
      <c r="E2565" s="3" t="s">
        <v>387</v>
      </c>
      <c r="F2565" s="2">
        <v>1</v>
      </c>
      <c r="G2565" s="4">
        <v>1.0839508903882311</v>
      </c>
      <c r="H2565" s="2">
        <v>25</v>
      </c>
      <c r="I2565" s="2">
        <v>30</v>
      </c>
      <c r="J2565" s="2">
        <v>16</v>
      </c>
      <c r="K2565" s="4">
        <v>1</v>
      </c>
      <c r="L2565" s="4">
        <v>-4.0664361287466845E-2</v>
      </c>
      <c r="M2565" s="4">
        <v>4.0664361287466845E-2</v>
      </c>
      <c r="N2565" s="10">
        <v>4.1000000000000002E-2</v>
      </c>
      <c r="O2565" s="4">
        <v>0.20172255286619695</v>
      </c>
      <c r="P2565" s="4">
        <v>-0.2</v>
      </c>
      <c r="Q2565" s="3" t="s">
        <v>1617</v>
      </c>
      <c r="R2565" s="3" t="s">
        <v>1618</v>
      </c>
      <c r="S2565" s="3" t="s">
        <v>1619</v>
      </c>
      <c r="T2565" s="3"/>
    </row>
    <row r="2566" spans="1:20">
      <c r="A2566" s="3" t="s">
        <v>1604</v>
      </c>
      <c r="B2566" s="3" t="s">
        <v>1601</v>
      </c>
      <c r="C2566" s="3" t="s">
        <v>1616</v>
      </c>
      <c r="D2566" s="3" t="s">
        <v>386</v>
      </c>
      <c r="E2566" s="3" t="s">
        <v>387</v>
      </c>
      <c r="F2566" s="2">
        <v>1</v>
      </c>
      <c r="G2566" s="4">
        <v>1.0839508903882311</v>
      </c>
      <c r="H2566" s="2">
        <v>25</v>
      </c>
      <c r="I2566" s="2">
        <v>30</v>
      </c>
      <c r="J2566" s="2">
        <v>16</v>
      </c>
      <c r="K2566" s="4">
        <v>1</v>
      </c>
      <c r="L2566" s="4">
        <v>-4.8504302022138311E-2</v>
      </c>
      <c r="M2566" s="4">
        <v>4.8504302022138311E-2</v>
      </c>
      <c r="N2566" s="10">
        <v>4.9000000000000002E-2</v>
      </c>
      <c r="O2566" s="4">
        <v>0.24067009957599961</v>
      </c>
      <c r="P2566" s="4">
        <v>-0.24</v>
      </c>
      <c r="Q2566" s="3" t="s">
        <v>1617</v>
      </c>
      <c r="R2566" s="3" t="s">
        <v>1618</v>
      </c>
      <c r="S2566" s="3" t="s">
        <v>1619</v>
      </c>
      <c r="T2566" s="3"/>
    </row>
    <row r="2567" spans="1:20">
      <c r="A2567" s="3" t="s">
        <v>1600</v>
      </c>
      <c r="B2567" s="3" t="s">
        <v>1601</v>
      </c>
      <c r="C2567" s="3" t="s">
        <v>1596</v>
      </c>
      <c r="D2567" s="3" t="s">
        <v>386</v>
      </c>
      <c r="E2567" s="3" t="s">
        <v>387</v>
      </c>
      <c r="F2567" s="2">
        <v>1</v>
      </c>
      <c r="G2567" s="4">
        <v>1.0839508903882311</v>
      </c>
      <c r="H2567" s="2">
        <v>25</v>
      </c>
      <c r="I2567" s="2">
        <v>5</v>
      </c>
      <c r="J2567" s="2">
        <v>1</v>
      </c>
      <c r="K2567" s="4">
        <v>0.13783972369607878</v>
      </c>
      <c r="L2567" s="4">
        <v>-5.0255407871830554E-2</v>
      </c>
      <c r="M2567" s="4">
        <v>5.0255407871830554E-2</v>
      </c>
      <c r="N2567" s="10">
        <v>0.05</v>
      </c>
      <c r="O2567" s="4">
        <v>0.24937319453284007</v>
      </c>
      <c r="P2567" s="4">
        <v>-0.25</v>
      </c>
      <c r="Q2567" s="3" t="s">
        <v>1617</v>
      </c>
      <c r="R2567" s="3" t="s">
        <v>1618</v>
      </c>
      <c r="S2567" s="3" t="s">
        <v>1619</v>
      </c>
      <c r="T2567" s="3"/>
    </row>
    <row r="2568" spans="1:20">
      <c r="A2568" s="12" t="s">
        <v>1605</v>
      </c>
      <c r="B2568" s="3" t="s">
        <v>1601</v>
      </c>
      <c r="C2568" s="3" t="s">
        <v>1596</v>
      </c>
      <c r="D2568" s="3" t="s">
        <v>386</v>
      </c>
      <c r="E2568" s="3" t="s">
        <v>387</v>
      </c>
      <c r="F2568" s="2">
        <v>1</v>
      </c>
      <c r="G2568" s="4">
        <v>1.0839508903882311</v>
      </c>
      <c r="H2568" s="2">
        <v>25</v>
      </c>
      <c r="I2568" s="2">
        <v>5</v>
      </c>
      <c r="J2568" s="2">
        <v>16</v>
      </c>
      <c r="K2568" s="11">
        <v>1</v>
      </c>
      <c r="L2568" s="11">
        <v>-6.6045317796475059E-2</v>
      </c>
      <c r="M2568" s="4">
        <v>6.6045317796475059E-2</v>
      </c>
      <c r="N2568" s="10">
        <v>6.6000000000000003E-2</v>
      </c>
      <c r="O2568" s="4">
        <v>0.32792584015875936</v>
      </c>
      <c r="P2568" s="4">
        <v>-0.33</v>
      </c>
      <c r="Q2568" s="3" t="s">
        <v>1617</v>
      </c>
      <c r="R2568" s="3" t="s">
        <v>1618</v>
      </c>
      <c r="S2568" s="3" t="s">
        <v>1619</v>
      </c>
      <c r="T2568" s="3"/>
    </row>
    <row r="2569" spans="1:20">
      <c r="A2569" s="3" t="s">
        <v>1600</v>
      </c>
      <c r="B2569" s="3" t="s">
        <v>1601</v>
      </c>
      <c r="C2569" s="3" t="s">
        <v>1596</v>
      </c>
      <c r="D2569" s="3" t="s">
        <v>386</v>
      </c>
      <c r="E2569" s="3" t="s">
        <v>387</v>
      </c>
      <c r="F2569" s="2">
        <v>1</v>
      </c>
      <c r="G2569" s="4">
        <v>1.0839508903882311</v>
      </c>
      <c r="H2569" s="2">
        <v>25</v>
      </c>
      <c r="I2569" s="2">
        <v>5</v>
      </c>
      <c r="J2569" s="2">
        <v>16</v>
      </c>
      <c r="K2569" s="4">
        <v>1</v>
      </c>
      <c r="L2569" s="4">
        <v>-8.9630398449498841E-2</v>
      </c>
      <c r="M2569" s="4">
        <v>8.9630398449498841E-2</v>
      </c>
      <c r="N2569" s="10">
        <v>0.09</v>
      </c>
      <c r="O2569" s="4">
        <v>0.4455775761098868</v>
      </c>
      <c r="P2569" s="4">
        <v>-0.45</v>
      </c>
      <c r="Q2569" s="3" t="s">
        <v>1617</v>
      </c>
      <c r="R2569" s="3" t="s">
        <v>1618</v>
      </c>
      <c r="S2569" s="3" t="s">
        <v>1619</v>
      </c>
      <c r="T2569" s="3"/>
    </row>
    <row r="2570" spans="1:20">
      <c r="A2570" s="3" t="s">
        <v>1594</v>
      </c>
      <c r="B2570" s="3" t="s">
        <v>1612</v>
      </c>
      <c r="C2570" s="3" t="s">
        <v>1596</v>
      </c>
      <c r="D2570" s="3" t="s">
        <v>386</v>
      </c>
      <c r="E2570" s="3" t="s">
        <v>387</v>
      </c>
      <c r="F2570" s="2">
        <v>1</v>
      </c>
      <c r="G2570" s="4">
        <v>1.0839508903882311</v>
      </c>
      <c r="H2570" s="2">
        <v>50</v>
      </c>
      <c r="I2570" s="2">
        <v>5</v>
      </c>
      <c r="J2570" s="2">
        <v>16</v>
      </c>
      <c r="K2570" s="4">
        <v>0.10281515655154187</v>
      </c>
      <c r="L2570" s="14">
        <v>-0.10740417394196394</v>
      </c>
      <c r="M2570" s="4">
        <v>0.10740417394196394</v>
      </c>
      <c r="N2570" s="10">
        <v>0.107</v>
      </c>
      <c r="O2570" s="4">
        <v>0.57938842871209773</v>
      </c>
      <c r="P2570" s="4">
        <v>-0.57999999999999996</v>
      </c>
      <c r="Q2570" s="3" t="s">
        <v>1617</v>
      </c>
      <c r="R2570" s="3" t="s">
        <v>1627</v>
      </c>
      <c r="S2570" s="3" t="s">
        <v>1628</v>
      </c>
      <c r="T2570" s="3"/>
    </row>
    <row r="2571" spans="1:20">
      <c r="A2571" s="3" t="s">
        <v>1600</v>
      </c>
      <c r="B2571" s="3" t="s">
        <v>1609</v>
      </c>
      <c r="C2571" s="3" t="s">
        <v>1596</v>
      </c>
      <c r="D2571" s="3" t="s">
        <v>1162</v>
      </c>
      <c r="E2571" s="3" t="s">
        <v>1163</v>
      </c>
      <c r="F2571" s="2">
        <v>1</v>
      </c>
      <c r="G2571" s="4">
        <v>1.0855387722472336</v>
      </c>
      <c r="H2571" s="2">
        <v>25</v>
      </c>
      <c r="I2571" s="2">
        <v>5</v>
      </c>
      <c r="J2571" s="2">
        <v>1</v>
      </c>
      <c r="K2571" s="4">
        <v>1.7020960965521859E-2</v>
      </c>
      <c r="L2571" s="4">
        <v>0.24051871788597995</v>
      </c>
      <c r="M2571" s="4">
        <v>0.24051871788597995</v>
      </c>
      <c r="N2571" s="10">
        <v>0.24099999999999999</v>
      </c>
      <c r="O2571" s="4">
        <v>1.2163037897730982</v>
      </c>
      <c r="P2571" s="4">
        <v>1.22</v>
      </c>
      <c r="Q2571" s="3" t="s">
        <v>1597</v>
      </c>
      <c r="R2571" s="3" t="s">
        <v>1610</v>
      </c>
      <c r="S2571" s="3" t="s">
        <v>1611</v>
      </c>
      <c r="T2571" s="3"/>
    </row>
    <row r="2572" spans="1:20">
      <c r="A2572" s="3" t="s">
        <v>1600</v>
      </c>
      <c r="B2572" s="3" t="s">
        <v>1609</v>
      </c>
      <c r="C2572" s="3" t="s">
        <v>1616</v>
      </c>
      <c r="D2572" s="3" t="s">
        <v>1162</v>
      </c>
      <c r="E2572" s="3" t="s">
        <v>1163</v>
      </c>
      <c r="F2572" s="2">
        <v>1</v>
      </c>
      <c r="G2572" s="4">
        <v>1.0855387722472336</v>
      </c>
      <c r="H2572" s="2">
        <v>25</v>
      </c>
      <c r="I2572" s="2">
        <v>5</v>
      </c>
      <c r="J2572" s="2">
        <v>16</v>
      </c>
      <c r="K2572" s="4">
        <v>0.13776126820465107</v>
      </c>
      <c r="L2572" s="4">
        <v>0.22065359418529332</v>
      </c>
      <c r="M2572" s="4">
        <v>0.22065359418529332</v>
      </c>
      <c r="N2572" s="10">
        <v>0.221</v>
      </c>
      <c r="O2572" s="4">
        <v>1.1122785626160623</v>
      </c>
      <c r="P2572" s="4">
        <v>1.1100000000000001</v>
      </c>
      <c r="Q2572" s="3" t="s">
        <v>1597</v>
      </c>
      <c r="R2572" s="3" t="s">
        <v>1610</v>
      </c>
      <c r="S2572" s="3" t="s">
        <v>1611</v>
      </c>
      <c r="T2572" s="3"/>
    </row>
    <row r="2573" spans="1:20">
      <c r="A2573" s="3" t="s">
        <v>1600</v>
      </c>
      <c r="B2573" s="3" t="s">
        <v>1609</v>
      </c>
      <c r="C2573" s="3" t="s">
        <v>1616</v>
      </c>
      <c r="D2573" s="3" t="s">
        <v>1162</v>
      </c>
      <c r="E2573" s="3" t="s">
        <v>1163</v>
      </c>
      <c r="F2573" s="2">
        <v>1</v>
      </c>
      <c r="G2573" s="4">
        <v>1.0855387722472336</v>
      </c>
      <c r="H2573" s="2">
        <v>25</v>
      </c>
      <c r="I2573" s="2">
        <v>5</v>
      </c>
      <c r="J2573" s="2">
        <v>1</v>
      </c>
      <c r="K2573" s="4">
        <v>3.6695616728686486E-2</v>
      </c>
      <c r="L2573" s="4">
        <v>0.1478643634037109</v>
      </c>
      <c r="M2573" s="4">
        <v>0.1478643634037109</v>
      </c>
      <c r="N2573" s="10">
        <v>0.14799999999999999</v>
      </c>
      <c r="O2573" s="4">
        <v>0.73851612085123486</v>
      </c>
      <c r="P2573" s="4">
        <v>0.74</v>
      </c>
      <c r="Q2573" s="3" t="s">
        <v>1597</v>
      </c>
      <c r="R2573" s="3" t="s">
        <v>1610</v>
      </c>
      <c r="S2573" s="3" t="s">
        <v>1611</v>
      </c>
      <c r="T2573" s="3"/>
    </row>
    <row r="2574" spans="1:20">
      <c r="A2574" s="3" t="s">
        <v>1594</v>
      </c>
      <c r="B2574" s="3" t="s">
        <v>1612</v>
      </c>
      <c r="C2574" s="3" t="s">
        <v>1596</v>
      </c>
      <c r="D2574" s="3" t="s">
        <v>1162</v>
      </c>
      <c r="E2574" s="3" t="s">
        <v>1163</v>
      </c>
      <c r="F2574" s="2">
        <v>1</v>
      </c>
      <c r="G2574" s="4">
        <v>1.0855387722472336</v>
      </c>
      <c r="H2574" s="2">
        <v>50</v>
      </c>
      <c r="I2574" s="2">
        <v>5</v>
      </c>
      <c r="J2574" s="2">
        <v>16</v>
      </c>
      <c r="K2574" s="4">
        <v>0.26294725800669283</v>
      </c>
      <c r="L2574" s="4">
        <v>9.790316199519157E-2</v>
      </c>
      <c r="M2574" s="4">
        <v>9.790316199519157E-2</v>
      </c>
      <c r="N2574" s="10">
        <v>9.8000000000000004E-2</v>
      </c>
      <c r="O2574" s="4">
        <v>0.5277890607791359</v>
      </c>
      <c r="P2574" s="4">
        <v>0.53</v>
      </c>
      <c r="Q2574" s="3" t="s">
        <v>1597</v>
      </c>
      <c r="R2574" s="3" t="s">
        <v>1613</v>
      </c>
      <c r="S2574" s="3" t="s">
        <v>1614</v>
      </c>
      <c r="T2574" s="3"/>
    </row>
    <row r="2575" spans="1:20">
      <c r="A2575" s="3" t="s">
        <v>1604</v>
      </c>
      <c r="B2575" s="3" t="s">
        <v>1601</v>
      </c>
      <c r="C2575" s="3" t="s">
        <v>1596</v>
      </c>
      <c r="D2575" s="3" t="s">
        <v>1162</v>
      </c>
      <c r="E2575" s="3" t="s">
        <v>1163</v>
      </c>
      <c r="F2575" s="2">
        <v>1</v>
      </c>
      <c r="G2575" s="4">
        <v>1.0855387722472336</v>
      </c>
      <c r="H2575" s="2">
        <v>25</v>
      </c>
      <c r="I2575" s="2">
        <v>30</v>
      </c>
      <c r="J2575" s="2">
        <v>16</v>
      </c>
      <c r="K2575" s="4">
        <v>0.24072444164603224</v>
      </c>
      <c r="L2575" s="4">
        <v>3.863187313783898E-2</v>
      </c>
      <c r="M2575" s="4">
        <v>3.863187313783898E-2</v>
      </c>
      <c r="N2575" s="10">
        <v>3.9E-2</v>
      </c>
      <c r="O2575" s="4">
        <v>0.19162973685560553</v>
      </c>
      <c r="P2575" s="4">
        <v>0.19</v>
      </c>
      <c r="Q2575" s="3" t="s">
        <v>1597</v>
      </c>
      <c r="R2575" s="3" t="s">
        <v>1602</v>
      </c>
      <c r="S2575" s="3" t="s">
        <v>1603</v>
      </c>
      <c r="T2575" s="3"/>
    </row>
    <row r="2576" spans="1:20">
      <c r="A2576" s="3" t="s">
        <v>1600</v>
      </c>
      <c r="B2576" s="3" t="s">
        <v>1601</v>
      </c>
      <c r="C2576" s="3" t="s">
        <v>1616</v>
      </c>
      <c r="D2576" s="3" t="s">
        <v>1162</v>
      </c>
      <c r="E2576" s="3" t="s">
        <v>1163</v>
      </c>
      <c r="F2576" s="2">
        <v>1</v>
      </c>
      <c r="G2576" s="4">
        <v>1.0855387722472336</v>
      </c>
      <c r="H2576" s="2">
        <v>25</v>
      </c>
      <c r="I2576" s="2">
        <v>5</v>
      </c>
      <c r="J2576" s="2">
        <v>1</v>
      </c>
      <c r="K2576" s="4">
        <v>0</v>
      </c>
      <c r="L2576" s="4">
        <v>0</v>
      </c>
      <c r="M2576" s="4">
        <v>0</v>
      </c>
      <c r="N2576" s="10">
        <v>0</v>
      </c>
      <c r="O2576" s="4">
        <v>0</v>
      </c>
      <c r="P2576" s="4">
        <v>0</v>
      </c>
      <c r="Q2576" s="3" t="s">
        <v>1617</v>
      </c>
      <c r="R2576" s="3" t="s">
        <v>1618</v>
      </c>
      <c r="S2576" s="3" t="s">
        <v>1619</v>
      </c>
      <c r="T2576" s="3"/>
    </row>
    <row r="2577" spans="1:20">
      <c r="A2577" s="3" t="s">
        <v>1600</v>
      </c>
      <c r="B2577" s="3" t="s">
        <v>1601</v>
      </c>
      <c r="C2577" s="3" t="s">
        <v>1596</v>
      </c>
      <c r="D2577" s="3" t="s">
        <v>1162</v>
      </c>
      <c r="E2577" s="3" t="s">
        <v>1163</v>
      </c>
      <c r="F2577" s="2">
        <v>1</v>
      </c>
      <c r="G2577" s="4">
        <v>1.0855387722472336</v>
      </c>
      <c r="H2577" s="2">
        <v>25</v>
      </c>
      <c r="I2577" s="2">
        <v>5</v>
      </c>
      <c r="J2577" s="2">
        <v>1</v>
      </c>
      <c r="K2577" s="4">
        <v>0</v>
      </c>
      <c r="L2577" s="4">
        <v>0</v>
      </c>
      <c r="M2577" s="4">
        <v>0</v>
      </c>
      <c r="N2577" s="10">
        <v>0</v>
      </c>
      <c r="O2577" s="4">
        <v>0</v>
      </c>
      <c r="P2577" s="4">
        <v>0</v>
      </c>
      <c r="Q2577" s="3" t="s">
        <v>1617</v>
      </c>
      <c r="R2577" s="3" t="s">
        <v>1618</v>
      </c>
      <c r="S2577" s="3" t="s">
        <v>1619</v>
      </c>
      <c r="T2577" s="3"/>
    </row>
    <row r="2578" spans="1:20">
      <c r="A2578" s="3" t="s">
        <v>1600</v>
      </c>
      <c r="B2578" s="3" t="s">
        <v>1606</v>
      </c>
      <c r="C2578" s="3" t="s">
        <v>1596</v>
      </c>
      <c r="D2578" s="3" t="s">
        <v>1162</v>
      </c>
      <c r="E2578" s="3" t="s">
        <v>1163</v>
      </c>
      <c r="F2578" s="2">
        <v>1</v>
      </c>
      <c r="G2578" s="4">
        <v>1.0855387722472336</v>
      </c>
      <c r="H2578" s="2">
        <v>25</v>
      </c>
      <c r="I2578" s="2">
        <v>5</v>
      </c>
      <c r="J2578" s="2">
        <v>1</v>
      </c>
      <c r="K2578" s="4">
        <v>0</v>
      </c>
      <c r="L2578" s="4">
        <v>0</v>
      </c>
      <c r="M2578" s="4">
        <v>0</v>
      </c>
      <c r="N2578" s="10">
        <v>0</v>
      </c>
      <c r="O2578" s="4">
        <v>0</v>
      </c>
      <c r="P2578" s="4">
        <v>0</v>
      </c>
      <c r="Q2578" s="3" t="s">
        <v>1617</v>
      </c>
      <c r="R2578" s="3" t="s">
        <v>1621</v>
      </c>
      <c r="S2578" s="3" t="s">
        <v>1622</v>
      </c>
      <c r="T2578" s="3"/>
    </row>
    <row r="2579" spans="1:20">
      <c r="A2579" s="3" t="s">
        <v>1600</v>
      </c>
      <c r="B2579" s="3" t="s">
        <v>1606</v>
      </c>
      <c r="C2579" s="3" t="s">
        <v>1616</v>
      </c>
      <c r="D2579" s="3" t="s">
        <v>1162</v>
      </c>
      <c r="E2579" s="3" t="s">
        <v>1163</v>
      </c>
      <c r="F2579" s="2">
        <v>1</v>
      </c>
      <c r="G2579" s="4">
        <v>1.0855387722472336</v>
      </c>
      <c r="H2579" s="2">
        <v>25</v>
      </c>
      <c r="I2579" s="2">
        <v>5</v>
      </c>
      <c r="J2579" s="2">
        <v>1</v>
      </c>
      <c r="K2579" s="4">
        <v>0</v>
      </c>
      <c r="L2579" s="4">
        <v>0</v>
      </c>
      <c r="M2579" s="4">
        <v>0</v>
      </c>
      <c r="N2579" s="10">
        <v>0</v>
      </c>
      <c r="O2579" s="4">
        <v>0</v>
      </c>
      <c r="P2579" s="4">
        <v>0</v>
      </c>
      <c r="Q2579" s="3" t="s">
        <v>1617</v>
      </c>
      <c r="R2579" s="3" t="s">
        <v>1621</v>
      </c>
      <c r="S2579" s="3" t="s">
        <v>1622</v>
      </c>
      <c r="T2579" s="3"/>
    </row>
    <row r="2580" spans="1:20">
      <c r="A2580" s="3" t="s">
        <v>1600</v>
      </c>
      <c r="B2580" s="3" t="s">
        <v>1606</v>
      </c>
      <c r="C2580" s="3" t="s">
        <v>1596</v>
      </c>
      <c r="D2580" s="3" t="s">
        <v>1162</v>
      </c>
      <c r="E2580" s="3" t="s">
        <v>1163</v>
      </c>
      <c r="F2580" s="2">
        <v>1</v>
      </c>
      <c r="G2580" s="4">
        <v>1.0855387722472336</v>
      </c>
      <c r="H2580" s="2">
        <v>25</v>
      </c>
      <c r="I2580" s="2">
        <v>5</v>
      </c>
      <c r="J2580" s="2">
        <v>16</v>
      </c>
      <c r="K2580" s="4">
        <v>0.1285367300857988</v>
      </c>
      <c r="L2580" s="4">
        <v>-6.5514588388471753E-3</v>
      </c>
      <c r="M2580" s="4">
        <v>6.5514588388471753E-3</v>
      </c>
      <c r="N2580" s="10">
        <v>7.0000000000000001E-3</v>
      </c>
      <c r="O2580" s="4">
        <v>3.2482180657163233E-2</v>
      </c>
      <c r="P2580" s="4">
        <v>-0.03</v>
      </c>
      <c r="Q2580" s="3" t="s">
        <v>1617</v>
      </c>
      <c r="R2580" s="3" t="s">
        <v>1621</v>
      </c>
      <c r="S2580" s="3" t="s">
        <v>1622</v>
      </c>
      <c r="T2580" s="3"/>
    </row>
    <row r="2581" spans="1:20">
      <c r="A2581" s="3" t="s">
        <v>1600</v>
      </c>
      <c r="B2581" s="3" t="s">
        <v>1609</v>
      </c>
      <c r="C2581" s="3" t="s">
        <v>1596</v>
      </c>
      <c r="D2581" s="3" t="s">
        <v>1162</v>
      </c>
      <c r="E2581" s="3" t="s">
        <v>1163</v>
      </c>
      <c r="F2581" s="2">
        <v>1</v>
      </c>
      <c r="G2581" s="4">
        <v>1.0855387722472336</v>
      </c>
      <c r="H2581" s="2">
        <v>25</v>
      </c>
      <c r="I2581" s="2">
        <v>5</v>
      </c>
      <c r="J2581" s="2">
        <v>16</v>
      </c>
      <c r="K2581" s="4">
        <v>0.13851157275576986</v>
      </c>
      <c r="L2581" s="4">
        <v>-1.3382316391201703E-2</v>
      </c>
      <c r="M2581" s="4">
        <v>1.3382316391201703E-2</v>
      </c>
      <c r="N2581" s="10">
        <v>1.2999999999999999E-2</v>
      </c>
      <c r="O2581" s="4">
        <v>6.6352634023593399E-2</v>
      </c>
      <c r="P2581" s="4">
        <v>-0.06</v>
      </c>
      <c r="Q2581" s="3" t="s">
        <v>1617</v>
      </c>
      <c r="R2581" s="3" t="s">
        <v>1623</v>
      </c>
      <c r="S2581" s="3" t="s">
        <v>1624</v>
      </c>
      <c r="T2581" s="3"/>
    </row>
    <row r="2582" spans="1:20">
      <c r="A2582" s="3" t="s">
        <v>1600</v>
      </c>
      <c r="B2582" s="3" t="s">
        <v>1606</v>
      </c>
      <c r="C2582" s="3" t="s">
        <v>1616</v>
      </c>
      <c r="D2582" s="3" t="s">
        <v>1162</v>
      </c>
      <c r="E2582" s="3" t="s">
        <v>1163</v>
      </c>
      <c r="F2582" s="2">
        <v>1</v>
      </c>
      <c r="G2582" s="4">
        <v>1.0855387722472336</v>
      </c>
      <c r="H2582" s="2">
        <v>25</v>
      </c>
      <c r="I2582" s="2">
        <v>5</v>
      </c>
      <c r="J2582" s="2">
        <v>16</v>
      </c>
      <c r="K2582" s="4">
        <v>0.22272680091343167</v>
      </c>
      <c r="L2582" s="4">
        <v>-2.5337612405071382E-2</v>
      </c>
      <c r="M2582" s="4">
        <v>2.5337612405071382E-2</v>
      </c>
      <c r="N2582" s="10">
        <v>2.5000000000000001E-2</v>
      </c>
      <c r="O2582" s="4">
        <v>0.12564916286495373</v>
      </c>
      <c r="P2582" s="4">
        <v>-0.12</v>
      </c>
      <c r="Q2582" s="3" t="s">
        <v>1617</v>
      </c>
      <c r="R2582" s="3" t="s">
        <v>1621</v>
      </c>
      <c r="S2582" s="3" t="s">
        <v>1622</v>
      </c>
      <c r="T2582" s="3"/>
    </row>
    <row r="2583" spans="1:20">
      <c r="A2583" s="3" t="s">
        <v>1594</v>
      </c>
      <c r="B2583" s="3" t="s">
        <v>1595</v>
      </c>
      <c r="C2583" s="3" t="s">
        <v>1596</v>
      </c>
      <c r="D2583" s="3" t="s">
        <v>1162</v>
      </c>
      <c r="E2583" s="3" t="s">
        <v>1163</v>
      </c>
      <c r="F2583" s="2">
        <v>1</v>
      </c>
      <c r="G2583" s="4">
        <v>1.0855387722472336</v>
      </c>
      <c r="H2583" s="2">
        <v>25</v>
      </c>
      <c r="I2583" s="2">
        <v>5</v>
      </c>
      <c r="J2583" s="2">
        <v>16</v>
      </c>
      <c r="K2583" s="4">
        <v>6.1996864629698667E-3</v>
      </c>
      <c r="L2583" s="4">
        <v>-3.0713342140026419E-2</v>
      </c>
      <c r="M2583" s="4">
        <v>3.0713342140026419E-2</v>
      </c>
      <c r="N2583" s="10">
        <v>3.1E-2</v>
      </c>
      <c r="O2583" s="4">
        <v>0.15232270329200776</v>
      </c>
      <c r="P2583" s="4">
        <v>-0.15</v>
      </c>
      <c r="Q2583" s="3" t="s">
        <v>1617</v>
      </c>
      <c r="R2583" s="3" t="s">
        <v>1625</v>
      </c>
      <c r="S2583" s="3" t="s">
        <v>1626</v>
      </c>
      <c r="T2583" s="3"/>
    </row>
    <row r="2584" spans="1:20">
      <c r="A2584" s="3" t="s">
        <v>1604</v>
      </c>
      <c r="B2584" s="3" t="s">
        <v>1601</v>
      </c>
      <c r="C2584" s="3" t="s">
        <v>1616</v>
      </c>
      <c r="D2584" s="3" t="s">
        <v>1162</v>
      </c>
      <c r="E2584" s="3" t="s">
        <v>1163</v>
      </c>
      <c r="F2584" s="2">
        <v>1</v>
      </c>
      <c r="G2584" s="4">
        <v>1.0855387722472336</v>
      </c>
      <c r="H2584" s="2">
        <v>25</v>
      </c>
      <c r="I2584" s="2">
        <v>30</v>
      </c>
      <c r="J2584" s="2">
        <v>16</v>
      </c>
      <c r="K2584" s="4">
        <v>0.45092034554604554</v>
      </c>
      <c r="L2584" s="4">
        <v>-3.5217054284233849E-2</v>
      </c>
      <c r="M2584" s="4">
        <v>3.5217054284233849E-2</v>
      </c>
      <c r="N2584" s="10">
        <v>3.5000000000000003E-2</v>
      </c>
      <c r="O2584" s="4">
        <v>0.1746761509774494</v>
      </c>
      <c r="P2584" s="4">
        <v>-0.17</v>
      </c>
      <c r="Q2584" s="3" t="s">
        <v>1617</v>
      </c>
      <c r="R2584" s="3" t="s">
        <v>1618</v>
      </c>
      <c r="S2584" s="3" t="s">
        <v>1619</v>
      </c>
      <c r="T2584" s="3"/>
    </row>
    <row r="2585" spans="1:20">
      <c r="A2585" s="3" t="s">
        <v>1600</v>
      </c>
      <c r="B2585" s="3" t="s">
        <v>1601</v>
      </c>
      <c r="C2585" s="3" t="s">
        <v>1616</v>
      </c>
      <c r="D2585" s="3" t="s">
        <v>1162</v>
      </c>
      <c r="E2585" s="3" t="s">
        <v>1163</v>
      </c>
      <c r="F2585" s="2">
        <v>1</v>
      </c>
      <c r="G2585" s="4">
        <v>1.0855387722472336</v>
      </c>
      <c r="H2585" s="2">
        <v>25</v>
      </c>
      <c r="I2585" s="2">
        <v>5</v>
      </c>
      <c r="J2585" s="2">
        <v>16</v>
      </c>
      <c r="K2585" s="4">
        <v>0.14514157202475353</v>
      </c>
      <c r="L2585" s="4">
        <v>-5.9598050413536073E-2</v>
      </c>
      <c r="M2585" s="4">
        <v>5.9598050413536073E-2</v>
      </c>
      <c r="N2585" s="10">
        <v>0.06</v>
      </c>
      <c r="O2585" s="4">
        <v>0.29583393315149897</v>
      </c>
      <c r="P2585" s="4">
        <v>-0.3</v>
      </c>
      <c r="Q2585" s="3" t="s">
        <v>1617</v>
      </c>
      <c r="R2585" s="3" t="s">
        <v>1618</v>
      </c>
      <c r="S2585" s="3" t="s">
        <v>1619</v>
      </c>
      <c r="T2585" s="3"/>
    </row>
    <row r="2586" spans="1:20">
      <c r="A2586" s="3" t="s">
        <v>1605</v>
      </c>
      <c r="B2586" s="3" t="s">
        <v>1601</v>
      </c>
      <c r="C2586" s="3" t="s">
        <v>1596</v>
      </c>
      <c r="D2586" s="3" t="s">
        <v>1162</v>
      </c>
      <c r="E2586" s="3" t="s">
        <v>1163</v>
      </c>
      <c r="F2586" s="2">
        <v>1</v>
      </c>
      <c r="G2586" s="4">
        <v>1.0855387722472336</v>
      </c>
      <c r="H2586" s="2">
        <v>25</v>
      </c>
      <c r="I2586" s="2">
        <v>5</v>
      </c>
      <c r="J2586" s="2">
        <v>16</v>
      </c>
      <c r="K2586" s="4">
        <v>9.0231474489769314E-2</v>
      </c>
      <c r="L2586" s="4">
        <v>-6.0656678820048743E-2</v>
      </c>
      <c r="M2586" s="4">
        <v>6.0656678820048743E-2</v>
      </c>
      <c r="N2586" s="10">
        <v>6.0999999999999999E-2</v>
      </c>
      <c r="O2586" s="4">
        <v>0.30110159006830706</v>
      </c>
      <c r="P2586" s="4">
        <v>-0.3</v>
      </c>
      <c r="Q2586" s="3" t="s">
        <v>1617</v>
      </c>
      <c r="R2586" s="3" t="s">
        <v>1618</v>
      </c>
      <c r="S2586" s="3" t="s">
        <v>1619</v>
      </c>
      <c r="T2586" s="3"/>
    </row>
    <row r="2587" spans="1:20">
      <c r="A2587" s="3" t="s">
        <v>1594</v>
      </c>
      <c r="B2587" s="3" t="s">
        <v>1595</v>
      </c>
      <c r="C2587" s="3" t="s">
        <v>1596</v>
      </c>
      <c r="D2587" s="3" t="s">
        <v>1162</v>
      </c>
      <c r="E2587" s="3" t="s">
        <v>1163</v>
      </c>
      <c r="F2587" s="2">
        <v>1</v>
      </c>
      <c r="G2587" s="4">
        <v>1.0855387722472336</v>
      </c>
      <c r="H2587" s="2">
        <v>50</v>
      </c>
      <c r="I2587" s="2">
        <v>5</v>
      </c>
      <c r="J2587" s="2">
        <v>16</v>
      </c>
      <c r="K2587" s="4">
        <v>0.35765393777570964</v>
      </c>
      <c r="L2587" s="4">
        <v>-6.8020543511283962E-2</v>
      </c>
      <c r="M2587" s="4">
        <v>6.8020543511283962E-2</v>
      </c>
      <c r="N2587" s="10">
        <v>6.8000000000000005E-2</v>
      </c>
      <c r="O2587" s="4">
        <v>0.36608466345835167</v>
      </c>
      <c r="P2587" s="4">
        <v>-0.37</v>
      </c>
      <c r="Q2587" s="3" t="s">
        <v>1617</v>
      </c>
      <c r="R2587" s="3" t="s">
        <v>1625</v>
      </c>
      <c r="S2587" s="3" t="s">
        <v>1626</v>
      </c>
      <c r="T2587" s="3"/>
    </row>
    <row r="2588" spans="1:20">
      <c r="A2588" s="3" t="s">
        <v>1600</v>
      </c>
      <c r="B2588" s="3" t="s">
        <v>1601</v>
      </c>
      <c r="C2588" s="3" t="s">
        <v>1596</v>
      </c>
      <c r="D2588" s="3" t="s">
        <v>1162</v>
      </c>
      <c r="E2588" s="3" t="s">
        <v>1163</v>
      </c>
      <c r="F2588" s="2">
        <v>1</v>
      </c>
      <c r="G2588" s="4">
        <v>1.0855387722472336</v>
      </c>
      <c r="H2588" s="2">
        <v>25</v>
      </c>
      <c r="I2588" s="2">
        <v>5</v>
      </c>
      <c r="J2588" s="2">
        <v>16</v>
      </c>
      <c r="K2588" s="4">
        <v>9.0791089697814575E-2</v>
      </c>
      <c r="L2588" s="4">
        <v>-8.6090450021077319E-2</v>
      </c>
      <c r="M2588" s="4">
        <v>8.6090450021077319E-2</v>
      </c>
      <c r="N2588" s="10">
        <v>8.5999999999999993E-2</v>
      </c>
      <c r="O2588" s="4">
        <v>0.42789018103907589</v>
      </c>
      <c r="P2588" s="4">
        <v>-0.43</v>
      </c>
      <c r="Q2588" s="3" t="s">
        <v>1617</v>
      </c>
      <c r="R2588" s="3" t="s">
        <v>1618</v>
      </c>
      <c r="S2588" s="3" t="s">
        <v>1619</v>
      </c>
      <c r="T2588" s="3"/>
    </row>
    <row r="2589" spans="1:20">
      <c r="A2589" s="3" t="s">
        <v>1594</v>
      </c>
      <c r="B2589" s="3" t="s">
        <v>1595</v>
      </c>
      <c r="C2589" s="3" t="s">
        <v>1596</v>
      </c>
      <c r="D2589" s="3" t="s">
        <v>290</v>
      </c>
      <c r="E2589" s="3" t="s">
        <v>291</v>
      </c>
      <c r="F2589" s="2">
        <v>1</v>
      </c>
      <c r="G2589" s="4">
        <v>1.0856472931087093</v>
      </c>
      <c r="H2589" s="2">
        <v>50</v>
      </c>
      <c r="I2589" s="2">
        <v>5</v>
      </c>
      <c r="J2589" s="2">
        <v>16</v>
      </c>
      <c r="K2589" s="4">
        <v>1</v>
      </c>
      <c r="L2589" s="14">
        <v>3.7958103929547168E-2</v>
      </c>
      <c r="M2589" s="4">
        <v>3.7958103929547168E-2</v>
      </c>
      <c r="N2589" s="10">
        <v>3.7999999999999999E-2</v>
      </c>
      <c r="O2589" s="4">
        <v>0.20407204389239614</v>
      </c>
      <c r="P2589" s="4">
        <v>0.2</v>
      </c>
      <c r="Q2589" s="3" t="s">
        <v>1597</v>
      </c>
      <c r="R2589" s="3" t="s">
        <v>1598</v>
      </c>
      <c r="S2589" s="3" t="s">
        <v>1599</v>
      </c>
      <c r="T2589" s="3"/>
    </row>
    <row r="2590" spans="1:20">
      <c r="A2590" s="3" t="s">
        <v>1604</v>
      </c>
      <c r="B2590" s="3" t="s">
        <v>1601</v>
      </c>
      <c r="C2590" s="3" t="s">
        <v>1596</v>
      </c>
      <c r="D2590" s="3" t="s">
        <v>290</v>
      </c>
      <c r="E2590" s="3" t="s">
        <v>291</v>
      </c>
      <c r="F2590" s="2">
        <v>1</v>
      </c>
      <c r="G2590" s="4">
        <v>1.0856472931087093</v>
      </c>
      <c r="H2590" s="2">
        <v>25</v>
      </c>
      <c r="I2590" s="2">
        <v>30</v>
      </c>
      <c r="J2590" s="2">
        <v>16</v>
      </c>
      <c r="K2590" s="4">
        <v>1</v>
      </c>
      <c r="L2590" s="4">
        <v>-0.16330971343069722</v>
      </c>
      <c r="M2590" s="4">
        <v>0.16330971343069722</v>
      </c>
      <c r="N2590" s="10">
        <v>0.16300000000000001</v>
      </c>
      <c r="O2590" s="4">
        <v>0.81699465365467761</v>
      </c>
      <c r="P2590" s="4">
        <v>-0.82</v>
      </c>
      <c r="Q2590" s="3" t="s">
        <v>1617</v>
      </c>
      <c r="R2590" s="3" t="s">
        <v>1618</v>
      </c>
      <c r="S2590" s="3" t="s">
        <v>1619</v>
      </c>
      <c r="T2590" s="3"/>
    </row>
    <row r="2591" spans="1:20">
      <c r="A2591" s="12" t="s">
        <v>1605</v>
      </c>
      <c r="B2591" s="3" t="s">
        <v>1601</v>
      </c>
      <c r="C2591" s="3" t="s">
        <v>1596</v>
      </c>
      <c r="D2591" s="3" t="s">
        <v>290</v>
      </c>
      <c r="E2591" s="3" t="s">
        <v>291</v>
      </c>
      <c r="F2591" s="2">
        <v>1</v>
      </c>
      <c r="G2591" s="4">
        <v>1.0856472931087093</v>
      </c>
      <c r="H2591" s="2">
        <v>25</v>
      </c>
      <c r="I2591" s="2">
        <v>5</v>
      </c>
      <c r="J2591" s="2">
        <v>16</v>
      </c>
      <c r="K2591" s="11">
        <v>1</v>
      </c>
      <c r="L2591" s="11">
        <v>-0.16412149828073033</v>
      </c>
      <c r="M2591" s="4">
        <v>0.16412149828073033</v>
      </c>
      <c r="N2591" s="10">
        <v>0.16400000000000001</v>
      </c>
      <c r="O2591" s="4">
        <v>0.82113027782914061</v>
      </c>
      <c r="P2591" s="4">
        <v>-0.82</v>
      </c>
      <c r="Q2591" s="3" t="s">
        <v>1617</v>
      </c>
      <c r="R2591" s="3" t="s">
        <v>1618</v>
      </c>
      <c r="S2591" s="3" t="s">
        <v>1619</v>
      </c>
      <c r="T2591" s="3"/>
    </row>
    <row r="2592" spans="1:20">
      <c r="A2592" s="3" t="s">
        <v>1600</v>
      </c>
      <c r="B2592" s="3" t="s">
        <v>1609</v>
      </c>
      <c r="C2592" s="3" t="s">
        <v>1616</v>
      </c>
      <c r="D2592" s="3" t="s">
        <v>290</v>
      </c>
      <c r="E2592" s="3" t="s">
        <v>291</v>
      </c>
      <c r="F2592" s="2">
        <v>1</v>
      </c>
      <c r="G2592" s="4">
        <v>1.0856472931087093</v>
      </c>
      <c r="H2592" s="2">
        <v>25</v>
      </c>
      <c r="I2592" s="2">
        <v>5</v>
      </c>
      <c r="J2592" s="2">
        <v>1</v>
      </c>
      <c r="K2592" s="4">
        <v>1</v>
      </c>
      <c r="L2592" s="4">
        <v>-0.18085950844965143</v>
      </c>
      <c r="M2592" s="4">
        <v>0.18085950844965143</v>
      </c>
      <c r="N2592" s="10">
        <v>0.18099999999999999</v>
      </c>
      <c r="O2592" s="4">
        <v>0.90666337272331921</v>
      </c>
      <c r="P2592" s="4">
        <v>-0.91</v>
      </c>
      <c r="Q2592" s="3" t="s">
        <v>1617</v>
      </c>
      <c r="R2592" s="3" t="s">
        <v>1623</v>
      </c>
      <c r="S2592" s="3" t="s">
        <v>1624</v>
      </c>
      <c r="T2592" s="3"/>
    </row>
    <row r="2593" spans="1:20">
      <c r="A2593" s="3" t="s">
        <v>1600</v>
      </c>
      <c r="B2593" s="3" t="s">
        <v>1601</v>
      </c>
      <c r="C2593" s="3" t="s">
        <v>1596</v>
      </c>
      <c r="D2593" s="3" t="s">
        <v>290</v>
      </c>
      <c r="E2593" s="3" t="s">
        <v>291</v>
      </c>
      <c r="F2593" s="2">
        <v>1</v>
      </c>
      <c r="G2593" s="4">
        <v>1.0856472931087093</v>
      </c>
      <c r="H2593" s="2">
        <v>25</v>
      </c>
      <c r="I2593" s="2">
        <v>5</v>
      </c>
      <c r="J2593" s="2">
        <v>1</v>
      </c>
      <c r="K2593" s="4">
        <v>0.71208149707556734</v>
      </c>
      <c r="L2593" s="4">
        <v>-0.19163952771032644</v>
      </c>
      <c r="M2593" s="4">
        <v>0.19163952771032644</v>
      </c>
      <c r="N2593" s="10">
        <v>0.192</v>
      </c>
      <c r="O2593" s="4">
        <v>0.96203128641476532</v>
      </c>
      <c r="P2593" s="4">
        <v>-0.96</v>
      </c>
      <c r="Q2593" s="3" t="s">
        <v>1617</v>
      </c>
      <c r="R2593" s="3" t="s">
        <v>1618</v>
      </c>
      <c r="S2593" s="3" t="s">
        <v>1619</v>
      </c>
      <c r="T2593" s="3"/>
    </row>
    <row r="2594" spans="1:20">
      <c r="A2594" s="3" t="s">
        <v>1600</v>
      </c>
      <c r="B2594" s="3" t="s">
        <v>1601</v>
      </c>
      <c r="C2594" s="3" t="s">
        <v>1596</v>
      </c>
      <c r="D2594" s="3" t="s">
        <v>290</v>
      </c>
      <c r="E2594" s="3" t="s">
        <v>291</v>
      </c>
      <c r="F2594" s="2">
        <v>1</v>
      </c>
      <c r="G2594" s="4">
        <v>1.0856472931087093</v>
      </c>
      <c r="H2594" s="2">
        <v>25</v>
      </c>
      <c r="I2594" s="2">
        <v>5</v>
      </c>
      <c r="J2594" s="2">
        <v>16</v>
      </c>
      <c r="K2594" s="4">
        <v>1</v>
      </c>
      <c r="L2594" s="4">
        <v>-0.19407686305625216</v>
      </c>
      <c r="M2594" s="4">
        <v>0.19407686305625216</v>
      </c>
      <c r="N2594" s="10">
        <v>0.19400000000000001</v>
      </c>
      <c r="O2594" s="4">
        <v>0.97458227201387226</v>
      </c>
      <c r="P2594" s="4">
        <v>-0.97</v>
      </c>
      <c r="Q2594" s="3" t="s">
        <v>1617</v>
      </c>
      <c r="R2594" s="3" t="s">
        <v>1618</v>
      </c>
      <c r="S2594" s="3" t="s">
        <v>1619</v>
      </c>
      <c r="T2594" s="3"/>
    </row>
    <row r="2595" spans="1:20">
      <c r="A2595" s="3" t="s">
        <v>1600</v>
      </c>
      <c r="B2595" s="3" t="s">
        <v>1609</v>
      </c>
      <c r="C2595" s="3" t="s">
        <v>1596</v>
      </c>
      <c r="D2595" s="3" t="s">
        <v>290</v>
      </c>
      <c r="E2595" s="3" t="s">
        <v>291</v>
      </c>
      <c r="F2595" s="2">
        <v>1</v>
      </c>
      <c r="G2595" s="4">
        <v>1.0856472931087093</v>
      </c>
      <c r="H2595" s="2">
        <v>25</v>
      </c>
      <c r="I2595" s="2">
        <v>5</v>
      </c>
      <c r="J2595" s="2">
        <v>16</v>
      </c>
      <c r="K2595" s="4">
        <v>0.83631504265965595</v>
      </c>
      <c r="L2595" s="4">
        <v>-0.21587416436086293</v>
      </c>
      <c r="M2595" s="4">
        <v>0.21587416436086293</v>
      </c>
      <c r="N2595" s="10">
        <v>0.216</v>
      </c>
      <c r="O2595" s="4">
        <v>1.0873970642027722</v>
      </c>
      <c r="P2595" s="4">
        <v>-1.0900000000000001</v>
      </c>
      <c r="Q2595" s="3" t="s">
        <v>1617</v>
      </c>
      <c r="R2595" s="3" t="s">
        <v>1623</v>
      </c>
      <c r="S2595" s="3" t="s">
        <v>1624</v>
      </c>
      <c r="T2595" s="3"/>
    </row>
    <row r="2596" spans="1:20">
      <c r="A2596" s="3" t="s">
        <v>1594</v>
      </c>
      <c r="B2596" s="3" t="s">
        <v>1612</v>
      </c>
      <c r="C2596" s="3" t="s">
        <v>1596</v>
      </c>
      <c r="D2596" s="3" t="s">
        <v>290</v>
      </c>
      <c r="E2596" s="3" t="s">
        <v>291</v>
      </c>
      <c r="F2596" s="2">
        <v>1</v>
      </c>
      <c r="G2596" s="4">
        <v>1.0856472931087093</v>
      </c>
      <c r="H2596" s="2">
        <v>50</v>
      </c>
      <c r="I2596" s="2">
        <v>5</v>
      </c>
      <c r="J2596" s="2">
        <v>16</v>
      </c>
      <c r="K2596" s="4">
        <v>0.61812421196369927</v>
      </c>
      <c r="L2596" s="14">
        <v>-0.21762189195519338</v>
      </c>
      <c r="M2596" s="4">
        <v>0.21762189195519338</v>
      </c>
      <c r="N2596" s="10">
        <v>0.218</v>
      </c>
      <c r="O2596" s="4">
        <v>1.1884304234930629</v>
      </c>
      <c r="P2596" s="4">
        <v>-1.19</v>
      </c>
      <c r="Q2596" s="3" t="s">
        <v>1617</v>
      </c>
      <c r="R2596" s="3" t="s">
        <v>1627</v>
      </c>
      <c r="S2596" s="3" t="s">
        <v>1628</v>
      </c>
      <c r="T2596" s="3"/>
    </row>
    <row r="2597" spans="1:20">
      <c r="A2597" s="3" t="s">
        <v>1600</v>
      </c>
      <c r="B2597" s="3" t="s">
        <v>1606</v>
      </c>
      <c r="C2597" s="3" t="s">
        <v>1596</v>
      </c>
      <c r="D2597" s="3" t="s">
        <v>290</v>
      </c>
      <c r="E2597" s="3" t="s">
        <v>291</v>
      </c>
      <c r="F2597" s="2">
        <v>1</v>
      </c>
      <c r="G2597" s="4">
        <v>1.0856472931087093</v>
      </c>
      <c r="H2597" s="2">
        <v>25</v>
      </c>
      <c r="I2597" s="2">
        <v>5</v>
      </c>
      <c r="J2597" s="2">
        <v>16</v>
      </c>
      <c r="K2597" s="11">
        <v>1</v>
      </c>
      <c r="L2597" s="11">
        <v>-0.23213892490116275</v>
      </c>
      <c r="M2597" s="4">
        <v>0.23213892490116275</v>
      </c>
      <c r="N2597" s="10">
        <v>0.23200000000000001</v>
      </c>
      <c r="O2597" s="4">
        <v>1.1722992815833904</v>
      </c>
      <c r="P2597" s="4">
        <v>-1.17</v>
      </c>
      <c r="Q2597" s="3" t="s">
        <v>1617</v>
      </c>
      <c r="R2597" s="3" t="s">
        <v>1621</v>
      </c>
      <c r="S2597" s="3" t="s">
        <v>1622</v>
      </c>
      <c r="T2597" s="3"/>
    </row>
    <row r="2598" spans="1:20">
      <c r="A2598" s="3" t="s">
        <v>1604</v>
      </c>
      <c r="B2598" s="3" t="s">
        <v>1601</v>
      </c>
      <c r="C2598" s="3" t="s">
        <v>1616</v>
      </c>
      <c r="D2598" s="3" t="s">
        <v>290</v>
      </c>
      <c r="E2598" s="3" t="s">
        <v>291</v>
      </c>
      <c r="F2598" s="2">
        <v>1</v>
      </c>
      <c r="G2598" s="4">
        <v>1.0856472931087093</v>
      </c>
      <c r="H2598" s="2">
        <v>25</v>
      </c>
      <c r="I2598" s="2">
        <v>30</v>
      </c>
      <c r="J2598" s="2">
        <v>16</v>
      </c>
      <c r="K2598" s="4">
        <v>1</v>
      </c>
      <c r="L2598" s="4">
        <v>-0.23298560199064516</v>
      </c>
      <c r="M2598" s="4">
        <v>0.23298560199064516</v>
      </c>
      <c r="N2598" s="10">
        <v>0.23300000000000001</v>
      </c>
      <c r="O2598" s="4">
        <v>1.1767370718290933</v>
      </c>
      <c r="P2598" s="4">
        <v>-1.18</v>
      </c>
      <c r="Q2598" s="3" t="s">
        <v>1617</v>
      </c>
      <c r="R2598" s="3" t="s">
        <v>1618</v>
      </c>
      <c r="S2598" s="3" t="s">
        <v>1619</v>
      </c>
      <c r="T2598" s="3"/>
    </row>
    <row r="2599" spans="1:20">
      <c r="A2599" s="3" t="s">
        <v>1600</v>
      </c>
      <c r="B2599" s="3" t="s">
        <v>1609</v>
      </c>
      <c r="C2599" s="3" t="s">
        <v>1616</v>
      </c>
      <c r="D2599" s="3" t="s">
        <v>290</v>
      </c>
      <c r="E2599" s="3" t="s">
        <v>291</v>
      </c>
      <c r="F2599" s="2">
        <v>1</v>
      </c>
      <c r="G2599" s="4">
        <v>1.0856472931087093</v>
      </c>
      <c r="H2599" s="2">
        <v>25</v>
      </c>
      <c r="I2599" s="2">
        <v>5</v>
      </c>
      <c r="J2599" s="2">
        <v>16</v>
      </c>
      <c r="K2599" s="11">
        <v>1</v>
      </c>
      <c r="L2599" s="11">
        <v>-0.23441585763810774</v>
      </c>
      <c r="M2599" s="4">
        <v>0.23441585763810774</v>
      </c>
      <c r="N2599" s="10">
        <v>0.23400000000000001</v>
      </c>
      <c r="O2599" s="4">
        <v>1.1842378527518407</v>
      </c>
      <c r="P2599" s="4">
        <v>-1.18</v>
      </c>
      <c r="Q2599" s="3" t="s">
        <v>1617</v>
      </c>
      <c r="R2599" s="3" t="s">
        <v>1623</v>
      </c>
      <c r="S2599" s="3" t="s">
        <v>1624</v>
      </c>
      <c r="T2599" s="3"/>
    </row>
    <row r="2600" spans="1:20">
      <c r="A2600" s="3" t="s">
        <v>1600</v>
      </c>
      <c r="B2600" s="3" t="s">
        <v>1606</v>
      </c>
      <c r="C2600" s="3" t="s">
        <v>1596</v>
      </c>
      <c r="D2600" s="3" t="s">
        <v>290</v>
      </c>
      <c r="E2600" s="3" t="s">
        <v>291</v>
      </c>
      <c r="F2600" s="2">
        <v>1</v>
      </c>
      <c r="G2600" s="4">
        <v>1.0856472931087093</v>
      </c>
      <c r="H2600" s="2">
        <v>25</v>
      </c>
      <c r="I2600" s="2">
        <v>5</v>
      </c>
      <c r="J2600" s="2">
        <v>1</v>
      </c>
      <c r="K2600" s="11">
        <v>1</v>
      </c>
      <c r="L2600" s="11">
        <v>-0.24251005720558919</v>
      </c>
      <c r="M2600" s="4">
        <v>0.24251005720558919</v>
      </c>
      <c r="N2600" s="10">
        <v>0.24299999999999999</v>
      </c>
      <c r="O2600" s="4">
        <v>1.2267882795911462</v>
      </c>
      <c r="P2600" s="4">
        <v>-1.23</v>
      </c>
      <c r="Q2600" s="3" t="s">
        <v>1617</v>
      </c>
      <c r="R2600" s="3" t="s">
        <v>1621</v>
      </c>
      <c r="S2600" s="3" t="s">
        <v>1622</v>
      </c>
      <c r="T2600" s="3"/>
    </row>
    <row r="2601" spans="1:20">
      <c r="A2601" s="3" t="s">
        <v>1600</v>
      </c>
      <c r="B2601" s="3" t="s">
        <v>1601</v>
      </c>
      <c r="C2601" s="3" t="s">
        <v>1616</v>
      </c>
      <c r="D2601" s="3" t="s">
        <v>290</v>
      </c>
      <c r="E2601" s="3" t="s">
        <v>291</v>
      </c>
      <c r="F2601" s="2">
        <v>1</v>
      </c>
      <c r="G2601" s="4">
        <v>1.0856472931087093</v>
      </c>
      <c r="H2601" s="2">
        <v>25</v>
      </c>
      <c r="I2601" s="2">
        <v>5</v>
      </c>
      <c r="J2601" s="2">
        <v>1</v>
      </c>
      <c r="K2601" s="4">
        <v>1</v>
      </c>
      <c r="L2601" s="4">
        <v>-0.24857936237583028</v>
      </c>
      <c r="M2601" s="4">
        <v>0.24857936237583028</v>
      </c>
      <c r="N2601" s="10">
        <v>0.249</v>
      </c>
      <c r="O2601" s="4">
        <v>1.2588103106877471</v>
      </c>
      <c r="P2601" s="4">
        <v>-1.26</v>
      </c>
      <c r="Q2601" s="3" t="s">
        <v>1617</v>
      </c>
      <c r="R2601" s="3" t="s">
        <v>1618</v>
      </c>
      <c r="S2601" s="3" t="s">
        <v>1619</v>
      </c>
      <c r="T2601" s="3"/>
    </row>
    <row r="2602" spans="1:20">
      <c r="A2602" s="3" t="s">
        <v>1600</v>
      </c>
      <c r="B2602" s="3" t="s">
        <v>1606</v>
      </c>
      <c r="C2602" s="3" t="s">
        <v>1616</v>
      </c>
      <c r="D2602" s="3" t="s">
        <v>290</v>
      </c>
      <c r="E2602" s="3" t="s">
        <v>291</v>
      </c>
      <c r="F2602" s="2">
        <v>1</v>
      </c>
      <c r="G2602" s="4">
        <v>1.0856472931087093</v>
      </c>
      <c r="H2602" s="2">
        <v>25</v>
      </c>
      <c r="I2602" s="2">
        <v>5</v>
      </c>
      <c r="J2602" s="2">
        <v>1</v>
      </c>
      <c r="K2602" s="4">
        <v>1</v>
      </c>
      <c r="L2602" s="4">
        <v>-0.25952278415438679</v>
      </c>
      <c r="M2602" s="4">
        <v>0.25952278415438679</v>
      </c>
      <c r="N2602" s="10">
        <v>0.26</v>
      </c>
      <c r="O2602" s="4">
        <v>1.316811337143589</v>
      </c>
      <c r="P2602" s="4">
        <v>-1.32</v>
      </c>
      <c r="Q2602" s="3" t="s">
        <v>1617</v>
      </c>
      <c r="R2602" s="3" t="s">
        <v>1621</v>
      </c>
      <c r="S2602" s="3" t="s">
        <v>1622</v>
      </c>
      <c r="T2602" s="3"/>
    </row>
    <row r="2603" spans="1:20">
      <c r="A2603" s="3" t="s">
        <v>1600</v>
      </c>
      <c r="B2603" s="3" t="s">
        <v>1609</v>
      </c>
      <c r="C2603" s="3" t="s">
        <v>1596</v>
      </c>
      <c r="D2603" s="3" t="s">
        <v>290</v>
      </c>
      <c r="E2603" s="3" t="s">
        <v>291</v>
      </c>
      <c r="F2603" s="2">
        <v>1</v>
      </c>
      <c r="G2603" s="4">
        <v>1.0856472931087093</v>
      </c>
      <c r="H2603" s="2">
        <v>25</v>
      </c>
      <c r="I2603" s="2">
        <v>5</v>
      </c>
      <c r="J2603" s="2">
        <v>1</v>
      </c>
      <c r="K2603" s="11">
        <v>0.2945876560181192</v>
      </c>
      <c r="L2603" s="11">
        <v>-0.26344838358219852</v>
      </c>
      <c r="M2603" s="4">
        <v>0.26344838358219852</v>
      </c>
      <c r="N2603" s="10">
        <v>0.26300000000000001</v>
      </c>
      <c r="O2603" s="4">
        <v>1.337702683722785</v>
      </c>
      <c r="P2603" s="4">
        <v>-1.34</v>
      </c>
      <c r="Q2603" s="3" t="s">
        <v>1617</v>
      </c>
      <c r="R2603" s="3" t="s">
        <v>1623</v>
      </c>
      <c r="S2603" s="3" t="s">
        <v>1624</v>
      </c>
      <c r="T2603" s="3"/>
    </row>
    <row r="2604" spans="1:20">
      <c r="A2604" s="3" t="s">
        <v>1600</v>
      </c>
      <c r="B2604" s="3" t="s">
        <v>1601</v>
      </c>
      <c r="C2604" s="3" t="s">
        <v>1616</v>
      </c>
      <c r="D2604" s="3" t="s">
        <v>290</v>
      </c>
      <c r="E2604" s="3" t="s">
        <v>291</v>
      </c>
      <c r="F2604" s="2">
        <v>1</v>
      </c>
      <c r="G2604" s="4">
        <v>1.0856472931087093</v>
      </c>
      <c r="H2604" s="2">
        <v>25</v>
      </c>
      <c r="I2604" s="2">
        <v>5</v>
      </c>
      <c r="J2604" s="2">
        <v>16</v>
      </c>
      <c r="K2604" s="4">
        <v>1</v>
      </c>
      <c r="L2604" s="4">
        <v>-0.26855174232592971</v>
      </c>
      <c r="M2604" s="4">
        <v>0.26855174232592971</v>
      </c>
      <c r="N2604" s="10">
        <v>0.26900000000000002</v>
      </c>
      <c r="O2604" s="4">
        <v>1.3649314910438317</v>
      </c>
      <c r="P2604" s="4">
        <v>-1.37</v>
      </c>
      <c r="Q2604" s="3" t="s">
        <v>1617</v>
      </c>
      <c r="R2604" s="3" t="s">
        <v>1618</v>
      </c>
      <c r="S2604" s="3" t="s">
        <v>1619</v>
      </c>
      <c r="T2604" s="3"/>
    </row>
    <row r="2605" spans="1:20">
      <c r="A2605" s="3" t="s">
        <v>1600</v>
      </c>
      <c r="B2605" s="3" t="s">
        <v>1606</v>
      </c>
      <c r="C2605" s="3" t="s">
        <v>1616</v>
      </c>
      <c r="D2605" s="3" t="s">
        <v>290</v>
      </c>
      <c r="E2605" s="3" t="s">
        <v>291</v>
      </c>
      <c r="F2605" s="2">
        <v>1</v>
      </c>
      <c r="G2605" s="4">
        <v>1.0856472931087093</v>
      </c>
      <c r="H2605" s="2">
        <v>25</v>
      </c>
      <c r="I2605" s="2">
        <v>5</v>
      </c>
      <c r="J2605" s="2">
        <v>16</v>
      </c>
      <c r="K2605" s="11">
        <v>1</v>
      </c>
      <c r="L2605" s="11">
        <v>-0.27540974984001565</v>
      </c>
      <c r="M2605" s="4">
        <v>0.27540974984001565</v>
      </c>
      <c r="N2605" s="10">
        <v>0.27500000000000002</v>
      </c>
      <c r="O2605" s="4">
        <v>1.4016493987945677</v>
      </c>
      <c r="P2605" s="4">
        <v>-1.4</v>
      </c>
      <c r="Q2605" s="3" t="s">
        <v>1617</v>
      </c>
      <c r="R2605" s="3" t="s">
        <v>1621</v>
      </c>
      <c r="S2605" s="3" t="s">
        <v>1622</v>
      </c>
      <c r="T2605" s="3"/>
    </row>
    <row r="2606" spans="1:20">
      <c r="A2606" s="3" t="s">
        <v>1600</v>
      </c>
      <c r="B2606" s="3" t="s">
        <v>1601</v>
      </c>
      <c r="C2606" s="3" t="s">
        <v>1596</v>
      </c>
      <c r="D2606" s="3" t="s">
        <v>1082</v>
      </c>
      <c r="E2606" s="3" t="s">
        <v>1083</v>
      </c>
      <c r="F2606" s="2">
        <v>1</v>
      </c>
      <c r="G2606" s="4">
        <v>1.085675290030399</v>
      </c>
      <c r="H2606" s="2">
        <v>25</v>
      </c>
      <c r="I2606" s="2">
        <v>5</v>
      </c>
      <c r="J2606" s="2">
        <v>1</v>
      </c>
      <c r="K2606" s="4">
        <v>0</v>
      </c>
      <c r="L2606" s="4">
        <v>0</v>
      </c>
      <c r="M2606" s="4">
        <v>0</v>
      </c>
      <c r="N2606" s="10">
        <v>0</v>
      </c>
      <c r="O2606" s="4">
        <v>0</v>
      </c>
      <c r="P2606" s="4">
        <v>0</v>
      </c>
      <c r="Q2606" s="3" t="s">
        <v>1617</v>
      </c>
      <c r="R2606" s="3" t="s">
        <v>1618</v>
      </c>
      <c r="S2606" s="3" t="s">
        <v>1619</v>
      </c>
      <c r="T2606" s="3"/>
    </row>
    <row r="2607" spans="1:20">
      <c r="A2607" s="3" t="s">
        <v>1594</v>
      </c>
      <c r="B2607" s="3" t="s">
        <v>1595</v>
      </c>
      <c r="C2607" s="3" t="s">
        <v>1596</v>
      </c>
      <c r="D2607" s="3" t="s">
        <v>1082</v>
      </c>
      <c r="E2607" s="3" t="s">
        <v>1083</v>
      </c>
      <c r="F2607" s="2">
        <v>1</v>
      </c>
      <c r="G2607" s="4">
        <v>1.085675290030399</v>
      </c>
      <c r="H2607" s="2">
        <v>25</v>
      </c>
      <c r="I2607" s="2">
        <v>5</v>
      </c>
      <c r="J2607" s="2">
        <v>16</v>
      </c>
      <c r="K2607" s="4">
        <v>0.41724861910906119</v>
      </c>
      <c r="L2607" s="4">
        <v>-3.4613402182903409E-2</v>
      </c>
      <c r="M2607" s="4">
        <v>3.4613402182903409E-2</v>
      </c>
      <c r="N2607" s="10">
        <v>3.5000000000000003E-2</v>
      </c>
      <c r="O2607" s="4">
        <v>0.17167962921080521</v>
      </c>
      <c r="P2607" s="4">
        <v>-0.17</v>
      </c>
      <c r="Q2607" s="3" t="s">
        <v>1617</v>
      </c>
      <c r="R2607" s="3" t="s">
        <v>1625</v>
      </c>
      <c r="S2607" s="3" t="s">
        <v>1626</v>
      </c>
      <c r="T2607" s="3"/>
    </row>
    <row r="2608" spans="1:20">
      <c r="A2608" s="3" t="s">
        <v>1594</v>
      </c>
      <c r="B2608" s="3" t="s">
        <v>1612</v>
      </c>
      <c r="C2608" s="3" t="s">
        <v>1596</v>
      </c>
      <c r="D2608" s="3" t="s">
        <v>1082</v>
      </c>
      <c r="E2608" s="3" t="s">
        <v>1083</v>
      </c>
      <c r="F2608" s="2">
        <v>1</v>
      </c>
      <c r="G2608" s="4">
        <v>1.085675290030399</v>
      </c>
      <c r="H2608" s="2">
        <v>50</v>
      </c>
      <c r="I2608" s="2">
        <v>5</v>
      </c>
      <c r="J2608" s="2">
        <v>16</v>
      </c>
      <c r="K2608" s="4">
        <v>0.41733313802700822</v>
      </c>
      <c r="L2608" s="4">
        <v>-4.6659232192853416E-2</v>
      </c>
      <c r="M2608" s="4">
        <v>4.6659232192853416E-2</v>
      </c>
      <c r="N2608" s="10">
        <v>4.7E-2</v>
      </c>
      <c r="O2608" s="4">
        <v>0.25091310478503387</v>
      </c>
      <c r="P2608" s="4">
        <v>-0.25</v>
      </c>
      <c r="Q2608" s="3" t="s">
        <v>1617</v>
      </c>
      <c r="R2608" s="3" t="s">
        <v>1627</v>
      </c>
      <c r="S2608" s="3" t="s">
        <v>1628</v>
      </c>
      <c r="T2608" s="3"/>
    </row>
    <row r="2609" spans="1:20">
      <c r="A2609" s="3" t="s">
        <v>1594</v>
      </c>
      <c r="B2609" s="3" t="s">
        <v>1595</v>
      </c>
      <c r="C2609" s="3" t="s">
        <v>1596</v>
      </c>
      <c r="D2609" s="3" t="s">
        <v>1082</v>
      </c>
      <c r="E2609" s="3" t="s">
        <v>1083</v>
      </c>
      <c r="F2609" s="2">
        <v>1</v>
      </c>
      <c r="G2609" s="4">
        <v>1.085675290030399</v>
      </c>
      <c r="H2609" s="2">
        <v>50</v>
      </c>
      <c r="I2609" s="2">
        <v>5</v>
      </c>
      <c r="J2609" s="2">
        <v>16</v>
      </c>
      <c r="K2609" s="4">
        <v>1</v>
      </c>
      <c r="L2609" s="4">
        <v>-7.3638868286184656E-2</v>
      </c>
      <c r="M2609" s="4">
        <v>7.3638868286184656E-2</v>
      </c>
      <c r="N2609" s="10">
        <v>7.3999999999999996E-2</v>
      </c>
      <c r="O2609" s="4">
        <v>0.39642794719910646</v>
      </c>
      <c r="P2609" s="4">
        <v>-0.4</v>
      </c>
      <c r="Q2609" s="3" t="s">
        <v>1617</v>
      </c>
      <c r="R2609" s="3" t="s">
        <v>1625</v>
      </c>
      <c r="S2609" s="3" t="s">
        <v>1626</v>
      </c>
      <c r="T2609" s="3"/>
    </row>
    <row r="2610" spans="1:20">
      <c r="A2610" s="3" t="s">
        <v>1600</v>
      </c>
      <c r="B2610" s="3" t="s">
        <v>1601</v>
      </c>
      <c r="C2610" s="3" t="s">
        <v>1596</v>
      </c>
      <c r="D2610" s="3" t="s">
        <v>1082</v>
      </c>
      <c r="E2610" s="3" t="s">
        <v>1083</v>
      </c>
      <c r="F2610" s="2">
        <v>1</v>
      </c>
      <c r="G2610" s="4">
        <v>1.085675290030399</v>
      </c>
      <c r="H2610" s="2">
        <v>25</v>
      </c>
      <c r="I2610" s="2">
        <v>5</v>
      </c>
      <c r="J2610" s="2">
        <v>16</v>
      </c>
      <c r="K2610" s="4">
        <v>0.90809577342023307</v>
      </c>
      <c r="L2610" s="4">
        <v>-0.27932645799620454</v>
      </c>
      <c r="M2610" s="4">
        <v>0.27932645799620454</v>
      </c>
      <c r="N2610" s="10">
        <v>0.27900000000000003</v>
      </c>
      <c r="O2610" s="4">
        <v>1.422686687494592</v>
      </c>
      <c r="P2610" s="4">
        <v>-1.42</v>
      </c>
      <c r="Q2610" s="3" t="s">
        <v>1617</v>
      </c>
      <c r="R2610" s="3" t="s">
        <v>1618</v>
      </c>
      <c r="S2610" s="3" t="s">
        <v>1619</v>
      </c>
      <c r="T2610" s="3"/>
    </row>
    <row r="2611" spans="1:20">
      <c r="A2611" s="3" t="s">
        <v>1600</v>
      </c>
      <c r="B2611" s="3" t="s">
        <v>1609</v>
      </c>
      <c r="C2611" s="3" t="s">
        <v>1596</v>
      </c>
      <c r="D2611" s="3" t="s">
        <v>1082</v>
      </c>
      <c r="E2611" s="3" t="s">
        <v>1083</v>
      </c>
      <c r="F2611" s="2">
        <v>1</v>
      </c>
      <c r="G2611" s="4">
        <v>1.085675290030399</v>
      </c>
      <c r="H2611" s="2">
        <v>25</v>
      </c>
      <c r="I2611" s="2">
        <v>5</v>
      </c>
      <c r="J2611" s="2">
        <v>16</v>
      </c>
      <c r="K2611" s="4">
        <v>1</v>
      </c>
      <c r="L2611" s="4">
        <v>-0.28678373409370839</v>
      </c>
      <c r="M2611" s="4">
        <v>0.28678373409370839</v>
      </c>
      <c r="N2611" s="10">
        <v>0.28699999999999998</v>
      </c>
      <c r="O2611" s="4">
        <v>1.4628799289272225</v>
      </c>
      <c r="P2611" s="4">
        <v>-1.46</v>
      </c>
      <c r="Q2611" s="3" t="s">
        <v>1617</v>
      </c>
      <c r="R2611" s="3" t="s">
        <v>1623</v>
      </c>
      <c r="S2611" s="3" t="s">
        <v>1624</v>
      </c>
      <c r="T2611" s="3"/>
    </row>
    <row r="2612" spans="1:20">
      <c r="A2612" s="3" t="s">
        <v>1600</v>
      </c>
      <c r="B2612" s="3" t="s">
        <v>1609</v>
      </c>
      <c r="C2612" s="3" t="s">
        <v>1596</v>
      </c>
      <c r="D2612" s="3" t="s">
        <v>1082</v>
      </c>
      <c r="E2612" s="3" t="s">
        <v>1083</v>
      </c>
      <c r="F2612" s="2">
        <v>1</v>
      </c>
      <c r="G2612" s="4">
        <v>1.085675290030399</v>
      </c>
      <c r="H2612" s="2">
        <v>25</v>
      </c>
      <c r="I2612" s="2">
        <v>5</v>
      </c>
      <c r="J2612" s="2">
        <v>1</v>
      </c>
      <c r="K2612" s="4">
        <v>1</v>
      </c>
      <c r="L2612" s="4">
        <v>-0.29004747204088688</v>
      </c>
      <c r="M2612" s="4">
        <v>0.29004747204088688</v>
      </c>
      <c r="N2612" s="10">
        <v>0.28999999999999998</v>
      </c>
      <c r="O2612" s="4">
        <v>1.4805295102978155</v>
      </c>
      <c r="P2612" s="4">
        <v>-1.48</v>
      </c>
      <c r="Q2612" s="3" t="s">
        <v>1617</v>
      </c>
      <c r="R2612" s="3" t="s">
        <v>1623</v>
      </c>
      <c r="S2612" s="3" t="s">
        <v>1624</v>
      </c>
      <c r="T2612" s="3"/>
    </row>
    <row r="2613" spans="1:20">
      <c r="A2613" s="3" t="s">
        <v>1600</v>
      </c>
      <c r="B2613" s="3" t="s">
        <v>1601</v>
      </c>
      <c r="C2613" s="3" t="s">
        <v>1616</v>
      </c>
      <c r="D2613" s="3" t="s">
        <v>1082</v>
      </c>
      <c r="E2613" s="3" t="s">
        <v>1083</v>
      </c>
      <c r="F2613" s="2">
        <v>1</v>
      </c>
      <c r="G2613" s="4">
        <v>1.085675290030399</v>
      </c>
      <c r="H2613" s="2">
        <v>25</v>
      </c>
      <c r="I2613" s="2">
        <v>5</v>
      </c>
      <c r="J2613" s="2">
        <v>1</v>
      </c>
      <c r="K2613" s="4">
        <v>1</v>
      </c>
      <c r="L2613" s="4">
        <v>-0.29037354775913671</v>
      </c>
      <c r="M2613" s="4">
        <v>0.29037354775913671</v>
      </c>
      <c r="N2613" s="10">
        <v>0.28999999999999998</v>
      </c>
      <c r="O2613" s="4">
        <v>1.4822948540001177</v>
      </c>
      <c r="P2613" s="4">
        <v>-1.48</v>
      </c>
      <c r="Q2613" s="3" t="s">
        <v>1617</v>
      </c>
      <c r="R2613" s="3" t="s">
        <v>1618</v>
      </c>
      <c r="S2613" s="3" t="s">
        <v>1619</v>
      </c>
      <c r="T2613" s="3"/>
    </row>
    <row r="2614" spans="1:20">
      <c r="A2614" s="3" t="s">
        <v>1600</v>
      </c>
      <c r="B2614" s="3" t="s">
        <v>1601</v>
      </c>
      <c r="C2614" s="3" t="s">
        <v>1616</v>
      </c>
      <c r="D2614" s="3" t="s">
        <v>1082</v>
      </c>
      <c r="E2614" s="3" t="s">
        <v>1083</v>
      </c>
      <c r="F2614" s="2">
        <v>1</v>
      </c>
      <c r="G2614" s="4">
        <v>1.085675290030399</v>
      </c>
      <c r="H2614" s="2">
        <v>25</v>
      </c>
      <c r="I2614" s="2">
        <v>5</v>
      </c>
      <c r="J2614" s="2">
        <v>16</v>
      </c>
      <c r="K2614" s="4">
        <v>1</v>
      </c>
      <c r="L2614" s="4">
        <v>-0.29346986116502988</v>
      </c>
      <c r="M2614" s="4">
        <v>0.29346986116502988</v>
      </c>
      <c r="N2614" s="10">
        <v>0.29299999999999998</v>
      </c>
      <c r="O2614" s="4">
        <v>1.4990762816120982</v>
      </c>
      <c r="P2614" s="4">
        <v>-1.5</v>
      </c>
      <c r="Q2614" s="3" t="s">
        <v>1617</v>
      </c>
      <c r="R2614" s="3" t="s">
        <v>1618</v>
      </c>
      <c r="S2614" s="3" t="s">
        <v>1619</v>
      </c>
      <c r="T2614" s="3"/>
    </row>
    <row r="2615" spans="1:20">
      <c r="A2615" s="3" t="s">
        <v>1604</v>
      </c>
      <c r="B2615" s="3" t="s">
        <v>1601</v>
      </c>
      <c r="C2615" s="3" t="s">
        <v>1616</v>
      </c>
      <c r="D2615" s="3" t="s">
        <v>1082</v>
      </c>
      <c r="E2615" s="3" t="s">
        <v>1083</v>
      </c>
      <c r="F2615" s="2">
        <v>1</v>
      </c>
      <c r="G2615" s="4">
        <v>1.085675290030399</v>
      </c>
      <c r="H2615" s="2">
        <v>25</v>
      </c>
      <c r="I2615" s="2">
        <v>30</v>
      </c>
      <c r="J2615" s="2">
        <v>16</v>
      </c>
      <c r="K2615" s="4">
        <v>1</v>
      </c>
      <c r="L2615" s="4">
        <v>-0.30163858345249961</v>
      </c>
      <c r="M2615" s="4">
        <v>0.30163858345249961</v>
      </c>
      <c r="N2615" s="10">
        <v>0.30199999999999999</v>
      </c>
      <c r="O2615" s="4">
        <v>1.5435107957783762</v>
      </c>
      <c r="P2615" s="4">
        <v>-1.55</v>
      </c>
      <c r="Q2615" s="3" t="s">
        <v>1617</v>
      </c>
      <c r="R2615" s="3" t="s">
        <v>1618</v>
      </c>
      <c r="S2615" s="3" t="s">
        <v>1619</v>
      </c>
      <c r="T2615" s="3"/>
    </row>
    <row r="2616" spans="1:20">
      <c r="A2616" s="3" t="s">
        <v>1605</v>
      </c>
      <c r="B2616" s="3" t="s">
        <v>1601</v>
      </c>
      <c r="C2616" s="3" t="s">
        <v>1596</v>
      </c>
      <c r="D2616" s="3" t="s">
        <v>1082</v>
      </c>
      <c r="E2616" s="3" t="s">
        <v>1083</v>
      </c>
      <c r="F2616" s="2">
        <v>1</v>
      </c>
      <c r="G2616" s="4">
        <v>1.085675290030399</v>
      </c>
      <c r="H2616" s="2">
        <v>25</v>
      </c>
      <c r="I2616" s="2">
        <v>5</v>
      </c>
      <c r="J2616" s="2">
        <v>16</v>
      </c>
      <c r="K2616" s="4">
        <v>1</v>
      </c>
      <c r="L2616" s="4">
        <v>-0.35270085569174142</v>
      </c>
      <c r="M2616" s="4">
        <v>0.35270085569174142</v>
      </c>
      <c r="N2616" s="10">
        <v>0.35299999999999998</v>
      </c>
      <c r="O2616" s="4">
        <v>1.8271234018228102</v>
      </c>
      <c r="P2616" s="4">
        <v>-1.83</v>
      </c>
      <c r="Q2616" s="3" t="s">
        <v>1617</v>
      </c>
      <c r="R2616" s="3" t="s">
        <v>1618</v>
      </c>
      <c r="S2616" s="3" t="s">
        <v>1619</v>
      </c>
      <c r="T2616" s="3"/>
    </row>
    <row r="2617" spans="1:20">
      <c r="A2617" s="3" t="s">
        <v>1600</v>
      </c>
      <c r="B2617" s="3" t="s">
        <v>1609</v>
      </c>
      <c r="C2617" s="3" t="s">
        <v>1616</v>
      </c>
      <c r="D2617" s="3" t="s">
        <v>1082</v>
      </c>
      <c r="E2617" s="3" t="s">
        <v>1083</v>
      </c>
      <c r="F2617" s="2">
        <v>1</v>
      </c>
      <c r="G2617" s="4">
        <v>1.085675290030399</v>
      </c>
      <c r="H2617" s="2">
        <v>25</v>
      </c>
      <c r="I2617" s="2">
        <v>5</v>
      </c>
      <c r="J2617" s="2">
        <v>1</v>
      </c>
      <c r="K2617" s="4">
        <v>0.67832804704116834</v>
      </c>
      <c r="L2617" s="4">
        <v>-0.3569128823703927</v>
      </c>
      <c r="M2617" s="4">
        <v>0.3569128823703927</v>
      </c>
      <c r="N2617" s="10">
        <v>0.35699999999999998</v>
      </c>
      <c r="O2617" s="4">
        <v>1.8510139487984607</v>
      </c>
      <c r="P2617" s="4">
        <v>-1.85</v>
      </c>
      <c r="Q2617" s="3" t="s">
        <v>1617</v>
      </c>
      <c r="R2617" s="3" t="s">
        <v>1623</v>
      </c>
      <c r="S2617" s="3" t="s">
        <v>1624</v>
      </c>
      <c r="T2617" s="3"/>
    </row>
    <row r="2618" spans="1:20">
      <c r="A2618" s="3" t="s">
        <v>1604</v>
      </c>
      <c r="B2618" s="3" t="s">
        <v>1601</v>
      </c>
      <c r="C2618" s="3" t="s">
        <v>1596</v>
      </c>
      <c r="D2618" s="3" t="s">
        <v>1082</v>
      </c>
      <c r="E2618" s="3" t="s">
        <v>1083</v>
      </c>
      <c r="F2618" s="2">
        <v>1</v>
      </c>
      <c r="G2618" s="4">
        <v>1.085675290030399</v>
      </c>
      <c r="H2618" s="2">
        <v>25</v>
      </c>
      <c r="I2618" s="2">
        <v>30</v>
      </c>
      <c r="J2618" s="2">
        <v>16</v>
      </c>
      <c r="K2618" s="4">
        <v>1</v>
      </c>
      <c r="L2618" s="4">
        <v>-0.35887074111285888</v>
      </c>
      <c r="M2618" s="4">
        <v>0.35887074111285888</v>
      </c>
      <c r="N2618" s="10">
        <v>0.35899999999999999</v>
      </c>
      <c r="O2618" s="4">
        <v>1.8621468710641378</v>
      </c>
      <c r="P2618" s="4">
        <v>-1.86</v>
      </c>
      <c r="Q2618" s="3" t="s">
        <v>1617</v>
      </c>
      <c r="R2618" s="3" t="s">
        <v>1618</v>
      </c>
      <c r="S2618" s="3" t="s">
        <v>1619</v>
      </c>
      <c r="T2618" s="3"/>
    </row>
    <row r="2619" spans="1:20">
      <c r="A2619" s="3" t="s">
        <v>1600</v>
      </c>
      <c r="B2619" s="3" t="s">
        <v>1609</v>
      </c>
      <c r="C2619" s="3" t="s">
        <v>1616</v>
      </c>
      <c r="D2619" s="3" t="s">
        <v>1082</v>
      </c>
      <c r="E2619" s="3" t="s">
        <v>1083</v>
      </c>
      <c r="F2619" s="2">
        <v>1</v>
      </c>
      <c r="G2619" s="4">
        <v>1.085675290030399</v>
      </c>
      <c r="H2619" s="2">
        <v>25</v>
      </c>
      <c r="I2619" s="2">
        <v>5</v>
      </c>
      <c r="J2619" s="2">
        <v>16</v>
      </c>
      <c r="K2619" s="4">
        <v>0.99280680331582372</v>
      </c>
      <c r="L2619" s="4">
        <v>-0.36837017091628649</v>
      </c>
      <c r="M2619" s="4">
        <v>0.36837017091628649</v>
      </c>
      <c r="N2619" s="10">
        <v>0.36799999999999999</v>
      </c>
      <c r="O2619" s="4">
        <v>1.9164212451265141</v>
      </c>
      <c r="P2619" s="4">
        <v>-1.91</v>
      </c>
      <c r="Q2619" s="3" t="s">
        <v>1617</v>
      </c>
      <c r="R2619" s="3" t="s">
        <v>1623</v>
      </c>
      <c r="S2619" s="3" t="s">
        <v>1624</v>
      </c>
      <c r="T2619" s="3"/>
    </row>
    <row r="2620" spans="1:20">
      <c r="A2620" s="3" t="s">
        <v>1600</v>
      </c>
      <c r="B2620" s="3" t="s">
        <v>1606</v>
      </c>
      <c r="C2620" s="3" t="s">
        <v>1616</v>
      </c>
      <c r="D2620" s="3" t="s">
        <v>1082</v>
      </c>
      <c r="E2620" s="3" t="s">
        <v>1083</v>
      </c>
      <c r="F2620" s="2">
        <v>1</v>
      </c>
      <c r="G2620" s="4">
        <v>1.085675290030399</v>
      </c>
      <c r="H2620" s="2">
        <v>25</v>
      </c>
      <c r="I2620" s="2">
        <v>5</v>
      </c>
      <c r="J2620" s="2">
        <v>1</v>
      </c>
      <c r="K2620" s="4">
        <v>1</v>
      </c>
      <c r="L2620" s="4">
        <v>-0.46472962859497913</v>
      </c>
      <c r="M2620" s="4">
        <v>0.46472962859497913</v>
      </c>
      <c r="N2620" s="10">
        <v>0.46500000000000002</v>
      </c>
      <c r="O2620" s="4">
        <v>2.4954631405034782</v>
      </c>
      <c r="P2620" s="4">
        <v>-2.5</v>
      </c>
      <c r="Q2620" s="3" t="s">
        <v>1617</v>
      </c>
      <c r="R2620" s="3" t="s">
        <v>1621</v>
      </c>
      <c r="S2620" s="3" t="s">
        <v>1622</v>
      </c>
      <c r="T2620" s="3"/>
    </row>
    <row r="2621" spans="1:20">
      <c r="A2621" s="3" t="s">
        <v>1600</v>
      </c>
      <c r="B2621" s="3" t="s">
        <v>1606</v>
      </c>
      <c r="C2621" s="3" t="s">
        <v>1616</v>
      </c>
      <c r="D2621" s="3" t="s">
        <v>1082</v>
      </c>
      <c r="E2621" s="3" t="s">
        <v>1083</v>
      </c>
      <c r="F2621" s="2">
        <v>1</v>
      </c>
      <c r="G2621" s="4">
        <v>1.085675290030399</v>
      </c>
      <c r="H2621" s="2">
        <v>25</v>
      </c>
      <c r="I2621" s="2">
        <v>5</v>
      </c>
      <c r="J2621" s="2">
        <v>16</v>
      </c>
      <c r="K2621" s="4">
        <v>1</v>
      </c>
      <c r="L2621" s="4">
        <v>-0.47323194450253642</v>
      </c>
      <c r="M2621" s="4">
        <v>0.47323194450253642</v>
      </c>
      <c r="N2621" s="10">
        <v>0.47299999999999998</v>
      </c>
      <c r="O2621" s="4">
        <v>2.5495035922104146</v>
      </c>
      <c r="P2621" s="4">
        <v>-2.5499999999999998</v>
      </c>
      <c r="Q2621" s="3" t="s">
        <v>1617</v>
      </c>
      <c r="R2621" s="3" t="s">
        <v>1621</v>
      </c>
      <c r="S2621" s="3" t="s">
        <v>1622</v>
      </c>
      <c r="T2621" s="3"/>
    </row>
    <row r="2622" spans="1:20">
      <c r="A2622" s="3" t="s">
        <v>1600</v>
      </c>
      <c r="B2622" s="3" t="s">
        <v>1606</v>
      </c>
      <c r="C2622" s="3" t="s">
        <v>1596</v>
      </c>
      <c r="D2622" s="3" t="s">
        <v>1082</v>
      </c>
      <c r="E2622" s="3" t="s">
        <v>1083</v>
      </c>
      <c r="F2622" s="2">
        <v>1</v>
      </c>
      <c r="G2622" s="4">
        <v>1.085675290030399</v>
      </c>
      <c r="H2622" s="2">
        <v>25</v>
      </c>
      <c r="I2622" s="2">
        <v>5</v>
      </c>
      <c r="J2622" s="2">
        <v>16</v>
      </c>
      <c r="K2622" s="4">
        <v>0.99801542429130796</v>
      </c>
      <c r="L2622" s="4">
        <v>-0.55856946398414187</v>
      </c>
      <c r="M2622" s="4">
        <v>0.55856946398414187</v>
      </c>
      <c r="N2622" s="10">
        <v>0.55900000000000005</v>
      </c>
      <c r="O2622" s="4">
        <v>3.1272257845056632</v>
      </c>
      <c r="P2622" s="4">
        <v>-3.13</v>
      </c>
      <c r="Q2622" s="3" t="s">
        <v>1617</v>
      </c>
      <c r="R2622" s="3" t="s">
        <v>1621</v>
      </c>
      <c r="S2622" s="3" t="s">
        <v>1622</v>
      </c>
      <c r="T2622" s="3"/>
    </row>
    <row r="2623" spans="1:20">
      <c r="A2623" s="3" t="s">
        <v>1600</v>
      </c>
      <c r="B2623" s="3" t="s">
        <v>1606</v>
      </c>
      <c r="C2623" s="3" t="s">
        <v>1596</v>
      </c>
      <c r="D2623" s="3" t="s">
        <v>1082</v>
      </c>
      <c r="E2623" s="3" t="s">
        <v>1083</v>
      </c>
      <c r="F2623" s="2">
        <v>1</v>
      </c>
      <c r="G2623" s="4">
        <v>1.085675290030399</v>
      </c>
      <c r="H2623" s="2">
        <v>25</v>
      </c>
      <c r="I2623" s="2">
        <v>5</v>
      </c>
      <c r="J2623" s="2">
        <v>1</v>
      </c>
      <c r="K2623" s="4">
        <v>1</v>
      </c>
      <c r="L2623" s="4">
        <v>-0.57326451318503335</v>
      </c>
      <c r="M2623" s="4">
        <v>0.57326451318503335</v>
      </c>
      <c r="N2623" s="10">
        <v>0.57299999999999995</v>
      </c>
      <c r="O2623" s="4">
        <v>3.2344180961245161</v>
      </c>
      <c r="P2623" s="4">
        <v>-3.23</v>
      </c>
      <c r="Q2623" s="3" t="s">
        <v>1617</v>
      </c>
      <c r="R2623" s="3" t="s">
        <v>1621</v>
      </c>
      <c r="S2623" s="3" t="s">
        <v>1622</v>
      </c>
      <c r="T2623" s="3"/>
    </row>
    <row r="2624" spans="1:20">
      <c r="A2624" s="3" t="s">
        <v>1594</v>
      </c>
      <c r="B2624" s="3" t="s">
        <v>1612</v>
      </c>
      <c r="C2624" s="3" t="s">
        <v>1596</v>
      </c>
      <c r="D2624" s="3" t="s">
        <v>1296</v>
      </c>
      <c r="E2624" s="3" t="s">
        <v>1297</v>
      </c>
      <c r="F2624" s="2">
        <v>1</v>
      </c>
      <c r="G2624" s="4">
        <v>1.0857014321061709</v>
      </c>
      <c r="H2624" s="2">
        <v>50</v>
      </c>
      <c r="I2624" s="2">
        <v>5</v>
      </c>
      <c r="J2624" s="2">
        <v>16</v>
      </c>
      <c r="K2624" s="4">
        <v>1</v>
      </c>
      <c r="L2624" s="4">
        <v>-1.2536558521459002E-2</v>
      </c>
      <c r="M2624" s="4">
        <v>1.2536558521459002E-2</v>
      </c>
      <c r="N2624" s="10">
        <v>1.2999999999999999E-2</v>
      </c>
      <c r="O2624" s="4">
        <v>6.7370749584724415E-2</v>
      </c>
      <c r="P2624" s="4">
        <v>-7.0000000000000007E-2</v>
      </c>
      <c r="Q2624" s="3" t="s">
        <v>1617</v>
      </c>
      <c r="R2624" s="3" t="s">
        <v>1627</v>
      </c>
      <c r="S2624" s="3" t="s">
        <v>1628</v>
      </c>
      <c r="T2624" s="3"/>
    </row>
    <row r="2625" spans="1:20">
      <c r="A2625" s="3" t="s">
        <v>1594</v>
      </c>
      <c r="B2625" s="3" t="s">
        <v>1595</v>
      </c>
      <c r="C2625" s="3" t="s">
        <v>1596</v>
      </c>
      <c r="D2625" s="3" t="s">
        <v>1296</v>
      </c>
      <c r="E2625" s="3" t="s">
        <v>1297</v>
      </c>
      <c r="F2625" s="2">
        <v>1</v>
      </c>
      <c r="G2625" s="4">
        <v>1.0857014321061709</v>
      </c>
      <c r="H2625" s="2">
        <v>50</v>
      </c>
      <c r="I2625" s="2">
        <v>5</v>
      </c>
      <c r="J2625" s="2">
        <v>16</v>
      </c>
      <c r="K2625" s="4">
        <v>1</v>
      </c>
      <c r="L2625" s="4">
        <v>-0.43565018768508545</v>
      </c>
      <c r="M2625" s="4">
        <v>0.43565018768508545</v>
      </c>
      <c r="N2625" s="10">
        <v>0.436</v>
      </c>
      <c r="O2625" s="4">
        <v>2.5086906420956732</v>
      </c>
      <c r="P2625" s="4">
        <v>-2.5099999999999998</v>
      </c>
      <c r="Q2625" s="3" t="s">
        <v>1617</v>
      </c>
      <c r="R2625" s="3" t="s">
        <v>1625</v>
      </c>
      <c r="S2625" s="3" t="s">
        <v>1626</v>
      </c>
      <c r="T2625" s="3"/>
    </row>
    <row r="2626" spans="1:20">
      <c r="A2626" s="3" t="s">
        <v>1594</v>
      </c>
      <c r="B2626" s="3" t="s">
        <v>1595</v>
      </c>
      <c r="C2626" s="3" t="s">
        <v>1596</v>
      </c>
      <c r="D2626" s="3" t="s">
        <v>1296</v>
      </c>
      <c r="E2626" s="3" t="s">
        <v>1297</v>
      </c>
      <c r="F2626" s="2">
        <v>1</v>
      </c>
      <c r="G2626" s="4">
        <v>1.0857014321061709</v>
      </c>
      <c r="H2626" s="2">
        <v>25</v>
      </c>
      <c r="I2626" s="2">
        <v>5</v>
      </c>
      <c r="J2626" s="2">
        <v>16</v>
      </c>
      <c r="K2626" s="4">
        <v>1</v>
      </c>
      <c r="L2626" s="4">
        <v>-0.55324671247010226</v>
      </c>
      <c r="M2626" s="4">
        <v>0.55324671247010226</v>
      </c>
      <c r="N2626" s="10">
        <v>0.55300000000000005</v>
      </c>
      <c r="O2626" s="4">
        <v>3.0890327226662291</v>
      </c>
      <c r="P2626" s="4">
        <v>-3.09</v>
      </c>
      <c r="Q2626" s="3" t="s">
        <v>1617</v>
      </c>
      <c r="R2626" s="3" t="s">
        <v>1625</v>
      </c>
      <c r="S2626" s="3" t="s">
        <v>1626</v>
      </c>
      <c r="T2626" s="3"/>
    </row>
    <row r="2627" spans="1:20">
      <c r="A2627" s="3" t="s">
        <v>1600</v>
      </c>
      <c r="B2627" s="3" t="s">
        <v>1609</v>
      </c>
      <c r="C2627" s="3" t="s">
        <v>1616</v>
      </c>
      <c r="D2627" s="3" t="s">
        <v>1296</v>
      </c>
      <c r="E2627" s="3" t="s">
        <v>1297</v>
      </c>
      <c r="F2627" s="2">
        <v>1</v>
      </c>
      <c r="G2627" s="4">
        <v>1.0857014321061709</v>
      </c>
      <c r="H2627" s="2">
        <v>25</v>
      </c>
      <c r="I2627" s="2">
        <v>5</v>
      </c>
      <c r="J2627" s="2">
        <v>1</v>
      </c>
      <c r="K2627" s="4">
        <v>7.6679240093920464E-2</v>
      </c>
      <c r="L2627" s="4">
        <v>-0.71690844686865141</v>
      </c>
      <c r="M2627" s="4">
        <v>0.71690844686865141</v>
      </c>
      <c r="N2627" s="10">
        <v>0.71699999999999997</v>
      </c>
      <c r="O2627" s="4">
        <v>4.4683653794767313</v>
      </c>
      <c r="P2627" s="4">
        <v>-4.47</v>
      </c>
      <c r="Q2627" s="3" t="s">
        <v>1617</v>
      </c>
      <c r="R2627" s="3" t="s">
        <v>1623</v>
      </c>
      <c r="S2627" s="3" t="s">
        <v>1624</v>
      </c>
      <c r="T2627" s="3"/>
    </row>
    <row r="2628" spans="1:20">
      <c r="A2628" s="3" t="s">
        <v>1604</v>
      </c>
      <c r="B2628" s="3" t="s">
        <v>1601</v>
      </c>
      <c r="C2628" s="3" t="s">
        <v>1596</v>
      </c>
      <c r="D2628" s="3" t="s">
        <v>1296</v>
      </c>
      <c r="E2628" s="3" t="s">
        <v>1297</v>
      </c>
      <c r="F2628" s="2">
        <v>1</v>
      </c>
      <c r="G2628" s="4">
        <v>1.0857014321061709</v>
      </c>
      <c r="H2628" s="2">
        <v>25</v>
      </c>
      <c r="I2628" s="2">
        <v>30</v>
      </c>
      <c r="J2628" s="2">
        <v>16</v>
      </c>
      <c r="K2628" s="4">
        <v>1</v>
      </c>
      <c r="L2628" s="4">
        <v>-0.73420069649181408</v>
      </c>
      <c r="M2628" s="4">
        <v>0.73420069649181408</v>
      </c>
      <c r="N2628" s="10">
        <v>0.73399999999999999</v>
      </c>
      <c r="O2628" s="4">
        <v>4.6494544592145282</v>
      </c>
      <c r="P2628" s="4">
        <v>-4.6500000000000004</v>
      </c>
      <c r="Q2628" s="3" t="s">
        <v>1617</v>
      </c>
      <c r="R2628" s="3" t="s">
        <v>1618</v>
      </c>
      <c r="S2628" s="3" t="s">
        <v>1619</v>
      </c>
      <c r="T2628" s="3"/>
    </row>
    <row r="2629" spans="1:20">
      <c r="A2629" s="3" t="s">
        <v>1600</v>
      </c>
      <c r="B2629" s="3" t="s">
        <v>1609</v>
      </c>
      <c r="C2629" s="3" t="s">
        <v>1616</v>
      </c>
      <c r="D2629" s="3" t="s">
        <v>1296</v>
      </c>
      <c r="E2629" s="3" t="s">
        <v>1297</v>
      </c>
      <c r="F2629" s="2">
        <v>1</v>
      </c>
      <c r="G2629" s="4">
        <v>1.0857014321061709</v>
      </c>
      <c r="H2629" s="2">
        <v>25</v>
      </c>
      <c r="I2629" s="2">
        <v>5</v>
      </c>
      <c r="J2629" s="2">
        <v>16</v>
      </c>
      <c r="K2629" s="4">
        <v>0.99185179239576593</v>
      </c>
      <c r="L2629" s="4">
        <v>-0.77478725620318978</v>
      </c>
      <c r="M2629" s="4">
        <v>0.77478725620318978</v>
      </c>
      <c r="N2629" s="10">
        <v>0.77500000000000002</v>
      </c>
      <c r="O2629" s="4">
        <v>5.1175579923238237</v>
      </c>
      <c r="P2629" s="4">
        <v>-5.12</v>
      </c>
      <c r="Q2629" s="3" t="s">
        <v>1617</v>
      </c>
      <c r="R2629" s="3" t="s">
        <v>1623</v>
      </c>
      <c r="S2629" s="3" t="s">
        <v>1624</v>
      </c>
      <c r="T2629" s="3"/>
    </row>
    <row r="2630" spans="1:20">
      <c r="A2630" s="3" t="s">
        <v>1604</v>
      </c>
      <c r="B2630" s="3" t="s">
        <v>1601</v>
      </c>
      <c r="C2630" s="3" t="s">
        <v>1616</v>
      </c>
      <c r="D2630" s="3" t="s">
        <v>1296</v>
      </c>
      <c r="E2630" s="3" t="s">
        <v>1297</v>
      </c>
      <c r="F2630" s="2">
        <v>1</v>
      </c>
      <c r="G2630" s="4">
        <v>1.0857014321061709</v>
      </c>
      <c r="H2630" s="2">
        <v>25</v>
      </c>
      <c r="I2630" s="2">
        <v>30</v>
      </c>
      <c r="J2630" s="2">
        <v>16</v>
      </c>
      <c r="K2630" s="4">
        <v>1</v>
      </c>
      <c r="L2630" s="4">
        <v>-0.8299030536791826</v>
      </c>
      <c r="M2630" s="4">
        <v>0.8299030536791826</v>
      </c>
      <c r="N2630" s="10">
        <v>0.83</v>
      </c>
      <c r="O2630" s="4">
        <v>5.8891600540961413</v>
      </c>
      <c r="P2630" s="4">
        <v>-5.89</v>
      </c>
      <c r="Q2630" s="3" t="s">
        <v>1617</v>
      </c>
      <c r="R2630" s="3" t="s">
        <v>1618</v>
      </c>
      <c r="S2630" s="3" t="s">
        <v>1619</v>
      </c>
      <c r="T2630" s="3"/>
    </row>
    <row r="2631" spans="1:20">
      <c r="A2631" s="3" t="s">
        <v>1600</v>
      </c>
      <c r="B2631" s="3" t="s">
        <v>1609</v>
      </c>
      <c r="C2631" s="3" t="s">
        <v>1596</v>
      </c>
      <c r="D2631" s="3" t="s">
        <v>1296</v>
      </c>
      <c r="E2631" s="3" t="s">
        <v>1297</v>
      </c>
      <c r="F2631" s="2">
        <v>1</v>
      </c>
      <c r="G2631" s="4">
        <v>1.0857014321061709</v>
      </c>
      <c r="H2631" s="2">
        <v>25</v>
      </c>
      <c r="I2631" s="2">
        <v>5</v>
      </c>
      <c r="J2631" s="2">
        <v>1</v>
      </c>
      <c r="K2631" s="4">
        <v>0.9892000731695697</v>
      </c>
      <c r="L2631" s="4">
        <v>-0.87300162203545084</v>
      </c>
      <c r="M2631" s="4">
        <v>0.87300162203545084</v>
      </c>
      <c r="N2631" s="10">
        <v>0.873</v>
      </c>
      <c r="O2631" s="4">
        <v>6.6712089016899707</v>
      </c>
      <c r="P2631" s="4">
        <v>-6.67</v>
      </c>
      <c r="Q2631" s="3" t="s">
        <v>1617</v>
      </c>
      <c r="R2631" s="3" t="s">
        <v>1623</v>
      </c>
      <c r="S2631" s="3" t="s">
        <v>1624</v>
      </c>
      <c r="T2631" s="3"/>
    </row>
    <row r="2632" spans="1:20">
      <c r="A2632" s="3" t="s">
        <v>1600</v>
      </c>
      <c r="B2632" s="3" t="s">
        <v>1609</v>
      </c>
      <c r="C2632" s="3" t="s">
        <v>1596</v>
      </c>
      <c r="D2632" s="3" t="s">
        <v>1296</v>
      </c>
      <c r="E2632" s="3" t="s">
        <v>1297</v>
      </c>
      <c r="F2632" s="2">
        <v>1</v>
      </c>
      <c r="G2632" s="4">
        <v>1.0857014321061709</v>
      </c>
      <c r="H2632" s="2">
        <v>25</v>
      </c>
      <c r="I2632" s="2">
        <v>5</v>
      </c>
      <c r="J2632" s="2">
        <v>16</v>
      </c>
      <c r="K2632" s="4">
        <v>0.98972555528744899</v>
      </c>
      <c r="L2632" s="4">
        <v>-0.87418458075804217</v>
      </c>
      <c r="M2632" s="4">
        <v>0.87418458075804217</v>
      </c>
      <c r="N2632" s="10">
        <v>0.874</v>
      </c>
      <c r="O2632" s="4">
        <v>6.6959732813431492</v>
      </c>
      <c r="P2632" s="4">
        <v>-6.69</v>
      </c>
      <c r="Q2632" s="3" t="s">
        <v>1617</v>
      </c>
      <c r="R2632" s="3" t="s">
        <v>1623</v>
      </c>
      <c r="S2632" s="3" t="s">
        <v>1624</v>
      </c>
      <c r="T2632" s="3"/>
    </row>
    <row r="2633" spans="1:20">
      <c r="A2633" s="3" t="s">
        <v>1600</v>
      </c>
      <c r="B2633" s="3" t="s">
        <v>1601</v>
      </c>
      <c r="C2633" s="3" t="s">
        <v>1596</v>
      </c>
      <c r="D2633" s="3" t="s">
        <v>1296</v>
      </c>
      <c r="E2633" s="3" t="s">
        <v>1297</v>
      </c>
      <c r="F2633" s="2">
        <v>1</v>
      </c>
      <c r="G2633" s="4">
        <v>1.0857014321061709</v>
      </c>
      <c r="H2633" s="2">
        <v>25</v>
      </c>
      <c r="I2633" s="2">
        <v>5</v>
      </c>
      <c r="J2633" s="2">
        <v>1</v>
      </c>
      <c r="K2633" s="4">
        <v>7.4222288100122547E-2</v>
      </c>
      <c r="L2633" s="4">
        <v>-0.91094323562270574</v>
      </c>
      <c r="M2633" s="4">
        <v>0.91094323562270574</v>
      </c>
      <c r="N2633" s="10">
        <v>0.91100000000000003</v>
      </c>
      <c r="O2633" s="4">
        <v>7.6007104567771</v>
      </c>
      <c r="P2633" s="4">
        <v>-7.6</v>
      </c>
      <c r="Q2633" s="3" t="s">
        <v>1617</v>
      </c>
      <c r="R2633" s="3" t="s">
        <v>1618</v>
      </c>
      <c r="S2633" s="3" t="s">
        <v>1619</v>
      </c>
      <c r="T2633" s="3"/>
    </row>
    <row r="2634" spans="1:20">
      <c r="A2634" s="3" t="s">
        <v>1600</v>
      </c>
      <c r="B2634" s="3" t="s">
        <v>1606</v>
      </c>
      <c r="C2634" s="3" t="s">
        <v>1596</v>
      </c>
      <c r="D2634" s="3" t="s">
        <v>1296</v>
      </c>
      <c r="E2634" s="3" t="s">
        <v>1297</v>
      </c>
      <c r="F2634" s="2">
        <v>1</v>
      </c>
      <c r="G2634" s="4">
        <v>1.0857014321061709</v>
      </c>
      <c r="H2634" s="2">
        <v>25</v>
      </c>
      <c r="I2634" s="2">
        <v>5</v>
      </c>
      <c r="J2634" s="2">
        <v>16</v>
      </c>
      <c r="K2634" s="4">
        <v>1</v>
      </c>
      <c r="L2634" s="4">
        <v>-0.94686150299965299</v>
      </c>
      <c r="M2634" s="4">
        <v>0.94686150299965299</v>
      </c>
      <c r="N2634" s="10">
        <v>0.94699999999999995</v>
      </c>
      <c r="O2634" s="4">
        <v>8.9269434122598685</v>
      </c>
      <c r="P2634" s="4">
        <v>-8.93</v>
      </c>
      <c r="Q2634" s="3" t="s">
        <v>1617</v>
      </c>
      <c r="R2634" s="3" t="s">
        <v>1621</v>
      </c>
      <c r="S2634" s="3" t="s">
        <v>1622</v>
      </c>
      <c r="T2634" s="3"/>
    </row>
    <row r="2635" spans="1:20">
      <c r="A2635" s="3" t="s">
        <v>1605</v>
      </c>
      <c r="B2635" s="3" t="s">
        <v>1601</v>
      </c>
      <c r="C2635" s="3" t="s">
        <v>1596</v>
      </c>
      <c r="D2635" s="3" t="s">
        <v>1296</v>
      </c>
      <c r="E2635" s="3" t="s">
        <v>1297</v>
      </c>
      <c r="F2635" s="2">
        <v>1</v>
      </c>
      <c r="G2635" s="4">
        <v>1.0857014321061709</v>
      </c>
      <c r="H2635" s="2">
        <v>25</v>
      </c>
      <c r="I2635" s="2">
        <v>5</v>
      </c>
      <c r="J2635" s="2">
        <v>16</v>
      </c>
      <c r="K2635" s="4">
        <v>1</v>
      </c>
      <c r="L2635" s="4">
        <v>-0.95151276729422407</v>
      </c>
      <c r="M2635" s="4">
        <v>0.95151276729422407</v>
      </c>
      <c r="N2635" s="10">
        <v>0.95199999999999996</v>
      </c>
      <c r="O2635" s="4">
        <v>9.159935174913679</v>
      </c>
      <c r="P2635" s="4">
        <v>-9.19</v>
      </c>
      <c r="Q2635" s="3" t="s">
        <v>1617</v>
      </c>
      <c r="R2635" s="3" t="s">
        <v>1618</v>
      </c>
      <c r="S2635" s="3" t="s">
        <v>1619</v>
      </c>
      <c r="T2635" s="3"/>
    </row>
    <row r="2636" spans="1:20">
      <c r="A2636" s="3" t="s">
        <v>1600</v>
      </c>
      <c r="B2636" s="3" t="s">
        <v>1601</v>
      </c>
      <c r="C2636" s="3" t="s">
        <v>1596</v>
      </c>
      <c r="D2636" s="3" t="s">
        <v>1296</v>
      </c>
      <c r="E2636" s="3" t="s">
        <v>1297</v>
      </c>
      <c r="F2636" s="2">
        <v>1</v>
      </c>
      <c r="G2636" s="4">
        <v>1.0857014321061709</v>
      </c>
      <c r="H2636" s="2">
        <v>25</v>
      </c>
      <c r="I2636" s="2">
        <v>5</v>
      </c>
      <c r="J2636" s="2">
        <v>16</v>
      </c>
      <c r="K2636" s="4">
        <v>1</v>
      </c>
      <c r="L2636" s="4">
        <v>-0.9566112812837102</v>
      </c>
      <c r="M2636" s="4">
        <v>0.9566112812837102</v>
      </c>
      <c r="N2636" s="10">
        <v>0.95699999999999996</v>
      </c>
      <c r="O2636" s="4">
        <v>9.4418192387480797</v>
      </c>
      <c r="P2636" s="4">
        <v>-9.4600000000000009</v>
      </c>
      <c r="Q2636" s="3" t="s">
        <v>1617</v>
      </c>
      <c r="R2636" s="3" t="s">
        <v>1618</v>
      </c>
      <c r="S2636" s="3" t="s">
        <v>1619</v>
      </c>
      <c r="T2636" s="3"/>
    </row>
    <row r="2637" spans="1:20">
      <c r="A2637" s="3" t="s">
        <v>1600</v>
      </c>
      <c r="B2637" s="3" t="s">
        <v>1606</v>
      </c>
      <c r="C2637" s="3" t="s">
        <v>1616</v>
      </c>
      <c r="D2637" s="3" t="s">
        <v>1296</v>
      </c>
      <c r="E2637" s="3" t="s">
        <v>1297</v>
      </c>
      <c r="F2637" s="2">
        <v>1</v>
      </c>
      <c r="G2637" s="4">
        <v>1.0857014321061709</v>
      </c>
      <c r="H2637" s="2">
        <v>25</v>
      </c>
      <c r="I2637" s="2">
        <v>5</v>
      </c>
      <c r="J2637" s="2">
        <v>16</v>
      </c>
      <c r="K2637" s="4">
        <v>1</v>
      </c>
      <c r="L2637" s="4">
        <v>-0.95765067536312509</v>
      </c>
      <c r="M2637" s="4">
        <v>0.95765067536312509</v>
      </c>
      <c r="N2637" s="10">
        <v>0.95799999999999996</v>
      </c>
      <c r="O2637" s="4">
        <v>9.5032433021196709</v>
      </c>
      <c r="P2637" s="4">
        <v>-9.52</v>
      </c>
      <c r="Q2637" s="3" t="s">
        <v>1617</v>
      </c>
      <c r="R2637" s="3" t="s">
        <v>1621</v>
      </c>
      <c r="S2637" s="3" t="s">
        <v>1622</v>
      </c>
      <c r="T2637" s="3"/>
    </row>
    <row r="2638" spans="1:20">
      <c r="A2638" s="3" t="s">
        <v>1600</v>
      </c>
      <c r="B2638" s="3" t="s">
        <v>1606</v>
      </c>
      <c r="C2638" s="3" t="s">
        <v>1616</v>
      </c>
      <c r="D2638" s="3" t="s">
        <v>1296</v>
      </c>
      <c r="E2638" s="3" t="s">
        <v>1297</v>
      </c>
      <c r="F2638" s="2">
        <v>1</v>
      </c>
      <c r="G2638" s="4">
        <v>1.0857014321061709</v>
      </c>
      <c r="H2638" s="2">
        <v>25</v>
      </c>
      <c r="I2638" s="2">
        <v>5</v>
      </c>
      <c r="J2638" s="2">
        <v>1</v>
      </c>
      <c r="K2638" s="4">
        <v>0.99593884373930641</v>
      </c>
      <c r="L2638" s="4">
        <v>-0.96318766449168303</v>
      </c>
      <c r="M2638" s="4">
        <v>0.96318766449168303</v>
      </c>
      <c r="N2638" s="10">
        <v>0.96299999999999997</v>
      </c>
      <c r="O2638" s="4">
        <v>9.8575966142300153</v>
      </c>
      <c r="P2638" s="4">
        <v>-9.84</v>
      </c>
      <c r="Q2638" s="3" t="s">
        <v>1617</v>
      </c>
      <c r="R2638" s="3" t="s">
        <v>1621</v>
      </c>
      <c r="S2638" s="3" t="s">
        <v>1622</v>
      </c>
      <c r="T2638" s="3"/>
    </row>
    <row r="2639" spans="1:20">
      <c r="A2639" s="3" t="s">
        <v>1600</v>
      </c>
      <c r="B2639" s="3" t="s">
        <v>1606</v>
      </c>
      <c r="C2639" s="3" t="s">
        <v>1596</v>
      </c>
      <c r="D2639" s="3" t="s">
        <v>1296</v>
      </c>
      <c r="E2639" s="3" t="s">
        <v>1297</v>
      </c>
      <c r="F2639" s="2">
        <v>1</v>
      </c>
      <c r="G2639" s="4">
        <v>1.0857014321061709</v>
      </c>
      <c r="H2639" s="2">
        <v>25</v>
      </c>
      <c r="I2639" s="2">
        <v>5</v>
      </c>
      <c r="J2639" s="2">
        <v>1</v>
      </c>
      <c r="K2639" s="4">
        <v>0.99730904250441688</v>
      </c>
      <c r="L2639" s="4">
        <v>-0.96736945687788278</v>
      </c>
      <c r="M2639" s="4">
        <v>0.96736945687788278</v>
      </c>
      <c r="N2639" s="10">
        <v>0.96699999999999997</v>
      </c>
      <c r="O2639" s="4">
        <v>10.161795944025872</v>
      </c>
      <c r="P2639" s="4">
        <v>-10.130000000000001</v>
      </c>
      <c r="Q2639" s="3" t="s">
        <v>1617</v>
      </c>
      <c r="R2639" s="3" t="s">
        <v>1621</v>
      </c>
      <c r="S2639" s="3" t="s">
        <v>1622</v>
      </c>
      <c r="T2639" s="3"/>
    </row>
    <row r="2640" spans="1:20">
      <c r="A2640" s="3" t="s">
        <v>1600</v>
      </c>
      <c r="B2640" s="3" t="s">
        <v>1601</v>
      </c>
      <c r="C2640" s="3" t="s">
        <v>1616</v>
      </c>
      <c r="D2640" s="3" t="s">
        <v>1296</v>
      </c>
      <c r="E2640" s="3" t="s">
        <v>1297</v>
      </c>
      <c r="F2640" s="2">
        <v>1</v>
      </c>
      <c r="G2640" s="4">
        <v>1.0857014321061709</v>
      </c>
      <c r="H2640" s="2">
        <v>25</v>
      </c>
      <c r="I2640" s="2">
        <v>5</v>
      </c>
      <c r="J2640" s="2">
        <v>1</v>
      </c>
      <c r="K2640" s="4">
        <v>1</v>
      </c>
      <c r="L2640" s="4">
        <v>-0.96917034429570137</v>
      </c>
      <c r="M2640" s="4">
        <v>0.96917034429570137</v>
      </c>
      <c r="N2640" s="10">
        <v>0.96899999999999997</v>
      </c>
      <c r="O2640" s="4">
        <v>10.304799290463029</v>
      </c>
      <c r="P2640" s="4">
        <v>-10.29</v>
      </c>
      <c r="Q2640" s="3" t="s">
        <v>1617</v>
      </c>
      <c r="R2640" s="3" t="s">
        <v>1618</v>
      </c>
      <c r="S2640" s="3" t="s">
        <v>1619</v>
      </c>
      <c r="T2640" s="3"/>
    </row>
    <row r="2641" spans="1:20">
      <c r="A2641" s="3" t="s">
        <v>1600</v>
      </c>
      <c r="B2641" s="3" t="s">
        <v>1601</v>
      </c>
      <c r="C2641" s="3" t="s">
        <v>1616</v>
      </c>
      <c r="D2641" s="3" t="s">
        <v>1296</v>
      </c>
      <c r="E2641" s="3" t="s">
        <v>1297</v>
      </c>
      <c r="F2641" s="2">
        <v>1</v>
      </c>
      <c r="G2641" s="4">
        <v>1.0857014321061709</v>
      </c>
      <c r="H2641" s="2">
        <v>25</v>
      </c>
      <c r="I2641" s="2">
        <v>5</v>
      </c>
      <c r="J2641" s="2">
        <v>16</v>
      </c>
      <c r="K2641" s="4">
        <v>1</v>
      </c>
      <c r="L2641" s="4">
        <v>-0.97239610602912974</v>
      </c>
      <c r="M2641" s="4">
        <v>0.97239610602912974</v>
      </c>
      <c r="N2641" s="10">
        <v>0.97199999999999998</v>
      </c>
      <c r="O2641" s="4">
        <v>10.58283296801619</v>
      </c>
      <c r="P2641" s="4">
        <v>-10.55</v>
      </c>
      <c r="Q2641" s="3" t="s">
        <v>1617</v>
      </c>
      <c r="R2641" s="3" t="s">
        <v>1618</v>
      </c>
      <c r="S2641" s="3" t="s">
        <v>1619</v>
      </c>
      <c r="T2641" s="3"/>
    </row>
    <row r="2642" spans="1:20">
      <c r="A2642" s="3" t="s">
        <v>1600</v>
      </c>
      <c r="B2642" s="3" t="s">
        <v>1606</v>
      </c>
      <c r="C2642" s="3" t="s">
        <v>1596</v>
      </c>
      <c r="D2642" s="3" t="s">
        <v>346</v>
      </c>
      <c r="E2642" s="3" t="s">
        <v>347</v>
      </c>
      <c r="F2642" s="2">
        <v>1</v>
      </c>
      <c r="G2642" s="4">
        <v>1.0868735852415792</v>
      </c>
      <c r="H2642" s="2">
        <v>25</v>
      </c>
      <c r="I2642" s="2">
        <v>5</v>
      </c>
      <c r="J2642" s="2">
        <v>1</v>
      </c>
      <c r="K2642" s="11">
        <v>1</v>
      </c>
      <c r="L2642" s="11">
        <v>0.73065533088924373</v>
      </c>
      <c r="M2642" s="4">
        <v>0.73065533088924373</v>
      </c>
      <c r="N2642" s="10">
        <v>0.73099999999999998</v>
      </c>
      <c r="O2642" s="4">
        <v>4.6115341685400093</v>
      </c>
      <c r="P2642" s="4">
        <v>4.62</v>
      </c>
      <c r="Q2642" s="3" t="s">
        <v>1597</v>
      </c>
      <c r="R2642" s="3" t="s">
        <v>1607</v>
      </c>
      <c r="S2642" s="3" t="s">
        <v>1608</v>
      </c>
      <c r="T2642" s="3"/>
    </row>
    <row r="2643" spans="1:20">
      <c r="A2643" s="3" t="s">
        <v>1604</v>
      </c>
      <c r="B2643" s="3" t="s">
        <v>1601</v>
      </c>
      <c r="C2643" s="3" t="s">
        <v>1596</v>
      </c>
      <c r="D2643" s="3" t="s">
        <v>346</v>
      </c>
      <c r="E2643" s="3" t="s">
        <v>347</v>
      </c>
      <c r="F2643" s="2">
        <v>1</v>
      </c>
      <c r="G2643" s="4">
        <v>1.0868735852415792</v>
      </c>
      <c r="H2643" s="2">
        <v>25</v>
      </c>
      <c r="I2643" s="2">
        <v>30</v>
      </c>
      <c r="J2643" s="2">
        <v>16</v>
      </c>
      <c r="K2643" s="4">
        <v>1</v>
      </c>
      <c r="L2643" s="4">
        <v>0.71015377789389045</v>
      </c>
      <c r="M2643" s="4">
        <v>0.71015377789389045</v>
      </c>
      <c r="N2643" s="10">
        <v>0.71</v>
      </c>
      <c r="O2643" s="4">
        <v>4.4001389125072929</v>
      </c>
      <c r="P2643" s="4">
        <v>4.4000000000000004</v>
      </c>
      <c r="Q2643" s="3" t="s">
        <v>1597</v>
      </c>
      <c r="R2643" s="3" t="s">
        <v>1602</v>
      </c>
      <c r="S2643" s="3" t="s">
        <v>1603</v>
      </c>
      <c r="T2643" s="3"/>
    </row>
    <row r="2644" spans="1:20">
      <c r="A2644" s="12" t="s">
        <v>1605</v>
      </c>
      <c r="B2644" s="3" t="s">
        <v>1601</v>
      </c>
      <c r="C2644" s="3" t="s">
        <v>1596</v>
      </c>
      <c r="D2644" s="3" t="s">
        <v>346</v>
      </c>
      <c r="E2644" s="3" t="s">
        <v>347</v>
      </c>
      <c r="F2644" s="2">
        <v>1</v>
      </c>
      <c r="G2644" s="4">
        <v>1.0868735852415792</v>
      </c>
      <c r="H2644" s="2">
        <v>25</v>
      </c>
      <c r="I2644" s="2">
        <v>5</v>
      </c>
      <c r="J2644" s="2">
        <v>16</v>
      </c>
      <c r="K2644" s="11">
        <v>1</v>
      </c>
      <c r="L2644" s="11">
        <v>0.70062090744151406</v>
      </c>
      <c r="M2644" s="4">
        <v>0.70062090744151406</v>
      </c>
      <c r="N2644" s="10">
        <v>0.70099999999999996</v>
      </c>
      <c r="O2644" s="4">
        <v>4.306062080953537</v>
      </c>
      <c r="P2644" s="4">
        <v>4.3099999999999996</v>
      </c>
      <c r="Q2644" s="3" t="s">
        <v>1597</v>
      </c>
      <c r="R2644" s="3" t="s">
        <v>1602</v>
      </c>
      <c r="S2644" s="3" t="s">
        <v>1603</v>
      </c>
      <c r="T2644" s="3"/>
    </row>
    <row r="2645" spans="1:20">
      <c r="A2645" s="3" t="s">
        <v>1600</v>
      </c>
      <c r="B2645" s="3" t="s">
        <v>1606</v>
      </c>
      <c r="C2645" s="3" t="s">
        <v>1596</v>
      </c>
      <c r="D2645" s="3" t="s">
        <v>346</v>
      </c>
      <c r="E2645" s="3" t="s">
        <v>347</v>
      </c>
      <c r="F2645" s="2">
        <v>1</v>
      </c>
      <c r="G2645" s="4">
        <v>1.0868735852415792</v>
      </c>
      <c r="H2645" s="2">
        <v>25</v>
      </c>
      <c r="I2645" s="2">
        <v>5</v>
      </c>
      <c r="J2645" s="2">
        <v>16</v>
      </c>
      <c r="K2645" s="11">
        <v>1</v>
      </c>
      <c r="L2645" s="11">
        <v>0.69665021380998393</v>
      </c>
      <c r="M2645" s="4">
        <v>0.69665021380998393</v>
      </c>
      <c r="N2645" s="10">
        <v>0.69699999999999995</v>
      </c>
      <c r="O2645" s="4">
        <v>4.2676046316884486</v>
      </c>
      <c r="P2645" s="4">
        <v>4.2699999999999996</v>
      </c>
      <c r="Q2645" s="3" t="s">
        <v>1597</v>
      </c>
      <c r="R2645" s="3" t="s">
        <v>1607</v>
      </c>
      <c r="S2645" s="3" t="s">
        <v>1608</v>
      </c>
      <c r="T2645" s="3"/>
    </row>
    <row r="2646" spans="1:20">
      <c r="A2646" s="3" t="s">
        <v>1600</v>
      </c>
      <c r="B2646" s="3" t="s">
        <v>1601</v>
      </c>
      <c r="C2646" s="3" t="s">
        <v>1596</v>
      </c>
      <c r="D2646" s="3" t="s">
        <v>346</v>
      </c>
      <c r="E2646" s="3" t="s">
        <v>347</v>
      </c>
      <c r="F2646" s="2">
        <v>1</v>
      </c>
      <c r="G2646" s="4">
        <v>1.0868735852415792</v>
      </c>
      <c r="H2646" s="2">
        <v>25</v>
      </c>
      <c r="I2646" s="2">
        <v>5</v>
      </c>
      <c r="J2646" s="2">
        <v>1</v>
      </c>
      <c r="K2646" s="4">
        <v>0.14847261807364875</v>
      </c>
      <c r="L2646" s="4">
        <v>0.65666234814276503</v>
      </c>
      <c r="M2646" s="4">
        <v>0.65666234814276503</v>
      </c>
      <c r="N2646" s="10">
        <v>0.65700000000000003</v>
      </c>
      <c r="O2646" s="4">
        <v>3.9015137818506944</v>
      </c>
      <c r="P2646" s="4">
        <v>3.9</v>
      </c>
      <c r="Q2646" s="3" t="s">
        <v>1597</v>
      </c>
      <c r="R2646" s="3" t="s">
        <v>1602</v>
      </c>
      <c r="S2646" s="3" t="s">
        <v>1603</v>
      </c>
      <c r="T2646" s="3"/>
    </row>
    <row r="2647" spans="1:20">
      <c r="A2647" s="3" t="s">
        <v>1600</v>
      </c>
      <c r="B2647" s="3" t="s">
        <v>1609</v>
      </c>
      <c r="C2647" s="3" t="s">
        <v>1596</v>
      </c>
      <c r="D2647" s="3" t="s">
        <v>346</v>
      </c>
      <c r="E2647" s="3" t="s">
        <v>347</v>
      </c>
      <c r="F2647" s="2">
        <v>1</v>
      </c>
      <c r="G2647" s="4">
        <v>1.0868735852415792</v>
      </c>
      <c r="H2647" s="2">
        <v>25</v>
      </c>
      <c r="I2647" s="2">
        <v>5</v>
      </c>
      <c r="J2647" s="2">
        <v>1</v>
      </c>
      <c r="K2647" s="11">
        <v>1</v>
      </c>
      <c r="L2647" s="11">
        <v>0.65526876775784093</v>
      </c>
      <c r="M2647" s="4">
        <v>0.65526876775784093</v>
      </c>
      <c r="N2647" s="10">
        <v>0.65500000000000003</v>
      </c>
      <c r="O2647" s="4">
        <v>3.8893860315882871</v>
      </c>
      <c r="P2647" s="4">
        <v>3.89</v>
      </c>
      <c r="Q2647" s="3" t="s">
        <v>1597</v>
      </c>
      <c r="R2647" s="3" t="s">
        <v>1610</v>
      </c>
      <c r="S2647" s="3" t="s">
        <v>1611</v>
      </c>
      <c r="T2647" s="3"/>
    </row>
    <row r="2648" spans="1:20">
      <c r="A2648" s="3" t="s">
        <v>1600</v>
      </c>
      <c r="B2648" s="3" t="s">
        <v>1606</v>
      </c>
      <c r="C2648" s="3" t="s">
        <v>1616</v>
      </c>
      <c r="D2648" s="3" t="s">
        <v>346</v>
      </c>
      <c r="E2648" s="3" t="s">
        <v>347</v>
      </c>
      <c r="F2648" s="2">
        <v>1</v>
      </c>
      <c r="G2648" s="4">
        <v>1.0868735852415792</v>
      </c>
      <c r="H2648" s="2">
        <v>25</v>
      </c>
      <c r="I2648" s="2">
        <v>5</v>
      </c>
      <c r="J2648" s="2">
        <v>1</v>
      </c>
      <c r="K2648" s="4">
        <v>1</v>
      </c>
      <c r="L2648" s="4">
        <v>0.52528395506614645</v>
      </c>
      <c r="M2648" s="4">
        <v>0.52528395506614645</v>
      </c>
      <c r="N2648" s="10">
        <v>0.52500000000000002</v>
      </c>
      <c r="O2648" s="4">
        <v>2.8934988698004549</v>
      </c>
      <c r="P2648" s="4">
        <v>2.89</v>
      </c>
      <c r="Q2648" s="3" t="s">
        <v>1597</v>
      </c>
      <c r="R2648" s="3" t="s">
        <v>1607</v>
      </c>
      <c r="S2648" s="3" t="s">
        <v>1608</v>
      </c>
      <c r="T2648" s="3"/>
    </row>
    <row r="2649" spans="1:20">
      <c r="A2649" s="3" t="s">
        <v>1600</v>
      </c>
      <c r="B2649" s="3" t="s">
        <v>1606</v>
      </c>
      <c r="C2649" s="3" t="s">
        <v>1616</v>
      </c>
      <c r="D2649" s="3" t="s">
        <v>346</v>
      </c>
      <c r="E2649" s="3" t="s">
        <v>347</v>
      </c>
      <c r="F2649" s="2">
        <v>1</v>
      </c>
      <c r="G2649" s="4">
        <v>1.0868735852415792</v>
      </c>
      <c r="H2649" s="2">
        <v>25</v>
      </c>
      <c r="I2649" s="2">
        <v>5</v>
      </c>
      <c r="J2649" s="2">
        <v>16</v>
      </c>
      <c r="K2649" s="11">
        <v>1</v>
      </c>
      <c r="L2649" s="11">
        <v>0.45835682210043194</v>
      </c>
      <c r="M2649" s="4">
        <v>0.45835682210043194</v>
      </c>
      <c r="N2649" s="10">
        <v>0.45800000000000002</v>
      </c>
      <c r="O2649" s="4">
        <v>2.4553142952354894</v>
      </c>
      <c r="P2649" s="4">
        <v>2.4500000000000002</v>
      </c>
      <c r="Q2649" s="3" t="s">
        <v>1597</v>
      </c>
      <c r="R2649" s="3" t="s">
        <v>1607</v>
      </c>
      <c r="S2649" s="3" t="s">
        <v>1608</v>
      </c>
      <c r="T2649" s="3"/>
    </row>
    <row r="2650" spans="1:20">
      <c r="A2650" s="3" t="s">
        <v>1604</v>
      </c>
      <c r="B2650" s="3" t="s">
        <v>1601</v>
      </c>
      <c r="C2650" s="3" t="s">
        <v>1616</v>
      </c>
      <c r="D2650" s="3" t="s">
        <v>346</v>
      </c>
      <c r="E2650" s="3" t="s">
        <v>347</v>
      </c>
      <c r="F2650" s="2">
        <v>1</v>
      </c>
      <c r="G2650" s="4">
        <v>1.0868735852415792</v>
      </c>
      <c r="H2650" s="2">
        <v>25</v>
      </c>
      <c r="I2650" s="2">
        <v>30</v>
      </c>
      <c r="J2650" s="2">
        <v>16</v>
      </c>
      <c r="K2650" s="4">
        <v>1</v>
      </c>
      <c r="L2650" s="4">
        <v>0.40978665000889181</v>
      </c>
      <c r="M2650" s="4">
        <v>0.40978665000889181</v>
      </c>
      <c r="N2650" s="10">
        <v>0.41</v>
      </c>
      <c r="O2650" s="4">
        <v>2.1584613339857315</v>
      </c>
      <c r="P2650" s="4">
        <v>2.16</v>
      </c>
      <c r="Q2650" s="3" t="s">
        <v>1597</v>
      </c>
      <c r="R2650" s="3" t="s">
        <v>1602</v>
      </c>
      <c r="S2650" s="3" t="s">
        <v>1603</v>
      </c>
      <c r="T2650" s="3"/>
    </row>
    <row r="2651" spans="1:20">
      <c r="A2651" s="3" t="s">
        <v>1600</v>
      </c>
      <c r="B2651" s="3" t="s">
        <v>1601</v>
      </c>
      <c r="C2651" s="3" t="s">
        <v>1616</v>
      </c>
      <c r="D2651" s="3" t="s">
        <v>346</v>
      </c>
      <c r="E2651" s="3" t="s">
        <v>347</v>
      </c>
      <c r="F2651" s="2">
        <v>1</v>
      </c>
      <c r="G2651" s="4">
        <v>1.0868735852415792</v>
      </c>
      <c r="H2651" s="2">
        <v>25</v>
      </c>
      <c r="I2651" s="2">
        <v>5</v>
      </c>
      <c r="J2651" s="2">
        <v>1</v>
      </c>
      <c r="K2651" s="4">
        <v>0.97680017688118093</v>
      </c>
      <c r="L2651" s="4">
        <v>0.40339360011325137</v>
      </c>
      <c r="M2651" s="4">
        <v>0.40339360011325137</v>
      </c>
      <c r="N2651" s="10">
        <v>0.40300000000000002</v>
      </c>
      <c r="O2651" s="4">
        <v>2.1204870246492775</v>
      </c>
      <c r="P2651" s="4">
        <v>2.12</v>
      </c>
      <c r="Q2651" s="3" t="s">
        <v>1597</v>
      </c>
      <c r="R2651" s="3" t="s">
        <v>1602</v>
      </c>
      <c r="S2651" s="3" t="s">
        <v>1603</v>
      </c>
      <c r="T2651" s="3"/>
    </row>
    <row r="2652" spans="1:20">
      <c r="A2652" s="3" t="s">
        <v>1600</v>
      </c>
      <c r="B2652" s="3" t="s">
        <v>1601</v>
      </c>
      <c r="C2652" s="3" t="s">
        <v>1616</v>
      </c>
      <c r="D2652" s="3" t="s">
        <v>346</v>
      </c>
      <c r="E2652" s="3" t="s">
        <v>347</v>
      </c>
      <c r="F2652" s="2">
        <v>1</v>
      </c>
      <c r="G2652" s="4">
        <v>1.0868735852415792</v>
      </c>
      <c r="H2652" s="2">
        <v>25</v>
      </c>
      <c r="I2652" s="2">
        <v>5</v>
      </c>
      <c r="J2652" s="2">
        <v>16</v>
      </c>
      <c r="K2652" s="4">
        <v>1</v>
      </c>
      <c r="L2652" s="4">
        <v>0.36816664116236386</v>
      </c>
      <c r="M2652" s="4">
        <v>0.36816664116236386</v>
      </c>
      <c r="N2652" s="10">
        <v>0.36799999999999999</v>
      </c>
      <c r="O2652" s="4">
        <v>1.9152538309547955</v>
      </c>
      <c r="P2652" s="4">
        <v>1.91</v>
      </c>
      <c r="Q2652" s="3" t="s">
        <v>1597</v>
      </c>
      <c r="R2652" s="3" t="s">
        <v>1602</v>
      </c>
      <c r="S2652" s="3" t="s">
        <v>1603</v>
      </c>
      <c r="T2652" s="3"/>
    </row>
    <row r="2653" spans="1:20">
      <c r="A2653" s="3" t="s">
        <v>1600</v>
      </c>
      <c r="B2653" s="3" t="s">
        <v>1609</v>
      </c>
      <c r="C2653" s="3" t="s">
        <v>1616</v>
      </c>
      <c r="D2653" s="3" t="s">
        <v>346</v>
      </c>
      <c r="E2653" s="3" t="s">
        <v>347</v>
      </c>
      <c r="F2653" s="2">
        <v>1</v>
      </c>
      <c r="G2653" s="4">
        <v>1.0868735852415792</v>
      </c>
      <c r="H2653" s="2">
        <v>25</v>
      </c>
      <c r="I2653" s="2">
        <v>5</v>
      </c>
      <c r="J2653" s="2">
        <v>1</v>
      </c>
      <c r="K2653" s="4">
        <v>0.45117428085983424</v>
      </c>
      <c r="L2653" s="4">
        <v>0.33030146967385082</v>
      </c>
      <c r="M2653" s="4">
        <v>0.33030146967385082</v>
      </c>
      <c r="N2653" s="10">
        <v>0.33</v>
      </c>
      <c r="O2653" s="4">
        <v>1.7013981802513687</v>
      </c>
      <c r="P2653" s="4">
        <v>1.7</v>
      </c>
      <c r="Q2653" s="3" t="s">
        <v>1597</v>
      </c>
      <c r="R2653" s="3" t="s">
        <v>1610</v>
      </c>
      <c r="S2653" s="3" t="s">
        <v>1611</v>
      </c>
      <c r="T2653" s="3"/>
    </row>
    <row r="2654" spans="1:20">
      <c r="A2654" s="3" t="s">
        <v>1600</v>
      </c>
      <c r="B2654" s="3" t="s">
        <v>1601</v>
      </c>
      <c r="C2654" s="3" t="s">
        <v>1596</v>
      </c>
      <c r="D2654" s="3" t="s">
        <v>346</v>
      </c>
      <c r="E2654" s="3" t="s">
        <v>347</v>
      </c>
      <c r="F2654" s="2">
        <v>1</v>
      </c>
      <c r="G2654" s="4">
        <v>1.0868735852415792</v>
      </c>
      <c r="H2654" s="2">
        <v>25</v>
      </c>
      <c r="I2654" s="2">
        <v>5</v>
      </c>
      <c r="J2654" s="2">
        <v>16</v>
      </c>
      <c r="K2654" s="4">
        <v>0.87090245982756587</v>
      </c>
      <c r="L2654" s="4">
        <v>0.30828972688593953</v>
      </c>
      <c r="M2654" s="4">
        <v>0.30828972688593953</v>
      </c>
      <c r="N2654" s="10">
        <v>0.308</v>
      </c>
      <c r="O2654" s="4">
        <v>1.5798682917197677</v>
      </c>
      <c r="P2654" s="4">
        <v>1.58</v>
      </c>
      <c r="Q2654" s="3" t="s">
        <v>1597</v>
      </c>
      <c r="R2654" s="3" t="s">
        <v>1602</v>
      </c>
      <c r="S2654" s="3" t="s">
        <v>1603</v>
      </c>
      <c r="T2654" s="3"/>
    </row>
    <row r="2655" spans="1:20">
      <c r="A2655" s="3" t="s">
        <v>1600</v>
      </c>
      <c r="B2655" s="3" t="s">
        <v>1609</v>
      </c>
      <c r="C2655" s="3" t="s">
        <v>1616</v>
      </c>
      <c r="D2655" s="3" t="s">
        <v>346</v>
      </c>
      <c r="E2655" s="3" t="s">
        <v>347</v>
      </c>
      <c r="F2655" s="2">
        <v>1</v>
      </c>
      <c r="G2655" s="4">
        <v>1.0868735852415792</v>
      </c>
      <c r="H2655" s="2">
        <v>25</v>
      </c>
      <c r="I2655" s="2">
        <v>5</v>
      </c>
      <c r="J2655" s="2">
        <v>16</v>
      </c>
      <c r="K2655" s="11">
        <v>1</v>
      </c>
      <c r="L2655" s="11">
        <v>0.28027609697594319</v>
      </c>
      <c r="M2655" s="4">
        <v>0.28027609697594319</v>
      </c>
      <c r="N2655" s="10">
        <v>0.28000000000000003</v>
      </c>
      <c r="O2655" s="4">
        <v>1.4277948492494548</v>
      </c>
      <c r="P2655" s="4">
        <v>1.43</v>
      </c>
      <c r="Q2655" s="3" t="s">
        <v>1597</v>
      </c>
      <c r="R2655" s="3" t="s">
        <v>1610</v>
      </c>
      <c r="S2655" s="3" t="s">
        <v>1611</v>
      </c>
      <c r="T2655" s="3"/>
    </row>
    <row r="2656" spans="1:20">
      <c r="A2656" s="3" t="s">
        <v>1600</v>
      </c>
      <c r="B2656" s="3" t="s">
        <v>1609</v>
      </c>
      <c r="C2656" s="3" t="s">
        <v>1596</v>
      </c>
      <c r="D2656" s="3" t="s">
        <v>346</v>
      </c>
      <c r="E2656" s="3" t="s">
        <v>347</v>
      </c>
      <c r="F2656" s="2">
        <v>1</v>
      </c>
      <c r="G2656" s="4">
        <v>1.0868735852415792</v>
      </c>
      <c r="H2656" s="2">
        <v>25</v>
      </c>
      <c r="I2656" s="2">
        <v>5</v>
      </c>
      <c r="J2656" s="2">
        <v>16</v>
      </c>
      <c r="K2656" s="4">
        <v>0.85064483513995293</v>
      </c>
      <c r="L2656" s="4">
        <v>0.25733723955508536</v>
      </c>
      <c r="M2656" s="4">
        <v>0.25733723955508536</v>
      </c>
      <c r="N2656" s="10">
        <v>0.25700000000000001</v>
      </c>
      <c r="O2656" s="4">
        <v>1.3052000692210313</v>
      </c>
      <c r="P2656" s="4">
        <v>1.3</v>
      </c>
      <c r="Q2656" s="3" t="s">
        <v>1597</v>
      </c>
      <c r="R2656" s="3" t="s">
        <v>1610</v>
      </c>
      <c r="S2656" s="3" t="s">
        <v>1611</v>
      </c>
      <c r="T2656" s="3"/>
    </row>
    <row r="2657" spans="1:20">
      <c r="A2657" s="3" t="s">
        <v>1594</v>
      </c>
      <c r="B2657" s="3" t="s">
        <v>1612</v>
      </c>
      <c r="C2657" s="3" t="s">
        <v>1596</v>
      </c>
      <c r="D2657" s="3" t="s">
        <v>346</v>
      </c>
      <c r="E2657" s="3" t="s">
        <v>347</v>
      </c>
      <c r="F2657" s="2">
        <v>1</v>
      </c>
      <c r="G2657" s="4">
        <v>1.0868735852415792</v>
      </c>
      <c r="H2657" s="2">
        <v>50</v>
      </c>
      <c r="I2657" s="2">
        <v>5</v>
      </c>
      <c r="J2657" s="2">
        <v>16</v>
      </c>
      <c r="K2657" s="4">
        <v>0.91141778160459486</v>
      </c>
      <c r="L2657" s="14">
        <v>0.23138878905149871</v>
      </c>
      <c r="M2657" s="4">
        <v>0.23138878905149871</v>
      </c>
      <c r="N2657" s="10">
        <v>0.23100000000000001</v>
      </c>
      <c r="O2657" s="4">
        <v>1.2663372693818558</v>
      </c>
      <c r="P2657" s="4">
        <v>1.26</v>
      </c>
      <c r="Q2657" s="3" t="s">
        <v>1597</v>
      </c>
      <c r="R2657" s="3" t="s">
        <v>1613</v>
      </c>
      <c r="S2657" s="3" t="s">
        <v>1614</v>
      </c>
      <c r="T2657" s="3"/>
    </row>
    <row r="2658" spans="1:20">
      <c r="A2658" s="3" t="s">
        <v>1594</v>
      </c>
      <c r="B2658" s="3" t="s">
        <v>1595</v>
      </c>
      <c r="C2658" s="3" t="s">
        <v>1596</v>
      </c>
      <c r="D2658" s="3" t="s">
        <v>346</v>
      </c>
      <c r="E2658" s="3" t="s">
        <v>347</v>
      </c>
      <c r="F2658" s="2">
        <v>1</v>
      </c>
      <c r="G2658" s="4">
        <v>1.0868735852415792</v>
      </c>
      <c r="H2658" s="2">
        <v>50</v>
      </c>
      <c r="I2658" s="2">
        <v>5</v>
      </c>
      <c r="J2658" s="2">
        <v>16</v>
      </c>
      <c r="K2658" s="4">
        <v>0.88166497940693433</v>
      </c>
      <c r="L2658" s="14">
        <v>-0.14908651717279561</v>
      </c>
      <c r="M2658" s="4">
        <v>0.14908651717279561</v>
      </c>
      <c r="N2658" s="10">
        <v>0.14899999999999999</v>
      </c>
      <c r="O2658" s="4">
        <v>0.80715648495079451</v>
      </c>
      <c r="P2658" s="4">
        <v>-0.81</v>
      </c>
      <c r="Q2658" s="3" t="s">
        <v>1617</v>
      </c>
      <c r="R2658" s="3" t="s">
        <v>1625</v>
      </c>
      <c r="S2658" s="3" t="s">
        <v>1626</v>
      </c>
      <c r="T2658" s="3"/>
    </row>
    <row r="2659" spans="1:20">
      <c r="A2659" s="3" t="s">
        <v>1604</v>
      </c>
      <c r="B2659" s="3" t="s">
        <v>1601</v>
      </c>
      <c r="C2659" s="3" t="s">
        <v>1616</v>
      </c>
      <c r="D2659" s="3" t="s">
        <v>494</v>
      </c>
      <c r="E2659" s="3" t="s">
        <v>495</v>
      </c>
      <c r="F2659" s="2">
        <v>1</v>
      </c>
      <c r="G2659" s="4">
        <v>1.0872184880700533</v>
      </c>
      <c r="H2659" s="2">
        <v>25</v>
      </c>
      <c r="I2659" s="2">
        <v>30</v>
      </c>
      <c r="J2659" s="2">
        <v>16</v>
      </c>
      <c r="K2659" s="4">
        <v>2.5193077325270652E-2</v>
      </c>
      <c r="L2659" s="4">
        <v>1</v>
      </c>
      <c r="M2659" s="4">
        <v>1</v>
      </c>
      <c r="N2659" s="10">
        <v>0.995</v>
      </c>
      <c r="O2659" s="4">
        <v>14.85</v>
      </c>
      <c r="P2659" s="4">
        <v>14.85</v>
      </c>
      <c r="Q2659" s="3" t="s">
        <v>1597</v>
      </c>
      <c r="R2659" s="3" t="s">
        <v>1602</v>
      </c>
      <c r="S2659" s="3" t="s">
        <v>1603</v>
      </c>
      <c r="T2659" s="3"/>
    </row>
    <row r="2660" spans="1:20">
      <c r="A2660" s="3" t="s">
        <v>1600</v>
      </c>
      <c r="B2660" s="3" t="s">
        <v>1601</v>
      </c>
      <c r="C2660" s="3" t="s">
        <v>1596</v>
      </c>
      <c r="D2660" s="3" t="s">
        <v>494</v>
      </c>
      <c r="E2660" s="3" t="s">
        <v>495</v>
      </c>
      <c r="F2660" s="2">
        <v>1</v>
      </c>
      <c r="G2660" s="4">
        <v>1.0872184880700533</v>
      </c>
      <c r="H2660" s="2">
        <v>25</v>
      </c>
      <c r="I2660" s="2">
        <v>5</v>
      </c>
      <c r="J2660" s="2">
        <v>16</v>
      </c>
      <c r="K2660" s="4">
        <v>0.61964493520270603</v>
      </c>
      <c r="L2660" s="4">
        <v>0.41220484326924289</v>
      </c>
      <c r="M2660" s="4">
        <v>0.41220484326924289</v>
      </c>
      <c r="N2660" s="10">
        <v>0.41199999999999998</v>
      </c>
      <c r="O2660" s="4">
        <v>2.1728874121021851</v>
      </c>
      <c r="P2660" s="4">
        <v>2.17</v>
      </c>
      <c r="Q2660" s="3" t="s">
        <v>1597</v>
      </c>
      <c r="R2660" s="3" t="s">
        <v>1602</v>
      </c>
      <c r="S2660" s="3" t="s">
        <v>1603</v>
      </c>
      <c r="T2660" s="3"/>
    </row>
    <row r="2661" spans="1:20">
      <c r="A2661" s="3" t="s">
        <v>1594</v>
      </c>
      <c r="B2661" s="3" t="s">
        <v>1612</v>
      </c>
      <c r="C2661" s="3" t="s">
        <v>1596</v>
      </c>
      <c r="D2661" s="3" t="s">
        <v>494</v>
      </c>
      <c r="E2661" s="3" t="s">
        <v>495</v>
      </c>
      <c r="F2661" s="2">
        <v>1</v>
      </c>
      <c r="G2661" s="4">
        <v>1.0872184880700533</v>
      </c>
      <c r="H2661" s="2">
        <v>50</v>
      </c>
      <c r="I2661" s="2">
        <v>5</v>
      </c>
      <c r="J2661" s="2">
        <v>16</v>
      </c>
      <c r="K2661" s="4">
        <v>9.8978095257164861E-2</v>
      </c>
      <c r="L2661" s="14">
        <v>8.259321387587476E-2</v>
      </c>
      <c r="M2661" s="4">
        <v>8.259321387587476E-2</v>
      </c>
      <c r="N2661" s="10">
        <v>8.3000000000000004E-2</v>
      </c>
      <c r="O2661" s="4">
        <v>0.44484132347023453</v>
      </c>
      <c r="P2661" s="4">
        <v>0.45</v>
      </c>
      <c r="Q2661" s="3" t="s">
        <v>1597</v>
      </c>
      <c r="R2661" s="3" t="s">
        <v>1613</v>
      </c>
      <c r="S2661" s="3" t="s">
        <v>1614</v>
      </c>
      <c r="T2661" s="3"/>
    </row>
    <row r="2662" spans="1:20">
      <c r="A2662" s="3" t="s">
        <v>1594</v>
      </c>
      <c r="B2662" s="3" t="s">
        <v>1595</v>
      </c>
      <c r="C2662" s="3" t="s">
        <v>1596</v>
      </c>
      <c r="D2662" s="3" t="s">
        <v>494</v>
      </c>
      <c r="E2662" s="3" t="s">
        <v>495</v>
      </c>
      <c r="F2662" s="2">
        <v>1</v>
      </c>
      <c r="G2662" s="4">
        <v>1.0872184880700533</v>
      </c>
      <c r="H2662" s="2">
        <v>50</v>
      </c>
      <c r="I2662" s="2">
        <v>5</v>
      </c>
      <c r="J2662" s="2">
        <v>16</v>
      </c>
      <c r="K2662" s="4">
        <v>0.85617585079690395</v>
      </c>
      <c r="L2662" s="14">
        <v>1.4463591331546339E-2</v>
      </c>
      <c r="M2662" s="4">
        <v>1.4463591331546339E-2</v>
      </c>
      <c r="N2662" s="10">
        <v>1.4E-2</v>
      </c>
      <c r="O2662" s="4">
        <v>7.7727862128580669E-2</v>
      </c>
      <c r="P2662" s="4">
        <v>0.08</v>
      </c>
      <c r="Q2662" s="3" t="s">
        <v>1597</v>
      </c>
      <c r="R2662" s="3" t="s">
        <v>1598</v>
      </c>
      <c r="S2662" s="3" t="s">
        <v>1599</v>
      </c>
      <c r="T2662" s="3"/>
    </row>
    <row r="2663" spans="1:20">
      <c r="A2663" s="3" t="s">
        <v>1600</v>
      </c>
      <c r="B2663" s="3" t="s">
        <v>1601</v>
      </c>
      <c r="C2663" s="3" t="s">
        <v>1616</v>
      </c>
      <c r="D2663" s="3" t="s">
        <v>494</v>
      </c>
      <c r="E2663" s="3" t="s">
        <v>495</v>
      </c>
      <c r="F2663" s="2">
        <v>1</v>
      </c>
      <c r="G2663" s="4">
        <v>1.0872184880700533</v>
      </c>
      <c r="H2663" s="2">
        <v>25</v>
      </c>
      <c r="I2663" s="2">
        <v>5</v>
      </c>
      <c r="J2663" s="2">
        <v>1</v>
      </c>
      <c r="K2663" s="4">
        <v>0</v>
      </c>
      <c r="L2663" s="4">
        <v>0</v>
      </c>
      <c r="M2663" s="4">
        <v>0</v>
      </c>
      <c r="N2663" s="10">
        <v>0</v>
      </c>
      <c r="O2663" s="4">
        <v>0</v>
      </c>
      <c r="P2663" s="4">
        <v>0</v>
      </c>
      <c r="Q2663" s="3" t="s">
        <v>1617</v>
      </c>
      <c r="R2663" s="3" t="s">
        <v>1618</v>
      </c>
      <c r="S2663" s="3" t="s">
        <v>1619</v>
      </c>
      <c r="T2663" s="3"/>
    </row>
    <row r="2664" spans="1:20">
      <c r="A2664" s="3" t="s">
        <v>1600</v>
      </c>
      <c r="B2664" s="3" t="s">
        <v>1601</v>
      </c>
      <c r="C2664" s="3" t="s">
        <v>1616</v>
      </c>
      <c r="D2664" s="3" t="s">
        <v>494</v>
      </c>
      <c r="E2664" s="3" t="s">
        <v>495</v>
      </c>
      <c r="F2664" s="2">
        <v>1</v>
      </c>
      <c r="G2664" s="4">
        <v>1.0872184880700533</v>
      </c>
      <c r="H2664" s="2">
        <v>25</v>
      </c>
      <c r="I2664" s="2">
        <v>5</v>
      </c>
      <c r="J2664" s="2">
        <v>16</v>
      </c>
      <c r="K2664" s="4">
        <v>0</v>
      </c>
      <c r="L2664" s="4">
        <v>0</v>
      </c>
      <c r="M2664" s="4">
        <v>0</v>
      </c>
      <c r="N2664" s="10">
        <v>0</v>
      </c>
      <c r="O2664" s="4">
        <v>0</v>
      </c>
      <c r="P2664" s="4">
        <v>0</v>
      </c>
      <c r="Q2664" s="3" t="s">
        <v>1617</v>
      </c>
      <c r="R2664" s="3" t="s">
        <v>1618</v>
      </c>
      <c r="S2664" s="3" t="s">
        <v>1619</v>
      </c>
      <c r="T2664" s="3"/>
    </row>
    <row r="2665" spans="1:20">
      <c r="A2665" s="3" t="s">
        <v>1600</v>
      </c>
      <c r="B2665" s="3" t="s">
        <v>1601</v>
      </c>
      <c r="C2665" s="3" t="s">
        <v>1596</v>
      </c>
      <c r="D2665" s="3" t="s">
        <v>494</v>
      </c>
      <c r="E2665" s="3" t="s">
        <v>495</v>
      </c>
      <c r="F2665" s="2">
        <v>1</v>
      </c>
      <c r="G2665" s="4">
        <v>1.0872184880700533</v>
      </c>
      <c r="H2665" s="2">
        <v>25</v>
      </c>
      <c r="I2665" s="2">
        <v>5</v>
      </c>
      <c r="J2665" s="2">
        <v>1</v>
      </c>
      <c r="K2665" s="4">
        <v>0</v>
      </c>
      <c r="L2665" s="4">
        <v>0</v>
      </c>
      <c r="M2665" s="4">
        <v>0</v>
      </c>
      <c r="N2665" s="10">
        <v>0</v>
      </c>
      <c r="O2665" s="4">
        <v>0</v>
      </c>
      <c r="P2665" s="4">
        <v>0</v>
      </c>
      <c r="Q2665" s="3" t="s">
        <v>1617</v>
      </c>
      <c r="R2665" s="3" t="s">
        <v>1618</v>
      </c>
      <c r="S2665" s="3" t="s">
        <v>1619</v>
      </c>
      <c r="T2665" s="3"/>
    </row>
    <row r="2666" spans="1:20">
      <c r="A2666" s="12" t="s">
        <v>1605</v>
      </c>
      <c r="B2666" s="3" t="s">
        <v>1601</v>
      </c>
      <c r="C2666" s="3" t="s">
        <v>1596</v>
      </c>
      <c r="D2666" s="3" t="s">
        <v>494</v>
      </c>
      <c r="E2666" s="3" t="s">
        <v>495</v>
      </c>
      <c r="F2666" s="2">
        <v>1</v>
      </c>
      <c r="G2666" s="4">
        <v>1.0872184880700533</v>
      </c>
      <c r="H2666" s="2">
        <v>25</v>
      </c>
      <c r="I2666" s="2">
        <v>5</v>
      </c>
      <c r="J2666" s="2">
        <v>16</v>
      </c>
      <c r="K2666" s="11">
        <v>0</v>
      </c>
      <c r="L2666" s="11">
        <v>0</v>
      </c>
      <c r="M2666" s="4">
        <v>0</v>
      </c>
      <c r="N2666" s="10">
        <v>0</v>
      </c>
      <c r="O2666" s="4">
        <v>0</v>
      </c>
      <c r="P2666" s="4">
        <v>0</v>
      </c>
      <c r="Q2666" s="3" t="s">
        <v>1617</v>
      </c>
      <c r="R2666" s="3" t="s">
        <v>1618</v>
      </c>
      <c r="S2666" s="3" t="s">
        <v>1619</v>
      </c>
      <c r="T2666" s="3"/>
    </row>
    <row r="2667" spans="1:20">
      <c r="A2667" s="3" t="s">
        <v>1600</v>
      </c>
      <c r="B2667" s="3" t="s">
        <v>1606</v>
      </c>
      <c r="C2667" s="3" t="s">
        <v>1596</v>
      </c>
      <c r="D2667" s="3" t="s">
        <v>494</v>
      </c>
      <c r="E2667" s="3" t="s">
        <v>495</v>
      </c>
      <c r="F2667" s="2">
        <v>1</v>
      </c>
      <c r="G2667" s="4">
        <v>1.0872184880700533</v>
      </c>
      <c r="H2667" s="2">
        <v>25</v>
      </c>
      <c r="I2667" s="2">
        <v>5</v>
      </c>
      <c r="J2667" s="2">
        <v>1</v>
      </c>
      <c r="K2667" s="11">
        <v>0</v>
      </c>
      <c r="L2667" s="11">
        <v>0</v>
      </c>
      <c r="M2667" s="4">
        <v>0</v>
      </c>
      <c r="N2667" s="10">
        <v>0</v>
      </c>
      <c r="O2667" s="4">
        <v>0</v>
      </c>
      <c r="P2667" s="4">
        <v>0</v>
      </c>
      <c r="Q2667" s="3" t="s">
        <v>1617</v>
      </c>
      <c r="R2667" s="3" t="s">
        <v>1621</v>
      </c>
      <c r="S2667" s="3" t="s">
        <v>1622</v>
      </c>
      <c r="T2667" s="3"/>
    </row>
    <row r="2668" spans="1:20">
      <c r="A2668" s="3" t="s">
        <v>1600</v>
      </c>
      <c r="B2668" s="3" t="s">
        <v>1606</v>
      </c>
      <c r="C2668" s="3" t="s">
        <v>1596</v>
      </c>
      <c r="D2668" s="3" t="s">
        <v>494</v>
      </c>
      <c r="E2668" s="3" t="s">
        <v>495</v>
      </c>
      <c r="F2668" s="2">
        <v>1</v>
      </c>
      <c r="G2668" s="4">
        <v>1.0872184880700533</v>
      </c>
      <c r="H2668" s="2">
        <v>25</v>
      </c>
      <c r="I2668" s="2">
        <v>5</v>
      </c>
      <c r="J2668" s="2">
        <v>16</v>
      </c>
      <c r="K2668" s="11">
        <v>0</v>
      </c>
      <c r="L2668" s="11">
        <v>0</v>
      </c>
      <c r="M2668" s="4">
        <v>0</v>
      </c>
      <c r="N2668" s="10">
        <v>0</v>
      </c>
      <c r="O2668" s="4">
        <v>0</v>
      </c>
      <c r="P2668" s="4">
        <v>0</v>
      </c>
      <c r="Q2668" s="3" t="s">
        <v>1617</v>
      </c>
      <c r="R2668" s="3" t="s">
        <v>1621</v>
      </c>
      <c r="S2668" s="3" t="s">
        <v>1622</v>
      </c>
      <c r="T2668" s="3"/>
    </row>
    <row r="2669" spans="1:20">
      <c r="A2669" s="3" t="s">
        <v>1600</v>
      </c>
      <c r="B2669" s="3" t="s">
        <v>1609</v>
      </c>
      <c r="C2669" s="3" t="s">
        <v>1596</v>
      </c>
      <c r="D2669" s="3" t="s">
        <v>494</v>
      </c>
      <c r="E2669" s="3" t="s">
        <v>495</v>
      </c>
      <c r="F2669" s="2">
        <v>1</v>
      </c>
      <c r="G2669" s="4">
        <v>1.0872184880700533</v>
      </c>
      <c r="H2669" s="2">
        <v>25</v>
      </c>
      <c r="I2669" s="2">
        <v>5</v>
      </c>
      <c r="J2669" s="2">
        <v>1</v>
      </c>
      <c r="K2669" s="11">
        <v>0</v>
      </c>
      <c r="L2669" s="11">
        <v>0</v>
      </c>
      <c r="M2669" s="4">
        <v>0</v>
      </c>
      <c r="N2669" s="10">
        <v>0</v>
      </c>
      <c r="O2669" s="4">
        <v>0</v>
      </c>
      <c r="P2669" s="4">
        <v>0</v>
      </c>
      <c r="Q2669" s="3" t="s">
        <v>1617</v>
      </c>
      <c r="R2669" s="3" t="s">
        <v>1623</v>
      </c>
      <c r="S2669" s="3" t="s">
        <v>1624</v>
      </c>
      <c r="T2669" s="3"/>
    </row>
    <row r="2670" spans="1:20">
      <c r="A2670" s="3" t="s">
        <v>1600</v>
      </c>
      <c r="B2670" s="3" t="s">
        <v>1606</v>
      </c>
      <c r="C2670" s="3" t="s">
        <v>1616</v>
      </c>
      <c r="D2670" s="3" t="s">
        <v>494</v>
      </c>
      <c r="E2670" s="3" t="s">
        <v>495</v>
      </c>
      <c r="F2670" s="2">
        <v>1</v>
      </c>
      <c r="G2670" s="4">
        <v>1.0872184880700533</v>
      </c>
      <c r="H2670" s="2">
        <v>25</v>
      </c>
      <c r="I2670" s="2">
        <v>5</v>
      </c>
      <c r="J2670" s="2">
        <v>1</v>
      </c>
      <c r="K2670" s="4">
        <v>0</v>
      </c>
      <c r="L2670" s="4">
        <v>0</v>
      </c>
      <c r="M2670" s="4">
        <v>0</v>
      </c>
      <c r="N2670" s="10">
        <v>0</v>
      </c>
      <c r="O2670" s="4">
        <v>0</v>
      </c>
      <c r="P2670" s="4">
        <v>0</v>
      </c>
      <c r="Q2670" s="3" t="s">
        <v>1617</v>
      </c>
      <c r="R2670" s="3" t="s">
        <v>1621</v>
      </c>
      <c r="S2670" s="3" t="s">
        <v>1622</v>
      </c>
      <c r="T2670" s="3"/>
    </row>
    <row r="2671" spans="1:20">
      <c r="A2671" s="3" t="s">
        <v>1600</v>
      </c>
      <c r="B2671" s="3" t="s">
        <v>1609</v>
      </c>
      <c r="C2671" s="3" t="s">
        <v>1616</v>
      </c>
      <c r="D2671" s="3" t="s">
        <v>494</v>
      </c>
      <c r="E2671" s="3" t="s">
        <v>495</v>
      </c>
      <c r="F2671" s="2">
        <v>1</v>
      </c>
      <c r="G2671" s="4">
        <v>1.0872184880700533</v>
      </c>
      <c r="H2671" s="2">
        <v>25</v>
      </c>
      <c r="I2671" s="2">
        <v>5</v>
      </c>
      <c r="J2671" s="2">
        <v>1</v>
      </c>
      <c r="K2671" s="4">
        <v>0</v>
      </c>
      <c r="L2671" s="4">
        <v>0</v>
      </c>
      <c r="M2671" s="4">
        <v>0</v>
      </c>
      <c r="N2671" s="10">
        <v>0</v>
      </c>
      <c r="O2671" s="4">
        <v>0</v>
      </c>
      <c r="P2671" s="4">
        <v>0</v>
      </c>
      <c r="Q2671" s="3" t="s">
        <v>1617</v>
      </c>
      <c r="R2671" s="3" t="s">
        <v>1623</v>
      </c>
      <c r="S2671" s="3" t="s">
        <v>1624</v>
      </c>
      <c r="T2671" s="3"/>
    </row>
    <row r="2672" spans="1:20">
      <c r="A2672" s="3" t="s">
        <v>1600</v>
      </c>
      <c r="B2672" s="3" t="s">
        <v>1609</v>
      </c>
      <c r="C2672" s="3" t="s">
        <v>1616</v>
      </c>
      <c r="D2672" s="3" t="s">
        <v>494</v>
      </c>
      <c r="E2672" s="3" t="s">
        <v>495</v>
      </c>
      <c r="F2672" s="2">
        <v>1</v>
      </c>
      <c r="G2672" s="4">
        <v>1.0872184880700533</v>
      </c>
      <c r="H2672" s="2">
        <v>25</v>
      </c>
      <c r="I2672" s="2">
        <v>5</v>
      </c>
      <c r="J2672" s="2">
        <v>16</v>
      </c>
      <c r="K2672" s="11">
        <v>0</v>
      </c>
      <c r="L2672" s="11">
        <v>0</v>
      </c>
      <c r="M2672" s="4">
        <v>0</v>
      </c>
      <c r="N2672" s="10">
        <v>0</v>
      </c>
      <c r="O2672" s="4">
        <v>0</v>
      </c>
      <c r="P2672" s="4">
        <v>0</v>
      </c>
      <c r="Q2672" s="3" t="s">
        <v>1617</v>
      </c>
      <c r="R2672" s="3" t="s">
        <v>1623</v>
      </c>
      <c r="S2672" s="3" t="s">
        <v>1624</v>
      </c>
      <c r="T2672" s="3"/>
    </row>
    <row r="2673" spans="1:20">
      <c r="A2673" s="3" t="s">
        <v>1604</v>
      </c>
      <c r="B2673" s="3" t="s">
        <v>1601</v>
      </c>
      <c r="C2673" s="3" t="s">
        <v>1596</v>
      </c>
      <c r="D2673" s="3" t="s">
        <v>494</v>
      </c>
      <c r="E2673" s="3" t="s">
        <v>495</v>
      </c>
      <c r="F2673" s="2">
        <v>1</v>
      </c>
      <c r="G2673" s="4">
        <v>1.0872184880700533</v>
      </c>
      <c r="H2673" s="2">
        <v>25</v>
      </c>
      <c r="I2673" s="2">
        <v>30</v>
      </c>
      <c r="J2673" s="2">
        <v>16</v>
      </c>
      <c r="K2673" s="4">
        <v>5.7632289855028329E-2</v>
      </c>
      <c r="L2673" s="4">
        <v>-0.12014995559593482</v>
      </c>
      <c r="M2673" s="4">
        <v>0.12014995559593482</v>
      </c>
      <c r="N2673" s="10">
        <v>0.12</v>
      </c>
      <c r="O2673" s="4">
        <v>0.59858741033568708</v>
      </c>
      <c r="P2673" s="4">
        <v>-0.6</v>
      </c>
      <c r="Q2673" s="3" t="s">
        <v>1617</v>
      </c>
      <c r="R2673" s="3" t="s">
        <v>1618</v>
      </c>
      <c r="S2673" s="3" t="s">
        <v>1619</v>
      </c>
      <c r="T2673" s="3"/>
    </row>
    <row r="2674" spans="1:20">
      <c r="A2674" s="3" t="s">
        <v>1600</v>
      </c>
      <c r="B2674" s="3" t="s">
        <v>1609</v>
      </c>
      <c r="C2674" s="3" t="s">
        <v>1596</v>
      </c>
      <c r="D2674" s="3" t="s">
        <v>494</v>
      </c>
      <c r="E2674" s="3" t="s">
        <v>495</v>
      </c>
      <c r="F2674" s="2">
        <v>1</v>
      </c>
      <c r="G2674" s="4">
        <v>1.0872184880700533</v>
      </c>
      <c r="H2674" s="2">
        <v>25</v>
      </c>
      <c r="I2674" s="2">
        <v>5</v>
      </c>
      <c r="J2674" s="2">
        <v>16</v>
      </c>
      <c r="K2674" s="4">
        <v>5.2470827003632037E-2</v>
      </c>
      <c r="L2674" s="4">
        <v>-0.38733755162353656</v>
      </c>
      <c r="M2674" s="4">
        <v>0.38733755162353656</v>
      </c>
      <c r="N2674" s="10">
        <v>0.38700000000000001</v>
      </c>
      <c r="O2674" s="4">
        <v>2.026129182728988</v>
      </c>
      <c r="P2674" s="4">
        <v>-2.02</v>
      </c>
      <c r="Q2674" s="3" t="s">
        <v>1617</v>
      </c>
      <c r="R2674" s="3" t="s">
        <v>1623</v>
      </c>
      <c r="S2674" s="3" t="s">
        <v>1624</v>
      </c>
      <c r="T2674" s="3"/>
    </row>
    <row r="2675" spans="1:20">
      <c r="A2675" s="3" t="s">
        <v>1600</v>
      </c>
      <c r="B2675" s="3" t="s">
        <v>1606</v>
      </c>
      <c r="C2675" s="3" t="s">
        <v>1616</v>
      </c>
      <c r="D2675" s="3" t="s">
        <v>494</v>
      </c>
      <c r="E2675" s="3" t="s">
        <v>495</v>
      </c>
      <c r="F2675" s="2">
        <v>1</v>
      </c>
      <c r="G2675" s="4">
        <v>1.0872184880700533</v>
      </c>
      <c r="H2675" s="2">
        <v>25</v>
      </c>
      <c r="I2675" s="2">
        <v>5</v>
      </c>
      <c r="J2675" s="2">
        <v>16</v>
      </c>
      <c r="K2675" s="11">
        <v>6.1038501319872318E-2</v>
      </c>
      <c r="L2675" s="11">
        <v>-1</v>
      </c>
      <c r="M2675" s="4">
        <v>1</v>
      </c>
      <c r="N2675" s="10">
        <v>0.995</v>
      </c>
      <c r="O2675" s="4">
        <v>14.85</v>
      </c>
      <c r="P2675" s="4">
        <v>-14.85</v>
      </c>
      <c r="Q2675" s="3" t="s">
        <v>1617</v>
      </c>
      <c r="R2675" s="3" t="s">
        <v>1621</v>
      </c>
      <c r="S2675" s="3" t="s">
        <v>1622</v>
      </c>
      <c r="T2675" s="3"/>
    </row>
    <row r="2676" spans="1:20">
      <c r="A2676" s="12" t="s">
        <v>1605</v>
      </c>
      <c r="B2676" s="3" t="s">
        <v>1601</v>
      </c>
      <c r="C2676" s="3" t="s">
        <v>1596</v>
      </c>
      <c r="D2676" s="3" t="s">
        <v>322</v>
      </c>
      <c r="E2676" s="3" t="s">
        <v>323</v>
      </c>
      <c r="F2676" s="2">
        <v>1</v>
      </c>
      <c r="G2676" s="4">
        <v>1.0876113771125977</v>
      </c>
      <c r="H2676" s="2">
        <v>25</v>
      </c>
      <c r="I2676" s="2">
        <v>5</v>
      </c>
      <c r="J2676" s="2">
        <v>16</v>
      </c>
      <c r="K2676" s="11">
        <v>1</v>
      </c>
      <c r="L2676" s="11">
        <v>0.4557327985895418</v>
      </c>
      <c r="M2676" s="4">
        <v>0.4557327985895418</v>
      </c>
      <c r="N2676" s="10">
        <v>0.45600000000000002</v>
      </c>
      <c r="O2676" s="4">
        <v>2.4388693504487078</v>
      </c>
      <c r="P2676" s="4">
        <v>2.44</v>
      </c>
      <c r="Q2676" s="3" t="s">
        <v>1597</v>
      </c>
      <c r="R2676" s="3" t="s">
        <v>1602</v>
      </c>
      <c r="S2676" s="3" t="s">
        <v>1603</v>
      </c>
      <c r="T2676" s="3"/>
    </row>
    <row r="2677" spans="1:20">
      <c r="A2677" s="3" t="s">
        <v>1600</v>
      </c>
      <c r="B2677" s="3" t="s">
        <v>1601</v>
      </c>
      <c r="C2677" s="3" t="s">
        <v>1596</v>
      </c>
      <c r="D2677" s="3" t="s">
        <v>322</v>
      </c>
      <c r="E2677" s="3" t="s">
        <v>323</v>
      </c>
      <c r="F2677" s="2">
        <v>1</v>
      </c>
      <c r="G2677" s="4">
        <v>1.0876113771125977</v>
      </c>
      <c r="H2677" s="2">
        <v>25</v>
      </c>
      <c r="I2677" s="2">
        <v>5</v>
      </c>
      <c r="J2677" s="2">
        <v>16</v>
      </c>
      <c r="K2677" s="4">
        <v>1</v>
      </c>
      <c r="L2677" s="4">
        <v>0.44786771089695249</v>
      </c>
      <c r="M2677" s="4">
        <v>0.44786771089695249</v>
      </c>
      <c r="N2677" s="10">
        <v>0.44800000000000001</v>
      </c>
      <c r="O2677" s="4">
        <v>2.3898729114186463</v>
      </c>
      <c r="P2677" s="4">
        <v>2.39</v>
      </c>
      <c r="Q2677" s="3" t="s">
        <v>1597</v>
      </c>
      <c r="R2677" s="3" t="s">
        <v>1602</v>
      </c>
      <c r="S2677" s="3" t="s">
        <v>1603</v>
      </c>
      <c r="T2677" s="3"/>
    </row>
    <row r="2678" spans="1:20">
      <c r="A2678" s="3" t="s">
        <v>1600</v>
      </c>
      <c r="B2678" s="3" t="s">
        <v>1601</v>
      </c>
      <c r="C2678" s="3" t="s">
        <v>1596</v>
      </c>
      <c r="D2678" s="3" t="s">
        <v>322</v>
      </c>
      <c r="E2678" s="3" t="s">
        <v>323</v>
      </c>
      <c r="F2678" s="2">
        <v>1</v>
      </c>
      <c r="G2678" s="4">
        <v>1.0876113771125977</v>
      </c>
      <c r="H2678" s="2">
        <v>25</v>
      </c>
      <c r="I2678" s="2">
        <v>5</v>
      </c>
      <c r="J2678" s="2">
        <v>1</v>
      </c>
      <c r="K2678" s="4">
        <v>1</v>
      </c>
      <c r="L2678" s="4">
        <v>0.44325080308555537</v>
      </c>
      <c r="M2678" s="4">
        <v>0.44325080308555537</v>
      </c>
      <c r="N2678" s="10">
        <v>0.443</v>
      </c>
      <c r="O2678" s="4">
        <v>2.3613125939910193</v>
      </c>
      <c r="P2678" s="4">
        <v>2.36</v>
      </c>
      <c r="Q2678" s="3" t="s">
        <v>1597</v>
      </c>
      <c r="R2678" s="3" t="s">
        <v>1602</v>
      </c>
      <c r="S2678" s="3" t="s">
        <v>1603</v>
      </c>
      <c r="T2678" s="3"/>
    </row>
    <row r="2679" spans="1:20">
      <c r="A2679" s="3" t="s">
        <v>1604</v>
      </c>
      <c r="B2679" s="3" t="s">
        <v>1601</v>
      </c>
      <c r="C2679" s="3" t="s">
        <v>1596</v>
      </c>
      <c r="D2679" s="3" t="s">
        <v>322</v>
      </c>
      <c r="E2679" s="3" t="s">
        <v>323</v>
      </c>
      <c r="F2679" s="2">
        <v>1</v>
      </c>
      <c r="G2679" s="4">
        <v>1.0876113771125977</v>
      </c>
      <c r="H2679" s="2">
        <v>25</v>
      </c>
      <c r="I2679" s="2">
        <v>30</v>
      </c>
      <c r="J2679" s="2">
        <v>16</v>
      </c>
      <c r="K2679" s="4">
        <v>1</v>
      </c>
      <c r="L2679" s="4">
        <v>0.43097798006011961</v>
      </c>
      <c r="M2679" s="4">
        <v>0.43097798006011961</v>
      </c>
      <c r="N2679" s="10">
        <v>0.43099999999999999</v>
      </c>
      <c r="O2679" s="4">
        <v>2.2860902189678418</v>
      </c>
      <c r="P2679" s="4">
        <v>2.29</v>
      </c>
      <c r="Q2679" s="3" t="s">
        <v>1597</v>
      </c>
      <c r="R2679" s="3" t="s">
        <v>1602</v>
      </c>
      <c r="S2679" s="3" t="s">
        <v>1603</v>
      </c>
      <c r="T2679" s="3"/>
    </row>
    <row r="2680" spans="1:20">
      <c r="A2680" s="3" t="s">
        <v>1604</v>
      </c>
      <c r="B2680" s="3" t="s">
        <v>1601</v>
      </c>
      <c r="C2680" s="3" t="s">
        <v>1616</v>
      </c>
      <c r="D2680" s="3" t="s">
        <v>322</v>
      </c>
      <c r="E2680" s="3" t="s">
        <v>323</v>
      </c>
      <c r="F2680" s="2">
        <v>1</v>
      </c>
      <c r="G2680" s="4">
        <v>1.0876113771125977</v>
      </c>
      <c r="H2680" s="2">
        <v>25</v>
      </c>
      <c r="I2680" s="2">
        <v>30</v>
      </c>
      <c r="J2680" s="2">
        <v>16</v>
      </c>
      <c r="K2680" s="4">
        <v>1</v>
      </c>
      <c r="L2680" s="4">
        <v>0.41138162467019435</v>
      </c>
      <c r="M2680" s="4">
        <v>0.41138162467019435</v>
      </c>
      <c r="N2680" s="10">
        <v>0.41099999999999998</v>
      </c>
      <c r="O2680" s="4">
        <v>2.1679725078403891</v>
      </c>
      <c r="P2680" s="4">
        <v>2.17</v>
      </c>
      <c r="Q2680" s="3" t="s">
        <v>1597</v>
      </c>
      <c r="R2680" s="3" t="s">
        <v>1602</v>
      </c>
      <c r="S2680" s="3" t="s">
        <v>1603</v>
      </c>
      <c r="T2680" s="3"/>
    </row>
    <row r="2681" spans="1:20">
      <c r="A2681" s="3" t="s">
        <v>1600</v>
      </c>
      <c r="B2681" s="3" t="s">
        <v>1609</v>
      </c>
      <c r="C2681" s="3" t="s">
        <v>1616</v>
      </c>
      <c r="D2681" s="3" t="s">
        <v>322</v>
      </c>
      <c r="E2681" s="3" t="s">
        <v>323</v>
      </c>
      <c r="F2681" s="2">
        <v>1</v>
      </c>
      <c r="G2681" s="4">
        <v>1.0876113771125977</v>
      </c>
      <c r="H2681" s="2">
        <v>25</v>
      </c>
      <c r="I2681" s="2">
        <v>5</v>
      </c>
      <c r="J2681" s="2">
        <v>1</v>
      </c>
      <c r="K2681" s="4">
        <v>1</v>
      </c>
      <c r="L2681" s="4">
        <v>0.39672312675759358</v>
      </c>
      <c r="M2681" s="4">
        <v>0.39672312675759358</v>
      </c>
      <c r="N2681" s="10">
        <v>0.39700000000000002</v>
      </c>
      <c r="O2681" s="4">
        <v>2.0811133602301521</v>
      </c>
      <c r="P2681" s="4">
        <v>2.08</v>
      </c>
      <c r="Q2681" s="3" t="s">
        <v>1597</v>
      </c>
      <c r="R2681" s="3" t="s">
        <v>1610</v>
      </c>
      <c r="S2681" s="3" t="s">
        <v>1611</v>
      </c>
      <c r="T2681" s="3"/>
    </row>
    <row r="2682" spans="1:20">
      <c r="A2682" s="3" t="s">
        <v>1600</v>
      </c>
      <c r="B2682" s="3" t="s">
        <v>1601</v>
      </c>
      <c r="C2682" s="3" t="s">
        <v>1616</v>
      </c>
      <c r="D2682" s="3" t="s">
        <v>322</v>
      </c>
      <c r="E2682" s="3" t="s">
        <v>323</v>
      </c>
      <c r="F2682" s="2">
        <v>1</v>
      </c>
      <c r="G2682" s="4">
        <v>1.0876113771125977</v>
      </c>
      <c r="H2682" s="2">
        <v>25</v>
      </c>
      <c r="I2682" s="2">
        <v>5</v>
      </c>
      <c r="J2682" s="2">
        <v>1</v>
      </c>
      <c r="K2682" s="4">
        <v>1</v>
      </c>
      <c r="L2682" s="4">
        <v>0.39671551609709965</v>
      </c>
      <c r="M2682" s="4">
        <v>0.39671551609709965</v>
      </c>
      <c r="N2682" s="10">
        <v>0.39700000000000002</v>
      </c>
      <c r="O2682" s="4">
        <v>2.0810685791320904</v>
      </c>
      <c r="P2682" s="4">
        <v>2.08</v>
      </c>
      <c r="Q2682" s="3" t="s">
        <v>1597</v>
      </c>
      <c r="R2682" s="3" t="s">
        <v>1602</v>
      </c>
      <c r="S2682" s="3" t="s">
        <v>1603</v>
      </c>
      <c r="T2682" s="3"/>
    </row>
    <row r="2683" spans="1:20">
      <c r="A2683" s="3" t="s">
        <v>1600</v>
      </c>
      <c r="B2683" s="3" t="s">
        <v>1601</v>
      </c>
      <c r="C2683" s="3" t="s">
        <v>1616</v>
      </c>
      <c r="D2683" s="3" t="s">
        <v>322</v>
      </c>
      <c r="E2683" s="3" t="s">
        <v>323</v>
      </c>
      <c r="F2683" s="2">
        <v>1</v>
      </c>
      <c r="G2683" s="4">
        <v>1.0876113771125977</v>
      </c>
      <c r="H2683" s="2">
        <v>25</v>
      </c>
      <c r="I2683" s="2">
        <v>5</v>
      </c>
      <c r="J2683" s="2">
        <v>16</v>
      </c>
      <c r="K2683" s="4">
        <v>1</v>
      </c>
      <c r="L2683" s="4">
        <v>0.38121917373022152</v>
      </c>
      <c r="M2683" s="4">
        <v>0.38121917373022152</v>
      </c>
      <c r="N2683" s="10">
        <v>0.38100000000000001</v>
      </c>
      <c r="O2683" s="4">
        <v>1.9905388466522953</v>
      </c>
      <c r="P2683" s="4">
        <v>1.99</v>
      </c>
      <c r="Q2683" s="3" t="s">
        <v>1597</v>
      </c>
      <c r="R2683" s="3" t="s">
        <v>1602</v>
      </c>
      <c r="S2683" s="3" t="s">
        <v>1603</v>
      </c>
      <c r="T2683" s="3"/>
    </row>
    <row r="2684" spans="1:20">
      <c r="A2684" s="3" t="s">
        <v>1600</v>
      </c>
      <c r="B2684" s="3" t="s">
        <v>1609</v>
      </c>
      <c r="C2684" s="3" t="s">
        <v>1616</v>
      </c>
      <c r="D2684" s="3" t="s">
        <v>322</v>
      </c>
      <c r="E2684" s="3" t="s">
        <v>323</v>
      </c>
      <c r="F2684" s="2">
        <v>1</v>
      </c>
      <c r="G2684" s="4">
        <v>1.0876113771125977</v>
      </c>
      <c r="H2684" s="2">
        <v>25</v>
      </c>
      <c r="I2684" s="2">
        <v>5</v>
      </c>
      <c r="J2684" s="2">
        <v>16</v>
      </c>
      <c r="K2684" s="11">
        <v>1</v>
      </c>
      <c r="L2684" s="11">
        <v>0.3711341752193808</v>
      </c>
      <c r="M2684" s="4">
        <v>0.3711341752193808</v>
      </c>
      <c r="N2684" s="10">
        <v>0.371</v>
      </c>
      <c r="O2684" s="4">
        <v>1.9322952617205684</v>
      </c>
      <c r="P2684" s="4">
        <v>1.93</v>
      </c>
      <c r="Q2684" s="3" t="s">
        <v>1597</v>
      </c>
      <c r="R2684" s="3" t="s">
        <v>1610</v>
      </c>
      <c r="S2684" s="3" t="s">
        <v>1611</v>
      </c>
      <c r="T2684" s="3"/>
    </row>
    <row r="2685" spans="1:20">
      <c r="A2685" s="3" t="s">
        <v>1600</v>
      </c>
      <c r="B2685" s="3" t="s">
        <v>1606</v>
      </c>
      <c r="C2685" s="3" t="s">
        <v>1596</v>
      </c>
      <c r="D2685" s="3" t="s">
        <v>322</v>
      </c>
      <c r="E2685" s="3" t="s">
        <v>323</v>
      </c>
      <c r="F2685" s="2">
        <v>1</v>
      </c>
      <c r="G2685" s="4">
        <v>1.0876113771125977</v>
      </c>
      <c r="H2685" s="2">
        <v>25</v>
      </c>
      <c r="I2685" s="2">
        <v>5</v>
      </c>
      <c r="J2685" s="2">
        <v>16</v>
      </c>
      <c r="K2685" s="11">
        <v>1</v>
      </c>
      <c r="L2685" s="11">
        <v>0.32309216343294916</v>
      </c>
      <c r="M2685" s="4">
        <v>0.32309216343294916</v>
      </c>
      <c r="N2685" s="10">
        <v>0.32300000000000001</v>
      </c>
      <c r="O2685" s="4">
        <v>1.6613838844385729</v>
      </c>
      <c r="P2685" s="4">
        <v>1.66</v>
      </c>
      <c r="Q2685" s="3" t="s">
        <v>1597</v>
      </c>
      <c r="R2685" s="3" t="s">
        <v>1607</v>
      </c>
      <c r="S2685" s="3" t="s">
        <v>1608</v>
      </c>
      <c r="T2685" s="3"/>
    </row>
    <row r="2686" spans="1:20">
      <c r="A2686" s="3" t="s">
        <v>1600</v>
      </c>
      <c r="B2686" s="3" t="s">
        <v>1606</v>
      </c>
      <c r="C2686" s="3" t="s">
        <v>1596</v>
      </c>
      <c r="D2686" s="3" t="s">
        <v>322</v>
      </c>
      <c r="E2686" s="3" t="s">
        <v>323</v>
      </c>
      <c r="F2686" s="2">
        <v>1</v>
      </c>
      <c r="G2686" s="4">
        <v>1.0876113771125977</v>
      </c>
      <c r="H2686" s="2">
        <v>25</v>
      </c>
      <c r="I2686" s="2">
        <v>5</v>
      </c>
      <c r="J2686" s="2">
        <v>1</v>
      </c>
      <c r="K2686" s="11">
        <v>1</v>
      </c>
      <c r="L2686" s="11">
        <v>0.31378364224236077</v>
      </c>
      <c r="M2686" s="4">
        <v>0.31378364224236077</v>
      </c>
      <c r="N2686" s="10">
        <v>0.314</v>
      </c>
      <c r="O2686" s="4">
        <v>1.6100242890694714</v>
      </c>
      <c r="P2686" s="4">
        <v>1.61</v>
      </c>
      <c r="Q2686" s="3" t="s">
        <v>1597</v>
      </c>
      <c r="R2686" s="3" t="s">
        <v>1607</v>
      </c>
      <c r="S2686" s="3" t="s">
        <v>1608</v>
      </c>
      <c r="T2686" s="3"/>
    </row>
    <row r="2687" spans="1:20">
      <c r="A2687" s="3" t="s">
        <v>1600</v>
      </c>
      <c r="B2687" s="3" t="s">
        <v>1609</v>
      </c>
      <c r="C2687" s="3" t="s">
        <v>1596</v>
      </c>
      <c r="D2687" s="3" t="s">
        <v>322</v>
      </c>
      <c r="E2687" s="3" t="s">
        <v>323</v>
      </c>
      <c r="F2687" s="2">
        <v>1</v>
      </c>
      <c r="G2687" s="4">
        <v>1.0876113771125977</v>
      </c>
      <c r="H2687" s="2">
        <v>25</v>
      </c>
      <c r="I2687" s="2">
        <v>5</v>
      </c>
      <c r="J2687" s="2">
        <v>16</v>
      </c>
      <c r="K2687" s="4">
        <v>1</v>
      </c>
      <c r="L2687" s="4">
        <v>0.31283741153257849</v>
      </c>
      <c r="M2687" s="4">
        <v>0.31283741153257849</v>
      </c>
      <c r="N2687" s="10">
        <v>0.313</v>
      </c>
      <c r="O2687" s="4">
        <v>1.6048222905728928</v>
      </c>
      <c r="P2687" s="4">
        <v>1.61</v>
      </c>
      <c r="Q2687" s="3" t="s">
        <v>1597</v>
      </c>
      <c r="R2687" s="3" t="s">
        <v>1610</v>
      </c>
      <c r="S2687" s="3" t="s">
        <v>1611</v>
      </c>
      <c r="T2687" s="3"/>
    </row>
    <row r="2688" spans="1:20">
      <c r="A2688" s="3" t="s">
        <v>1600</v>
      </c>
      <c r="B2688" s="3" t="s">
        <v>1609</v>
      </c>
      <c r="C2688" s="3" t="s">
        <v>1596</v>
      </c>
      <c r="D2688" s="3" t="s">
        <v>322</v>
      </c>
      <c r="E2688" s="3" t="s">
        <v>323</v>
      </c>
      <c r="F2688" s="2">
        <v>1</v>
      </c>
      <c r="G2688" s="4">
        <v>1.0876113771125977</v>
      </c>
      <c r="H2688" s="2">
        <v>25</v>
      </c>
      <c r="I2688" s="2">
        <v>5</v>
      </c>
      <c r="J2688" s="2">
        <v>1</v>
      </c>
      <c r="K2688" s="11">
        <v>1</v>
      </c>
      <c r="L2688" s="11">
        <v>0.2938915044842047</v>
      </c>
      <c r="M2688" s="4">
        <v>0.2938915044842047</v>
      </c>
      <c r="N2688" s="10">
        <v>0.29399999999999998</v>
      </c>
      <c r="O2688" s="4">
        <v>1.5013640813338396</v>
      </c>
      <c r="P2688" s="4">
        <v>1.5</v>
      </c>
      <c r="Q2688" s="3" t="s">
        <v>1597</v>
      </c>
      <c r="R2688" s="3" t="s">
        <v>1610</v>
      </c>
      <c r="S2688" s="3" t="s">
        <v>1611</v>
      </c>
      <c r="T2688" s="3"/>
    </row>
    <row r="2689" spans="1:20">
      <c r="A2689" s="3" t="s">
        <v>1594</v>
      </c>
      <c r="B2689" s="3" t="s">
        <v>1612</v>
      </c>
      <c r="C2689" s="3" t="s">
        <v>1596</v>
      </c>
      <c r="D2689" s="3" t="s">
        <v>322</v>
      </c>
      <c r="E2689" s="3" t="s">
        <v>323</v>
      </c>
      <c r="F2689" s="2">
        <v>1</v>
      </c>
      <c r="G2689" s="4">
        <v>1.0876113771125977</v>
      </c>
      <c r="H2689" s="2">
        <v>50</v>
      </c>
      <c r="I2689" s="2">
        <v>5</v>
      </c>
      <c r="J2689" s="2">
        <v>16</v>
      </c>
      <c r="K2689" s="4">
        <v>0.81744696545328011</v>
      </c>
      <c r="L2689" s="14">
        <v>0.23462686522082871</v>
      </c>
      <c r="M2689" s="4">
        <v>0.23462686522082871</v>
      </c>
      <c r="N2689" s="10">
        <v>0.23499999999999999</v>
      </c>
      <c r="O2689" s="4">
        <v>1.2847365601159562</v>
      </c>
      <c r="P2689" s="4">
        <v>1.29</v>
      </c>
      <c r="Q2689" s="3" t="s">
        <v>1597</v>
      </c>
      <c r="R2689" s="3" t="s">
        <v>1613</v>
      </c>
      <c r="S2689" s="3" t="s">
        <v>1614</v>
      </c>
      <c r="T2689" s="3"/>
    </row>
    <row r="2690" spans="1:20">
      <c r="A2690" s="3" t="s">
        <v>1600</v>
      </c>
      <c r="B2690" s="3" t="s">
        <v>1606</v>
      </c>
      <c r="C2690" s="3" t="s">
        <v>1616</v>
      </c>
      <c r="D2690" s="3" t="s">
        <v>322</v>
      </c>
      <c r="E2690" s="3" t="s">
        <v>323</v>
      </c>
      <c r="F2690" s="2">
        <v>1</v>
      </c>
      <c r="G2690" s="4">
        <v>1.0876113771125977</v>
      </c>
      <c r="H2690" s="2">
        <v>25</v>
      </c>
      <c r="I2690" s="2">
        <v>5</v>
      </c>
      <c r="J2690" s="2">
        <v>16</v>
      </c>
      <c r="K2690" s="11">
        <v>1</v>
      </c>
      <c r="L2690" s="11">
        <v>0.19954322593840368</v>
      </c>
      <c r="M2690" s="4">
        <v>0.19954322593840368</v>
      </c>
      <c r="N2690" s="10">
        <v>0.2</v>
      </c>
      <c r="O2690" s="4">
        <v>1.0027763059402734</v>
      </c>
      <c r="P2690" s="4">
        <v>1.01</v>
      </c>
      <c r="Q2690" s="3" t="s">
        <v>1597</v>
      </c>
      <c r="R2690" s="3" t="s">
        <v>1607</v>
      </c>
      <c r="S2690" s="3" t="s">
        <v>1608</v>
      </c>
      <c r="T2690" s="3"/>
    </row>
    <row r="2691" spans="1:20">
      <c r="A2691" s="3" t="s">
        <v>1600</v>
      </c>
      <c r="B2691" s="3" t="s">
        <v>1606</v>
      </c>
      <c r="C2691" s="3" t="s">
        <v>1616</v>
      </c>
      <c r="D2691" s="3" t="s">
        <v>322</v>
      </c>
      <c r="E2691" s="3" t="s">
        <v>323</v>
      </c>
      <c r="F2691" s="2">
        <v>1</v>
      </c>
      <c r="G2691" s="4">
        <v>1.0876113771125977</v>
      </c>
      <c r="H2691" s="2">
        <v>25</v>
      </c>
      <c r="I2691" s="2">
        <v>5</v>
      </c>
      <c r="J2691" s="2">
        <v>1</v>
      </c>
      <c r="K2691" s="4">
        <v>1</v>
      </c>
      <c r="L2691" s="4">
        <v>0.17317615471745607</v>
      </c>
      <c r="M2691" s="4">
        <v>0.17317615471745607</v>
      </c>
      <c r="N2691" s="10">
        <v>0.17299999999999999</v>
      </c>
      <c r="O2691" s="4">
        <v>0.86733728005435784</v>
      </c>
      <c r="P2691" s="4">
        <v>0.87</v>
      </c>
      <c r="Q2691" s="3" t="s">
        <v>1597</v>
      </c>
      <c r="R2691" s="3" t="s">
        <v>1607</v>
      </c>
      <c r="S2691" s="3" t="s">
        <v>1608</v>
      </c>
      <c r="T2691" s="3"/>
    </row>
    <row r="2692" spans="1:20">
      <c r="A2692" s="3" t="s">
        <v>1594</v>
      </c>
      <c r="B2692" s="3" t="s">
        <v>1595</v>
      </c>
      <c r="C2692" s="3" t="s">
        <v>1596</v>
      </c>
      <c r="D2692" s="3" t="s">
        <v>322</v>
      </c>
      <c r="E2692" s="3" t="s">
        <v>323</v>
      </c>
      <c r="F2692" s="2">
        <v>1</v>
      </c>
      <c r="G2692" s="4">
        <v>1.0876113771125977</v>
      </c>
      <c r="H2692" s="2">
        <v>50</v>
      </c>
      <c r="I2692" s="2">
        <v>5</v>
      </c>
      <c r="J2692" s="2">
        <v>16</v>
      </c>
      <c r="K2692" s="4">
        <v>0.53922510202577689</v>
      </c>
      <c r="L2692" s="14">
        <v>-0.30918068536746091</v>
      </c>
      <c r="M2692" s="4">
        <v>0.30918068536746091</v>
      </c>
      <c r="N2692" s="10">
        <v>0.309</v>
      </c>
      <c r="O2692" s="4">
        <v>1.7176330402188822</v>
      </c>
      <c r="P2692" s="4">
        <v>-1.72</v>
      </c>
      <c r="Q2692" s="3" t="s">
        <v>1617</v>
      </c>
      <c r="R2692" s="3" t="s">
        <v>1625</v>
      </c>
      <c r="S2692" s="3" t="s">
        <v>1626</v>
      </c>
      <c r="T2692" s="3"/>
    </row>
    <row r="2693" spans="1:20">
      <c r="A2693" s="3" t="s">
        <v>1594</v>
      </c>
      <c r="B2693" s="3" t="s">
        <v>1612</v>
      </c>
      <c r="C2693" s="3" t="s">
        <v>1596</v>
      </c>
      <c r="D2693" s="3" t="s">
        <v>624</v>
      </c>
      <c r="E2693" s="3" t="s">
        <v>625</v>
      </c>
      <c r="F2693" s="2">
        <v>1</v>
      </c>
      <c r="G2693" s="4">
        <v>1.0886049652020358</v>
      </c>
      <c r="H2693" s="2">
        <v>50</v>
      </c>
      <c r="I2693" s="2">
        <v>5</v>
      </c>
      <c r="J2693" s="2">
        <v>16</v>
      </c>
      <c r="K2693" s="4">
        <v>0.14764604968980169</v>
      </c>
      <c r="L2693" s="14">
        <v>2.5214513880068925E-2</v>
      </c>
      <c r="M2693" s="4">
        <v>2.5214513880068925E-2</v>
      </c>
      <c r="N2693" s="10">
        <v>2.5000000000000001E-2</v>
      </c>
      <c r="O2693" s="4">
        <v>0.13552298412704306</v>
      </c>
      <c r="P2693" s="4">
        <v>0.13</v>
      </c>
      <c r="Q2693" s="3" t="s">
        <v>1597</v>
      </c>
      <c r="R2693" s="3" t="s">
        <v>1613</v>
      </c>
      <c r="S2693" s="3" t="s">
        <v>1614</v>
      </c>
      <c r="T2693" s="3"/>
    </row>
    <row r="2694" spans="1:20">
      <c r="A2694" s="3" t="s">
        <v>1600</v>
      </c>
      <c r="B2694" s="3" t="s">
        <v>1601</v>
      </c>
      <c r="C2694" s="3" t="s">
        <v>1596</v>
      </c>
      <c r="D2694" s="3" t="s">
        <v>624</v>
      </c>
      <c r="E2694" s="3" t="s">
        <v>625</v>
      </c>
      <c r="F2694" s="2">
        <v>1</v>
      </c>
      <c r="G2694" s="4">
        <v>1.0886049652020358</v>
      </c>
      <c r="H2694" s="2">
        <v>25</v>
      </c>
      <c r="I2694" s="2">
        <v>5</v>
      </c>
      <c r="J2694" s="2">
        <v>1</v>
      </c>
      <c r="K2694" s="4">
        <v>0</v>
      </c>
      <c r="L2694" s="4">
        <v>0</v>
      </c>
      <c r="M2694" s="4">
        <v>0</v>
      </c>
      <c r="N2694" s="10">
        <v>0</v>
      </c>
      <c r="O2694" s="4">
        <v>0</v>
      </c>
      <c r="P2694" s="4">
        <v>0</v>
      </c>
      <c r="Q2694" s="3" t="s">
        <v>1617</v>
      </c>
      <c r="R2694" s="3" t="s">
        <v>1618</v>
      </c>
      <c r="S2694" s="3" t="s">
        <v>1619</v>
      </c>
      <c r="T2694" s="3"/>
    </row>
    <row r="2695" spans="1:20">
      <c r="A2695" s="3" t="s">
        <v>1600</v>
      </c>
      <c r="B2695" s="3" t="s">
        <v>1606</v>
      </c>
      <c r="C2695" s="3" t="s">
        <v>1596</v>
      </c>
      <c r="D2695" s="3" t="s">
        <v>624</v>
      </c>
      <c r="E2695" s="3" t="s">
        <v>625</v>
      </c>
      <c r="F2695" s="2">
        <v>1</v>
      </c>
      <c r="G2695" s="4">
        <v>1.0886049652020358</v>
      </c>
      <c r="H2695" s="2">
        <v>25</v>
      </c>
      <c r="I2695" s="2">
        <v>5</v>
      </c>
      <c r="J2695" s="2">
        <v>1</v>
      </c>
      <c r="K2695" s="11">
        <v>0</v>
      </c>
      <c r="L2695" s="11">
        <v>0</v>
      </c>
      <c r="M2695" s="4">
        <v>0</v>
      </c>
      <c r="N2695" s="10">
        <v>0</v>
      </c>
      <c r="O2695" s="4">
        <v>0</v>
      </c>
      <c r="P2695" s="4">
        <v>0</v>
      </c>
      <c r="Q2695" s="3" t="s">
        <v>1617</v>
      </c>
      <c r="R2695" s="3" t="s">
        <v>1621</v>
      </c>
      <c r="S2695" s="3" t="s">
        <v>1622</v>
      </c>
      <c r="T2695" s="3"/>
    </row>
    <row r="2696" spans="1:20">
      <c r="A2696" s="3" t="s">
        <v>1600</v>
      </c>
      <c r="B2696" s="3" t="s">
        <v>1609</v>
      </c>
      <c r="C2696" s="3" t="s">
        <v>1596</v>
      </c>
      <c r="D2696" s="3" t="s">
        <v>624</v>
      </c>
      <c r="E2696" s="3" t="s">
        <v>625</v>
      </c>
      <c r="F2696" s="2">
        <v>1</v>
      </c>
      <c r="G2696" s="4">
        <v>1.0886049652020358</v>
      </c>
      <c r="H2696" s="2">
        <v>25</v>
      </c>
      <c r="I2696" s="2">
        <v>5</v>
      </c>
      <c r="J2696" s="2">
        <v>1</v>
      </c>
      <c r="K2696" s="11">
        <v>0</v>
      </c>
      <c r="L2696" s="11">
        <v>0</v>
      </c>
      <c r="M2696" s="4">
        <v>0</v>
      </c>
      <c r="N2696" s="10">
        <v>0</v>
      </c>
      <c r="O2696" s="4">
        <v>0</v>
      </c>
      <c r="P2696" s="4">
        <v>0</v>
      </c>
      <c r="Q2696" s="3" t="s">
        <v>1617</v>
      </c>
      <c r="R2696" s="3" t="s">
        <v>1623</v>
      </c>
      <c r="S2696" s="3" t="s">
        <v>1624</v>
      </c>
      <c r="T2696" s="3"/>
    </row>
    <row r="2697" spans="1:20">
      <c r="A2697" s="3" t="s">
        <v>1600</v>
      </c>
      <c r="B2697" s="3" t="s">
        <v>1606</v>
      </c>
      <c r="C2697" s="3" t="s">
        <v>1616</v>
      </c>
      <c r="D2697" s="3" t="s">
        <v>624</v>
      </c>
      <c r="E2697" s="3" t="s">
        <v>625</v>
      </c>
      <c r="F2697" s="2">
        <v>1</v>
      </c>
      <c r="G2697" s="4">
        <v>1.0886049652020358</v>
      </c>
      <c r="H2697" s="2">
        <v>25</v>
      </c>
      <c r="I2697" s="2">
        <v>5</v>
      </c>
      <c r="J2697" s="2">
        <v>1</v>
      </c>
      <c r="K2697" s="4">
        <v>0</v>
      </c>
      <c r="L2697" s="4">
        <v>0</v>
      </c>
      <c r="M2697" s="4">
        <v>0</v>
      </c>
      <c r="N2697" s="10">
        <v>0</v>
      </c>
      <c r="O2697" s="4">
        <v>0</v>
      </c>
      <c r="P2697" s="4">
        <v>0</v>
      </c>
      <c r="Q2697" s="3" t="s">
        <v>1617</v>
      </c>
      <c r="R2697" s="3" t="s">
        <v>1621</v>
      </c>
      <c r="S2697" s="3" t="s">
        <v>1622</v>
      </c>
      <c r="T2697" s="3"/>
    </row>
    <row r="2698" spans="1:20">
      <c r="A2698" s="3" t="s">
        <v>1600</v>
      </c>
      <c r="B2698" s="3" t="s">
        <v>1609</v>
      </c>
      <c r="C2698" s="3" t="s">
        <v>1616</v>
      </c>
      <c r="D2698" s="3" t="s">
        <v>624</v>
      </c>
      <c r="E2698" s="3" t="s">
        <v>625</v>
      </c>
      <c r="F2698" s="2">
        <v>1</v>
      </c>
      <c r="G2698" s="4">
        <v>1.0886049652020358</v>
      </c>
      <c r="H2698" s="2">
        <v>25</v>
      </c>
      <c r="I2698" s="2">
        <v>5</v>
      </c>
      <c r="J2698" s="2">
        <v>1</v>
      </c>
      <c r="K2698" s="4">
        <v>0</v>
      </c>
      <c r="L2698" s="4">
        <v>0</v>
      </c>
      <c r="M2698" s="4">
        <v>0</v>
      </c>
      <c r="N2698" s="10">
        <v>0</v>
      </c>
      <c r="O2698" s="4">
        <v>0</v>
      </c>
      <c r="P2698" s="4">
        <v>0</v>
      </c>
      <c r="Q2698" s="3" t="s">
        <v>1617</v>
      </c>
      <c r="R2698" s="3" t="s">
        <v>1623</v>
      </c>
      <c r="S2698" s="3" t="s">
        <v>1624</v>
      </c>
      <c r="T2698" s="3"/>
    </row>
    <row r="2699" spans="1:20">
      <c r="A2699" s="3" t="s">
        <v>1594</v>
      </c>
      <c r="B2699" s="3" t="s">
        <v>1595</v>
      </c>
      <c r="C2699" s="3" t="s">
        <v>1596</v>
      </c>
      <c r="D2699" s="3" t="s">
        <v>624</v>
      </c>
      <c r="E2699" s="3" t="s">
        <v>625</v>
      </c>
      <c r="F2699" s="2">
        <v>1</v>
      </c>
      <c r="G2699" s="4">
        <v>1.0886049652020358</v>
      </c>
      <c r="H2699" s="2">
        <v>50</v>
      </c>
      <c r="I2699" s="2">
        <v>5</v>
      </c>
      <c r="J2699" s="2">
        <v>16</v>
      </c>
      <c r="K2699" s="4">
        <v>0.23299404827240808</v>
      </c>
      <c r="L2699" s="14">
        <v>-1.1143911474304567E-2</v>
      </c>
      <c r="M2699" s="4">
        <v>1.1143911474304567E-2</v>
      </c>
      <c r="N2699" s="10">
        <v>1.0999999999999999E-2</v>
      </c>
      <c r="O2699" s="4">
        <v>5.9886085479094221E-2</v>
      </c>
      <c r="P2699" s="4">
        <v>-0.06</v>
      </c>
      <c r="Q2699" s="3" t="s">
        <v>1617</v>
      </c>
      <c r="R2699" s="3" t="s">
        <v>1625</v>
      </c>
      <c r="S2699" s="3" t="s">
        <v>1626</v>
      </c>
      <c r="T2699" s="3"/>
    </row>
    <row r="2700" spans="1:20">
      <c r="A2700" s="3" t="s">
        <v>1600</v>
      </c>
      <c r="B2700" s="3" t="s">
        <v>1601</v>
      </c>
      <c r="C2700" s="3" t="s">
        <v>1616</v>
      </c>
      <c r="D2700" s="3" t="s">
        <v>624</v>
      </c>
      <c r="E2700" s="3" t="s">
        <v>625</v>
      </c>
      <c r="F2700" s="2">
        <v>1</v>
      </c>
      <c r="G2700" s="4">
        <v>1.0886049652020358</v>
      </c>
      <c r="H2700" s="2">
        <v>25</v>
      </c>
      <c r="I2700" s="2">
        <v>5</v>
      </c>
      <c r="J2700" s="2">
        <v>1</v>
      </c>
      <c r="K2700" s="4">
        <v>1.1091772230028329E-2</v>
      </c>
      <c r="L2700" s="4">
        <v>-0.42141536392671036</v>
      </c>
      <c r="M2700" s="4">
        <v>0.42141536392671036</v>
      </c>
      <c r="N2700" s="10">
        <v>0.42099999999999999</v>
      </c>
      <c r="O2700" s="4">
        <v>2.2281549773206186</v>
      </c>
      <c r="P2700" s="4">
        <v>-2.23</v>
      </c>
      <c r="Q2700" s="3" t="s">
        <v>1617</v>
      </c>
      <c r="R2700" s="3" t="s">
        <v>1618</v>
      </c>
      <c r="S2700" s="3" t="s">
        <v>1619</v>
      </c>
      <c r="T2700" s="3"/>
    </row>
    <row r="2701" spans="1:20">
      <c r="A2701" s="3" t="s">
        <v>1600</v>
      </c>
      <c r="B2701" s="3" t="s">
        <v>1609</v>
      </c>
      <c r="C2701" s="3" t="s">
        <v>1596</v>
      </c>
      <c r="D2701" s="3" t="s">
        <v>624</v>
      </c>
      <c r="E2701" s="3" t="s">
        <v>625</v>
      </c>
      <c r="F2701" s="2">
        <v>1</v>
      </c>
      <c r="G2701" s="4">
        <v>1.0886049652020358</v>
      </c>
      <c r="H2701" s="2">
        <v>25</v>
      </c>
      <c r="I2701" s="2">
        <v>5</v>
      </c>
      <c r="J2701" s="2">
        <v>16</v>
      </c>
      <c r="K2701" s="4">
        <v>0.1209437327267493</v>
      </c>
      <c r="L2701" s="4">
        <v>-0.7708208148059128</v>
      </c>
      <c r="M2701" s="4">
        <v>0.7708208148059128</v>
      </c>
      <c r="N2701" s="10">
        <v>0.77100000000000002</v>
      </c>
      <c r="O2701" s="4">
        <v>5.0687320714516764</v>
      </c>
      <c r="P2701" s="4">
        <v>-5.07</v>
      </c>
      <c r="Q2701" s="3" t="s">
        <v>1617</v>
      </c>
      <c r="R2701" s="3" t="s">
        <v>1623</v>
      </c>
      <c r="S2701" s="3" t="s">
        <v>1624</v>
      </c>
      <c r="T2701" s="3"/>
    </row>
    <row r="2702" spans="1:20">
      <c r="A2702" s="3" t="s">
        <v>1600</v>
      </c>
      <c r="B2702" s="3" t="s">
        <v>1606</v>
      </c>
      <c r="C2702" s="3" t="s">
        <v>1616</v>
      </c>
      <c r="D2702" s="3" t="s">
        <v>624</v>
      </c>
      <c r="E2702" s="3" t="s">
        <v>625</v>
      </c>
      <c r="F2702" s="2">
        <v>1</v>
      </c>
      <c r="G2702" s="4">
        <v>1.0886049652020358</v>
      </c>
      <c r="H2702" s="2">
        <v>25</v>
      </c>
      <c r="I2702" s="2">
        <v>5</v>
      </c>
      <c r="J2702" s="2">
        <v>16</v>
      </c>
      <c r="K2702" s="11">
        <v>0.22418215253581109</v>
      </c>
      <c r="L2702" s="11">
        <v>-0.77646589549262068</v>
      </c>
      <c r="M2702" s="4">
        <v>0.77646589549262068</v>
      </c>
      <c r="N2702" s="10">
        <v>0.77600000000000002</v>
      </c>
      <c r="O2702" s="4">
        <v>5.1384479269374772</v>
      </c>
      <c r="P2702" s="4">
        <v>-5.13</v>
      </c>
      <c r="Q2702" s="3" t="s">
        <v>1617</v>
      </c>
      <c r="R2702" s="3" t="s">
        <v>1621</v>
      </c>
      <c r="S2702" s="3" t="s">
        <v>1622</v>
      </c>
      <c r="T2702" s="3"/>
    </row>
    <row r="2703" spans="1:20">
      <c r="A2703" s="3" t="s">
        <v>1600</v>
      </c>
      <c r="B2703" s="3" t="s">
        <v>1601</v>
      </c>
      <c r="C2703" s="3" t="s">
        <v>1596</v>
      </c>
      <c r="D2703" s="3" t="s">
        <v>624</v>
      </c>
      <c r="E2703" s="3" t="s">
        <v>625</v>
      </c>
      <c r="F2703" s="2">
        <v>1</v>
      </c>
      <c r="G2703" s="4">
        <v>1.0886049652020358</v>
      </c>
      <c r="H2703" s="2">
        <v>25</v>
      </c>
      <c r="I2703" s="2">
        <v>5</v>
      </c>
      <c r="J2703" s="2">
        <v>16</v>
      </c>
      <c r="K2703" s="4">
        <v>0.11030842919945105</v>
      </c>
      <c r="L2703" s="4">
        <v>-0.80698937587538</v>
      </c>
      <c r="M2703" s="4">
        <v>0.80698937587538</v>
      </c>
      <c r="N2703" s="10">
        <v>0.80700000000000005</v>
      </c>
      <c r="O2703" s="4">
        <v>5.5446391434025575</v>
      </c>
      <c r="P2703" s="4">
        <v>-5.54</v>
      </c>
      <c r="Q2703" s="3" t="s">
        <v>1617</v>
      </c>
      <c r="R2703" s="3" t="s">
        <v>1618</v>
      </c>
      <c r="S2703" s="3" t="s">
        <v>1619</v>
      </c>
      <c r="T2703" s="3"/>
    </row>
    <row r="2704" spans="1:20">
      <c r="A2704" s="3" t="s">
        <v>1600</v>
      </c>
      <c r="B2704" s="3" t="s">
        <v>1601</v>
      </c>
      <c r="C2704" s="3" t="s">
        <v>1616</v>
      </c>
      <c r="D2704" s="3" t="s">
        <v>624</v>
      </c>
      <c r="E2704" s="3" t="s">
        <v>625</v>
      </c>
      <c r="F2704" s="2">
        <v>1</v>
      </c>
      <c r="G2704" s="4">
        <v>1.0886049652020358</v>
      </c>
      <c r="H2704" s="2">
        <v>25</v>
      </c>
      <c r="I2704" s="2">
        <v>5</v>
      </c>
      <c r="J2704" s="2">
        <v>16</v>
      </c>
      <c r="K2704" s="4">
        <v>8.4450103030409229E-2</v>
      </c>
      <c r="L2704" s="4">
        <v>-0.85159235668789812</v>
      </c>
      <c r="M2704" s="4">
        <v>0.85159235668789812</v>
      </c>
      <c r="N2704" s="10">
        <v>0.85199999999999998</v>
      </c>
      <c r="O2704" s="4">
        <v>6.2565151889375068</v>
      </c>
      <c r="P2704" s="4">
        <v>-6.26</v>
      </c>
      <c r="Q2704" s="3" t="s">
        <v>1617</v>
      </c>
      <c r="R2704" s="3" t="s">
        <v>1618</v>
      </c>
      <c r="S2704" s="3" t="s">
        <v>1619</v>
      </c>
      <c r="T2704" s="3"/>
    </row>
    <row r="2705" spans="1:20">
      <c r="A2705" s="12" t="s">
        <v>1605</v>
      </c>
      <c r="B2705" s="3" t="s">
        <v>1601</v>
      </c>
      <c r="C2705" s="3" t="s">
        <v>1596</v>
      </c>
      <c r="D2705" s="3" t="s">
        <v>624</v>
      </c>
      <c r="E2705" s="3" t="s">
        <v>625</v>
      </c>
      <c r="F2705" s="2">
        <v>1</v>
      </c>
      <c r="G2705" s="4">
        <v>1.0886049652020358</v>
      </c>
      <c r="H2705" s="2">
        <v>25</v>
      </c>
      <c r="I2705" s="2">
        <v>5</v>
      </c>
      <c r="J2705" s="2">
        <v>16</v>
      </c>
      <c r="K2705" s="11">
        <v>9.7876946368883666E-2</v>
      </c>
      <c r="L2705" s="11">
        <v>-0.8563887625788339</v>
      </c>
      <c r="M2705" s="4">
        <v>0.8563887625788339</v>
      </c>
      <c r="N2705" s="10">
        <v>0.85599999999999998</v>
      </c>
      <c r="O2705" s="4">
        <v>6.3443698171940284</v>
      </c>
      <c r="P2705" s="4">
        <v>-6.34</v>
      </c>
      <c r="Q2705" s="3" t="s">
        <v>1617</v>
      </c>
      <c r="R2705" s="3" t="s">
        <v>1618</v>
      </c>
      <c r="S2705" s="3" t="s">
        <v>1619</v>
      </c>
      <c r="T2705" s="3"/>
    </row>
    <row r="2706" spans="1:20">
      <c r="A2706" s="3" t="s">
        <v>1600</v>
      </c>
      <c r="B2706" s="3" t="s">
        <v>1609</v>
      </c>
      <c r="C2706" s="3" t="s">
        <v>1616</v>
      </c>
      <c r="D2706" s="3" t="s">
        <v>624</v>
      </c>
      <c r="E2706" s="3" t="s">
        <v>625</v>
      </c>
      <c r="F2706" s="2">
        <v>1</v>
      </c>
      <c r="G2706" s="4">
        <v>1.0886049652020358</v>
      </c>
      <c r="H2706" s="2">
        <v>25</v>
      </c>
      <c r="I2706" s="2">
        <v>5</v>
      </c>
      <c r="J2706" s="2">
        <v>16</v>
      </c>
      <c r="K2706" s="11">
        <v>0.10202021784318582</v>
      </c>
      <c r="L2706" s="11">
        <v>-0.90347302312384337</v>
      </c>
      <c r="M2706" s="4">
        <v>0.90347302312384337</v>
      </c>
      <c r="N2706" s="10">
        <v>0.90300000000000002</v>
      </c>
      <c r="O2706" s="4">
        <v>7.3913234423549508</v>
      </c>
      <c r="P2706" s="4">
        <v>-7.38</v>
      </c>
      <c r="Q2706" s="3" t="s">
        <v>1617</v>
      </c>
      <c r="R2706" s="3" t="s">
        <v>1623</v>
      </c>
      <c r="S2706" s="3" t="s">
        <v>1624</v>
      </c>
      <c r="T2706" s="3"/>
    </row>
    <row r="2707" spans="1:20">
      <c r="A2707" s="3" t="s">
        <v>1604</v>
      </c>
      <c r="B2707" s="3" t="s">
        <v>1601</v>
      </c>
      <c r="C2707" s="3" t="s">
        <v>1616</v>
      </c>
      <c r="D2707" s="3" t="s">
        <v>624</v>
      </c>
      <c r="E2707" s="3" t="s">
        <v>625</v>
      </c>
      <c r="F2707" s="2">
        <v>1</v>
      </c>
      <c r="G2707" s="4">
        <v>1.0886049652020358</v>
      </c>
      <c r="H2707" s="2">
        <v>25</v>
      </c>
      <c r="I2707" s="2">
        <v>30</v>
      </c>
      <c r="J2707" s="2">
        <v>16</v>
      </c>
      <c r="K2707" s="4">
        <v>0.35829432851430754</v>
      </c>
      <c r="L2707" s="4">
        <v>-0.90624336137747674</v>
      </c>
      <c r="M2707" s="4">
        <v>0.90624336137747674</v>
      </c>
      <c r="N2707" s="10">
        <v>0.90600000000000003</v>
      </c>
      <c r="O2707" s="4">
        <v>7.4671164128780152</v>
      </c>
      <c r="P2707" s="4">
        <v>-7.46</v>
      </c>
      <c r="Q2707" s="3" t="s">
        <v>1617</v>
      </c>
      <c r="R2707" s="3" t="s">
        <v>1618</v>
      </c>
      <c r="S2707" s="3" t="s">
        <v>1619</v>
      </c>
      <c r="T2707" s="3"/>
    </row>
    <row r="2708" spans="1:20">
      <c r="A2708" s="3" t="s">
        <v>1604</v>
      </c>
      <c r="B2708" s="3" t="s">
        <v>1601</v>
      </c>
      <c r="C2708" s="3" t="s">
        <v>1596</v>
      </c>
      <c r="D2708" s="3" t="s">
        <v>624</v>
      </c>
      <c r="E2708" s="3" t="s">
        <v>625</v>
      </c>
      <c r="F2708" s="2">
        <v>1</v>
      </c>
      <c r="G2708" s="4">
        <v>1.0886049652020358</v>
      </c>
      <c r="H2708" s="2">
        <v>25</v>
      </c>
      <c r="I2708" s="2">
        <v>30</v>
      </c>
      <c r="J2708" s="2">
        <v>16</v>
      </c>
      <c r="K2708" s="4">
        <v>0.47140109106509498</v>
      </c>
      <c r="L2708" s="4">
        <v>-0.9135599840840759</v>
      </c>
      <c r="M2708" s="4">
        <v>0.9135599840840759</v>
      </c>
      <c r="N2708" s="10">
        <v>0.91400000000000003</v>
      </c>
      <c r="O2708" s="4">
        <v>7.6780336018310749</v>
      </c>
      <c r="P2708" s="4">
        <v>-7.69</v>
      </c>
      <c r="Q2708" s="3" t="s">
        <v>1617</v>
      </c>
      <c r="R2708" s="3" t="s">
        <v>1618</v>
      </c>
      <c r="S2708" s="3" t="s">
        <v>1619</v>
      </c>
      <c r="T2708" s="3"/>
    </row>
    <row r="2709" spans="1:20">
      <c r="A2709" s="3" t="s">
        <v>1600</v>
      </c>
      <c r="B2709" s="3" t="s">
        <v>1606</v>
      </c>
      <c r="C2709" s="3" t="s">
        <v>1596</v>
      </c>
      <c r="D2709" s="3" t="s">
        <v>624</v>
      </c>
      <c r="E2709" s="3" t="s">
        <v>625</v>
      </c>
      <c r="F2709" s="2">
        <v>1</v>
      </c>
      <c r="G2709" s="4">
        <v>1.0886049652020358</v>
      </c>
      <c r="H2709" s="2">
        <v>25</v>
      </c>
      <c r="I2709" s="2">
        <v>5</v>
      </c>
      <c r="J2709" s="2">
        <v>16</v>
      </c>
      <c r="K2709" s="11">
        <v>0.12255428940012902</v>
      </c>
      <c r="L2709" s="11">
        <v>-1</v>
      </c>
      <c r="M2709" s="4">
        <v>1</v>
      </c>
      <c r="N2709" s="10">
        <v>0.995</v>
      </c>
      <c r="O2709" s="4">
        <v>14.85</v>
      </c>
      <c r="P2709" s="4">
        <v>-14.85</v>
      </c>
      <c r="Q2709" s="3" t="s">
        <v>1617</v>
      </c>
      <c r="R2709" s="3" t="s">
        <v>1621</v>
      </c>
      <c r="S2709" s="3" t="s">
        <v>1622</v>
      </c>
      <c r="T2709" s="3"/>
    </row>
    <row r="2710" spans="1:20">
      <c r="A2710" s="3" t="s">
        <v>1594</v>
      </c>
      <c r="B2710" s="3" t="s">
        <v>1612</v>
      </c>
      <c r="C2710" s="3" t="s">
        <v>1596</v>
      </c>
      <c r="D2710" s="3" t="s">
        <v>607</v>
      </c>
      <c r="E2710" s="3" t="s">
        <v>608</v>
      </c>
      <c r="F2710" s="2">
        <v>1</v>
      </c>
      <c r="G2710" s="4">
        <v>1.0890488164397816</v>
      </c>
      <c r="H2710" s="2">
        <v>50</v>
      </c>
      <c r="I2710" s="2">
        <v>5</v>
      </c>
      <c r="J2710" s="2">
        <v>16</v>
      </c>
      <c r="K2710" s="4">
        <v>1</v>
      </c>
      <c r="L2710" s="14">
        <v>0.64357284410438376</v>
      </c>
      <c r="M2710" s="4">
        <v>0.64357284410438376</v>
      </c>
      <c r="N2710" s="10">
        <v>0.64400000000000002</v>
      </c>
      <c r="O2710" s="4">
        <v>4.1068148482028679</v>
      </c>
      <c r="P2710" s="4">
        <v>4.1100000000000003</v>
      </c>
      <c r="Q2710" s="3" t="s">
        <v>1597</v>
      </c>
      <c r="R2710" s="3" t="s">
        <v>1613</v>
      </c>
      <c r="S2710" s="3" t="s">
        <v>1614</v>
      </c>
      <c r="T2710" s="3"/>
    </row>
    <row r="2711" spans="1:20">
      <c r="A2711" s="3" t="s">
        <v>1594</v>
      </c>
      <c r="B2711" s="3" t="s">
        <v>1595</v>
      </c>
      <c r="C2711" s="3" t="s">
        <v>1596</v>
      </c>
      <c r="D2711" s="3" t="s">
        <v>607</v>
      </c>
      <c r="E2711" s="3" t="s">
        <v>608</v>
      </c>
      <c r="F2711" s="2">
        <v>1</v>
      </c>
      <c r="G2711" s="4">
        <v>1.0890488164397816</v>
      </c>
      <c r="H2711" s="2">
        <v>50</v>
      </c>
      <c r="I2711" s="2">
        <v>5</v>
      </c>
      <c r="J2711" s="2">
        <v>16</v>
      </c>
      <c r="K2711" s="4">
        <v>1</v>
      </c>
      <c r="L2711" s="14">
        <v>-0.18423969241813404</v>
      </c>
      <c r="M2711" s="4">
        <v>0.18423969241813404</v>
      </c>
      <c r="N2711" s="10">
        <v>0.184</v>
      </c>
      <c r="O2711" s="4">
        <v>1.00147762314559</v>
      </c>
      <c r="P2711" s="4">
        <v>-1</v>
      </c>
      <c r="Q2711" s="3" t="s">
        <v>1617</v>
      </c>
      <c r="R2711" s="3" t="s">
        <v>1625</v>
      </c>
      <c r="S2711" s="3" t="s">
        <v>1626</v>
      </c>
      <c r="T2711" s="3"/>
    </row>
    <row r="2712" spans="1:20">
      <c r="A2712" s="3" t="s">
        <v>1604</v>
      </c>
      <c r="B2712" s="3" t="s">
        <v>1601</v>
      </c>
      <c r="C2712" s="3" t="s">
        <v>1596</v>
      </c>
      <c r="D2712" s="3" t="s">
        <v>607</v>
      </c>
      <c r="E2712" s="3" t="s">
        <v>608</v>
      </c>
      <c r="F2712" s="2">
        <v>1</v>
      </c>
      <c r="G2712" s="4">
        <v>1.0890488164397816</v>
      </c>
      <c r="H2712" s="2">
        <v>25</v>
      </c>
      <c r="I2712" s="2">
        <v>30</v>
      </c>
      <c r="J2712" s="2">
        <v>16</v>
      </c>
      <c r="K2712" s="4">
        <v>1</v>
      </c>
      <c r="L2712" s="4">
        <v>-0.59697163701040501</v>
      </c>
      <c r="M2712" s="4">
        <v>0.59697163701040501</v>
      </c>
      <c r="N2712" s="10">
        <v>0.59699999999999998</v>
      </c>
      <c r="O2712" s="4">
        <v>3.4131857970659336</v>
      </c>
      <c r="P2712" s="4">
        <v>-3.41</v>
      </c>
      <c r="Q2712" s="3" t="s">
        <v>1617</v>
      </c>
      <c r="R2712" s="3" t="s">
        <v>1618</v>
      </c>
      <c r="S2712" s="3" t="s">
        <v>1619</v>
      </c>
      <c r="T2712" s="3"/>
    </row>
    <row r="2713" spans="1:20">
      <c r="A2713" s="3" t="s">
        <v>1600</v>
      </c>
      <c r="B2713" s="3" t="s">
        <v>1609</v>
      </c>
      <c r="C2713" s="3" t="s">
        <v>1596</v>
      </c>
      <c r="D2713" s="3" t="s">
        <v>607</v>
      </c>
      <c r="E2713" s="3" t="s">
        <v>608</v>
      </c>
      <c r="F2713" s="2">
        <v>1</v>
      </c>
      <c r="G2713" s="4">
        <v>1.0890488164397816</v>
      </c>
      <c r="H2713" s="2">
        <v>25</v>
      </c>
      <c r="I2713" s="2">
        <v>5</v>
      </c>
      <c r="J2713" s="2">
        <v>16</v>
      </c>
      <c r="K2713" s="4">
        <v>1</v>
      </c>
      <c r="L2713" s="4">
        <v>-0.60480128296656988</v>
      </c>
      <c r="M2713" s="4">
        <v>0.60480128296656988</v>
      </c>
      <c r="N2713" s="10">
        <v>0.60499999999999998</v>
      </c>
      <c r="O2713" s="4">
        <v>3.4739429479895763</v>
      </c>
      <c r="P2713" s="4">
        <v>-3.48</v>
      </c>
      <c r="Q2713" s="3" t="s">
        <v>1617</v>
      </c>
      <c r="R2713" s="3" t="s">
        <v>1623</v>
      </c>
      <c r="S2713" s="3" t="s">
        <v>1624</v>
      </c>
      <c r="T2713" s="3"/>
    </row>
    <row r="2714" spans="1:20">
      <c r="A2714" s="3" t="s">
        <v>1600</v>
      </c>
      <c r="B2714" s="3" t="s">
        <v>1609</v>
      </c>
      <c r="C2714" s="3" t="s">
        <v>1596</v>
      </c>
      <c r="D2714" s="3" t="s">
        <v>607</v>
      </c>
      <c r="E2714" s="3" t="s">
        <v>608</v>
      </c>
      <c r="F2714" s="2">
        <v>1</v>
      </c>
      <c r="G2714" s="4">
        <v>1.0890488164397816</v>
      </c>
      <c r="H2714" s="2">
        <v>25</v>
      </c>
      <c r="I2714" s="2">
        <v>5</v>
      </c>
      <c r="J2714" s="2">
        <v>1</v>
      </c>
      <c r="K2714" s="11">
        <v>1</v>
      </c>
      <c r="L2714" s="11">
        <v>-0.60900502133793677</v>
      </c>
      <c r="M2714" s="4">
        <v>0.60900502133793677</v>
      </c>
      <c r="N2714" s="10">
        <v>0.60899999999999999</v>
      </c>
      <c r="O2714" s="4">
        <v>3.5069381457727129</v>
      </c>
      <c r="P2714" s="4">
        <v>-3.51</v>
      </c>
      <c r="Q2714" s="3" t="s">
        <v>1617</v>
      </c>
      <c r="R2714" s="3" t="s">
        <v>1623</v>
      </c>
      <c r="S2714" s="3" t="s">
        <v>1624</v>
      </c>
      <c r="T2714" s="3"/>
    </row>
    <row r="2715" spans="1:20">
      <c r="A2715" s="12" t="s">
        <v>1605</v>
      </c>
      <c r="B2715" s="3" t="s">
        <v>1601</v>
      </c>
      <c r="C2715" s="3" t="s">
        <v>1596</v>
      </c>
      <c r="D2715" s="3" t="s">
        <v>607</v>
      </c>
      <c r="E2715" s="3" t="s">
        <v>608</v>
      </c>
      <c r="F2715" s="2">
        <v>1</v>
      </c>
      <c r="G2715" s="4">
        <v>1.0890488164397816</v>
      </c>
      <c r="H2715" s="2">
        <v>25</v>
      </c>
      <c r="I2715" s="2">
        <v>5</v>
      </c>
      <c r="J2715" s="2">
        <v>16</v>
      </c>
      <c r="K2715" s="11">
        <v>1</v>
      </c>
      <c r="L2715" s="11">
        <v>-0.74327059177314181</v>
      </c>
      <c r="M2715" s="4">
        <v>0.74327059177314181</v>
      </c>
      <c r="N2715" s="10">
        <v>0.74299999999999999</v>
      </c>
      <c r="O2715" s="4">
        <v>4.7484527169702284</v>
      </c>
      <c r="P2715" s="4">
        <v>-4.75</v>
      </c>
      <c r="Q2715" s="3" t="s">
        <v>1617</v>
      </c>
      <c r="R2715" s="3" t="s">
        <v>1618</v>
      </c>
      <c r="S2715" s="3" t="s">
        <v>1619</v>
      </c>
      <c r="T2715" s="3"/>
    </row>
    <row r="2716" spans="1:20">
      <c r="A2716" s="3" t="s">
        <v>1600</v>
      </c>
      <c r="B2716" s="3" t="s">
        <v>1601</v>
      </c>
      <c r="C2716" s="3" t="s">
        <v>1596</v>
      </c>
      <c r="D2716" s="3" t="s">
        <v>607</v>
      </c>
      <c r="E2716" s="3" t="s">
        <v>608</v>
      </c>
      <c r="F2716" s="2">
        <v>1</v>
      </c>
      <c r="G2716" s="4">
        <v>1.0890488164397816</v>
      </c>
      <c r="H2716" s="2">
        <v>25</v>
      </c>
      <c r="I2716" s="2">
        <v>5</v>
      </c>
      <c r="J2716" s="2">
        <v>16</v>
      </c>
      <c r="K2716" s="4">
        <v>1</v>
      </c>
      <c r="L2716" s="4">
        <v>-0.75482058435149801</v>
      </c>
      <c r="M2716" s="4">
        <v>0.75482058435149801</v>
      </c>
      <c r="N2716" s="10">
        <v>0.755</v>
      </c>
      <c r="O2716" s="4">
        <v>4.878935720168422</v>
      </c>
      <c r="P2716" s="4">
        <v>-4.88</v>
      </c>
      <c r="Q2716" s="3" t="s">
        <v>1617</v>
      </c>
      <c r="R2716" s="3" t="s">
        <v>1618</v>
      </c>
      <c r="S2716" s="3" t="s">
        <v>1619</v>
      </c>
      <c r="T2716" s="3"/>
    </row>
    <row r="2717" spans="1:20">
      <c r="A2717" s="3" t="s">
        <v>1600</v>
      </c>
      <c r="B2717" s="3" t="s">
        <v>1601</v>
      </c>
      <c r="C2717" s="3" t="s">
        <v>1596</v>
      </c>
      <c r="D2717" s="3" t="s">
        <v>607</v>
      </c>
      <c r="E2717" s="3" t="s">
        <v>608</v>
      </c>
      <c r="F2717" s="2">
        <v>1</v>
      </c>
      <c r="G2717" s="4">
        <v>1.0890488164397816</v>
      </c>
      <c r="H2717" s="2">
        <v>25</v>
      </c>
      <c r="I2717" s="2">
        <v>5</v>
      </c>
      <c r="J2717" s="2">
        <v>1</v>
      </c>
      <c r="K2717" s="4">
        <v>1</v>
      </c>
      <c r="L2717" s="4">
        <v>-0.7683247007545847</v>
      </c>
      <c r="M2717" s="4">
        <v>0.7683247007545847</v>
      </c>
      <c r="N2717" s="10">
        <v>0.76800000000000002</v>
      </c>
      <c r="O2717" s="4">
        <v>5.0383814986436635</v>
      </c>
      <c r="P2717" s="4">
        <v>-5.03</v>
      </c>
      <c r="Q2717" s="3" t="s">
        <v>1617</v>
      </c>
      <c r="R2717" s="3" t="s">
        <v>1618</v>
      </c>
      <c r="S2717" s="3" t="s">
        <v>1619</v>
      </c>
      <c r="T2717" s="3"/>
    </row>
    <row r="2718" spans="1:20">
      <c r="A2718" s="3" t="s">
        <v>1600</v>
      </c>
      <c r="B2718" s="3" t="s">
        <v>1609</v>
      </c>
      <c r="C2718" s="3" t="s">
        <v>1616</v>
      </c>
      <c r="D2718" s="3" t="s">
        <v>607</v>
      </c>
      <c r="E2718" s="3" t="s">
        <v>608</v>
      </c>
      <c r="F2718" s="2">
        <v>1</v>
      </c>
      <c r="G2718" s="4">
        <v>1.0890488164397816</v>
      </c>
      <c r="H2718" s="2">
        <v>25</v>
      </c>
      <c r="I2718" s="2">
        <v>5</v>
      </c>
      <c r="J2718" s="2">
        <v>16</v>
      </c>
      <c r="K2718" s="11">
        <v>1</v>
      </c>
      <c r="L2718" s="11">
        <v>-0.80893032926273634</v>
      </c>
      <c r="M2718" s="4">
        <v>0.80893032926273634</v>
      </c>
      <c r="N2718" s="10">
        <v>0.80900000000000005</v>
      </c>
      <c r="O2718" s="4">
        <v>5.572355656069333</v>
      </c>
      <c r="P2718" s="4">
        <v>-5.57</v>
      </c>
      <c r="Q2718" s="3" t="s">
        <v>1617</v>
      </c>
      <c r="R2718" s="3" t="s">
        <v>1623</v>
      </c>
      <c r="S2718" s="3" t="s">
        <v>1624</v>
      </c>
      <c r="T2718" s="3"/>
    </row>
    <row r="2719" spans="1:20">
      <c r="A2719" s="3" t="s">
        <v>1604</v>
      </c>
      <c r="B2719" s="3" t="s">
        <v>1601</v>
      </c>
      <c r="C2719" s="3" t="s">
        <v>1616</v>
      </c>
      <c r="D2719" s="3" t="s">
        <v>607</v>
      </c>
      <c r="E2719" s="3" t="s">
        <v>608</v>
      </c>
      <c r="F2719" s="2">
        <v>1</v>
      </c>
      <c r="G2719" s="4">
        <v>1.0890488164397816</v>
      </c>
      <c r="H2719" s="2">
        <v>25</v>
      </c>
      <c r="I2719" s="2">
        <v>30</v>
      </c>
      <c r="J2719" s="2">
        <v>16</v>
      </c>
      <c r="K2719" s="4">
        <v>1</v>
      </c>
      <c r="L2719" s="4">
        <v>-0.81055777819374752</v>
      </c>
      <c r="M2719" s="4">
        <v>0.81055777819374752</v>
      </c>
      <c r="N2719" s="10">
        <v>0.81100000000000005</v>
      </c>
      <c r="O2719" s="4">
        <v>5.595790135895407</v>
      </c>
      <c r="P2719" s="4">
        <v>-5.6</v>
      </c>
      <c r="Q2719" s="3" t="s">
        <v>1617</v>
      </c>
      <c r="R2719" s="3" t="s">
        <v>1618</v>
      </c>
      <c r="S2719" s="3" t="s">
        <v>1619</v>
      </c>
      <c r="T2719" s="3"/>
    </row>
    <row r="2720" spans="1:20">
      <c r="A2720" s="3" t="s">
        <v>1600</v>
      </c>
      <c r="B2720" s="3" t="s">
        <v>1609</v>
      </c>
      <c r="C2720" s="3" t="s">
        <v>1616</v>
      </c>
      <c r="D2720" s="3" t="s">
        <v>607</v>
      </c>
      <c r="E2720" s="3" t="s">
        <v>608</v>
      </c>
      <c r="F2720" s="2">
        <v>1</v>
      </c>
      <c r="G2720" s="4">
        <v>1.0890488164397816</v>
      </c>
      <c r="H2720" s="2">
        <v>25</v>
      </c>
      <c r="I2720" s="2">
        <v>5</v>
      </c>
      <c r="J2720" s="2">
        <v>1</v>
      </c>
      <c r="K2720" s="4">
        <v>1</v>
      </c>
      <c r="L2720" s="4">
        <v>-0.81772867796142634</v>
      </c>
      <c r="M2720" s="4">
        <v>0.81772867796142634</v>
      </c>
      <c r="N2720" s="10">
        <v>0.81799999999999995</v>
      </c>
      <c r="O2720" s="4">
        <v>5.7012466878220946</v>
      </c>
      <c r="P2720" s="4">
        <v>-5.71</v>
      </c>
      <c r="Q2720" s="3" t="s">
        <v>1617</v>
      </c>
      <c r="R2720" s="3" t="s">
        <v>1623</v>
      </c>
      <c r="S2720" s="3" t="s">
        <v>1624</v>
      </c>
      <c r="T2720" s="3"/>
    </row>
    <row r="2721" spans="1:20">
      <c r="A2721" s="3" t="s">
        <v>1600</v>
      </c>
      <c r="B2721" s="3" t="s">
        <v>1601</v>
      </c>
      <c r="C2721" s="3" t="s">
        <v>1616</v>
      </c>
      <c r="D2721" s="3" t="s">
        <v>607</v>
      </c>
      <c r="E2721" s="3" t="s">
        <v>608</v>
      </c>
      <c r="F2721" s="2">
        <v>1</v>
      </c>
      <c r="G2721" s="4">
        <v>1.0890488164397816</v>
      </c>
      <c r="H2721" s="2">
        <v>25</v>
      </c>
      <c r="I2721" s="2">
        <v>5</v>
      </c>
      <c r="J2721" s="2">
        <v>16</v>
      </c>
      <c r="K2721" s="4">
        <v>1</v>
      </c>
      <c r="L2721" s="4">
        <v>-0.85390564074651198</v>
      </c>
      <c r="M2721" s="4">
        <v>0.85390564074651198</v>
      </c>
      <c r="N2721" s="10">
        <v>0.85399999999999998</v>
      </c>
      <c r="O2721" s="4">
        <v>6.2985552508426492</v>
      </c>
      <c r="P2721" s="4">
        <v>-6.3</v>
      </c>
      <c r="Q2721" s="3" t="s">
        <v>1617</v>
      </c>
      <c r="R2721" s="3" t="s">
        <v>1618</v>
      </c>
      <c r="S2721" s="3" t="s">
        <v>1619</v>
      </c>
      <c r="T2721" s="3"/>
    </row>
    <row r="2722" spans="1:20">
      <c r="A2722" s="3" t="s">
        <v>1600</v>
      </c>
      <c r="B2722" s="3" t="s">
        <v>1601</v>
      </c>
      <c r="C2722" s="3" t="s">
        <v>1616</v>
      </c>
      <c r="D2722" s="3" t="s">
        <v>607</v>
      </c>
      <c r="E2722" s="3" t="s">
        <v>608</v>
      </c>
      <c r="F2722" s="2">
        <v>1</v>
      </c>
      <c r="G2722" s="4">
        <v>1.0890488164397816</v>
      </c>
      <c r="H2722" s="2">
        <v>25</v>
      </c>
      <c r="I2722" s="2">
        <v>5</v>
      </c>
      <c r="J2722" s="2">
        <v>1</v>
      </c>
      <c r="K2722" s="4">
        <v>1</v>
      </c>
      <c r="L2722" s="4">
        <v>-0.87121620885541029</v>
      </c>
      <c r="M2722" s="4">
        <v>0.87121620885541029</v>
      </c>
      <c r="N2722" s="10">
        <v>0.871</v>
      </c>
      <c r="O2722" s="4">
        <v>6.6342367346723536</v>
      </c>
      <c r="P2722" s="4">
        <v>-6.63</v>
      </c>
      <c r="Q2722" s="3" t="s">
        <v>1617</v>
      </c>
      <c r="R2722" s="3" t="s">
        <v>1618</v>
      </c>
      <c r="S2722" s="3" t="s">
        <v>1619</v>
      </c>
      <c r="T2722" s="3"/>
    </row>
    <row r="2723" spans="1:20">
      <c r="A2723" s="3" t="s">
        <v>1600</v>
      </c>
      <c r="B2723" s="3" t="s">
        <v>1606</v>
      </c>
      <c r="C2723" s="3" t="s">
        <v>1616</v>
      </c>
      <c r="D2723" s="3" t="s">
        <v>607</v>
      </c>
      <c r="E2723" s="3" t="s">
        <v>608</v>
      </c>
      <c r="F2723" s="2">
        <v>1</v>
      </c>
      <c r="G2723" s="4">
        <v>1.0890488164397816</v>
      </c>
      <c r="H2723" s="2">
        <v>25</v>
      </c>
      <c r="I2723" s="2">
        <v>5</v>
      </c>
      <c r="J2723" s="2">
        <v>1</v>
      </c>
      <c r="K2723" s="4">
        <v>1</v>
      </c>
      <c r="L2723" s="4">
        <v>-1</v>
      </c>
      <c r="M2723" s="4">
        <v>1</v>
      </c>
      <c r="N2723" s="10">
        <v>0.995</v>
      </c>
      <c r="O2723" s="4">
        <v>14.85</v>
      </c>
      <c r="P2723" s="4">
        <v>-14.85</v>
      </c>
      <c r="Q2723" s="3" t="s">
        <v>1617</v>
      </c>
      <c r="R2723" s="3" t="s">
        <v>1621</v>
      </c>
      <c r="S2723" s="3" t="s">
        <v>1622</v>
      </c>
      <c r="T2723" s="3"/>
    </row>
    <row r="2724" spans="1:20">
      <c r="A2724" s="3" t="s">
        <v>1600</v>
      </c>
      <c r="B2724" s="3" t="s">
        <v>1606</v>
      </c>
      <c r="C2724" s="3" t="s">
        <v>1616</v>
      </c>
      <c r="D2724" s="3" t="s">
        <v>607</v>
      </c>
      <c r="E2724" s="3" t="s">
        <v>608</v>
      </c>
      <c r="F2724" s="2">
        <v>1</v>
      </c>
      <c r="G2724" s="4">
        <v>1.0890488164397816</v>
      </c>
      <c r="H2724" s="2">
        <v>25</v>
      </c>
      <c r="I2724" s="2">
        <v>5</v>
      </c>
      <c r="J2724" s="2">
        <v>16</v>
      </c>
      <c r="K2724" s="11">
        <v>1</v>
      </c>
      <c r="L2724" s="11">
        <v>-1</v>
      </c>
      <c r="M2724" s="4">
        <v>1</v>
      </c>
      <c r="N2724" s="10">
        <v>0.995</v>
      </c>
      <c r="O2724" s="4">
        <v>14.85</v>
      </c>
      <c r="P2724" s="4">
        <v>-14.85</v>
      </c>
      <c r="Q2724" s="3" t="s">
        <v>1617</v>
      </c>
      <c r="R2724" s="3" t="s">
        <v>1621</v>
      </c>
      <c r="S2724" s="3" t="s">
        <v>1622</v>
      </c>
      <c r="T2724" s="3"/>
    </row>
    <row r="2725" spans="1:20">
      <c r="A2725" s="3" t="s">
        <v>1600</v>
      </c>
      <c r="B2725" s="3" t="s">
        <v>1606</v>
      </c>
      <c r="C2725" s="3" t="s">
        <v>1596</v>
      </c>
      <c r="D2725" s="3" t="s">
        <v>607</v>
      </c>
      <c r="E2725" s="3" t="s">
        <v>608</v>
      </c>
      <c r="F2725" s="2">
        <v>1</v>
      </c>
      <c r="G2725" s="4">
        <v>1.0890488164397816</v>
      </c>
      <c r="H2725" s="2">
        <v>25</v>
      </c>
      <c r="I2725" s="2">
        <v>5</v>
      </c>
      <c r="J2725" s="2">
        <v>1</v>
      </c>
      <c r="K2725" s="11">
        <v>1</v>
      </c>
      <c r="L2725" s="11">
        <v>-1</v>
      </c>
      <c r="M2725" s="4">
        <v>1</v>
      </c>
      <c r="N2725" s="10">
        <v>0.995</v>
      </c>
      <c r="O2725" s="4">
        <v>14.85</v>
      </c>
      <c r="P2725" s="4">
        <v>-14.85</v>
      </c>
      <c r="Q2725" s="3" t="s">
        <v>1617</v>
      </c>
      <c r="R2725" s="3" t="s">
        <v>1621</v>
      </c>
      <c r="S2725" s="3" t="s">
        <v>1622</v>
      </c>
      <c r="T2725" s="3"/>
    </row>
    <row r="2726" spans="1:20">
      <c r="A2726" s="3" t="s">
        <v>1600</v>
      </c>
      <c r="B2726" s="3" t="s">
        <v>1606</v>
      </c>
      <c r="C2726" s="3" t="s">
        <v>1596</v>
      </c>
      <c r="D2726" s="3" t="s">
        <v>607</v>
      </c>
      <c r="E2726" s="3" t="s">
        <v>608</v>
      </c>
      <c r="F2726" s="2">
        <v>1</v>
      </c>
      <c r="G2726" s="4">
        <v>1.0890488164397816</v>
      </c>
      <c r="H2726" s="2">
        <v>25</v>
      </c>
      <c r="I2726" s="2">
        <v>5</v>
      </c>
      <c r="J2726" s="2">
        <v>16</v>
      </c>
      <c r="K2726" s="11">
        <v>1</v>
      </c>
      <c r="L2726" s="11">
        <v>-1</v>
      </c>
      <c r="M2726" s="4">
        <v>1</v>
      </c>
      <c r="N2726" s="10">
        <v>0.995</v>
      </c>
      <c r="O2726" s="4">
        <v>14.85</v>
      </c>
      <c r="P2726" s="4">
        <v>-14.85</v>
      </c>
      <c r="Q2726" s="3" t="s">
        <v>1617</v>
      </c>
      <c r="R2726" s="3" t="s">
        <v>1621</v>
      </c>
      <c r="S2726" s="3" t="s">
        <v>1622</v>
      </c>
      <c r="T2726" s="3"/>
    </row>
    <row r="2727" spans="1:20">
      <c r="A2727" s="3" t="s">
        <v>1594</v>
      </c>
      <c r="B2727" s="3" t="s">
        <v>1612</v>
      </c>
      <c r="C2727" s="3" t="s">
        <v>1596</v>
      </c>
      <c r="D2727" s="3" t="s">
        <v>875</v>
      </c>
      <c r="E2727" s="3" t="s">
        <v>876</v>
      </c>
      <c r="F2727" s="2">
        <v>1</v>
      </c>
      <c r="G2727" s="4">
        <v>1.0896595379120133</v>
      </c>
      <c r="H2727" s="2">
        <v>50</v>
      </c>
      <c r="I2727" s="2">
        <v>5</v>
      </c>
      <c r="J2727" s="2">
        <v>16</v>
      </c>
      <c r="K2727" s="4">
        <v>0.72592496954563157</v>
      </c>
      <c r="L2727" s="4">
        <v>-0.14068344006303896</v>
      </c>
      <c r="M2727" s="4">
        <v>0.14068344006303896</v>
      </c>
      <c r="N2727" s="10">
        <v>0.14099999999999999</v>
      </c>
      <c r="O2727" s="4">
        <v>0.76103268458056039</v>
      </c>
      <c r="P2727" s="4">
        <v>-0.76</v>
      </c>
      <c r="Q2727" s="3" t="s">
        <v>1617</v>
      </c>
      <c r="R2727" s="3" t="s">
        <v>1627</v>
      </c>
      <c r="S2727" s="3" t="s">
        <v>1628</v>
      </c>
      <c r="T2727" s="3"/>
    </row>
    <row r="2728" spans="1:20">
      <c r="A2728" s="3" t="s">
        <v>1594</v>
      </c>
      <c r="B2728" s="3" t="s">
        <v>1595</v>
      </c>
      <c r="C2728" s="3" t="s">
        <v>1596</v>
      </c>
      <c r="D2728" s="3" t="s">
        <v>875</v>
      </c>
      <c r="E2728" s="3" t="s">
        <v>876</v>
      </c>
      <c r="F2728" s="2">
        <v>1</v>
      </c>
      <c r="G2728" s="4">
        <v>1.0896595379120133</v>
      </c>
      <c r="H2728" s="2">
        <v>50</v>
      </c>
      <c r="I2728" s="2">
        <v>5</v>
      </c>
      <c r="J2728" s="2">
        <v>16</v>
      </c>
      <c r="K2728" s="4">
        <v>1</v>
      </c>
      <c r="L2728" s="4">
        <v>-0.59129809347359119</v>
      </c>
      <c r="M2728" s="4">
        <v>0.59129809347359119</v>
      </c>
      <c r="N2728" s="10">
        <v>0.59099999999999997</v>
      </c>
      <c r="O2728" s="4">
        <v>3.652260839935273</v>
      </c>
      <c r="P2728" s="4">
        <v>-3.65</v>
      </c>
      <c r="Q2728" s="3" t="s">
        <v>1617</v>
      </c>
      <c r="R2728" s="3" t="s">
        <v>1625</v>
      </c>
      <c r="S2728" s="3" t="s">
        <v>1626</v>
      </c>
      <c r="T2728" s="3"/>
    </row>
    <row r="2729" spans="1:20">
      <c r="A2729" s="3" t="s">
        <v>1600</v>
      </c>
      <c r="B2729" s="3" t="s">
        <v>1606</v>
      </c>
      <c r="C2729" s="3" t="s">
        <v>1616</v>
      </c>
      <c r="D2729" s="3" t="s">
        <v>875</v>
      </c>
      <c r="E2729" s="3" t="s">
        <v>876</v>
      </c>
      <c r="F2729" s="2">
        <v>1</v>
      </c>
      <c r="G2729" s="4">
        <v>1.0896595379120133</v>
      </c>
      <c r="H2729" s="2">
        <v>25</v>
      </c>
      <c r="I2729" s="2">
        <v>5</v>
      </c>
      <c r="J2729" s="2">
        <v>16</v>
      </c>
      <c r="K2729" s="4">
        <v>1</v>
      </c>
      <c r="L2729" s="4">
        <v>-0.61443127862655156</v>
      </c>
      <c r="M2729" s="4">
        <v>0.61443127862655156</v>
      </c>
      <c r="N2729" s="10">
        <v>0.61399999999999999</v>
      </c>
      <c r="O2729" s="4">
        <v>3.5499284895575256</v>
      </c>
      <c r="P2729" s="4">
        <v>-3.55</v>
      </c>
      <c r="Q2729" s="3" t="s">
        <v>1617</v>
      </c>
      <c r="R2729" s="3" t="s">
        <v>1621</v>
      </c>
      <c r="S2729" s="3" t="s">
        <v>1622</v>
      </c>
      <c r="T2729" s="3"/>
    </row>
    <row r="2730" spans="1:20">
      <c r="A2730" s="3" t="s">
        <v>1600</v>
      </c>
      <c r="B2730" s="3" t="s">
        <v>1606</v>
      </c>
      <c r="C2730" s="3" t="s">
        <v>1616</v>
      </c>
      <c r="D2730" s="3" t="s">
        <v>875</v>
      </c>
      <c r="E2730" s="3" t="s">
        <v>876</v>
      </c>
      <c r="F2730" s="2">
        <v>1</v>
      </c>
      <c r="G2730" s="4">
        <v>1.0896595379120133</v>
      </c>
      <c r="H2730" s="2">
        <v>25</v>
      </c>
      <c r="I2730" s="2">
        <v>5</v>
      </c>
      <c r="J2730" s="2">
        <v>1</v>
      </c>
      <c r="K2730" s="4">
        <v>1</v>
      </c>
      <c r="L2730" s="4">
        <v>-0.66105226642177228</v>
      </c>
      <c r="M2730" s="4">
        <v>0.66105226642177228</v>
      </c>
      <c r="N2730" s="10">
        <v>0.66100000000000003</v>
      </c>
      <c r="O2730" s="4">
        <v>3.9399744915145765</v>
      </c>
      <c r="P2730" s="4">
        <v>-3.94</v>
      </c>
      <c r="Q2730" s="3" t="s">
        <v>1617</v>
      </c>
      <c r="R2730" s="3" t="s">
        <v>1621</v>
      </c>
      <c r="S2730" s="3" t="s">
        <v>1622</v>
      </c>
      <c r="T2730" s="3"/>
    </row>
    <row r="2731" spans="1:20">
      <c r="A2731" s="3" t="s">
        <v>1594</v>
      </c>
      <c r="B2731" s="3" t="s">
        <v>1595</v>
      </c>
      <c r="C2731" s="3" t="s">
        <v>1596</v>
      </c>
      <c r="D2731" s="3" t="s">
        <v>875</v>
      </c>
      <c r="E2731" s="3" t="s">
        <v>876</v>
      </c>
      <c r="F2731" s="2">
        <v>1</v>
      </c>
      <c r="G2731" s="4">
        <v>1.0896595379120133</v>
      </c>
      <c r="H2731" s="2">
        <v>25</v>
      </c>
      <c r="I2731" s="2">
        <v>5</v>
      </c>
      <c r="J2731" s="2">
        <v>16</v>
      </c>
      <c r="K2731" s="4">
        <v>1</v>
      </c>
      <c r="L2731" s="4">
        <v>-0.6696250752529288</v>
      </c>
      <c r="M2731" s="4">
        <v>0.6696250752529288</v>
      </c>
      <c r="N2731" s="10">
        <v>0.67</v>
      </c>
      <c r="O2731" s="4">
        <v>4.016241361731363</v>
      </c>
      <c r="P2731" s="4">
        <v>-4.0199999999999996</v>
      </c>
      <c r="Q2731" s="3" t="s">
        <v>1617</v>
      </c>
      <c r="R2731" s="3" t="s">
        <v>1625</v>
      </c>
      <c r="S2731" s="3" t="s">
        <v>1626</v>
      </c>
      <c r="T2731" s="3"/>
    </row>
    <row r="2732" spans="1:20">
      <c r="A2732" s="3" t="s">
        <v>1600</v>
      </c>
      <c r="B2732" s="3" t="s">
        <v>1609</v>
      </c>
      <c r="C2732" s="3" t="s">
        <v>1616</v>
      </c>
      <c r="D2732" s="3" t="s">
        <v>875</v>
      </c>
      <c r="E2732" s="3" t="s">
        <v>876</v>
      </c>
      <c r="F2732" s="2">
        <v>1</v>
      </c>
      <c r="G2732" s="4">
        <v>1.0896595379120133</v>
      </c>
      <c r="H2732" s="2">
        <v>25</v>
      </c>
      <c r="I2732" s="2">
        <v>5</v>
      </c>
      <c r="J2732" s="2">
        <v>1</v>
      </c>
      <c r="K2732" s="4">
        <v>0.96737152217013533</v>
      </c>
      <c r="L2732" s="4">
        <v>-0.72773043067267951</v>
      </c>
      <c r="M2732" s="4">
        <v>0.72773043067267951</v>
      </c>
      <c r="N2732" s="10">
        <v>0.72799999999999998</v>
      </c>
      <c r="O2732" s="4">
        <v>4.5805662404533924</v>
      </c>
      <c r="P2732" s="4">
        <v>-4.58</v>
      </c>
      <c r="Q2732" s="3" t="s">
        <v>1617</v>
      </c>
      <c r="R2732" s="3" t="s">
        <v>1623</v>
      </c>
      <c r="S2732" s="3" t="s">
        <v>1624</v>
      </c>
      <c r="T2732" s="3"/>
    </row>
    <row r="2733" spans="1:20">
      <c r="A2733" s="3" t="s">
        <v>1604</v>
      </c>
      <c r="B2733" s="3" t="s">
        <v>1601</v>
      </c>
      <c r="C2733" s="3" t="s">
        <v>1596</v>
      </c>
      <c r="D2733" s="3" t="s">
        <v>875</v>
      </c>
      <c r="E2733" s="3" t="s">
        <v>876</v>
      </c>
      <c r="F2733" s="2">
        <v>1</v>
      </c>
      <c r="G2733" s="4">
        <v>1.0896595379120133</v>
      </c>
      <c r="H2733" s="2">
        <v>25</v>
      </c>
      <c r="I2733" s="2">
        <v>30</v>
      </c>
      <c r="J2733" s="2">
        <v>16</v>
      </c>
      <c r="K2733" s="4">
        <v>1</v>
      </c>
      <c r="L2733" s="4">
        <v>-0.75696691385231352</v>
      </c>
      <c r="M2733" s="4">
        <v>0.75696691385231352</v>
      </c>
      <c r="N2733" s="10">
        <v>0.75700000000000001</v>
      </c>
      <c r="O2733" s="4">
        <v>4.9037626302620341</v>
      </c>
      <c r="P2733" s="4">
        <v>-4.9000000000000004</v>
      </c>
      <c r="Q2733" s="3" t="s">
        <v>1617</v>
      </c>
      <c r="R2733" s="3" t="s">
        <v>1618</v>
      </c>
      <c r="S2733" s="3" t="s">
        <v>1619</v>
      </c>
      <c r="T2733" s="3"/>
    </row>
    <row r="2734" spans="1:20">
      <c r="A2734" s="3" t="s">
        <v>1600</v>
      </c>
      <c r="B2734" s="3" t="s">
        <v>1609</v>
      </c>
      <c r="C2734" s="3" t="s">
        <v>1616</v>
      </c>
      <c r="D2734" s="3" t="s">
        <v>875</v>
      </c>
      <c r="E2734" s="3" t="s">
        <v>876</v>
      </c>
      <c r="F2734" s="2">
        <v>1</v>
      </c>
      <c r="G2734" s="4">
        <v>1.0896595379120133</v>
      </c>
      <c r="H2734" s="2">
        <v>25</v>
      </c>
      <c r="I2734" s="2">
        <v>5</v>
      </c>
      <c r="J2734" s="2">
        <v>16</v>
      </c>
      <c r="K2734" s="4">
        <v>0.96299153355609091</v>
      </c>
      <c r="L2734" s="4">
        <v>-0.77480191328322612</v>
      </c>
      <c r="M2734" s="4">
        <v>0.77480191328322612</v>
      </c>
      <c r="N2734" s="10">
        <v>0.77500000000000002</v>
      </c>
      <c r="O2734" s="4">
        <v>5.1177398038792461</v>
      </c>
      <c r="P2734" s="4">
        <v>-5.12</v>
      </c>
      <c r="Q2734" s="3" t="s">
        <v>1617</v>
      </c>
      <c r="R2734" s="3" t="s">
        <v>1623</v>
      </c>
      <c r="S2734" s="3" t="s">
        <v>1624</v>
      </c>
      <c r="T2734" s="3"/>
    </row>
    <row r="2735" spans="1:20">
      <c r="A2735" s="3" t="s">
        <v>1600</v>
      </c>
      <c r="B2735" s="3" t="s">
        <v>1601</v>
      </c>
      <c r="C2735" s="3" t="s">
        <v>1596</v>
      </c>
      <c r="D2735" s="3" t="s">
        <v>875</v>
      </c>
      <c r="E2735" s="3" t="s">
        <v>876</v>
      </c>
      <c r="F2735" s="2">
        <v>1</v>
      </c>
      <c r="G2735" s="4">
        <v>1.0896595379120133</v>
      </c>
      <c r="H2735" s="2">
        <v>25</v>
      </c>
      <c r="I2735" s="2">
        <v>5</v>
      </c>
      <c r="J2735" s="2">
        <v>1</v>
      </c>
      <c r="K2735" s="4">
        <v>0.34074030815032841</v>
      </c>
      <c r="L2735" s="4">
        <v>-0.83691190661344339</v>
      </c>
      <c r="M2735" s="4">
        <v>0.83691190661344339</v>
      </c>
      <c r="N2735" s="10">
        <v>0.83699999999999997</v>
      </c>
      <c r="O2735" s="4">
        <v>6.0029469310393822</v>
      </c>
      <c r="P2735" s="4">
        <v>-6</v>
      </c>
      <c r="Q2735" s="3" t="s">
        <v>1617</v>
      </c>
      <c r="R2735" s="3" t="s">
        <v>1618</v>
      </c>
      <c r="S2735" s="3" t="s">
        <v>1619</v>
      </c>
      <c r="T2735" s="3"/>
    </row>
    <row r="2736" spans="1:20">
      <c r="A2736" s="3" t="s">
        <v>1604</v>
      </c>
      <c r="B2736" s="3" t="s">
        <v>1601</v>
      </c>
      <c r="C2736" s="3" t="s">
        <v>1616</v>
      </c>
      <c r="D2736" s="3" t="s">
        <v>875</v>
      </c>
      <c r="E2736" s="3" t="s">
        <v>876</v>
      </c>
      <c r="F2736" s="2">
        <v>1</v>
      </c>
      <c r="G2736" s="4">
        <v>1.0896595379120133</v>
      </c>
      <c r="H2736" s="2">
        <v>25</v>
      </c>
      <c r="I2736" s="2">
        <v>30</v>
      </c>
      <c r="J2736" s="2">
        <v>16</v>
      </c>
      <c r="K2736" s="4">
        <v>1</v>
      </c>
      <c r="L2736" s="4">
        <v>-0.85209929776228432</v>
      </c>
      <c r="M2736" s="4">
        <v>0.85209929776228432</v>
      </c>
      <c r="N2736" s="10">
        <v>0.85199999999999998</v>
      </c>
      <c r="O2736" s="4">
        <v>6.2656761303407293</v>
      </c>
      <c r="P2736" s="4">
        <v>-6.26</v>
      </c>
      <c r="Q2736" s="3" t="s">
        <v>1617</v>
      </c>
      <c r="R2736" s="3" t="s">
        <v>1618</v>
      </c>
      <c r="S2736" s="3" t="s">
        <v>1619</v>
      </c>
      <c r="T2736" s="3"/>
    </row>
    <row r="2737" spans="1:20">
      <c r="A2737" s="3" t="s">
        <v>1600</v>
      </c>
      <c r="B2737" s="3" t="s">
        <v>1606</v>
      </c>
      <c r="C2737" s="3" t="s">
        <v>1596</v>
      </c>
      <c r="D2737" s="3" t="s">
        <v>875</v>
      </c>
      <c r="E2737" s="3" t="s">
        <v>876</v>
      </c>
      <c r="F2737" s="2">
        <v>1</v>
      </c>
      <c r="G2737" s="4">
        <v>1.0896595379120133</v>
      </c>
      <c r="H2737" s="2">
        <v>25</v>
      </c>
      <c r="I2737" s="2">
        <v>5</v>
      </c>
      <c r="J2737" s="2">
        <v>1</v>
      </c>
      <c r="K2737" s="4">
        <v>0.7459835223298581</v>
      </c>
      <c r="L2737" s="4">
        <v>-0.85502960814526119</v>
      </c>
      <c r="M2737" s="4">
        <v>0.85502960814526119</v>
      </c>
      <c r="N2737" s="10">
        <v>0.85499999999999998</v>
      </c>
      <c r="O2737" s="4">
        <v>6.3192032412530006</v>
      </c>
      <c r="P2737" s="4">
        <v>-6.32</v>
      </c>
      <c r="Q2737" s="3" t="s">
        <v>1617</v>
      </c>
      <c r="R2737" s="3" t="s">
        <v>1621</v>
      </c>
      <c r="S2737" s="3" t="s">
        <v>1622</v>
      </c>
      <c r="T2737" s="3"/>
    </row>
    <row r="2738" spans="1:20">
      <c r="A2738" s="3" t="s">
        <v>1600</v>
      </c>
      <c r="B2738" s="3" t="s">
        <v>1606</v>
      </c>
      <c r="C2738" s="3" t="s">
        <v>1596</v>
      </c>
      <c r="D2738" s="3" t="s">
        <v>875</v>
      </c>
      <c r="E2738" s="3" t="s">
        <v>876</v>
      </c>
      <c r="F2738" s="2">
        <v>1</v>
      </c>
      <c r="G2738" s="4">
        <v>1.0896595379120133</v>
      </c>
      <c r="H2738" s="2">
        <v>25</v>
      </c>
      <c r="I2738" s="2">
        <v>5</v>
      </c>
      <c r="J2738" s="2">
        <v>16</v>
      </c>
      <c r="K2738" s="4">
        <v>1</v>
      </c>
      <c r="L2738" s="4">
        <v>-0.86635313155119198</v>
      </c>
      <c r="M2738" s="4">
        <v>0.86635313155119198</v>
      </c>
      <c r="N2738" s="10">
        <v>0.86599999999999999</v>
      </c>
      <c r="O2738" s="4">
        <v>6.535900233005191</v>
      </c>
      <c r="P2738" s="4">
        <v>-6.53</v>
      </c>
      <c r="Q2738" s="3" t="s">
        <v>1617</v>
      </c>
      <c r="R2738" s="3" t="s">
        <v>1621</v>
      </c>
      <c r="S2738" s="3" t="s">
        <v>1622</v>
      </c>
      <c r="T2738" s="3"/>
    </row>
    <row r="2739" spans="1:20">
      <c r="A2739" s="3" t="s">
        <v>1600</v>
      </c>
      <c r="B2739" s="3" t="s">
        <v>1601</v>
      </c>
      <c r="C2739" s="3" t="s">
        <v>1616</v>
      </c>
      <c r="D2739" s="3" t="s">
        <v>875</v>
      </c>
      <c r="E2739" s="3" t="s">
        <v>876</v>
      </c>
      <c r="F2739" s="2">
        <v>1</v>
      </c>
      <c r="G2739" s="4">
        <v>1.0896595379120133</v>
      </c>
      <c r="H2739" s="2">
        <v>25</v>
      </c>
      <c r="I2739" s="2">
        <v>5</v>
      </c>
      <c r="J2739" s="2">
        <v>16</v>
      </c>
      <c r="K2739" s="4">
        <v>1</v>
      </c>
      <c r="L2739" s="4">
        <v>-0.88701148556179676</v>
      </c>
      <c r="M2739" s="4">
        <v>0.88701148556179676</v>
      </c>
      <c r="N2739" s="10">
        <v>0.88700000000000001</v>
      </c>
      <c r="O2739" s="4">
        <v>6.9794443167563376</v>
      </c>
      <c r="P2739" s="4">
        <v>-6.98</v>
      </c>
      <c r="Q2739" s="3" t="s">
        <v>1617</v>
      </c>
      <c r="R2739" s="3" t="s">
        <v>1618</v>
      </c>
      <c r="S2739" s="3" t="s">
        <v>1619</v>
      </c>
      <c r="T2739" s="3"/>
    </row>
    <row r="2740" spans="1:20">
      <c r="A2740" s="3" t="s">
        <v>1600</v>
      </c>
      <c r="B2740" s="3" t="s">
        <v>1609</v>
      </c>
      <c r="C2740" s="3" t="s">
        <v>1596</v>
      </c>
      <c r="D2740" s="3" t="s">
        <v>875</v>
      </c>
      <c r="E2740" s="3" t="s">
        <v>876</v>
      </c>
      <c r="F2740" s="2">
        <v>1</v>
      </c>
      <c r="G2740" s="4">
        <v>1.0896595379120133</v>
      </c>
      <c r="H2740" s="2">
        <v>25</v>
      </c>
      <c r="I2740" s="2">
        <v>5</v>
      </c>
      <c r="J2740" s="2">
        <v>1</v>
      </c>
      <c r="K2740" s="4">
        <v>0.99004441751983541</v>
      </c>
      <c r="L2740" s="4">
        <v>-0.91163432025517011</v>
      </c>
      <c r="M2740" s="4">
        <v>0.91163432025517011</v>
      </c>
      <c r="N2740" s="10">
        <v>0.91200000000000003</v>
      </c>
      <c r="O2740" s="4">
        <v>7.6209187395382605</v>
      </c>
      <c r="P2740" s="4">
        <v>-7.63</v>
      </c>
      <c r="Q2740" s="3" t="s">
        <v>1617</v>
      </c>
      <c r="R2740" s="3" t="s">
        <v>1623</v>
      </c>
      <c r="S2740" s="3" t="s">
        <v>1624</v>
      </c>
      <c r="T2740" s="3"/>
    </row>
    <row r="2741" spans="1:20">
      <c r="A2741" s="3" t="s">
        <v>1600</v>
      </c>
      <c r="B2741" s="3" t="s">
        <v>1601</v>
      </c>
      <c r="C2741" s="3" t="s">
        <v>1616</v>
      </c>
      <c r="D2741" s="3" t="s">
        <v>875</v>
      </c>
      <c r="E2741" s="3" t="s">
        <v>876</v>
      </c>
      <c r="F2741" s="2">
        <v>1</v>
      </c>
      <c r="G2741" s="4">
        <v>1.0896595379120133</v>
      </c>
      <c r="H2741" s="2">
        <v>25</v>
      </c>
      <c r="I2741" s="2">
        <v>5</v>
      </c>
      <c r="J2741" s="2">
        <v>1</v>
      </c>
      <c r="K2741" s="4">
        <v>1</v>
      </c>
      <c r="L2741" s="4">
        <v>-0.91588026096586261</v>
      </c>
      <c r="M2741" s="4">
        <v>0.91588026096586261</v>
      </c>
      <c r="N2741" s="10">
        <v>0.91600000000000004</v>
      </c>
      <c r="O2741" s="4">
        <v>7.748489043828263</v>
      </c>
      <c r="P2741" s="4">
        <v>-7.75</v>
      </c>
      <c r="Q2741" s="3" t="s">
        <v>1617</v>
      </c>
      <c r="R2741" s="3" t="s">
        <v>1618</v>
      </c>
      <c r="S2741" s="3" t="s">
        <v>1619</v>
      </c>
      <c r="T2741" s="3"/>
    </row>
    <row r="2742" spans="1:20">
      <c r="A2742" s="3" t="s">
        <v>1605</v>
      </c>
      <c r="B2742" s="3" t="s">
        <v>1601</v>
      </c>
      <c r="C2742" s="3" t="s">
        <v>1596</v>
      </c>
      <c r="D2742" s="3" t="s">
        <v>875</v>
      </c>
      <c r="E2742" s="3" t="s">
        <v>876</v>
      </c>
      <c r="F2742" s="2">
        <v>1</v>
      </c>
      <c r="G2742" s="4">
        <v>1.0896595379120133</v>
      </c>
      <c r="H2742" s="2">
        <v>25</v>
      </c>
      <c r="I2742" s="2">
        <v>5</v>
      </c>
      <c r="J2742" s="2">
        <v>16</v>
      </c>
      <c r="K2742" s="4">
        <v>1</v>
      </c>
      <c r="L2742" s="4">
        <v>-0.92543434975093275</v>
      </c>
      <c r="M2742" s="4">
        <v>0.92543434975093275</v>
      </c>
      <c r="N2742" s="10">
        <v>0.92500000000000004</v>
      </c>
      <c r="O2742" s="4">
        <v>8.0596880365209973</v>
      </c>
      <c r="P2742" s="4">
        <v>-8.0399999999999991</v>
      </c>
      <c r="Q2742" s="3" t="s">
        <v>1617</v>
      </c>
      <c r="R2742" s="3" t="s">
        <v>1618</v>
      </c>
      <c r="S2742" s="3" t="s">
        <v>1619</v>
      </c>
      <c r="T2742" s="3"/>
    </row>
    <row r="2743" spans="1:20">
      <c r="A2743" s="3" t="s">
        <v>1600</v>
      </c>
      <c r="B2743" s="3" t="s">
        <v>1601</v>
      </c>
      <c r="C2743" s="3" t="s">
        <v>1596</v>
      </c>
      <c r="D2743" s="3" t="s">
        <v>875</v>
      </c>
      <c r="E2743" s="3" t="s">
        <v>876</v>
      </c>
      <c r="F2743" s="2">
        <v>1</v>
      </c>
      <c r="G2743" s="4">
        <v>1.0896595379120133</v>
      </c>
      <c r="H2743" s="2">
        <v>25</v>
      </c>
      <c r="I2743" s="2">
        <v>5</v>
      </c>
      <c r="J2743" s="2">
        <v>16</v>
      </c>
      <c r="K2743" s="4">
        <v>1</v>
      </c>
      <c r="L2743" s="4">
        <v>-0.93561148231763303</v>
      </c>
      <c r="M2743" s="4">
        <v>0.93561148231763303</v>
      </c>
      <c r="N2743" s="10">
        <v>0.93600000000000005</v>
      </c>
      <c r="O2743" s="4">
        <v>8.4365317004038847</v>
      </c>
      <c r="P2743" s="4">
        <v>-8.4499999999999993</v>
      </c>
      <c r="Q2743" s="3" t="s">
        <v>1617</v>
      </c>
      <c r="R2743" s="3" t="s">
        <v>1618</v>
      </c>
      <c r="S2743" s="3" t="s">
        <v>1619</v>
      </c>
      <c r="T2743" s="3"/>
    </row>
    <row r="2744" spans="1:20">
      <c r="A2744" s="3" t="s">
        <v>1600</v>
      </c>
      <c r="B2744" s="3" t="s">
        <v>1609</v>
      </c>
      <c r="C2744" s="3" t="s">
        <v>1596</v>
      </c>
      <c r="D2744" s="3" t="s">
        <v>875</v>
      </c>
      <c r="E2744" s="3" t="s">
        <v>876</v>
      </c>
      <c r="F2744" s="2">
        <v>1</v>
      </c>
      <c r="G2744" s="4">
        <v>1.0896595379120133</v>
      </c>
      <c r="H2744" s="2">
        <v>25</v>
      </c>
      <c r="I2744" s="2">
        <v>5</v>
      </c>
      <c r="J2744" s="2">
        <v>16</v>
      </c>
      <c r="K2744" s="4">
        <v>1</v>
      </c>
      <c r="L2744" s="4">
        <v>-0.94993725640625537</v>
      </c>
      <c r="M2744" s="4">
        <v>0.94993725640625537</v>
      </c>
      <c r="N2744" s="10">
        <v>0.95</v>
      </c>
      <c r="O2744" s="4">
        <v>9.0786641255891301</v>
      </c>
      <c r="P2744" s="4">
        <v>-9.08</v>
      </c>
      <c r="Q2744" s="3" t="s">
        <v>1617</v>
      </c>
      <c r="R2744" s="3" t="s">
        <v>1623</v>
      </c>
      <c r="S2744" s="3" t="s">
        <v>1624</v>
      </c>
      <c r="T2744" s="3"/>
    </row>
    <row r="2745" spans="1:20">
      <c r="A2745" s="3" t="s">
        <v>1594</v>
      </c>
      <c r="B2745" s="3" t="s">
        <v>1595</v>
      </c>
      <c r="C2745" s="3" t="s">
        <v>1596</v>
      </c>
      <c r="D2745" s="3" t="s">
        <v>676</v>
      </c>
      <c r="E2745" s="3" t="s">
        <v>677</v>
      </c>
      <c r="F2745" s="2">
        <v>1</v>
      </c>
      <c r="G2745" s="4">
        <v>1.0897061685152751</v>
      </c>
      <c r="H2745" s="2">
        <v>50</v>
      </c>
      <c r="I2745" s="2">
        <v>5</v>
      </c>
      <c r="J2745" s="2">
        <v>16</v>
      </c>
      <c r="K2745" s="4">
        <v>1</v>
      </c>
      <c r="L2745" s="14">
        <v>0.18864003504943178</v>
      </c>
      <c r="M2745" s="4">
        <v>0.18864003504943178</v>
      </c>
      <c r="N2745" s="10">
        <v>0.189</v>
      </c>
      <c r="O2745" s="4">
        <v>1.0259751491559421</v>
      </c>
      <c r="P2745" s="4">
        <v>1.03</v>
      </c>
      <c r="Q2745" s="3" t="s">
        <v>1597</v>
      </c>
      <c r="R2745" s="3" t="s">
        <v>1598</v>
      </c>
      <c r="S2745" s="3" t="s">
        <v>1599</v>
      </c>
      <c r="T2745" s="3"/>
    </row>
    <row r="2746" spans="1:20">
      <c r="A2746" s="3" t="s">
        <v>1594</v>
      </c>
      <c r="B2746" s="3" t="s">
        <v>1612</v>
      </c>
      <c r="C2746" s="3" t="s">
        <v>1596</v>
      </c>
      <c r="D2746" s="3" t="s">
        <v>676</v>
      </c>
      <c r="E2746" s="3" t="s">
        <v>677</v>
      </c>
      <c r="F2746" s="2">
        <v>1</v>
      </c>
      <c r="G2746" s="4">
        <v>1.0897061685152751</v>
      </c>
      <c r="H2746" s="2">
        <v>50</v>
      </c>
      <c r="I2746" s="2">
        <v>5</v>
      </c>
      <c r="J2746" s="2">
        <v>16</v>
      </c>
      <c r="K2746" s="4">
        <v>0.10214798016246497</v>
      </c>
      <c r="L2746" s="14">
        <v>9.5768155567824281E-2</v>
      </c>
      <c r="M2746" s="4">
        <v>9.5768155567824281E-2</v>
      </c>
      <c r="N2746" s="10">
        <v>9.6000000000000002E-2</v>
      </c>
      <c r="O2746" s="4">
        <v>0.51620765416563197</v>
      </c>
      <c r="P2746" s="4">
        <v>0.52</v>
      </c>
      <c r="Q2746" s="3" t="s">
        <v>1597</v>
      </c>
      <c r="R2746" s="3" t="s">
        <v>1613</v>
      </c>
      <c r="S2746" s="3" t="s">
        <v>1614</v>
      </c>
      <c r="T2746" s="3"/>
    </row>
    <row r="2747" spans="1:20">
      <c r="A2747" s="3" t="s">
        <v>1604</v>
      </c>
      <c r="B2747" s="3" t="s">
        <v>1601</v>
      </c>
      <c r="C2747" s="3" t="s">
        <v>1616</v>
      </c>
      <c r="D2747" s="3" t="s">
        <v>676</v>
      </c>
      <c r="E2747" s="3" t="s">
        <v>677</v>
      </c>
      <c r="F2747" s="2">
        <v>1</v>
      </c>
      <c r="G2747" s="4">
        <v>1.0897061685152751</v>
      </c>
      <c r="H2747" s="2">
        <v>25</v>
      </c>
      <c r="I2747" s="2">
        <v>30</v>
      </c>
      <c r="J2747" s="2">
        <v>16</v>
      </c>
      <c r="K2747" s="4">
        <v>1</v>
      </c>
      <c r="L2747" s="4">
        <v>-0.37289471246692002</v>
      </c>
      <c r="M2747" s="4">
        <v>0.37289471246692002</v>
      </c>
      <c r="N2747" s="10">
        <v>0.373</v>
      </c>
      <c r="O2747" s="4">
        <v>1.9424259287247152</v>
      </c>
      <c r="P2747" s="4">
        <v>-1.94</v>
      </c>
      <c r="Q2747" s="3" t="s">
        <v>1617</v>
      </c>
      <c r="R2747" s="3" t="s">
        <v>1618</v>
      </c>
      <c r="S2747" s="3" t="s">
        <v>1619</v>
      </c>
      <c r="T2747" s="3"/>
    </row>
    <row r="2748" spans="1:20">
      <c r="A2748" s="3" t="s">
        <v>1604</v>
      </c>
      <c r="B2748" s="3" t="s">
        <v>1601</v>
      </c>
      <c r="C2748" s="3" t="s">
        <v>1596</v>
      </c>
      <c r="D2748" s="3" t="s">
        <v>676</v>
      </c>
      <c r="E2748" s="3" t="s">
        <v>677</v>
      </c>
      <c r="F2748" s="2">
        <v>1</v>
      </c>
      <c r="G2748" s="4">
        <v>1.0897061685152751</v>
      </c>
      <c r="H2748" s="2">
        <v>25</v>
      </c>
      <c r="I2748" s="2">
        <v>30</v>
      </c>
      <c r="J2748" s="2">
        <v>16</v>
      </c>
      <c r="K2748" s="4">
        <v>1</v>
      </c>
      <c r="L2748" s="4">
        <v>-0.58526445440928865</v>
      </c>
      <c r="M2748" s="4">
        <v>0.58526445440928865</v>
      </c>
      <c r="N2748" s="10">
        <v>0.58499999999999996</v>
      </c>
      <c r="O2748" s="4">
        <v>3.3239627602402693</v>
      </c>
      <c r="P2748" s="4">
        <v>-3.32</v>
      </c>
      <c r="Q2748" s="3" t="s">
        <v>1617</v>
      </c>
      <c r="R2748" s="3" t="s">
        <v>1618</v>
      </c>
      <c r="S2748" s="3" t="s">
        <v>1619</v>
      </c>
      <c r="T2748" s="3"/>
    </row>
    <row r="2749" spans="1:20">
      <c r="A2749" s="3" t="s">
        <v>1600</v>
      </c>
      <c r="B2749" s="3" t="s">
        <v>1609</v>
      </c>
      <c r="C2749" s="3" t="s">
        <v>1616</v>
      </c>
      <c r="D2749" s="3" t="s">
        <v>676</v>
      </c>
      <c r="E2749" s="3" t="s">
        <v>677</v>
      </c>
      <c r="F2749" s="2">
        <v>1</v>
      </c>
      <c r="G2749" s="4">
        <v>1.0897061685152751</v>
      </c>
      <c r="H2749" s="2">
        <v>25</v>
      </c>
      <c r="I2749" s="2">
        <v>5</v>
      </c>
      <c r="J2749" s="2">
        <v>1</v>
      </c>
      <c r="K2749" s="4">
        <v>1</v>
      </c>
      <c r="L2749" s="4">
        <v>-0.59959056083742113</v>
      </c>
      <c r="M2749" s="4">
        <v>0.59959056083742113</v>
      </c>
      <c r="N2749" s="10">
        <v>0.6</v>
      </c>
      <c r="O2749" s="4">
        <v>3.4334089857119041</v>
      </c>
      <c r="P2749" s="4">
        <v>-3.44</v>
      </c>
      <c r="Q2749" s="3" t="s">
        <v>1617</v>
      </c>
      <c r="R2749" s="3" t="s">
        <v>1623</v>
      </c>
      <c r="S2749" s="3" t="s">
        <v>1624</v>
      </c>
      <c r="T2749" s="3"/>
    </row>
    <row r="2750" spans="1:20">
      <c r="A2750" s="3" t="s">
        <v>1600</v>
      </c>
      <c r="B2750" s="3" t="s">
        <v>1609</v>
      </c>
      <c r="C2750" s="3" t="s">
        <v>1616</v>
      </c>
      <c r="D2750" s="3" t="s">
        <v>676</v>
      </c>
      <c r="E2750" s="3" t="s">
        <v>677</v>
      </c>
      <c r="F2750" s="2">
        <v>1</v>
      </c>
      <c r="G2750" s="4">
        <v>1.0897061685152751</v>
      </c>
      <c r="H2750" s="2">
        <v>25</v>
      </c>
      <c r="I2750" s="2">
        <v>5</v>
      </c>
      <c r="J2750" s="2">
        <v>16</v>
      </c>
      <c r="K2750" s="11">
        <v>1</v>
      </c>
      <c r="L2750" s="11">
        <v>-0.60133247114323818</v>
      </c>
      <c r="M2750" s="4">
        <v>0.60133247114323818</v>
      </c>
      <c r="N2750" s="10">
        <v>0.60099999999999998</v>
      </c>
      <c r="O2750" s="4">
        <v>3.4469148829662157</v>
      </c>
      <c r="P2750" s="4">
        <v>-3.44</v>
      </c>
      <c r="Q2750" s="3" t="s">
        <v>1617</v>
      </c>
      <c r="R2750" s="3" t="s">
        <v>1623</v>
      </c>
      <c r="S2750" s="3" t="s">
        <v>1624</v>
      </c>
      <c r="T2750" s="3"/>
    </row>
    <row r="2751" spans="1:20">
      <c r="A2751" s="3" t="s">
        <v>1600</v>
      </c>
      <c r="B2751" s="3" t="s">
        <v>1601</v>
      </c>
      <c r="C2751" s="3" t="s">
        <v>1616</v>
      </c>
      <c r="D2751" s="3" t="s">
        <v>676</v>
      </c>
      <c r="E2751" s="3" t="s">
        <v>677</v>
      </c>
      <c r="F2751" s="2">
        <v>1</v>
      </c>
      <c r="G2751" s="4">
        <v>1.0897061685152751</v>
      </c>
      <c r="H2751" s="2">
        <v>25</v>
      </c>
      <c r="I2751" s="2">
        <v>5</v>
      </c>
      <c r="J2751" s="2">
        <v>1</v>
      </c>
      <c r="K2751" s="4">
        <v>1</v>
      </c>
      <c r="L2751" s="4">
        <v>-0.60433780115150382</v>
      </c>
      <c r="M2751" s="4">
        <v>0.60433780115150382</v>
      </c>
      <c r="N2751" s="10">
        <v>0.60399999999999998</v>
      </c>
      <c r="O2751" s="4">
        <v>3.4703213101035484</v>
      </c>
      <c r="P2751" s="4">
        <v>-3.47</v>
      </c>
      <c r="Q2751" s="3" t="s">
        <v>1617</v>
      </c>
      <c r="R2751" s="3" t="s">
        <v>1618</v>
      </c>
      <c r="S2751" s="3" t="s">
        <v>1619</v>
      </c>
      <c r="T2751" s="3"/>
    </row>
    <row r="2752" spans="1:20">
      <c r="A2752" s="3" t="s">
        <v>1600</v>
      </c>
      <c r="B2752" s="3" t="s">
        <v>1601</v>
      </c>
      <c r="C2752" s="3" t="s">
        <v>1616</v>
      </c>
      <c r="D2752" s="3" t="s">
        <v>676</v>
      </c>
      <c r="E2752" s="3" t="s">
        <v>677</v>
      </c>
      <c r="F2752" s="2">
        <v>1</v>
      </c>
      <c r="G2752" s="4">
        <v>1.0897061685152751</v>
      </c>
      <c r="H2752" s="2">
        <v>25</v>
      </c>
      <c r="I2752" s="2">
        <v>5</v>
      </c>
      <c r="J2752" s="2">
        <v>16</v>
      </c>
      <c r="K2752" s="4">
        <v>1</v>
      </c>
      <c r="L2752" s="4">
        <v>-0.62999350566824874</v>
      </c>
      <c r="M2752" s="4">
        <v>0.62999350566824874</v>
      </c>
      <c r="N2752" s="10">
        <v>0.63</v>
      </c>
      <c r="O2752" s="4">
        <v>3.6758406632799931</v>
      </c>
      <c r="P2752" s="4">
        <v>-3.68</v>
      </c>
      <c r="Q2752" s="3" t="s">
        <v>1617</v>
      </c>
      <c r="R2752" s="3" t="s">
        <v>1618</v>
      </c>
      <c r="S2752" s="3" t="s">
        <v>1619</v>
      </c>
      <c r="T2752" s="3"/>
    </row>
    <row r="2753" spans="1:20">
      <c r="A2753" s="3" t="s">
        <v>1600</v>
      </c>
      <c r="B2753" s="3" t="s">
        <v>1601</v>
      </c>
      <c r="C2753" s="3" t="s">
        <v>1596</v>
      </c>
      <c r="D2753" s="3" t="s">
        <v>676</v>
      </c>
      <c r="E2753" s="3" t="s">
        <v>677</v>
      </c>
      <c r="F2753" s="2">
        <v>1</v>
      </c>
      <c r="G2753" s="4">
        <v>1.0897061685152751</v>
      </c>
      <c r="H2753" s="2">
        <v>25</v>
      </c>
      <c r="I2753" s="2">
        <v>5</v>
      </c>
      <c r="J2753" s="2">
        <v>1</v>
      </c>
      <c r="K2753" s="4">
        <v>1</v>
      </c>
      <c r="L2753" s="4">
        <v>-0.73592834386236194</v>
      </c>
      <c r="M2753" s="4">
        <v>0.73592834386236194</v>
      </c>
      <c r="N2753" s="10">
        <v>0.73599999999999999</v>
      </c>
      <c r="O2753" s="4">
        <v>4.6680882681854099</v>
      </c>
      <c r="P2753" s="4">
        <v>-4.67</v>
      </c>
      <c r="Q2753" s="3" t="s">
        <v>1617</v>
      </c>
      <c r="R2753" s="3" t="s">
        <v>1618</v>
      </c>
      <c r="S2753" s="3" t="s">
        <v>1619</v>
      </c>
      <c r="T2753" s="3"/>
    </row>
    <row r="2754" spans="1:20">
      <c r="A2754" s="3" t="s">
        <v>1600</v>
      </c>
      <c r="B2754" s="3" t="s">
        <v>1601</v>
      </c>
      <c r="C2754" s="3" t="s">
        <v>1596</v>
      </c>
      <c r="D2754" s="3" t="s">
        <v>676</v>
      </c>
      <c r="E2754" s="3" t="s">
        <v>677</v>
      </c>
      <c r="F2754" s="2">
        <v>1</v>
      </c>
      <c r="G2754" s="4">
        <v>1.0897061685152751</v>
      </c>
      <c r="H2754" s="2">
        <v>25</v>
      </c>
      <c r="I2754" s="2">
        <v>5</v>
      </c>
      <c r="J2754" s="2">
        <v>16</v>
      </c>
      <c r="K2754" s="4">
        <v>1</v>
      </c>
      <c r="L2754" s="4">
        <v>-0.73768993330738286</v>
      </c>
      <c r="M2754" s="4">
        <v>0.73768993330738286</v>
      </c>
      <c r="N2754" s="10">
        <v>0.73799999999999999</v>
      </c>
      <c r="O2754" s="4">
        <v>4.6871949010300611</v>
      </c>
      <c r="P2754" s="4">
        <v>-4.6900000000000004</v>
      </c>
      <c r="Q2754" s="3" t="s">
        <v>1617</v>
      </c>
      <c r="R2754" s="3" t="s">
        <v>1618</v>
      </c>
      <c r="S2754" s="3" t="s">
        <v>1619</v>
      </c>
      <c r="T2754" s="3"/>
    </row>
    <row r="2755" spans="1:20">
      <c r="A2755" s="3" t="s">
        <v>1600</v>
      </c>
      <c r="B2755" s="3" t="s">
        <v>1606</v>
      </c>
      <c r="C2755" s="3" t="s">
        <v>1616</v>
      </c>
      <c r="D2755" s="3" t="s">
        <v>676</v>
      </c>
      <c r="E2755" s="3" t="s">
        <v>677</v>
      </c>
      <c r="F2755" s="2">
        <v>1</v>
      </c>
      <c r="G2755" s="4">
        <v>1.0897061685152751</v>
      </c>
      <c r="H2755" s="2">
        <v>25</v>
      </c>
      <c r="I2755" s="2">
        <v>5</v>
      </c>
      <c r="J2755" s="2">
        <v>16</v>
      </c>
      <c r="K2755" s="11">
        <v>1</v>
      </c>
      <c r="L2755" s="11">
        <v>-0.74658089626466295</v>
      </c>
      <c r="M2755" s="4">
        <v>0.74658089626466295</v>
      </c>
      <c r="N2755" s="10">
        <v>0.747</v>
      </c>
      <c r="O2755" s="4">
        <v>4.7853275995770383</v>
      </c>
      <c r="P2755" s="4">
        <v>-4.79</v>
      </c>
      <c r="Q2755" s="3" t="s">
        <v>1617</v>
      </c>
      <c r="R2755" s="3" t="s">
        <v>1621</v>
      </c>
      <c r="S2755" s="3" t="s">
        <v>1622</v>
      </c>
      <c r="T2755" s="3"/>
    </row>
    <row r="2756" spans="1:20">
      <c r="A2756" s="12" t="s">
        <v>1605</v>
      </c>
      <c r="B2756" s="3" t="s">
        <v>1601</v>
      </c>
      <c r="C2756" s="3" t="s">
        <v>1596</v>
      </c>
      <c r="D2756" s="3" t="s">
        <v>676</v>
      </c>
      <c r="E2756" s="3" t="s">
        <v>677</v>
      </c>
      <c r="F2756" s="2">
        <v>1</v>
      </c>
      <c r="G2756" s="4">
        <v>1.0897061685152751</v>
      </c>
      <c r="H2756" s="2">
        <v>25</v>
      </c>
      <c r="I2756" s="2">
        <v>5</v>
      </c>
      <c r="J2756" s="2">
        <v>16</v>
      </c>
      <c r="K2756" s="11">
        <v>1</v>
      </c>
      <c r="L2756" s="11">
        <v>-0.75373378478845166</v>
      </c>
      <c r="M2756" s="4">
        <v>0.75373378478845166</v>
      </c>
      <c r="N2756" s="10">
        <v>0.754</v>
      </c>
      <c r="O2756" s="4">
        <v>4.8664357974790127</v>
      </c>
      <c r="P2756" s="4">
        <v>-4.87</v>
      </c>
      <c r="Q2756" s="3" t="s">
        <v>1617</v>
      </c>
      <c r="R2756" s="3" t="s">
        <v>1618</v>
      </c>
      <c r="S2756" s="3" t="s">
        <v>1619</v>
      </c>
      <c r="T2756" s="3"/>
    </row>
    <row r="2757" spans="1:20">
      <c r="A2757" s="3" t="s">
        <v>1600</v>
      </c>
      <c r="B2757" s="3" t="s">
        <v>1606</v>
      </c>
      <c r="C2757" s="3" t="s">
        <v>1616</v>
      </c>
      <c r="D2757" s="3" t="s">
        <v>676</v>
      </c>
      <c r="E2757" s="3" t="s">
        <v>677</v>
      </c>
      <c r="F2757" s="2">
        <v>1</v>
      </c>
      <c r="G2757" s="4">
        <v>1.0897061685152751</v>
      </c>
      <c r="H2757" s="2">
        <v>25</v>
      </c>
      <c r="I2757" s="2">
        <v>5</v>
      </c>
      <c r="J2757" s="2">
        <v>1</v>
      </c>
      <c r="K2757" s="4">
        <v>1</v>
      </c>
      <c r="L2757" s="4">
        <v>-0.80404084292852485</v>
      </c>
      <c r="M2757" s="4">
        <v>0.80404084292852485</v>
      </c>
      <c r="N2757" s="10">
        <v>0.80400000000000005</v>
      </c>
      <c r="O2757" s="4">
        <v>5.503007125945345</v>
      </c>
      <c r="P2757" s="4">
        <v>-5.5</v>
      </c>
      <c r="Q2757" s="3" t="s">
        <v>1617</v>
      </c>
      <c r="R2757" s="3" t="s">
        <v>1621</v>
      </c>
      <c r="S2757" s="3" t="s">
        <v>1622</v>
      </c>
      <c r="T2757" s="3"/>
    </row>
    <row r="2758" spans="1:20">
      <c r="A2758" s="3" t="s">
        <v>1600</v>
      </c>
      <c r="B2758" s="3" t="s">
        <v>1606</v>
      </c>
      <c r="C2758" s="3" t="s">
        <v>1596</v>
      </c>
      <c r="D2758" s="3" t="s">
        <v>676</v>
      </c>
      <c r="E2758" s="3" t="s">
        <v>677</v>
      </c>
      <c r="F2758" s="2">
        <v>1</v>
      </c>
      <c r="G2758" s="4">
        <v>1.0897061685152751</v>
      </c>
      <c r="H2758" s="2">
        <v>25</v>
      </c>
      <c r="I2758" s="2">
        <v>5</v>
      </c>
      <c r="J2758" s="2">
        <v>16</v>
      </c>
      <c r="K2758" s="11">
        <v>1</v>
      </c>
      <c r="L2758" s="11">
        <v>-0.85259769979182964</v>
      </c>
      <c r="M2758" s="4">
        <v>0.85259769979182964</v>
      </c>
      <c r="N2758" s="10">
        <v>0.85299999999999998</v>
      </c>
      <c r="O2758" s="4">
        <v>6.2747109724348036</v>
      </c>
      <c r="P2758" s="4">
        <v>-6.28</v>
      </c>
      <c r="Q2758" s="3" t="s">
        <v>1617</v>
      </c>
      <c r="R2758" s="3" t="s">
        <v>1621</v>
      </c>
      <c r="S2758" s="3" t="s">
        <v>1622</v>
      </c>
      <c r="T2758" s="3"/>
    </row>
    <row r="2759" spans="1:20">
      <c r="A2759" s="3" t="s">
        <v>1600</v>
      </c>
      <c r="B2759" s="3" t="s">
        <v>1609</v>
      </c>
      <c r="C2759" s="3" t="s">
        <v>1596</v>
      </c>
      <c r="D2759" s="3" t="s">
        <v>676</v>
      </c>
      <c r="E2759" s="3" t="s">
        <v>677</v>
      </c>
      <c r="F2759" s="2">
        <v>1</v>
      </c>
      <c r="G2759" s="4">
        <v>1.0897061685152751</v>
      </c>
      <c r="H2759" s="2">
        <v>25</v>
      </c>
      <c r="I2759" s="2">
        <v>5</v>
      </c>
      <c r="J2759" s="2">
        <v>16</v>
      </c>
      <c r="K2759" s="4">
        <v>1</v>
      </c>
      <c r="L2759" s="4">
        <v>-0.85538900031668952</v>
      </c>
      <c r="M2759" s="4">
        <v>0.85538900031668952</v>
      </c>
      <c r="N2759" s="10">
        <v>0.85499999999999998</v>
      </c>
      <c r="O2759" s="4">
        <v>6.3258366414279443</v>
      </c>
      <c r="P2759" s="4">
        <v>-6.32</v>
      </c>
      <c r="Q2759" s="3" t="s">
        <v>1617</v>
      </c>
      <c r="R2759" s="3" t="s">
        <v>1623</v>
      </c>
      <c r="S2759" s="3" t="s">
        <v>1624</v>
      </c>
      <c r="T2759" s="3"/>
    </row>
    <row r="2760" spans="1:20">
      <c r="A2760" s="3" t="s">
        <v>1600</v>
      </c>
      <c r="B2760" s="3" t="s">
        <v>1606</v>
      </c>
      <c r="C2760" s="3" t="s">
        <v>1596</v>
      </c>
      <c r="D2760" s="3" t="s">
        <v>676</v>
      </c>
      <c r="E2760" s="3" t="s">
        <v>677</v>
      </c>
      <c r="F2760" s="2">
        <v>1</v>
      </c>
      <c r="G2760" s="4">
        <v>1.0897061685152751</v>
      </c>
      <c r="H2760" s="2">
        <v>25</v>
      </c>
      <c r="I2760" s="2">
        <v>5</v>
      </c>
      <c r="J2760" s="2">
        <v>1</v>
      </c>
      <c r="K2760" s="11">
        <v>1</v>
      </c>
      <c r="L2760" s="11">
        <v>-0.858385541082616</v>
      </c>
      <c r="M2760" s="4">
        <v>0.858385541082616</v>
      </c>
      <c r="N2760" s="10">
        <v>0.85799999999999998</v>
      </c>
      <c r="O2760" s="4">
        <v>6.3817443989443374</v>
      </c>
      <c r="P2760" s="4">
        <v>-6.37</v>
      </c>
      <c r="Q2760" s="3" t="s">
        <v>1617</v>
      </c>
      <c r="R2760" s="3" t="s">
        <v>1621</v>
      </c>
      <c r="S2760" s="3" t="s">
        <v>1622</v>
      </c>
      <c r="T2760" s="3"/>
    </row>
    <row r="2761" spans="1:20">
      <c r="A2761" s="3" t="s">
        <v>1600</v>
      </c>
      <c r="B2761" s="3" t="s">
        <v>1609</v>
      </c>
      <c r="C2761" s="3" t="s">
        <v>1596</v>
      </c>
      <c r="D2761" s="3" t="s">
        <v>676</v>
      </c>
      <c r="E2761" s="3" t="s">
        <v>677</v>
      </c>
      <c r="F2761" s="2">
        <v>1</v>
      </c>
      <c r="G2761" s="4">
        <v>1.0897061685152751</v>
      </c>
      <c r="H2761" s="2">
        <v>25</v>
      </c>
      <c r="I2761" s="2">
        <v>5</v>
      </c>
      <c r="J2761" s="2">
        <v>1</v>
      </c>
      <c r="K2761" s="11">
        <v>1</v>
      </c>
      <c r="L2761" s="11">
        <v>-0.87303962287953041</v>
      </c>
      <c r="M2761" s="4">
        <v>0.87303962287953041</v>
      </c>
      <c r="N2761" s="10">
        <v>0.873</v>
      </c>
      <c r="O2761" s="4">
        <v>6.6720010717794969</v>
      </c>
      <c r="P2761" s="4">
        <v>-6.67</v>
      </c>
      <c r="Q2761" s="3" t="s">
        <v>1617</v>
      </c>
      <c r="R2761" s="3" t="s">
        <v>1623</v>
      </c>
      <c r="S2761" s="3" t="s">
        <v>1624</v>
      </c>
      <c r="T2761" s="3"/>
    </row>
    <row r="2762" spans="1:20">
      <c r="A2762" s="3" t="s">
        <v>1594</v>
      </c>
      <c r="B2762" s="3" t="s">
        <v>1595</v>
      </c>
      <c r="C2762" s="3" t="s">
        <v>1596</v>
      </c>
      <c r="D2762" s="3" t="s">
        <v>1364</v>
      </c>
      <c r="E2762" s="3" t="s">
        <v>1365</v>
      </c>
      <c r="F2762" s="2">
        <v>1</v>
      </c>
      <c r="G2762" s="4">
        <v>1.0923685084039954</v>
      </c>
      <c r="H2762" s="2">
        <v>25</v>
      </c>
      <c r="I2762" s="2">
        <v>5</v>
      </c>
      <c r="J2762" s="2">
        <v>16</v>
      </c>
      <c r="K2762" s="4">
        <v>6.4634657929467654E-3</v>
      </c>
      <c r="L2762" s="4">
        <v>3.0479896238651102E-2</v>
      </c>
      <c r="M2762" s="4">
        <v>3.0479896238651102E-2</v>
      </c>
      <c r="N2762" s="10">
        <v>0.03</v>
      </c>
      <c r="O2762" s="4">
        <v>0.15116420883835838</v>
      </c>
      <c r="P2762" s="4">
        <v>0.15</v>
      </c>
      <c r="Q2762" s="3" t="s">
        <v>1597</v>
      </c>
      <c r="R2762" s="3" t="s">
        <v>1598</v>
      </c>
      <c r="S2762" s="3" t="s">
        <v>1599</v>
      </c>
      <c r="T2762" s="3"/>
    </row>
    <row r="2763" spans="1:20">
      <c r="A2763" s="3" t="s">
        <v>1594</v>
      </c>
      <c r="B2763" s="3" t="s">
        <v>1612</v>
      </c>
      <c r="C2763" s="3" t="s">
        <v>1596</v>
      </c>
      <c r="D2763" s="3" t="s">
        <v>1364</v>
      </c>
      <c r="E2763" s="3" t="s">
        <v>1365</v>
      </c>
      <c r="F2763" s="2">
        <v>1</v>
      </c>
      <c r="G2763" s="4">
        <v>1.0923685084039954</v>
      </c>
      <c r="H2763" s="2">
        <v>50</v>
      </c>
      <c r="I2763" s="2">
        <v>5</v>
      </c>
      <c r="J2763" s="2">
        <v>16</v>
      </c>
      <c r="K2763" s="4">
        <v>0.18417420180072108</v>
      </c>
      <c r="L2763" s="4">
        <v>2.3712282840597378E-2</v>
      </c>
      <c r="M2763" s="4">
        <v>2.3712282840597378E-2</v>
      </c>
      <c r="N2763" s="10">
        <v>2.4E-2</v>
      </c>
      <c r="O2763" s="4">
        <v>0.12744566779537872</v>
      </c>
      <c r="P2763" s="4">
        <v>0.13</v>
      </c>
      <c r="Q2763" s="3" t="s">
        <v>1597</v>
      </c>
      <c r="R2763" s="3" t="s">
        <v>1613</v>
      </c>
      <c r="S2763" s="3" t="s">
        <v>1614</v>
      </c>
      <c r="T2763" s="3"/>
    </row>
    <row r="2764" spans="1:20">
      <c r="A2764" s="3" t="s">
        <v>1600</v>
      </c>
      <c r="B2764" s="3" t="s">
        <v>1601</v>
      </c>
      <c r="C2764" s="3" t="s">
        <v>1596</v>
      </c>
      <c r="D2764" s="3" t="s">
        <v>1364</v>
      </c>
      <c r="E2764" s="3" t="s">
        <v>1365</v>
      </c>
      <c r="F2764" s="2">
        <v>1</v>
      </c>
      <c r="G2764" s="4">
        <v>1.0923685084039954</v>
      </c>
      <c r="H2764" s="2">
        <v>25</v>
      </c>
      <c r="I2764" s="2">
        <v>5</v>
      </c>
      <c r="J2764" s="2">
        <v>1</v>
      </c>
      <c r="K2764" s="4">
        <v>0</v>
      </c>
      <c r="L2764" s="4">
        <v>0</v>
      </c>
      <c r="M2764" s="4">
        <v>0</v>
      </c>
      <c r="N2764" s="10">
        <v>0</v>
      </c>
      <c r="O2764" s="4">
        <v>0</v>
      </c>
      <c r="P2764" s="4">
        <v>0</v>
      </c>
      <c r="Q2764" s="3" t="s">
        <v>1617</v>
      </c>
      <c r="R2764" s="3" t="s">
        <v>1618</v>
      </c>
      <c r="S2764" s="3" t="s">
        <v>1619</v>
      </c>
      <c r="T2764" s="3"/>
    </row>
    <row r="2765" spans="1:20">
      <c r="A2765" s="3" t="s">
        <v>1600</v>
      </c>
      <c r="B2765" s="3" t="s">
        <v>1606</v>
      </c>
      <c r="C2765" s="3" t="s">
        <v>1616</v>
      </c>
      <c r="D2765" s="3" t="s">
        <v>1364</v>
      </c>
      <c r="E2765" s="3" t="s">
        <v>1365</v>
      </c>
      <c r="F2765" s="2">
        <v>1</v>
      </c>
      <c r="G2765" s="4">
        <v>1.0923685084039954</v>
      </c>
      <c r="H2765" s="2">
        <v>25</v>
      </c>
      <c r="I2765" s="2">
        <v>5</v>
      </c>
      <c r="J2765" s="2">
        <v>1</v>
      </c>
      <c r="K2765" s="4">
        <v>0</v>
      </c>
      <c r="L2765" s="4">
        <v>0</v>
      </c>
      <c r="M2765" s="4">
        <v>0</v>
      </c>
      <c r="N2765" s="10">
        <v>0</v>
      </c>
      <c r="O2765" s="4">
        <v>0</v>
      </c>
      <c r="P2765" s="4">
        <v>0</v>
      </c>
      <c r="Q2765" s="3" t="s">
        <v>1617</v>
      </c>
      <c r="R2765" s="3" t="s">
        <v>1621</v>
      </c>
      <c r="S2765" s="3" t="s">
        <v>1622</v>
      </c>
      <c r="T2765" s="3"/>
    </row>
    <row r="2766" spans="1:20">
      <c r="A2766" s="3" t="s">
        <v>1605</v>
      </c>
      <c r="B2766" s="3" t="s">
        <v>1601</v>
      </c>
      <c r="C2766" s="3" t="s">
        <v>1596</v>
      </c>
      <c r="D2766" s="3" t="s">
        <v>1364</v>
      </c>
      <c r="E2766" s="3" t="s">
        <v>1365</v>
      </c>
      <c r="F2766" s="2">
        <v>1</v>
      </c>
      <c r="G2766" s="4">
        <v>1.0923685084039954</v>
      </c>
      <c r="H2766" s="2">
        <v>25</v>
      </c>
      <c r="I2766" s="2">
        <v>5</v>
      </c>
      <c r="J2766" s="2">
        <v>16</v>
      </c>
      <c r="K2766" s="4">
        <v>0.11831941039912475</v>
      </c>
      <c r="L2766" s="4">
        <v>-1.6717326259877346E-2</v>
      </c>
      <c r="M2766" s="4">
        <v>1.6717326259877346E-2</v>
      </c>
      <c r="N2766" s="10">
        <v>1.7000000000000001E-2</v>
      </c>
      <c r="O2766" s="4">
        <v>8.2891161950847864E-2</v>
      </c>
      <c r="P2766" s="4">
        <v>-0.08</v>
      </c>
      <c r="Q2766" s="3" t="s">
        <v>1617</v>
      </c>
      <c r="R2766" s="3" t="s">
        <v>1618</v>
      </c>
      <c r="S2766" s="3" t="s">
        <v>1619</v>
      </c>
      <c r="T2766" s="3"/>
    </row>
    <row r="2767" spans="1:20">
      <c r="A2767" s="3" t="s">
        <v>1604</v>
      </c>
      <c r="B2767" s="3" t="s">
        <v>1601</v>
      </c>
      <c r="C2767" s="3" t="s">
        <v>1596</v>
      </c>
      <c r="D2767" s="3" t="s">
        <v>1364</v>
      </c>
      <c r="E2767" s="3" t="s">
        <v>1365</v>
      </c>
      <c r="F2767" s="2">
        <v>1</v>
      </c>
      <c r="G2767" s="4">
        <v>1.0923685084039954</v>
      </c>
      <c r="H2767" s="2">
        <v>25</v>
      </c>
      <c r="I2767" s="2">
        <v>30</v>
      </c>
      <c r="J2767" s="2">
        <v>16</v>
      </c>
      <c r="K2767" s="4">
        <v>0.18856232097670922</v>
      </c>
      <c r="L2767" s="4">
        <v>-2.2421790399046262E-2</v>
      </c>
      <c r="M2767" s="4">
        <v>2.2421790399046262E-2</v>
      </c>
      <c r="N2767" s="10">
        <v>2.1999999999999999E-2</v>
      </c>
      <c r="O2767" s="4">
        <v>0.11118444431636516</v>
      </c>
      <c r="P2767" s="4">
        <v>-0.11</v>
      </c>
      <c r="Q2767" s="3" t="s">
        <v>1617</v>
      </c>
      <c r="R2767" s="3" t="s">
        <v>1618</v>
      </c>
      <c r="S2767" s="3" t="s">
        <v>1619</v>
      </c>
      <c r="T2767" s="3"/>
    </row>
    <row r="2768" spans="1:20">
      <c r="A2768" s="3" t="s">
        <v>1600</v>
      </c>
      <c r="B2768" s="3" t="s">
        <v>1606</v>
      </c>
      <c r="C2768" s="3" t="s">
        <v>1616</v>
      </c>
      <c r="D2768" s="3" t="s">
        <v>1364</v>
      </c>
      <c r="E2768" s="3" t="s">
        <v>1365</v>
      </c>
      <c r="F2768" s="2">
        <v>1</v>
      </c>
      <c r="G2768" s="4">
        <v>1.0923685084039954</v>
      </c>
      <c r="H2768" s="2">
        <v>25</v>
      </c>
      <c r="I2768" s="2">
        <v>5</v>
      </c>
      <c r="J2768" s="2">
        <v>16</v>
      </c>
      <c r="K2768" s="4">
        <v>0.2432518754933537</v>
      </c>
      <c r="L2768" s="4">
        <v>-3.9354027540941992E-2</v>
      </c>
      <c r="M2768" s="4">
        <v>3.9354027540941992E-2</v>
      </c>
      <c r="N2768" s="10">
        <v>3.9E-2</v>
      </c>
      <c r="O2768" s="4">
        <v>0.19521558468080599</v>
      </c>
      <c r="P2768" s="4">
        <v>-0.19</v>
      </c>
      <c r="Q2768" s="3" t="s">
        <v>1617</v>
      </c>
      <c r="R2768" s="3" t="s">
        <v>1621</v>
      </c>
      <c r="S2768" s="3" t="s">
        <v>1622</v>
      </c>
      <c r="T2768" s="3"/>
    </row>
    <row r="2769" spans="1:20">
      <c r="A2769" s="3" t="s">
        <v>1600</v>
      </c>
      <c r="B2769" s="3" t="s">
        <v>1606</v>
      </c>
      <c r="C2769" s="3" t="s">
        <v>1596</v>
      </c>
      <c r="D2769" s="3" t="s">
        <v>1364</v>
      </c>
      <c r="E2769" s="3" t="s">
        <v>1365</v>
      </c>
      <c r="F2769" s="2">
        <v>1</v>
      </c>
      <c r="G2769" s="4">
        <v>1.0923685084039954</v>
      </c>
      <c r="H2769" s="2">
        <v>25</v>
      </c>
      <c r="I2769" s="2">
        <v>5</v>
      </c>
      <c r="J2769" s="2">
        <v>16</v>
      </c>
      <c r="K2769" s="4">
        <v>1</v>
      </c>
      <c r="L2769" s="4">
        <v>-4.5609857629228832E-2</v>
      </c>
      <c r="M2769" s="4">
        <v>4.5609857629228832E-2</v>
      </c>
      <c r="N2769" s="10">
        <v>4.5999999999999999E-2</v>
      </c>
      <c r="O2769" s="4">
        <v>0.22628777059715374</v>
      </c>
      <c r="P2769" s="4">
        <v>-0.23</v>
      </c>
      <c r="Q2769" s="3" t="s">
        <v>1617</v>
      </c>
      <c r="R2769" s="3" t="s">
        <v>1621</v>
      </c>
      <c r="S2769" s="3" t="s">
        <v>1622</v>
      </c>
      <c r="T2769" s="3"/>
    </row>
    <row r="2770" spans="1:20">
      <c r="A2770" s="3" t="s">
        <v>1600</v>
      </c>
      <c r="B2770" s="3" t="s">
        <v>1601</v>
      </c>
      <c r="C2770" s="3" t="s">
        <v>1616</v>
      </c>
      <c r="D2770" s="3" t="s">
        <v>1364</v>
      </c>
      <c r="E2770" s="3" t="s">
        <v>1365</v>
      </c>
      <c r="F2770" s="2">
        <v>1</v>
      </c>
      <c r="G2770" s="4">
        <v>1.0923685084039954</v>
      </c>
      <c r="H2770" s="2">
        <v>25</v>
      </c>
      <c r="I2770" s="2">
        <v>5</v>
      </c>
      <c r="J2770" s="2">
        <v>1</v>
      </c>
      <c r="K2770" s="4">
        <v>6.7767428031041743E-2</v>
      </c>
      <c r="L2770" s="4">
        <v>-5.2042593486959658E-2</v>
      </c>
      <c r="M2770" s="4">
        <v>5.2042593486959658E-2</v>
      </c>
      <c r="N2770" s="10">
        <v>5.1999999999999998E-2</v>
      </c>
      <c r="O2770" s="4">
        <v>0.25825719194184965</v>
      </c>
      <c r="P2770" s="4">
        <v>-0.26</v>
      </c>
      <c r="Q2770" s="3" t="s">
        <v>1617</v>
      </c>
      <c r="R2770" s="3" t="s">
        <v>1618</v>
      </c>
      <c r="S2770" s="3" t="s">
        <v>1619</v>
      </c>
      <c r="T2770" s="3"/>
    </row>
    <row r="2771" spans="1:20">
      <c r="A2771" s="3" t="s">
        <v>1600</v>
      </c>
      <c r="B2771" s="3" t="s">
        <v>1606</v>
      </c>
      <c r="C2771" s="3" t="s">
        <v>1596</v>
      </c>
      <c r="D2771" s="3" t="s">
        <v>1364</v>
      </c>
      <c r="E2771" s="3" t="s">
        <v>1365</v>
      </c>
      <c r="F2771" s="2">
        <v>1</v>
      </c>
      <c r="G2771" s="4">
        <v>1.0923685084039954</v>
      </c>
      <c r="H2771" s="2">
        <v>25</v>
      </c>
      <c r="I2771" s="2">
        <v>5</v>
      </c>
      <c r="J2771" s="2">
        <v>1</v>
      </c>
      <c r="K2771" s="4">
        <v>0.10543459841054037</v>
      </c>
      <c r="L2771" s="4">
        <v>-6.7533975650028139E-2</v>
      </c>
      <c r="M2771" s="4">
        <v>6.7533975650028139E-2</v>
      </c>
      <c r="N2771" s="10">
        <v>6.8000000000000005E-2</v>
      </c>
      <c r="O2771" s="4">
        <v>0.33533958408810965</v>
      </c>
      <c r="P2771" s="4">
        <v>-0.34</v>
      </c>
      <c r="Q2771" s="3" t="s">
        <v>1617</v>
      </c>
      <c r="R2771" s="3" t="s">
        <v>1621</v>
      </c>
      <c r="S2771" s="3" t="s">
        <v>1622</v>
      </c>
      <c r="T2771" s="3"/>
    </row>
    <row r="2772" spans="1:20">
      <c r="A2772" s="3" t="s">
        <v>1600</v>
      </c>
      <c r="B2772" s="3" t="s">
        <v>1601</v>
      </c>
      <c r="C2772" s="3" t="s">
        <v>1616</v>
      </c>
      <c r="D2772" s="3" t="s">
        <v>1364</v>
      </c>
      <c r="E2772" s="3" t="s">
        <v>1365</v>
      </c>
      <c r="F2772" s="2">
        <v>1</v>
      </c>
      <c r="G2772" s="4">
        <v>1.0923685084039954</v>
      </c>
      <c r="H2772" s="2">
        <v>25</v>
      </c>
      <c r="I2772" s="2">
        <v>5</v>
      </c>
      <c r="J2772" s="2">
        <v>16</v>
      </c>
      <c r="K2772" s="4">
        <v>0.54398418109283475</v>
      </c>
      <c r="L2772" s="4">
        <v>-9.6030249463552209E-2</v>
      </c>
      <c r="M2772" s="4">
        <v>9.6030249463552209E-2</v>
      </c>
      <c r="N2772" s="10">
        <v>9.6000000000000002E-2</v>
      </c>
      <c r="O2772" s="4">
        <v>0.47758355364838634</v>
      </c>
      <c r="P2772" s="4">
        <v>-0.48</v>
      </c>
      <c r="Q2772" s="3" t="s">
        <v>1617</v>
      </c>
      <c r="R2772" s="3" t="s">
        <v>1618</v>
      </c>
      <c r="S2772" s="3" t="s">
        <v>1619</v>
      </c>
      <c r="T2772" s="3"/>
    </row>
    <row r="2773" spans="1:20">
      <c r="A2773" s="3" t="s">
        <v>1600</v>
      </c>
      <c r="B2773" s="3" t="s">
        <v>1601</v>
      </c>
      <c r="C2773" s="3" t="s">
        <v>1596</v>
      </c>
      <c r="D2773" s="3" t="s">
        <v>1364</v>
      </c>
      <c r="E2773" s="3" t="s">
        <v>1365</v>
      </c>
      <c r="F2773" s="2">
        <v>1</v>
      </c>
      <c r="G2773" s="4">
        <v>1.0923685084039954</v>
      </c>
      <c r="H2773" s="2">
        <v>25</v>
      </c>
      <c r="I2773" s="2">
        <v>5</v>
      </c>
      <c r="J2773" s="2">
        <v>16</v>
      </c>
      <c r="K2773" s="4">
        <v>7.0309799544324703E-2</v>
      </c>
      <c r="L2773" s="4">
        <v>-0.10174425443068193</v>
      </c>
      <c r="M2773" s="4">
        <v>0.10174425443068193</v>
      </c>
      <c r="N2773" s="10">
        <v>0.10199999999999999</v>
      </c>
      <c r="O2773" s="4">
        <v>0.50619307105705957</v>
      </c>
      <c r="P2773" s="4">
        <v>-0.51</v>
      </c>
      <c r="Q2773" s="3" t="s">
        <v>1617</v>
      </c>
      <c r="R2773" s="3" t="s">
        <v>1618</v>
      </c>
      <c r="S2773" s="3" t="s">
        <v>1619</v>
      </c>
      <c r="T2773" s="3"/>
    </row>
    <row r="2774" spans="1:20">
      <c r="A2774" s="3" t="s">
        <v>1594</v>
      </c>
      <c r="B2774" s="3" t="s">
        <v>1595</v>
      </c>
      <c r="C2774" s="3" t="s">
        <v>1596</v>
      </c>
      <c r="D2774" s="3" t="s">
        <v>1364</v>
      </c>
      <c r="E2774" s="3" t="s">
        <v>1365</v>
      </c>
      <c r="F2774" s="2">
        <v>1</v>
      </c>
      <c r="G2774" s="4">
        <v>1.0923685084039954</v>
      </c>
      <c r="H2774" s="2">
        <v>50</v>
      </c>
      <c r="I2774" s="2">
        <v>5</v>
      </c>
      <c r="J2774" s="2">
        <v>16</v>
      </c>
      <c r="K2774" s="4">
        <v>0.18088465374982143</v>
      </c>
      <c r="L2774" s="4">
        <v>-0.10895506685205736</v>
      </c>
      <c r="M2774" s="4">
        <v>0.10895506685205736</v>
      </c>
      <c r="N2774" s="10">
        <v>0.109</v>
      </c>
      <c r="O2774" s="4">
        <v>0.58782108977245717</v>
      </c>
      <c r="P2774" s="4">
        <v>-0.59</v>
      </c>
      <c r="Q2774" s="3" t="s">
        <v>1617</v>
      </c>
      <c r="R2774" s="3" t="s">
        <v>1625</v>
      </c>
      <c r="S2774" s="3" t="s">
        <v>1626</v>
      </c>
      <c r="T2774" s="3"/>
    </row>
    <row r="2775" spans="1:20">
      <c r="A2775" s="3" t="s">
        <v>1604</v>
      </c>
      <c r="B2775" s="3" t="s">
        <v>1601</v>
      </c>
      <c r="C2775" s="3" t="s">
        <v>1616</v>
      </c>
      <c r="D2775" s="3" t="s">
        <v>1364</v>
      </c>
      <c r="E2775" s="3" t="s">
        <v>1365</v>
      </c>
      <c r="F2775" s="2">
        <v>1</v>
      </c>
      <c r="G2775" s="4">
        <v>1.0923685084039954</v>
      </c>
      <c r="H2775" s="2">
        <v>25</v>
      </c>
      <c r="I2775" s="2">
        <v>30</v>
      </c>
      <c r="J2775" s="2">
        <v>16</v>
      </c>
      <c r="K2775" s="4">
        <v>0.95799246888309175</v>
      </c>
      <c r="L2775" s="4">
        <v>-0.10957163974742687</v>
      </c>
      <c r="M2775" s="4">
        <v>0.10957163974742687</v>
      </c>
      <c r="N2775" s="10">
        <v>0.11</v>
      </c>
      <c r="O2775" s="4">
        <v>0.54543908554841825</v>
      </c>
      <c r="P2775" s="4">
        <v>-0.55000000000000004</v>
      </c>
      <c r="Q2775" s="3" t="s">
        <v>1617</v>
      </c>
      <c r="R2775" s="3" t="s">
        <v>1618</v>
      </c>
      <c r="S2775" s="3" t="s">
        <v>1619</v>
      </c>
      <c r="T2775" s="3"/>
    </row>
    <row r="2776" spans="1:20">
      <c r="A2776" s="3" t="s">
        <v>1600</v>
      </c>
      <c r="B2776" s="3" t="s">
        <v>1609</v>
      </c>
      <c r="C2776" s="3" t="s">
        <v>1616</v>
      </c>
      <c r="D2776" s="3" t="s">
        <v>1364</v>
      </c>
      <c r="E2776" s="3" t="s">
        <v>1365</v>
      </c>
      <c r="F2776" s="2">
        <v>1</v>
      </c>
      <c r="G2776" s="4">
        <v>1.0923685084039954</v>
      </c>
      <c r="H2776" s="2">
        <v>25</v>
      </c>
      <c r="I2776" s="2">
        <v>5</v>
      </c>
      <c r="J2776" s="2">
        <v>1</v>
      </c>
      <c r="K2776" s="4">
        <v>5.172416059792817E-2</v>
      </c>
      <c r="L2776" s="4">
        <v>-0.21114854937606523</v>
      </c>
      <c r="M2776" s="4">
        <v>0.21114854937606523</v>
      </c>
      <c r="N2776" s="10">
        <v>0.21099999999999999</v>
      </c>
      <c r="O2776" s="4">
        <v>1.0628486190705935</v>
      </c>
      <c r="P2776" s="4">
        <v>-1.06</v>
      </c>
      <c r="Q2776" s="3" t="s">
        <v>1617</v>
      </c>
      <c r="R2776" s="3" t="s">
        <v>1623</v>
      </c>
      <c r="S2776" s="3" t="s">
        <v>1624</v>
      </c>
      <c r="T2776" s="3"/>
    </row>
    <row r="2777" spans="1:20">
      <c r="A2777" s="3" t="s">
        <v>1600</v>
      </c>
      <c r="B2777" s="3" t="s">
        <v>1609</v>
      </c>
      <c r="C2777" s="3" t="s">
        <v>1596</v>
      </c>
      <c r="D2777" s="3" t="s">
        <v>1364</v>
      </c>
      <c r="E2777" s="3" t="s">
        <v>1365</v>
      </c>
      <c r="F2777" s="2">
        <v>1</v>
      </c>
      <c r="G2777" s="4">
        <v>1.0923685084039954</v>
      </c>
      <c r="H2777" s="2">
        <v>25</v>
      </c>
      <c r="I2777" s="2">
        <v>5</v>
      </c>
      <c r="J2777" s="2">
        <v>1</v>
      </c>
      <c r="K2777" s="4">
        <v>3.08462096021902E-2</v>
      </c>
      <c r="L2777" s="4">
        <v>-0.25630765958578156</v>
      </c>
      <c r="M2777" s="4">
        <v>0.25630765958578156</v>
      </c>
      <c r="N2777" s="10">
        <v>0.25600000000000001</v>
      </c>
      <c r="O2777" s="4">
        <v>1.2997350137733086</v>
      </c>
      <c r="P2777" s="4">
        <v>-1.3</v>
      </c>
      <c r="Q2777" s="3" t="s">
        <v>1617</v>
      </c>
      <c r="R2777" s="3" t="s">
        <v>1623</v>
      </c>
      <c r="S2777" s="3" t="s">
        <v>1624</v>
      </c>
      <c r="T2777" s="3"/>
    </row>
    <row r="2778" spans="1:20">
      <c r="A2778" s="3" t="s">
        <v>1600</v>
      </c>
      <c r="B2778" s="3" t="s">
        <v>1609</v>
      </c>
      <c r="C2778" s="3" t="s">
        <v>1596</v>
      </c>
      <c r="D2778" s="3" t="s">
        <v>1364</v>
      </c>
      <c r="E2778" s="3" t="s">
        <v>1365</v>
      </c>
      <c r="F2778" s="2">
        <v>1</v>
      </c>
      <c r="G2778" s="4">
        <v>1.0923685084039954</v>
      </c>
      <c r="H2778" s="2">
        <v>25</v>
      </c>
      <c r="I2778" s="2">
        <v>5</v>
      </c>
      <c r="J2778" s="2">
        <v>16</v>
      </c>
      <c r="K2778" s="4">
        <v>0.25382919082952959</v>
      </c>
      <c r="L2778" s="4">
        <v>-0.31398388636586694</v>
      </c>
      <c r="M2778" s="4">
        <v>0.31398388636586694</v>
      </c>
      <c r="N2778" s="10">
        <v>0.314</v>
      </c>
      <c r="O2778" s="4">
        <v>1.6111255902045631</v>
      </c>
      <c r="P2778" s="4">
        <v>-1.61</v>
      </c>
      <c r="Q2778" s="3" t="s">
        <v>1617</v>
      </c>
      <c r="R2778" s="3" t="s">
        <v>1623</v>
      </c>
      <c r="S2778" s="3" t="s">
        <v>1624</v>
      </c>
      <c r="T2778" s="3"/>
    </row>
    <row r="2779" spans="1:20">
      <c r="A2779" s="3" t="s">
        <v>1600</v>
      </c>
      <c r="B2779" s="3" t="s">
        <v>1609</v>
      </c>
      <c r="C2779" s="3" t="s">
        <v>1616</v>
      </c>
      <c r="D2779" s="3" t="s">
        <v>1364</v>
      </c>
      <c r="E2779" s="3" t="s">
        <v>1365</v>
      </c>
      <c r="F2779" s="2">
        <v>1</v>
      </c>
      <c r="G2779" s="4">
        <v>1.0923685084039954</v>
      </c>
      <c r="H2779" s="2">
        <v>25</v>
      </c>
      <c r="I2779" s="2">
        <v>5</v>
      </c>
      <c r="J2779" s="2">
        <v>16</v>
      </c>
      <c r="K2779" s="4">
        <v>6.6567665770662532E-2</v>
      </c>
      <c r="L2779" s="4">
        <v>-0.33038090934270181</v>
      </c>
      <c r="M2779" s="4">
        <v>0.33038090934270181</v>
      </c>
      <c r="N2779" s="10">
        <v>0.33</v>
      </c>
      <c r="O2779" s="4">
        <v>1.7018402815062716</v>
      </c>
      <c r="P2779" s="4">
        <v>-1.7</v>
      </c>
      <c r="Q2779" s="3" t="s">
        <v>1617</v>
      </c>
      <c r="R2779" s="3" t="s">
        <v>1623</v>
      </c>
      <c r="S2779" s="3" t="s">
        <v>1624</v>
      </c>
      <c r="T2779" s="3"/>
    </row>
    <row r="2780" spans="1:20">
      <c r="A2780" s="3" t="s">
        <v>1600</v>
      </c>
      <c r="B2780" s="3" t="s">
        <v>1606</v>
      </c>
      <c r="C2780" s="3" t="s">
        <v>1596</v>
      </c>
      <c r="D2780" s="3" t="s">
        <v>476</v>
      </c>
      <c r="E2780" s="3" t="s">
        <v>477</v>
      </c>
      <c r="F2780" s="2">
        <v>1</v>
      </c>
      <c r="G2780" s="4">
        <v>1.0929247503006849</v>
      </c>
      <c r="H2780" s="2">
        <v>25</v>
      </c>
      <c r="I2780" s="2">
        <v>5</v>
      </c>
      <c r="J2780" s="2">
        <v>1</v>
      </c>
      <c r="K2780" s="11">
        <v>0.93546889894260954</v>
      </c>
      <c r="L2780" s="11">
        <v>1</v>
      </c>
      <c r="M2780" s="4">
        <v>1</v>
      </c>
      <c r="N2780" s="10">
        <v>0.995</v>
      </c>
      <c r="O2780" s="4">
        <v>14.85</v>
      </c>
      <c r="P2780" s="4">
        <v>14.85</v>
      </c>
      <c r="Q2780" s="3" t="s">
        <v>1597</v>
      </c>
      <c r="R2780" s="3" t="s">
        <v>1607</v>
      </c>
      <c r="S2780" s="3" t="s">
        <v>1608</v>
      </c>
      <c r="T2780" s="3"/>
    </row>
    <row r="2781" spans="1:20">
      <c r="A2781" s="3" t="s">
        <v>1600</v>
      </c>
      <c r="B2781" s="3" t="s">
        <v>1606</v>
      </c>
      <c r="C2781" s="3" t="s">
        <v>1596</v>
      </c>
      <c r="D2781" s="3" t="s">
        <v>476</v>
      </c>
      <c r="E2781" s="3" t="s">
        <v>477</v>
      </c>
      <c r="F2781" s="2">
        <v>1</v>
      </c>
      <c r="G2781" s="4">
        <v>1.0929247503006849</v>
      </c>
      <c r="H2781" s="2">
        <v>25</v>
      </c>
      <c r="I2781" s="2">
        <v>5</v>
      </c>
      <c r="J2781" s="2">
        <v>16</v>
      </c>
      <c r="K2781" s="11">
        <v>1</v>
      </c>
      <c r="L2781" s="11">
        <v>1</v>
      </c>
      <c r="M2781" s="4">
        <v>1</v>
      </c>
      <c r="N2781" s="10">
        <v>0.995</v>
      </c>
      <c r="O2781" s="4">
        <v>14.85</v>
      </c>
      <c r="P2781" s="4">
        <v>14.85</v>
      </c>
      <c r="Q2781" s="3" t="s">
        <v>1597</v>
      </c>
      <c r="R2781" s="3" t="s">
        <v>1607</v>
      </c>
      <c r="S2781" s="3" t="s">
        <v>1608</v>
      </c>
      <c r="T2781" s="3"/>
    </row>
    <row r="2782" spans="1:20">
      <c r="A2782" s="3" t="s">
        <v>1600</v>
      </c>
      <c r="B2782" s="3" t="s">
        <v>1609</v>
      </c>
      <c r="C2782" s="3" t="s">
        <v>1596</v>
      </c>
      <c r="D2782" s="3" t="s">
        <v>476</v>
      </c>
      <c r="E2782" s="3" t="s">
        <v>477</v>
      </c>
      <c r="F2782" s="2">
        <v>1</v>
      </c>
      <c r="G2782" s="4">
        <v>1.0929247503006849</v>
      </c>
      <c r="H2782" s="2">
        <v>25</v>
      </c>
      <c r="I2782" s="2">
        <v>5</v>
      </c>
      <c r="J2782" s="2">
        <v>1</v>
      </c>
      <c r="K2782" s="11">
        <v>1</v>
      </c>
      <c r="L2782" s="11">
        <v>1</v>
      </c>
      <c r="M2782" s="4">
        <v>1</v>
      </c>
      <c r="N2782" s="10">
        <v>0.995</v>
      </c>
      <c r="O2782" s="4">
        <v>14.85</v>
      </c>
      <c r="P2782" s="4">
        <v>14.85</v>
      </c>
      <c r="Q2782" s="3" t="s">
        <v>1597</v>
      </c>
      <c r="R2782" s="3" t="s">
        <v>1610</v>
      </c>
      <c r="S2782" s="3" t="s">
        <v>1611</v>
      </c>
      <c r="T2782" s="3"/>
    </row>
    <row r="2783" spans="1:20">
      <c r="A2783" s="3" t="s">
        <v>1600</v>
      </c>
      <c r="B2783" s="3" t="s">
        <v>1609</v>
      </c>
      <c r="C2783" s="3" t="s">
        <v>1596</v>
      </c>
      <c r="D2783" s="3" t="s">
        <v>476</v>
      </c>
      <c r="E2783" s="3" t="s">
        <v>477</v>
      </c>
      <c r="F2783" s="2">
        <v>1</v>
      </c>
      <c r="G2783" s="4">
        <v>1.0929247503006849</v>
      </c>
      <c r="H2783" s="2">
        <v>25</v>
      </c>
      <c r="I2783" s="2">
        <v>5</v>
      </c>
      <c r="J2783" s="2">
        <v>16</v>
      </c>
      <c r="K2783" s="4">
        <v>1</v>
      </c>
      <c r="L2783" s="4">
        <v>1</v>
      </c>
      <c r="M2783" s="4">
        <v>1</v>
      </c>
      <c r="N2783" s="10">
        <v>0.995</v>
      </c>
      <c r="O2783" s="4">
        <v>14.85</v>
      </c>
      <c r="P2783" s="4">
        <v>14.85</v>
      </c>
      <c r="Q2783" s="3" t="s">
        <v>1597</v>
      </c>
      <c r="R2783" s="3" t="s">
        <v>1610</v>
      </c>
      <c r="S2783" s="3" t="s">
        <v>1611</v>
      </c>
      <c r="T2783" s="3"/>
    </row>
    <row r="2784" spans="1:20">
      <c r="A2784" s="3" t="s">
        <v>1600</v>
      </c>
      <c r="B2784" s="3" t="s">
        <v>1606</v>
      </c>
      <c r="C2784" s="3" t="s">
        <v>1616</v>
      </c>
      <c r="D2784" s="3" t="s">
        <v>476</v>
      </c>
      <c r="E2784" s="3" t="s">
        <v>477</v>
      </c>
      <c r="F2784" s="2">
        <v>1</v>
      </c>
      <c r="G2784" s="4">
        <v>1.0929247503006849</v>
      </c>
      <c r="H2784" s="2">
        <v>25</v>
      </c>
      <c r="I2784" s="2">
        <v>5</v>
      </c>
      <c r="J2784" s="2">
        <v>1</v>
      </c>
      <c r="K2784" s="4">
        <v>1</v>
      </c>
      <c r="L2784" s="4">
        <v>1</v>
      </c>
      <c r="M2784" s="4">
        <v>1</v>
      </c>
      <c r="N2784" s="10">
        <v>0.995</v>
      </c>
      <c r="O2784" s="4">
        <v>14.85</v>
      </c>
      <c r="P2784" s="4">
        <v>14.85</v>
      </c>
      <c r="Q2784" s="3" t="s">
        <v>1597</v>
      </c>
      <c r="R2784" s="3" t="s">
        <v>1607</v>
      </c>
      <c r="S2784" s="3" t="s">
        <v>1608</v>
      </c>
      <c r="T2784" s="3"/>
    </row>
    <row r="2785" spans="1:20">
      <c r="A2785" s="3" t="s">
        <v>1600</v>
      </c>
      <c r="B2785" s="3" t="s">
        <v>1606</v>
      </c>
      <c r="C2785" s="3" t="s">
        <v>1616</v>
      </c>
      <c r="D2785" s="3" t="s">
        <v>476</v>
      </c>
      <c r="E2785" s="3" t="s">
        <v>477</v>
      </c>
      <c r="F2785" s="2">
        <v>1</v>
      </c>
      <c r="G2785" s="4">
        <v>1.0929247503006849</v>
      </c>
      <c r="H2785" s="2">
        <v>25</v>
      </c>
      <c r="I2785" s="2">
        <v>5</v>
      </c>
      <c r="J2785" s="2">
        <v>16</v>
      </c>
      <c r="K2785" s="11">
        <v>1</v>
      </c>
      <c r="L2785" s="11">
        <v>1</v>
      </c>
      <c r="M2785" s="4">
        <v>1</v>
      </c>
      <c r="N2785" s="10">
        <v>0.995</v>
      </c>
      <c r="O2785" s="4">
        <v>14.85</v>
      </c>
      <c r="P2785" s="4">
        <v>14.85</v>
      </c>
      <c r="Q2785" s="3" t="s">
        <v>1597</v>
      </c>
      <c r="R2785" s="3" t="s">
        <v>1607</v>
      </c>
      <c r="S2785" s="3" t="s">
        <v>1608</v>
      </c>
      <c r="T2785" s="3"/>
    </row>
    <row r="2786" spans="1:20">
      <c r="A2786" s="3" t="s">
        <v>1600</v>
      </c>
      <c r="B2786" s="3" t="s">
        <v>1609</v>
      </c>
      <c r="C2786" s="3" t="s">
        <v>1616</v>
      </c>
      <c r="D2786" s="3" t="s">
        <v>476</v>
      </c>
      <c r="E2786" s="3" t="s">
        <v>477</v>
      </c>
      <c r="F2786" s="2">
        <v>1</v>
      </c>
      <c r="G2786" s="4">
        <v>1.0929247503006849</v>
      </c>
      <c r="H2786" s="2">
        <v>25</v>
      </c>
      <c r="I2786" s="2">
        <v>5</v>
      </c>
      <c r="J2786" s="2">
        <v>1</v>
      </c>
      <c r="K2786" s="4">
        <v>1</v>
      </c>
      <c r="L2786" s="4">
        <v>1</v>
      </c>
      <c r="M2786" s="4">
        <v>1</v>
      </c>
      <c r="N2786" s="10">
        <v>0.995</v>
      </c>
      <c r="O2786" s="4">
        <v>14.85</v>
      </c>
      <c r="P2786" s="4">
        <v>14.85</v>
      </c>
      <c r="Q2786" s="3" t="s">
        <v>1597</v>
      </c>
      <c r="R2786" s="3" t="s">
        <v>1610</v>
      </c>
      <c r="S2786" s="3" t="s">
        <v>1611</v>
      </c>
      <c r="T2786" s="3"/>
    </row>
    <row r="2787" spans="1:20">
      <c r="A2787" s="3" t="s">
        <v>1600</v>
      </c>
      <c r="B2787" s="3" t="s">
        <v>1609</v>
      </c>
      <c r="C2787" s="3" t="s">
        <v>1616</v>
      </c>
      <c r="D2787" s="3" t="s">
        <v>476</v>
      </c>
      <c r="E2787" s="3" t="s">
        <v>477</v>
      </c>
      <c r="F2787" s="2">
        <v>1</v>
      </c>
      <c r="G2787" s="4">
        <v>1.0929247503006849</v>
      </c>
      <c r="H2787" s="2">
        <v>25</v>
      </c>
      <c r="I2787" s="2">
        <v>5</v>
      </c>
      <c r="J2787" s="2">
        <v>16</v>
      </c>
      <c r="K2787" s="11">
        <v>1</v>
      </c>
      <c r="L2787" s="11">
        <v>1</v>
      </c>
      <c r="M2787" s="4">
        <v>1</v>
      </c>
      <c r="N2787" s="10">
        <v>0.995</v>
      </c>
      <c r="O2787" s="4">
        <v>14.85</v>
      </c>
      <c r="P2787" s="4">
        <v>14.85</v>
      </c>
      <c r="Q2787" s="3" t="s">
        <v>1597</v>
      </c>
      <c r="R2787" s="3" t="s">
        <v>1610</v>
      </c>
      <c r="S2787" s="3" t="s">
        <v>1611</v>
      </c>
      <c r="T2787" s="3"/>
    </row>
    <row r="2788" spans="1:20">
      <c r="A2788" s="3" t="s">
        <v>1600</v>
      </c>
      <c r="B2788" s="3" t="s">
        <v>1601</v>
      </c>
      <c r="C2788" s="3" t="s">
        <v>1616</v>
      </c>
      <c r="D2788" s="3" t="s">
        <v>476</v>
      </c>
      <c r="E2788" s="3" t="s">
        <v>477</v>
      </c>
      <c r="F2788" s="2">
        <v>1</v>
      </c>
      <c r="G2788" s="4">
        <v>1.0929247503006849</v>
      </c>
      <c r="H2788" s="2">
        <v>25</v>
      </c>
      <c r="I2788" s="2">
        <v>5</v>
      </c>
      <c r="J2788" s="2">
        <v>16</v>
      </c>
      <c r="K2788" s="4">
        <v>1</v>
      </c>
      <c r="L2788" s="4">
        <v>0.99977032653054232</v>
      </c>
      <c r="M2788" s="4">
        <v>0.99977032653054232</v>
      </c>
      <c r="N2788" s="10">
        <v>0.995</v>
      </c>
      <c r="O2788" s="4">
        <v>22.488912449649685</v>
      </c>
      <c r="P2788" s="4">
        <v>14.85</v>
      </c>
      <c r="Q2788" s="3" t="s">
        <v>1597</v>
      </c>
      <c r="R2788" s="3" t="s">
        <v>1602</v>
      </c>
      <c r="S2788" s="3" t="s">
        <v>1603</v>
      </c>
      <c r="T2788" s="3"/>
    </row>
    <row r="2789" spans="1:20">
      <c r="A2789" s="3" t="s">
        <v>1600</v>
      </c>
      <c r="B2789" s="3" t="s">
        <v>1601</v>
      </c>
      <c r="C2789" s="3" t="s">
        <v>1596</v>
      </c>
      <c r="D2789" s="3" t="s">
        <v>476</v>
      </c>
      <c r="E2789" s="3" t="s">
        <v>477</v>
      </c>
      <c r="F2789" s="2">
        <v>1</v>
      </c>
      <c r="G2789" s="4">
        <v>1.0929247503006849</v>
      </c>
      <c r="H2789" s="2">
        <v>25</v>
      </c>
      <c r="I2789" s="2">
        <v>5</v>
      </c>
      <c r="J2789" s="2">
        <v>1</v>
      </c>
      <c r="K2789" s="4">
        <v>1</v>
      </c>
      <c r="L2789" s="4">
        <v>0.9991409241449003</v>
      </c>
      <c r="M2789" s="4">
        <v>0.9991409241449003</v>
      </c>
      <c r="N2789" s="10">
        <v>0.995</v>
      </c>
      <c r="O2789" s="4">
        <v>19.217880702102008</v>
      </c>
      <c r="P2789" s="4">
        <v>14.85</v>
      </c>
      <c r="Q2789" s="3" t="s">
        <v>1597</v>
      </c>
      <c r="R2789" s="3" t="s">
        <v>1602</v>
      </c>
      <c r="S2789" s="3" t="s">
        <v>1603</v>
      </c>
      <c r="T2789" s="3"/>
    </row>
    <row r="2790" spans="1:20">
      <c r="A2790" s="3" t="s">
        <v>1600</v>
      </c>
      <c r="B2790" s="3" t="s">
        <v>1601</v>
      </c>
      <c r="C2790" s="3" t="s">
        <v>1596</v>
      </c>
      <c r="D2790" s="3" t="s">
        <v>476</v>
      </c>
      <c r="E2790" s="3" t="s">
        <v>477</v>
      </c>
      <c r="F2790" s="2">
        <v>1</v>
      </c>
      <c r="G2790" s="4">
        <v>1.0929247503006849</v>
      </c>
      <c r="H2790" s="2">
        <v>25</v>
      </c>
      <c r="I2790" s="2">
        <v>5</v>
      </c>
      <c r="J2790" s="2">
        <v>16</v>
      </c>
      <c r="K2790" s="4">
        <v>0.98160756283578798</v>
      </c>
      <c r="L2790" s="4">
        <v>0.99834942780962599</v>
      </c>
      <c r="M2790" s="4">
        <v>0.99834942780962599</v>
      </c>
      <c r="N2790" s="10">
        <v>0.995</v>
      </c>
      <c r="O2790" s="4">
        <v>17.598083081653762</v>
      </c>
      <c r="P2790" s="4">
        <v>14.85</v>
      </c>
      <c r="Q2790" s="3" t="s">
        <v>1597</v>
      </c>
      <c r="R2790" s="3" t="s">
        <v>1602</v>
      </c>
      <c r="S2790" s="3" t="s">
        <v>1603</v>
      </c>
      <c r="T2790" s="3"/>
    </row>
    <row r="2791" spans="1:20">
      <c r="A2791" s="3" t="s">
        <v>1600</v>
      </c>
      <c r="B2791" s="3" t="s">
        <v>1601</v>
      </c>
      <c r="C2791" s="3" t="s">
        <v>1616</v>
      </c>
      <c r="D2791" s="3" t="s">
        <v>476</v>
      </c>
      <c r="E2791" s="3" t="s">
        <v>477</v>
      </c>
      <c r="F2791" s="2">
        <v>1</v>
      </c>
      <c r="G2791" s="4">
        <v>1.0929247503006849</v>
      </c>
      <c r="H2791" s="2">
        <v>25</v>
      </c>
      <c r="I2791" s="2">
        <v>5</v>
      </c>
      <c r="J2791" s="2">
        <v>1</v>
      </c>
      <c r="K2791" s="4">
        <v>1</v>
      </c>
      <c r="L2791" s="4">
        <v>0.99749430445407206</v>
      </c>
      <c r="M2791" s="4">
        <v>0.99749430445407206</v>
      </c>
      <c r="N2791" s="10">
        <v>0.995</v>
      </c>
      <c r="O2791" s="4">
        <v>16.562190810884456</v>
      </c>
      <c r="P2791" s="4">
        <v>14.85</v>
      </c>
      <c r="Q2791" s="3" t="s">
        <v>1597</v>
      </c>
      <c r="R2791" s="3" t="s">
        <v>1602</v>
      </c>
      <c r="S2791" s="3" t="s">
        <v>1603</v>
      </c>
      <c r="T2791" s="3"/>
    </row>
    <row r="2792" spans="1:20">
      <c r="A2792" s="12" t="s">
        <v>1605</v>
      </c>
      <c r="B2792" s="3" t="s">
        <v>1601</v>
      </c>
      <c r="C2792" s="3" t="s">
        <v>1596</v>
      </c>
      <c r="D2792" s="3" t="s">
        <v>476</v>
      </c>
      <c r="E2792" s="3" t="s">
        <v>477</v>
      </c>
      <c r="F2792" s="2">
        <v>1</v>
      </c>
      <c r="G2792" s="4">
        <v>1.0929247503006849</v>
      </c>
      <c r="H2792" s="2">
        <v>25</v>
      </c>
      <c r="I2792" s="2">
        <v>5</v>
      </c>
      <c r="J2792" s="2">
        <v>16</v>
      </c>
      <c r="K2792" s="11">
        <v>1</v>
      </c>
      <c r="L2792" s="11">
        <v>0.99729798668343694</v>
      </c>
      <c r="M2792" s="4">
        <v>0.99729798668343694</v>
      </c>
      <c r="N2792" s="10">
        <v>0.995</v>
      </c>
      <c r="O2792" s="4">
        <v>16.374956586251944</v>
      </c>
      <c r="P2792" s="4">
        <v>14.85</v>
      </c>
      <c r="Q2792" s="3" t="s">
        <v>1597</v>
      </c>
      <c r="R2792" s="3" t="s">
        <v>1602</v>
      </c>
      <c r="S2792" s="3" t="s">
        <v>1603</v>
      </c>
      <c r="T2792" s="3"/>
    </row>
    <row r="2793" spans="1:20">
      <c r="A2793" s="3" t="s">
        <v>1604</v>
      </c>
      <c r="B2793" s="3" t="s">
        <v>1601</v>
      </c>
      <c r="C2793" s="3" t="s">
        <v>1616</v>
      </c>
      <c r="D2793" s="3" t="s">
        <v>476</v>
      </c>
      <c r="E2793" s="3" t="s">
        <v>477</v>
      </c>
      <c r="F2793" s="2">
        <v>1</v>
      </c>
      <c r="G2793" s="4">
        <v>1.0929247503006849</v>
      </c>
      <c r="H2793" s="2">
        <v>25</v>
      </c>
      <c r="I2793" s="2">
        <v>30</v>
      </c>
      <c r="J2793" s="2">
        <v>16</v>
      </c>
      <c r="K2793" s="4">
        <v>1</v>
      </c>
      <c r="L2793" s="4">
        <v>0.99671640813474949</v>
      </c>
      <c r="M2793" s="4">
        <v>0.99671640813474949</v>
      </c>
      <c r="N2793" s="10">
        <v>0.995</v>
      </c>
      <c r="O2793" s="4">
        <v>15.890982767615421</v>
      </c>
      <c r="P2793" s="4">
        <v>14.85</v>
      </c>
      <c r="Q2793" s="3" t="s">
        <v>1597</v>
      </c>
      <c r="R2793" s="3" t="s">
        <v>1602</v>
      </c>
      <c r="S2793" s="3" t="s">
        <v>1603</v>
      </c>
      <c r="T2793" s="3"/>
    </row>
    <row r="2794" spans="1:20">
      <c r="A2794" s="3" t="s">
        <v>1604</v>
      </c>
      <c r="B2794" s="3" t="s">
        <v>1601</v>
      </c>
      <c r="C2794" s="3" t="s">
        <v>1596</v>
      </c>
      <c r="D2794" s="3" t="s">
        <v>476</v>
      </c>
      <c r="E2794" s="3" t="s">
        <v>477</v>
      </c>
      <c r="F2794" s="2">
        <v>1</v>
      </c>
      <c r="G2794" s="4">
        <v>1.0929247503006849</v>
      </c>
      <c r="H2794" s="2">
        <v>25</v>
      </c>
      <c r="I2794" s="2">
        <v>30</v>
      </c>
      <c r="J2794" s="2">
        <v>16</v>
      </c>
      <c r="K2794" s="4">
        <v>1</v>
      </c>
      <c r="L2794" s="4">
        <v>0.99546366051516544</v>
      </c>
      <c r="M2794" s="4">
        <v>0.99546366051516544</v>
      </c>
      <c r="N2794" s="10">
        <v>0.995</v>
      </c>
      <c r="O2794" s="4">
        <v>15.088267828431764</v>
      </c>
      <c r="P2794" s="4">
        <v>14.85</v>
      </c>
      <c r="Q2794" s="3" t="s">
        <v>1597</v>
      </c>
      <c r="R2794" s="3" t="s">
        <v>1602</v>
      </c>
      <c r="S2794" s="3" t="s">
        <v>1603</v>
      </c>
      <c r="T2794" s="3"/>
    </row>
    <row r="2795" spans="1:20">
      <c r="A2795" s="3" t="s">
        <v>1594</v>
      </c>
      <c r="B2795" s="3" t="s">
        <v>1595</v>
      </c>
      <c r="C2795" s="3" t="s">
        <v>1596</v>
      </c>
      <c r="D2795" s="3" t="s">
        <v>476</v>
      </c>
      <c r="E2795" s="3" t="s">
        <v>477</v>
      </c>
      <c r="F2795" s="2">
        <v>1</v>
      </c>
      <c r="G2795" s="4">
        <v>1.0929247503006849</v>
      </c>
      <c r="H2795" s="2">
        <v>50</v>
      </c>
      <c r="I2795" s="2">
        <v>5</v>
      </c>
      <c r="J2795" s="2">
        <v>16</v>
      </c>
      <c r="K2795" s="4">
        <v>1</v>
      </c>
      <c r="L2795" s="14">
        <v>0.56190785242373131</v>
      </c>
      <c r="M2795" s="4">
        <v>0.56190785242373131</v>
      </c>
      <c r="N2795" s="10">
        <v>0.56200000000000006</v>
      </c>
      <c r="O2795" s="4">
        <v>3.4155906795751232</v>
      </c>
      <c r="P2795" s="4">
        <v>3.42</v>
      </c>
      <c r="Q2795" s="3" t="s">
        <v>1597</v>
      </c>
      <c r="R2795" s="3" t="s">
        <v>1598</v>
      </c>
      <c r="S2795" s="3" t="s">
        <v>1599</v>
      </c>
      <c r="T2795" s="3"/>
    </row>
    <row r="2796" spans="1:20">
      <c r="A2796" s="3" t="s">
        <v>1594</v>
      </c>
      <c r="B2796" s="3" t="s">
        <v>1612</v>
      </c>
      <c r="C2796" s="3" t="s">
        <v>1596</v>
      </c>
      <c r="D2796" s="3" t="s">
        <v>476</v>
      </c>
      <c r="E2796" s="3" t="s">
        <v>477</v>
      </c>
      <c r="F2796" s="2">
        <v>1</v>
      </c>
      <c r="G2796" s="4">
        <v>1.0929247503006849</v>
      </c>
      <c r="H2796" s="2">
        <v>50</v>
      </c>
      <c r="I2796" s="2">
        <v>5</v>
      </c>
      <c r="J2796" s="2">
        <v>16</v>
      </c>
      <c r="K2796" s="4">
        <v>0.38971403262370841</v>
      </c>
      <c r="L2796" s="14">
        <v>0.51351264052924828</v>
      </c>
      <c r="M2796" s="4">
        <v>0.51351264052924828</v>
      </c>
      <c r="N2796" s="10">
        <v>0.51400000000000001</v>
      </c>
      <c r="O2796" s="4">
        <v>3.0494925278887623</v>
      </c>
      <c r="P2796" s="4">
        <v>3.05</v>
      </c>
      <c r="Q2796" s="3" t="s">
        <v>1597</v>
      </c>
      <c r="R2796" s="3" t="s">
        <v>1613</v>
      </c>
      <c r="S2796" s="3" t="s">
        <v>1614</v>
      </c>
      <c r="T2796" s="3"/>
    </row>
    <row r="2797" spans="1:20">
      <c r="A2797" s="3" t="s">
        <v>1600</v>
      </c>
      <c r="B2797" s="3" t="s">
        <v>1606</v>
      </c>
      <c r="C2797" s="3" t="s">
        <v>1596</v>
      </c>
      <c r="D2797" s="3" t="s">
        <v>659</v>
      </c>
      <c r="E2797" s="3" t="s">
        <v>660</v>
      </c>
      <c r="F2797" s="2">
        <v>1</v>
      </c>
      <c r="G2797" s="4">
        <v>1.0933568037288177</v>
      </c>
      <c r="H2797" s="2">
        <v>25</v>
      </c>
      <c r="I2797" s="2">
        <v>5</v>
      </c>
      <c r="J2797" s="2">
        <v>16</v>
      </c>
      <c r="K2797" s="11">
        <v>1</v>
      </c>
      <c r="L2797" s="11">
        <v>0.42172087433556549</v>
      </c>
      <c r="M2797" s="4">
        <v>0.42172087433556549</v>
      </c>
      <c r="N2797" s="10">
        <v>0.42199999999999999</v>
      </c>
      <c r="O2797" s="4">
        <v>2.2299970513062433</v>
      </c>
      <c r="P2797" s="4">
        <v>2.23</v>
      </c>
      <c r="Q2797" s="3" t="s">
        <v>1597</v>
      </c>
      <c r="R2797" s="3" t="s">
        <v>1607</v>
      </c>
      <c r="S2797" s="3" t="s">
        <v>1608</v>
      </c>
      <c r="T2797" s="3"/>
    </row>
    <row r="2798" spans="1:20">
      <c r="A2798" s="3" t="s">
        <v>1594</v>
      </c>
      <c r="B2798" s="3" t="s">
        <v>1612</v>
      </c>
      <c r="C2798" s="3" t="s">
        <v>1596</v>
      </c>
      <c r="D2798" s="3" t="s">
        <v>659</v>
      </c>
      <c r="E2798" s="3" t="s">
        <v>660</v>
      </c>
      <c r="F2798" s="2">
        <v>1</v>
      </c>
      <c r="G2798" s="4">
        <v>1.0933568037288177</v>
      </c>
      <c r="H2798" s="2">
        <v>50</v>
      </c>
      <c r="I2798" s="2">
        <v>5</v>
      </c>
      <c r="J2798" s="2">
        <v>16</v>
      </c>
      <c r="K2798" s="4">
        <v>1</v>
      </c>
      <c r="L2798" s="14">
        <v>0.41142991790315797</v>
      </c>
      <c r="M2798" s="4">
        <v>0.41142991790315797</v>
      </c>
      <c r="N2798" s="10">
        <v>0.41099999999999998</v>
      </c>
      <c r="O2798" s="4">
        <v>2.3500702773019313</v>
      </c>
      <c r="P2798" s="4">
        <v>2.35</v>
      </c>
      <c r="Q2798" s="3" t="s">
        <v>1597</v>
      </c>
      <c r="R2798" s="3" t="s">
        <v>1613</v>
      </c>
      <c r="S2798" s="3" t="s">
        <v>1614</v>
      </c>
      <c r="T2798" s="3"/>
    </row>
    <row r="2799" spans="1:20">
      <c r="A2799" s="3" t="s">
        <v>1600</v>
      </c>
      <c r="B2799" s="3" t="s">
        <v>1606</v>
      </c>
      <c r="C2799" s="3" t="s">
        <v>1596</v>
      </c>
      <c r="D2799" s="3" t="s">
        <v>659</v>
      </c>
      <c r="E2799" s="3" t="s">
        <v>660</v>
      </c>
      <c r="F2799" s="2">
        <v>1</v>
      </c>
      <c r="G2799" s="4">
        <v>1.0933568037288177</v>
      </c>
      <c r="H2799" s="2">
        <v>25</v>
      </c>
      <c r="I2799" s="2">
        <v>5</v>
      </c>
      <c r="J2799" s="2">
        <v>1</v>
      </c>
      <c r="K2799" s="11">
        <v>1</v>
      </c>
      <c r="L2799" s="11">
        <v>0.38569341343026114</v>
      </c>
      <c r="M2799" s="4">
        <v>0.38569341343026114</v>
      </c>
      <c r="N2799" s="10">
        <v>0.38600000000000001</v>
      </c>
      <c r="O2799" s="4">
        <v>2.0165459699611343</v>
      </c>
      <c r="P2799" s="4">
        <v>2.02</v>
      </c>
      <c r="Q2799" s="3" t="s">
        <v>1597</v>
      </c>
      <c r="R2799" s="3" t="s">
        <v>1607</v>
      </c>
      <c r="S2799" s="3" t="s">
        <v>1608</v>
      </c>
      <c r="T2799" s="3"/>
    </row>
    <row r="2800" spans="1:20">
      <c r="A2800" s="3" t="s">
        <v>1600</v>
      </c>
      <c r="B2800" s="3" t="s">
        <v>1601</v>
      </c>
      <c r="C2800" s="3" t="s">
        <v>1596</v>
      </c>
      <c r="D2800" s="3" t="s">
        <v>659</v>
      </c>
      <c r="E2800" s="3" t="s">
        <v>660</v>
      </c>
      <c r="F2800" s="2">
        <v>1</v>
      </c>
      <c r="G2800" s="4">
        <v>1.0933568037288177</v>
      </c>
      <c r="H2800" s="2">
        <v>25</v>
      </c>
      <c r="I2800" s="2">
        <v>5</v>
      </c>
      <c r="J2800" s="2">
        <v>1</v>
      </c>
      <c r="K2800" s="4">
        <v>1</v>
      </c>
      <c r="L2800" s="4">
        <v>0.21082069129170297</v>
      </c>
      <c r="M2800" s="4">
        <v>0.21082069129170297</v>
      </c>
      <c r="N2800" s="10">
        <v>0.21099999999999999</v>
      </c>
      <c r="O2800" s="4">
        <v>1.0611473901673592</v>
      </c>
      <c r="P2800" s="4">
        <v>1.06</v>
      </c>
      <c r="Q2800" s="3" t="s">
        <v>1597</v>
      </c>
      <c r="R2800" s="3" t="s">
        <v>1602</v>
      </c>
      <c r="S2800" s="3" t="s">
        <v>1603</v>
      </c>
      <c r="T2800" s="3"/>
    </row>
    <row r="2801" spans="1:20">
      <c r="A2801" s="3" t="s">
        <v>1600</v>
      </c>
      <c r="B2801" s="3" t="s">
        <v>1601</v>
      </c>
      <c r="C2801" s="3" t="s">
        <v>1596</v>
      </c>
      <c r="D2801" s="3" t="s">
        <v>659</v>
      </c>
      <c r="E2801" s="3" t="s">
        <v>660</v>
      </c>
      <c r="F2801" s="2">
        <v>1</v>
      </c>
      <c r="G2801" s="4">
        <v>1.0933568037288177</v>
      </c>
      <c r="H2801" s="2">
        <v>25</v>
      </c>
      <c r="I2801" s="2">
        <v>5</v>
      </c>
      <c r="J2801" s="2">
        <v>16</v>
      </c>
      <c r="K2801" s="4">
        <v>1</v>
      </c>
      <c r="L2801" s="4">
        <v>0.18043071802700797</v>
      </c>
      <c r="M2801" s="4">
        <v>0.18043071802700797</v>
      </c>
      <c r="N2801" s="10">
        <v>0.18</v>
      </c>
      <c r="O2801" s="4">
        <v>0.90446574255064993</v>
      </c>
      <c r="P2801" s="4">
        <v>0.9</v>
      </c>
      <c r="Q2801" s="3" t="s">
        <v>1597</v>
      </c>
      <c r="R2801" s="3" t="s">
        <v>1602</v>
      </c>
      <c r="S2801" s="3" t="s">
        <v>1603</v>
      </c>
      <c r="T2801" s="3"/>
    </row>
    <row r="2802" spans="1:20">
      <c r="A2802" s="3" t="s">
        <v>1600</v>
      </c>
      <c r="B2802" s="3" t="s">
        <v>1609</v>
      </c>
      <c r="C2802" s="3" t="s">
        <v>1596</v>
      </c>
      <c r="D2802" s="3" t="s">
        <v>659</v>
      </c>
      <c r="E2802" s="3" t="s">
        <v>660</v>
      </c>
      <c r="F2802" s="2">
        <v>1</v>
      </c>
      <c r="G2802" s="4">
        <v>1.0933568037288177</v>
      </c>
      <c r="H2802" s="2">
        <v>25</v>
      </c>
      <c r="I2802" s="2">
        <v>5</v>
      </c>
      <c r="J2802" s="2">
        <v>16</v>
      </c>
      <c r="K2802" s="4">
        <v>1</v>
      </c>
      <c r="L2802" s="4">
        <v>0.17908804417792759</v>
      </c>
      <c r="M2802" s="4">
        <v>0.17908804417792759</v>
      </c>
      <c r="N2802" s="10">
        <v>0.17899999999999999</v>
      </c>
      <c r="O2802" s="4">
        <v>0.89758655987365743</v>
      </c>
      <c r="P2802" s="4">
        <v>0.9</v>
      </c>
      <c r="Q2802" s="3" t="s">
        <v>1597</v>
      </c>
      <c r="R2802" s="3" t="s">
        <v>1610</v>
      </c>
      <c r="S2802" s="3" t="s">
        <v>1611</v>
      </c>
      <c r="T2802" s="3"/>
    </row>
    <row r="2803" spans="1:20">
      <c r="A2803" s="3" t="s">
        <v>1600</v>
      </c>
      <c r="B2803" s="3" t="s">
        <v>1609</v>
      </c>
      <c r="C2803" s="3" t="s">
        <v>1596</v>
      </c>
      <c r="D2803" s="3" t="s">
        <v>659</v>
      </c>
      <c r="E2803" s="3" t="s">
        <v>660</v>
      </c>
      <c r="F2803" s="2">
        <v>1</v>
      </c>
      <c r="G2803" s="4">
        <v>1.0933568037288177</v>
      </c>
      <c r="H2803" s="2">
        <v>25</v>
      </c>
      <c r="I2803" s="2">
        <v>5</v>
      </c>
      <c r="J2803" s="2">
        <v>1</v>
      </c>
      <c r="K2803" s="11">
        <v>1</v>
      </c>
      <c r="L2803" s="11">
        <v>0.16843595508142595</v>
      </c>
      <c r="M2803" s="4">
        <v>0.16843595508142595</v>
      </c>
      <c r="N2803" s="10">
        <v>0.16800000000000001</v>
      </c>
      <c r="O2803" s="4">
        <v>0.84312936225289947</v>
      </c>
      <c r="P2803" s="4">
        <v>0.84</v>
      </c>
      <c r="Q2803" s="3" t="s">
        <v>1597</v>
      </c>
      <c r="R2803" s="3" t="s">
        <v>1610</v>
      </c>
      <c r="S2803" s="3" t="s">
        <v>1611</v>
      </c>
      <c r="T2803" s="3"/>
    </row>
    <row r="2804" spans="1:20">
      <c r="A2804" s="12" t="s">
        <v>1605</v>
      </c>
      <c r="B2804" s="3" t="s">
        <v>1601</v>
      </c>
      <c r="C2804" s="3" t="s">
        <v>1596</v>
      </c>
      <c r="D2804" s="3" t="s">
        <v>659</v>
      </c>
      <c r="E2804" s="3" t="s">
        <v>660</v>
      </c>
      <c r="F2804" s="2">
        <v>1</v>
      </c>
      <c r="G2804" s="4">
        <v>1.0933568037288177</v>
      </c>
      <c r="H2804" s="2">
        <v>25</v>
      </c>
      <c r="I2804" s="2">
        <v>5</v>
      </c>
      <c r="J2804" s="2">
        <v>16</v>
      </c>
      <c r="K2804" s="11">
        <v>1</v>
      </c>
      <c r="L2804" s="11">
        <v>7.8788236632682043E-2</v>
      </c>
      <c r="M2804" s="4">
        <v>7.8788236632682043E-2</v>
      </c>
      <c r="N2804" s="10">
        <v>7.9000000000000001E-2</v>
      </c>
      <c r="O2804" s="4">
        <v>0.39143836998607229</v>
      </c>
      <c r="P2804" s="4">
        <v>0.39</v>
      </c>
      <c r="Q2804" s="3" t="s">
        <v>1597</v>
      </c>
      <c r="R2804" s="3" t="s">
        <v>1602</v>
      </c>
      <c r="S2804" s="3" t="s">
        <v>1603</v>
      </c>
      <c r="T2804" s="3"/>
    </row>
    <row r="2805" spans="1:20">
      <c r="A2805" s="3" t="s">
        <v>1600</v>
      </c>
      <c r="B2805" s="3" t="s">
        <v>1606</v>
      </c>
      <c r="C2805" s="3" t="s">
        <v>1616</v>
      </c>
      <c r="D2805" s="3" t="s">
        <v>659</v>
      </c>
      <c r="E2805" s="3" t="s">
        <v>660</v>
      </c>
      <c r="F2805" s="2">
        <v>1</v>
      </c>
      <c r="G2805" s="4">
        <v>1.0933568037288177</v>
      </c>
      <c r="H2805" s="2">
        <v>25</v>
      </c>
      <c r="I2805" s="2">
        <v>5</v>
      </c>
      <c r="J2805" s="2">
        <v>16</v>
      </c>
      <c r="K2805" s="11">
        <v>1</v>
      </c>
      <c r="L2805" s="11">
        <v>1.5340403140937381E-2</v>
      </c>
      <c r="M2805" s="4">
        <v>1.5340403140937381E-2</v>
      </c>
      <c r="N2805" s="10">
        <v>1.4999999999999999E-2</v>
      </c>
      <c r="O2805" s="4">
        <v>7.6062709291532818E-2</v>
      </c>
      <c r="P2805" s="4">
        <v>7.0000000000000007E-2</v>
      </c>
      <c r="Q2805" s="3" t="s">
        <v>1597</v>
      </c>
      <c r="R2805" s="3" t="s">
        <v>1607</v>
      </c>
      <c r="S2805" s="3" t="s">
        <v>1608</v>
      </c>
      <c r="T2805" s="3"/>
    </row>
    <row r="2806" spans="1:20">
      <c r="A2806" s="3" t="s">
        <v>1604</v>
      </c>
      <c r="B2806" s="3" t="s">
        <v>1601</v>
      </c>
      <c r="C2806" s="3" t="s">
        <v>1596</v>
      </c>
      <c r="D2806" s="3" t="s">
        <v>659</v>
      </c>
      <c r="E2806" s="3" t="s">
        <v>660</v>
      </c>
      <c r="F2806" s="2">
        <v>1</v>
      </c>
      <c r="G2806" s="4">
        <v>1.0933568037288177</v>
      </c>
      <c r="H2806" s="2">
        <v>25</v>
      </c>
      <c r="I2806" s="2">
        <v>30</v>
      </c>
      <c r="J2806" s="2">
        <v>16</v>
      </c>
      <c r="K2806" s="4">
        <v>1</v>
      </c>
      <c r="L2806" s="4">
        <v>-1.4872049147664542E-2</v>
      </c>
      <c r="M2806" s="4">
        <v>1.4872049147664542E-2</v>
      </c>
      <c r="N2806" s="10">
        <v>1.4999999999999999E-2</v>
      </c>
      <c r="O2806" s="4">
        <v>7.3740109948439422E-2</v>
      </c>
      <c r="P2806" s="4">
        <v>-7.0000000000000007E-2</v>
      </c>
      <c r="Q2806" s="3" t="s">
        <v>1617</v>
      </c>
      <c r="R2806" s="3" t="s">
        <v>1618</v>
      </c>
      <c r="S2806" s="3" t="s">
        <v>1619</v>
      </c>
      <c r="T2806" s="3"/>
    </row>
    <row r="2807" spans="1:20">
      <c r="A2807" s="3" t="s">
        <v>1600</v>
      </c>
      <c r="B2807" s="3" t="s">
        <v>1606</v>
      </c>
      <c r="C2807" s="3" t="s">
        <v>1616</v>
      </c>
      <c r="D2807" s="3" t="s">
        <v>659</v>
      </c>
      <c r="E2807" s="3" t="s">
        <v>660</v>
      </c>
      <c r="F2807" s="2">
        <v>1</v>
      </c>
      <c r="G2807" s="4">
        <v>1.0933568037288177</v>
      </c>
      <c r="H2807" s="2">
        <v>25</v>
      </c>
      <c r="I2807" s="2">
        <v>5</v>
      </c>
      <c r="J2807" s="2">
        <v>1</v>
      </c>
      <c r="K2807" s="4">
        <v>1</v>
      </c>
      <c r="L2807" s="4">
        <v>-2.1645666958135728E-2</v>
      </c>
      <c r="M2807" s="4">
        <v>2.1645666958135728E-2</v>
      </c>
      <c r="N2807" s="10">
        <v>2.1999999999999999E-2</v>
      </c>
      <c r="O2807" s="4">
        <v>0.10733460446269186</v>
      </c>
      <c r="P2807" s="4">
        <v>-0.11</v>
      </c>
      <c r="Q2807" s="3" t="s">
        <v>1617</v>
      </c>
      <c r="R2807" s="3" t="s">
        <v>1621</v>
      </c>
      <c r="S2807" s="3" t="s">
        <v>1622</v>
      </c>
      <c r="T2807" s="3"/>
    </row>
    <row r="2808" spans="1:20">
      <c r="A2808" s="3" t="s">
        <v>1604</v>
      </c>
      <c r="B2808" s="3" t="s">
        <v>1601</v>
      </c>
      <c r="C2808" s="3" t="s">
        <v>1616</v>
      </c>
      <c r="D2808" s="3" t="s">
        <v>659</v>
      </c>
      <c r="E2808" s="3" t="s">
        <v>660</v>
      </c>
      <c r="F2808" s="2">
        <v>1</v>
      </c>
      <c r="G2808" s="4">
        <v>1.0933568037288177</v>
      </c>
      <c r="H2808" s="2">
        <v>25</v>
      </c>
      <c r="I2808" s="2">
        <v>30</v>
      </c>
      <c r="J2808" s="2">
        <v>16</v>
      </c>
      <c r="K2808" s="4">
        <v>1</v>
      </c>
      <c r="L2808" s="4">
        <v>-0.14837030458913292</v>
      </c>
      <c r="M2808" s="4">
        <v>0.14837030458913292</v>
      </c>
      <c r="N2808" s="10">
        <v>0.14799999999999999</v>
      </c>
      <c r="O2808" s="4">
        <v>0.74108081119144698</v>
      </c>
      <c r="P2808" s="4">
        <v>-0.74</v>
      </c>
      <c r="Q2808" s="3" t="s">
        <v>1617</v>
      </c>
      <c r="R2808" s="3" t="s">
        <v>1618</v>
      </c>
      <c r="S2808" s="3" t="s">
        <v>1619</v>
      </c>
      <c r="T2808" s="3"/>
    </row>
    <row r="2809" spans="1:20">
      <c r="A2809" s="3" t="s">
        <v>1600</v>
      </c>
      <c r="B2809" s="3" t="s">
        <v>1601</v>
      </c>
      <c r="C2809" s="3" t="s">
        <v>1616</v>
      </c>
      <c r="D2809" s="3" t="s">
        <v>659</v>
      </c>
      <c r="E2809" s="3" t="s">
        <v>660</v>
      </c>
      <c r="F2809" s="2">
        <v>1</v>
      </c>
      <c r="G2809" s="4">
        <v>1.0933568037288177</v>
      </c>
      <c r="H2809" s="2">
        <v>25</v>
      </c>
      <c r="I2809" s="2">
        <v>5</v>
      </c>
      <c r="J2809" s="2">
        <v>1</v>
      </c>
      <c r="K2809" s="4">
        <v>1</v>
      </c>
      <c r="L2809" s="4">
        <v>-0.21483394634138028</v>
      </c>
      <c r="M2809" s="4">
        <v>0.21483394634138028</v>
      </c>
      <c r="N2809" s="10">
        <v>0.215</v>
      </c>
      <c r="O2809" s="4">
        <v>1.0819889130678948</v>
      </c>
      <c r="P2809" s="4">
        <v>-1.08</v>
      </c>
      <c r="Q2809" s="3" t="s">
        <v>1617</v>
      </c>
      <c r="R2809" s="3" t="s">
        <v>1618</v>
      </c>
      <c r="S2809" s="3" t="s">
        <v>1619</v>
      </c>
      <c r="T2809" s="3"/>
    </row>
    <row r="2810" spans="1:20">
      <c r="A2810" s="3" t="s">
        <v>1600</v>
      </c>
      <c r="B2810" s="3" t="s">
        <v>1601</v>
      </c>
      <c r="C2810" s="3" t="s">
        <v>1616</v>
      </c>
      <c r="D2810" s="3" t="s">
        <v>659</v>
      </c>
      <c r="E2810" s="3" t="s">
        <v>660</v>
      </c>
      <c r="F2810" s="2">
        <v>1</v>
      </c>
      <c r="G2810" s="4">
        <v>1.0933568037288177</v>
      </c>
      <c r="H2810" s="2">
        <v>25</v>
      </c>
      <c r="I2810" s="2">
        <v>5</v>
      </c>
      <c r="J2810" s="2">
        <v>16</v>
      </c>
      <c r="K2810" s="4">
        <v>1</v>
      </c>
      <c r="L2810" s="4">
        <v>-0.24037872306388253</v>
      </c>
      <c r="M2810" s="4">
        <v>0.24037872306388253</v>
      </c>
      <c r="N2810" s="10">
        <v>0.24</v>
      </c>
      <c r="O2810" s="4">
        <v>1.2155671129512979</v>
      </c>
      <c r="P2810" s="4">
        <v>-1.21</v>
      </c>
      <c r="Q2810" s="3" t="s">
        <v>1617</v>
      </c>
      <c r="R2810" s="3" t="s">
        <v>1618</v>
      </c>
      <c r="S2810" s="3" t="s">
        <v>1619</v>
      </c>
      <c r="T2810" s="3"/>
    </row>
    <row r="2811" spans="1:20">
      <c r="A2811" s="3" t="s">
        <v>1600</v>
      </c>
      <c r="B2811" s="3" t="s">
        <v>1609</v>
      </c>
      <c r="C2811" s="3" t="s">
        <v>1616</v>
      </c>
      <c r="D2811" s="3" t="s">
        <v>659</v>
      </c>
      <c r="E2811" s="3" t="s">
        <v>660</v>
      </c>
      <c r="F2811" s="2">
        <v>1</v>
      </c>
      <c r="G2811" s="4">
        <v>1.0933568037288177</v>
      </c>
      <c r="H2811" s="2">
        <v>25</v>
      </c>
      <c r="I2811" s="2">
        <v>5</v>
      </c>
      <c r="J2811" s="2">
        <v>1</v>
      </c>
      <c r="K2811" s="4">
        <v>1</v>
      </c>
      <c r="L2811" s="4">
        <v>-0.24914368161535161</v>
      </c>
      <c r="M2811" s="4">
        <v>0.24914368161535161</v>
      </c>
      <c r="N2811" s="10">
        <v>0.249</v>
      </c>
      <c r="O2811" s="4">
        <v>1.2617928867281574</v>
      </c>
      <c r="P2811" s="4">
        <v>-1.26</v>
      </c>
      <c r="Q2811" s="3" t="s">
        <v>1617</v>
      </c>
      <c r="R2811" s="3" t="s">
        <v>1623</v>
      </c>
      <c r="S2811" s="3" t="s">
        <v>1624</v>
      </c>
      <c r="T2811" s="3"/>
    </row>
    <row r="2812" spans="1:20">
      <c r="A2812" s="3" t="s">
        <v>1600</v>
      </c>
      <c r="B2812" s="3" t="s">
        <v>1609</v>
      </c>
      <c r="C2812" s="3" t="s">
        <v>1616</v>
      </c>
      <c r="D2812" s="3" t="s">
        <v>659</v>
      </c>
      <c r="E2812" s="3" t="s">
        <v>660</v>
      </c>
      <c r="F2812" s="2">
        <v>1</v>
      </c>
      <c r="G2812" s="4">
        <v>1.0933568037288177</v>
      </c>
      <c r="H2812" s="2">
        <v>25</v>
      </c>
      <c r="I2812" s="2">
        <v>5</v>
      </c>
      <c r="J2812" s="2">
        <v>16</v>
      </c>
      <c r="K2812" s="11">
        <v>1</v>
      </c>
      <c r="L2812" s="11">
        <v>-0.29777219433753321</v>
      </c>
      <c r="M2812" s="4">
        <v>0.29777219433753321</v>
      </c>
      <c r="N2812" s="10">
        <v>0.29799999999999999</v>
      </c>
      <c r="O2812" s="4">
        <v>1.5224496675883268</v>
      </c>
      <c r="P2812" s="4">
        <v>-1.52</v>
      </c>
      <c r="Q2812" s="3" t="s">
        <v>1617</v>
      </c>
      <c r="R2812" s="3" t="s">
        <v>1623</v>
      </c>
      <c r="S2812" s="3" t="s">
        <v>1624</v>
      </c>
      <c r="T2812" s="3"/>
    </row>
    <row r="2813" spans="1:20">
      <c r="A2813" s="3" t="s">
        <v>1594</v>
      </c>
      <c r="B2813" s="3" t="s">
        <v>1595</v>
      </c>
      <c r="C2813" s="3" t="s">
        <v>1596</v>
      </c>
      <c r="D2813" s="3" t="s">
        <v>659</v>
      </c>
      <c r="E2813" s="3" t="s">
        <v>660</v>
      </c>
      <c r="F2813" s="2">
        <v>1</v>
      </c>
      <c r="G2813" s="4">
        <v>1.0933568037288177</v>
      </c>
      <c r="H2813" s="2">
        <v>50</v>
      </c>
      <c r="I2813" s="2">
        <v>5</v>
      </c>
      <c r="J2813" s="2">
        <v>16</v>
      </c>
      <c r="K2813" s="4">
        <v>1</v>
      </c>
      <c r="L2813" s="14">
        <v>-0.53517382690110349</v>
      </c>
      <c r="M2813" s="4">
        <v>0.53517382690110349</v>
      </c>
      <c r="N2813" s="10">
        <v>0.53500000000000003</v>
      </c>
      <c r="O2813" s="4">
        <v>3.2100516714808123</v>
      </c>
      <c r="P2813" s="4">
        <v>-3.21</v>
      </c>
      <c r="Q2813" s="3" t="s">
        <v>1617</v>
      </c>
      <c r="R2813" s="3" t="s">
        <v>1625</v>
      </c>
      <c r="S2813" s="3" t="s">
        <v>1626</v>
      </c>
      <c r="T2813" s="3"/>
    </row>
    <row r="2814" spans="1:20">
      <c r="A2814" s="3" t="s">
        <v>1594</v>
      </c>
      <c r="B2814" s="3" t="s">
        <v>1612</v>
      </c>
      <c r="C2814" s="3" t="s">
        <v>1596</v>
      </c>
      <c r="D2814" s="3" t="s">
        <v>553</v>
      </c>
      <c r="E2814" s="3" t="s">
        <v>554</v>
      </c>
      <c r="F2814" s="2">
        <v>1</v>
      </c>
      <c r="G2814" s="4">
        <v>1.0935649427556258</v>
      </c>
      <c r="H2814" s="2">
        <v>50</v>
      </c>
      <c r="I2814" s="2">
        <v>5</v>
      </c>
      <c r="J2814" s="2">
        <v>16</v>
      </c>
      <c r="K2814" s="4">
        <v>0.65720698441088932</v>
      </c>
      <c r="L2814" s="14">
        <v>0.12599354200205959</v>
      </c>
      <c r="M2814" s="4">
        <v>0.12599354200205959</v>
      </c>
      <c r="N2814" s="10">
        <v>0.126</v>
      </c>
      <c r="O2814" s="4">
        <v>0.68066370480569949</v>
      </c>
      <c r="P2814" s="4">
        <v>0.68</v>
      </c>
      <c r="Q2814" s="3" t="s">
        <v>1597</v>
      </c>
      <c r="R2814" s="3" t="s">
        <v>1613</v>
      </c>
      <c r="S2814" s="3" t="s">
        <v>1614</v>
      </c>
      <c r="T2814" s="3"/>
    </row>
    <row r="2815" spans="1:20">
      <c r="A2815" s="3" t="s">
        <v>1594</v>
      </c>
      <c r="B2815" s="3" t="s">
        <v>1595</v>
      </c>
      <c r="C2815" s="3" t="s">
        <v>1596</v>
      </c>
      <c r="D2815" s="3" t="s">
        <v>553</v>
      </c>
      <c r="E2815" s="3" t="s">
        <v>554</v>
      </c>
      <c r="F2815" s="2">
        <v>1</v>
      </c>
      <c r="G2815" s="4">
        <v>1.0935649427556258</v>
      </c>
      <c r="H2815" s="2">
        <v>50</v>
      </c>
      <c r="I2815" s="2">
        <v>5</v>
      </c>
      <c r="J2815" s="2">
        <v>16</v>
      </c>
      <c r="K2815" s="4">
        <v>0.38700974642240182</v>
      </c>
      <c r="L2815" s="14">
        <v>-0.42211307965723416</v>
      </c>
      <c r="M2815" s="4">
        <v>0.42211307965723416</v>
      </c>
      <c r="N2815" s="10">
        <v>0.42199999999999999</v>
      </c>
      <c r="O2815" s="4">
        <v>2.419547228040289</v>
      </c>
      <c r="P2815" s="4">
        <v>-2.42</v>
      </c>
      <c r="Q2815" s="3" t="s">
        <v>1617</v>
      </c>
      <c r="R2815" s="3" t="s">
        <v>1625</v>
      </c>
      <c r="S2815" s="3" t="s">
        <v>1626</v>
      </c>
      <c r="T2815" s="3"/>
    </row>
    <row r="2816" spans="1:20">
      <c r="A2816" s="3" t="s">
        <v>1604</v>
      </c>
      <c r="B2816" s="3" t="s">
        <v>1601</v>
      </c>
      <c r="C2816" s="3" t="s">
        <v>1616</v>
      </c>
      <c r="D2816" s="3" t="s">
        <v>553</v>
      </c>
      <c r="E2816" s="3" t="s">
        <v>554</v>
      </c>
      <c r="F2816" s="2">
        <v>1</v>
      </c>
      <c r="G2816" s="4">
        <v>1.0935649427556258</v>
      </c>
      <c r="H2816" s="2">
        <v>25</v>
      </c>
      <c r="I2816" s="2">
        <v>30</v>
      </c>
      <c r="J2816" s="2">
        <v>16</v>
      </c>
      <c r="K2816" s="4">
        <v>1</v>
      </c>
      <c r="L2816" s="4">
        <v>-0.95080811468223725</v>
      </c>
      <c r="M2816" s="4">
        <v>0.95080811468223725</v>
      </c>
      <c r="N2816" s="10">
        <v>0.95099999999999996</v>
      </c>
      <c r="O2816" s="4">
        <v>9.1232729643845776</v>
      </c>
      <c r="P2816" s="4">
        <v>-9.1300000000000008</v>
      </c>
      <c r="Q2816" s="3" t="s">
        <v>1617</v>
      </c>
      <c r="R2816" s="3" t="s">
        <v>1618</v>
      </c>
      <c r="S2816" s="3" t="s">
        <v>1619</v>
      </c>
      <c r="T2816" s="3"/>
    </row>
    <row r="2817" spans="1:20">
      <c r="A2817" s="3" t="s">
        <v>1600</v>
      </c>
      <c r="B2817" s="3" t="s">
        <v>1601</v>
      </c>
      <c r="C2817" s="3" t="s">
        <v>1616</v>
      </c>
      <c r="D2817" s="3" t="s">
        <v>553</v>
      </c>
      <c r="E2817" s="3" t="s">
        <v>554</v>
      </c>
      <c r="F2817" s="2">
        <v>1</v>
      </c>
      <c r="G2817" s="4">
        <v>1.0935649427556258</v>
      </c>
      <c r="H2817" s="2">
        <v>25</v>
      </c>
      <c r="I2817" s="2">
        <v>5</v>
      </c>
      <c r="J2817" s="2">
        <v>1</v>
      </c>
      <c r="K2817" s="4">
        <v>1</v>
      </c>
      <c r="L2817" s="4">
        <v>-0.96164947443216597</v>
      </c>
      <c r="M2817" s="4">
        <v>0.96164947443216597</v>
      </c>
      <c r="N2817" s="10">
        <v>0.96199999999999997</v>
      </c>
      <c r="O2817" s="4">
        <v>9.7541763850947252</v>
      </c>
      <c r="P2817" s="4">
        <v>-9.7799999999999994</v>
      </c>
      <c r="Q2817" s="3" t="s">
        <v>1617</v>
      </c>
      <c r="R2817" s="3" t="s">
        <v>1618</v>
      </c>
      <c r="S2817" s="3" t="s">
        <v>1619</v>
      </c>
      <c r="T2817" s="3"/>
    </row>
    <row r="2818" spans="1:20">
      <c r="A2818" s="3" t="s">
        <v>1600</v>
      </c>
      <c r="B2818" s="3" t="s">
        <v>1601</v>
      </c>
      <c r="C2818" s="3" t="s">
        <v>1616</v>
      </c>
      <c r="D2818" s="3" t="s">
        <v>553</v>
      </c>
      <c r="E2818" s="3" t="s">
        <v>554</v>
      </c>
      <c r="F2818" s="2">
        <v>1</v>
      </c>
      <c r="G2818" s="4">
        <v>1.0935649427556258</v>
      </c>
      <c r="H2818" s="2">
        <v>25</v>
      </c>
      <c r="I2818" s="2">
        <v>5</v>
      </c>
      <c r="J2818" s="2">
        <v>16</v>
      </c>
      <c r="K2818" s="4">
        <v>1</v>
      </c>
      <c r="L2818" s="4">
        <v>-0.96645926914422575</v>
      </c>
      <c r="M2818" s="4">
        <v>0.96645926914422575</v>
      </c>
      <c r="N2818" s="10">
        <v>0.96599999999999997</v>
      </c>
      <c r="O2818" s="4">
        <v>10.092447948562835</v>
      </c>
      <c r="P2818" s="4">
        <v>-10.06</v>
      </c>
      <c r="Q2818" s="3" t="s">
        <v>1617</v>
      </c>
      <c r="R2818" s="3" t="s">
        <v>1618</v>
      </c>
      <c r="S2818" s="3" t="s">
        <v>1619</v>
      </c>
      <c r="T2818" s="3"/>
    </row>
    <row r="2819" spans="1:20">
      <c r="A2819" s="3" t="s">
        <v>1600</v>
      </c>
      <c r="B2819" s="3" t="s">
        <v>1609</v>
      </c>
      <c r="C2819" s="3" t="s">
        <v>1616</v>
      </c>
      <c r="D2819" s="3" t="s">
        <v>553</v>
      </c>
      <c r="E2819" s="3" t="s">
        <v>554</v>
      </c>
      <c r="F2819" s="2">
        <v>1</v>
      </c>
      <c r="G2819" s="4">
        <v>1.0935649427556258</v>
      </c>
      <c r="H2819" s="2">
        <v>25</v>
      </c>
      <c r="I2819" s="2">
        <v>5</v>
      </c>
      <c r="J2819" s="2">
        <v>16</v>
      </c>
      <c r="K2819" s="11">
        <v>1</v>
      </c>
      <c r="L2819" s="11">
        <v>-0.97916499675594137</v>
      </c>
      <c r="M2819" s="4">
        <v>0.97916499675594137</v>
      </c>
      <c r="N2819" s="10">
        <v>0.97899999999999998</v>
      </c>
      <c r="O2819" s="4">
        <v>11.288715100026465</v>
      </c>
      <c r="P2819" s="4">
        <v>-11.27</v>
      </c>
      <c r="Q2819" s="3" t="s">
        <v>1617</v>
      </c>
      <c r="R2819" s="3" t="s">
        <v>1623</v>
      </c>
      <c r="S2819" s="3" t="s">
        <v>1624</v>
      </c>
      <c r="T2819" s="3"/>
    </row>
    <row r="2820" spans="1:20">
      <c r="A2820" s="3" t="s">
        <v>1600</v>
      </c>
      <c r="B2820" s="3" t="s">
        <v>1601</v>
      </c>
      <c r="C2820" s="3" t="s">
        <v>1596</v>
      </c>
      <c r="D2820" s="3" t="s">
        <v>553</v>
      </c>
      <c r="E2820" s="3" t="s">
        <v>554</v>
      </c>
      <c r="F2820" s="2">
        <v>1</v>
      </c>
      <c r="G2820" s="4">
        <v>1.0935649427556258</v>
      </c>
      <c r="H2820" s="2">
        <v>25</v>
      </c>
      <c r="I2820" s="2">
        <v>5</v>
      </c>
      <c r="J2820" s="2">
        <v>16</v>
      </c>
      <c r="K2820" s="4">
        <v>1</v>
      </c>
      <c r="L2820" s="4">
        <v>-0.98083245172837441</v>
      </c>
      <c r="M2820" s="4">
        <v>0.98083245172837441</v>
      </c>
      <c r="N2820" s="10">
        <v>0.98099999999999998</v>
      </c>
      <c r="O2820" s="4">
        <v>11.497587790515494</v>
      </c>
      <c r="P2820" s="4">
        <v>-11.52</v>
      </c>
      <c r="Q2820" s="3" t="s">
        <v>1617</v>
      </c>
      <c r="R2820" s="3" t="s">
        <v>1618</v>
      </c>
      <c r="S2820" s="3" t="s">
        <v>1619</v>
      </c>
      <c r="T2820" s="3"/>
    </row>
    <row r="2821" spans="1:20">
      <c r="A2821" s="3" t="s">
        <v>1600</v>
      </c>
      <c r="B2821" s="3" t="s">
        <v>1609</v>
      </c>
      <c r="C2821" s="3" t="s">
        <v>1616</v>
      </c>
      <c r="D2821" s="3" t="s">
        <v>553</v>
      </c>
      <c r="E2821" s="3" t="s">
        <v>554</v>
      </c>
      <c r="F2821" s="2">
        <v>1</v>
      </c>
      <c r="G2821" s="4">
        <v>1.0935649427556258</v>
      </c>
      <c r="H2821" s="2">
        <v>25</v>
      </c>
      <c r="I2821" s="2">
        <v>5</v>
      </c>
      <c r="J2821" s="2">
        <v>1</v>
      </c>
      <c r="K2821" s="4">
        <v>1</v>
      </c>
      <c r="L2821" s="4">
        <v>-0.98262015221382815</v>
      </c>
      <c r="M2821" s="4">
        <v>0.98262015221382815</v>
      </c>
      <c r="N2821" s="10">
        <v>0.98299999999999998</v>
      </c>
      <c r="O2821" s="4">
        <v>11.742533112893145</v>
      </c>
      <c r="P2821" s="4">
        <v>-11.8</v>
      </c>
      <c r="Q2821" s="3" t="s">
        <v>1617</v>
      </c>
      <c r="R2821" s="3" t="s">
        <v>1623</v>
      </c>
      <c r="S2821" s="3" t="s">
        <v>1624</v>
      </c>
      <c r="T2821" s="3"/>
    </row>
    <row r="2822" spans="1:20">
      <c r="A2822" s="3" t="s">
        <v>1604</v>
      </c>
      <c r="B2822" s="3" t="s">
        <v>1601</v>
      </c>
      <c r="C2822" s="3" t="s">
        <v>1596</v>
      </c>
      <c r="D2822" s="3" t="s">
        <v>553</v>
      </c>
      <c r="E2822" s="3" t="s">
        <v>554</v>
      </c>
      <c r="F2822" s="2">
        <v>1</v>
      </c>
      <c r="G2822" s="4">
        <v>1.0935649427556258</v>
      </c>
      <c r="H2822" s="2">
        <v>25</v>
      </c>
      <c r="I2822" s="2">
        <v>30</v>
      </c>
      <c r="J2822" s="2">
        <v>16</v>
      </c>
      <c r="K2822" s="4">
        <v>1</v>
      </c>
      <c r="L2822" s="4">
        <v>-0.98824980783612193</v>
      </c>
      <c r="M2822" s="4">
        <v>0.98824980783612193</v>
      </c>
      <c r="N2822" s="10">
        <v>0.98799999999999999</v>
      </c>
      <c r="O2822" s="4">
        <v>12.719933858062008</v>
      </c>
      <c r="P2822" s="4">
        <v>-12.67</v>
      </c>
      <c r="Q2822" s="3" t="s">
        <v>1617</v>
      </c>
      <c r="R2822" s="3" t="s">
        <v>1618</v>
      </c>
      <c r="S2822" s="3" t="s">
        <v>1619</v>
      </c>
      <c r="T2822" s="3"/>
    </row>
    <row r="2823" spans="1:20">
      <c r="A2823" s="3" t="s">
        <v>1600</v>
      </c>
      <c r="B2823" s="3" t="s">
        <v>1601</v>
      </c>
      <c r="C2823" s="3" t="s">
        <v>1596</v>
      </c>
      <c r="D2823" s="3" t="s">
        <v>553</v>
      </c>
      <c r="E2823" s="3" t="s">
        <v>554</v>
      </c>
      <c r="F2823" s="2">
        <v>1</v>
      </c>
      <c r="G2823" s="4">
        <v>1.0935649427556258</v>
      </c>
      <c r="H2823" s="2">
        <v>25</v>
      </c>
      <c r="I2823" s="2">
        <v>5</v>
      </c>
      <c r="J2823" s="2">
        <v>1</v>
      </c>
      <c r="K2823" s="4">
        <v>0.98172623501138745</v>
      </c>
      <c r="L2823" s="4">
        <v>-0.99309771594808938</v>
      </c>
      <c r="M2823" s="4">
        <v>0.99309771594808938</v>
      </c>
      <c r="N2823" s="10">
        <v>0.99299999999999999</v>
      </c>
      <c r="O2823" s="4">
        <v>14.044824664501355</v>
      </c>
      <c r="P2823" s="4">
        <v>-14.01</v>
      </c>
      <c r="Q2823" s="3" t="s">
        <v>1617</v>
      </c>
      <c r="R2823" s="3" t="s">
        <v>1618</v>
      </c>
      <c r="S2823" s="3" t="s">
        <v>1619</v>
      </c>
      <c r="T2823" s="3"/>
    </row>
    <row r="2824" spans="1:20">
      <c r="A2824" s="12" t="s">
        <v>1605</v>
      </c>
      <c r="B2824" s="3" t="s">
        <v>1601</v>
      </c>
      <c r="C2824" s="3" t="s">
        <v>1596</v>
      </c>
      <c r="D2824" s="3" t="s">
        <v>553</v>
      </c>
      <c r="E2824" s="3" t="s">
        <v>554</v>
      </c>
      <c r="F2824" s="2">
        <v>1</v>
      </c>
      <c r="G2824" s="4">
        <v>1.0935649427556258</v>
      </c>
      <c r="H2824" s="2">
        <v>25</v>
      </c>
      <c r="I2824" s="2">
        <v>5</v>
      </c>
      <c r="J2824" s="2">
        <v>16</v>
      </c>
      <c r="K2824" s="11">
        <v>1</v>
      </c>
      <c r="L2824" s="11">
        <v>-0.99542479059618494</v>
      </c>
      <c r="M2824" s="4">
        <v>0.99542479059618494</v>
      </c>
      <c r="N2824" s="10">
        <v>0.995</v>
      </c>
      <c r="O2824" s="4">
        <v>15.067068827033625</v>
      </c>
      <c r="P2824" s="4">
        <v>-14.85</v>
      </c>
      <c r="Q2824" s="3" t="s">
        <v>1617</v>
      </c>
      <c r="R2824" s="3" t="s">
        <v>1618</v>
      </c>
      <c r="S2824" s="3" t="s">
        <v>1619</v>
      </c>
      <c r="T2824" s="3"/>
    </row>
    <row r="2825" spans="1:20">
      <c r="A2825" s="3" t="s">
        <v>1600</v>
      </c>
      <c r="B2825" s="3" t="s">
        <v>1606</v>
      </c>
      <c r="C2825" s="3" t="s">
        <v>1616</v>
      </c>
      <c r="D2825" s="3" t="s">
        <v>553</v>
      </c>
      <c r="E2825" s="3" t="s">
        <v>554</v>
      </c>
      <c r="F2825" s="2">
        <v>1</v>
      </c>
      <c r="G2825" s="4">
        <v>1.0935649427556258</v>
      </c>
      <c r="H2825" s="2">
        <v>25</v>
      </c>
      <c r="I2825" s="2">
        <v>5</v>
      </c>
      <c r="J2825" s="2">
        <v>1</v>
      </c>
      <c r="K2825" s="4">
        <v>1</v>
      </c>
      <c r="L2825" s="4">
        <v>-1</v>
      </c>
      <c r="M2825" s="4">
        <v>1</v>
      </c>
      <c r="N2825" s="10">
        <v>0.995</v>
      </c>
      <c r="O2825" s="4">
        <v>14.85</v>
      </c>
      <c r="P2825" s="4">
        <v>-14.85</v>
      </c>
      <c r="Q2825" s="3" t="s">
        <v>1617</v>
      </c>
      <c r="R2825" s="3" t="s">
        <v>1621</v>
      </c>
      <c r="S2825" s="3" t="s">
        <v>1622</v>
      </c>
      <c r="T2825" s="3"/>
    </row>
    <row r="2826" spans="1:20">
      <c r="A2826" s="3" t="s">
        <v>1600</v>
      </c>
      <c r="B2826" s="3" t="s">
        <v>1606</v>
      </c>
      <c r="C2826" s="3" t="s">
        <v>1616</v>
      </c>
      <c r="D2826" s="3" t="s">
        <v>553</v>
      </c>
      <c r="E2826" s="3" t="s">
        <v>554</v>
      </c>
      <c r="F2826" s="2">
        <v>1</v>
      </c>
      <c r="G2826" s="4">
        <v>1.0935649427556258</v>
      </c>
      <c r="H2826" s="2">
        <v>25</v>
      </c>
      <c r="I2826" s="2">
        <v>5</v>
      </c>
      <c r="J2826" s="2">
        <v>16</v>
      </c>
      <c r="K2826" s="11">
        <v>1</v>
      </c>
      <c r="L2826" s="11">
        <v>-1</v>
      </c>
      <c r="M2826" s="4">
        <v>1</v>
      </c>
      <c r="N2826" s="10">
        <v>0.995</v>
      </c>
      <c r="O2826" s="4">
        <v>14.85</v>
      </c>
      <c r="P2826" s="4">
        <v>-14.85</v>
      </c>
      <c r="Q2826" s="3" t="s">
        <v>1617</v>
      </c>
      <c r="R2826" s="3" t="s">
        <v>1621</v>
      </c>
      <c r="S2826" s="3" t="s">
        <v>1622</v>
      </c>
      <c r="T2826" s="3"/>
    </row>
    <row r="2827" spans="1:20">
      <c r="A2827" s="3" t="s">
        <v>1600</v>
      </c>
      <c r="B2827" s="3" t="s">
        <v>1606</v>
      </c>
      <c r="C2827" s="3" t="s">
        <v>1596</v>
      </c>
      <c r="D2827" s="3" t="s">
        <v>553</v>
      </c>
      <c r="E2827" s="3" t="s">
        <v>554</v>
      </c>
      <c r="F2827" s="2">
        <v>1</v>
      </c>
      <c r="G2827" s="4">
        <v>1.0935649427556258</v>
      </c>
      <c r="H2827" s="2">
        <v>25</v>
      </c>
      <c r="I2827" s="2">
        <v>5</v>
      </c>
      <c r="J2827" s="2">
        <v>1</v>
      </c>
      <c r="K2827" s="11">
        <v>1</v>
      </c>
      <c r="L2827" s="11">
        <v>-1</v>
      </c>
      <c r="M2827" s="4">
        <v>1</v>
      </c>
      <c r="N2827" s="10">
        <v>0.995</v>
      </c>
      <c r="O2827" s="4">
        <v>14.85</v>
      </c>
      <c r="P2827" s="4">
        <v>-14.85</v>
      </c>
      <c r="Q2827" s="3" t="s">
        <v>1617</v>
      </c>
      <c r="R2827" s="3" t="s">
        <v>1621</v>
      </c>
      <c r="S2827" s="3" t="s">
        <v>1622</v>
      </c>
      <c r="T2827" s="3"/>
    </row>
    <row r="2828" spans="1:20">
      <c r="A2828" s="3" t="s">
        <v>1600</v>
      </c>
      <c r="B2828" s="3" t="s">
        <v>1606</v>
      </c>
      <c r="C2828" s="3" t="s">
        <v>1596</v>
      </c>
      <c r="D2828" s="3" t="s">
        <v>553</v>
      </c>
      <c r="E2828" s="3" t="s">
        <v>554</v>
      </c>
      <c r="F2828" s="2">
        <v>1</v>
      </c>
      <c r="G2828" s="4">
        <v>1.0935649427556258</v>
      </c>
      <c r="H2828" s="2">
        <v>25</v>
      </c>
      <c r="I2828" s="2">
        <v>5</v>
      </c>
      <c r="J2828" s="2">
        <v>16</v>
      </c>
      <c r="K2828" s="11">
        <v>1</v>
      </c>
      <c r="L2828" s="11">
        <v>-1</v>
      </c>
      <c r="M2828" s="4">
        <v>1</v>
      </c>
      <c r="N2828" s="10">
        <v>0.995</v>
      </c>
      <c r="O2828" s="4">
        <v>14.85</v>
      </c>
      <c r="P2828" s="4">
        <v>-14.85</v>
      </c>
      <c r="Q2828" s="3" t="s">
        <v>1617</v>
      </c>
      <c r="R2828" s="3" t="s">
        <v>1621</v>
      </c>
      <c r="S2828" s="3" t="s">
        <v>1622</v>
      </c>
      <c r="T2828" s="3"/>
    </row>
    <row r="2829" spans="1:20">
      <c r="A2829" s="3" t="s">
        <v>1600</v>
      </c>
      <c r="B2829" s="3" t="s">
        <v>1609</v>
      </c>
      <c r="C2829" s="3" t="s">
        <v>1596</v>
      </c>
      <c r="D2829" s="3" t="s">
        <v>553</v>
      </c>
      <c r="E2829" s="3" t="s">
        <v>554</v>
      </c>
      <c r="F2829" s="2">
        <v>1</v>
      </c>
      <c r="G2829" s="4">
        <v>1.0935649427556258</v>
      </c>
      <c r="H2829" s="2">
        <v>25</v>
      </c>
      <c r="I2829" s="2">
        <v>5</v>
      </c>
      <c r="J2829" s="2">
        <v>1</v>
      </c>
      <c r="K2829" s="11">
        <v>1</v>
      </c>
      <c r="L2829" s="11">
        <v>-1</v>
      </c>
      <c r="M2829" s="4">
        <v>1</v>
      </c>
      <c r="N2829" s="10">
        <v>0.995</v>
      </c>
      <c r="O2829" s="4">
        <v>14.85</v>
      </c>
      <c r="P2829" s="4">
        <v>-14.85</v>
      </c>
      <c r="Q2829" s="3" t="s">
        <v>1617</v>
      </c>
      <c r="R2829" s="3" t="s">
        <v>1623</v>
      </c>
      <c r="S2829" s="3" t="s">
        <v>1624</v>
      </c>
      <c r="T2829" s="3"/>
    </row>
    <row r="2830" spans="1:20">
      <c r="A2830" s="3" t="s">
        <v>1600</v>
      </c>
      <c r="B2830" s="3" t="s">
        <v>1609</v>
      </c>
      <c r="C2830" s="3" t="s">
        <v>1596</v>
      </c>
      <c r="D2830" s="3" t="s">
        <v>553</v>
      </c>
      <c r="E2830" s="3" t="s">
        <v>554</v>
      </c>
      <c r="F2830" s="2">
        <v>1</v>
      </c>
      <c r="G2830" s="4">
        <v>1.0935649427556258</v>
      </c>
      <c r="H2830" s="2">
        <v>25</v>
      </c>
      <c r="I2830" s="2">
        <v>5</v>
      </c>
      <c r="J2830" s="2">
        <v>16</v>
      </c>
      <c r="K2830" s="4">
        <v>1</v>
      </c>
      <c r="L2830" s="4">
        <v>-1</v>
      </c>
      <c r="M2830" s="4">
        <v>1</v>
      </c>
      <c r="N2830" s="10">
        <v>0.995</v>
      </c>
      <c r="O2830" s="4">
        <v>14.85</v>
      </c>
      <c r="P2830" s="4">
        <v>-14.85</v>
      </c>
      <c r="Q2830" s="3" t="s">
        <v>1617</v>
      </c>
      <c r="R2830" s="3" t="s">
        <v>1623</v>
      </c>
      <c r="S2830" s="3" t="s">
        <v>1624</v>
      </c>
      <c r="T2830" s="3"/>
    </row>
    <row r="2831" spans="1:20">
      <c r="A2831" s="3" t="s">
        <v>1594</v>
      </c>
      <c r="B2831" s="3" t="s">
        <v>1595</v>
      </c>
      <c r="C2831" s="3" t="s">
        <v>1596</v>
      </c>
      <c r="D2831" s="3" t="s">
        <v>330</v>
      </c>
      <c r="E2831" s="3" t="s">
        <v>331</v>
      </c>
      <c r="F2831" s="2">
        <v>1</v>
      </c>
      <c r="G2831" s="4">
        <v>1.0940596491802739</v>
      </c>
      <c r="H2831" s="2">
        <v>50</v>
      </c>
      <c r="I2831" s="2">
        <v>5</v>
      </c>
      <c r="J2831" s="2">
        <v>16</v>
      </c>
      <c r="K2831" s="4">
        <v>0.99373985985689994</v>
      </c>
      <c r="L2831" s="14">
        <v>9.543940426131696E-2</v>
      </c>
      <c r="M2831" s="4">
        <v>9.543940426131696E-2</v>
      </c>
      <c r="N2831" s="10">
        <v>9.5000000000000001E-2</v>
      </c>
      <c r="O2831" s="4">
        <v>0.51442476016073058</v>
      </c>
      <c r="P2831" s="4">
        <v>0.51</v>
      </c>
      <c r="Q2831" s="3" t="s">
        <v>1597</v>
      </c>
      <c r="R2831" s="3" t="s">
        <v>1598</v>
      </c>
      <c r="S2831" s="3" t="s">
        <v>1599</v>
      </c>
      <c r="T2831" s="3"/>
    </row>
    <row r="2832" spans="1:20">
      <c r="A2832" s="3" t="s">
        <v>1594</v>
      </c>
      <c r="B2832" s="3" t="s">
        <v>1612</v>
      </c>
      <c r="C2832" s="3" t="s">
        <v>1596</v>
      </c>
      <c r="D2832" s="3" t="s">
        <v>330</v>
      </c>
      <c r="E2832" s="3" t="s">
        <v>331</v>
      </c>
      <c r="F2832" s="2">
        <v>1</v>
      </c>
      <c r="G2832" s="4">
        <v>1.0940596491802739</v>
      </c>
      <c r="H2832" s="2">
        <v>50</v>
      </c>
      <c r="I2832" s="2">
        <v>5</v>
      </c>
      <c r="J2832" s="2">
        <v>16</v>
      </c>
      <c r="K2832" s="4">
        <v>0.57865305118675558</v>
      </c>
      <c r="L2832" s="14">
        <v>-2.2547002632617382E-2</v>
      </c>
      <c r="M2832" s="4">
        <v>2.2547002632617382E-2</v>
      </c>
      <c r="N2832" s="10">
        <v>2.3E-2</v>
      </c>
      <c r="O2832" s="4">
        <v>0.12118049412442554</v>
      </c>
      <c r="P2832" s="4">
        <v>-0.12</v>
      </c>
      <c r="Q2832" s="3" t="s">
        <v>1617</v>
      </c>
      <c r="R2832" s="3" t="s">
        <v>1627</v>
      </c>
      <c r="S2832" s="3" t="s">
        <v>1628</v>
      </c>
      <c r="T2832" s="3"/>
    </row>
    <row r="2833" spans="1:20">
      <c r="A2833" s="3" t="s">
        <v>1600</v>
      </c>
      <c r="B2833" s="3" t="s">
        <v>1601</v>
      </c>
      <c r="C2833" s="3" t="s">
        <v>1616</v>
      </c>
      <c r="D2833" s="3" t="s">
        <v>330</v>
      </c>
      <c r="E2833" s="3" t="s">
        <v>331</v>
      </c>
      <c r="F2833" s="2">
        <v>1</v>
      </c>
      <c r="G2833" s="4">
        <v>1.0940596491802739</v>
      </c>
      <c r="H2833" s="2">
        <v>25</v>
      </c>
      <c r="I2833" s="2">
        <v>5</v>
      </c>
      <c r="J2833" s="2">
        <v>1</v>
      </c>
      <c r="K2833" s="4">
        <v>1</v>
      </c>
      <c r="L2833" s="4">
        <v>-0.55291089300092011</v>
      </c>
      <c r="M2833" s="4">
        <v>0.55291089300092011</v>
      </c>
      <c r="N2833" s="10">
        <v>0.55300000000000005</v>
      </c>
      <c r="O2833" s="4">
        <v>3.0866339870239359</v>
      </c>
      <c r="P2833" s="4">
        <v>-3.09</v>
      </c>
      <c r="Q2833" s="3" t="s">
        <v>1617</v>
      </c>
      <c r="R2833" s="3" t="s">
        <v>1618</v>
      </c>
      <c r="S2833" s="3" t="s">
        <v>1619</v>
      </c>
      <c r="T2833" s="3"/>
    </row>
    <row r="2834" spans="1:20">
      <c r="A2834" s="3" t="s">
        <v>1600</v>
      </c>
      <c r="B2834" s="3" t="s">
        <v>1601</v>
      </c>
      <c r="C2834" s="3" t="s">
        <v>1616</v>
      </c>
      <c r="D2834" s="3" t="s">
        <v>330</v>
      </c>
      <c r="E2834" s="3" t="s">
        <v>331</v>
      </c>
      <c r="F2834" s="2">
        <v>1</v>
      </c>
      <c r="G2834" s="4">
        <v>1.0940596491802739</v>
      </c>
      <c r="H2834" s="2">
        <v>25</v>
      </c>
      <c r="I2834" s="2">
        <v>5</v>
      </c>
      <c r="J2834" s="2">
        <v>16</v>
      </c>
      <c r="K2834" s="4">
        <v>1</v>
      </c>
      <c r="L2834" s="4">
        <v>-0.55869048995044512</v>
      </c>
      <c r="M2834" s="4">
        <v>0.55869048995044512</v>
      </c>
      <c r="N2834" s="10">
        <v>0.55900000000000005</v>
      </c>
      <c r="O2834" s="4">
        <v>3.128098019787513</v>
      </c>
      <c r="P2834" s="4">
        <v>-3.13</v>
      </c>
      <c r="Q2834" s="3" t="s">
        <v>1617</v>
      </c>
      <c r="R2834" s="3" t="s">
        <v>1618</v>
      </c>
      <c r="S2834" s="3" t="s">
        <v>1619</v>
      </c>
      <c r="T2834" s="3"/>
    </row>
    <row r="2835" spans="1:20">
      <c r="A2835" s="3" t="s">
        <v>1604</v>
      </c>
      <c r="B2835" s="3" t="s">
        <v>1601</v>
      </c>
      <c r="C2835" s="3" t="s">
        <v>1616</v>
      </c>
      <c r="D2835" s="3" t="s">
        <v>330</v>
      </c>
      <c r="E2835" s="3" t="s">
        <v>331</v>
      </c>
      <c r="F2835" s="2">
        <v>1</v>
      </c>
      <c r="G2835" s="4">
        <v>1.0940596491802739</v>
      </c>
      <c r="H2835" s="2">
        <v>25</v>
      </c>
      <c r="I2835" s="2">
        <v>30</v>
      </c>
      <c r="J2835" s="2">
        <v>16</v>
      </c>
      <c r="K2835" s="4">
        <v>1</v>
      </c>
      <c r="L2835" s="4">
        <v>-0.56086295627353799</v>
      </c>
      <c r="M2835" s="4">
        <v>0.56086295627353799</v>
      </c>
      <c r="N2835" s="10">
        <v>0.56100000000000005</v>
      </c>
      <c r="O2835" s="4">
        <v>3.1437842745979458</v>
      </c>
      <c r="P2835" s="4">
        <v>-3.14</v>
      </c>
      <c r="Q2835" s="3" t="s">
        <v>1617</v>
      </c>
      <c r="R2835" s="3" t="s">
        <v>1618</v>
      </c>
      <c r="S2835" s="3" t="s">
        <v>1619</v>
      </c>
      <c r="T2835" s="3"/>
    </row>
    <row r="2836" spans="1:20">
      <c r="A2836" s="3" t="s">
        <v>1604</v>
      </c>
      <c r="B2836" s="3" t="s">
        <v>1601</v>
      </c>
      <c r="C2836" s="3" t="s">
        <v>1596</v>
      </c>
      <c r="D2836" s="3" t="s">
        <v>330</v>
      </c>
      <c r="E2836" s="3" t="s">
        <v>331</v>
      </c>
      <c r="F2836" s="2">
        <v>1</v>
      </c>
      <c r="G2836" s="4">
        <v>1.0940596491802739</v>
      </c>
      <c r="H2836" s="2">
        <v>25</v>
      </c>
      <c r="I2836" s="2">
        <v>30</v>
      </c>
      <c r="J2836" s="2">
        <v>16</v>
      </c>
      <c r="K2836" s="4">
        <v>1</v>
      </c>
      <c r="L2836" s="4">
        <v>-0.56700804575189001</v>
      </c>
      <c r="M2836" s="4">
        <v>0.56700804575189001</v>
      </c>
      <c r="N2836" s="10">
        <v>0.56699999999999995</v>
      </c>
      <c r="O2836" s="4">
        <v>3.1884593537615329</v>
      </c>
      <c r="P2836" s="4">
        <v>-3.19</v>
      </c>
      <c r="Q2836" s="3" t="s">
        <v>1617</v>
      </c>
      <c r="R2836" s="3" t="s">
        <v>1618</v>
      </c>
      <c r="S2836" s="3" t="s">
        <v>1619</v>
      </c>
      <c r="T2836" s="3"/>
    </row>
    <row r="2837" spans="1:20">
      <c r="A2837" s="3" t="s">
        <v>1600</v>
      </c>
      <c r="B2837" s="3" t="s">
        <v>1601</v>
      </c>
      <c r="C2837" s="3" t="s">
        <v>1596</v>
      </c>
      <c r="D2837" s="3" t="s">
        <v>330</v>
      </c>
      <c r="E2837" s="3" t="s">
        <v>331</v>
      </c>
      <c r="F2837" s="2">
        <v>1</v>
      </c>
      <c r="G2837" s="4">
        <v>1.0940596491802739</v>
      </c>
      <c r="H2837" s="2">
        <v>25</v>
      </c>
      <c r="I2837" s="2">
        <v>5</v>
      </c>
      <c r="J2837" s="2">
        <v>1</v>
      </c>
      <c r="K2837" s="4">
        <v>0.96110572264896188</v>
      </c>
      <c r="L2837" s="4">
        <v>-0.5712799401294244</v>
      </c>
      <c r="M2837" s="4">
        <v>0.5712799401294244</v>
      </c>
      <c r="N2837" s="10">
        <v>0.57099999999999995</v>
      </c>
      <c r="O2837" s="4">
        <v>3.2197871143716537</v>
      </c>
      <c r="P2837" s="4">
        <v>-3.22</v>
      </c>
      <c r="Q2837" s="3" t="s">
        <v>1617</v>
      </c>
      <c r="R2837" s="3" t="s">
        <v>1618</v>
      </c>
      <c r="S2837" s="3" t="s">
        <v>1619</v>
      </c>
      <c r="T2837" s="3"/>
    </row>
    <row r="2838" spans="1:20">
      <c r="A2838" s="3" t="s">
        <v>1600</v>
      </c>
      <c r="B2838" s="3" t="s">
        <v>1609</v>
      </c>
      <c r="C2838" s="3" t="s">
        <v>1596</v>
      </c>
      <c r="D2838" s="3" t="s">
        <v>330</v>
      </c>
      <c r="E2838" s="3" t="s">
        <v>331</v>
      </c>
      <c r="F2838" s="2">
        <v>1</v>
      </c>
      <c r="G2838" s="4">
        <v>1.0940596491802739</v>
      </c>
      <c r="H2838" s="2">
        <v>25</v>
      </c>
      <c r="I2838" s="2">
        <v>5</v>
      </c>
      <c r="J2838" s="2">
        <v>16</v>
      </c>
      <c r="K2838" s="4">
        <v>1</v>
      </c>
      <c r="L2838" s="4">
        <v>-0.57216924005016989</v>
      </c>
      <c r="M2838" s="4">
        <v>0.57216924005016989</v>
      </c>
      <c r="N2838" s="10">
        <v>0.57199999999999995</v>
      </c>
      <c r="O2838" s="4">
        <v>3.2263372416404548</v>
      </c>
      <c r="P2838" s="4">
        <v>-3.23</v>
      </c>
      <c r="Q2838" s="3" t="s">
        <v>1617</v>
      </c>
      <c r="R2838" s="3" t="s">
        <v>1623</v>
      </c>
      <c r="S2838" s="3" t="s">
        <v>1624</v>
      </c>
      <c r="T2838" s="3"/>
    </row>
    <row r="2839" spans="1:20">
      <c r="A2839" s="3" t="s">
        <v>1600</v>
      </c>
      <c r="B2839" s="3" t="s">
        <v>1609</v>
      </c>
      <c r="C2839" s="3" t="s">
        <v>1616</v>
      </c>
      <c r="D2839" s="3" t="s">
        <v>330</v>
      </c>
      <c r="E2839" s="3" t="s">
        <v>331</v>
      </c>
      <c r="F2839" s="2">
        <v>1</v>
      </c>
      <c r="G2839" s="4">
        <v>1.0940596491802739</v>
      </c>
      <c r="H2839" s="2">
        <v>25</v>
      </c>
      <c r="I2839" s="2">
        <v>5</v>
      </c>
      <c r="J2839" s="2">
        <v>1</v>
      </c>
      <c r="K2839" s="4">
        <v>1</v>
      </c>
      <c r="L2839" s="4">
        <v>-0.59065012082321966</v>
      </c>
      <c r="M2839" s="4">
        <v>0.59065012082321966</v>
      </c>
      <c r="N2839" s="10">
        <v>0.59099999999999997</v>
      </c>
      <c r="O2839" s="4">
        <v>3.3647725481550719</v>
      </c>
      <c r="P2839" s="4">
        <v>-3.37</v>
      </c>
      <c r="Q2839" s="3" t="s">
        <v>1617</v>
      </c>
      <c r="R2839" s="3" t="s">
        <v>1623</v>
      </c>
      <c r="S2839" s="3" t="s">
        <v>1624</v>
      </c>
      <c r="T2839" s="3"/>
    </row>
    <row r="2840" spans="1:20">
      <c r="A2840" s="3" t="s">
        <v>1600</v>
      </c>
      <c r="B2840" s="3" t="s">
        <v>1601</v>
      </c>
      <c r="C2840" s="3" t="s">
        <v>1596</v>
      </c>
      <c r="D2840" s="3" t="s">
        <v>330</v>
      </c>
      <c r="E2840" s="3" t="s">
        <v>331</v>
      </c>
      <c r="F2840" s="2">
        <v>1</v>
      </c>
      <c r="G2840" s="4">
        <v>1.0940596491802739</v>
      </c>
      <c r="H2840" s="2">
        <v>25</v>
      </c>
      <c r="I2840" s="2">
        <v>5</v>
      </c>
      <c r="J2840" s="2">
        <v>16</v>
      </c>
      <c r="K2840" s="4">
        <v>1</v>
      </c>
      <c r="L2840" s="4">
        <v>-0.59089755515804721</v>
      </c>
      <c r="M2840" s="4">
        <v>0.59089755515804721</v>
      </c>
      <c r="N2840" s="10">
        <v>0.59099999999999997</v>
      </c>
      <c r="O2840" s="4">
        <v>3.3666570175597679</v>
      </c>
      <c r="P2840" s="4">
        <v>-3.37</v>
      </c>
      <c r="Q2840" s="3" t="s">
        <v>1617</v>
      </c>
      <c r="R2840" s="3" t="s">
        <v>1618</v>
      </c>
      <c r="S2840" s="3" t="s">
        <v>1619</v>
      </c>
      <c r="T2840" s="3"/>
    </row>
    <row r="2841" spans="1:20">
      <c r="A2841" s="3" t="s">
        <v>1600</v>
      </c>
      <c r="B2841" s="3" t="s">
        <v>1609</v>
      </c>
      <c r="C2841" s="3" t="s">
        <v>1596</v>
      </c>
      <c r="D2841" s="3" t="s">
        <v>330</v>
      </c>
      <c r="E2841" s="3" t="s">
        <v>331</v>
      </c>
      <c r="F2841" s="2">
        <v>1</v>
      </c>
      <c r="G2841" s="4">
        <v>1.0940596491802739</v>
      </c>
      <c r="H2841" s="2">
        <v>25</v>
      </c>
      <c r="I2841" s="2">
        <v>5</v>
      </c>
      <c r="J2841" s="2">
        <v>1</v>
      </c>
      <c r="K2841" s="11">
        <v>1</v>
      </c>
      <c r="L2841" s="11">
        <v>-0.59579823898689366</v>
      </c>
      <c r="M2841" s="4">
        <v>0.59579823898689366</v>
      </c>
      <c r="N2841" s="10">
        <v>0.59599999999999997</v>
      </c>
      <c r="O2841" s="4">
        <v>3.4041567573956804</v>
      </c>
      <c r="P2841" s="4">
        <v>-3.41</v>
      </c>
      <c r="Q2841" s="3" t="s">
        <v>1617</v>
      </c>
      <c r="R2841" s="3" t="s">
        <v>1623</v>
      </c>
      <c r="S2841" s="3" t="s">
        <v>1624</v>
      </c>
      <c r="T2841" s="3"/>
    </row>
    <row r="2842" spans="1:20">
      <c r="A2842" s="12" t="s">
        <v>1605</v>
      </c>
      <c r="B2842" s="3" t="s">
        <v>1601</v>
      </c>
      <c r="C2842" s="3" t="s">
        <v>1596</v>
      </c>
      <c r="D2842" s="3" t="s">
        <v>330</v>
      </c>
      <c r="E2842" s="3" t="s">
        <v>331</v>
      </c>
      <c r="F2842" s="2">
        <v>1</v>
      </c>
      <c r="G2842" s="4">
        <v>1.0940596491802739</v>
      </c>
      <c r="H2842" s="2">
        <v>25</v>
      </c>
      <c r="I2842" s="2">
        <v>5</v>
      </c>
      <c r="J2842" s="2">
        <v>16</v>
      </c>
      <c r="K2842" s="11">
        <v>1</v>
      </c>
      <c r="L2842" s="11">
        <v>-0.59580689383749852</v>
      </c>
      <c r="M2842" s="4">
        <v>0.59580689383749852</v>
      </c>
      <c r="N2842" s="10">
        <v>0.59599999999999997</v>
      </c>
      <c r="O2842" s="4">
        <v>3.4042232828442915</v>
      </c>
      <c r="P2842" s="4">
        <v>-3.41</v>
      </c>
      <c r="Q2842" s="3" t="s">
        <v>1617</v>
      </c>
      <c r="R2842" s="3" t="s">
        <v>1618</v>
      </c>
      <c r="S2842" s="3" t="s">
        <v>1619</v>
      </c>
      <c r="T2842" s="3"/>
    </row>
    <row r="2843" spans="1:20">
      <c r="A2843" s="3" t="s">
        <v>1600</v>
      </c>
      <c r="B2843" s="3" t="s">
        <v>1609</v>
      </c>
      <c r="C2843" s="3" t="s">
        <v>1616</v>
      </c>
      <c r="D2843" s="3" t="s">
        <v>330</v>
      </c>
      <c r="E2843" s="3" t="s">
        <v>331</v>
      </c>
      <c r="F2843" s="2">
        <v>1</v>
      </c>
      <c r="G2843" s="4">
        <v>1.0940596491802739</v>
      </c>
      <c r="H2843" s="2">
        <v>25</v>
      </c>
      <c r="I2843" s="2">
        <v>5</v>
      </c>
      <c r="J2843" s="2">
        <v>16</v>
      </c>
      <c r="K2843" s="11">
        <v>1</v>
      </c>
      <c r="L2843" s="11">
        <v>-0.62014436386754335</v>
      </c>
      <c r="M2843" s="4">
        <v>0.62014436386754335</v>
      </c>
      <c r="N2843" s="10">
        <v>0.62</v>
      </c>
      <c r="O2843" s="4">
        <v>3.595691929319865</v>
      </c>
      <c r="P2843" s="4">
        <v>-3.59</v>
      </c>
      <c r="Q2843" s="3" t="s">
        <v>1617</v>
      </c>
      <c r="R2843" s="3" t="s">
        <v>1623</v>
      </c>
      <c r="S2843" s="3" t="s">
        <v>1624</v>
      </c>
      <c r="T2843" s="3"/>
    </row>
    <row r="2844" spans="1:20">
      <c r="A2844" s="3" t="s">
        <v>1600</v>
      </c>
      <c r="B2844" s="3" t="s">
        <v>1606</v>
      </c>
      <c r="C2844" s="3" t="s">
        <v>1596</v>
      </c>
      <c r="D2844" s="3" t="s">
        <v>330</v>
      </c>
      <c r="E2844" s="3" t="s">
        <v>331</v>
      </c>
      <c r="F2844" s="2">
        <v>1</v>
      </c>
      <c r="G2844" s="4">
        <v>1.0940596491802739</v>
      </c>
      <c r="H2844" s="2">
        <v>25</v>
      </c>
      <c r="I2844" s="2">
        <v>5</v>
      </c>
      <c r="J2844" s="2">
        <v>1</v>
      </c>
      <c r="K2844" s="11">
        <v>1</v>
      </c>
      <c r="L2844" s="11">
        <v>-0.64357218424016283</v>
      </c>
      <c r="M2844" s="4">
        <v>0.64357218424016283</v>
      </c>
      <c r="N2844" s="10">
        <v>0.64400000000000002</v>
      </c>
      <c r="O2844" s="4">
        <v>3.7890918839983656</v>
      </c>
      <c r="P2844" s="4">
        <v>-3.79</v>
      </c>
      <c r="Q2844" s="3" t="s">
        <v>1617</v>
      </c>
      <c r="R2844" s="3" t="s">
        <v>1621</v>
      </c>
      <c r="S2844" s="3" t="s">
        <v>1622</v>
      </c>
      <c r="T2844" s="3"/>
    </row>
    <row r="2845" spans="1:20">
      <c r="A2845" s="3" t="s">
        <v>1600</v>
      </c>
      <c r="B2845" s="3" t="s">
        <v>1606</v>
      </c>
      <c r="C2845" s="3" t="s">
        <v>1616</v>
      </c>
      <c r="D2845" s="3" t="s">
        <v>330</v>
      </c>
      <c r="E2845" s="3" t="s">
        <v>331</v>
      </c>
      <c r="F2845" s="2">
        <v>1</v>
      </c>
      <c r="G2845" s="4">
        <v>1.0940596491802739</v>
      </c>
      <c r="H2845" s="2">
        <v>25</v>
      </c>
      <c r="I2845" s="2">
        <v>5</v>
      </c>
      <c r="J2845" s="2">
        <v>1</v>
      </c>
      <c r="K2845" s="4">
        <v>1</v>
      </c>
      <c r="L2845" s="4">
        <v>-0.64862785739760709</v>
      </c>
      <c r="M2845" s="4">
        <v>0.64862785739760709</v>
      </c>
      <c r="N2845" s="10">
        <v>0.64900000000000002</v>
      </c>
      <c r="O2845" s="4">
        <v>3.8321197015640136</v>
      </c>
      <c r="P2845" s="4">
        <v>-3.84</v>
      </c>
      <c r="Q2845" s="3" t="s">
        <v>1617</v>
      </c>
      <c r="R2845" s="3" t="s">
        <v>1621</v>
      </c>
      <c r="S2845" s="3" t="s">
        <v>1622</v>
      </c>
      <c r="T2845" s="3"/>
    </row>
    <row r="2846" spans="1:20">
      <c r="A2846" s="3" t="s">
        <v>1600</v>
      </c>
      <c r="B2846" s="3" t="s">
        <v>1606</v>
      </c>
      <c r="C2846" s="3" t="s">
        <v>1616</v>
      </c>
      <c r="D2846" s="3" t="s">
        <v>330</v>
      </c>
      <c r="E2846" s="3" t="s">
        <v>331</v>
      </c>
      <c r="F2846" s="2">
        <v>1</v>
      </c>
      <c r="G2846" s="4">
        <v>1.0940596491802739</v>
      </c>
      <c r="H2846" s="2">
        <v>25</v>
      </c>
      <c r="I2846" s="2">
        <v>5</v>
      </c>
      <c r="J2846" s="2">
        <v>16</v>
      </c>
      <c r="K2846" s="11">
        <v>1</v>
      </c>
      <c r="L2846" s="11">
        <v>-0.66107650888605429</v>
      </c>
      <c r="M2846" s="4">
        <v>0.66107650888605429</v>
      </c>
      <c r="N2846" s="10">
        <v>0.66100000000000003</v>
      </c>
      <c r="O2846" s="4">
        <v>3.940187979796026</v>
      </c>
      <c r="P2846" s="4">
        <v>-3.94</v>
      </c>
      <c r="Q2846" s="3" t="s">
        <v>1617</v>
      </c>
      <c r="R2846" s="3" t="s">
        <v>1621</v>
      </c>
      <c r="S2846" s="3" t="s">
        <v>1622</v>
      </c>
      <c r="T2846" s="3"/>
    </row>
    <row r="2847" spans="1:20">
      <c r="A2847" s="3" t="s">
        <v>1600</v>
      </c>
      <c r="B2847" s="3" t="s">
        <v>1606</v>
      </c>
      <c r="C2847" s="3" t="s">
        <v>1596</v>
      </c>
      <c r="D2847" s="3" t="s">
        <v>330</v>
      </c>
      <c r="E2847" s="3" t="s">
        <v>331</v>
      </c>
      <c r="F2847" s="2">
        <v>1</v>
      </c>
      <c r="G2847" s="4">
        <v>1.0940596491802739</v>
      </c>
      <c r="H2847" s="2">
        <v>25</v>
      </c>
      <c r="I2847" s="2">
        <v>5</v>
      </c>
      <c r="J2847" s="2">
        <v>16</v>
      </c>
      <c r="K2847" s="11">
        <v>1</v>
      </c>
      <c r="L2847" s="11">
        <v>-0.70635463723033887</v>
      </c>
      <c r="M2847" s="4">
        <v>0.70635463723033887</v>
      </c>
      <c r="N2847" s="10">
        <v>0.70599999999999996</v>
      </c>
      <c r="O2847" s="4">
        <v>4.362343900445449</v>
      </c>
      <c r="P2847" s="4">
        <v>-4.3600000000000003</v>
      </c>
      <c r="Q2847" s="3" t="s">
        <v>1617</v>
      </c>
      <c r="R2847" s="3" t="s">
        <v>1621</v>
      </c>
      <c r="S2847" s="3" t="s">
        <v>1622</v>
      </c>
      <c r="T2847" s="3"/>
    </row>
    <row r="2848" spans="1:20">
      <c r="A2848" s="3" t="s">
        <v>1594</v>
      </c>
      <c r="B2848" s="3" t="s">
        <v>1612</v>
      </c>
      <c r="C2848" s="3" t="s">
        <v>1596</v>
      </c>
      <c r="D2848" s="3" t="s">
        <v>667</v>
      </c>
      <c r="E2848" s="3" t="s">
        <v>668</v>
      </c>
      <c r="F2848" s="2">
        <v>1</v>
      </c>
      <c r="G2848" s="4">
        <v>1.094235964494086</v>
      </c>
      <c r="H2848" s="2">
        <v>50</v>
      </c>
      <c r="I2848" s="2">
        <v>5</v>
      </c>
      <c r="J2848" s="2">
        <v>16</v>
      </c>
      <c r="K2848" s="4">
        <v>0.7867931996001869</v>
      </c>
      <c r="L2848" s="14">
        <v>0.49293826255254197</v>
      </c>
      <c r="M2848" s="4">
        <v>0.49293826255254197</v>
      </c>
      <c r="N2848" s="10">
        <v>0.49299999999999999</v>
      </c>
      <c r="O2848" s="4">
        <v>2.9014242920371682</v>
      </c>
      <c r="P2848" s="4">
        <v>2.9</v>
      </c>
      <c r="Q2848" s="3" t="s">
        <v>1597</v>
      </c>
      <c r="R2848" s="3" t="s">
        <v>1613</v>
      </c>
      <c r="S2848" s="3" t="s">
        <v>1614</v>
      </c>
      <c r="T2848" s="3"/>
    </row>
    <row r="2849" spans="1:20">
      <c r="A2849" s="3" t="s">
        <v>1594</v>
      </c>
      <c r="B2849" s="3" t="s">
        <v>1595</v>
      </c>
      <c r="C2849" s="3" t="s">
        <v>1596</v>
      </c>
      <c r="D2849" s="3" t="s">
        <v>667</v>
      </c>
      <c r="E2849" s="3" t="s">
        <v>668</v>
      </c>
      <c r="F2849" s="2">
        <v>1</v>
      </c>
      <c r="G2849" s="4">
        <v>1.094235964494086</v>
      </c>
      <c r="H2849" s="2">
        <v>50</v>
      </c>
      <c r="I2849" s="2">
        <v>5</v>
      </c>
      <c r="J2849" s="2">
        <v>16</v>
      </c>
      <c r="K2849" s="4">
        <v>1</v>
      </c>
      <c r="L2849" s="14">
        <v>-0.22091644153263792</v>
      </c>
      <c r="M2849" s="4">
        <v>0.22091644153263792</v>
      </c>
      <c r="N2849" s="10">
        <v>0.221</v>
      </c>
      <c r="O2849" s="4">
        <v>1.207028409403418</v>
      </c>
      <c r="P2849" s="4">
        <v>-1.21</v>
      </c>
      <c r="Q2849" s="3" t="s">
        <v>1617</v>
      </c>
      <c r="R2849" s="3" t="s">
        <v>1625</v>
      </c>
      <c r="S2849" s="3" t="s">
        <v>1626</v>
      </c>
      <c r="T2849" s="3"/>
    </row>
    <row r="2850" spans="1:20">
      <c r="A2850" s="3" t="s">
        <v>1600</v>
      </c>
      <c r="B2850" s="3" t="s">
        <v>1606</v>
      </c>
      <c r="C2850" s="3" t="s">
        <v>1616</v>
      </c>
      <c r="D2850" s="3" t="s">
        <v>667</v>
      </c>
      <c r="E2850" s="3" t="s">
        <v>668</v>
      </c>
      <c r="F2850" s="2">
        <v>1</v>
      </c>
      <c r="G2850" s="4">
        <v>1.094235964494086</v>
      </c>
      <c r="H2850" s="2">
        <v>25</v>
      </c>
      <c r="I2850" s="2">
        <v>5</v>
      </c>
      <c r="J2850" s="2">
        <v>16</v>
      </c>
      <c r="K2850" s="11">
        <v>1</v>
      </c>
      <c r="L2850" s="11">
        <v>-0.46917287818227649</v>
      </c>
      <c r="M2850" s="4">
        <v>0.46917287818227649</v>
      </c>
      <c r="N2850" s="10">
        <v>0.46899999999999997</v>
      </c>
      <c r="O2850" s="4">
        <v>2.5236353545942638</v>
      </c>
      <c r="P2850" s="4">
        <v>-2.52</v>
      </c>
      <c r="Q2850" s="3" t="s">
        <v>1617</v>
      </c>
      <c r="R2850" s="3" t="s">
        <v>1621</v>
      </c>
      <c r="S2850" s="3" t="s">
        <v>1622</v>
      </c>
      <c r="T2850" s="3"/>
    </row>
    <row r="2851" spans="1:20">
      <c r="A2851" s="3" t="s">
        <v>1600</v>
      </c>
      <c r="B2851" s="3" t="s">
        <v>1606</v>
      </c>
      <c r="C2851" s="3" t="s">
        <v>1616</v>
      </c>
      <c r="D2851" s="3" t="s">
        <v>667</v>
      </c>
      <c r="E2851" s="3" t="s">
        <v>668</v>
      </c>
      <c r="F2851" s="2">
        <v>1</v>
      </c>
      <c r="G2851" s="4">
        <v>1.094235964494086</v>
      </c>
      <c r="H2851" s="2">
        <v>25</v>
      </c>
      <c r="I2851" s="2">
        <v>5</v>
      </c>
      <c r="J2851" s="2">
        <v>1</v>
      </c>
      <c r="K2851" s="4">
        <v>1</v>
      </c>
      <c r="L2851" s="4">
        <v>-0.48230207317114626</v>
      </c>
      <c r="M2851" s="4">
        <v>0.48230207317114626</v>
      </c>
      <c r="N2851" s="10">
        <v>0.48199999999999998</v>
      </c>
      <c r="O2851" s="4">
        <v>2.6077746023549411</v>
      </c>
      <c r="P2851" s="4">
        <v>-2.61</v>
      </c>
      <c r="Q2851" s="3" t="s">
        <v>1617</v>
      </c>
      <c r="R2851" s="3" t="s">
        <v>1621</v>
      </c>
      <c r="S2851" s="3" t="s">
        <v>1622</v>
      </c>
      <c r="T2851" s="3"/>
    </row>
    <row r="2852" spans="1:20">
      <c r="A2852" s="3" t="s">
        <v>1600</v>
      </c>
      <c r="B2852" s="3" t="s">
        <v>1606</v>
      </c>
      <c r="C2852" s="3" t="s">
        <v>1596</v>
      </c>
      <c r="D2852" s="3" t="s">
        <v>667</v>
      </c>
      <c r="E2852" s="3" t="s">
        <v>668</v>
      </c>
      <c r="F2852" s="2">
        <v>1</v>
      </c>
      <c r="G2852" s="4">
        <v>1.094235964494086</v>
      </c>
      <c r="H2852" s="2">
        <v>25</v>
      </c>
      <c r="I2852" s="2">
        <v>5</v>
      </c>
      <c r="J2852" s="2">
        <v>1</v>
      </c>
      <c r="K2852" s="11">
        <v>1</v>
      </c>
      <c r="L2852" s="11">
        <v>-0.56835664735914293</v>
      </c>
      <c r="M2852" s="4">
        <v>0.56835664735914293</v>
      </c>
      <c r="N2852" s="10">
        <v>0.56799999999999995</v>
      </c>
      <c r="O2852" s="4">
        <v>3.1983249619579435</v>
      </c>
      <c r="P2852" s="4">
        <v>-3.2</v>
      </c>
      <c r="Q2852" s="3" t="s">
        <v>1617</v>
      </c>
      <c r="R2852" s="3" t="s">
        <v>1621</v>
      </c>
      <c r="S2852" s="3" t="s">
        <v>1622</v>
      </c>
      <c r="T2852" s="3"/>
    </row>
    <row r="2853" spans="1:20">
      <c r="A2853" s="3" t="s">
        <v>1600</v>
      </c>
      <c r="B2853" s="3" t="s">
        <v>1606</v>
      </c>
      <c r="C2853" s="3" t="s">
        <v>1596</v>
      </c>
      <c r="D2853" s="3" t="s">
        <v>667</v>
      </c>
      <c r="E2853" s="3" t="s">
        <v>668</v>
      </c>
      <c r="F2853" s="2">
        <v>1</v>
      </c>
      <c r="G2853" s="4">
        <v>1.094235964494086</v>
      </c>
      <c r="H2853" s="2">
        <v>25</v>
      </c>
      <c r="I2853" s="2">
        <v>5</v>
      </c>
      <c r="J2853" s="2">
        <v>16</v>
      </c>
      <c r="K2853" s="11">
        <v>1</v>
      </c>
      <c r="L2853" s="11">
        <v>-0.59589443324259361</v>
      </c>
      <c r="M2853" s="4">
        <v>0.59589443324259361</v>
      </c>
      <c r="N2853" s="10">
        <v>0.59599999999999997</v>
      </c>
      <c r="O2853" s="4">
        <v>3.4048962136663632</v>
      </c>
      <c r="P2853" s="4">
        <v>-3.41</v>
      </c>
      <c r="Q2853" s="3" t="s">
        <v>1617</v>
      </c>
      <c r="R2853" s="3" t="s">
        <v>1621</v>
      </c>
      <c r="S2853" s="3" t="s">
        <v>1622</v>
      </c>
      <c r="T2853" s="3"/>
    </row>
    <row r="2854" spans="1:20">
      <c r="A2854" s="3" t="s">
        <v>1600</v>
      </c>
      <c r="B2854" s="3" t="s">
        <v>1609</v>
      </c>
      <c r="C2854" s="3" t="s">
        <v>1616</v>
      </c>
      <c r="D2854" s="3" t="s">
        <v>667</v>
      </c>
      <c r="E2854" s="3" t="s">
        <v>668</v>
      </c>
      <c r="F2854" s="2">
        <v>1</v>
      </c>
      <c r="G2854" s="4">
        <v>1.094235964494086</v>
      </c>
      <c r="H2854" s="2">
        <v>25</v>
      </c>
      <c r="I2854" s="2">
        <v>5</v>
      </c>
      <c r="J2854" s="2">
        <v>16</v>
      </c>
      <c r="K2854" s="11">
        <v>1</v>
      </c>
      <c r="L2854" s="11">
        <v>-0.671880373175055</v>
      </c>
      <c r="M2854" s="4">
        <v>0.671880373175055</v>
      </c>
      <c r="N2854" s="10">
        <v>0.67200000000000004</v>
      </c>
      <c r="O2854" s="4">
        <v>4.0365682981163662</v>
      </c>
      <c r="P2854" s="4">
        <v>-4.04</v>
      </c>
      <c r="Q2854" s="3" t="s">
        <v>1617</v>
      </c>
      <c r="R2854" s="3" t="s">
        <v>1623</v>
      </c>
      <c r="S2854" s="3" t="s">
        <v>1624</v>
      </c>
      <c r="T2854" s="3"/>
    </row>
    <row r="2855" spans="1:20">
      <c r="A2855" s="3" t="s">
        <v>1604</v>
      </c>
      <c r="B2855" s="3" t="s">
        <v>1601</v>
      </c>
      <c r="C2855" s="3" t="s">
        <v>1596</v>
      </c>
      <c r="D2855" s="3" t="s">
        <v>667</v>
      </c>
      <c r="E2855" s="3" t="s">
        <v>668</v>
      </c>
      <c r="F2855" s="2">
        <v>1</v>
      </c>
      <c r="G2855" s="4">
        <v>1.094235964494086</v>
      </c>
      <c r="H2855" s="2">
        <v>25</v>
      </c>
      <c r="I2855" s="2">
        <v>30</v>
      </c>
      <c r="J2855" s="2">
        <v>16</v>
      </c>
      <c r="K2855" s="4">
        <v>1</v>
      </c>
      <c r="L2855" s="4">
        <v>-0.69954103404291779</v>
      </c>
      <c r="M2855" s="4">
        <v>0.69954103404291779</v>
      </c>
      <c r="N2855" s="10">
        <v>0.7</v>
      </c>
      <c r="O2855" s="4">
        <v>4.2955618086210219</v>
      </c>
      <c r="P2855" s="4">
        <v>-4.3</v>
      </c>
      <c r="Q2855" s="3" t="s">
        <v>1617</v>
      </c>
      <c r="R2855" s="3" t="s">
        <v>1618</v>
      </c>
      <c r="S2855" s="3" t="s">
        <v>1619</v>
      </c>
      <c r="T2855" s="3"/>
    </row>
    <row r="2856" spans="1:20">
      <c r="A2856" s="3" t="s">
        <v>1604</v>
      </c>
      <c r="B2856" s="3" t="s">
        <v>1601</v>
      </c>
      <c r="C2856" s="3" t="s">
        <v>1616</v>
      </c>
      <c r="D2856" s="3" t="s">
        <v>667</v>
      </c>
      <c r="E2856" s="3" t="s">
        <v>668</v>
      </c>
      <c r="F2856" s="2">
        <v>1</v>
      </c>
      <c r="G2856" s="4">
        <v>1.094235964494086</v>
      </c>
      <c r="H2856" s="2">
        <v>25</v>
      </c>
      <c r="I2856" s="2">
        <v>30</v>
      </c>
      <c r="J2856" s="2">
        <v>16</v>
      </c>
      <c r="K2856" s="4">
        <v>1</v>
      </c>
      <c r="L2856" s="4">
        <v>-0.70751507775631683</v>
      </c>
      <c r="M2856" s="4">
        <v>0.70751507775631683</v>
      </c>
      <c r="N2856" s="10">
        <v>0.70799999999999996</v>
      </c>
      <c r="O2856" s="4">
        <v>4.3738451018222966</v>
      </c>
      <c r="P2856" s="4">
        <v>-4.38</v>
      </c>
      <c r="Q2856" s="3" t="s">
        <v>1617</v>
      </c>
      <c r="R2856" s="3" t="s">
        <v>1618</v>
      </c>
      <c r="S2856" s="3" t="s">
        <v>1619</v>
      </c>
      <c r="T2856" s="3"/>
    </row>
    <row r="2857" spans="1:20">
      <c r="A2857" s="3" t="s">
        <v>1600</v>
      </c>
      <c r="B2857" s="3" t="s">
        <v>1601</v>
      </c>
      <c r="C2857" s="3" t="s">
        <v>1616</v>
      </c>
      <c r="D2857" s="3" t="s">
        <v>667</v>
      </c>
      <c r="E2857" s="3" t="s">
        <v>668</v>
      </c>
      <c r="F2857" s="2">
        <v>1</v>
      </c>
      <c r="G2857" s="4">
        <v>1.094235964494086</v>
      </c>
      <c r="H2857" s="2">
        <v>25</v>
      </c>
      <c r="I2857" s="2">
        <v>5</v>
      </c>
      <c r="J2857" s="2">
        <v>16</v>
      </c>
      <c r="K2857" s="4">
        <v>1</v>
      </c>
      <c r="L2857" s="4">
        <v>-0.71223283021265849</v>
      </c>
      <c r="M2857" s="4">
        <v>0.71223283021265849</v>
      </c>
      <c r="N2857" s="10">
        <v>0.71199999999999997</v>
      </c>
      <c r="O2857" s="4">
        <v>4.4209963834645647</v>
      </c>
      <c r="P2857" s="4">
        <v>-4.42</v>
      </c>
      <c r="Q2857" s="3" t="s">
        <v>1617</v>
      </c>
      <c r="R2857" s="3" t="s">
        <v>1618</v>
      </c>
      <c r="S2857" s="3" t="s">
        <v>1619</v>
      </c>
      <c r="T2857" s="3"/>
    </row>
    <row r="2858" spans="1:20">
      <c r="A2858" s="3" t="s">
        <v>1600</v>
      </c>
      <c r="B2858" s="3" t="s">
        <v>1609</v>
      </c>
      <c r="C2858" s="3" t="s">
        <v>1616</v>
      </c>
      <c r="D2858" s="3" t="s">
        <v>667</v>
      </c>
      <c r="E2858" s="3" t="s">
        <v>668</v>
      </c>
      <c r="F2858" s="2">
        <v>1</v>
      </c>
      <c r="G2858" s="4">
        <v>1.094235964494086</v>
      </c>
      <c r="H2858" s="2">
        <v>25</v>
      </c>
      <c r="I2858" s="2">
        <v>5</v>
      </c>
      <c r="J2858" s="2">
        <v>1</v>
      </c>
      <c r="K2858" s="4">
        <v>1</v>
      </c>
      <c r="L2858" s="4">
        <v>-0.71334231502968959</v>
      </c>
      <c r="M2858" s="4">
        <v>0.71334231502968959</v>
      </c>
      <c r="N2858" s="10">
        <v>0.71299999999999997</v>
      </c>
      <c r="O2858" s="4">
        <v>4.4321782948038928</v>
      </c>
      <c r="P2858" s="4">
        <v>-4.43</v>
      </c>
      <c r="Q2858" s="3" t="s">
        <v>1617</v>
      </c>
      <c r="R2858" s="3" t="s">
        <v>1623</v>
      </c>
      <c r="S2858" s="3" t="s">
        <v>1624</v>
      </c>
      <c r="T2858" s="3"/>
    </row>
    <row r="2859" spans="1:20">
      <c r="A2859" s="3" t="s">
        <v>1600</v>
      </c>
      <c r="B2859" s="3" t="s">
        <v>1601</v>
      </c>
      <c r="C2859" s="3" t="s">
        <v>1616</v>
      </c>
      <c r="D2859" s="3" t="s">
        <v>667</v>
      </c>
      <c r="E2859" s="3" t="s">
        <v>668</v>
      </c>
      <c r="F2859" s="2">
        <v>1</v>
      </c>
      <c r="G2859" s="4">
        <v>1.094235964494086</v>
      </c>
      <c r="H2859" s="2">
        <v>25</v>
      </c>
      <c r="I2859" s="2">
        <v>5</v>
      </c>
      <c r="J2859" s="2">
        <v>1</v>
      </c>
      <c r="K2859" s="4">
        <v>1</v>
      </c>
      <c r="L2859" s="4">
        <v>-0.72273830188893018</v>
      </c>
      <c r="M2859" s="4">
        <v>0.72273830188893018</v>
      </c>
      <c r="N2859" s="10">
        <v>0.72299999999999998</v>
      </c>
      <c r="O2859" s="4">
        <v>4.5283522888974179</v>
      </c>
      <c r="P2859" s="4">
        <v>-4.53</v>
      </c>
      <c r="Q2859" s="3" t="s">
        <v>1617</v>
      </c>
      <c r="R2859" s="3" t="s">
        <v>1618</v>
      </c>
      <c r="S2859" s="3" t="s">
        <v>1619</v>
      </c>
      <c r="T2859" s="3"/>
    </row>
    <row r="2860" spans="1:20">
      <c r="A2860" s="3" t="s">
        <v>1600</v>
      </c>
      <c r="B2860" s="3" t="s">
        <v>1601</v>
      </c>
      <c r="C2860" s="3" t="s">
        <v>1596</v>
      </c>
      <c r="D2860" s="3" t="s">
        <v>667</v>
      </c>
      <c r="E2860" s="3" t="s">
        <v>668</v>
      </c>
      <c r="F2860" s="2">
        <v>1</v>
      </c>
      <c r="G2860" s="4">
        <v>1.094235964494086</v>
      </c>
      <c r="H2860" s="2">
        <v>25</v>
      </c>
      <c r="I2860" s="2">
        <v>5</v>
      </c>
      <c r="J2860" s="2">
        <v>1</v>
      </c>
      <c r="K2860" s="4">
        <v>1</v>
      </c>
      <c r="L2860" s="4">
        <v>-0.74172144002691764</v>
      </c>
      <c r="M2860" s="4">
        <v>0.74172144002691764</v>
      </c>
      <c r="N2860" s="10">
        <v>0.74199999999999999</v>
      </c>
      <c r="O2860" s="4">
        <v>4.7313352181672297</v>
      </c>
      <c r="P2860" s="4">
        <v>-4.7300000000000004</v>
      </c>
      <c r="Q2860" s="3" t="s">
        <v>1617</v>
      </c>
      <c r="R2860" s="3" t="s">
        <v>1618</v>
      </c>
      <c r="S2860" s="3" t="s">
        <v>1619</v>
      </c>
      <c r="T2860" s="3"/>
    </row>
    <row r="2861" spans="1:20">
      <c r="A2861" s="3" t="s">
        <v>1600</v>
      </c>
      <c r="B2861" s="3" t="s">
        <v>1601</v>
      </c>
      <c r="C2861" s="3" t="s">
        <v>1596</v>
      </c>
      <c r="D2861" s="3" t="s">
        <v>667</v>
      </c>
      <c r="E2861" s="3" t="s">
        <v>668</v>
      </c>
      <c r="F2861" s="2">
        <v>1</v>
      </c>
      <c r="G2861" s="4">
        <v>1.094235964494086</v>
      </c>
      <c r="H2861" s="2">
        <v>25</v>
      </c>
      <c r="I2861" s="2">
        <v>5</v>
      </c>
      <c r="J2861" s="2">
        <v>16</v>
      </c>
      <c r="K2861" s="4">
        <v>1</v>
      </c>
      <c r="L2861" s="4">
        <v>-0.7421121140965462</v>
      </c>
      <c r="M2861" s="4">
        <v>0.7421121140965462</v>
      </c>
      <c r="N2861" s="10">
        <v>0.74199999999999999</v>
      </c>
      <c r="O2861" s="4">
        <v>4.7356437413140036</v>
      </c>
      <c r="P2861" s="4">
        <v>-4.7300000000000004</v>
      </c>
      <c r="Q2861" s="3" t="s">
        <v>1617</v>
      </c>
      <c r="R2861" s="3" t="s">
        <v>1618</v>
      </c>
      <c r="S2861" s="3" t="s">
        <v>1619</v>
      </c>
      <c r="T2861" s="3"/>
    </row>
    <row r="2862" spans="1:20">
      <c r="A2862" s="12" t="s">
        <v>1605</v>
      </c>
      <c r="B2862" s="3" t="s">
        <v>1601</v>
      </c>
      <c r="C2862" s="3" t="s">
        <v>1596</v>
      </c>
      <c r="D2862" s="3" t="s">
        <v>667</v>
      </c>
      <c r="E2862" s="3" t="s">
        <v>668</v>
      </c>
      <c r="F2862" s="2">
        <v>1</v>
      </c>
      <c r="G2862" s="4">
        <v>1.094235964494086</v>
      </c>
      <c r="H2862" s="2">
        <v>25</v>
      </c>
      <c r="I2862" s="2">
        <v>5</v>
      </c>
      <c r="J2862" s="2">
        <v>16</v>
      </c>
      <c r="K2862" s="11">
        <v>1</v>
      </c>
      <c r="L2862" s="11">
        <v>-0.74970220606598803</v>
      </c>
      <c r="M2862" s="4">
        <v>0.74970220606598803</v>
      </c>
      <c r="N2862" s="10">
        <v>0.75</v>
      </c>
      <c r="O2862" s="4">
        <v>4.8204763246263731</v>
      </c>
      <c r="P2862" s="4">
        <v>-4.82</v>
      </c>
      <c r="Q2862" s="3" t="s">
        <v>1617</v>
      </c>
      <c r="R2862" s="3" t="s">
        <v>1618</v>
      </c>
      <c r="S2862" s="3" t="s">
        <v>1619</v>
      </c>
      <c r="T2862" s="3"/>
    </row>
    <row r="2863" spans="1:20">
      <c r="A2863" s="3" t="s">
        <v>1600</v>
      </c>
      <c r="B2863" s="3" t="s">
        <v>1609</v>
      </c>
      <c r="C2863" s="3" t="s">
        <v>1596</v>
      </c>
      <c r="D2863" s="3" t="s">
        <v>667</v>
      </c>
      <c r="E2863" s="3" t="s">
        <v>668</v>
      </c>
      <c r="F2863" s="2">
        <v>1</v>
      </c>
      <c r="G2863" s="4">
        <v>1.094235964494086</v>
      </c>
      <c r="H2863" s="2">
        <v>25</v>
      </c>
      <c r="I2863" s="2">
        <v>5</v>
      </c>
      <c r="J2863" s="2">
        <v>16</v>
      </c>
      <c r="K2863" s="4">
        <v>1</v>
      </c>
      <c r="L2863" s="4">
        <v>-0.89200669709635039</v>
      </c>
      <c r="M2863" s="4">
        <v>0.89200669709635039</v>
      </c>
      <c r="N2863" s="10">
        <v>0.89200000000000002</v>
      </c>
      <c r="O2863" s="4">
        <v>7.0980892547695449</v>
      </c>
      <c r="P2863" s="4">
        <v>-7.1</v>
      </c>
      <c r="Q2863" s="3" t="s">
        <v>1617</v>
      </c>
      <c r="R2863" s="3" t="s">
        <v>1623</v>
      </c>
      <c r="S2863" s="3" t="s">
        <v>1624</v>
      </c>
      <c r="T2863" s="3"/>
    </row>
    <row r="2864" spans="1:20">
      <c r="A2864" s="3" t="s">
        <v>1600</v>
      </c>
      <c r="B2864" s="3" t="s">
        <v>1609</v>
      </c>
      <c r="C2864" s="3" t="s">
        <v>1596</v>
      </c>
      <c r="D2864" s="3" t="s">
        <v>667</v>
      </c>
      <c r="E2864" s="3" t="s">
        <v>668</v>
      </c>
      <c r="F2864" s="2">
        <v>1</v>
      </c>
      <c r="G2864" s="4">
        <v>1.094235964494086</v>
      </c>
      <c r="H2864" s="2">
        <v>25</v>
      </c>
      <c r="I2864" s="2">
        <v>5</v>
      </c>
      <c r="J2864" s="2">
        <v>1</v>
      </c>
      <c r="K2864" s="11">
        <v>1</v>
      </c>
      <c r="L2864" s="11">
        <v>-0.9042325026796133</v>
      </c>
      <c r="M2864" s="4">
        <v>0.9042325026796133</v>
      </c>
      <c r="N2864" s="10">
        <v>0.90400000000000003</v>
      </c>
      <c r="O2864" s="4">
        <v>7.4118941398299958</v>
      </c>
      <c r="P2864" s="4">
        <v>-7.41</v>
      </c>
      <c r="Q2864" s="3" t="s">
        <v>1617</v>
      </c>
      <c r="R2864" s="3" t="s">
        <v>1623</v>
      </c>
      <c r="S2864" s="3" t="s">
        <v>1624</v>
      </c>
      <c r="T2864" s="3"/>
    </row>
    <row r="2865" spans="1:20">
      <c r="A2865" s="3" t="s">
        <v>1600</v>
      </c>
      <c r="B2865" s="3" t="s">
        <v>1609</v>
      </c>
      <c r="C2865" s="3" t="s">
        <v>1596</v>
      </c>
      <c r="D2865" s="3" t="s">
        <v>402</v>
      </c>
      <c r="E2865" s="3" t="s">
        <v>403</v>
      </c>
      <c r="F2865" s="2">
        <v>1</v>
      </c>
      <c r="G2865" s="4">
        <v>1.0955344850987918</v>
      </c>
      <c r="H2865" s="2">
        <v>25</v>
      </c>
      <c r="I2865" s="2">
        <v>5</v>
      </c>
      <c r="J2865" s="2">
        <v>16</v>
      </c>
      <c r="K2865" s="4">
        <v>0.40774352843032524</v>
      </c>
      <c r="L2865" s="4">
        <v>0.37201816333554311</v>
      </c>
      <c r="M2865" s="4">
        <v>0.37201816333554311</v>
      </c>
      <c r="N2865" s="10">
        <v>0.372</v>
      </c>
      <c r="O2865" s="4">
        <v>1.9373800731410757</v>
      </c>
      <c r="P2865" s="4">
        <v>1.94</v>
      </c>
      <c r="Q2865" s="3" t="s">
        <v>1597</v>
      </c>
      <c r="R2865" s="3" t="s">
        <v>1610</v>
      </c>
      <c r="S2865" s="3" t="s">
        <v>1611</v>
      </c>
      <c r="T2865" s="3"/>
    </row>
    <row r="2866" spans="1:20">
      <c r="A2866" s="3" t="s">
        <v>1594</v>
      </c>
      <c r="B2866" s="3" t="s">
        <v>1595</v>
      </c>
      <c r="C2866" s="3" t="s">
        <v>1596</v>
      </c>
      <c r="D2866" s="3" t="s">
        <v>402</v>
      </c>
      <c r="E2866" s="3" t="s">
        <v>403</v>
      </c>
      <c r="F2866" s="2">
        <v>1</v>
      </c>
      <c r="G2866" s="4">
        <v>1.0955344850987918</v>
      </c>
      <c r="H2866" s="2">
        <v>50</v>
      </c>
      <c r="I2866" s="2">
        <v>5</v>
      </c>
      <c r="J2866" s="2">
        <v>16</v>
      </c>
      <c r="K2866" s="4">
        <v>0.34358268340087766</v>
      </c>
      <c r="L2866" s="14">
        <v>1.2356061038404057E-2</v>
      </c>
      <c r="M2866" s="4">
        <v>1.2356061038404057E-2</v>
      </c>
      <c r="N2866" s="10">
        <v>1.2E-2</v>
      </c>
      <c r="O2866" s="4">
        <v>6.6400666957516619E-2</v>
      </c>
      <c r="P2866" s="4">
        <v>0.06</v>
      </c>
      <c r="Q2866" s="3" t="s">
        <v>1597</v>
      </c>
      <c r="R2866" s="3" t="s">
        <v>1598</v>
      </c>
      <c r="S2866" s="3" t="s">
        <v>1599</v>
      </c>
      <c r="T2866" s="3"/>
    </row>
    <row r="2867" spans="1:20">
      <c r="A2867" s="3" t="s">
        <v>1600</v>
      </c>
      <c r="B2867" s="3" t="s">
        <v>1601</v>
      </c>
      <c r="C2867" s="3" t="s">
        <v>1596</v>
      </c>
      <c r="D2867" s="3" t="s">
        <v>402</v>
      </c>
      <c r="E2867" s="3" t="s">
        <v>403</v>
      </c>
      <c r="F2867" s="2">
        <v>1</v>
      </c>
      <c r="G2867" s="4">
        <v>1.0955344850987918</v>
      </c>
      <c r="H2867" s="2">
        <v>25</v>
      </c>
      <c r="I2867" s="2">
        <v>5</v>
      </c>
      <c r="J2867" s="2">
        <v>16</v>
      </c>
      <c r="K2867" s="4">
        <v>9.9065921161453852E-2</v>
      </c>
      <c r="L2867" s="4">
        <v>-0.33816118898418163</v>
      </c>
      <c r="M2867" s="4">
        <v>0.33816118898418163</v>
      </c>
      <c r="N2867" s="10">
        <v>0.33800000000000002</v>
      </c>
      <c r="O2867" s="4">
        <v>1.7452671341070793</v>
      </c>
      <c r="P2867" s="4">
        <v>-1.74</v>
      </c>
      <c r="Q2867" s="3" t="s">
        <v>1617</v>
      </c>
      <c r="R2867" s="3" t="s">
        <v>1618</v>
      </c>
      <c r="S2867" s="3" t="s">
        <v>1619</v>
      </c>
      <c r="T2867" s="3"/>
    </row>
    <row r="2868" spans="1:20">
      <c r="A2868" s="3" t="s">
        <v>1594</v>
      </c>
      <c r="B2868" s="3" t="s">
        <v>1612</v>
      </c>
      <c r="C2868" s="3" t="s">
        <v>1596</v>
      </c>
      <c r="D2868" s="3" t="s">
        <v>402</v>
      </c>
      <c r="E2868" s="3" t="s">
        <v>403</v>
      </c>
      <c r="F2868" s="2">
        <v>1</v>
      </c>
      <c r="G2868" s="4">
        <v>1.0955344850987918</v>
      </c>
      <c r="H2868" s="2">
        <v>50</v>
      </c>
      <c r="I2868" s="2">
        <v>5</v>
      </c>
      <c r="J2868" s="2">
        <v>16</v>
      </c>
      <c r="K2868" s="4">
        <v>0.93092378527294994</v>
      </c>
      <c r="L2868" s="14">
        <v>-0.35057497591885955</v>
      </c>
      <c r="M2868" s="4">
        <v>0.35057497591885955</v>
      </c>
      <c r="N2868" s="10">
        <v>0.35099999999999998</v>
      </c>
      <c r="O2868" s="4">
        <v>1.9672928412433985</v>
      </c>
      <c r="P2868" s="4">
        <v>-1.97</v>
      </c>
      <c r="Q2868" s="3" t="s">
        <v>1617</v>
      </c>
      <c r="R2868" s="3" t="s">
        <v>1627</v>
      </c>
      <c r="S2868" s="3" t="s">
        <v>1628</v>
      </c>
      <c r="T2868" s="3"/>
    </row>
    <row r="2869" spans="1:20">
      <c r="A2869" s="3" t="s">
        <v>1600</v>
      </c>
      <c r="B2869" s="3" t="s">
        <v>1609</v>
      </c>
      <c r="C2869" s="3" t="s">
        <v>1616</v>
      </c>
      <c r="D2869" s="3" t="s">
        <v>402</v>
      </c>
      <c r="E2869" s="3" t="s">
        <v>403</v>
      </c>
      <c r="F2869" s="2">
        <v>1</v>
      </c>
      <c r="G2869" s="4">
        <v>1.0955344850987918</v>
      </c>
      <c r="H2869" s="2">
        <v>25</v>
      </c>
      <c r="I2869" s="2">
        <v>5</v>
      </c>
      <c r="J2869" s="2">
        <v>16</v>
      </c>
      <c r="K2869" s="11">
        <v>0.48017954042102173</v>
      </c>
      <c r="L2869" s="11">
        <v>-0.59039610465834202</v>
      </c>
      <c r="M2869" s="4">
        <v>0.59039610465834202</v>
      </c>
      <c r="N2869" s="10">
        <v>0.59</v>
      </c>
      <c r="O2869" s="4">
        <v>3.3628388310656852</v>
      </c>
      <c r="P2869" s="4">
        <v>-3.36</v>
      </c>
      <c r="Q2869" s="3" t="s">
        <v>1617</v>
      </c>
      <c r="R2869" s="3" t="s">
        <v>1623</v>
      </c>
      <c r="S2869" s="3" t="s">
        <v>1624</v>
      </c>
      <c r="T2869" s="3"/>
    </row>
    <row r="2870" spans="1:20">
      <c r="A2870" s="3" t="s">
        <v>1600</v>
      </c>
      <c r="B2870" s="3" t="s">
        <v>1609</v>
      </c>
      <c r="C2870" s="3" t="s">
        <v>1616</v>
      </c>
      <c r="D2870" s="3" t="s">
        <v>402</v>
      </c>
      <c r="E2870" s="3" t="s">
        <v>403</v>
      </c>
      <c r="F2870" s="2">
        <v>1</v>
      </c>
      <c r="G2870" s="4">
        <v>1.0955344850987918</v>
      </c>
      <c r="H2870" s="2">
        <v>25</v>
      </c>
      <c r="I2870" s="2">
        <v>5</v>
      </c>
      <c r="J2870" s="2">
        <v>1</v>
      </c>
      <c r="K2870" s="4">
        <v>0.2927433783909601</v>
      </c>
      <c r="L2870" s="4">
        <v>-0.60307607174054423</v>
      </c>
      <c r="M2870" s="4">
        <v>0.60307607174054423</v>
      </c>
      <c r="N2870" s="10">
        <v>0.60299999999999998</v>
      </c>
      <c r="O2870" s="4">
        <v>3.4604783439040068</v>
      </c>
      <c r="P2870" s="4">
        <v>-3.46</v>
      </c>
      <c r="Q2870" s="3" t="s">
        <v>1617</v>
      </c>
      <c r="R2870" s="3" t="s">
        <v>1623</v>
      </c>
      <c r="S2870" s="3" t="s">
        <v>1624</v>
      </c>
      <c r="T2870" s="3"/>
    </row>
    <row r="2871" spans="1:20">
      <c r="A2871" s="3" t="s">
        <v>1600</v>
      </c>
      <c r="B2871" s="3" t="s">
        <v>1601</v>
      </c>
      <c r="C2871" s="3" t="s">
        <v>1596</v>
      </c>
      <c r="D2871" s="3" t="s">
        <v>402</v>
      </c>
      <c r="E2871" s="3" t="s">
        <v>403</v>
      </c>
      <c r="F2871" s="2">
        <v>1</v>
      </c>
      <c r="G2871" s="4">
        <v>1.0955344850987918</v>
      </c>
      <c r="H2871" s="2">
        <v>25</v>
      </c>
      <c r="I2871" s="2">
        <v>5</v>
      </c>
      <c r="J2871" s="2">
        <v>1</v>
      </c>
      <c r="K2871" s="4">
        <v>2.6576281175528793E-2</v>
      </c>
      <c r="L2871" s="4">
        <v>-0.60648648648648651</v>
      </c>
      <c r="M2871" s="4">
        <v>0.60648648648648651</v>
      </c>
      <c r="N2871" s="10">
        <v>0.60599999999999998</v>
      </c>
      <c r="O2871" s="4">
        <v>3.4871381497031431</v>
      </c>
      <c r="P2871" s="4">
        <v>-3.48</v>
      </c>
      <c r="Q2871" s="3" t="s">
        <v>1617</v>
      </c>
      <c r="R2871" s="3" t="s">
        <v>1618</v>
      </c>
      <c r="S2871" s="3" t="s">
        <v>1619</v>
      </c>
      <c r="T2871" s="3"/>
    </row>
    <row r="2872" spans="1:20">
      <c r="A2872" s="3" t="s">
        <v>1600</v>
      </c>
      <c r="B2872" s="3" t="s">
        <v>1601</v>
      </c>
      <c r="C2872" s="3" t="s">
        <v>1616</v>
      </c>
      <c r="D2872" s="3" t="s">
        <v>402</v>
      </c>
      <c r="E2872" s="3" t="s">
        <v>403</v>
      </c>
      <c r="F2872" s="2">
        <v>1</v>
      </c>
      <c r="G2872" s="4">
        <v>1.0955344850987918</v>
      </c>
      <c r="H2872" s="2">
        <v>25</v>
      </c>
      <c r="I2872" s="2">
        <v>5</v>
      </c>
      <c r="J2872" s="2">
        <v>16</v>
      </c>
      <c r="K2872" s="4">
        <v>0.96736299214325971</v>
      </c>
      <c r="L2872" s="4">
        <v>-0.67769776472938748</v>
      </c>
      <c r="M2872" s="4">
        <v>0.67769776472938748</v>
      </c>
      <c r="N2872" s="10">
        <v>0.67800000000000005</v>
      </c>
      <c r="O2872" s="4">
        <v>4.0895241257008852</v>
      </c>
      <c r="P2872" s="4">
        <v>-4.09</v>
      </c>
      <c r="Q2872" s="3" t="s">
        <v>1617</v>
      </c>
      <c r="R2872" s="3" t="s">
        <v>1618</v>
      </c>
      <c r="S2872" s="3" t="s">
        <v>1619</v>
      </c>
      <c r="T2872" s="3"/>
    </row>
    <row r="2873" spans="1:20">
      <c r="A2873" s="3" t="s">
        <v>1604</v>
      </c>
      <c r="B2873" s="3" t="s">
        <v>1601</v>
      </c>
      <c r="C2873" s="3" t="s">
        <v>1596</v>
      </c>
      <c r="D2873" s="3" t="s">
        <v>402</v>
      </c>
      <c r="E2873" s="3" t="s">
        <v>403</v>
      </c>
      <c r="F2873" s="2">
        <v>1</v>
      </c>
      <c r="G2873" s="4">
        <v>1.0955344850987918</v>
      </c>
      <c r="H2873" s="2">
        <v>25</v>
      </c>
      <c r="I2873" s="2">
        <v>30</v>
      </c>
      <c r="J2873" s="2">
        <v>16</v>
      </c>
      <c r="K2873" s="4">
        <v>0.86412490986739043</v>
      </c>
      <c r="L2873" s="4">
        <v>-0.68529384484860123</v>
      </c>
      <c r="M2873" s="4">
        <v>0.68529384484860123</v>
      </c>
      <c r="N2873" s="10">
        <v>0.68500000000000005</v>
      </c>
      <c r="O2873" s="4">
        <v>4.159847056815563</v>
      </c>
      <c r="P2873" s="4">
        <v>-4.16</v>
      </c>
      <c r="Q2873" s="3" t="s">
        <v>1617</v>
      </c>
      <c r="R2873" s="3" t="s">
        <v>1618</v>
      </c>
      <c r="S2873" s="3" t="s">
        <v>1619</v>
      </c>
      <c r="T2873" s="3"/>
    </row>
    <row r="2874" spans="1:20">
      <c r="A2874" s="3" t="s">
        <v>1604</v>
      </c>
      <c r="B2874" s="3" t="s">
        <v>1601</v>
      </c>
      <c r="C2874" s="3" t="s">
        <v>1616</v>
      </c>
      <c r="D2874" s="3" t="s">
        <v>402</v>
      </c>
      <c r="E2874" s="3" t="s">
        <v>403</v>
      </c>
      <c r="F2874" s="2">
        <v>1</v>
      </c>
      <c r="G2874" s="4">
        <v>1.0955344850987918</v>
      </c>
      <c r="H2874" s="2">
        <v>25</v>
      </c>
      <c r="I2874" s="2">
        <v>30</v>
      </c>
      <c r="J2874" s="2">
        <v>16</v>
      </c>
      <c r="K2874" s="4">
        <v>1</v>
      </c>
      <c r="L2874" s="4">
        <v>-0.69298523132097278</v>
      </c>
      <c r="M2874" s="4">
        <v>0.69298523132097278</v>
      </c>
      <c r="N2874" s="10">
        <v>0.69299999999999995</v>
      </c>
      <c r="O2874" s="4">
        <v>4.2324732691757552</v>
      </c>
      <c r="P2874" s="4">
        <v>-4.2300000000000004</v>
      </c>
      <c r="Q2874" s="3" t="s">
        <v>1617</v>
      </c>
      <c r="R2874" s="3" t="s">
        <v>1618</v>
      </c>
      <c r="S2874" s="3" t="s">
        <v>1619</v>
      </c>
      <c r="T2874" s="3"/>
    </row>
    <row r="2875" spans="1:20">
      <c r="A2875" s="3" t="s">
        <v>1600</v>
      </c>
      <c r="B2875" s="3" t="s">
        <v>1601</v>
      </c>
      <c r="C2875" s="3" t="s">
        <v>1616</v>
      </c>
      <c r="D2875" s="3" t="s">
        <v>402</v>
      </c>
      <c r="E2875" s="3" t="s">
        <v>403</v>
      </c>
      <c r="F2875" s="2">
        <v>1</v>
      </c>
      <c r="G2875" s="4">
        <v>1.0955344850987918</v>
      </c>
      <c r="H2875" s="2">
        <v>25</v>
      </c>
      <c r="I2875" s="2">
        <v>5</v>
      </c>
      <c r="J2875" s="2">
        <v>1</v>
      </c>
      <c r="K2875" s="4">
        <v>0.82647241043737885</v>
      </c>
      <c r="L2875" s="4">
        <v>-0.69839468790284442</v>
      </c>
      <c r="M2875" s="4">
        <v>0.69839468790284442</v>
      </c>
      <c r="N2875" s="10">
        <v>0.69799999999999995</v>
      </c>
      <c r="O2875" s="4">
        <v>4.2844491201354975</v>
      </c>
      <c r="P2875" s="4">
        <v>-4.28</v>
      </c>
      <c r="Q2875" s="3" t="s">
        <v>1617</v>
      </c>
      <c r="R2875" s="3" t="s">
        <v>1618</v>
      </c>
      <c r="S2875" s="3" t="s">
        <v>1619</v>
      </c>
      <c r="T2875" s="3"/>
    </row>
    <row r="2876" spans="1:20">
      <c r="A2876" s="3" t="s">
        <v>1600</v>
      </c>
      <c r="B2876" s="3" t="s">
        <v>1606</v>
      </c>
      <c r="C2876" s="3" t="s">
        <v>1616</v>
      </c>
      <c r="D2876" s="3" t="s">
        <v>402</v>
      </c>
      <c r="E2876" s="3" t="s">
        <v>403</v>
      </c>
      <c r="F2876" s="2">
        <v>1</v>
      </c>
      <c r="G2876" s="4">
        <v>1.0955344850987918</v>
      </c>
      <c r="H2876" s="2">
        <v>25</v>
      </c>
      <c r="I2876" s="2">
        <v>5</v>
      </c>
      <c r="J2876" s="2">
        <v>16</v>
      </c>
      <c r="K2876" s="11">
        <v>1</v>
      </c>
      <c r="L2876" s="11">
        <v>-0.80795793662071902</v>
      </c>
      <c r="M2876" s="4">
        <v>0.80795793662071902</v>
      </c>
      <c r="N2876" s="10">
        <v>0.80800000000000005</v>
      </c>
      <c r="O2876" s="4">
        <v>5.5584387434642242</v>
      </c>
      <c r="P2876" s="4">
        <v>-5.56</v>
      </c>
      <c r="Q2876" s="3" t="s">
        <v>1617</v>
      </c>
      <c r="R2876" s="3" t="s">
        <v>1621</v>
      </c>
      <c r="S2876" s="3" t="s">
        <v>1622</v>
      </c>
      <c r="T2876" s="3"/>
    </row>
    <row r="2877" spans="1:20">
      <c r="A2877" s="12" t="s">
        <v>1605</v>
      </c>
      <c r="B2877" s="3" t="s">
        <v>1601</v>
      </c>
      <c r="C2877" s="3" t="s">
        <v>1596</v>
      </c>
      <c r="D2877" s="3" t="s">
        <v>402</v>
      </c>
      <c r="E2877" s="3" t="s">
        <v>403</v>
      </c>
      <c r="F2877" s="2">
        <v>1</v>
      </c>
      <c r="G2877" s="4">
        <v>1.0955344850987918</v>
      </c>
      <c r="H2877" s="2">
        <v>25</v>
      </c>
      <c r="I2877" s="2">
        <v>5</v>
      </c>
      <c r="J2877" s="2">
        <v>16</v>
      </c>
      <c r="K2877" s="11">
        <v>1</v>
      </c>
      <c r="L2877" s="11">
        <v>-0.81932855963504547</v>
      </c>
      <c r="M2877" s="4">
        <v>0.81932855963504547</v>
      </c>
      <c r="N2877" s="10">
        <v>0.81899999999999995</v>
      </c>
      <c r="O2877" s="4">
        <v>5.7252827371234396</v>
      </c>
      <c r="P2877" s="4">
        <v>-5.72</v>
      </c>
      <c r="Q2877" s="3" t="s">
        <v>1617</v>
      </c>
      <c r="R2877" s="3" t="s">
        <v>1618</v>
      </c>
      <c r="S2877" s="3" t="s">
        <v>1619</v>
      </c>
      <c r="T2877" s="3"/>
    </row>
    <row r="2878" spans="1:20">
      <c r="A2878" s="3" t="s">
        <v>1600</v>
      </c>
      <c r="B2878" s="3" t="s">
        <v>1609</v>
      </c>
      <c r="C2878" s="3" t="s">
        <v>1596</v>
      </c>
      <c r="D2878" s="3" t="s">
        <v>402</v>
      </c>
      <c r="E2878" s="3" t="s">
        <v>403</v>
      </c>
      <c r="F2878" s="2">
        <v>1</v>
      </c>
      <c r="G2878" s="4">
        <v>1.0955344850987918</v>
      </c>
      <c r="H2878" s="2">
        <v>25</v>
      </c>
      <c r="I2878" s="2">
        <v>5</v>
      </c>
      <c r="J2878" s="2">
        <v>1</v>
      </c>
      <c r="K2878" s="11">
        <v>0.85534540724538133</v>
      </c>
      <c r="L2878" s="11">
        <v>-0.83650123199605542</v>
      </c>
      <c r="M2878" s="4">
        <v>0.83650123199605542</v>
      </c>
      <c r="N2878" s="10">
        <v>0.83699999999999997</v>
      </c>
      <c r="O2878" s="4">
        <v>5.996158169940351</v>
      </c>
      <c r="P2878" s="4">
        <v>-6</v>
      </c>
      <c r="Q2878" s="3" t="s">
        <v>1617</v>
      </c>
      <c r="R2878" s="3" t="s">
        <v>1623</v>
      </c>
      <c r="S2878" s="3" t="s">
        <v>1624</v>
      </c>
      <c r="T2878" s="3"/>
    </row>
    <row r="2879" spans="1:20">
      <c r="A2879" s="3" t="s">
        <v>1600</v>
      </c>
      <c r="B2879" s="3" t="s">
        <v>1606</v>
      </c>
      <c r="C2879" s="3" t="s">
        <v>1596</v>
      </c>
      <c r="D2879" s="3" t="s">
        <v>402</v>
      </c>
      <c r="E2879" s="3" t="s">
        <v>403</v>
      </c>
      <c r="F2879" s="2">
        <v>1</v>
      </c>
      <c r="G2879" s="4">
        <v>1.0955344850987918</v>
      </c>
      <c r="H2879" s="2">
        <v>25</v>
      </c>
      <c r="I2879" s="2">
        <v>5</v>
      </c>
      <c r="J2879" s="2">
        <v>1</v>
      </c>
      <c r="K2879" s="11">
        <v>1</v>
      </c>
      <c r="L2879" s="11">
        <v>-0.83782601563781511</v>
      </c>
      <c r="M2879" s="4">
        <v>0.83782601563781511</v>
      </c>
      <c r="N2879" s="10">
        <v>0.83799999999999997</v>
      </c>
      <c r="O2879" s="4">
        <v>6.018113948363407</v>
      </c>
      <c r="P2879" s="4">
        <v>-6.02</v>
      </c>
      <c r="Q2879" s="3" t="s">
        <v>1617</v>
      </c>
      <c r="R2879" s="3" t="s">
        <v>1621</v>
      </c>
      <c r="S2879" s="3" t="s">
        <v>1622</v>
      </c>
      <c r="T2879" s="3"/>
    </row>
    <row r="2880" spans="1:20">
      <c r="A2880" s="3" t="s">
        <v>1600</v>
      </c>
      <c r="B2880" s="3" t="s">
        <v>1606</v>
      </c>
      <c r="C2880" s="3" t="s">
        <v>1616</v>
      </c>
      <c r="D2880" s="3" t="s">
        <v>402</v>
      </c>
      <c r="E2880" s="3" t="s">
        <v>403</v>
      </c>
      <c r="F2880" s="2">
        <v>1</v>
      </c>
      <c r="G2880" s="4">
        <v>1.0955344850987918</v>
      </c>
      <c r="H2880" s="2">
        <v>25</v>
      </c>
      <c r="I2880" s="2">
        <v>5</v>
      </c>
      <c r="J2880" s="2">
        <v>1</v>
      </c>
      <c r="K2880" s="4">
        <v>1</v>
      </c>
      <c r="L2880" s="4">
        <v>-0.85232627959023999</v>
      </c>
      <c r="M2880" s="4">
        <v>0.85232627959023999</v>
      </c>
      <c r="N2880" s="10">
        <v>0.85199999999999998</v>
      </c>
      <c r="O2880" s="4">
        <v>6.2697872903725429</v>
      </c>
      <c r="P2880" s="4">
        <v>-6.26</v>
      </c>
      <c r="Q2880" s="3" t="s">
        <v>1617</v>
      </c>
      <c r="R2880" s="3" t="s">
        <v>1621</v>
      </c>
      <c r="S2880" s="3" t="s">
        <v>1622</v>
      </c>
      <c r="T2880" s="3"/>
    </row>
    <row r="2881" spans="1:20">
      <c r="A2881" s="3" t="s">
        <v>1600</v>
      </c>
      <c r="B2881" s="3" t="s">
        <v>1606</v>
      </c>
      <c r="C2881" s="3" t="s">
        <v>1596</v>
      </c>
      <c r="D2881" s="3" t="s">
        <v>402</v>
      </c>
      <c r="E2881" s="3" t="s">
        <v>403</v>
      </c>
      <c r="F2881" s="2">
        <v>1</v>
      </c>
      <c r="G2881" s="4">
        <v>1.0955344850987918</v>
      </c>
      <c r="H2881" s="2">
        <v>25</v>
      </c>
      <c r="I2881" s="2">
        <v>5</v>
      </c>
      <c r="J2881" s="2">
        <v>16</v>
      </c>
      <c r="K2881" s="11">
        <v>1</v>
      </c>
      <c r="L2881" s="11">
        <v>-0.86771241101653596</v>
      </c>
      <c r="M2881" s="4">
        <v>0.86771241101653596</v>
      </c>
      <c r="N2881" s="10">
        <v>0.86799999999999999</v>
      </c>
      <c r="O2881" s="4">
        <v>6.563046910071205</v>
      </c>
      <c r="P2881" s="4">
        <v>-6.57</v>
      </c>
      <c r="Q2881" s="3" t="s">
        <v>1617</v>
      </c>
      <c r="R2881" s="3" t="s">
        <v>1621</v>
      </c>
      <c r="S2881" s="3" t="s">
        <v>1622</v>
      </c>
      <c r="T2881" s="3"/>
    </row>
    <row r="2882" spans="1:20">
      <c r="A2882" s="3" t="s">
        <v>1600</v>
      </c>
      <c r="B2882" s="3" t="s">
        <v>1601</v>
      </c>
      <c r="C2882" s="3" t="s">
        <v>1596</v>
      </c>
      <c r="D2882" s="3" t="s">
        <v>1543</v>
      </c>
      <c r="E2882" s="3" t="s">
        <v>1544</v>
      </c>
      <c r="F2882" s="2">
        <v>1</v>
      </c>
      <c r="G2882" s="4">
        <v>1.0956613570359941</v>
      </c>
      <c r="H2882" s="2">
        <v>25</v>
      </c>
      <c r="I2882" s="2">
        <v>5</v>
      </c>
      <c r="J2882" s="2">
        <v>1</v>
      </c>
      <c r="K2882" s="4">
        <v>1</v>
      </c>
      <c r="L2882" s="4">
        <v>0.17821848391564468</v>
      </c>
      <c r="M2882" s="4">
        <v>0.17821848391564468</v>
      </c>
      <c r="N2882" s="10">
        <v>0.17799999999999999</v>
      </c>
      <c r="O2882" s="4">
        <v>0.8931331971966695</v>
      </c>
      <c r="P2882" s="4">
        <v>0.89</v>
      </c>
      <c r="Q2882" s="3" t="s">
        <v>1597</v>
      </c>
      <c r="R2882" s="3" t="s">
        <v>1602</v>
      </c>
      <c r="S2882" s="3" t="s">
        <v>1603</v>
      </c>
      <c r="T2882" s="3"/>
    </row>
    <row r="2883" spans="1:20">
      <c r="A2883" s="3" t="s">
        <v>1594</v>
      </c>
      <c r="B2883" s="3" t="s">
        <v>1612</v>
      </c>
      <c r="C2883" s="3" t="s">
        <v>1596</v>
      </c>
      <c r="D2883" s="3" t="s">
        <v>1543</v>
      </c>
      <c r="E2883" s="3" t="s">
        <v>1544</v>
      </c>
      <c r="F2883" s="2">
        <v>1</v>
      </c>
      <c r="G2883" s="4">
        <v>1.0956613570359941</v>
      </c>
      <c r="H2883" s="2">
        <v>50</v>
      </c>
      <c r="I2883" s="2">
        <v>5</v>
      </c>
      <c r="J2883" s="2">
        <v>16</v>
      </c>
      <c r="K2883" s="4">
        <v>1</v>
      </c>
      <c r="L2883" s="4">
        <v>0.17674310123933276</v>
      </c>
      <c r="M2883" s="4">
        <v>0.17674310123933276</v>
      </c>
      <c r="N2883" s="10">
        <v>0.17699999999999999</v>
      </c>
      <c r="O2883" s="4">
        <v>0.95983671780470292</v>
      </c>
      <c r="P2883" s="4">
        <v>0.96</v>
      </c>
      <c r="Q2883" s="3" t="s">
        <v>1597</v>
      </c>
      <c r="R2883" s="3" t="s">
        <v>1613</v>
      </c>
      <c r="S2883" s="3" t="s">
        <v>1614</v>
      </c>
      <c r="T2883" s="3"/>
    </row>
    <row r="2884" spans="1:20">
      <c r="A2884" s="3" t="s">
        <v>1600</v>
      </c>
      <c r="B2884" s="3" t="s">
        <v>1601</v>
      </c>
      <c r="C2884" s="3" t="s">
        <v>1596</v>
      </c>
      <c r="D2884" s="3" t="s">
        <v>1543</v>
      </c>
      <c r="E2884" s="3" t="s">
        <v>1544</v>
      </c>
      <c r="F2884" s="2">
        <v>1</v>
      </c>
      <c r="G2884" s="4">
        <v>1.0956613570359941</v>
      </c>
      <c r="H2884" s="2">
        <v>25</v>
      </c>
      <c r="I2884" s="2">
        <v>5</v>
      </c>
      <c r="J2884" s="2">
        <v>16</v>
      </c>
      <c r="K2884" s="4">
        <v>1</v>
      </c>
      <c r="L2884" s="4">
        <v>0.1671004604239934</v>
      </c>
      <c r="M2884" s="4">
        <v>0.1671004604239934</v>
      </c>
      <c r="N2884" s="10">
        <v>0.16700000000000001</v>
      </c>
      <c r="O2884" s="4">
        <v>0.8363163020546579</v>
      </c>
      <c r="P2884" s="4">
        <v>0.84</v>
      </c>
      <c r="Q2884" s="3" t="s">
        <v>1597</v>
      </c>
      <c r="R2884" s="3" t="s">
        <v>1602</v>
      </c>
      <c r="S2884" s="3" t="s">
        <v>1603</v>
      </c>
      <c r="T2884" s="3"/>
    </row>
    <row r="2885" spans="1:20">
      <c r="A2885" s="3" t="s">
        <v>1605</v>
      </c>
      <c r="B2885" s="3" t="s">
        <v>1601</v>
      </c>
      <c r="C2885" s="3" t="s">
        <v>1596</v>
      </c>
      <c r="D2885" s="3" t="s">
        <v>1543</v>
      </c>
      <c r="E2885" s="3" t="s">
        <v>1544</v>
      </c>
      <c r="F2885" s="2">
        <v>1</v>
      </c>
      <c r="G2885" s="4">
        <v>1.0956613570359941</v>
      </c>
      <c r="H2885" s="2">
        <v>25</v>
      </c>
      <c r="I2885" s="2">
        <v>5</v>
      </c>
      <c r="J2885" s="2">
        <v>16</v>
      </c>
      <c r="K2885" s="4">
        <v>1</v>
      </c>
      <c r="L2885" s="4">
        <v>0.14543382278305891</v>
      </c>
      <c r="M2885" s="4">
        <v>0.14543382278305891</v>
      </c>
      <c r="N2885" s="10">
        <v>0.14499999999999999</v>
      </c>
      <c r="O2885" s="4">
        <v>0.72620079571546847</v>
      </c>
      <c r="P2885" s="4">
        <v>0.72</v>
      </c>
      <c r="Q2885" s="3" t="s">
        <v>1597</v>
      </c>
      <c r="R2885" s="3" t="s">
        <v>1602</v>
      </c>
      <c r="S2885" s="3" t="s">
        <v>1603</v>
      </c>
      <c r="T2885" s="3"/>
    </row>
    <row r="2886" spans="1:20">
      <c r="A2886" s="3" t="s">
        <v>1600</v>
      </c>
      <c r="B2886" s="3" t="s">
        <v>1601</v>
      </c>
      <c r="C2886" s="3" t="s">
        <v>1616</v>
      </c>
      <c r="D2886" s="3" t="s">
        <v>1543</v>
      </c>
      <c r="E2886" s="3" t="s">
        <v>1544</v>
      </c>
      <c r="F2886" s="2">
        <v>1</v>
      </c>
      <c r="G2886" s="4">
        <v>1.0956613570359941</v>
      </c>
      <c r="H2886" s="2">
        <v>25</v>
      </c>
      <c r="I2886" s="2">
        <v>5</v>
      </c>
      <c r="J2886" s="2">
        <v>1</v>
      </c>
      <c r="K2886" s="4">
        <v>1</v>
      </c>
      <c r="L2886" s="4">
        <v>0.12925618994074176</v>
      </c>
      <c r="M2886" s="4">
        <v>0.12925618994074176</v>
      </c>
      <c r="N2886" s="10">
        <v>0.129</v>
      </c>
      <c r="O2886" s="4">
        <v>0.64444906556263759</v>
      </c>
      <c r="P2886" s="4">
        <v>0.64</v>
      </c>
      <c r="Q2886" s="3" t="s">
        <v>1597</v>
      </c>
      <c r="R2886" s="3" t="s">
        <v>1602</v>
      </c>
      <c r="S2886" s="3" t="s">
        <v>1603</v>
      </c>
      <c r="T2886" s="3"/>
    </row>
    <row r="2887" spans="1:20">
      <c r="A2887" s="3" t="s">
        <v>1600</v>
      </c>
      <c r="B2887" s="3" t="s">
        <v>1601</v>
      </c>
      <c r="C2887" s="3" t="s">
        <v>1616</v>
      </c>
      <c r="D2887" s="3" t="s">
        <v>1543</v>
      </c>
      <c r="E2887" s="3" t="s">
        <v>1544</v>
      </c>
      <c r="F2887" s="2">
        <v>1</v>
      </c>
      <c r="G2887" s="4">
        <v>1.0956613570359941</v>
      </c>
      <c r="H2887" s="2">
        <v>25</v>
      </c>
      <c r="I2887" s="2">
        <v>5</v>
      </c>
      <c r="J2887" s="2">
        <v>16</v>
      </c>
      <c r="K2887" s="4">
        <v>1</v>
      </c>
      <c r="L2887" s="4">
        <v>0.11786220725226011</v>
      </c>
      <c r="M2887" s="4">
        <v>0.11786220725226011</v>
      </c>
      <c r="N2887" s="10">
        <v>0.11799999999999999</v>
      </c>
      <c r="O2887" s="4">
        <v>0.58708194886337228</v>
      </c>
      <c r="P2887" s="4">
        <v>0.59</v>
      </c>
      <c r="Q2887" s="3" t="s">
        <v>1597</v>
      </c>
      <c r="R2887" s="3" t="s">
        <v>1602</v>
      </c>
      <c r="S2887" s="3" t="s">
        <v>1603</v>
      </c>
      <c r="T2887" s="3"/>
    </row>
    <row r="2888" spans="1:20">
      <c r="A2888" s="3" t="s">
        <v>1600</v>
      </c>
      <c r="B2888" s="3" t="s">
        <v>1606</v>
      </c>
      <c r="C2888" s="3" t="s">
        <v>1596</v>
      </c>
      <c r="D2888" s="3" t="s">
        <v>1543</v>
      </c>
      <c r="E2888" s="3" t="s">
        <v>1544</v>
      </c>
      <c r="F2888" s="2">
        <v>1</v>
      </c>
      <c r="G2888" s="4">
        <v>1.0956613570359941</v>
      </c>
      <c r="H2888" s="2">
        <v>25</v>
      </c>
      <c r="I2888" s="2">
        <v>5</v>
      </c>
      <c r="J2888" s="2">
        <v>1</v>
      </c>
      <c r="K2888" s="4">
        <v>1</v>
      </c>
      <c r="L2888" s="4">
        <v>3.6622651103103893E-2</v>
      </c>
      <c r="M2888" s="4">
        <v>3.6622651103103893E-2</v>
      </c>
      <c r="N2888" s="10">
        <v>3.6999999999999998E-2</v>
      </c>
      <c r="O2888" s="4">
        <v>0.18165401478376811</v>
      </c>
      <c r="P2888" s="4">
        <v>0.18</v>
      </c>
      <c r="Q2888" s="3" t="s">
        <v>1597</v>
      </c>
      <c r="R2888" s="3" t="s">
        <v>1607</v>
      </c>
      <c r="S2888" s="3" t="s">
        <v>1608</v>
      </c>
      <c r="T2888" s="3"/>
    </row>
    <row r="2889" spans="1:20">
      <c r="A2889" s="3" t="s">
        <v>1600</v>
      </c>
      <c r="B2889" s="3" t="s">
        <v>1606</v>
      </c>
      <c r="C2889" s="3" t="s">
        <v>1596</v>
      </c>
      <c r="D2889" s="3" t="s">
        <v>1543</v>
      </c>
      <c r="E2889" s="3" t="s">
        <v>1544</v>
      </c>
      <c r="F2889" s="2">
        <v>1</v>
      </c>
      <c r="G2889" s="4">
        <v>1.0956613570359941</v>
      </c>
      <c r="H2889" s="2">
        <v>25</v>
      </c>
      <c r="I2889" s="2">
        <v>5</v>
      </c>
      <c r="J2889" s="2">
        <v>16</v>
      </c>
      <c r="K2889" s="4">
        <v>1</v>
      </c>
      <c r="L2889" s="4">
        <v>2.6633238422895441E-2</v>
      </c>
      <c r="M2889" s="4">
        <v>2.6633238422895441E-2</v>
      </c>
      <c r="N2889" s="10">
        <v>2.7E-2</v>
      </c>
      <c r="O2889" s="4">
        <v>0.13207713553561914</v>
      </c>
      <c r="P2889" s="4">
        <v>0.13</v>
      </c>
      <c r="Q2889" s="3" t="s">
        <v>1597</v>
      </c>
      <c r="R2889" s="3" t="s">
        <v>1607</v>
      </c>
      <c r="S2889" s="3" t="s">
        <v>1608</v>
      </c>
      <c r="T2889" s="3"/>
    </row>
    <row r="2890" spans="1:20">
      <c r="A2890" s="3" t="s">
        <v>1604</v>
      </c>
      <c r="B2890" s="3" t="s">
        <v>1601</v>
      </c>
      <c r="C2890" s="3" t="s">
        <v>1616</v>
      </c>
      <c r="D2890" s="3" t="s">
        <v>1543</v>
      </c>
      <c r="E2890" s="3" t="s">
        <v>1544</v>
      </c>
      <c r="F2890" s="2">
        <v>1</v>
      </c>
      <c r="G2890" s="4">
        <v>1.0956613570359941</v>
      </c>
      <c r="H2890" s="2">
        <v>25</v>
      </c>
      <c r="I2890" s="2">
        <v>30</v>
      </c>
      <c r="J2890" s="2">
        <v>16</v>
      </c>
      <c r="K2890" s="4">
        <v>1</v>
      </c>
      <c r="L2890" s="4">
        <v>-3.2122973034262065E-2</v>
      </c>
      <c r="M2890" s="4">
        <v>3.2122973034262065E-2</v>
      </c>
      <c r="N2890" s="10">
        <v>3.2000000000000001E-2</v>
      </c>
      <c r="O2890" s="4">
        <v>0.1593184702315438</v>
      </c>
      <c r="P2890" s="4">
        <v>-0.16</v>
      </c>
      <c r="Q2890" s="3" t="s">
        <v>1617</v>
      </c>
      <c r="R2890" s="3" t="s">
        <v>1618</v>
      </c>
      <c r="S2890" s="3" t="s">
        <v>1619</v>
      </c>
      <c r="T2890" s="3"/>
    </row>
    <row r="2891" spans="1:20">
      <c r="A2891" s="3" t="s">
        <v>1600</v>
      </c>
      <c r="B2891" s="3" t="s">
        <v>1606</v>
      </c>
      <c r="C2891" s="3" t="s">
        <v>1616</v>
      </c>
      <c r="D2891" s="3" t="s">
        <v>1543</v>
      </c>
      <c r="E2891" s="3" t="s">
        <v>1544</v>
      </c>
      <c r="F2891" s="2">
        <v>1</v>
      </c>
      <c r="G2891" s="4">
        <v>1.0956613570359941</v>
      </c>
      <c r="H2891" s="2">
        <v>25</v>
      </c>
      <c r="I2891" s="2">
        <v>5</v>
      </c>
      <c r="J2891" s="2">
        <v>1</v>
      </c>
      <c r="K2891" s="4">
        <v>1</v>
      </c>
      <c r="L2891" s="4">
        <v>-5.096607319082147E-2</v>
      </c>
      <c r="M2891" s="4">
        <v>5.096607319082147E-2</v>
      </c>
      <c r="N2891" s="10">
        <v>5.0999999999999997E-2</v>
      </c>
      <c r="O2891" s="4">
        <v>0.25290567636594447</v>
      </c>
      <c r="P2891" s="4">
        <v>-0.25</v>
      </c>
      <c r="Q2891" s="3" t="s">
        <v>1617</v>
      </c>
      <c r="R2891" s="3" t="s">
        <v>1621</v>
      </c>
      <c r="S2891" s="3" t="s">
        <v>1622</v>
      </c>
      <c r="T2891" s="3"/>
    </row>
    <row r="2892" spans="1:20">
      <c r="A2892" s="3" t="s">
        <v>1600</v>
      </c>
      <c r="B2892" s="3" t="s">
        <v>1606</v>
      </c>
      <c r="C2892" s="3" t="s">
        <v>1616</v>
      </c>
      <c r="D2892" s="3" t="s">
        <v>1543</v>
      </c>
      <c r="E2892" s="3" t="s">
        <v>1544</v>
      </c>
      <c r="F2892" s="2">
        <v>1</v>
      </c>
      <c r="G2892" s="4">
        <v>1.0956613570359941</v>
      </c>
      <c r="H2892" s="2">
        <v>25</v>
      </c>
      <c r="I2892" s="2">
        <v>5</v>
      </c>
      <c r="J2892" s="2">
        <v>16</v>
      </c>
      <c r="K2892" s="4">
        <v>1</v>
      </c>
      <c r="L2892" s="4">
        <v>-8.3194812775190613E-2</v>
      </c>
      <c r="M2892" s="4">
        <v>8.3194812775190613E-2</v>
      </c>
      <c r="N2892" s="10">
        <v>8.3000000000000004E-2</v>
      </c>
      <c r="O2892" s="4">
        <v>0.41343018867756726</v>
      </c>
      <c r="P2892" s="4">
        <v>-0.41</v>
      </c>
      <c r="Q2892" s="3" t="s">
        <v>1617</v>
      </c>
      <c r="R2892" s="3" t="s">
        <v>1621</v>
      </c>
      <c r="S2892" s="3" t="s">
        <v>1622</v>
      </c>
      <c r="T2892" s="3"/>
    </row>
    <row r="2893" spans="1:20">
      <c r="A2893" s="3" t="s">
        <v>1604</v>
      </c>
      <c r="B2893" s="3" t="s">
        <v>1601</v>
      </c>
      <c r="C2893" s="3" t="s">
        <v>1596</v>
      </c>
      <c r="D2893" s="3" t="s">
        <v>1543</v>
      </c>
      <c r="E2893" s="3" t="s">
        <v>1544</v>
      </c>
      <c r="F2893" s="2">
        <v>1</v>
      </c>
      <c r="G2893" s="4">
        <v>1.0956613570359941</v>
      </c>
      <c r="H2893" s="2">
        <v>25</v>
      </c>
      <c r="I2893" s="2">
        <v>30</v>
      </c>
      <c r="J2893" s="2">
        <v>16</v>
      </c>
      <c r="K2893" s="4">
        <v>1</v>
      </c>
      <c r="L2893" s="4">
        <v>-0.13534388550395551</v>
      </c>
      <c r="M2893" s="4">
        <v>0.13534388550395551</v>
      </c>
      <c r="N2893" s="10">
        <v>0.13500000000000001</v>
      </c>
      <c r="O2893" s="4">
        <v>0.67516927943763461</v>
      </c>
      <c r="P2893" s="4">
        <v>-0.67</v>
      </c>
      <c r="Q2893" s="3" t="s">
        <v>1617</v>
      </c>
      <c r="R2893" s="3" t="s">
        <v>1618</v>
      </c>
      <c r="S2893" s="3" t="s">
        <v>1619</v>
      </c>
      <c r="T2893" s="3"/>
    </row>
    <row r="2894" spans="1:20">
      <c r="A2894" s="3" t="s">
        <v>1600</v>
      </c>
      <c r="B2894" s="3" t="s">
        <v>1609</v>
      </c>
      <c r="C2894" s="3" t="s">
        <v>1616</v>
      </c>
      <c r="D2894" s="3" t="s">
        <v>1543</v>
      </c>
      <c r="E2894" s="3" t="s">
        <v>1544</v>
      </c>
      <c r="F2894" s="2">
        <v>1</v>
      </c>
      <c r="G2894" s="4">
        <v>1.0956613570359941</v>
      </c>
      <c r="H2894" s="2">
        <v>25</v>
      </c>
      <c r="I2894" s="2">
        <v>5</v>
      </c>
      <c r="J2894" s="2">
        <v>1</v>
      </c>
      <c r="K2894" s="4">
        <v>0.98849862931969146</v>
      </c>
      <c r="L2894" s="4">
        <v>-0.16949933975800885</v>
      </c>
      <c r="M2894" s="4">
        <v>0.16949933975800885</v>
      </c>
      <c r="N2894" s="10">
        <v>0.16900000000000001</v>
      </c>
      <c r="O2894" s="4">
        <v>0.8485565015509644</v>
      </c>
      <c r="P2894" s="4">
        <v>-0.85</v>
      </c>
      <c r="Q2894" s="3" t="s">
        <v>1617</v>
      </c>
      <c r="R2894" s="3" t="s">
        <v>1623</v>
      </c>
      <c r="S2894" s="3" t="s">
        <v>1624</v>
      </c>
      <c r="T2894" s="3"/>
    </row>
    <row r="2895" spans="1:20">
      <c r="A2895" s="3" t="s">
        <v>1600</v>
      </c>
      <c r="B2895" s="3" t="s">
        <v>1609</v>
      </c>
      <c r="C2895" s="3" t="s">
        <v>1616</v>
      </c>
      <c r="D2895" s="3" t="s">
        <v>1543</v>
      </c>
      <c r="E2895" s="3" t="s">
        <v>1544</v>
      </c>
      <c r="F2895" s="2">
        <v>1</v>
      </c>
      <c r="G2895" s="4">
        <v>1.0956613570359941</v>
      </c>
      <c r="H2895" s="2">
        <v>25</v>
      </c>
      <c r="I2895" s="2">
        <v>5</v>
      </c>
      <c r="J2895" s="2">
        <v>16</v>
      </c>
      <c r="K2895" s="4">
        <v>1</v>
      </c>
      <c r="L2895" s="4">
        <v>-0.21682189989708303</v>
      </c>
      <c r="M2895" s="4">
        <v>0.21682189989708303</v>
      </c>
      <c r="N2895" s="10">
        <v>0.217</v>
      </c>
      <c r="O2895" s="4">
        <v>1.0923266118378927</v>
      </c>
      <c r="P2895" s="4">
        <v>-1.0900000000000001</v>
      </c>
      <c r="Q2895" s="3" t="s">
        <v>1617</v>
      </c>
      <c r="R2895" s="3" t="s">
        <v>1623</v>
      </c>
      <c r="S2895" s="3" t="s">
        <v>1624</v>
      </c>
      <c r="T2895" s="3"/>
    </row>
    <row r="2896" spans="1:20">
      <c r="A2896" s="3" t="s">
        <v>1600</v>
      </c>
      <c r="B2896" s="3" t="s">
        <v>1609</v>
      </c>
      <c r="C2896" s="3" t="s">
        <v>1596</v>
      </c>
      <c r="D2896" s="3" t="s">
        <v>1543</v>
      </c>
      <c r="E2896" s="3" t="s">
        <v>1544</v>
      </c>
      <c r="F2896" s="2">
        <v>1</v>
      </c>
      <c r="G2896" s="4">
        <v>1.0956613570359941</v>
      </c>
      <c r="H2896" s="2">
        <v>25</v>
      </c>
      <c r="I2896" s="2">
        <v>5</v>
      </c>
      <c r="J2896" s="2">
        <v>1</v>
      </c>
      <c r="K2896" s="4">
        <v>1</v>
      </c>
      <c r="L2896" s="4">
        <v>-0.30620609778194624</v>
      </c>
      <c r="M2896" s="4">
        <v>0.30620609778194624</v>
      </c>
      <c r="N2896" s="10">
        <v>0.30599999999999999</v>
      </c>
      <c r="O2896" s="4">
        <v>1.5684609143789507</v>
      </c>
      <c r="P2896" s="4">
        <v>-1.57</v>
      </c>
      <c r="Q2896" s="3" t="s">
        <v>1617</v>
      </c>
      <c r="R2896" s="3" t="s">
        <v>1623</v>
      </c>
      <c r="S2896" s="3" t="s">
        <v>1624</v>
      </c>
      <c r="T2896" s="3"/>
    </row>
    <row r="2897" spans="1:20">
      <c r="A2897" s="3" t="s">
        <v>1600</v>
      </c>
      <c r="B2897" s="3" t="s">
        <v>1609</v>
      </c>
      <c r="C2897" s="3" t="s">
        <v>1596</v>
      </c>
      <c r="D2897" s="3" t="s">
        <v>1543</v>
      </c>
      <c r="E2897" s="3" t="s">
        <v>1544</v>
      </c>
      <c r="F2897" s="2">
        <v>1</v>
      </c>
      <c r="G2897" s="4">
        <v>1.0956613570359941</v>
      </c>
      <c r="H2897" s="2">
        <v>25</v>
      </c>
      <c r="I2897" s="2">
        <v>5</v>
      </c>
      <c r="J2897" s="2">
        <v>16</v>
      </c>
      <c r="K2897" s="4">
        <v>1</v>
      </c>
      <c r="L2897" s="4">
        <v>-0.32159310397742247</v>
      </c>
      <c r="M2897" s="4">
        <v>0.32159310397742247</v>
      </c>
      <c r="N2897" s="10">
        <v>0.32200000000000001</v>
      </c>
      <c r="O2897" s="4">
        <v>1.6530898511492822</v>
      </c>
      <c r="P2897" s="4">
        <v>-1.66</v>
      </c>
      <c r="Q2897" s="3" t="s">
        <v>1617</v>
      </c>
      <c r="R2897" s="3" t="s">
        <v>1623</v>
      </c>
      <c r="S2897" s="3" t="s">
        <v>1624</v>
      </c>
      <c r="T2897" s="3"/>
    </row>
    <row r="2898" spans="1:20">
      <c r="A2898" s="3" t="s">
        <v>1594</v>
      </c>
      <c r="B2898" s="3" t="s">
        <v>1595</v>
      </c>
      <c r="C2898" s="3" t="s">
        <v>1596</v>
      </c>
      <c r="D2898" s="3" t="s">
        <v>1543</v>
      </c>
      <c r="E2898" s="3" t="s">
        <v>1544</v>
      </c>
      <c r="F2898" s="2">
        <v>1</v>
      </c>
      <c r="G2898" s="4">
        <v>1.0956613570359941</v>
      </c>
      <c r="H2898" s="2">
        <v>50</v>
      </c>
      <c r="I2898" s="2">
        <v>5</v>
      </c>
      <c r="J2898" s="2">
        <v>16</v>
      </c>
      <c r="K2898" s="4">
        <v>1</v>
      </c>
      <c r="L2898" s="4">
        <v>-0.47715215729343147</v>
      </c>
      <c r="M2898" s="4">
        <v>0.47715215729343147</v>
      </c>
      <c r="N2898" s="10">
        <v>0.47699999999999998</v>
      </c>
      <c r="O2898" s="4">
        <v>2.7904907653903082</v>
      </c>
      <c r="P2898" s="4">
        <v>-2.79</v>
      </c>
      <c r="Q2898" s="3" t="s">
        <v>1617</v>
      </c>
      <c r="R2898" s="3" t="s">
        <v>1625</v>
      </c>
      <c r="S2898" s="3" t="s">
        <v>1626</v>
      </c>
      <c r="T2898" s="3"/>
    </row>
    <row r="2899" spans="1:20">
      <c r="A2899" s="3" t="s">
        <v>1594</v>
      </c>
      <c r="B2899" s="3" t="s">
        <v>1595</v>
      </c>
      <c r="C2899" s="3" t="s">
        <v>1596</v>
      </c>
      <c r="D2899" s="3" t="s">
        <v>1543</v>
      </c>
      <c r="E2899" s="3" t="s">
        <v>1544</v>
      </c>
      <c r="F2899" s="2">
        <v>1</v>
      </c>
      <c r="G2899" s="4">
        <v>1.0956613570359941</v>
      </c>
      <c r="H2899" s="2">
        <v>25</v>
      </c>
      <c r="I2899" s="2">
        <v>5</v>
      </c>
      <c r="J2899" s="2">
        <v>16</v>
      </c>
      <c r="K2899" s="4">
        <v>0.97416501954685697</v>
      </c>
      <c r="L2899" s="4">
        <v>-0.49911112610670794</v>
      </c>
      <c r="M2899" s="4">
        <v>0.49911112610670794</v>
      </c>
      <c r="N2899" s="10">
        <v>0.499</v>
      </c>
      <c r="O2899" s="4">
        <v>2.7175524038819105</v>
      </c>
      <c r="P2899" s="4">
        <v>-2.72</v>
      </c>
      <c r="Q2899" s="3" t="s">
        <v>1617</v>
      </c>
      <c r="R2899" s="3" t="s">
        <v>1625</v>
      </c>
      <c r="S2899" s="3" t="s">
        <v>1626</v>
      </c>
      <c r="T2899" s="3"/>
    </row>
    <row r="2900" spans="1:20">
      <c r="A2900" s="3" t="s">
        <v>1594</v>
      </c>
      <c r="B2900" s="3" t="s">
        <v>1612</v>
      </c>
      <c r="C2900" s="3" t="s">
        <v>1596</v>
      </c>
      <c r="D2900" s="3" t="s">
        <v>1204</v>
      </c>
      <c r="E2900" s="3" t="s">
        <v>1205</v>
      </c>
      <c r="F2900" s="2">
        <v>1</v>
      </c>
      <c r="G2900" s="4">
        <v>1.095774306816806</v>
      </c>
      <c r="H2900" s="2">
        <v>50</v>
      </c>
      <c r="I2900" s="2">
        <v>5</v>
      </c>
      <c r="J2900" s="2">
        <v>16</v>
      </c>
      <c r="K2900" s="4">
        <v>1</v>
      </c>
      <c r="L2900" s="4">
        <v>0.42449864637729506</v>
      </c>
      <c r="M2900" s="4">
        <v>0.42449864637729506</v>
      </c>
      <c r="N2900" s="10">
        <v>0.42399999999999999</v>
      </c>
      <c r="O2900" s="4">
        <v>2.4351649812776777</v>
      </c>
      <c r="P2900" s="4">
        <v>2.4300000000000002</v>
      </c>
      <c r="Q2900" s="3" t="s">
        <v>1597</v>
      </c>
      <c r="R2900" s="3" t="s">
        <v>1613</v>
      </c>
      <c r="S2900" s="3" t="s">
        <v>1614</v>
      </c>
      <c r="T2900" s="3"/>
    </row>
    <row r="2901" spans="1:20">
      <c r="A2901" s="3" t="s">
        <v>1594</v>
      </c>
      <c r="B2901" s="3" t="s">
        <v>1595</v>
      </c>
      <c r="C2901" s="3" t="s">
        <v>1596</v>
      </c>
      <c r="D2901" s="3" t="s">
        <v>1204</v>
      </c>
      <c r="E2901" s="3" t="s">
        <v>1205</v>
      </c>
      <c r="F2901" s="2">
        <v>1</v>
      </c>
      <c r="G2901" s="4">
        <v>1.095774306816806</v>
      </c>
      <c r="H2901" s="2">
        <v>50</v>
      </c>
      <c r="I2901" s="2">
        <v>5</v>
      </c>
      <c r="J2901" s="2">
        <v>16</v>
      </c>
      <c r="K2901" s="4">
        <v>1</v>
      </c>
      <c r="L2901" s="4">
        <v>0.2693033746316677</v>
      </c>
      <c r="M2901" s="4">
        <v>0.2693033746316677</v>
      </c>
      <c r="N2901" s="10">
        <v>0.26900000000000002</v>
      </c>
      <c r="O2901" s="4">
        <v>1.483735458056086</v>
      </c>
      <c r="P2901" s="4">
        <v>1.48</v>
      </c>
      <c r="Q2901" s="3" t="s">
        <v>1597</v>
      </c>
      <c r="R2901" s="3" t="s">
        <v>1598</v>
      </c>
      <c r="S2901" s="3" t="s">
        <v>1599</v>
      </c>
      <c r="T2901" s="3"/>
    </row>
    <row r="2902" spans="1:20">
      <c r="A2902" s="3" t="s">
        <v>1594</v>
      </c>
      <c r="B2902" s="3" t="s">
        <v>1595</v>
      </c>
      <c r="C2902" s="3" t="s">
        <v>1596</v>
      </c>
      <c r="D2902" s="3" t="s">
        <v>1204</v>
      </c>
      <c r="E2902" s="3" t="s">
        <v>1205</v>
      </c>
      <c r="F2902" s="2">
        <v>1</v>
      </c>
      <c r="G2902" s="4">
        <v>1.095774306816806</v>
      </c>
      <c r="H2902" s="2">
        <v>25</v>
      </c>
      <c r="I2902" s="2">
        <v>5</v>
      </c>
      <c r="J2902" s="2">
        <v>16</v>
      </c>
      <c r="K2902" s="4">
        <v>1</v>
      </c>
      <c r="L2902" s="4">
        <v>0.24041145120598739</v>
      </c>
      <c r="M2902" s="4">
        <v>0.24041145120598739</v>
      </c>
      <c r="N2902" s="10">
        <v>0.24</v>
      </c>
      <c r="O2902" s="4">
        <v>1.2157393293474594</v>
      </c>
      <c r="P2902" s="4">
        <v>1.21</v>
      </c>
      <c r="Q2902" s="3" t="s">
        <v>1597</v>
      </c>
      <c r="R2902" s="3" t="s">
        <v>1598</v>
      </c>
      <c r="S2902" s="3" t="s">
        <v>1599</v>
      </c>
      <c r="T2902" s="3"/>
    </row>
    <row r="2903" spans="1:20">
      <c r="A2903" s="3" t="s">
        <v>1600</v>
      </c>
      <c r="B2903" s="3" t="s">
        <v>1606</v>
      </c>
      <c r="C2903" s="3" t="s">
        <v>1616</v>
      </c>
      <c r="D2903" s="3" t="s">
        <v>1204</v>
      </c>
      <c r="E2903" s="3" t="s">
        <v>1205</v>
      </c>
      <c r="F2903" s="2">
        <v>1</v>
      </c>
      <c r="G2903" s="4">
        <v>1.095774306816806</v>
      </c>
      <c r="H2903" s="2">
        <v>25</v>
      </c>
      <c r="I2903" s="2">
        <v>5</v>
      </c>
      <c r="J2903" s="2">
        <v>16</v>
      </c>
      <c r="K2903" s="4">
        <v>1</v>
      </c>
      <c r="L2903" s="4">
        <v>3.6754721463549953E-2</v>
      </c>
      <c r="M2903" s="4">
        <v>3.6754721463549953E-2</v>
      </c>
      <c r="N2903" s="10">
        <v>3.6999999999999998E-2</v>
      </c>
      <c r="O2903" s="4">
        <v>0.182309693808652</v>
      </c>
      <c r="P2903" s="4">
        <v>0.18</v>
      </c>
      <c r="Q2903" s="3" t="s">
        <v>1597</v>
      </c>
      <c r="R2903" s="3" t="s">
        <v>1607</v>
      </c>
      <c r="S2903" s="3" t="s">
        <v>1608</v>
      </c>
      <c r="T2903" s="3"/>
    </row>
    <row r="2904" spans="1:20">
      <c r="A2904" s="3" t="s">
        <v>1600</v>
      </c>
      <c r="B2904" s="3" t="s">
        <v>1606</v>
      </c>
      <c r="C2904" s="3" t="s">
        <v>1616</v>
      </c>
      <c r="D2904" s="3" t="s">
        <v>1204</v>
      </c>
      <c r="E2904" s="3" t="s">
        <v>1205</v>
      </c>
      <c r="F2904" s="2">
        <v>1</v>
      </c>
      <c r="G2904" s="4">
        <v>1.095774306816806</v>
      </c>
      <c r="H2904" s="2">
        <v>25</v>
      </c>
      <c r="I2904" s="2">
        <v>5</v>
      </c>
      <c r="J2904" s="2">
        <v>1</v>
      </c>
      <c r="K2904" s="4">
        <v>1</v>
      </c>
      <c r="L2904" s="4">
        <v>7.3240401664812502E-4</v>
      </c>
      <c r="M2904" s="4">
        <v>7.3240401664812502E-4</v>
      </c>
      <c r="N2904" s="10">
        <v>1E-3</v>
      </c>
      <c r="O2904" s="4">
        <v>3.6312131463054776E-3</v>
      </c>
      <c r="P2904" s="4">
        <v>0</v>
      </c>
      <c r="Q2904" s="3" t="s">
        <v>1597</v>
      </c>
      <c r="R2904" s="3" t="s">
        <v>1607</v>
      </c>
      <c r="S2904" s="3" t="s">
        <v>1608</v>
      </c>
      <c r="T2904" s="3"/>
    </row>
    <row r="2905" spans="1:20">
      <c r="A2905" s="3" t="s">
        <v>1600</v>
      </c>
      <c r="B2905" s="3" t="s">
        <v>1606</v>
      </c>
      <c r="C2905" s="3" t="s">
        <v>1596</v>
      </c>
      <c r="D2905" s="3" t="s">
        <v>1204</v>
      </c>
      <c r="E2905" s="3" t="s">
        <v>1205</v>
      </c>
      <c r="F2905" s="2">
        <v>1</v>
      </c>
      <c r="G2905" s="4">
        <v>1.095774306816806</v>
      </c>
      <c r="H2905" s="2">
        <v>25</v>
      </c>
      <c r="I2905" s="2">
        <v>5</v>
      </c>
      <c r="J2905" s="2">
        <v>16</v>
      </c>
      <c r="K2905" s="4">
        <v>1</v>
      </c>
      <c r="L2905" s="4">
        <v>-8.028757096301728E-2</v>
      </c>
      <c r="M2905" s="4">
        <v>8.028757096301728E-2</v>
      </c>
      <c r="N2905" s="10">
        <v>0.08</v>
      </c>
      <c r="O2905" s="4">
        <v>0.39891930205739762</v>
      </c>
      <c r="P2905" s="4">
        <v>-0.4</v>
      </c>
      <c r="Q2905" s="3" t="s">
        <v>1617</v>
      </c>
      <c r="R2905" s="3" t="s">
        <v>1621</v>
      </c>
      <c r="S2905" s="3" t="s">
        <v>1622</v>
      </c>
      <c r="T2905" s="3"/>
    </row>
    <row r="2906" spans="1:20">
      <c r="A2906" s="3" t="s">
        <v>1600</v>
      </c>
      <c r="B2906" s="3" t="s">
        <v>1606</v>
      </c>
      <c r="C2906" s="3" t="s">
        <v>1596</v>
      </c>
      <c r="D2906" s="3" t="s">
        <v>1204</v>
      </c>
      <c r="E2906" s="3" t="s">
        <v>1205</v>
      </c>
      <c r="F2906" s="2">
        <v>1</v>
      </c>
      <c r="G2906" s="4">
        <v>1.095774306816806</v>
      </c>
      <c r="H2906" s="2">
        <v>25</v>
      </c>
      <c r="I2906" s="2">
        <v>5</v>
      </c>
      <c r="J2906" s="2">
        <v>1</v>
      </c>
      <c r="K2906" s="4">
        <v>1</v>
      </c>
      <c r="L2906" s="4">
        <v>-8.2524915235093518E-2</v>
      </c>
      <c r="M2906" s="4">
        <v>8.2524915235093518E-2</v>
      </c>
      <c r="N2906" s="10">
        <v>8.3000000000000004E-2</v>
      </c>
      <c r="O2906" s="4">
        <v>0.41008591823581453</v>
      </c>
      <c r="P2906" s="4">
        <v>-0.41</v>
      </c>
      <c r="Q2906" s="3" t="s">
        <v>1617</v>
      </c>
      <c r="R2906" s="3" t="s">
        <v>1621</v>
      </c>
      <c r="S2906" s="3" t="s">
        <v>1622</v>
      </c>
      <c r="T2906" s="3"/>
    </row>
    <row r="2907" spans="1:20">
      <c r="A2907" s="3" t="s">
        <v>1600</v>
      </c>
      <c r="B2907" s="3" t="s">
        <v>1601</v>
      </c>
      <c r="C2907" s="3" t="s">
        <v>1596</v>
      </c>
      <c r="D2907" s="3" t="s">
        <v>1204</v>
      </c>
      <c r="E2907" s="3" t="s">
        <v>1205</v>
      </c>
      <c r="F2907" s="2">
        <v>1</v>
      </c>
      <c r="G2907" s="4">
        <v>1.095774306816806</v>
      </c>
      <c r="H2907" s="2">
        <v>25</v>
      </c>
      <c r="I2907" s="2">
        <v>5</v>
      </c>
      <c r="J2907" s="2">
        <v>1</v>
      </c>
      <c r="K2907" s="4">
        <v>1</v>
      </c>
      <c r="L2907" s="4">
        <v>-0.10652130798330335</v>
      </c>
      <c r="M2907" s="4">
        <v>0.10652130798330335</v>
      </c>
      <c r="N2907" s="10">
        <v>0.107</v>
      </c>
      <c r="O2907" s="4">
        <v>0.53013708623009903</v>
      </c>
      <c r="P2907" s="4">
        <v>-0.53</v>
      </c>
      <c r="Q2907" s="3" t="s">
        <v>1617</v>
      </c>
      <c r="R2907" s="3" t="s">
        <v>1618</v>
      </c>
      <c r="S2907" s="3" t="s">
        <v>1619</v>
      </c>
      <c r="T2907" s="3"/>
    </row>
    <row r="2908" spans="1:20">
      <c r="A2908" s="3" t="s">
        <v>1605</v>
      </c>
      <c r="B2908" s="3" t="s">
        <v>1601</v>
      </c>
      <c r="C2908" s="3" t="s">
        <v>1596</v>
      </c>
      <c r="D2908" s="3" t="s">
        <v>1204</v>
      </c>
      <c r="E2908" s="3" t="s">
        <v>1205</v>
      </c>
      <c r="F2908" s="2">
        <v>1</v>
      </c>
      <c r="G2908" s="4">
        <v>1.095774306816806</v>
      </c>
      <c r="H2908" s="2">
        <v>25</v>
      </c>
      <c r="I2908" s="2">
        <v>5</v>
      </c>
      <c r="J2908" s="2">
        <v>16</v>
      </c>
      <c r="K2908" s="4">
        <v>1</v>
      </c>
      <c r="L2908" s="4">
        <v>-0.11152226708787087</v>
      </c>
      <c r="M2908" s="4">
        <v>0.11152226708787087</v>
      </c>
      <c r="N2908" s="10">
        <v>0.112</v>
      </c>
      <c r="O2908" s="4">
        <v>0.55522982398415388</v>
      </c>
      <c r="P2908" s="4">
        <v>-0.56000000000000005</v>
      </c>
      <c r="Q2908" s="3" t="s">
        <v>1617</v>
      </c>
      <c r="R2908" s="3" t="s">
        <v>1618</v>
      </c>
      <c r="S2908" s="3" t="s">
        <v>1619</v>
      </c>
      <c r="T2908" s="3"/>
    </row>
    <row r="2909" spans="1:20">
      <c r="A2909" s="3" t="s">
        <v>1600</v>
      </c>
      <c r="B2909" s="3" t="s">
        <v>1601</v>
      </c>
      <c r="C2909" s="3" t="s">
        <v>1596</v>
      </c>
      <c r="D2909" s="3" t="s">
        <v>1204</v>
      </c>
      <c r="E2909" s="3" t="s">
        <v>1205</v>
      </c>
      <c r="F2909" s="2">
        <v>1</v>
      </c>
      <c r="G2909" s="4">
        <v>1.095774306816806</v>
      </c>
      <c r="H2909" s="2">
        <v>25</v>
      </c>
      <c r="I2909" s="2">
        <v>5</v>
      </c>
      <c r="J2909" s="2">
        <v>16</v>
      </c>
      <c r="K2909" s="4">
        <v>1</v>
      </c>
      <c r="L2909" s="4">
        <v>-0.11323646077729764</v>
      </c>
      <c r="M2909" s="4">
        <v>0.11323646077729764</v>
      </c>
      <c r="N2909" s="10">
        <v>0.113</v>
      </c>
      <c r="O2909" s="4">
        <v>0.56383739546906075</v>
      </c>
      <c r="P2909" s="4">
        <v>-0.56000000000000005</v>
      </c>
      <c r="Q2909" s="3" t="s">
        <v>1617</v>
      </c>
      <c r="R2909" s="3" t="s">
        <v>1618</v>
      </c>
      <c r="S2909" s="3" t="s">
        <v>1619</v>
      </c>
      <c r="T2909" s="3"/>
    </row>
    <row r="2910" spans="1:20">
      <c r="A2910" s="3" t="s">
        <v>1604</v>
      </c>
      <c r="B2910" s="3" t="s">
        <v>1601</v>
      </c>
      <c r="C2910" s="3" t="s">
        <v>1596</v>
      </c>
      <c r="D2910" s="3" t="s">
        <v>1204</v>
      </c>
      <c r="E2910" s="3" t="s">
        <v>1205</v>
      </c>
      <c r="F2910" s="2">
        <v>1</v>
      </c>
      <c r="G2910" s="4">
        <v>1.095774306816806</v>
      </c>
      <c r="H2910" s="2">
        <v>25</v>
      </c>
      <c r="I2910" s="2">
        <v>30</v>
      </c>
      <c r="J2910" s="2">
        <v>16</v>
      </c>
      <c r="K2910" s="4">
        <v>1</v>
      </c>
      <c r="L2910" s="4">
        <v>-0.11338255606335548</v>
      </c>
      <c r="M2910" s="4">
        <v>0.11338255606335548</v>
      </c>
      <c r="N2910" s="10">
        <v>0.113</v>
      </c>
      <c r="O2910" s="4">
        <v>0.56457114727193836</v>
      </c>
      <c r="P2910" s="4">
        <v>-0.56000000000000005</v>
      </c>
      <c r="Q2910" s="3" t="s">
        <v>1617</v>
      </c>
      <c r="R2910" s="3" t="s">
        <v>1618</v>
      </c>
      <c r="S2910" s="3" t="s">
        <v>1619</v>
      </c>
      <c r="T2910" s="3"/>
    </row>
    <row r="2911" spans="1:20">
      <c r="A2911" s="3" t="s">
        <v>1600</v>
      </c>
      <c r="B2911" s="3" t="s">
        <v>1601</v>
      </c>
      <c r="C2911" s="3" t="s">
        <v>1616</v>
      </c>
      <c r="D2911" s="3" t="s">
        <v>1204</v>
      </c>
      <c r="E2911" s="3" t="s">
        <v>1205</v>
      </c>
      <c r="F2911" s="2">
        <v>1</v>
      </c>
      <c r="G2911" s="4">
        <v>1.095774306816806</v>
      </c>
      <c r="H2911" s="2">
        <v>25</v>
      </c>
      <c r="I2911" s="2">
        <v>5</v>
      </c>
      <c r="J2911" s="2">
        <v>16</v>
      </c>
      <c r="K2911" s="4">
        <v>1</v>
      </c>
      <c r="L2911" s="4">
        <v>-0.13807506687071622</v>
      </c>
      <c r="M2911" s="4">
        <v>0.13807506687071622</v>
      </c>
      <c r="N2911" s="10">
        <v>0.13800000000000001</v>
      </c>
      <c r="O2911" s="4">
        <v>0.68896820683514148</v>
      </c>
      <c r="P2911" s="4">
        <v>-0.69</v>
      </c>
      <c r="Q2911" s="3" t="s">
        <v>1617</v>
      </c>
      <c r="R2911" s="3" t="s">
        <v>1618</v>
      </c>
      <c r="S2911" s="3" t="s">
        <v>1619</v>
      </c>
      <c r="T2911" s="3"/>
    </row>
    <row r="2912" spans="1:20">
      <c r="A2912" s="3" t="s">
        <v>1600</v>
      </c>
      <c r="B2912" s="3" t="s">
        <v>1601</v>
      </c>
      <c r="C2912" s="3" t="s">
        <v>1616</v>
      </c>
      <c r="D2912" s="3" t="s">
        <v>1204</v>
      </c>
      <c r="E2912" s="3" t="s">
        <v>1205</v>
      </c>
      <c r="F2912" s="2">
        <v>1</v>
      </c>
      <c r="G2912" s="4">
        <v>1.095774306816806</v>
      </c>
      <c r="H2912" s="2">
        <v>25</v>
      </c>
      <c r="I2912" s="2">
        <v>5</v>
      </c>
      <c r="J2912" s="2">
        <v>1</v>
      </c>
      <c r="K2912" s="4">
        <v>1</v>
      </c>
      <c r="L2912" s="4">
        <v>-0.14010506964347474</v>
      </c>
      <c r="M2912" s="4">
        <v>0.14010506964347474</v>
      </c>
      <c r="N2912" s="10">
        <v>0.14000000000000001</v>
      </c>
      <c r="O2912" s="4">
        <v>0.69923138714493649</v>
      </c>
      <c r="P2912" s="4">
        <v>-0.7</v>
      </c>
      <c r="Q2912" s="3" t="s">
        <v>1617</v>
      </c>
      <c r="R2912" s="3" t="s">
        <v>1618</v>
      </c>
      <c r="S2912" s="3" t="s">
        <v>1619</v>
      </c>
      <c r="T2912" s="3"/>
    </row>
    <row r="2913" spans="1:20">
      <c r="A2913" s="3" t="s">
        <v>1604</v>
      </c>
      <c r="B2913" s="3" t="s">
        <v>1601</v>
      </c>
      <c r="C2913" s="3" t="s">
        <v>1616</v>
      </c>
      <c r="D2913" s="3" t="s">
        <v>1204</v>
      </c>
      <c r="E2913" s="3" t="s">
        <v>1205</v>
      </c>
      <c r="F2913" s="2">
        <v>1</v>
      </c>
      <c r="G2913" s="4">
        <v>1.095774306816806</v>
      </c>
      <c r="H2913" s="2">
        <v>25</v>
      </c>
      <c r="I2913" s="2">
        <v>30</v>
      </c>
      <c r="J2913" s="2">
        <v>16</v>
      </c>
      <c r="K2913" s="4">
        <v>1</v>
      </c>
      <c r="L2913" s="4">
        <v>-0.1565186379538743</v>
      </c>
      <c r="M2913" s="4">
        <v>0.1565186379538743</v>
      </c>
      <c r="N2913" s="10">
        <v>0.157</v>
      </c>
      <c r="O2913" s="4">
        <v>0.782441166395765</v>
      </c>
      <c r="P2913" s="4">
        <v>-0.78</v>
      </c>
      <c r="Q2913" s="3" t="s">
        <v>1617</v>
      </c>
      <c r="R2913" s="3" t="s">
        <v>1618</v>
      </c>
      <c r="S2913" s="3" t="s">
        <v>1619</v>
      </c>
      <c r="T2913" s="3"/>
    </row>
    <row r="2914" spans="1:20">
      <c r="A2914" s="3" t="s">
        <v>1600</v>
      </c>
      <c r="B2914" s="3" t="s">
        <v>1609</v>
      </c>
      <c r="C2914" s="3" t="s">
        <v>1616</v>
      </c>
      <c r="D2914" s="3" t="s">
        <v>1204</v>
      </c>
      <c r="E2914" s="3" t="s">
        <v>1205</v>
      </c>
      <c r="F2914" s="2">
        <v>1</v>
      </c>
      <c r="G2914" s="4">
        <v>1.095774306816806</v>
      </c>
      <c r="H2914" s="2">
        <v>25</v>
      </c>
      <c r="I2914" s="2">
        <v>5</v>
      </c>
      <c r="J2914" s="2">
        <v>1</v>
      </c>
      <c r="K2914" s="4">
        <v>1</v>
      </c>
      <c r="L2914" s="4">
        <v>-0.16317991484805061</v>
      </c>
      <c r="M2914" s="4">
        <v>0.16317991484805061</v>
      </c>
      <c r="N2914" s="10">
        <v>0.16300000000000001</v>
      </c>
      <c r="O2914" s="4">
        <v>0.81633350158751172</v>
      </c>
      <c r="P2914" s="4">
        <v>-0.82</v>
      </c>
      <c r="Q2914" s="3" t="s">
        <v>1617</v>
      </c>
      <c r="R2914" s="3" t="s">
        <v>1623</v>
      </c>
      <c r="S2914" s="3" t="s">
        <v>1624</v>
      </c>
      <c r="T2914" s="3"/>
    </row>
    <row r="2915" spans="1:20">
      <c r="A2915" s="3" t="s">
        <v>1600</v>
      </c>
      <c r="B2915" s="3" t="s">
        <v>1609</v>
      </c>
      <c r="C2915" s="3" t="s">
        <v>1616</v>
      </c>
      <c r="D2915" s="3" t="s">
        <v>1204</v>
      </c>
      <c r="E2915" s="3" t="s">
        <v>1205</v>
      </c>
      <c r="F2915" s="2">
        <v>1</v>
      </c>
      <c r="G2915" s="4">
        <v>1.095774306816806</v>
      </c>
      <c r="H2915" s="2">
        <v>25</v>
      </c>
      <c r="I2915" s="2">
        <v>5</v>
      </c>
      <c r="J2915" s="2">
        <v>16</v>
      </c>
      <c r="K2915" s="4">
        <v>1</v>
      </c>
      <c r="L2915" s="4">
        <v>-0.18509655619202151</v>
      </c>
      <c r="M2915" s="4">
        <v>0.18509655619202151</v>
      </c>
      <c r="N2915" s="10">
        <v>0.185</v>
      </c>
      <c r="O2915" s="4">
        <v>0.92839812307774749</v>
      </c>
      <c r="P2915" s="4">
        <v>-0.93</v>
      </c>
      <c r="Q2915" s="3" t="s">
        <v>1617</v>
      </c>
      <c r="R2915" s="3" t="s">
        <v>1623</v>
      </c>
      <c r="S2915" s="3" t="s">
        <v>1624</v>
      </c>
      <c r="T2915" s="3"/>
    </row>
    <row r="2916" spans="1:20">
      <c r="A2916" s="3" t="s">
        <v>1600</v>
      </c>
      <c r="B2916" s="3" t="s">
        <v>1609</v>
      </c>
      <c r="C2916" s="3" t="s">
        <v>1596</v>
      </c>
      <c r="D2916" s="3" t="s">
        <v>1204</v>
      </c>
      <c r="E2916" s="3" t="s">
        <v>1205</v>
      </c>
      <c r="F2916" s="2">
        <v>1</v>
      </c>
      <c r="G2916" s="4">
        <v>1.095774306816806</v>
      </c>
      <c r="H2916" s="2">
        <v>25</v>
      </c>
      <c r="I2916" s="2">
        <v>5</v>
      </c>
      <c r="J2916" s="2">
        <v>1</v>
      </c>
      <c r="K2916" s="4">
        <v>1</v>
      </c>
      <c r="L2916" s="4">
        <v>-0.46927040237795142</v>
      </c>
      <c r="M2916" s="4">
        <v>0.46927040237795142</v>
      </c>
      <c r="N2916" s="10">
        <v>0.46899999999999997</v>
      </c>
      <c r="O2916" s="4">
        <v>2.5242553847333129</v>
      </c>
      <c r="P2916" s="4">
        <v>-2.52</v>
      </c>
      <c r="Q2916" s="3" t="s">
        <v>1617</v>
      </c>
      <c r="R2916" s="3" t="s">
        <v>1623</v>
      </c>
      <c r="S2916" s="3" t="s">
        <v>1624</v>
      </c>
      <c r="T2916" s="3"/>
    </row>
    <row r="2917" spans="1:20">
      <c r="A2917" s="3" t="s">
        <v>1600</v>
      </c>
      <c r="B2917" s="3" t="s">
        <v>1609</v>
      </c>
      <c r="C2917" s="3" t="s">
        <v>1596</v>
      </c>
      <c r="D2917" s="3" t="s">
        <v>1204</v>
      </c>
      <c r="E2917" s="3" t="s">
        <v>1205</v>
      </c>
      <c r="F2917" s="2">
        <v>1</v>
      </c>
      <c r="G2917" s="4">
        <v>1.095774306816806</v>
      </c>
      <c r="H2917" s="2">
        <v>25</v>
      </c>
      <c r="I2917" s="2">
        <v>5</v>
      </c>
      <c r="J2917" s="2">
        <v>16</v>
      </c>
      <c r="K2917" s="4">
        <v>1</v>
      </c>
      <c r="L2917" s="4">
        <v>-0.47009961673172185</v>
      </c>
      <c r="M2917" s="4">
        <v>0.47009961673172185</v>
      </c>
      <c r="N2917" s="10">
        <v>0.47</v>
      </c>
      <c r="O2917" s="4">
        <v>2.5295302291951804</v>
      </c>
      <c r="P2917" s="4">
        <v>-2.5299999999999998</v>
      </c>
      <c r="Q2917" s="3" t="s">
        <v>1617</v>
      </c>
      <c r="R2917" s="3" t="s">
        <v>1623</v>
      </c>
      <c r="S2917" s="3" t="s">
        <v>1624</v>
      </c>
      <c r="T2917" s="3"/>
    </row>
    <row r="2918" spans="1:20">
      <c r="A2918" s="3" t="s">
        <v>1600</v>
      </c>
      <c r="B2918" s="3" t="s">
        <v>1609</v>
      </c>
      <c r="C2918" s="3" t="s">
        <v>1596</v>
      </c>
      <c r="D2918" s="3" t="s">
        <v>829</v>
      </c>
      <c r="E2918" s="3" t="s">
        <v>830</v>
      </c>
      <c r="F2918" s="2">
        <v>1</v>
      </c>
      <c r="G2918" s="4">
        <v>1.096313453001351</v>
      </c>
      <c r="H2918" s="2">
        <v>25</v>
      </c>
      <c r="I2918" s="2">
        <v>5</v>
      </c>
      <c r="J2918" s="2">
        <v>16</v>
      </c>
      <c r="K2918" s="4">
        <v>1</v>
      </c>
      <c r="L2918" s="4">
        <v>0.93247541623216534</v>
      </c>
      <c r="M2918" s="4">
        <v>0.93247541623216534</v>
      </c>
      <c r="N2918" s="10">
        <v>0.93200000000000005</v>
      </c>
      <c r="O2918" s="4">
        <v>8.3146211941130392</v>
      </c>
      <c r="P2918" s="4">
        <v>8.3000000000000007</v>
      </c>
      <c r="Q2918" s="3" t="s">
        <v>1597</v>
      </c>
      <c r="R2918" s="3" t="s">
        <v>1610</v>
      </c>
      <c r="S2918" s="3" t="s">
        <v>1611</v>
      </c>
      <c r="T2918" s="3"/>
    </row>
    <row r="2919" spans="1:20">
      <c r="A2919" s="3" t="s">
        <v>1600</v>
      </c>
      <c r="B2919" s="3" t="s">
        <v>1609</v>
      </c>
      <c r="C2919" s="3" t="s">
        <v>1596</v>
      </c>
      <c r="D2919" s="3" t="s">
        <v>829</v>
      </c>
      <c r="E2919" s="3" t="s">
        <v>830</v>
      </c>
      <c r="F2919" s="2">
        <v>1</v>
      </c>
      <c r="G2919" s="4">
        <v>1.096313453001351</v>
      </c>
      <c r="H2919" s="2">
        <v>25</v>
      </c>
      <c r="I2919" s="2">
        <v>5</v>
      </c>
      <c r="J2919" s="2">
        <v>1</v>
      </c>
      <c r="K2919" s="11">
        <v>1</v>
      </c>
      <c r="L2919" s="11">
        <v>0.92203519032460723</v>
      </c>
      <c r="M2919" s="4">
        <v>0.92203519032460723</v>
      </c>
      <c r="N2919" s="10">
        <v>0.92200000000000004</v>
      </c>
      <c r="O2919" s="4">
        <v>7.9448013049169193</v>
      </c>
      <c r="P2919" s="4">
        <v>7.94</v>
      </c>
      <c r="Q2919" s="3" t="s">
        <v>1597</v>
      </c>
      <c r="R2919" s="3" t="s">
        <v>1610</v>
      </c>
      <c r="S2919" s="3" t="s">
        <v>1611</v>
      </c>
      <c r="T2919" s="3"/>
    </row>
    <row r="2920" spans="1:20">
      <c r="A2920" s="12" t="s">
        <v>1605</v>
      </c>
      <c r="B2920" s="3" t="s">
        <v>1601</v>
      </c>
      <c r="C2920" s="3" t="s">
        <v>1596</v>
      </c>
      <c r="D2920" s="3" t="s">
        <v>829</v>
      </c>
      <c r="E2920" s="3" t="s">
        <v>830</v>
      </c>
      <c r="F2920" s="2">
        <v>1</v>
      </c>
      <c r="G2920" s="4">
        <v>1.096313453001351</v>
      </c>
      <c r="H2920" s="2">
        <v>25</v>
      </c>
      <c r="I2920" s="2">
        <v>5</v>
      </c>
      <c r="J2920" s="2">
        <v>16</v>
      </c>
      <c r="K2920" s="11">
        <v>1</v>
      </c>
      <c r="L2920" s="11">
        <v>0.73758406528466469</v>
      </c>
      <c r="M2920" s="4">
        <v>0.73758406528466469</v>
      </c>
      <c r="N2920" s="10">
        <v>0.73799999999999999</v>
      </c>
      <c r="O2920" s="4">
        <v>4.6860435596620489</v>
      </c>
      <c r="P2920" s="4">
        <v>4.6900000000000004</v>
      </c>
      <c r="Q2920" s="3" t="s">
        <v>1597</v>
      </c>
      <c r="R2920" s="3" t="s">
        <v>1602</v>
      </c>
      <c r="S2920" s="3" t="s">
        <v>1603</v>
      </c>
      <c r="T2920" s="3"/>
    </row>
    <row r="2921" spans="1:20">
      <c r="A2921" s="3" t="s">
        <v>1600</v>
      </c>
      <c r="B2921" s="3" t="s">
        <v>1601</v>
      </c>
      <c r="C2921" s="3" t="s">
        <v>1596</v>
      </c>
      <c r="D2921" s="3" t="s">
        <v>829</v>
      </c>
      <c r="E2921" s="3" t="s">
        <v>830</v>
      </c>
      <c r="F2921" s="2">
        <v>1</v>
      </c>
      <c r="G2921" s="4">
        <v>1.096313453001351</v>
      </c>
      <c r="H2921" s="2">
        <v>25</v>
      </c>
      <c r="I2921" s="2">
        <v>5</v>
      </c>
      <c r="J2921" s="2">
        <v>1</v>
      </c>
      <c r="K2921" s="4">
        <v>1</v>
      </c>
      <c r="L2921" s="4">
        <v>0.73013815601355847</v>
      </c>
      <c r="M2921" s="4">
        <v>0.73013815601355847</v>
      </c>
      <c r="N2921" s="10">
        <v>0.73</v>
      </c>
      <c r="O2921" s="4">
        <v>4.6060379036077244</v>
      </c>
      <c r="P2921" s="4">
        <v>4.5999999999999996</v>
      </c>
      <c r="Q2921" s="3" t="s">
        <v>1597</v>
      </c>
      <c r="R2921" s="3" t="s">
        <v>1602</v>
      </c>
      <c r="S2921" s="3" t="s">
        <v>1603</v>
      </c>
      <c r="T2921" s="3"/>
    </row>
    <row r="2922" spans="1:20">
      <c r="A2922" s="3" t="s">
        <v>1600</v>
      </c>
      <c r="B2922" s="3" t="s">
        <v>1601</v>
      </c>
      <c r="C2922" s="3" t="s">
        <v>1596</v>
      </c>
      <c r="D2922" s="3" t="s">
        <v>829</v>
      </c>
      <c r="E2922" s="3" t="s">
        <v>830</v>
      </c>
      <c r="F2922" s="2">
        <v>1</v>
      </c>
      <c r="G2922" s="4">
        <v>1.096313453001351</v>
      </c>
      <c r="H2922" s="2">
        <v>25</v>
      </c>
      <c r="I2922" s="2">
        <v>5</v>
      </c>
      <c r="J2922" s="2">
        <v>16</v>
      </c>
      <c r="K2922" s="4">
        <v>1</v>
      </c>
      <c r="L2922" s="4">
        <v>0.7181710265100727</v>
      </c>
      <c r="M2922" s="4">
        <v>0.7181710265100727</v>
      </c>
      <c r="N2922" s="10">
        <v>0.71799999999999997</v>
      </c>
      <c r="O2922" s="4">
        <v>4.4812685429573449</v>
      </c>
      <c r="P2922" s="4">
        <v>4.4800000000000004</v>
      </c>
      <c r="Q2922" s="3" t="s">
        <v>1597</v>
      </c>
      <c r="R2922" s="3" t="s">
        <v>1602</v>
      </c>
      <c r="S2922" s="3" t="s">
        <v>1603</v>
      </c>
      <c r="T2922" s="3"/>
    </row>
    <row r="2923" spans="1:20">
      <c r="A2923" s="3" t="s">
        <v>1604</v>
      </c>
      <c r="B2923" s="3" t="s">
        <v>1601</v>
      </c>
      <c r="C2923" s="3" t="s">
        <v>1596</v>
      </c>
      <c r="D2923" s="3" t="s">
        <v>829</v>
      </c>
      <c r="E2923" s="3" t="s">
        <v>830</v>
      </c>
      <c r="F2923" s="2">
        <v>1</v>
      </c>
      <c r="G2923" s="4">
        <v>1.096313453001351</v>
      </c>
      <c r="H2923" s="2">
        <v>25</v>
      </c>
      <c r="I2923" s="2">
        <v>30</v>
      </c>
      <c r="J2923" s="2">
        <v>16</v>
      </c>
      <c r="K2923" s="4">
        <v>1</v>
      </c>
      <c r="L2923" s="4">
        <v>0.63124122900204804</v>
      </c>
      <c r="M2923" s="4">
        <v>0.63124122900204804</v>
      </c>
      <c r="N2923" s="10">
        <v>0.63100000000000001</v>
      </c>
      <c r="O2923" s="4">
        <v>3.6861111505509232</v>
      </c>
      <c r="P2923" s="4">
        <v>3.68</v>
      </c>
      <c r="Q2923" s="3" t="s">
        <v>1597</v>
      </c>
      <c r="R2923" s="3" t="s">
        <v>1602</v>
      </c>
      <c r="S2923" s="3" t="s">
        <v>1603</v>
      </c>
      <c r="T2923" s="3"/>
    </row>
    <row r="2924" spans="1:20">
      <c r="A2924" s="3" t="s">
        <v>1604</v>
      </c>
      <c r="B2924" s="3" t="s">
        <v>1601</v>
      </c>
      <c r="C2924" s="3" t="s">
        <v>1616</v>
      </c>
      <c r="D2924" s="3" t="s">
        <v>829</v>
      </c>
      <c r="E2924" s="3" t="s">
        <v>830</v>
      </c>
      <c r="F2924" s="2">
        <v>1</v>
      </c>
      <c r="G2924" s="4">
        <v>1.096313453001351</v>
      </c>
      <c r="H2924" s="2">
        <v>25</v>
      </c>
      <c r="I2924" s="2">
        <v>30</v>
      </c>
      <c r="J2924" s="2">
        <v>16</v>
      </c>
      <c r="K2924" s="4">
        <v>1</v>
      </c>
      <c r="L2924" s="4">
        <v>0.50474765226930807</v>
      </c>
      <c r="M2924" s="4">
        <v>0.50474765226930807</v>
      </c>
      <c r="N2924" s="10">
        <v>0.505</v>
      </c>
      <c r="O2924" s="4">
        <v>2.7549097184896381</v>
      </c>
      <c r="P2924" s="4">
        <v>2.76</v>
      </c>
      <c r="Q2924" s="3" t="s">
        <v>1597</v>
      </c>
      <c r="R2924" s="3" t="s">
        <v>1602</v>
      </c>
      <c r="S2924" s="3" t="s">
        <v>1603</v>
      </c>
      <c r="T2924" s="3"/>
    </row>
    <row r="2925" spans="1:20">
      <c r="A2925" s="3" t="s">
        <v>1600</v>
      </c>
      <c r="B2925" s="3" t="s">
        <v>1601</v>
      </c>
      <c r="C2925" s="3" t="s">
        <v>1616</v>
      </c>
      <c r="D2925" s="3" t="s">
        <v>829</v>
      </c>
      <c r="E2925" s="3" t="s">
        <v>830</v>
      </c>
      <c r="F2925" s="2">
        <v>1</v>
      </c>
      <c r="G2925" s="4">
        <v>1.096313453001351</v>
      </c>
      <c r="H2925" s="2">
        <v>25</v>
      </c>
      <c r="I2925" s="2">
        <v>5</v>
      </c>
      <c r="J2925" s="2">
        <v>1</v>
      </c>
      <c r="K2925" s="4">
        <v>1</v>
      </c>
      <c r="L2925" s="4">
        <v>0.49058017416815097</v>
      </c>
      <c r="M2925" s="4">
        <v>0.49058017416815097</v>
      </c>
      <c r="N2925" s="10">
        <v>0.49099999999999999</v>
      </c>
      <c r="O2925" s="4">
        <v>2.6615397686031668</v>
      </c>
      <c r="P2925" s="4">
        <v>2.66</v>
      </c>
      <c r="Q2925" s="3" t="s">
        <v>1597</v>
      </c>
      <c r="R2925" s="3" t="s">
        <v>1602</v>
      </c>
      <c r="S2925" s="3" t="s">
        <v>1603</v>
      </c>
      <c r="T2925" s="3"/>
    </row>
    <row r="2926" spans="1:20">
      <c r="A2926" s="3" t="s">
        <v>1600</v>
      </c>
      <c r="B2926" s="3" t="s">
        <v>1601</v>
      </c>
      <c r="C2926" s="3" t="s">
        <v>1616</v>
      </c>
      <c r="D2926" s="3" t="s">
        <v>829</v>
      </c>
      <c r="E2926" s="3" t="s">
        <v>830</v>
      </c>
      <c r="F2926" s="2">
        <v>1</v>
      </c>
      <c r="G2926" s="4">
        <v>1.096313453001351</v>
      </c>
      <c r="H2926" s="2">
        <v>25</v>
      </c>
      <c r="I2926" s="2">
        <v>5</v>
      </c>
      <c r="J2926" s="2">
        <v>16</v>
      </c>
      <c r="K2926" s="4">
        <v>1</v>
      </c>
      <c r="L2926" s="4">
        <v>0.44520074376475227</v>
      </c>
      <c r="M2926" s="4">
        <v>0.44520074376475227</v>
      </c>
      <c r="N2926" s="10">
        <v>0.44500000000000001</v>
      </c>
      <c r="O2926" s="4">
        <v>2.37335710554306</v>
      </c>
      <c r="P2926" s="4">
        <v>2.37</v>
      </c>
      <c r="Q2926" s="3" t="s">
        <v>1597</v>
      </c>
      <c r="R2926" s="3" t="s">
        <v>1602</v>
      </c>
      <c r="S2926" s="3" t="s">
        <v>1603</v>
      </c>
      <c r="T2926" s="3"/>
    </row>
    <row r="2927" spans="1:20">
      <c r="A2927" s="3" t="s">
        <v>1594</v>
      </c>
      <c r="B2927" s="3" t="s">
        <v>1595</v>
      </c>
      <c r="C2927" s="3" t="s">
        <v>1596</v>
      </c>
      <c r="D2927" s="3" t="s">
        <v>829</v>
      </c>
      <c r="E2927" s="3" t="s">
        <v>830</v>
      </c>
      <c r="F2927" s="2">
        <v>1</v>
      </c>
      <c r="G2927" s="4">
        <v>1.096313453001351</v>
      </c>
      <c r="H2927" s="2">
        <v>50</v>
      </c>
      <c r="I2927" s="2">
        <v>5</v>
      </c>
      <c r="J2927" s="2">
        <v>16</v>
      </c>
      <c r="K2927" s="4">
        <v>1</v>
      </c>
      <c r="L2927" s="14">
        <v>0.36714724916314639</v>
      </c>
      <c r="M2927" s="4">
        <v>0.36714724916314639</v>
      </c>
      <c r="N2927" s="10">
        <v>0.36699999999999999</v>
      </c>
      <c r="O2927" s="4">
        <v>2.0695145991241266</v>
      </c>
      <c r="P2927" s="4">
        <v>2.0699999999999998</v>
      </c>
      <c r="Q2927" s="3" t="s">
        <v>1597</v>
      </c>
      <c r="R2927" s="3" t="s">
        <v>1598</v>
      </c>
      <c r="S2927" s="3" t="s">
        <v>1599</v>
      </c>
      <c r="T2927" s="3"/>
    </row>
    <row r="2928" spans="1:20">
      <c r="A2928" s="3" t="s">
        <v>1600</v>
      </c>
      <c r="B2928" s="3" t="s">
        <v>1606</v>
      </c>
      <c r="C2928" s="3" t="s">
        <v>1596</v>
      </c>
      <c r="D2928" s="3" t="s">
        <v>829</v>
      </c>
      <c r="E2928" s="3" t="s">
        <v>830</v>
      </c>
      <c r="F2928" s="2">
        <v>1</v>
      </c>
      <c r="G2928" s="4">
        <v>1.096313453001351</v>
      </c>
      <c r="H2928" s="2">
        <v>25</v>
      </c>
      <c r="I2928" s="2">
        <v>5</v>
      </c>
      <c r="J2928" s="2">
        <v>1</v>
      </c>
      <c r="K2928" s="11">
        <v>1</v>
      </c>
      <c r="L2928" s="11">
        <v>0.32955356304921996</v>
      </c>
      <c r="M2928" s="4">
        <v>0.32955356304921996</v>
      </c>
      <c r="N2928" s="10">
        <v>0.33</v>
      </c>
      <c r="O2928" s="4">
        <v>1.6972371717316421</v>
      </c>
      <c r="P2928" s="4">
        <v>1.7</v>
      </c>
      <c r="Q2928" s="3" t="s">
        <v>1597</v>
      </c>
      <c r="R2928" s="3" t="s">
        <v>1607</v>
      </c>
      <c r="S2928" s="3" t="s">
        <v>1608</v>
      </c>
      <c r="T2928" s="3"/>
    </row>
    <row r="2929" spans="1:20">
      <c r="A2929" s="3" t="s">
        <v>1600</v>
      </c>
      <c r="B2929" s="3" t="s">
        <v>1606</v>
      </c>
      <c r="C2929" s="3" t="s">
        <v>1596</v>
      </c>
      <c r="D2929" s="3" t="s">
        <v>829</v>
      </c>
      <c r="E2929" s="3" t="s">
        <v>830</v>
      </c>
      <c r="F2929" s="2">
        <v>1</v>
      </c>
      <c r="G2929" s="4">
        <v>1.096313453001351</v>
      </c>
      <c r="H2929" s="2">
        <v>25</v>
      </c>
      <c r="I2929" s="2">
        <v>5</v>
      </c>
      <c r="J2929" s="2">
        <v>16</v>
      </c>
      <c r="K2929" s="11">
        <v>1</v>
      </c>
      <c r="L2929" s="11">
        <v>0.30278740268747667</v>
      </c>
      <c r="M2929" s="4">
        <v>0.30278740268747667</v>
      </c>
      <c r="N2929" s="10">
        <v>0.30299999999999999</v>
      </c>
      <c r="O2929" s="4">
        <v>1.5497790675303089</v>
      </c>
      <c r="P2929" s="4">
        <v>1.55</v>
      </c>
      <c r="Q2929" s="3" t="s">
        <v>1597</v>
      </c>
      <c r="R2929" s="3" t="s">
        <v>1607</v>
      </c>
      <c r="S2929" s="3" t="s">
        <v>1608</v>
      </c>
      <c r="T2929" s="3"/>
    </row>
    <row r="2930" spans="1:20">
      <c r="A2930" s="3" t="s">
        <v>1600</v>
      </c>
      <c r="B2930" s="3" t="s">
        <v>1609</v>
      </c>
      <c r="C2930" s="3" t="s">
        <v>1616</v>
      </c>
      <c r="D2930" s="3" t="s">
        <v>829</v>
      </c>
      <c r="E2930" s="3" t="s">
        <v>830</v>
      </c>
      <c r="F2930" s="2">
        <v>1</v>
      </c>
      <c r="G2930" s="4">
        <v>1.096313453001351</v>
      </c>
      <c r="H2930" s="2">
        <v>25</v>
      </c>
      <c r="I2930" s="2">
        <v>5</v>
      </c>
      <c r="J2930" s="2">
        <v>1</v>
      </c>
      <c r="K2930" s="4">
        <v>0.77147454648651204</v>
      </c>
      <c r="L2930" s="4">
        <v>0.26878659731732718</v>
      </c>
      <c r="M2930" s="4">
        <v>0.26878659731732718</v>
      </c>
      <c r="N2930" s="10">
        <v>0.26900000000000002</v>
      </c>
      <c r="O2930" s="4">
        <v>1.3661864758743751</v>
      </c>
      <c r="P2930" s="4">
        <v>1.37</v>
      </c>
      <c r="Q2930" s="3" t="s">
        <v>1597</v>
      </c>
      <c r="R2930" s="3" t="s">
        <v>1610</v>
      </c>
      <c r="S2930" s="3" t="s">
        <v>1611</v>
      </c>
      <c r="T2930" s="3"/>
    </row>
    <row r="2931" spans="1:20">
      <c r="A2931" s="3" t="s">
        <v>1600</v>
      </c>
      <c r="B2931" s="3" t="s">
        <v>1609</v>
      </c>
      <c r="C2931" s="3" t="s">
        <v>1616</v>
      </c>
      <c r="D2931" s="3" t="s">
        <v>829</v>
      </c>
      <c r="E2931" s="3" t="s">
        <v>830</v>
      </c>
      <c r="F2931" s="2">
        <v>1</v>
      </c>
      <c r="G2931" s="4">
        <v>1.096313453001351</v>
      </c>
      <c r="H2931" s="2">
        <v>25</v>
      </c>
      <c r="I2931" s="2">
        <v>5</v>
      </c>
      <c r="J2931" s="2">
        <v>16</v>
      </c>
      <c r="K2931" s="11">
        <v>1</v>
      </c>
      <c r="L2931" s="11">
        <v>0.18604930116261026</v>
      </c>
      <c r="M2931" s="4">
        <v>0.18604930116261026</v>
      </c>
      <c r="N2931" s="10">
        <v>0.186</v>
      </c>
      <c r="O2931" s="4">
        <v>0.93329024391342519</v>
      </c>
      <c r="P2931" s="4">
        <v>0.93</v>
      </c>
      <c r="Q2931" s="3" t="s">
        <v>1597</v>
      </c>
      <c r="R2931" s="3" t="s">
        <v>1610</v>
      </c>
      <c r="S2931" s="3" t="s">
        <v>1611</v>
      </c>
      <c r="T2931" s="3"/>
    </row>
    <row r="2932" spans="1:20">
      <c r="A2932" s="3" t="s">
        <v>1600</v>
      </c>
      <c r="B2932" s="3" t="s">
        <v>1606</v>
      </c>
      <c r="C2932" s="3" t="s">
        <v>1616</v>
      </c>
      <c r="D2932" s="3" t="s">
        <v>829</v>
      </c>
      <c r="E2932" s="3" t="s">
        <v>830</v>
      </c>
      <c r="F2932" s="2">
        <v>1</v>
      </c>
      <c r="G2932" s="4">
        <v>1.096313453001351</v>
      </c>
      <c r="H2932" s="2">
        <v>25</v>
      </c>
      <c r="I2932" s="2">
        <v>5</v>
      </c>
      <c r="J2932" s="2">
        <v>16</v>
      </c>
      <c r="K2932" s="11">
        <v>1</v>
      </c>
      <c r="L2932" s="11">
        <v>2.0804923030834498E-2</v>
      </c>
      <c r="M2932" s="4">
        <v>2.0804923030834498E-2</v>
      </c>
      <c r="N2932" s="10">
        <v>2.1000000000000001E-2</v>
      </c>
      <c r="O2932" s="4">
        <v>0.10316437059320913</v>
      </c>
      <c r="P2932" s="4">
        <v>0.1</v>
      </c>
      <c r="Q2932" s="3" t="s">
        <v>1597</v>
      </c>
      <c r="R2932" s="3" t="s">
        <v>1607</v>
      </c>
      <c r="S2932" s="3" t="s">
        <v>1608</v>
      </c>
      <c r="T2932" s="3"/>
    </row>
    <row r="2933" spans="1:20">
      <c r="A2933" s="3" t="s">
        <v>1600</v>
      </c>
      <c r="B2933" s="3" t="s">
        <v>1606</v>
      </c>
      <c r="C2933" s="3" t="s">
        <v>1616</v>
      </c>
      <c r="D2933" s="3" t="s">
        <v>829</v>
      </c>
      <c r="E2933" s="3" t="s">
        <v>830</v>
      </c>
      <c r="F2933" s="2">
        <v>1</v>
      </c>
      <c r="G2933" s="4">
        <v>1.096313453001351</v>
      </c>
      <c r="H2933" s="2">
        <v>25</v>
      </c>
      <c r="I2933" s="2">
        <v>5</v>
      </c>
      <c r="J2933" s="2">
        <v>1</v>
      </c>
      <c r="K2933" s="4">
        <v>1</v>
      </c>
      <c r="L2933" s="4">
        <v>-2.3853874115980334E-2</v>
      </c>
      <c r="M2933" s="4">
        <v>2.3853874115980334E-2</v>
      </c>
      <c r="N2933" s="10">
        <v>2.4E-2</v>
      </c>
      <c r="O2933" s="4">
        <v>0.1182884286334466</v>
      </c>
      <c r="P2933" s="4">
        <v>-0.12</v>
      </c>
      <c r="Q2933" s="3" t="s">
        <v>1617</v>
      </c>
      <c r="R2933" s="3" t="s">
        <v>1621</v>
      </c>
      <c r="S2933" s="3" t="s">
        <v>1622</v>
      </c>
      <c r="T2933" s="3"/>
    </row>
    <row r="2934" spans="1:20">
      <c r="A2934" s="3" t="s">
        <v>1594</v>
      </c>
      <c r="B2934" s="3" t="s">
        <v>1612</v>
      </c>
      <c r="C2934" s="3" t="s">
        <v>1596</v>
      </c>
      <c r="D2934" s="3" t="s">
        <v>829</v>
      </c>
      <c r="E2934" s="3" t="s">
        <v>830</v>
      </c>
      <c r="F2934" s="2">
        <v>1</v>
      </c>
      <c r="G2934" s="4">
        <v>1.096313453001351</v>
      </c>
      <c r="H2934" s="2">
        <v>50</v>
      </c>
      <c r="I2934" s="2">
        <v>5</v>
      </c>
      <c r="J2934" s="2">
        <v>16</v>
      </c>
      <c r="K2934" s="4">
        <v>0.98822506938798393</v>
      </c>
      <c r="L2934" s="14">
        <v>-0.74404947658089604</v>
      </c>
      <c r="M2934" s="4">
        <v>0.74404947658089604</v>
      </c>
      <c r="N2934" s="10">
        <v>0.74399999999999999</v>
      </c>
      <c r="O2934" s="4">
        <v>5.1559765205174335</v>
      </c>
      <c r="P2934" s="4">
        <v>-5.16</v>
      </c>
      <c r="Q2934" s="3" t="s">
        <v>1617</v>
      </c>
      <c r="R2934" s="3" t="s">
        <v>1627</v>
      </c>
      <c r="S2934" s="3" t="s">
        <v>1628</v>
      </c>
      <c r="T2934" s="3"/>
    </row>
    <row r="2935" spans="1:20">
      <c r="A2935" s="3" t="s">
        <v>1600</v>
      </c>
      <c r="B2935" s="3" t="s">
        <v>1609</v>
      </c>
      <c r="C2935" s="3" t="s">
        <v>1596</v>
      </c>
      <c r="D2935" s="3" t="s">
        <v>703</v>
      </c>
      <c r="E2935" s="3" t="s">
        <v>704</v>
      </c>
      <c r="F2935" s="2">
        <v>1</v>
      </c>
      <c r="G2935" s="4">
        <v>1.0974465115159684</v>
      </c>
      <c r="H2935" s="2">
        <v>25</v>
      </c>
      <c r="I2935" s="2">
        <v>5</v>
      </c>
      <c r="J2935" s="2">
        <v>16</v>
      </c>
      <c r="K2935" s="4">
        <v>3.154673447530576E-2</v>
      </c>
      <c r="L2935" s="4">
        <v>0.28860220008063125</v>
      </c>
      <c r="M2935" s="4">
        <v>0.28860220008063125</v>
      </c>
      <c r="N2935" s="10">
        <v>0.28899999999999998</v>
      </c>
      <c r="O2935" s="4">
        <v>1.4727093230896147</v>
      </c>
      <c r="P2935" s="4">
        <v>1.47</v>
      </c>
      <c r="Q2935" s="3" t="s">
        <v>1597</v>
      </c>
      <c r="R2935" s="3" t="s">
        <v>1610</v>
      </c>
      <c r="S2935" s="3" t="s">
        <v>1611</v>
      </c>
      <c r="T2935" s="3"/>
    </row>
    <row r="2936" spans="1:20">
      <c r="A2936" s="3" t="s">
        <v>1600</v>
      </c>
      <c r="B2936" s="3" t="s">
        <v>1601</v>
      </c>
      <c r="C2936" s="3" t="s">
        <v>1616</v>
      </c>
      <c r="D2936" s="3" t="s">
        <v>703</v>
      </c>
      <c r="E2936" s="3" t="s">
        <v>704</v>
      </c>
      <c r="F2936" s="2">
        <v>1</v>
      </c>
      <c r="G2936" s="4">
        <v>1.0974465115159684</v>
      </c>
      <c r="H2936" s="2">
        <v>25</v>
      </c>
      <c r="I2936" s="2">
        <v>5</v>
      </c>
      <c r="J2936" s="2">
        <v>16</v>
      </c>
      <c r="K2936" s="4">
        <v>0</v>
      </c>
      <c r="L2936" s="4">
        <v>0</v>
      </c>
      <c r="M2936" s="4">
        <v>0</v>
      </c>
      <c r="N2936" s="10">
        <v>0</v>
      </c>
      <c r="O2936" s="4">
        <v>0</v>
      </c>
      <c r="P2936" s="4">
        <v>0</v>
      </c>
      <c r="Q2936" s="3" t="s">
        <v>1617</v>
      </c>
      <c r="R2936" s="3" t="s">
        <v>1618</v>
      </c>
      <c r="S2936" s="3" t="s">
        <v>1619</v>
      </c>
      <c r="T2936" s="3"/>
    </row>
    <row r="2937" spans="1:20">
      <c r="A2937" s="3" t="s">
        <v>1600</v>
      </c>
      <c r="B2937" s="3" t="s">
        <v>1601</v>
      </c>
      <c r="C2937" s="3" t="s">
        <v>1596</v>
      </c>
      <c r="D2937" s="3" t="s">
        <v>703</v>
      </c>
      <c r="E2937" s="3" t="s">
        <v>704</v>
      </c>
      <c r="F2937" s="2">
        <v>1</v>
      </c>
      <c r="G2937" s="4">
        <v>1.0974465115159684</v>
      </c>
      <c r="H2937" s="2">
        <v>25</v>
      </c>
      <c r="I2937" s="2">
        <v>5</v>
      </c>
      <c r="J2937" s="2">
        <v>1</v>
      </c>
      <c r="K2937" s="4">
        <v>0</v>
      </c>
      <c r="L2937" s="4">
        <v>0</v>
      </c>
      <c r="M2937" s="4">
        <v>0</v>
      </c>
      <c r="N2937" s="10">
        <v>0</v>
      </c>
      <c r="O2937" s="4">
        <v>0</v>
      </c>
      <c r="P2937" s="4">
        <v>0</v>
      </c>
      <c r="Q2937" s="3" t="s">
        <v>1617</v>
      </c>
      <c r="R2937" s="3" t="s">
        <v>1618</v>
      </c>
      <c r="S2937" s="3" t="s">
        <v>1619</v>
      </c>
      <c r="T2937" s="3"/>
    </row>
    <row r="2938" spans="1:20">
      <c r="A2938" s="3" t="s">
        <v>1600</v>
      </c>
      <c r="B2938" s="3" t="s">
        <v>1606</v>
      </c>
      <c r="C2938" s="3" t="s">
        <v>1596</v>
      </c>
      <c r="D2938" s="3" t="s">
        <v>703</v>
      </c>
      <c r="E2938" s="3" t="s">
        <v>704</v>
      </c>
      <c r="F2938" s="2">
        <v>1</v>
      </c>
      <c r="G2938" s="4">
        <v>1.0974465115159684</v>
      </c>
      <c r="H2938" s="2">
        <v>25</v>
      </c>
      <c r="I2938" s="2">
        <v>5</v>
      </c>
      <c r="J2938" s="2">
        <v>1</v>
      </c>
      <c r="K2938" s="11">
        <v>0</v>
      </c>
      <c r="L2938" s="11">
        <v>0</v>
      </c>
      <c r="M2938" s="4">
        <v>0</v>
      </c>
      <c r="N2938" s="10">
        <v>0</v>
      </c>
      <c r="O2938" s="4">
        <v>0</v>
      </c>
      <c r="P2938" s="4">
        <v>0</v>
      </c>
      <c r="Q2938" s="3" t="s">
        <v>1617</v>
      </c>
      <c r="R2938" s="3" t="s">
        <v>1621</v>
      </c>
      <c r="S2938" s="3" t="s">
        <v>1622</v>
      </c>
      <c r="T2938" s="3"/>
    </row>
    <row r="2939" spans="1:20">
      <c r="A2939" s="3" t="s">
        <v>1600</v>
      </c>
      <c r="B2939" s="3" t="s">
        <v>1609</v>
      </c>
      <c r="C2939" s="3" t="s">
        <v>1596</v>
      </c>
      <c r="D2939" s="3" t="s">
        <v>703</v>
      </c>
      <c r="E2939" s="3" t="s">
        <v>704</v>
      </c>
      <c r="F2939" s="2">
        <v>1</v>
      </c>
      <c r="G2939" s="4">
        <v>1.0974465115159684</v>
      </c>
      <c r="H2939" s="2">
        <v>25</v>
      </c>
      <c r="I2939" s="2">
        <v>5</v>
      </c>
      <c r="J2939" s="2">
        <v>1</v>
      </c>
      <c r="K2939" s="11">
        <v>0</v>
      </c>
      <c r="L2939" s="11">
        <v>0</v>
      </c>
      <c r="M2939" s="4">
        <v>0</v>
      </c>
      <c r="N2939" s="10">
        <v>0</v>
      </c>
      <c r="O2939" s="4">
        <v>0</v>
      </c>
      <c r="P2939" s="4">
        <v>0</v>
      </c>
      <c r="Q2939" s="3" t="s">
        <v>1617</v>
      </c>
      <c r="R2939" s="3" t="s">
        <v>1623</v>
      </c>
      <c r="S2939" s="3" t="s">
        <v>1624</v>
      </c>
      <c r="T2939" s="3"/>
    </row>
    <row r="2940" spans="1:20">
      <c r="A2940" s="3" t="s">
        <v>1600</v>
      </c>
      <c r="B2940" s="3" t="s">
        <v>1606</v>
      </c>
      <c r="C2940" s="3" t="s">
        <v>1616</v>
      </c>
      <c r="D2940" s="3" t="s">
        <v>703</v>
      </c>
      <c r="E2940" s="3" t="s">
        <v>704</v>
      </c>
      <c r="F2940" s="2">
        <v>1</v>
      </c>
      <c r="G2940" s="4">
        <v>1.0974465115159684</v>
      </c>
      <c r="H2940" s="2">
        <v>25</v>
      </c>
      <c r="I2940" s="2">
        <v>5</v>
      </c>
      <c r="J2940" s="2">
        <v>1</v>
      </c>
      <c r="K2940" s="4">
        <v>0</v>
      </c>
      <c r="L2940" s="4">
        <v>0</v>
      </c>
      <c r="M2940" s="4">
        <v>0</v>
      </c>
      <c r="N2940" s="10">
        <v>0</v>
      </c>
      <c r="O2940" s="4">
        <v>0</v>
      </c>
      <c r="P2940" s="4">
        <v>0</v>
      </c>
      <c r="Q2940" s="3" t="s">
        <v>1617</v>
      </c>
      <c r="R2940" s="3" t="s">
        <v>1621</v>
      </c>
      <c r="S2940" s="3" t="s">
        <v>1622</v>
      </c>
      <c r="T2940" s="3"/>
    </row>
    <row r="2941" spans="1:20">
      <c r="A2941" s="3" t="s">
        <v>1600</v>
      </c>
      <c r="B2941" s="3" t="s">
        <v>1606</v>
      </c>
      <c r="C2941" s="3" t="s">
        <v>1616</v>
      </c>
      <c r="D2941" s="3" t="s">
        <v>703</v>
      </c>
      <c r="E2941" s="3" t="s">
        <v>704</v>
      </c>
      <c r="F2941" s="2">
        <v>1</v>
      </c>
      <c r="G2941" s="4">
        <v>1.0974465115159684</v>
      </c>
      <c r="H2941" s="2">
        <v>25</v>
      </c>
      <c r="I2941" s="2">
        <v>5</v>
      </c>
      <c r="J2941" s="2">
        <v>16</v>
      </c>
      <c r="K2941" s="11">
        <v>0</v>
      </c>
      <c r="L2941" s="11">
        <v>0</v>
      </c>
      <c r="M2941" s="4">
        <v>0</v>
      </c>
      <c r="N2941" s="10">
        <v>0</v>
      </c>
      <c r="O2941" s="4">
        <v>0</v>
      </c>
      <c r="P2941" s="4">
        <v>0</v>
      </c>
      <c r="Q2941" s="3" t="s">
        <v>1617</v>
      </c>
      <c r="R2941" s="3" t="s">
        <v>1621</v>
      </c>
      <c r="S2941" s="3" t="s">
        <v>1622</v>
      </c>
      <c r="T2941" s="3"/>
    </row>
    <row r="2942" spans="1:20">
      <c r="A2942" s="3" t="s">
        <v>1600</v>
      </c>
      <c r="B2942" s="3" t="s">
        <v>1609</v>
      </c>
      <c r="C2942" s="3" t="s">
        <v>1616</v>
      </c>
      <c r="D2942" s="3" t="s">
        <v>703</v>
      </c>
      <c r="E2942" s="3" t="s">
        <v>704</v>
      </c>
      <c r="F2942" s="2">
        <v>1</v>
      </c>
      <c r="G2942" s="4">
        <v>1.0974465115159684</v>
      </c>
      <c r="H2942" s="2">
        <v>25</v>
      </c>
      <c r="I2942" s="2">
        <v>5</v>
      </c>
      <c r="J2942" s="2">
        <v>1</v>
      </c>
      <c r="K2942" s="4">
        <v>0</v>
      </c>
      <c r="L2942" s="4">
        <v>0</v>
      </c>
      <c r="M2942" s="4">
        <v>0</v>
      </c>
      <c r="N2942" s="10">
        <v>0</v>
      </c>
      <c r="O2942" s="4">
        <v>0</v>
      </c>
      <c r="P2942" s="4">
        <v>0</v>
      </c>
      <c r="Q2942" s="3" t="s">
        <v>1617</v>
      </c>
      <c r="R2942" s="3" t="s">
        <v>1623</v>
      </c>
      <c r="S2942" s="3" t="s">
        <v>1624</v>
      </c>
      <c r="T2942" s="3"/>
    </row>
    <row r="2943" spans="1:20">
      <c r="A2943" s="3" t="s">
        <v>1600</v>
      </c>
      <c r="B2943" s="3" t="s">
        <v>1609</v>
      </c>
      <c r="C2943" s="3" t="s">
        <v>1616</v>
      </c>
      <c r="D2943" s="3" t="s">
        <v>703</v>
      </c>
      <c r="E2943" s="3" t="s">
        <v>704</v>
      </c>
      <c r="F2943" s="2">
        <v>1</v>
      </c>
      <c r="G2943" s="4">
        <v>1.0974465115159684</v>
      </c>
      <c r="H2943" s="2">
        <v>25</v>
      </c>
      <c r="I2943" s="2">
        <v>5</v>
      </c>
      <c r="J2943" s="2">
        <v>16</v>
      </c>
      <c r="K2943" s="11">
        <v>0</v>
      </c>
      <c r="L2943" s="11">
        <v>0</v>
      </c>
      <c r="M2943" s="4">
        <v>0</v>
      </c>
      <c r="N2943" s="10">
        <v>0</v>
      </c>
      <c r="O2943" s="4">
        <v>0</v>
      </c>
      <c r="P2943" s="4">
        <v>0</v>
      </c>
      <c r="Q2943" s="3" t="s">
        <v>1617</v>
      </c>
      <c r="R2943" s="3" t="s">
        <v>1623</v>
      </c>
      <c r="S2943" s="3" t="s">
        <v>1624</v>
      </c>
      <c r="T2943" s="3"/>
    </row>
    <row r="2944" spans="1:20">
      <c r="A2944" s="3" t="s">
        <v>1600</v>
      </c>
      <c r="B2944" s="3" t="s">
        <v>1601</v>
      </c>
      <c r="C2944" s="3" t="s">
        <v>1616</v>
      </c>
      <c r="D2944" s="3" t="s">
        <v>703</v>
      </c>
      <c r="E2944" s="3" t="s">
        <v>704</v>
      </c>
      <c r="F2944" s="2">
        <v>1</v>
      </c>
      <c r="G2944" s="4">
        <v>1.0974465115159684</v>
      </c>
      <c r="H2944" s="2">
        <v>25</v>
      </c>
      <c r="I2944" s="2">
        <v>5</v>
      </c>
      <c r="J2944" s="2">
        <v>1</v>
      </c>
      <c r="K2944" s="4">
        <v>4.3571335887911733E-2</v>
      </c>
      <c r="L2944" s="4">
        <v>-5.2555734508773419E-2</v>
      </c>
      <c r="M2944" s="4">
        <v>5.2555734508773419E-2</v>
      </c>
      <c r="N2944" s="10">
        <v>5.2999999999999999E-2</v>
      </c>
      <c r="O2944" s="4">
        <v>0.26080829029389857</v>
      </c>
      <c r="P2944" s="4">
        <v>-0.26</v>
      </c>
      <c r="Q2944" s="3" t="s">
        <v>1617</v>
      </c>
      <c r="R2944" s="3" t="s">
        <v>1618</v>
      </c>
      <c r="S2944" s="3" t="s">
        <v>1619</v>
      </c>
      <c r="T2944" s="3"/>
    </row>
    <row r="2945" spans="1:20">
      <c r="A2945" s="3" t="s">
        <v>1594</v>
      </c>
      <c r="B2945" s="3" t="s">
        <v>1595</v>
      </c>
      <c r="C2945" s="3" t="s">
        <v>1596</v>
      </c>
      <c r="D2945" s="3" t="s">
        <v>703</v>
      </c>
      <c r="E2945" s="3" t="s">
        <v>704</v>
      </c>
      <c r="F2945" s="2">
        <v>1</v>
      </c>
      <c r="G2945" s="4">
        <v>1.0974465115159684</v>
      </c>
      <c r="H2945" s="2">
        <v>50</v>
      </c>
      <c r="I2945" s="2">
        <v>5</v>
      </c>
      <c r="J2945" s="2">
        <v>16</v>
      </c>
      <c r="K2945" s="4">
        <v>1.538024626159405E-2</v>
      </c>
      <c r="L2945" s="14">
        <v>-7.0683375517007221E-2</v>
      </c>
      <c r="M2945" s="4">
        <v>7.0683375517007221E-2</v>
      </c>
      <c r="N2945" s="10">
        <v>7.0999999999999994E-2</v>
      </c>
      <c r="O2945" s="4">
        <v>0.38046298487971447</v>
      </c>
      <c r="P2945" s="4">
        <v>-0.38</v>
      </c>
      <c r="Q2945" s="3" t="s">
        <v>1617</v>
      </c>
      <c r="R2945" s="3" t="s">
        <v>1625</v>
      </c>
      <c r="S2945" s="3" t="s">
        <v>1626</v>
      </c>
      <c r="T2945" s="3"/>
    </row>
    <row r="2946" spans="1:20">
      <c r="A2946" s="3" t="s">
        <v>1594</v>
      </c>
      <c r="B2946" s="3" t="s">
        <v>1612</v>
      </c>
      <c r="C2946" s="3" t="s">
        <v>1596</v>
      </c>
      <c r="D2946" s="3" t="s">
        <v>703</v>
      </c>
      <c r="E2946" s="3" t="s">
        <v>704</v>
      </c>
      <c r="F2946" s="2">
        <v>1</v>
      </c>
      <c r="G2946" s="4">
        <v>1.0974465115159684</v>
      </c>
      <c r="H2946" s="2">
        <v>50</v>
      </c>
      <c r="I2946" s="2">
        <v>5</v>
      </c>
      <c r="J2946" s="2">
        <v>16</v>
      </c>
      <c r="K2946" s="4">
        <v>6.0056088868115226E-2</v>
      </c>
      <c r="L2946" s="14">
        <v>-0.23005337600947265</v>
      </c>
      <c r="M2946" s="4">
        <v>0.23005337600947265</v>
      </c>
      <c r="N2946" s="10">
        <v>0.23</v>
      </c>
      <c r="O2946" s="4">
        <v>1.258757735133009</v>
      </c>
      <c r="P2946" s="4">
        <v>-1.26</v>
      </c>
      <c r="Q2946" s="3" t="s">
        <v>1617</v>
      </c>
      <c r="R2946" s="3" t="s">
        <v>1627</v>
      </c>
      <c r="S2946" s="3" t="s">
        <v>1628</v>
      </c>
      <c r="T2946" s="3"/>
    </row>
    <row r="2947" spans="1:20">
      <c r="A2947" s="3" t="s">
        <v>1604</v>
      </c>
      <c r="B2947" s="3" t="s">
        <v>1601</v>
      </c>
      <c r="C2947" s="3" t="s">
        <v>1616</v>
      </c>
      <c r="D2947" s="3" t="s">
        <v>703</v>
      </c>
      <c r="E2947" s="3" t="s">
        <v>704</v>
      </c>
      <c r="F2947" s="2">
        <v>1</v>
      </c>
      <c r="G2947" s="4">
        <v>1.0974465115159684</v>
      </c>
      <c r="H2947" s="2">
        <v>25</v>
      </c>
      <c r="I2947" s="2">
        <v>30</v>
      </c>
      <c r="J2947" s="2">
        <v>16</v>
      </c>
      <c r="K2947" s="4">
        <v>5.2564882016967407E-2</v>
      </c>
      <c r="L2947" s="4">
        <v>-0.25096629685394795</v>
      </c>
      <c r="M2947" s="4">
        <v>0.25096629685394795</v>
      </c>
      <c r="N2947" s="10">
        <v>0.251</v>
      </c>
      <c r="O2947" s="4">
        <v>1.2714320107569004</v>
      </c>
      <c r="P2947" s="4">
        <v>-1.27</v>
      </c>
      <c r="Q2947" s="3" t="s">
        <v>1617</v>
      </c>
      <c r="R2947" s="3" t="s">
        <v>1618</v>
      </c>
      <c r="S2947" s="3" t="s">
        <v>1619</v>
      </c>
      <c r="T2947" s="3"/>
    </row>
    <row r="2948" spans="1:20">
      <c r="A2948" s="3" t="s">
        <v>1600</v>
      </c>
      <c r="B2948" s="3" t="s">
        <v>1601</v>
      </c>
      <c r="C2948" s="3" t="s">
        <v>1596</v>
      </c>
      <c r="D2948" s="3" t="s">
        <v>703</v>
      </c>
      <c r="E2948" s="3" t="s">
        <v>704</v>
      </c>
      <c r="F2948" s="2">
        <v>1</v>
      </c>
      <c r="G2948" s="4">
        <v>1.0974465115159684</v>
      </c>
      <c r="H2948" s="2">
        <v>25</v>
      </c>
      <c r="I2948" s="2">
        <v>5</v>
      </c>
      <c r="J2948" s="2">
        <v>16</v>
      </c>
      <c r="K2948" s="4">
        <v>1.9815033240692781E-2</v>
      </c>
      <c r="L2948" s="4">
        <v>-0.42388192633119154</v>
      </c>
      <c r="M2948" s="4">
        <v>0.42388192633119154</v>
      </c>
      <c r="N2948" s="10">
        <v>0.42399999999999999</v>
      </c>
      <c r="O2948" s="4">
        <v>2.2430436407356815</v>
      </c>
      <c r="P2948" s="4">
        <v>-2.2400000000000002</v>
      </c>
      <c r="Q2948" s="3" t="s">
        <v>1617</v>
      </c>
      <c r="R2948" s="3" t="s">
        <v>1618</v>
      </c>
      <c r="S2948" s="3" t="s">
        <v>1619</v>
      </c>
      <c r="T2948" s="3"/>
    </row>
    <row r="2949" spans="1:20">
      <c r="A2949" s="3" t="s">
        <v>1604</v>
      </c>
      <c r="B2949" s="3" t="s">
        <v>1601</v>
      </c>
      <c r="C2949" s="3" t="s">
        <v>1596</v>
      </c>
      <c r="D2949" s="3" t="s">
        <v>703</v>
      </c>
      <c r="E2949" s="3" t="s">
        <v>704</v>
      </c>
      <c r="F2949" s="2">
        <v>1</v>
      </c>
      <c r="G2949" s="4">
        <v>1.0974465115159684</v>
      </c>
      <c r="H2949" s="2">
        <v>25</v>
      </c>
      <c r="I2949" s="2">
        <v>30</v>
      </c>
      <c r="J2949" s="2">
        <v>16</v>
      </c>
      <c r="K2949" s="4">
        <v>5.5724330266229805E-2</v>
      </c>
      <c r="L2949" s="4">
        <v>-0.58741741445616802</v>
      </c>
      <c r="M2949" s="4">
        <v>0.58741741445616802</v>
      </c>
      <c r="N2949" s="10">
        <v>0.58699999999999997</v>
      </c>
      <c r="O2949" s="4">
        <v>3.3402294293059476</v>
      </c>
      <c r="P2949" s="4">
        <v>-3.34</v>
      </c>
      <c r="Q2949" s="3" t="s">
        <v>1617</v>
      </c>
      <c r="R2949" s="3" t="s">
        <v>1618</v>
      </c>
      <c r="S2949" s="3" t="s">
        <v>1619</v>
      </c>
      <c r="T2949" s="3"/>
    </row>
    <row r="2950" spans="1:20">
      <c r="A2950" s="12" t="s">
        <v>1605</v>
      </c>
      <c r="B2950" s="3" t="s">
        <v>1601</v>
      </c>
      <c r="C2950" s="3" t="s">
        <v>1596</v>
      </c>
      <c r="D2950" s="3" t="s">
        <v>703</v>
      </c>
      <c r="E2950" s="3" t="s">
        <v>704</v>
      </c>
      <c r="F2950" s="2">
        <v>1</v>
      </c>
      <c r="G2950" s="4">
        <v>1.0974465115159684</v>
      </c>
      <c r="H2950" s="2">
        <v>25</v>
      </c>
      <c r="I2950" s="2">
        <v>5</v>
      </c>
      <c r="J2950" s="2">
        <v>16</v>
      </c>
      <c r="K2950" s="11">
        <v>1.2765852918680043E-2</v>
      </c>
      <c r="L2950" s="11">
        <v>-0.59325125398996803</v>
      </c>
      <c r="M2950" s="4">
        <v>0.59325125398996803</v>
      </c>
      <c r="N2950" s="10">
        <v>0.59299999999999997</v>
      </c>
      <c r="O2950" s="4">
        <v>3.3846253799349904</v>
      </c>
      <c r="P2950" s="4">
        <v>-3.38</v>
      </c>
      <c r="Q2950" s="3" t="s">
        <v>1617</v>
      </c>
      <c r="R2950" s="3" t="s">
        <v>1618</v>
      </c>
      <c r="S2950" s="3" t="s">
        <v>1619</v>
      </c>
      <c r="T2950" s="3"/>
    </row>
    <row r="2951" spans="1:20">
      <c r="A2951" s="3" t="s">
        <v>1600</v>
      </c>
      <c r="B2951" s="3" t="s">
        <v>1606</v>
      </c>
      <c r="C2951" s="3" t="s">
        <v>1596</v>
      </c>
      <c r="D2951" s="3" t="s">
        <v>703</v>
      </c>
      <c r="E2951" s="3" t="s">
        <v>704</v>
      </c>
      <c r="F2951" s="2">
        <v>1</v>
      </c>
      <c r="G2951" s="4">
        <v>1.0974465115159684</v>
      </c>
      <c r="H2951" s="2">
        <v>25</v>
      </c>
      <c r="I2951" s="2">
        <v>5</v>
      </c>
      <c r="J2951" s="2">
        <v>16</v>
      </c>
      <c r="K2951" s="11">
        <v>0.10511783127248253</v>
      </c>
      <c r="L2951" s="11">
        <v>-1</v>
      </c>
      <c r="M2951" s="4">
        <v>1</v>
      </c>
      <c r="N2951" s="10">
        <v>0.995</v>
      </c>
      <c r="O2951" s="4">
        <v>14.85</v>
      </c>
      <c r="P2951" s="4">
        <v>-14.85</v>
      </c>
      <c r="Q2951" s="3" t="s">
        <v>1617</v>
      </c>
      <c r="R2951" s="3" t="s">
        <v>1621</v>
      </c>
      <c r="S2951" s="3" t="s">
        <v>1622</v>
      </c>
      <c r="T2951" s="3"/>
    </row>
    <row r="2952" spans="1:20">
      <c r="A2952" s="3" t="s">
        <v>1600</v>
      </c>
      <c r="B2952" s="3" t="s">
        <v>1609</v>
      </c>
      <c r="C2952" s="3" t="s">
        <v>1596</v>
      </c>
      <c r="D2952" s="3" t="s">
        <v>1220</v>
      </c>
      <c r="E2952" s="3" t="s">
        <v>1221</v>
      </c>
      <c r="F2952" s="2">
        <v>1</v>
      </c>
      <c r="G2952" s="4">
        <v>1.0982874162323157</v>
      </c>
      <c r="H2952" s="2">
        <v>25</v>
      </c>
      <c r="I2952" s="2">
        <v>5</v>
      </c>
      <c r="J2952" s="2">
        <v>1</v>
      </c>
      <c r="K2952" s="4">
        <v>0.98319969125212303</v>
      </c>
      <c r="L2952" s="4">
        <v>0.53238242526539459</v>
      </c>
      <c r="M2952" s="4">
        <v>0.53238242526539459</v>
      </c>
      <c r="N2952" s="10">
        <v>0.53200000000000003</v>
      </c>
      <c r="O2952" s="4">
        <v>2.942357060602184</v>
      </c>
      <c r="P2952" s="4">
        <v>2.94</v>
      </c>
      <c r="Q2952" s="3" t="s">
        <v>1597</v>
      </c>
      <c r="R2952" s="3" t="s">
        <v>1610</v>
      </c>
      <c r="S2952" s="3" t="s">
        <v>1611</v>
      </c>
      <c r="T2952" s="3"/>
    </row>
    <row r="2953" spans="1:20">
      <c r="A2953" s="3" t="s">
        <v>1600</v>
      </c>
      <c r="B2953" s="3" t="s">
        <v>1609</v>
      </c>
      <c r="C2953" s="3" t="s">
        <v>1596</v>
      </c>
      <c r="D2953" s="3" t="s">
        <v>1220</v>
      </c>
      <c r="E2953" s="3" t="s">
        <v>1221</v>
      </c>
      <c r="F2953" s="2">
        <v>1</v>
      </c>
      <c r="G2953" s="4">
        <v>1.0982874162323157</v>
      </c>
      <c r="H2953" s="2">
        <v>25</v>
      </c>
      <c r="I2953" s="2">
        <v>5</v>
      </c>
      <c r="J2953" s="2">
        <v>16</v>
      </c>
      <c r="K2953" s="4">
        <v>0.98005055945499708</v>
      </c>
      <c r="L2953" s="4">
        <v>0.50221099779673095</v>
      </c>
      <c r="M2953" s="4">
        <v>0.50221099779673095</v>
      </c>
      <c r="N2953" s="10">
        <v>0.502</v>
      </c>
      <c r="O2953" s="4">
        <v>2.7380625003343502</v>
      </c>
      <c r="P2953" s="4">
        <v>2.74</v>
      </c>
      <c r="Q2953" s="3" t="s">
        <v>1597</v>
      </c>
      <c r="R2953" s="3" t="s">
        <v>1610</v>
      </c>
      <c r="S2953" s="3" t="s">
        <v>1611</v>
      </c>
      <c r="T2953" s="3"/>
    </row>
    <row r="2954" spans="1:20">
      <c r="A2954" s="3" t="s">
        <v>1600</v>
      </c>
      <c r="B2954" s="3" t="s">
        <v>1609</v>
      </c>
      <c r="C2954" s="3" t="s">
        <v>1616</v>
      </c>
      <c r="D2954" s="3" t="s">
        <v>1220</v>
      </c>
      <c r="E2954" s="3" t="s">
        <v>1221</v>
      </c>
      <c r="F2954" s="2">
        <v>1</v>
      </c>
      <c r="G2954" s="4">
        <v>1.0982874162323157</v>
      </c>
      <c r="H2954" s="2">
        <v>25</v>
      </c>
      <c r="I2954" s="2">
        <v>5</v>
      </c>
      <c r="J2954" s="2">
        <v>1</v>
      </c>
      <c r="K2954" s="4">
        <v>0.97280587943659935</v>
      </c>
      <c r="L2954" s="4">
        <v>0.49835295776543059</v>
      </c>
      <c r="M2954" s="4">
        <v>0.49835295776543059</v>
      </c>
      <c r="N2954" s="10">
        <v>0.498</v>
      </c>
      <c r="O2954" s="4">
        <v>2.7125489175231881</v>
      </c>
      <c r="P2954" s="4">
        <v>2.71</v>
      </c>
      <c r="Q2954" s="3" t="s">
        <v>1597</v>
      </c>
      <c r="R2954" s="3" t="s">
        <v>1610</v>
      </c>
      <c r="S2954" s="3" t="s">
        <v>1611</v>
      </c>
      <c r="T2954" s="3"/>
    </row>
    <row r="2955" spans="1:20">
      <c r="A2955" s="3" t="s">
        <v>1600</v>
      </c>
      <c r="B2955" s="3" t="s">
        <v>1609</v>
      </c>
      <c r="C2955" s="3" t="s">
        <v>1616</v>
      </c>
      <c r="D2955" s="3" t="s">
        <v>1220</v>
      </c>
      <c r="E2955" s="3" t="s">
        <v>1221</v>
      </c>
      <c r="F2955" s="2">
        <v>1</v>
      </c>
      <c r="G2955" s="4">
        <v>1.0982874162323157</v>
      </c>
      <c r="H2955" s="2">
        <v>25</v>
      </c>
      <c r="I2955" s="2">
        <v>5</v>
      </c>
      <c r="J2955" s="2">
        <v>16</v>
      </c>
      <c r="K2955" s="4">
        <v>0.98743380410262849</v>
      </c>
      <c r="L2955" s="4">
        <v>0.47280011682762213</v>
      </c>
      <c r="M2955" s="4">
        <v>0.47280011682762213</v>
      </c>
      <c r="N2955" s="10">
        <v>0.47299999999999998</v>
      </c>
      <c r="O2955" s="4">
        <v>2.5467455141092668</v>
      </c>
      <c r="P2955" s="4">
        <v>2.5499999999999998</v>
      </c>
      <c r="Q2955" s="3" t="s">
        <v>1597</v>
      </c>
      <c r="R2955" s="3" t="s">
        <v>1610</v>
      </c>
      <c r="S2955" s="3" t="s">
        <v>1611</v>
      </c>
      <c r="T2955" s="3"/>
    </row>
    <row r="2956" spans="1:20">
      <c r="A2956" s="3" t="s">
        <v>1604</v>
      </c>
      <c r="B2956" s="3" t="s">
        <v>1601</v>
      </c>
      <c r="C2956" s="3" t="s">
        <v>1596</v>
      </c>
      <c r="D2956" s="3" t="s">
        <v>1220</v>
      </c>
      <c r="E2956" s="3" t="s">
        <v>1221</v>
      </c>
      <c r="F2956" s="2">
        <v>1</v>
      </c>
      <c r="G2956" s="4">
        <v>1.0982874162323157</v>
      </c>
      <c r="H2956" s="2">
        <v>25</v>
      </c>
      <c r="I2956" s="2">
        <v>30</v>
      </c>
      <c r="J2956" s="2">
        <v>16</v>
      </c>
      <c r="K2956" s="4">
        <v>1</v>
      </c>
      <c r="L2956" s="4">
        <v>0.32296406461714261</v>
      </c>
      <c r="M2956" s="4">
        <v>0.32296406461714261</v>
      </c>
      <c r="N2956" s="10">
        <v>0.32300000000000001</v>
      </c>
      <c r="O2956" s="4">
        <v>1.6606747862812572</v>
      </c>
      <c r="P2956" s="4">
        <v>1.66</v>
      </c>
      <c r="Q2956" s="3" t="s">
        <v>1597</v>
      </c>
      <c r="R2956" s="3" t="s">
        <v>1602</v>
      </c>
      <c r="S2956" s="3" t="s">
        <v>1603</v>
      </c>
      <c r="T2956" s="3"/>
    </row>
    <row r="2957" spans="1:20">
      <c r="A2957" s="3" t="s">
        <v>1600</v>
      </c>
      <c r="B2957" s="3" t="s">
        <v>1606</v>
      </c>
      <c r="C2957" s="3" t="s">
        <v>1616</v>
      </c>
      <c r="D2957" s="3" t="s">
        <v>1220</v>
      </c>
      <c r="E2957" s="3" t="s">
        <v>1221</v>
      </c>
      <c r="F2957" s="2">
        <v>1</v>
      </c>
      <c r="G2957" s="4">
        <v>1.0982874162323157</v>
      </c>
      <c r="H2957" s="2">
        <v>25</v>
      </c>
      <c r="I2957" s="2">
        <v>5</v>
      </c>
      <c r="J2957" s="2">
        <v>16</v>
      </c>
      <c r="K2957" s="4">
        <v>1</v>
      </c>
      <c r="L2957" s="4">
        <v>0.32275951084272292</v>
      </c>
      <c r="M2957" s="4">
        <v>0.32275951084272292</v>
      </c>
      <c r="N2957" s="10">
        <v>0.32300000000000001</v>
      </c>
      <c r="O2957" s="4">
        <v>1.6595426032207021</v>
      </c>
      <c r="P2957" s="4">
        <v>1.66</v>
      </c>
      <c r="Q2957" s="3" t="s">
        <v>1597</v>
      </c>
      <c r="R2957" s="3" t="s">
        <v>1607</v>
      </c>
      <c r="S2957" s="3" t="s">
        <v>1608</v>
      </c>
      <c r="T2957" s="3"/>
    </row>
    <row r="2958" spans="1:20">
      <c r="A2958" s="3" t="s">
        <v>1604</v>
      </c>
      <c r="B2958" s="3" t="s">
        <v>1601</v>
      </c>
      <c r="C2958" s="3" t="s">
        <v>1616</v>
      </c>
      <c r="D2958" s="3" t="s">
        <v>1220</v>
      </c>
      <c r="E2958" s="3" t="s">
        <v>1221</v>
      </c>
      <c r="F2958" s="2">
        <v>1</v>
      </c>
      <c r="G2958" s="4">
        <v>1.0982874162323157</v>
      </c>
      <c r="H2958" s="2">
        <v>25</v>
      </c>
      <c r="I2958" s="2">
        <v>30</v>
      </c>
      <c r="J2958" s="2">
        <v>16</v>
      </c>
      <c r="K2958" s="4">
        <v>1</v>
      </c>
      <c r="L2958" s="4">
        <v>0.31747867501197702</v>
      </c>
      <c r="M2958" s="4">
        <v>0.31747867501197702</v>
      </c>
      <c r="N2958" s="10">
        <v>0.317</v>
      </c>
      <c r="O2958" s="4">
        <v>1.6303710674240315</v>
      </c>
      <c r="P2958" s="4">
        <v>1.63</v>
      </c>
      <c r="Q2958" s="3" t="s">
        <v>1597</v>
      </c>
      <c r="R2958" s="3" t="s">
        <v>1602</v>
      </c>
      <c r="S2958" s="3" t="s">
        <v>1603</v>
      </c>
      <c r="T2958" s="3"/>
    </row>
    <row r="2959" spans="1:20">
      <c r="A2959" s="3" t="s">
        <v>1605</v>
      </c>
      <c r="B2959" s="3" t="s">
        <v>1601</v>
      </c>
      <c r="C2959" s="3" t="s">
        <v>1596</v>
      </c>
      <c r="D2959" s="3" t="s">
        <v>1220</v>
      </c>
      <c r="E2959" s="3" t="s">
        <v>1221</v>
      </c>
      <c r="F2959" s="2">
        <v>1</v>
      </c>
      <c r="G2959" s="4">
        <v>1.0982874162323157</v>
      </c>
      <c r="H2959" s="2">
        <v>25</v>
      </c>
      <c r="I2959" s="2">
        <v>5</v>
      </c>
      <c r="J2959" s="2">
        <v>16</v>
      </c>
      <c r="K2959" s="4">
        <v>1</v>
      </c>
      <c r="L2959" s="4">
        <v>0.31710735355344716</v>
      </c>
      <c r="M2959" s="4">
        <v>0.31710735355344716</v>
      </c>
      <c r="N2959" s="10">
        <v>0.317</v>
      </c>
      <c r="O2959" s="4">
        <v>1.6283239900071667</v>
      </c>
      <c r="P2959" s="4">
        <v>1.63</v>
      </c>
      <c r="Q2959" s="3" t="s">
        <v>1597</v>
      </c>
      <c r="R2959" s="3" t="s">
        <v>1602</v>
      </c>
      <c r="S2959" s="3" t="s">
        <v>1603</v>
      </c>
      <c r="T2959" s="3"/>
    </row>
    <row r="2960" spans="1:20">
      <c r="A2960" s="3" t="s">
        <v>1600</v>
      </c>
      <c r="B2960" s="3" t="s">
        <v>1606</v>
      </c>
      <c r="C2960" s="3" t="s">
        <v>1616</v>
      </c>
      <c r="D2960" s="3" t="s">
        <v>1220</v>
      </c>
      <c r="E2960" s="3" t="s">
        <v>1221</v>
      </c>
      <c r="F2960" s="2">
        <v>1</v>
      </c>
      <c r="G2960" s="4">
        <v>1.0982874162323157</v>
      </c>
      <c r="H2960" s="2">
        <v>25</v>
      </c>
      <c r="I2960" s="2">
        <v>5</v>
      </c>
      <c r="J2960" s="2">
        <v>1</v>
      </c>
      <c r="K2960" s="4">
        <v>1</v>
      </c>
      <c r="L2960" s="4">
        <v>0.31695051003253216</v>
      </c>
      <c r="M2960" s="4">
        <v>0.31695051003253216</v>
      </c>
      <c r="N2960" s="10">
        <v>0.317</v>
      </c>
      <c r="O2960" s="4">
        <v>1.6274594802297573</v>
      </c>
      <c r="P2960" s="4">
        <v>1.63</v>
      </c>
      <c r="Q2960" s="3" t="s">
        <v>1597</v>
      </c>
      <c r="R2960" s="3" t="s">
        <v>1607</v>
      </c>
      <c r="S2960" s="3" t="s">
        <v>1608</v>
      </c>
      <c r="T2960" s="3"/>
    </row>
    <row r="2961" spans="1:20">
      <c r="A2961" s="3" t="s">
        <v>1600</v>
      </c>
      <c r="B2961" s="3" t="s">
        <v>1606</v>
      </c>
      <c r="C2961" s="3" t="s">
        <v>1596</v>
      </c>
      <c r="D2961" s="3" t="s">
        <v>1220</v>
      </c>
      <c r="E2961" s="3" t="s">
        <v>1221</v>
      </c>
      <c r="F2961" s="2">
        <v>1</v>
      </c>
      <c r="G2961" s="4">
        <v>1.0982874162323157</v>
      </c>
      <c r="H2961" s="2">
        <v>25</v>
      </c>
      <c r="I2961" s="2">
        <v>5</v>
      </c>
      <c r="J2961" s="2">
        <v>1</v>
      </c>
      <c r="K2961" s="4">
        <v>0.91457360271336274</v>
      </c>
      <c r="L2961" s="4">
        <v>0.30965454494872319</v>
      </c>
      <c r="M2961" s="4">
        <v>0.30965454494872319</v>
      </c>
      <c r="N2961" s="10">
        <v>0.31</v>
      </c>
      <c r="O2961" s="4">
        <v>1.5873491228818923</v>
      </c>
      <c r="P2961" s="4">
        <v>1.59</v>
      </c>
      <c r="Q2961" s="3" t="s">
        <v>1597</v>
      </c>
      <c r="R2961" s="3" t="s">
        <v>1607</v>
      </c>
      <c r="S2961" s="3" t="s">
        <v>1608</v>
      </c>
      <c r="T2961" s="3"/>
    </row>
    <row r="2962" spans="1:20">
      <c r="A2962" s="3" t="s">
        <v>1600</v>
      </c>
      <c r="B2962" s="3" t="s">
        <v>1606</v>
      </c>
      <c r="C2962" s="3" t="s">
        <v>1596</v>
      </c>
      <c r="D2962" s="3" t="s">
        <v>1220</v>
      </c>
      <c r="E2962" s="3" t="s">
        <v>1221</v>
      </c>
      <c r="F2962" s="2">
        <v>1</v>
      </c>
      <c r="G2962" s="4">
        <v>1.0982874162323157</v>
      </c>
      <c r="H2962" s="2">
        <v>25</v>
      </c>
      <c r="I2962" s="2">
        <v>5</v>
      </c>
      <c r="J2962" s="2">
        <v>16</v>
      </c>
      <c r="K2962" s="4">
        <v>1</v>
      </c>
      <c r="L2962" s="4">
        <v>0.30885348465008006</v>
      </c>
      <c r="M2962" s="4">
        <v>0.30885348465008006</v>
      </c>
      <c r="N2962" s="10">
        <v>0.309</v>
      </c>
      <c r="O2962" s="4">
        <v>1.5829575114387684</v>
      </c>
      <c r="P2962" s="4">
        <v>1.58</v>
      </c>
      <c r="Q2962" s="3" t="s">
        <v>1597</v>
      </c>
      <c r="R2962" s="3" t="s">
        <v>1607</v>
      </c>
      <c r="S2962" s="3" t="s">
        <v>1608</v>
      </c>
      <c r="T2962" s="3"/>
    </row>
    <row r="2963" spans="1:20">
      <c r="A2963" s="3" t="s">
        <v>1600</v>
      </c>
      <c r="B2963" s="3" t="s">
        <v>1601</v>
      </c>
      <c r="C2963" s="3" t="s">
        <v>1616</v>
      </c>
      <c r="D2963" s="3" t="s">
        <v>1220</v>
      </c>
      <c r="E2963" s="3" t="s">
        <v>1221</v>
      </c>
      <c r="F2963" s="2">
        <v>1</v>
      </c>
      <c r="G2963" s="4">
        <v>1.0982874162323157</v>
      </c>
      <c r="H2963" s="2">
        <v>25</v>
      </c>
      <c r="I2963" s="2">
        <v>5</v>
      </c>
      <c r="J2963" s="2">
        <v>16</v>
      </c>
      <c r="K2963" s="4">
        <v>1</v>
      </c>
      <c r="L2963" s="4">
        <v>0.30225220882158149</v>
      </c>
      <c r="M2963" s="4">
        <v>0.30225220882158149</v>
      </c>
      <c r="N2963" s="10">
        <v>0.30199999999999999</v>
      </c>
      <c r="O2963" s="4">
        <v>1.5468583075152558</v>
      </c>
      <c r="P2963" s="4">
        <v>1.55</v>
      </c>
      <c r="Q2963" s="3" t="s">
        <v>1597</v>
      </c>
      <c r="R2963" s="3" t="s">
        <v>1602</v>
      </c>
      <c r="S2963" s="3" t="s">
        <v>1603</v>
      </c>
      <c r="T2963" s="3"/>
    </row>
    <row r="2964" spans="1:20">
      <c r="A2964" s="3" t="s">
        <v>1600</v>
      </c>
      <c r="B2964" s="3" t="s">
        <v>1601</v>
      </c>
      <c r="C2964" s="3" t="s">
        <v>1616</v>
      </c>
      <c r="D2964" s="3" t="s">
        <v>1220</v>
      </c>
      <c r="E2964" s="3" t="s">
        <v>1221</v>
      </c>
      <c r="F2964" s="2">
        <v>1</v>
      </c>
      <c r="G2964" s="4">
        <v>1.0982874162323157</v>
      </c>
      <c r="H2964" s="2">
        <v>25</v>
      </c>
      <c r="I2964" s="2">
        <v>5</v>
      </c>
      <c r="J2964" s="2">
        <v>1</v>
      </c>
      <c r="K2964" s="4">
        <v>1</v>
      </c>
      <c r="L2964" s="4">
        <v>0.30097861535696024</v>
      </c>
      <c r="M2964" s="4">
        <v>0.30097861535696024</v>
      </c>
      <c r="N2964" s="10">
        <v>0.30099999999999999</v>
      </c>
      <c r="O2964" s="4">
        <v>1.5399119916113269</v>
      </c>
      <c r="P2964" s="4">
        <v>1.54</v>
      </c>
      <c r="Q2964" s="3" t="s">
        <v>1597</v>
      </c>
      <c r="R2964" s="3" t="s">
        <v>1602</v>
      </c>
      <c r="S2964" s="3" t="s">
        <v>1603</v>
      </c>
      <c r="T2964" s="3"/>
    </row>
    <row r="2965" spans="1:20">
      <c r="A2965" s="3" t="s">
        <v>1600</v>
      </c>
      <c r="B2965" s="3" t="s">
        <v>1601</v>
      </c>
      <c r="C2965" s="3" t="s">
        <v>1596</v>
      </c>
      <c r="D2965" s="3" t="s">
        <v>1220</v>
      </c>
      <c r="E2965" s="3" t="s">
        <v>1221</v>
      </c>
      <c r="F2965" s="2">
        <v>1</v>
      </c>
      <c r="G2965" s="4">
        <v>1.0982874162323157</v>
      </c>
      <c r="H2965" s="2">
        <v>25</v>
      </c>
      <c r="I2965" s="2">
        <v>5</v>
      </c>
      <c r="J2965" s="2">
        <v>16</v>
      </c>
      <c r="K2965" s="4">
        <v>1</v>
      </c>
      <c r="L2965" s="4">
        <v>0.26352424984195882</v>
      </c>
      <c r="M2965" s="4">
        <v>0.26352424984195882</v>
      </c>
      <c r="N2965" s="10">
        <v>0.26400000000000001</v>
      </c>
      <c r="O2965" s="4">
        <v>1.338106885536779</v>
      </c>
      <c r="P2965" s="4">
        <v>1.34</v>
      </c>
      <c r="Q2965" s="3" t="s">
        <v>1597</v>
      </c>
      <c r="R2965" s="3" t="s">
        <v>1602</v>
      </c>
      <c r="S2965" s="3" t="s">
        <v>1603</v>
      </c>
      <c r="T2965" s="3"/>
    </row>
    <row r="2966" spans="1:20">
      <c r="A2966" s="3" t="s">
        <v>1600</v>
      </c>
      <c r="B2966" s="3" t="s">
        <v>1601</v>
      </c>
      <c r="C2966" s="3" t="s">
        <v>1596</v>
      </c>
      <c r="D2966" s="3" t="s">
        <v>1220</v>
      </c>
      <c r="E2966" s="3" t="s">
        <v>1221</v>
      </c>
      <c r="F2966" s="2">
        <v>1</v>
      </c>
      <c r="G2966" s="4">
        <v>1.0982874162323157</v>
      </c>
      <c r="H2966" s="2">
        <v>25</v>
      </c>
      <c r="I2966" s="2">
        <v>5</v>
      </c>
      <c r="J2966" s="2">
        <v>1</v>
      </c>
      <c r="K2966" s="4">
        <v>2.8976149827005693E-2</v>
      </c>
      <c r="L2966" s="4">
        <v>0.15443202074218118</v>
      </c>
      <c r="M2966" s="4">
        <v>0.15443202074218118</v>
      </c>
      <c r="N2966" s="10">
        <v>0.154</v>
      </c>
      <c r="O2966" s="4">
        <v>0.77183957915066359</v>
      </c>
      <c r="P2966" s="4">
        <v>0.77</v>
      </c>
      <c r="Q2966" s="3" t="s">
        <v>1597</v>
      </c>
      <c r="R2966" s="3" t="s">
        <v>1602</v>
      </c>
      <c r="S2966" s="3" t="s">
        <v>1603</v>
      </c>
      <c r="T2966" s="3"/>
    </row>
    <row r="2967" spans="1:20">
      <c r="A2967" s="3" t="s">
        <v>1594</v>
      </c>
      <c r="B2967" s="3" t="s">
        <v>1595</v>
      </c>
      <c r="C2967" s="3" t="s">
        <v>1596</v>
      </c>
      <c r="D2967" s="3" t="s">
        <v>1220</v>
      </c>
      <c r="E2967" s="3" t="s">
        <v>1221</v>
      </c>
      <c r="F2967" s="2">
        <v>1</v>
      </c>
      <c r="G2967" s="4">
        <v>1.0982874162323157</v>
      </c>
      <c r="H2967" s="2">
        <v>50</v>
      </c>
      <c r="I2967" s="2">
        <v>5</v>
      </c>
      <c r="J2967" s="2">
        <v>16</v>
      </c>
      <c r="K2967" s="4">
        <v>0.45131292803569267</v>
      </c>
      <c r="L2967" s="4">
        <v>7.9210371734025203E-2</v>
      </c>
      <c r="M2967" s="4">
        <v>7.9210371734025203E-2</v>
      </c>
      <c r="N2967" s="10">
        <v>7.9000000000000001E-2</v>
      </c>
      <c r="O2967" s="4">
        <v>0.42654329506274485</v>
      </c>
      <c r="P2967" s="4">
        <v>0.43</v>
      </c>
      <c r="Q2967" s="3" t="s">
        <v>1597</v>
      </c>
      <c r="R2967" s="3" t="s">
        <v>1598</v>
      </c>
      <c r="S2967" s="3" t="s">
        <v>1599</v>
      </c>
      <c r="T2967" s="3"/>
    </row>
    <row r="2968" spans="1:20">
      <c r="A2968" s="3" t="s">
        <v>1594</v>
      </c>
      <c r="B2968" s="3" t="s">
        <v>1612</v>
      </c>
      <c r="C2968" s="3" t="s">
        <v>1596</v>
      </c>
      <c r="D2968" s="3" t="s">
        <v>1220</v>
      </c>
      <c r="E2968" s="3" t="s">
        <v>1221</v>
      </c>
      <c r="F2968" s="2">
        <v>1</v>
      </c>
      <c r="G2968" s="4">
        <v>1.0982874162323157</v>
      </c>
      <c r="H2968" s="2">
        <v>50</v>
      </c>
      <c r="I2968" s="2">
        <v>5</v>
      </c>
      <c r="J2968" s="2">
        <v>16</v>
      </c>
      <c r="K2968" s="4">
        <v>0.60769037490236566</v>
      </c>
      <c r="L2968" s="4">
        <v>5.9961794770841535E-2</v>
      </c>
      <c r="M2968" s="4">
        <v>5.9961794770841535E-2</v>
      </c>
      <c r="N2968" s="10">
        <v>0.06</v>
      </c>
      <c r="O2968" s="4">
        <v>0.32260137923725146</v>
      </c>
      <c r="P2968" s="4">
        <v>0.32</v>
      </c>
      <c r="Q2968" s="3" t="s">
        <v>1597</v>
      </c>
      <c r="R2968" s="3" t="s">
        <v>1613</v>
      </c>
      <c r="S2968" s="3" t="s">
        <v>1614</v>
      </c>
      <c r="T2968" s="3"/>
    </row>
    <row r="2969" spans="1:20">
      <c r="A2969" s="3" t="s">
        <v>1594</v>
      </c>
      <c r="B2969" s="3" t="s">
        <v>1595</v>
      </c>
      <c r="C2969" s="3" t="s">
        <v>1596</v>
      </c>
      <c r="D2969" s="3" t="s">
        <v>1220</v>
      </c>
      <c r="E2969" s="3" t="s">
        <v>1221</v>
      </c>
      <c r="F2969" s="2">
        <v>1</v>
      </c>
      <c r="G2969" s="4">
        <v>1.0982874162323157</v>
      </c>
      <c r="H2969" s="2">
        <v>25</v>
      </c>
      <c r="I2969" s="2">
        <v>5</v>
      </c>
      <c r="J2969" s="2">
        <v>16</v>
      </c>
      <c r="K2969" s="4">
        <v>4.7259694948008191E-2</v>
      </c>
      <c r="L2969" s="4">
        <v>8.4187295400935166E-3</v>
      </c>
      <c r="M2969" s="4">
        <v>8.4187295400935166E-3</v>
      </c>
      <c r="N2969" s="10">
        <v>8.0000000000000002E-3</v>
      </c>
      <c r="O2969" s="4">
        <v>4.1740511345965597E-2</v>
      </c>
      <c r="P2969" s="4">
        <v>0.04</v>
      </c>
      <c r="Q2969" s="3" t="s">
        <v>1597</v>
      </c>
      <c r="R2969" s="3" t="s">
        <v>1598</v>
      </c>
      <c r="S2969" s="3" t="s">
        <v>1599</v>
      </c>
      <c r="T2969" s="3"/>
    </row>
    <row r="2970" spans="1:20">
      <c r="A2970" s="3" t="s">
        <v>1600</v>
      </c>
      <c r="B2970" s="3" t="s">
        <v>1606</v>
      </c>
      <c r="C2970" s="3" t="s">
        <v>1596</v>
      </c>
      <c r="D2970" s="3" t="s">
        <v>1021</v>
      </c>
      <c r="E2970" s="3" t="s">
        <v>1022</v>
      </c>
      <c r="F2970" s="2">
        <v>1</v>
      </c>
      <c r="G2970" s="4">
        <v>1.099411582533292</v>
      </c>
      <c r="H2970" s="2">
        <v>25</v>
      </c>
      <c r="I2970" s="2">
        <v>5</v>
      </c>
      <c r="J2970" s="2">
        <v>16</v>
      </c>
      <c r="K2970" s="4">
        <v>1</v>
      </c>
      <c r="L2970" s="4">
        <v>0.93462944947807358</v>
      </c>
      <c r="M2970" s="4">
        <v>0.93462944947807358</v>
      </c>
      <c r="N2970" s="10">
        <v>0.93500000000000005</v>
      </c>
      <c r="O2970" s="4">
        <v>8.3977506781697873</v>
      </c>
      <c r="P2970" s="4">
        <v>8.41</v>
      </c>
      <c r="Q2970" s="3" t="s">
        <v>1597</v>
      </c>
      <c r="R2970" s="3" t="s">
        <v>1607</v>
      </c>
      <c r="S2970" s="3" t="s">
        <v>1608</v>
      </c>
      <c r="T2970" s="3"/>
    </row>
    <row r="2971" spans="1:20">
      <c r="A2971" s="3" t="s">
        <v>1600</v>
      </c>
      <c r="B2971" s="3" t="s">
        <v>1606</v>
      </c>
      <c r="C2971" s="3" t="s">
        <v>1596</v>
      </c>
      <c r="D2971" s="3" t="s">
        <v>1021</v>
      </c>
      <c r="E2971" s="3" t="s">
        <v>1022</v>
      </c>
      <c r="F2971" s="2">
        <v>1</v>
      </c>
      <c r="G2971" s="4">
        <v>1.099411582533292</v>
      </c>
      <c r="H2971" s="2">
        <v>25</v>
      </c>
      <c r="I2971" s="2">
        <v>5</v>
      </c>
      <c r="J2971" s="2">
        <v>1</v>
      </c>
      <c r="K2971" s="4">
        <v>0.99772766670689017</v>
      </c>
      <c r="L2971" s="4">
        <v>0.93269824929085887</v>
      </c>
      <c r="M2971" s="4">
        <v>0.93269824929085887</v>
      </c>
      <c r="N2971" s="10">
        <v>0.93300000000000005</v>
      </c>
      <c r="O2971" s="4">
        <v>8.3231012204803161</v>
      </c>
      <c r="P2971" s="4">
        <v>8.33</v>
      </c>
      <c r="Q2971" s="3" t="s">
        <v>1597</v>
      </c>
      <c r="R2971" s="3" t="s">
        <v>1607</v>
      </c>
      <c r="S2971" s="3" t="s">
        <v>1608</v>
      </c>
      <c r="T2971" s="3"/>
    </row>
    <row r="2972" spans="1:20">
      <c r="A2972" s="3" t="s">
        <v>1600</v>
      </c>
      <c r="B2972" s="3" t="s">
        <v>1606</v>
      </c>
      <c r="C2972" s="3" t="s">
        <v>1616</v>
      </c>
      <c r="D2972" s="3" t="s">
        <v>1021</v>
      </c>
      <c r="E2972" s="3" t="s">
        <v>1022</v>
      </c>
      <c r="F2972" s="2">
        <v>1</v>
      </c>
      <c r="G2972" s="4">
        <v>1.099411582533292</v>
      </c>
      <c r="H2972" s="2">
        <v>25</v>
      </c>
      <c r="I2972" s="2">
        <v>5</v>
      </c>
      <c r="J2972" s="2">
        <v>1</v>
      </c>
      <c r="K2972" s="4">
        <v>0.99745296121957894</v>
      </c>
      <c r="L2972" s="4">
        <v>0.91477146143474197</v>
      </c>
      <c r="M2972" s="4">
        <v>0.91477146143474197</v>
      </c>
      <c r="N2972" s="10">
        <v>0.91500000000000004</v>
      </c>
      <c r="O2972" s="4">
        <v>7.7145916379477777</v>
      </c>
      <c r="P2972" s="4">
        <v>7.72</v>
      </c>
      <c r="Q2972" s="3" t="s">
        <v>1597</v>
      </c>
      <c r="R2972" s="3" t="s">
        <v>1607</v>
      </c>
      <c r="S2972" s="3" t="s">
        <v>1608</v>
      </c>
      <c r="T2972" s="3"/>
    </row>
    <row r="2973" spans="1:20">
      <c r="A2973" s="3" t="s">
        <v>1600</v>
      </c>
      <c r="B2973" s="3" t="s">
        <v>1606</v>
      </c>
      <c r="C2973" s="3" t="s">
        <v>1616</v>
      </c>
      <c r="D2973" s="3" t="s">
        <v>1021</v>
      </c>
      <c r="E2973" s="3" t="s">
        <v>1022</v>
      </c>
      <c r="F2973" s="2">
        <v>1</v>
      </c>
      <c r="G2973" s="4">
        <v>1.099411582533292</v>
      </c>
      <c r="H2973" s="2">
        <v>25</v>
      </c>
      <c r="I2973" s="2">
        <v>5</v>
      </c>
      <c r="J2973" s="2">
        <v>16</v>
      </c>
      <c r="K2973" s="4">
        <v>1</v>
      </c>
      <c r="L2973" s="4">
        <v>0.89634518377884109</v>
      </c>
      <c r="M2973" s="4">
        <v>0.89634518377884109</v>
      </c>
      <c r="N2973" s="10">
        <v>0.89600000000000002</v>
      </c>
      <c r="O2973" s="4">
        <v>7.2054120840593576</v>
      </c>
      <c r="P2973" s="4">
        <v>7.2</v>
      </c>
      <c r="Q2973" s="3" t="s">
        <v>1597</v>
      </c>
      <c r="R2973" s="3" t="s">
        <v>1607</v>
      </c>
      <c r="S2973" s="3" t="s">
        <v>1608</v>
      </c>
      <c r="T2973" s="3"/>
    </row>
    <row r="2974" spans="1:20">
      <c r="A2974" s="3" t="s">
        <v>1600</v>
      </c>
      <c r="B2974" s="3" t="s">
        <v>1601</v>
      </c>
      <c r="C2974" s="3" t="s">
        <v>1596</v>
      </c>
      <c r="D2974" s="3" t="s">
        <v>1021</v>
      </c>
      <c r="E2974" s="3" t="s">
        <v>1022</v>
      </c>
      <c r="F2974" s="2">
        <v>1</v>
      </c>
      <c r="G2974" s="4">
        <v>1.099411582533292</v>
      </c>
      <c r="H2974" s="2">
        <v>25</v>
      </c>
      <c r="I2974" s="2">
        <v>5</v>
      </c>
      <c r="J2974" s="2">
        <v>16</v>
      </c>
      <c r="K2974" s="4">
        <v>1</v>
      </c>
      <c r="L2974" s="4">
        <v>0.84179645414697202</v>
      </c>
      <c r="M2974" s="4">
        <v>0.84179645414697202</v>
      </c>
      <c r="N2974" s="10">
        <v>0.84199999999999997</v>
      </c>
      <c r="O2974" s="4">
        <v>6.0849105810184785</v>
      </c>
      <c r="P2974" s="4">
        <v>6.09</v>
      </c>
      <c r="Q2974" s="3" t="s">
        <v>1597</v>
      </c>
      <c r="R2974" s="3" t="s">
        <v>1602</v>
      </c>
      <c r="S2974" s="3" t="s">
        <v>1603</v>
      </c>
      <c r="T2974" s="3"/>
    </row>
    <row r="2975" spans="1:20">
      <c r="A2975" s="3" t="s">
        <v>1605</v>
      </c>
      <c r="B2975" s="3" t="s">
        <v>1601</v>
      </c>
      <c r="C2975" s="3" t="s">
        <v>1596</v>
      </c>
      <c r="D2975" s="3" t="s">
        <v>1021</v>
      </c>
      <c r="E2975" s="3" t="s">
        <v>1022</v>
      </c>
      <c r="F2975" s="2">
        <v>1</v>
      </c>
      <c r="G2975" s="4">
        <v>1.099411582533292</v>
      </c>
      <c r="H2975" s="2">
        <v>25</v>
      </c>
      <c r="I2975" s="2">
        <v>5</v>
      </c>
      <c r="J2975" s="2">
        <v>16</v>
      </c>
      <c r="K2975" s="4">
        <v>1</v>
      </c>
      <c r="L2975" s="4">
        <v>0.8365679089520216</v>
      </c>
      <c r="M2975" s="4">
        <v>0.8365679089520216</v>
      </c>
      <c r="N2975" s="10">
        <v>0.83699999999999997</v>
      </c>
      <c r="O2975" s="4">
        <v>5.997259333140657</v>
      </c>
      <c r="P2975" s="4">
        <v>6</v>
      </c>
      <c r="Q2975" s="3" t="s">
        <v>1597</v>
      </c>
      <c r="R2975" s="3" t="s">
        <v>1602</v>
      </c>
      <c r="S2975" s="3" t="s">
        <v>1603</v>
      </c>
      <c r="T2975" s="3"/>
    </row>
    <row r="2976" spans="1:20">
      <c r="A2976" s="3" t="s">
        <v>1600</v>
      </c>
      <c r="B2976" s="3" t="s">
        <v>1601</v>
      </c>
      <c r="C2976" s="3" t="s">
        <v>1596</v>
      </c>
      <c r="D2976" s="3" t="s">
        <v>1021</v>
      </c>
      <c r="E2976" s="3" t="s">
        <v>1022</v>
      </c>
      <c r="F2976" s="2">
        <v>1</v>
      </c>
      <c r="G2976" s="4">
        <v>1.099411582533292</v>
      </c>
      <c r="H2976" s="2">
        <v>25</v>
      </c>
      <c r="I2976" s="2">
        <v>5</v>
      </c>
      <c r="J2976" s="2">
        <v>1</v>
      </c>
      <c r="K2976" s="4">
        <v>0.83298943062623698</v>
      </c>
      <c r="L2976" s="4">
        <v>0.83432571157470181</v>
      </c>
      <c r="M2976" s="4">
        <v>0.83432571157470181</v>
      </c>
      <c r="N2976" s="10">
        <v>0.83399999999999996</v>
      </c>
      <c r="O2976" s="4">
        <v>5.9604521273144702</v>
      </c>
      <c r="P2976" s="4">
        <v>5.96</v>
      </c>
      <c r="Q2976" s="3" t="s">
        <v>1597</v>
      </c>
      <c r="R2976" s="3" t="s">
        <v>1602</v>
      </c>
      <c r="S2976" s="3" t="s">
        <v>1603</v>
      </c>
      <c r="T2976" s="3"/>
    </row>
    <row r="2977" spans="1:20">
      <c r="A2977" s="3" t="s">
        <v>1604</v>
      </c>
      <c r="B2977" s="3" t="s">
        <v>1601</v>
      </c>
      <c r="C2977" s="3" t="s">
        <v>1596</v>
      </c>
      <c r="D2977" s="3" t="s">
        <v>1021</v>
      </c>
      <c r="E2977" s="3" t="s">
        <v>1022</v>
      </c>
      <c r="F2977" s="2">
        <v>1</v>
      </c>
      <c r="G2977" s="4">
        <v>1.099411582533292</v>
      </c>
      <c r="H2977" s="2">
        <v>25</v>
      </c>
      <c r="I2977" s="2">
        <v>30</v>
      </c>
      <c r="J2977" s="2">
        <v>16</v>
      </c>
      <c r="K2977" s="4">
        <v>1</v>
      </c>
      <c r="L2977" s="4">
        <v>0.76852433501862427</v>
      </c>
      <c r="M2977" s="4">
        <v>0.76852433501862427</v>
      </c>
      <c r="N2977" s="10">
        <v>0.76900000000000002</v>
      </c>
      <c r="O2977" s="4">
        <v>5.0407983890042081</v>
      </c>
      <c r="P2977" s="4">
        <v>5.05</v>
      </c>
      <c r="Q2977" s="3" t="s">
        <v>1597</v>
      </c>
      <c r="R2977" s="3" t="s">
        <v>1602</v>
      </c>
      <c r="S2977" s="3" t="s">
        <v>1603</v>
      </c>
      <c r="T2977" s="3"/>
    </row>
    <row r="2978" spans="1:20">
      <c r="A2978" s="3" t="s">
        <v>1600</v>
      </c>
      <c r="B2978" s="3" t="s">
        <v>1601</v>
      </c>
      <c r="C2978" s="3" t="s">
        <v>1616</v>
      </c>
      <c r="D2978" s="3" t="s">
        <v>1021</v>
      </c>
      <c r="E2978" s="3" t="s">
        <v>1022</v>
      </c>
      <c r="F2978" s="2">
        <v>1</v>
      </c>
      <c r="G2978" s="4">
        <v>1.099411582533292</v>
      </c>
      <c r="H2978" s="2">
        <v>25</v>
      </c>
      <c r="I2978" s="2">
        <v>5</v>
      </c>
      <c r="J2978" s="2">
        <v>16</v>
      </c>
      <c r="K2978" s="4">
        <v>1</v>
      </c>
      <c r="L2978" s="4">
        <v>0.63743148948429296</v>
      </c>
      <c r="M2978" s="4">
        <v>0.63743148948429296</v>
      </c>
      <c r="N2978" s="10">
        <v>0.63700000000000001</v>
      </c>
      <c r="O2978" s="4">
        <v>3.7374676271289484</v>
      </c>
      <c r="P2978" s="4">
        <v>3.73</v>
      </c>
      <c r="Q2978" s="3" t="s">
        <v>1597</v>
      </c>
      <c r="R2978" s="3" t="s">
        <v>1602</v>
      </c>
      <c r="S2978" s="3" t="s">
        <v>1603</v>
      </c>
      <c r="T2978" s="3"/>
    </row>
    <row r="2979" spans="1:20">
      <c r="A2979" s="3" t="s">
        <v>1600</v>
      </c>
      <c r="B2979" s="3" t="s">
        <v>1609</v>
      </c>
      <c r="C2979" s="3" t="s">
        <v>1596</v>
      </c>
      <c r="D2979" s="3" t="s">
        <v>1021</v>
      </c>
      <c r="E2979" s="3" t="s">
        <v>1022</v>
      </c>
      <c r="F2979" s="2">
        <v>1</v>
      </c>
      <c r="G2979" s="4">
        <v>1.099411582533292</v>
      </c>
      <c r="H2979" s="2">
        <v>25</v>
      </c>
      <c r="I2979" s="2">
        <v>5</v>
      </c>
      <c r="J2979" s="2">
        <v>1</v>
      </c>
      <c r="K2979" s="4">
        <v>1</v>
      </c>
      <c r="L2979" s="4">
        <v>0.63739989626697779</v>
      </c>
      <c r="M2979" s="4">
        <v>0.63739989626697779</v>
      </c>
      <c r="N2979" s="10">
        <v>0.63700000000000001</v>
      </c>
      <c r="O2979" s="4">
        <v>3.7372037955053532</v>
      </c>
      <c r="P2979" s="4">
        <v>3.73</v>
      </c>
      <c r="Q2979" s="3" t="s">
        <v>1597</v>
      </c>
      <c r="R2979" s="3" t="s">
        <v>1610</v>
      </c>
      <c r="S2979" s="3" t="s">
        <v>1611</v>
      </c>
      <c r="T2979" s="3"/>
    </row>
    <row r="2980" spans="1:20">
      <c r="A2980" s="3" t="s">
        <v>1600</v>
      </c>
      <c r="B2980" s="3" t="s">
        <v>1609</v>
      </c>
      <c r="C2980" s="3" t="s">
        <v>1616</v>
      </c>
      <c r="D2980" s="3" t="s">
        <v>1021</v>
      </c>
      <c r="E2980" s="3" t="s">
        <v>1022</v>
      </c>
      <c r="F2980" s="2">
        <v>1</v>
      </c>
      <c r="G2980" s="4">
        <v>1.099411582533292</v>
      </c>
      <c r="H2980" s="2">
        <v>25</v>
      </c>
      <c r="I2980" s="2">
        <v>5</v>
      </c>
      <c r="J2980" s="2">
        <v>1</v>
      </c>
      <c r="K2980" s="4">
        <v>0.98227906122645192</v>
      </c>
      <c r="L2980" s="4">
        <v>0.63478614728167593</v>
      </c>
      <c r="M2980" s="4">
        <v>0.63478614728167593</v>
      </c>
      <c r="N2980" s="10">
        <v>0.63500000000000001</v>
      </c>
      <c r="O2980" s="4">
        <v>3.7154383283753045</v>
      </c>
      <c r="P2980" s="4">
        <v>3.72</v>
      </c>
      <c r="Q2980" s="3" t="s">
        <v>1597</v>
      </c>
      <c r="R2980" s="3" t="s">
        <v>1610</v>
      </c>
      <c r="S2980" s="3" t="s">
        <v>1611</v>
      </c>
      <c r="T2980" s="3"/>
    </row>
    <row r="2981" spans="1:20">
      <c r="A2981" s="3" t="s">
        <v>1600</v>
      </c>
      <c r="B2981" s="3" t="s">
        <v>1601</v>
      </c>
      <c r="C2981" s="3" t="s">
        <v>1616</v>
      </c>
      <c r="D2981" s="3" t="s">
        <v>1021</v>
      </c>
      <c r="E2981" s="3" t="s">
        <v>1022</v>
      </c>
      <c r="F2981" s="2">
        <v>1</v>
      </c>
      <c r="G2981" s="4">
        <v>1.099411582533292</v>
      </c>
      <c r="H2981" s="2">
        <v>25</v>
      </c>
      <c r="I2981" s="2">
        <v>5</v>
      </c>
      <c r="J2981" s="2">
        <v>1</v>
      </c>
      <c r="K2981" s="4">
        <v>1</v>
      </c>
      <c r="L2981" s="4">
        <v>0.60739854616575817</v>
      </c>
      <c r="M2981" s="4">
        <v>0.60739854616575817</v>
      </c>
      <c r="N2981" s="10">
        <v>0.60699999999999998</v>
      </c>
      <c r="O2981" s="4">
        <v>3.4942974066830748</v>
      </c>
      <c r="P2981" s="4">
        <v>3.49</v>
      </c>
      <c r="Q2981" s="3" t="s">
        <v>1597</v>
      </c>
      <c r="R2981" s="3" t="s">
        <v>1602</v>
      </c>
      <c r="S2981" s="3" t="s">
        <v>1603</v>
      </c>
      <c r="T2981" s="3"/>
    </row>
    <row r="2982" spans="1:20">
      <c r="A2982" s="3" t="s">
        <v>1604</v>
      </c>
      <c r="B2982" s="3" t="s">
        <v>1601</v>
      </c>
      <c r="C2982" s="3" t="s">
        <v>1616</v>
      </c>
      <c r="D2982" s="3" t="s">
        <v>1021</v>
      </c>
      <c r="E2982" s="3" t="s">
        <v>1022</v>
      </c>
      <c r="F2982" s="2">
        <v>1</v>
      </c>
      <c r="G2982" s="4">
        <v>1.099411582533292</v>
      </c>
      <c r="H2982" s="2">
        <v>25</v>
      </c>
      <c r="I2982" s="2">
        <v>30</v>
      </c>
      <c r="J2982" s="2">
        <v>16</v>
      </c>
      <c r="K2982" s="4">
        <v>1</v>
      </c>
      <c r="L2982" s="4">
        <v>0.60017095557788869</v>
      </c>
      <c r="M2982" s="4">
        <v>0.60017095557788869</v>
      </c>
      <c r="N2982" s="10">
        <v>0.6</v>
      </c>
      <c r="O2982" s="4">
        <v>3.4379041692095189</v>
      </c>
      <c r="P2982" s="4">
        <v>3.44</v>
      </c>
      <c r="Q2982" s="3" t="s">
        <v>1597</v>
      </c>
      <c r="R2982" s="3" t="s">
        <v>1602</v>
      </c>
      <c r="S2982" s="3" t="s">
        <v>1603</v>
      </c>
      <c r="T2982" s="3"/>
    </row>
    <row r="2983" spans="1:20">
      <c r="A2983" s="3" t="s">
        <v>1600</v>
      </c>
      <c r="B2983" s="3" t="s">
        <v>1609</v>
      </c>
      <c r="C2983" s="3" t="s">
        <v>1616</v>
      </c>
      <c r="D2983" s="3" t="s">
        <v>1021</v>
      </c>
      <c r="E2983" s="3" t="s">
        <v>1022</v>
      </c>
      <c r="F2983" s="2">
        <v>1</v>
      </c>
      <c r="G2983" s="4">
        <v>1.099411582533292</v>
      </c>
      <c r="H2983" s="2">
        <v>25</v>
      </c>
      <c r="I2983" s="2">
        <v>5</v>
      </c>
      <c r="J2983" s="2">
        <v>16</v>
      </c>
      <c r="K2983" s="4">
        <v>0.98455492986758641</v>
      </c>
      <c r="L2983" s="4">
        <v>0.59878686644248824</v>
      </c>
      <c r="M2983" s="4">
        <v>0.59878686644248824</v>
      </c>
      <c r="N2983" s="10">
        <v>0.59899999999999998</v>
      </c>
      <c r="O2983" s="4">
        <v>3.427192393981199</v>
      </c>
      <c r="P2983" s="4">
        <v>3.43</v>
      </c>
      <c r="Q2983" s="3" t="s">
        <v>1597</v>
      </c>
      <c r="R2983" s="3" t="s">
        <v>1610</v>
      </c>
      <c r="S2983" s="3" t="s">
        <v>1611</v>
      </c>
      <c r="T2983" s="3"/>
    </row>
    <row r="2984" spans="1:20">
      <c r="A2984" s="3" t="s">
        <v>1600</v>
      </c>
      <c r="B2984" s="3" t="s">
        <v>1609</v>
      </c>
      <c r="C2984" s="3" t="s">
        <v>1596</v>
      </c>
      <c r="D2984" s="3" t="s">
        <v>1021</v>
      </c>
      <c r="E2984" s="3" t="s">
        <v>1022</v>
      </c>
      <c r="F2984" s="2">
        <v>1</v>
      </c>
      <c r="G2984" s="4">
        <v>1.099411582533292</v>
      </c>
      <c r="H2984" s="2">
        <v>25</v>
      </c>
      <c r="I2984" s="2">
        <v>5</v>
      </c>
      <c r="J2984" s="2">
        <v>16</v>
      </c>
      <c r="K2984" s="4">
        <v>1</v>
      </c>
      <c r="L2984" s="4">
        <v>0.56979538632139248</v>
      </c>
      <c r="M2984" s="4">
        <v>0.56979538632139248</v>
      </c>
      <c r="N2984" s="10">
        <v>0.56999999999999995</v>
      </c>
      <c r="O2984" s="4">
        <v>3.2088746258900245</v>
      </c>
      <c r="P2984" s="4">
        <v>3.21</v>
      </c>
      <c r="Q2984" s="3" t="s">
        <v>1597</v>
      </c>
      <c r="R2984" s="3" t="s">
        <v>1610</v>
      </c>
      <c r="S2984" s="3" t="s">
        <v>1611</v>
      </c>
      <c r="T2984" s="3"/>
    </row>
    <row r="2985" spans="1:20">
      <c r="A2985" s="3" t="s">
        <v>1594</v>
      </c>
      <c r="B2985" s="3" t="s">
        <v>1612</v>
      </c>
      <c r="C2985" s="3" t="s">
        <v>1596</v>
      </c>
      <c r="D2985" s="3" t="s">
        <v>1021</v>
      </c>
      <c r="E2985" s="3" t="s">
        <v>1022</v>
      </c>
      <c r="F2985" s="2">
        <v>1</v>
      </c>
      <c r="G2985" s="4">
        <v>1.099411582533292</v>
      </c>
      <c r="H2985" s="2">
        <v>50</v>
      </c>
      <c r="I2985" s="2">
        <v>5</v>
      </c>
      <c r="J2985" s="2">
        <v>16</v>
      </c>
      <c r="K2985" s="4">
        <v>0.41387853513369977</v>
      </c>
      <c r="L2985" s="4">
        <v>-4.6268437875722122E-2</v>
      </c>
      <c r="M2985" s="4">
        <v>4.6268437875722122E-2</v>
      </c>
      <c r="N2985" s="10">
        <v>4.5999999999999999E-2</v>
      </c>
      <c r="O2985" s="4">
        <v>0.24880856497457915</v>
      </c>
      <c r="P2985" s="4">
        <v>-0.25</v>
      </c>
      <c r="Q2985" s="3" t="s">
        <v>1617</v>
      </c>
      <c r="R2985" s="3" t="s">
        <v>1627</v>
      </c>
      <c r="S2985" s="3" t="s">
        <v>1628</v>
      </c>
      <c r="T2985" s="3"/>
    </row>
    <row r="2986" spans="1:20">
      <c r="A2986" s="3" t="s">
        <v>1594</v>
      </c>
      <c r="B2986" s="3" t="s">
        <v>1595</v>
      </c>
      <c r="C2986" s="3" t="s">
        <v>1596</v>
      </c>
      <c r="D2986" s="3" t="s">
        <v>1021</v>
      </c>
      <c r="E2986" s="3" t="s">
        <v>1022</v>
      </c>
      <c r="F2986" s="2">
        <v>1</v>
      </c>
      <c r="G2986" s="4">
        <v>1.099411582533292</v>
      </c>
      <c r="H2986" s="2">
        <v>50</v>
      </c>
      <c r="I2986" s="2">
        <v>5</v>
      </c>
      <c r="J2986" s="2">
        <v>16</v>
      </c>
      <c r="K2986" s="4">
        <v>1</v>
      </c>
      <c r="L2986" s="4">
        <v>-0.27193751545026984</v>
      </c>
      <c r="M2986" s="4">
        <v>0.27193751545026984</v>
      </c>
      <c r="N2986" s="10">
        <v>0.27200000000000002</v>
      </c>
      <c r="O2986" s="4">
        <v>1.4990090158900156</v>
      </c>
      <c r="P2986" s="4">
        <v>-1.5</v>
      </c>
      <c r="Q2986" s="3" t="s">
        <v>1617</v>
      </c>
      <c r="R2986" s="3" t="s">
        <v>1625</v>
      </c>
      <c r="S2986" s="3" t="s">
        <v>1626</v>
      </c>
      <c r="T2986" s="3"/>
    </row>
    <row r="2987" spans="1:20">
      <c r="A2987" s="3" t="s">
        <v>1594</v>
      </c>
      <c r="B2987" s="3" t="s">
        <v>1595</v>
      </c>
      <c r="C2987" s="3" t="s">
        <v>1596</v>
      </c>
      <c r="D2987" s="3" t="s">
        <v>1021</v>
      </c>
      <c r="E2987" s="3" t="s">
        <v>1022</v>
      </c>
      <c r="F2987" s="2">
        <v>1</v>
      </c>
      <c r="G2987" s="4">
        <v>1.099411582533292</v>
      </c>
      <c r="H2987" s="2">
        <v>25</v>
      </c>
      <c r="I2987" s="2">
        <v>5</v>
      </c>
      <c r="J2987" s="2">
        <v>16</v>
      </c>
      <c r="K2987" s="4">
        <v>0.98422417372630899</v>
      </c>
      <c r="L2987" s="4">
        <v>-0.30452911475856298</v>
      </c>
      <c r="M2987" s="4">
        <v>0.30452911475856298</v>
      </c>
      <c r="N2987" s="10">
        <v>0.30499999999999999</v>
      </c>
      <c r="O2987" s="4">
        <v>1.5592914934894215</v>
      </c>
      <c r="P2987" s="4">
        <v>-1.56</v>
      </c>
      <c r="Q2987" s="3" t="s">
        <v>1617</v>
      </c>
      <c r="R2987" s="3" t="s">
        <v>1625</v>
      </c>
      <c r="S2987" s="3" t="s">
        <v>1626</v>
      </c>
      <c r="T2987" s="3"/>
    </row>
    <row r="2988" spans="1:20">
      <c r="A2988" s="3" t="s">
        <v>1594</v>
      </c>
      <c r="B2988" s="3" t="s">
        <v>1612</v>
      </c>
      <c r="C2988" s="3" t="s">
        <v>1596</v>
      </c>
      <c r="D2988" s="3" t="s">
        <v>1451</v>
      </c>
      <c r="E2988" s="3" t="s">
        <v>1452</v>
      </c>
      <c r="F2988" s="2">
        <v>1</v>
      </c>
      <c r="G2988" s="4">
        <v>1.9988771404510153</v>
      </c>
      <c r="H2988" s="2">
        <v>50</v>
      </c>
      <c r="I2988" s="2">
        <v>5</v>
      </c>
      <c r="J2988" s="2">
        <v>16</v>
      </c>
      <c r="K2988" s="4">
        <v>0.44402460529421761</v>
      </c>
      <c r="L2988" s="4">
        <v>5.9984608214010859E-2</v>
      </c>
      <c r="M2988" s="4">
        <v>5.9984608214010859E-2</v>
      </c>
      <c r="N2988" s="10">
        <v>0.06</v>
      </c>
      <c r="O2988" s="4">
        <v>0.32272441348279196</v>
      </c>
      <c r="P2988" s="4">
        <v>0.32</v>
      </c>
      <c r="Q2988" s="3" t="s">
        <v>1597</v>
      </c>
      <c r="R2988" s="3" t="s">
        <v>1613</v>
      </c>
      <c r="S2988" s="3" t="s">
        <v>1614</v>
      </c>
      <c r="T2988" s="3"/>
    </row>
    <row r="2989" spans="1:20">
      <c r="A2989" s="3" t="s">
        <v>1594</v>
      </c>
      <c r="B2989" s="3" t="s">
        <v>1595</v>
      </c>
      <c r="C2989" s="3" t="s">
        <v>1596</v>
      </c>
      <c r="D2989" s="3" t="s">
        <v>1451</v>
      </c>
      <c r="E2989" s="3" t="s">
        <v>1452</v>
      </c>
      <c r="F2989" s="2">
        <v>1</v>
      </c>
      <c r="G2989" s="4">
        <v>1.9988771404510153</v>
      </c>
      <c r="H2989" s="2">
        <v>50</v>
      </c>
      <c r="I2989" s="2">
        <v>5</v>
      </c>
      <c r="J2989" s="2">
        <v>16</v>
      </c>
      <c r="K2989" s="4">
        <v>0.89940019971233376</v>
      </c>
      <c r="L2989" s="4">
        <v>-0.12803524402462216</v>
      </c>
      <c r="M2989" s="4">
        <v>0.12803524402462216</v>
      </c>
      <c r="N2989" s="10">
        <v>0.128</v>
      </c>
      <c r="O2989" s="4">
        <v>0.69181502458670519</v>
      </c>
      <c r="P2989" s="4">
        <v>-0.69</v>
      </c>
      <c r="Q2989" s="3" t="s">
        <v>1617</v>
      </c>
      <c r="R2989" s="3" t="s">
        <v>1625</v>
      </c>
      <c r="S2989" s="3" t="s">
        <v>1626</v>
      </c>
      <c r="T2989" s="3"/>
    </row>
    <row r="2990" spans="1:20">
      <c r="A2990" s="3" t="s">
        <v>1594</v>
      </c>
      <c r="B2990" s="3" t="s">
        <v>1595</v>
      </c>
      <c r="C2990" s="3" t="s">
        <v>1596</v>
      </c>
      <c r="D2990" s="3" t="s">
        <v>1451</v>
      </c>
      <c r="E2990" s="3" t="s">
        <v>1452</v>
      </c>
      <c r="F2990" s="2">
        <v>1</v>
      </c>
      <c r="G2990" s="4">
        <v>1.9988771404510153</v>
      </c>
      <c r="H2990" s="2">
        <v>25</v>
      </c>
      <c r="I2990" s="2">
        <v>5</v>
      </c>
      <c r="J2990" s="2">
        <v>16</v>
      </c>
      <c r="K2990" s="4">
        <v>0.12499923753555087</v>
      </c>
      <c r="L2990" s="4">
        <v>-0.15298668616260486</v>
      </c>
      <c r="M2990" s="4">
        <v>0.15298668616260486</v>
      </c>
      <c r="N2990" s="10">
        <v>0.153</v>
      </c>
      <c r="O2990" s="4">
        <v>0.76450029891534166</v>
      </c>
      <c r="P2990" s="4">
        <v>-0.76</v>
      </c>
      <c r="Q2990" s="3" t="s">
        <v>1617</v>
      </c>
      <c r="R2990" s="3" t="s">
        <v>1625</v>
      </c>
      <c r="S2990" s="3" t="s">
        <v>1626</v>
      </c>
      <c r="T2990" s="3"/>
    </row>
    <row r="2991" spans="1:20">
      <c r="A2991" s="3" t="s">
        <v>1604</v>
      </c>
      <c r="B2991" s="3" t="s">
        <v>1601</v>
      </c>
      <c r="C2991" s="3" t="s">
        <v>1596</v>
      </c>
      <c r="D2991" s="3" t="s">
        <v>1451</v>
      </c>
      <c r="E2991" s="3" t="s">
        <v>1452</v>
      </c>
      <c r="F2991" s="2">
        <v>1</v>
      </c>
      <c r="G2991" s="4">
        <v>1.9988771404510153</v>
      </c>
      <c r="H2991" s="2">
        <v>25</v>
      </c>
      <c r="I2991" s="2">
        <v>30</v>
      </c>
      <c r="J2991" s="2">
        <v>16</v>
      </c>
      <c r="K2991" s="4">
        <v>1</v>
      </c>
      <c r="L2991" s="4">
        <v>-0.1732150111607309</v>
      </c>
      <c r="M2991" s="4">
        <v>0.1732150111607309</v>
      </c>
      <c r="N2991" s="10">
        <v>0.17299999999999999</v>
      </c>
      <c r="O2991" s="4">
        <v>0.86753588533183301</v>
      </c>
      <c r="P2991" s="4">
        <v>-0.87</v>
      </c>
      <c r="Q2991" s="3" t="s">
        <v>1617</v>
      </c>
      <c r="R2991" s="3" t="s">
        <v>1618</v>
      </c>
      <c r="S2991" s="3" t="s">
        <v>1619</v>
      </c>
      <c r="T2991" s="3"/>
    </row>
    <row r="2992" spans="1:20">
      <c r="A2992" s="3" t="s">
        <v>1600</v>
      </c>
      <c r="B2992" s="3" t="s">
        <v>1609</v>
      </c>
      <c r="C2992" s="3" t="s">
        <v>1596</v>
      </c>
      <c r="D2992" s="3" t="s">
        <v>1451</v>
      </c>
      <c r="E2992" s="3" t="s">
        <v>1452</v>
      </c>
      <c r="F2992" s="2">
        <v>1</v>
      </c>
      <c r="G2992" s="4">
        <v>1.9988771404510153</v>
      </c>
      <c r="H2992" s="2">
        <v>25</v>
      </c>
      <c r="I2992" s="2">
        <v>5</v>
      </c>
      <c r="J2992" s="2">
        <v>16</v>
      </c>
      <c r="K2992" s="4">
        <v>0.98084986330169943</v>
      </c>
      <c r="L2992" s="4">
        <v>-0.25240624956684504</v>
      </c>
      <c r="M2992" s="4">
        <v>0.25240624956684504</v>
      </c>
      <c r="N2992" s="10">
        <v>0.252</v>
      </c>
      <c r="O2992" s="4">
        <v>1.2790540306482601</v>
      </c>
      <c r="P2992" s="4">
        <v>-1.28</v>
      </c>
      <c r="Q2992" s="3" t="s">
        <v>1617</v>
      </c>
      <c r="R2992" s="3" t="s">
        <v>1623</v>
      </c>
      <c r="S2992" s="3" t="s">
        <v>1624</v>
      </c>
      <c r="T2992" s="3"/>
    </row>
    <row r="2993" spans="1:20">
      <c r="A2993" s="3" t="s">
        <v>1600</v>
      </c>
      <c r="B2993" s="3" t="s">
        <v>1609</v>
      </c>
      <c r="C2993" s="3" t="s">
        <v>1596</v>
      </c>
      <c r="D2993" s="3" t="s">
        <v>1451</v>
      </c>
      <c r="E2993" s="3" t="s">
        <v>1452</v>
      </c>
      <c r="F2993" s="2">
        <v>1</v>
      </c>
      <c r="G2993" s="4">
        <v>1.9988771404510153</v>
      </c>
      <c r="H2993" s="2">
        <v>25</v>
      </c>
      <c r="I2993" s="2">
        <v>5</v>
      </c>
      <c r="J2993" s="2">
        <v>1</v>
      </c>
      <c r="K2993" s="4">
        <v>0.48381797563929041</v>
      </c>
      <c r="L2993" s="4">
        <v>-0.34005167981293993</v>
      </c>
      <c r="M2993" s="4">
        <v>0.34005167981293993</v>
      </c>
      <c r="N2993" s="10">
        <v>0.34</v>
      </c>
      <c r="O2993" s="4">
        <v>1.7558579428058931</v>
      </c>
      <c r="P2993" s="4">
        <v>-1.76</v>
      </c>
      <c r="Q2993" s="3" t="s">
        <v>1617</v>
      </c>
      <c r="R2993" s="3" t="s">
        <v>1623</v>
      </c>
      <c r="S2993" s="3" t="s">
        <v>1624</v>
      </c>
      <c r="T2993" s="3"/>
    </row>
    <row r="2994" spans="1:20">
      <c r="A2994" s="3" t="s">
        <v>1605</v>
      </c>
      <c r="B2994" s="3" t="s">
        <v>1601</v>
      </c>
      <c r="C2994" s="3" t="s">
        <v>1596</v>
      </c>
      <c r="D2994" s="3" t="s">
        <v>1451</v>
      </c>
      <c r="E2994" s="3" t="s">
        <v>1452</v>
      </c>
      <c r="F2994" s="2">
        <v>1</v>
      </c>
      <c r="G2994" s="4">
        <v>1.9988771404510153</v>
      </c>
      <c r="H2994" s="2">
        <v>25</v>
      </c>
      <c r="I2994" s="2">
        <v>5</v>
      </c>
      <c r="J2994" s="2">
        <v>16</v>
      </c>
      <c r="K2994" s="4">
        <v>0.89836939492579204</v>
      </c>
      <c r="L2994" s="4">
        <v>-0.3504203474946454</v>
      </c>
      <c r="M2994" s="4">
        <v>0.3504203474946454</v>
      </c>
      <c r="N2994" s="10">
        <v>0.35</v>
      </c>
      <c r="O2994" s="4">
        <v>1.8142222643555015</v>
      </c>
      <c r="P2994" s="4">
        <v>-1.81</v>
      </c>
      <c r="Q2994" s="3" t="s">
        <v>1617</v>
      </c>
      <c r="R2994" s="3" t="s">
        <v>1618</v>
      </c>
      <c r="S2994" s="3" t="s">
        <v>1619</v>
      </c>
      <c r="T2994" s="3"/>
    </row>
    <row r="2995" spans="1:20">
      <c r="A2995" s="3" t="s">
        <v>1600</v>
      </c>
      <c r="B2995" s="3" t="s">
        <v>1601</v>
      </c>
      <c r="C2995" s="3" t="s">
        <v>1596</v>
      </c>
      <c r="D2995" s="3" t="s">
        <v>1451</v>
      </c>
      <c r="E2995" s="3" t="s">
        <v>1452</v>
      </c>
      <c r="F2995" s="2">
        <v>1</v>
      </c>
      <c r="G2995" s="4">
        <v>1.9988771404510153</v>
      </c>
      <c r="H2995" s="2">
        <v>25</v>
      </c>
      <c r="I2995" s="2">
        <v>5</v>
      </c>
      <c r="J2995" s="2">
        <v>16</v>
      </c>
      <c r="K2995" s="4">
        <v>0.86867616721565144</v>
      </c>
      <c r="L2995" s="4">
        <v>-0.3899944272790542</v>
      </c>
      <c r="M2995" s="4">
        <v>0.3899944272790542</v>
      </c>
      <c r="N2995" s="10">
        <v>0.39</v>
      </c>
      <c r="O2995" s="4">
        <v>2.0416457745152954</v>
      </c>
      <c r="P2995" s="4">
        <v>-2.04</v>
      </c>
      <c r="Q2995" s="3" t="s">
        <v>1617</v>
      </c>
      <c r="R2995" s="3" t="s">
        <v>1618</v>
      </c>
      <c r="S2995" s="3" t="s">
        <v>1619</v>
      </c>
      <c r="T2995" s="3"/>
    </row>
    <row r="2996" spans="1:20">
      <c r="A2996" s="3" t="s">
        <v>1600</v>
      </c>
      <c r="B2996" s="3" t="s">
        <v>1601</v>
      </c>
      <c r="C2996" s="3" t="s">
        <v>1596</v>
      </c>
      <c r="D2996" s="3" t="s">
        <v>1451</v>
      </c>
      <c r="E2996" s="3" t="s">
        <v>1452</v>
      </c>
      <c r="F2996" s="2">
        <v>1</v>
      </c>
      <c r="G2996" s="4">
        <v>1.9988771404510153</v>
      </c>
      <c r="H2996" s="2">
        <v>25</v>
      </c>
      <c r="I2996" s="2">
        <v>5</v>
      </c>
      <c r="J2996" s="2">
        <v>1</v>
      </c>
      <c r="K2996" s="4">
        <v>4.0042140217291688E-2</v>
      </c>
      <c r="L2996" s="4">
        <v>-0.46210215271390837</v>
      </c>
      <c r="M2996" s="4">
        <v>0.46210215271390837</v>
      </c>
      <c r="N2996" s="10">
        <v>0.46200000000000002</v>
      </c>
      <c r="O2996" s="4">
        <v>2.4788735839349605</v>
      </c>
      <c r="P2996" s="4">
        <v>-2.48</v>
      </c>
      <c r="Q2996" s="3" t="s">
        <v>1617</v>
      </c>
      <c r="R2996" s="3" t="s">
        <v>1618</v>
      </c>
      <c r="S2996" s="3" t="s">
        <v>1619</v>
      </c>
      <c r="T2996" s="3"/>
    </row>
    <row r="2997" spans="1:20">
      <c r="A2997" s="3" t="s">
        <v>1600</v>
      </c>
      <c r="B2997" s="3" t="s">
        <v>1609</v>
      </c>
      <c r="C2997" s="3" t="s">
        <v>1616</v>
      </c>
      <c r="D2997" s="3" t="s">
        <v>1451</v>
      </c>
      <c r="E2997" s="3" t="s">
        <v>1452</v>
      </c>
      <c r="F2997" s="2">
        <v>1</v>
      </c>
      <c r="G2997" s="4">
        <v>1.9988771404510153</v>
      </c>
      <c r="H2997" s="2">
        <v>25</v>
      </c>
      <c r="I2997" s="2">
        <v>5</v>
      </c>
      <c r="J2997" s="2">
        <v>1</v>
      </c>
      <c r="K2997" s="4">
        <v>0.97280441382518623</v>
      </c>
      <c r="L2997" s="4">
        <v>-0.72685925304411636</v>
      </c>
      <c r="M2997" s="4">
        <v>0.72685925304411636</v>
      </c>
      <c r="N2997" s="10">
        <v>0.72699999999999998</v>
      </c>
      <c r="O2997" s="4">
        <v>4.5713966877092842</v>
      </c>
      <c r="P2997" s="4">
        <v>-4.57</v>
      </c>
      <c r="Q2997" s="3" t="s">
        <v>1617</v>
      </c>
      <c r="R2997" s="3" t="s">
        <v>1623</v>
      </c>
      <c r="S2997" s="3" t="s">
        <v>1624</v>
      </c>
      <c r="T2997" s="3"/>
    </row>
    <row r="2998" spans="1:20">
      <c r="A2998" s="3" t="s">
        <v>1600</v>
      </c>
      <c r="B2998" s="3" t="s">
        <v>1609</v>
      </c>
      <c r="C2998" s="3" t="s">
        <v>1616</v>
      </c>
      <c r="D2998" s="3" t="s">
        <v>1451</v>
      </c>
      <c r="E2998" s="3" t="s">
        <v>1452</v>
      </c>
      <c r="F2998" s="2">
        <v>1</v>
      </c>
      <c r="G2998" s="4">
        <v>1.9988771404510153</v>
      </c>
      <c r="H2998" s="2">
        <v>25</v>
      </c>
      <c r="I2998" s="2">
        <v>5</v>
      </c>
      <c r="J2998" s="2">
        <v>16</v>
      </c>
      <c r="K2998" s="4">
        <v>0.97048121998266956</v>
      </c>
      <c r="L2998" s="4">
        <v>-0.72869701234200546</v>
      </c>
      <c r="M2998" s="4">
        <v>0.72869701234200546</v>
      </c>
      <c r="N2998" s="10">
        <v>0.72899999999999998</v>
      </c>
      <c r="O2998" s="4">
        <v>4.5907689358953636</v>
      </c>
      <c r="P2998" s="4">
        <v>-4.59</v>
      </c>
      <c r="Q2998" s="3" t="s">
        <v>1617</v>
      </c>
      <c r="R2998" s="3" t="s">
        <v>1623</v>
      </c>
      <c r="S2998" s="3" t="s">
        <v>1624</v>
      </c>
      <c r="T2998" s="3"/>
    </row>
    <row r="2999" spans="1:20">
      <c r="A2999" s="3" t="s">
        <v>1604</v>
      </c>
      <c r="B2999" s="3" t="s">
        <v>1601</v>
      </c>
      <c r="C2999" s="3" t="s">
        <v>1616</v>
      </c>
      <c r="D2999" s="3" t="s">
        <v>1451</v>
      </c>
      <c r="E2999" s="3" t="s">
        <v>1452</v>
      </c>
      <c r="F2999" s="2">
        <v>1</v>
      </c>
      <c r="G2999" s="4">
        <v>1.9988771404510153</v>
      </c>
      <c r="H2999" s="2">
        <v>25</v>
      </c>
      <c r="I2999" s="2">
        <v>30</v>
      </c>
      <c r="J2999" s="2">
        <v>16</v>
      </c>
      <c r="K2999" s="4">
        <v>1</v>
      </c>
      <c r="L2999" s="4">
        <v>-0.87923975907291363</v>
      </c>
      <c r="M2999" s="4">
        <v>0.87923975907291363</v>
      </c>
      <c r="N2999" s="10">
        <v>0.879</v>
      </c>
      <c r="O2999" s="4">
        <v>6.8043102475443105</v>
      </c>
      <c r="P2999" s="4">
        <v>-6.8</v>
      </c>
      <c r="Q2999" s="3" t="s">
        <v>1617</v>
      </c>
      <c r="R2999" s="3" t="s">
        <v>1618</v>
      </c>
      <c r="S2999" s="3" t="s">
        <v>1619</v>
      </c>
      <c r="T2999" s="3"/>
    </row>
    <row r="3000" spans="1:20">
      <c r="A3000" s="3" t="s">
        <v>1600</v>
      </c>
      <c r="B3000" s="3" t="s">
        <v>1601</v>
      </c>
      <c r="C3000" s="3" t="s">
        <v>1616</v>
      </c>
      <c r="D3000" s="3" t="s">
        <v>1451</v>
      </c>
      <c r="E3000" s="3" t="s">
        <v>1452</v>
      </c>
      <c r="F3000" s="2">
        <v>1</v>
      </c>
      <c r="G3000" s="4">
        <v>1.9988771404510153</v>
      </c>
      <c r="H3000" s="2">
        <v>25</v>
      </c>
      <c r="I3000" s="2">
        <v>5</v>
      </c>
      <c r="J3000" s="2">
        <v>1</v>
      </c>
      <c r="K3000" s="4">
        <v>1</v>
      </c>
      <c r="L3000" s="4">
        <v>-0.88861616432310309</v>
      </c>
      <c r="M3000" s="4">
        <v>0.88861616432310309</v>
      </c>
      <c r="N3000" s="10">
        <v>0.88900000000000001</v>
      </c>
      <c r="O3000" s="4">
        <v>7.0170105403437182</v>
      </c>
      <c r="P3000" s="4">
        <v>-7.03</v>
      </c>
      <c r="Q3000" s="3" t="s">
        <v>1617</v>
      </c>
      <c r="R3000" s="3" t="s">
        <v>1618</v>
      </c>
      <c r="S3000" s="3" t="s">
        <v>1619</v>
      </c>
      <c r="T3000" s="3"/>
    </row>
    <row r="3001" spans="1:20">
      <c r="A3001" s="3" t="s">
        <v>1600</v>
      </c>
      <c r="B3001" s="3" t="s">
        <v>1601</v>
      </c>
      <c r="C3001" s="3" t="s">
        <v>1616</v>
      </c>
      <c r="D3001" s="3" t="s">
        <v>1451</v>
      </c>
      <c r="E3001" s="3" t="s">
        <v>1452</v>
      </c>
      <c r="F3001" s="2">
        <v>1</v>
      </c>
      <c r="G3001" s="4">
        <v>1.9988771404510153</v>
      </c>
      <c r="H3001" s="2">
        <v>25</v>
      </c>
      <c r="I3001" s="2">
        <v>5</v>
      </c>
      <c r="J3001" s="2">
        <v>16</v>
      </c>
      <c r="K3001" s="4">
        <v>1</v>
      </c>
      <c r="L3001" s="4">
        <v>-0.89008244045555196</v>
      </c>
      <c r="M3001" s="4">
        <v>0.89008244045555196</v>
      </c>
      <c r="N3001" s="10">
        <v>0.89</v>
      </c>
      <c r="O3001" s="4">
        <v>7.0517846727390818</v>
      </c>
      <c r="P3001" s="4">
        <v>-7.05</v>
      </c>
      <c r="Q3001" s="3" t="s">
        <v>1617</v>
      </c>
      <c r="R3001" s="3" t="s">
        <v>1618</v>
      </c>
      <c r="S3001" s="3" t="s">
        <v>1619</v>
      </c>
      <c r="T3001" s="3"/>
    </row>
    <row r="3002" spans="1:20">
      <c r="A3002" s="3" t="s">
        <v>1600</v>
      </c>
      <c r="B3002" s="3" t="s">
        <v>1606</v>
      </c>
      <c r="C3002" s="3" t="s">
        <v>1596</v>
      </c>
      <c r="D3002" s="3" t="s">
        <v>1451</v>
      </c>
      <c r="E3002" s="3" t="s">
        <v>1452</v>
      </c>
      <c r="F3002" s="2">
        <v>1</v>
      </c>
      <c r="G3002" s="4">
        <v>1.9988771404510153</v>
      </c>
      <c r="H3002" s="2">
        <v>25</v>
      </c>
      <c r="I3002" s="2">
        <v>5</v>
      </c>
      <c r="J3002" s="2">
        <v>1</v>
      </c>
      <c r="K3002" s="4">
        <v>0.97618482573050291</v>
      </c>
      <c r="L3002" s="4">
        <v>-0.89353354831827614</v>
      </c>
      <c r="M3002" s="4">
        <v>0.89353354831827614</v>
      </c>
      <c r="N3002" s="10">
        <v>0.89400000000000002</v>
      </c>
      <c r="O3002" s="4">
        <v>7.1353877175138711</v>
      </c>
      <c r="P3002" s="4">
        <v>-7.15</v>
      </c>
      <c r="Q3002" s="3" t="s">
        <v>1617</v>
      </c>
      <c r="R3002" s="3" t="s">
        <v>1621</v>
      </c>
      <c r="S3002" s="3" t="s">
        <v>1622</v>
      </c>
      <c r="T3002" s="3"/>
    </row>
    <row r="3003" spans="1:20">
      <c r="A3003" s="3" t="s">
        <v>1600</v>
      </c>
      <c r="B3003" s="3" t="s">
        <v>1606</v>
      </c>
      <c r="C3003" s="3" t="s">
        <v>1596</v>
      </c>
      <c r="D3003" s="3" t="s">
        <v>1451</v>
      </c>
      <c r="E3003" s="3" t="s">
        <v>1452</v>
      </c>
      <c r="F3003" s="2">
        <v>1</v>
      </c>
      <c r="G3003" s="4">
        <v>1.9988771404510153</v>
      </c>
      <c r="H3003" s="2">
        <v>25</v>
      </c>
      <c r="I3003" s="2">
        <v>5</v>
      </c>
      <c r="J3003" s="2">
        <v>16</v>
      </c>
      <c r="K3003" s="4">
        <v>1</v>
      </c>
      <c r="L3003" s="4">
        <v>-0.89967522644080011</v>
      </c>
      <c r="M3003" s="4">
        <v>0.89967522644080011</v>
      </c>
      <c r="N3003" s="10">
        <v>0.9</v>
      </c>
      <c r="O3003" s="4">
        <v>7.2907087601773704</v>
      </c>
      <c r="P3003" s="4">
        <v>-7.3</v>
      </c>
      <c r="Q3003" s="3" t="s">
        <v>1617</v>
      </c>
      <c r="R3003" s="3" t="s">
        <v>1621</v>
      </c>
      <c r="S3003" s="3" t="s">
        <v>1622</v>
      </c>
      <c r="T3003" s="3"/>
    </row>
    <row r="3004" spans="1:20">
      <c r="A3004" s="3" t="s">
        <v>1600</v>
      </c>
      <c r="B3004" s="3" t="s">
        <v>1606</v>
      </c>
      <c r="C3004" s="3" t="s">
        <v>1616</v>
      </c>
      <c r="D3004" s="3" t="s">
        <v>1451</v>
      </c>
      <c r="E3004" s="3" t="s">
        <v>1452</v>
      </c>
      <c r="F3004" s="2">
        <v>1</v>
      </c>
      <c r="G3004" s="4">
        <v>1.9988771404510153</v>
      </c>
      <c r="H3004" s="2">
        <v>25</v>
      </c>
      <c r="I3004" s="2">
        <v>5</v>
      </c>
      <c r="J3004" s="2">
        <v>1</v>
      </c>
      <c r="K3004" s="4">
        <v>1</v>
      </c>
      <c r="L3004" s="4">
        <v>-0.98812359815047557</v>
      </c>
      <c r="M3004" s="4">
        <v>0.98812359815047557</v>
      </c>
      <c r="N3004" s="10">
        <v>0.98799999999999999</v>
      </c>
      <c r="O3004" s="4">
        <v>12.693291696925151</v>
      </c>
      <c r="P3004" s="4">
        <v>-12.67</v>
      </c>
      <c r="Q3004" s="3" t="s">
        <v>1617</v>
      </c>
      <c r="R3004" s="3" t="s">
        <v>1621</v>
      </c>
      <c r="S3004" s="3" t="s">
        <v>1622</v>
      </c>
      <c r="T3004" s="3"/>
    </row>
    <row r="3005" spans="1:20">
      <c r="A3005" s="3" t="s">
        <v>1600</v>
      </c>
      <c r="B3005" s="3" t="s">
        <v>1606</v>
      </c>
      <c r="C3005" s="3" t="s">
        <v>1616</v>
      </c>
      <c r="D3005" s="3" t="s">
        <v>1451</v>
      </c>
      <c r="E3005" s="3" t="s">
        <v>1452</v>
      </c>
      <c r="F3005" s="2">
        <v>1</v>
      </c>
      <c r="G3005" s="4">
        <v>1.9988771404510153</v>
      </c>
      <c r="H3005" s="2">
        <v>25</v>
      </c>
      <c r="I3005" s="2">
        <v>5</v>
      </c>
      <c r="J3005" s="2">
        <v>16</v>
      </c>
      <c r="K3005" s="4">
        <v>1</v>
      </c>
      <c r="L3005" s="4">
        <v>-1</v>
      </c>
      <c r="M3005" s="4">
        <v>1</v>
      </c>
      <c r="N3005" s="10">
        <v>0.995</v>
      </c>
      <c r="O3005" s="4">
        <v>14.85</v>
      </c>
      <c r="P3005" s="4">
        <v>-14.85</v>
      </c>
      <c r="Q3005" s="3" t="s">
        <v>1617</v>
      </c>
      <c r="R3005" s="3" t="s">
        <v>1621</v>
      </c>
      <c r="S3005" s="3" t="s">
        <v>1622</v>
      </c>
      <c r="T3005" s="3"/>
    </row>
    <row r="3006" spans="1:20">
      <c r="A3006" s="3" t="s">
        <v>1600</v>
      </c>
      <c r="B3006" s="3" t="s">
        <v>1606</v>
      </c>
      <c r="C3006" s="3" t="s">
        <v>1616</v>
      </c>
      <c r="D3006" s="3" t="s">
        <v>538</v>
      </c>
      <c r="E3006" s="3" t="s">
        <v>539</v>
      </c>
      <c r="F3006" s="2">
        <v>1</v>
      </c>
      <c r="G3006" s="4">
        <v>2</v>
      </c>
      <c r="H3006" s="2">
        <v>25</v>
      </c>
      <c r="I3006" s="2">
        <v>5</v>
      </c>
      <c r="J3006" s="2">
        <v>16</v>
      </c>
      <c r="K3006" s="11">
        <v>1</v>
      </c>
      <c r="L3006" s="11">
        <v>0.97490973132503955</v>
      </c>
      <c r="M3006" s="4">
        <v>0.97490973132503955</v>
      </c>
      <c r="N3006" s="10">
        <v>0.97499999999999998</v>
      </c>
      <c r="O3006" s="4">
        <v>10.822674057201334</v>
      </c>
      <c r="P3006" s="4">
        <v>10.83</v>
      </c>
      <c r="Q3006" s="3" t="s">
        <v>1597</v>
      </c>
      <c r="R3006" s="3" t="s">
        <v>1607</v>
      </c>
      <c r="S3006" s="3" t="s">
        <v>1608</v>
      </c>
      <c r="T3006" s="3"/>
    </row>
    <row r="3007" spans="1:20">
      <c r="A3007" s="3" t="s">
        <v>1604</v>
      </c>
      <c r="B3007" s="3" t="s">
        <v>1601</v>
      </c>
      <c r="C3007" s="3" t="s">
        <v>1616</v>
      </c>
      <c r="D3007" s="3" t="s">
        <v>538</v>
      </c>
      <c r="E3007" s="3" t="s">
        <v>539</v>
      </c>
      <c r="F3007" s="2">
        <v>1</v>
      </c>
      <c r="G3007" s="4">
        <v>2</v>
      </c>
      <c r="H3007" s="2">
        <v>25</v>
      </c>
      <c r="I3007" s="2">
        <v>30</v>
      </c>
      <c r="J3007" s="2">
        <v>16</v>
      </c>
      <c r="K3007" s="4">
        <v>1</v>
      </c>
      <c r="L3007" s="4">
        <v>0.97328254952819815</v>
      </c>
      <c r="M3007" s="4">
        <v>0.97328254952819815</v>
      </c>
      <c r="N3007" s="10">
        <v>0.97299999999999998</v>
      </c>
      <c r="O3007" s="4">
        <v>10.664860152699084</v>
      </c>
      <c r="P3007" s="4">
        <v>10.64</v>
      </c>
      <c r="Q3007" s="3" t="s">
        <v>1597</v>
      </c>
      <c r="R3007" s="3" t="s">
        <v>1602</v>
      </c>
      <c r="S3007" s="3" t="s">
        <v>1603</v>
      </c>
      <c r="T3007" s="3"/>
    </row>
    <row r="3008" spans="1:20">
      <c r="A3008" s="3" t="s">
        <v>1600</v>
      </c>
      <c r="B3008" s="3" t="s">
        <v>1601</v>
      </c>
      <c r="C3008" s="3" t="s">
        <v>1616</v>
      </c>
      <c r="D3008" s="3" t="s">
        <v>538</v>
      </c>
      <c r="E3008" s="3" t="s">
        <v>539</v>
      </c>
      <c r="F3008" s="2">
        <v>1</v>
      </c>
      <c r="G3008" s="4">
        <v>2</v>
      </c>
      <c r="H3008" s="2">
        <v>25</v>
      </c>
      <c r="I3008" s="2">
        <v>5</v>
      </c>
      <c r="J3008" s="2">
        <v>16</v>
      </c>
      <c r="K3008" s="4">
        <v>1</v>
      </c>
      <c r="L3008" s="4">
        <v>0.97073982458643471</v>
      </c>
      <c r="M3008" s="4">
        <v>0.97073982458643471</v>
      </c>
      <c r="N3008" s="10">
        <v>0.97099999999999997</v>
      </c>
      <c r="O3008" s="4">
        <v>10.436299609075119</v>
      </c>
      <c r="P3008" s="4">
        <v>10.46</v>
      </c>
      <c r="Q3008" s="3" t="s">
        <v>1597</v>
      </c>
      <c r="R3008" s="3" t="s">
        <v>1602</v>
      </c>
      <c r="S3008" s="3" t="s">
        <v>1603</v>
      </c>
      <c r="T3008" s="3"/>
    </row>
    <row r="3009" spans="1:20">
      <c r="A3009" s="3" t="s">
        <v>1600</v>
      </c>
      <c r="B3009" s="3" t="s">
        <v>1601</v>
      </c>
      <c r="C3009" s="3" t="s">
        <v>1616</v>
      </c>
      <c r="D3009" s="3" t="s">
        <v>538</v>
      </c>
      <c r="E3009" s="3" t="s">
        <v>539</v>
      </c>
      <c r="F3009" s="2">
        <v>1</v>
      </c>
      <c r="G3009" s="4">
        <v>2</v>
      </c>
      <c r="H3009" s="2">
        <v>25</v>
      </c>
      <c r="I3009" s="2">
        <v>5</v>
      </c>
      <c r="J3009" s="2">
        <v>1</v>
      </c>
      <c r="K3009" s="4">
        <v>1</v>
      </c>
      <c r="L3009" s="4">
        <v>0.96756593379200317</v>
      </c>
      <c r="M3009" s="4">
        <v>0.96756593379200317</v>
      </c>
      <c r="N3009" s="10">
        <v>0.96799999999999997</v>
      </c>
      <c r="O3009" s="4">
        <v>10.177015126810632</v>
      </c>
      <c r="P3009" s="4">
        <v>10.210000000000001</v>
      </c>
      <c r="Q3009" s="3" t="s">
        <v>1597</v>
      </c>
      <c r="R3009" s="3" t="s">
        <v>1602</v>
      </c>
      <c r="S3009" s="3" t="s">
        <v>1603</v>
      </c>
      <c r="T3009" s="3"/>
    </row>
    <row r="3010" spans="1:20">
      <c r="A3010" s="3" t="s">
        <v>1600</v>
      </c>
      <c r="B3010" s="3" t="s">
        <v>1606</v>
      </c>
      <c r="C3010" s="3" t="s">
        <v>1616</v>
      </c>
      <c r="D3010" s="3" t="s">
        <v>538</v>
      </c>
      <c r="E3010" s="3" t="s">
        <v>539</v>
      </c>
      <c r="F3010" s="2">
        <v>1</v>
      </c>
      <c r="G3010" s="4">
        <v>2</v>
      </c>
      <c r="H3010" s="2">
        <v>25</v>
      </c>
      <c r="I3010" s="2">
        <v>5</v>
      </c>
      <c r="J3010" s="2">
        <v>1</v>
      </c>
      <c r="K3010" s="4">
        <v>1</v>
      </c>
      <c r="L3010" s="4">
        <v>0.96211083215193682</v>
      </c>
      <c r="M3010" s="4">
        <v>0.96211083215193682</v>
      </c>
      <c r="N3010" s="10">
        <v>0.96199999999999997</v>
      </c>
      <c r="O3010" s="4">
        <v>9.7847622185849694</v>
      </c>
      <c r="P3010" s="4">
        <v>9.7799999999999994</v>
      </c>
      <c r="Q3010" s="3" t="s">
        <v>1597</v>
      </c>
      <c r="R3010" s="3" t="s">
        <v>1607</v>
      </c>
      <c r="S3010" s="3" t="s">
        <v>1608</v>
      </c>
      <c r="T3010" s="3"/>
    </row>
    <row r="3011" spans="1:20">
      <c r="A3011" s="3" t="s">
        <v>1600</v>
      </c>
      <c r="B3011" s="3" t="s">
        <v>1606</v>
      </c>
      <c r="C3011" s="3" t="s">
        <v>1596</v>
      </c>
      <c r="D3011" s="3" t="s">
        <v>538</v>
      </c>
      <c r="E3011" s="3" t="s">
        <v>539</v>
      </c>
      <c r="F3011" s="2">
        <v>1</v>
      </c>
      <c r="G3011" s="4">
        <v>2</v>
      </c>
      <c r="H3011" s="2">
        <v>25</v>
      </c>
      <c r="I3011" s="2">
        <v>5</v>
      </c>
      <c r="J3011" s="2">
        <v>1</v>
      </c>
      <c r="K3011" s="11">
        <v>0.85630761299043756</v>
      </c>
      <c r="L3011" s="11">
        <v>0.91577059443840148</v>
      </c>
      <c r="M3011" s="4">
        <v>0.91577059443840148</v>
      </c>
      <c r="N3011" s="10">
        <v>0.91600000000000004</v>
      </c>
      <c r="O3011" s="4">
        <v>7.7451174267397018</v>
      </c>
      <c r="P3011" s="4">
        <v>7.75</v>
      </c>
      <c r="Q3011" s="3" t="s">
        <v>1597</v>
      </c>
      <c r="R3011" s="3" t="s">
        <v>1607</v>
      </c>
      <c r="S3011" s="3" t="s">
        <v>1608</v>
      </c>
      <c r="T3011" s="3"/>
    </row>
    <row r="3012" spans="1:20">
      <c r="A3012" s="3" t="s">
        <v>1600</v>
      </c>
      <c r="B3012" s="3" t="s">
        <v>1606</v>
      </c>
      <c r="C3012" s="3" t="s">
        <v>1616</v>
      </c>
      <c r="D3012" s="3" t="s">
        <v>521</v>
      </c>
      <c r="E3012" s="3" t="s">
        <v>522</v>
      </c>
      <c r="F3012" s="2">
        <v>1</v>
      </c>
      <c r="G3012" s="4">
        <v>2</v>
      </c>
      <c r="H3012" s="2">
        <v>25</v>
      </c>
      <c r="I3012" s="2">
        <v>5</v>
      </c>
      <c r="J3012" s="2">
        <v>1</v>
      </c>
      <c r="K3012" s="4">
        <v>0.99637186324388283</v>
      </c>
      <c r="L3012" s="4">
        <v>0.89602617891674019</v>
      </c>
      <c r="M3012" s="4">
        <v>0.89602617891674019</v>
      </c>
      <c r="N3012" s="10">
        <v>0.89600000000000002</v>
      </c>
      <c r="O3012" s="4">
        <v>7.1973775545034568</v>
      </c>
      <c r="P3012" s="4">
        <v>7.2</v>
      </c>
      <c r="Q3012" s="3" t="s">
        <v>1597</v>
      </c>
      <c r="R3012" s="3" t="s">
        <v>1607</v>
      </c>
      <c r="S3012" s="3" t="s">
        <v>1608</v>
      </c>
      <c r="T3012" s="3"/>
    </row>
    <row r="3013" spans="1:20">
      <c r="A3013" s="3" t="s">
        <v>1600</v>
      </c>
      <c r="B3013" s="3" t="s">
        <v>1606</v>
      </c>
      <c r="C3013" s="3" t="s">
        <v>1616</v>
      </c>
      <c r="D3013" s="3" t="s">
        <v>521</v>
      </c>
      <c r="E3013" s="3" t="s">
        <v>522</v>
      </c>
      <c r="F3013" s="2">
        <v>1</v>
      </c>
      <c r="G3013" s="4">
        <v>2</v>
      </c>
      <c r="H3013" s="2">
        <v>25</v>
      </c>
      <c r="I3013" s="2">
        <v>5</v>
      </c>
      <c r="J3013" s="2">
        <v>16</v>
      </c>
      <c r="K3013" s="11">
        <v>1</v>
      </c>
      <c r="L3013" s="11">
        <v>0.88734623834074244</v>
      </c>
      <c r="M3013" s="4">
        <v>0.88734623834074244</v>
      </c>
      <c r="N3013" s="10">
        <v>0.88700000000000001</v>
      </c>
      <c r="O3013" s="4">
        <v>6.9872394204915222</v>
      </c>
      <c r="P3013" s="4">
        <v>6.98</v>
      </c>
      <c r="Q3013" s="3" t="s">
        <v>1597</v>
      </c>
      <c r="R3013" s="3" t="s">
        <v>1607</v>
      </c>
      <c r="S3013" s="3" t="s">
        <v>1608</v>
      </c>
      <c r="T3013" s="3"/>
    </row>
    <row r="3014" spans="1:20">
      <c r="A3014" s="3" t="s">
        <v>1600</v>
      </c>
      <c r="B3014" s="3" t="s">
        <v>1601</v>
      </c>
      <c r="C3014" s="3" t="s">
        <v>1616</v>
      </c>
      <c r="D3014" s="3" t="s">
        <v>521</v>
      </c>
      <c r="E3014" s="3" t="s">
        <v>522</v>
      </c>
      <c r="F3014" s="2">
        <v>1</v>
      </c>
      <c r="G3014" s="4">
        <v>2</v>
      </c>
      <c r="H3014" s="2">
        <v>25</v>
      </c>
      <c r="I3014" s="2">
        <v>5</v>
      </c>
      <c r="J3014" s="2">
        <v>16</v>
      </c>
      <c r="K3014" s="4">
        <v>1</v>
      </c>
      <c r="L3014" s="4">
        <v>0.86708916517855272</v>
      </c>
      <c r="M3014" s="4">
        <v>0.86708916517855272</v>
      </c>
      <c r="N3014" s="10">
        <v>0.86699999999999999</v>
      </c>
      <c r="O3014" s="4">
        <v>6.5505678291723042</v>
      </c>
      <c r="P3014" s="4">
        <v>6.55</v>
      </c>
      <c r="Q3014" s="3" t="s">
        <v>1597</v>
      </c>
      <c r="R3014" s="3" t="s">
        <v>1602</v>
      </c>
      <c r="S3014" s="3" t="s">
        <v>1603</v>
      </c>
      <c r="T3014" s="3"/>
    </row>
    <row r="3015" spans="1:20">
      <c r="A3015" s="3" t="s">
        <v>1600</v>
      </c>
      <c r="B3015" s="3" t="s">
        <v>1609</v>
      </c>
      <c r="C3015" s="3" t="s">
        <v>1616</v>
      </c>
      <c r="D3015" s="3" t="s">
        <v>538</v>
      </c>
      <c r="E3015" s="3" t="s">
        <v>539</v>
      </c>
      <c r="F3015" s="2">
        <v>1</v>
      </c>
      <c r="G3015" s="4">
        <v>2</v>
      </c>
      <c r="H3015" s="2">
        <v>25</v>
      </c>
      <c r="I3015" s="2">
        <v>5</v>
      </c>
      <c r="J3015" s="2">
        <v>1</v>
      </c>
      <c r="K3015" s="4">
        <v>0.92603572113511112</v>
      </c>
      <c r="L3015" s="4">
        <v>0.86070421850185985</v>
      </c>
      <c r="M3015" s="4">
        <v>0.86070421850185985</v>
      </c>
      <c r="N3015" s="10">
        <v>0.86099999999999999</v>
      </c>
      <c r="O3015" s="4">
        <v>6.4257599571492054</v>
      </c>
      <c r="P3015" s="4">
        <v>6.43</v>
      </c>
      <c r="Q3015" s="3" t="s">
        <v>1597</v>
      </c>
      <c r="R3015" s="3" t="s">
        <v>1610</v>
      </c>
      <c r="S3015" s="3" t="s">
        <v>1611</v>
      </c>
      <c r="T3015" s="3"/>
    </row>
    <row r="3016" spans="1:20">
      <c r="A3016" s="3" t="s">
        <v>1600</v>
      </c>
      <c r="B3016" s="3" t="s">
        <v>1609</v>
      </c>
      <c r="C3016" s="3" t="s">
        <v>1616</v>
      </c>
      <c r="D3016" s="3" t="s">
        <v>538</v>
      </c>
      <c r="E3016" s="3" t="s">
        <v>539</v>
      </c>
      <c r="F3016" s="2">
        <v>1</v>
      </c>
      <c r="G3016" s="4">
        <v>2</v>
      </c>
      <c r="H3016" s="2">
        <v>25</v>
      </c>
      <c r="I3016" s="2">
        <v>5</v>
      </c>
      <c r="J3016" s="2">
        <v>16</v>
      </c>
      <c r="K3016" s="11">
        <v>0.9628645417175925</v>
      </c>
      <c r="L3016" s="11">
        <v>0.85627088768125081</v>
      </c>
      <c r="M3016" s="4">
        <v>0.85627088768125081</v>
      </c>
      <c r="N3016" s="10">
        <v>0.85599999999999998</v>
      </c>
      <c r="O3016" s="4">
        <v>6.3421785237710102</v>
      </c>
      <c r="P3016" s="4">
        <v>6.34</v>
      </c>
      <c r="Q3016" s="3" t="s">
        <v>1597</v>
      </c>
      <c r="R3016" s="3" t="s">
        <v>1610</v>
      </c>
      <c r="S3016" s="3" t="s">
        <v>1611</v>
      </c>
      <c r="T3016" s="3"/>
    </row>
    <row r="3017" spans="1:20">
      <c r="A3017" s="3" t="s">
        <v>1600</v>
      </c>
      <c r="B3017" s="3" t="s">
        <v>1601</v>
      </c>
      <c r="C3017" s="3" t="s">
        <v>1616</v>
      </c>
      <c r="D3017" s="3" t="s">
        <v>521</v>
      </c>
      <c r="E3017" s="3" t="s">
        <v>522</v>
      </c>
      <c r="F3017" s="2">
        <v>1</v>
      </c>
      <c r="G3017" s="4">
        <v>2</v>
      </c>
      <c r="H3017" s="2">
        <v>25</v>
      </c>
      <c r="I3017" s="2">
        <v>5</v>
      </c>
      <c r="J3017" s="2">
        <v>1</v>
      </c>
      <c r="K3017" s="4">
        <v>0.97123966750690738</v>
      </c>
      <c r="L3017" s="4">
        <v>0.84909837833325219</v>
      </c>
      <c r="M3017" s="4">
        <v>0.84909837833325219</v>
      </c>
      <c r="N3017" s="10">
        <v>0.84899999999999998</v>
      </c>
      <c r="O3017" s="4">
        <v>6.2118612299613947</v>
      </c>
      <c r="P3017" s="4">
        <v>6.21</v>
      </c>
      <c r="Q3017" s="3" t="s">
        <v>1597</v>
      </c>
      <c r="R3017" s="3" t="s">
        <v>1602</v>
      </c>
      <c r="S3017" s="3" t="s">
        <v>1603</v>
      </c>
      <c r="T3017" s="3"/>
    </row>
    <row r="3018" spans="1:20">
      <c r="A3018" s="3" t="s">
        <v>1604</v>
      </c>
      <c r="B3018" s="3" t="s">
        <v>1601</v>
      </c>
      <c r="C3018" s="3" t="s">
        <v>1616</v>
      </c>
      <c r="D3018" s="3" t="s">
        <v>521</v>
      </c>
      <c r="E3018" s="3" t="s">
        <v>522</v>
      </c>
      <c r="F3018" s="2">
        <v>1</v>
      </c>
      <c r="G3018" s="4">
        <v>2</v>
      </c>
      <c r="H3018" s="2">
        <v>25</v>
      </c>
      <c r="I3018" s="2">
        <v>30</v>
      </c>
      <c r="J3018" s="2">
        <v>16</v>
      </c>
      <c r="K3018" s="4">
        <v>1</v>
      </c>
      <c r="L3018" s="4">
        <v>0.83971814708986425</v>
      </c>
      <c r="M3018" s="4">
        <v>0.83971814708986425</v>
      </c>
      <c r="N3018" s="10">
        <v>0.84</v>
      </c>
      <c r="O3018" s="4">
        <v>6.0497577526003852</v>
      </c>
      <c r="P3018" s="4">
        <v>6.05</v>
      </c>
      <c r="Q3018" s="3" t="s">
        <v>1597</v>
      </c>
      <c r="R3018" s="3" t="s">
        <v>1602</v>
      </c>
      <c r="S3018" s="3" t="s">
        <v>1603</v>
      </c>
      <c r="T3018" s="3"/>
    </row>
    <row r="3019" spans="1:20">
      <c r="A3019" s="3" t="s">
        <v>1604</v>
      </c>
      <c r="B3019" s="3" t="s">
        <v>1601</v>
      </c>
      <c r="C3019" s="3" t="s">
        <v>1596</v>
      </c>
      <c r="D3019" s="3" t="s">
        <v>538</v>
      </c>
      <c r="E3019" s="3" t="s">
        <v>539</v>
      </c>
      <c r="F3019" s="2">
        <v>1</v>
      </c>
      <c r="G3019" s="4">
        <v>2</v>
      </c>
      <c r="H3019" s="2">
        <v>25</v>
      </c>
      <c r="I3019" s="2">
        <v>30</v>
      </c>
      <c r="J3019" s="2">
        <v>16</v>
      </c>
      <c r="K3019" s="4">
        <v>1</v>
      </c>
      <c r="L3019" s="4">
        <v>0.79430070918236528</v>
      </c>
      <c r="M3019" s="4">
        <v>0.79430070918236528</v>
      </c>
      <c r="N3019" s="10">
        <v>0.79400000000000004</v>
      </c>
      <c r="O3019" s="4">
        <v>5.3693342545971099</v>
      </c>
      <c r="P3019" s="4">
        <v>5.37</v>
      </c>
      <c r="Q3019" s="3" t="s">
        <v>1597</v>
      </c>
      <c r="R3019" s="3" t="s">
        <v>1602</v>
      </c>
      <c r="S3019" s="3" t="s">
        <v>1603</v>
      </c>
      <c r="T3019" s="3"/>
    </row>
    <row r="3020" spans="1:20">
      <c r="A3020" s="3" t="s">
        <v>1600</v>
      </c>
      <c r="B3020" s="3" t="s">
        <v>1606</v>
      </c>
      <c r="C3020" s="3" t="s">
        <v>1596</v>
      </c>
      <c r="D3020" s="3" t="s">
        <v>538</v>
      </c>
      <c r="E3020" s="3" t="s">
        <v>539</v>
      </c>
      <c r="F3020" s="2">
        <v>1</v>
      </c>
      <c r="G3020" s="4">
        <v>2</v>
      </c>
      <c r="H3020" s="2">
        <v>25</v>
      </c>
      <c r="I3020" s="2">
        <v>5</v>
      </c>
      <c r="J3020" s="2">
        <v>16</v>
      </c>
      <c r="K3020" s="11">
        <v>0.35993084221297189</v>
      </c>
      <c r="L3020" s="11">
        <v>0.78472255817328629</v>
      </c>
      <c r="M3020" s="4">
        <v>0.78472255817328629</v>
      </c>
      <c r="N3020" s="10">
        <v>0.78500000000000003</v>
      </c>
      <c r="O3020" s="4">
        <v>5.2432423570159337</v>
      </c>
      <c r="P3020" s="4">
        <v>5.25</v>
      </c>
      <c r="Q3020" s="3" t="s">
        <v>1597</v>
      </c>
      <c r="R3020" s="3" t="s">
        <v>1607</v>
      </c>
      <c r="S3020" s="3" t="s">
        <v>1608</v>
      </c>
      <c r="T3020" s="3" t="s">
        <v>1615</v>
      </c>
    </row>
    <row r="3021" spans="1:20">
      <c r="A3021" s="3" t="s">
        <v>1600</v>
      </c>
      <c r="B3021" s="3" t="s">
        <v>1601</v>
      </c>
      <c r="C3021" s="3" t="s">
        <v>1596</v>
      </c>
      <c r="D3021" s="3" t="s">
        <v>538</v>
      </c>
      <c r="E3021" s="3" t="s">
        <v>539</v>
      </c>
      <c r="F3021" s="2">
        <v>1</v>
      </c>
      <c r="G3021" s="4">
        <v>2</v>
      </c>
      <c r="H3021" s="2">
        <v>25</v>
      </c>
      <c r="I3021" s="2">
        <v>5</v>
      </c>
      <c r="J3021" s="2">
        <v>1</v>
      </c>
      <c r="K3021" s="4">
        <v>8.7750899040271113E-2</v>
      </c>
      <c r="L3021" s="4">
        <v>0.74857456355193286</v>
      </c>
      <c r="M3021" s="4">
        <v>0.74857456355193286</v>
      </c>
      <c r="N3021" s="10">
        <v>0.749</v>
      </c>
      <c r="O3021" s="4">
        <v>4.8077349981217017</v>
      </c>
      <c r="P3021" s="4">
        <v>4.8099999999999996</v>
      </c>
      <c r="Q3021" s="3" t="s">
        <v>1597</v>
      </c>
      <c r="R3021" s="3" t="s">
        <v>1602</v>
      </c>
      <c r="S3021" s="3" t="s">
        <v>1603</v>
      </c>
      <c r="T3021" s="3"/>
    </row>
    <row r="3022" spans="1:20">
      <c r="A3022" s="3" t="s">
        <v>1600</v>
      </c>
      <c r="B3022" s="3" t="s">
        <v>1601</v>
      </c>
      <c r="C3022" s="3" t="s">
        <v>1596</v>
      </c>
      <c r="D3022" s="3" t="s">
        <v>538</v>
      </c>
      <c r="E3022" s="3" t="s">
        <v>539</v>
      </c>
      <c r="F3022" s="2">
        <v>1</v>
      </c>
      <c r="G3022" s="4">
        <v>2</v>
      </c>
      <c r="H3022" s="2">
        <v>25</v>
      </c>
      <c r="I3022" s="2">
        <v>5</v>
      </c>
      <c r="J3022" s="2">
        <v>16</v>
      </c>
      <c r="K3022" s="4">
        <v>0.30936639601564275</v>
      </c>
      <c r="L3022" s="4">
        <v>0.65605502333578969</v>
      </c>
      <c r="M3022" s="4">
        <v>0.65605502333578969</v>
      </c>
      <c r="N3022" s="10">
        <v>0.65600000000000003</v>
      </c>
      <c r="O3022" s="4">
        <v>3.8962237010988257</v>
      </c>
      <c r="P3022" s="4">
        <v>3.9</v>
      </c>
      <c r="Q3022" s="3" t="s">
        <v>1597</v>
      </c>
      <c r="R3022" s="3" t="s">
        <v>1602</v>
      </c>
      <c r="S3022" s="3" t="s">
        <v>1603</v>
      </c>
      <c r="T3022" s="3"/>
    </row>
    <row r="3023" spans="1:20">
      <c r="A3023" s="3" t="s">
        <v>1600</v>
      </c>
      <c r="B3023" s="3" t="s">
        <v>1606</v>
      </c>
      <c r="C3023" s="3" t="s">
        <v>1596</v>
      </c>
      <c r="D3023" s="3" t="s">
        <v>521</v>
      </c>
      <c r="E3023" s="3" t="s">
        <v>522</v>
      </c>
      <c r="F3023" s="2">
        <v>1</v>
      </c>
      <c r="G3023" s="4">
        <v>2</v>
      </c>
      <c r="H3023" s="2">
        <v>25</v>
      </c>
      <c r="I3023" s="2">
        <v>5</v>
      </c>
      <c r="J3023" s="2">
        <v>16</v>
      </c>
      <c r="K3023" s="11">
        <v>0.93356835294354246</v>
      </c>
      <c r="L3023" s="11">
        <v>0.65161605338469264</v>
      </c>
      <c r="M3023" s="4">
        <v>0.65161605338469264</v>
      </c>
      <c r="N3023" s="10">
        <v>0.65200000000000002</v>
      </c>
      <c r="O3023" s="4">
        <v>3.8577810510008503</v>
      </c>
      <c r="P3023" s="4">
        <v>3.86</v>
      </c>
      <c r="Q3023" s="3" t="s">
        <v>1597</v>
      </c>
      <c r="R3023" s="3" t="s">
        <v>1607</v>
      </c>
      <c r="S3023" s="3" t="s">
        <v>1608</v>
      </c>
      <c r="T3023" s="3"/>
    </row>
    <row r="3024" spans="1:20">
      <c r="A3024" s="3" t="s">
        <v>1600</v>
      </c>
      <c r="B3024" s="3" t="s">
        <v>1609</v>
      </c>
      <c r="C3024" s="3" t="s">
        <v>1616</v>
      </c>
      <c r="D3024" s="3" t="s">
        <v>521</v>
      </c>
      <c r="E3024" s="3" t="s">
        <v>522</v>
      </c>
      <c r="F3024" s="2">
        <v>1</v>
      </c>
      <c r="G3024" s="4">
        <v>2</v>
      </c>
      <c r="H3024" s="2">
        <v>25</v>
      </c>
      <c r="I3024" s="2">
        <v>5</v>
      </c>
      <c r="J3024" s="2">
        <v>1</v>
      </c>
      <c r="K3024" s="4">
        <v>0.88357474800936009</v>
      </c>
      <c r="L3024" s="4">
        <v>0.63928706835530036</v>
      </c>
      <c r="M3024" s="4">
        <v>0.63928706835530036</v>
      </c>
      <c r="N3024" s="10">
        <v>0.63900000000000001</v>
      </c>
      <c r="O3024" s="4">
        <v>3.7529948820423216</v>
      </c>
      <c r="P3024" s="4">
        <v>3.75</v>
      </c>
      <c r="Q3024" s="3" t="s">
        <v>1597</v>
      </c>
      <c r="R3024" s="3" t="s">
        <v>1610</v>
      </c>
      <c r="S3024" s="3" t="s">
        <v>1611</v>
      </c>
      <c r="T3024" s="3" t="s">
        <v>1629</v>
      </c>
    </row>
    <row r="3025" spans="1:20">
      <c r="A3025" s="3" t="s">
        <v>1600</v>
      </c>
      <c r="B3025" s="3" t="s">
        <v>1601</v>
      </c>
      <c r="C3025" s="3" t="s">
        <v>1616</v>
      </c>
      <c r="D3025" s="3" t="s">
        <v>721</v>
      </c>
      <c r="E3025" s="3" t="s">
        <v>722</v>
      </c>
      <c r="F3025" s="2">
        <v>1</v>
      </c>
      <c r="G3025" s="4">
        <v>2</v>
      </c>
      <c r="H3025" s="2">
        <v>25</v>
      </c>
      <c r="I3025" s="2">
        <v>5</v>
      </c>
      <c r="J3025" s="2">
        <v>1</v>
      </c>
      <c r="K3025" s="4">
        <v>0.90209369749104529</v>
      </c>
      <c r="L3025" s="4">
        <v>0.62702528690686676</v>
      </c>
      <c r="M3025" s="4">
        <v>0.62702528690686676</v>
      </c>
      <c r="N3025" s="10">
        <v>0.627</v>
      </c>
      <c r="O3025" s="4">
        <v>3.6515152260937205</v>
      </c>
      <c r="P3025" s="4">
        <v>3.65</v>
      </c>
      <c r="Q3025" s="3" t="s">
        <v>1597</v>
      </c>
      <c r="R3025" s="3" t="s">
        <v>1602</v>
      </c>
      <c r="S3025" s="3" t="s">
        <v>1603</v>
      </c>
      <c r="T3025" s="3"/>
    </row>
    <row r="3026" spans="1:20">
      <c r="A3026" s="3" t="s">
        <v>1600</v>
      </c>
      <c r="B3026" s="3" t="s">
        <v>1601</v>
      </c>
      <c r="C3026" s="3" t="s">
        <v>1616</v>
      </c>
      <c r="D3026" s="3" t="s">
        <v>721</v>
      </c>
      <c r="E3026" s="3" t="s">
        <v>722</v>
      </c>
      <c r="F3026" s="2">
        <v>1</v>
      </c>
      <c r="G3026" s="4">
        <v>2</v>
      </c>
      <c r="H3026" s="2">
        <v>25</v>
      </c>
      <c r="I3026" s="2">
        <v>5</v>
      </c>
      <c r="J3026" s="2">
        <v>16</v>
      </c>
      <c r="K3026" s="4">
        <v>1</v>
      </c>
      <c r="L3026" s="4">
        <v>0.57302284205693299</v>
      </c>
      <c r="M3026" s="4">
        <v>0.57302284205693299</v>
      </c>
      <c r="N3026" s="10">
        <v>0.57299999999999995</v>
      </c>
      <c r="O3026" s="4">
        <v>3.232633764313817</v>
      </c>
      <c r="P3026" s="4">
        <v>3.23</v>
      </c>
      <c r="Q3026" s="3" t="s">
        <v>1597</v>
      </c>
      <c r="R3026" s="3" t="s">
        <v>1602</v>
      </c>
      <c r="S3026" s="3" t="s">
        <v>1603</v>
      </c>
      <c r="T3026" s="3"/>
    </row>
    <row r="3027" spans="1:20">
      <c r="A3027" s="12" t="s">
        <v>1605</v>
      </c>
      <c r="B3027" s="3" t="s">
        <v>1601</v>
      </c>
      <c r="C3027" s="3" t="s">
        <v>1596</v>
      </c>
      <c r="D3027" s="3" t="s">
        <v>538</v>
      </c>
      <c r="E3027" s="3" t="s">
        <v>539</v>
      </c>
      <c r="F3027" s="2">
        <v>1</v>
      </c>
      <c r="G3027" s="4">
        <v>2</v>
      </c>
      <c r="H3027" s="2">
        <v>25</v>
      </c>
      <c r="I3027" s="2">
        <v>5</v>
      </c>
      <c r="J3027" s="2">
        <v>16</v>
      </c>
      <c r="K3027" s="11">
        <v>1</v>
      </c>
      <c r="L3027" s="11">
        <v>0.49452191533263062</v>
      </c>
      <c r="M3027" s="4">
        <v>0.49452191533263062</v>
      </c>
      <c r="N3027" s="10">
        <v>0.495</v>
      </c>
      <c r="O3027" s="4">
        <v>2.6873427083361929</v>
      </c>
      <c r="P3027" s="4">
        <v>2.69</v>
      </c>
      <c r="Q3027" s="3" t="s">
        <v>1597</v>
      </c>
      <c r="R3027" s="3" t="s">
        <v>1602</v>
      </c>
      <c r="S3027" s="3" t="s">
        <v>1603</v>
      </c>
      <c r="T3027" s="3"/>
    </row>
    <row r="3028" spans="1:20">
      <c r="A3028" s="3" t="s">
        <v>1600</v>
      </c>
      <c r="B3028" s="3" t="s">
        <v>1606</v>
      </c>
      <c r="C3028" s="3" t="s">
        <v>1616</v>
      </c>
      <c r="D3028" s="3" t="s">
        <v>721</v>
      </c>
      <c r="E3028" s="3" t="s">
        <v>722</v>
      </c>
      <c r="F3028" s="2">
        <v>1</v>
      </c>
      <c r="G3028" s="4">
        <v>2</v>
      </c>
      <c r="H3028" s="2">
        <v>25</v>
      </c>
      <c r="I3028" s="2">
        <v>5</v>
      </c>
      <c r="J3028" s="2">
        <v>16</v>
      </c>
      <c r="K3028" s="11">
        <v>1</v>
      </c>
      <c r="L3028" s="11">
        <v>0.48444948064211518</v>
      </c>
      <c r="M3028" s="4">
        <v>0.48444948064211518</v>
      </c>
      <c r="N3028" s="10">
        <v>0.48399999999999999</v>
      </c>
      <c r="O3028" s="4">
        <v>2.6216674074210968</v>
      </c>
      <c r="P3028" s="4">
        <v>2.62</v>
      </c>
      <c r="Q3028" s="3" t="s">
        <v>1597</v>
      </c>
      <c r="R3028" s="3" t="s">
        <v>1607</v>
      </c>
      <c r="S3028" s="3" t="s">
        <v>1608</v>
      </c>
      <c r="T3028" s="3"/>
    </row>
    <row r="3029" spans="1:20">
      <c r="A3029" s="3" t="s">
        <v>1594</v>
      </c>
      <c r="B3029" s="3" t="s">
        <v>1612</v>
      </c>
      <c r="C3029" s="3" t="s">
        <v>1596</v>
      </c>
      <c r="D3029" s="3" t="s">
        <v>721</v>
      </c>
      <c r="E3029" s="3" t="s">
        <v>722</v>
      </c>
      <c r="F3029" s="2">
        <v>1</v>
      </c>
      <c r="G3029" s="4">
        <v>2</v>
      </c>
      <c r="H3029" s="2">
        <v>50</v>
      </c>
      <c r="I3029" s="2">
        <v>5</v>
      </c>
      <c r="J3029" s="2">
        <v>16</v>
      </c>
      <c r="K3029" s="4">
        <v>0.99629309356933893</v>
      </c>
      <c r="L3029" s="14">
        <v>0.4803370145896208</v>
      </c>
      <c r="M3029" s="4">
        <v>0.4803370145896208</v>
      </c>
      <c r="N3029" s="10">
        <v>0.48</v>
      </c>
      <c r="O3029" s="4">
        <v>2.8126940674666892</v>
      </c>
      <c r="P3029" s="4">
        <v>2.81</v>
      </c>
      <c r="Q3029" s="3" t="s">
        <v>1597</v>
      </c>
      <c r="R3029" s="3" t="s">
        <v>1613</v>
      </c>
      <c r="S3029" s="3" t="s">
        <v>1614</v>
      </c>
      <c r="T3029" s="3"/>
    </row>
    <row r="3030" spans="1:20">
      <c r="A3030" s="3" t="s">
        <v>1600</v>
      </c>
      <c r="B3030" s="3" t="s">
        <v>1606</v>
      </c>
      <c r="C3030" s="3" t="s">
        <v>1616</v>
      </c>
      <c r="D3030" s="3" t="s">
        <v>721</v>
      </c>
      <c r="E3030" s="3" t="s">
        <v>722</v>
      </c>
      <c r="F3030" s="2">
        <v>1</v>
      </c>
      <c r="G3030" s="4">
        <v>2</v>
      </c>
      <c r="H3030" s="2">
        <v>25</v>
      </c>
      <c r="I3030" s="2">
        <v>5</v>
      </c>
      <c r="J3030" s="2">
        <v>1</v>
      </c>
      <c r="K3030" s="4">
        <v>1</v>
      </c>
      <c r="L3030" s="4">
        <v>0.47736095201730938</v>
      </c>
      <c r="M3030" s="4">
        <v>0.47736095201730938</v>
      </c>
      <c r="N3030" s="10">
        <v>0.47699999999999998</v>
      </c>
      <c r="O3030" s="4">
        <v>2.5759492909933384</v>
      </c>
      <c r="P3030" s="4">
        <v>2.57</v>
      </c>
      <c r="Q3030" s="3" t="s">
        <v>1597</v>
      </c>
      <c r="R3030" s="3" t="s">
        <v>1607</v>
      </c>
      <c r="S3030" s="3" t="s">
        <v>1608</v>
      </c>
      <c r="T3030" s="3"/>
    </row>
    <row r="3031" spans="1:20">
      <c r="A3031" s="3" t="s">
        <v>1600</v>
      </c>
      <c r="B3031" s="3" t="s">
        <v>1609</v>
      </c>
      <c r="C3031" s="3" t="s">
        <v>1616</v>
      </c>
      <c r="D3031" s="3" t="s">
        <v>530</v>
      </c>
      <c r="E3031" s="3" t="s">
        <v>531</v>
      </c>
      <c r="F3031" s="2">
        <v>1</v>
      </c>
      <c r="G3031" s="4">
        <v>2</v>
      </c>
      <c r="H3031" s="2">
        <v>25</v>
      </c>
      <c r="I3031" s="2">
        <v>5</v>
      </c>
      <c r="J3031" s="2">
        <v>16</v>
      </c>
      <c r="K3031" s="11">
        <v>0.24814602117395657</v>
      </c>
      <c r="L3031" s="11">
        <v>0.46960564835543311</v>
      </c>
      <c r="M3031" s="4">
        <v>0.46960564835543311</v>
      </c>
      <c r="N3031" s="10">
        <v>0.47</v>
      </c>
      <c r="O3031" s="4">
        <v>2.5263873353401203</v>
      </c>
      <c r="P3031" s="4">
        <v>2.5299999999999998</v>
      </c>
      <c r="Q3031" s="3" t="s">
        <v>1597</v>
      </c>
      <c r="R3031" s="3" t="s">
        <v>1610</v>
      </c>
      <c r="S3031" s="3" t="s">
        <v>1611</v>
      </c>
      <c r="T3031" s="3"/>
    </row>
    <row r="3032" spans="1:20">
      <c r="A3032" s="3" t="s">
        <v>1600</v>
      </c>
      <c r="B3032" s="3" t="s">
        <v>1601</v>
      </c>
      <c r="C3032" s="3" t="s">
        <v>1596</v>
      </c>
      <c r="D3032" s="3" t="s">
        <v>521</v>
      </c>
      <c r="E3032" s="3" t="s">
        <v>522</v>
      </c>
      <c r="F3032" s="2">
        <v>1</v>
      </c>
      <c r="G3032" s="4">
        <v>2</v>
      </c>
      <c r="H3032" s="2">
        <v>25</v>
      </c>
      <c r="I3032" s="2">
        <v>5</v>
      </c>
      <c r="J3032" s="2">
        <v>1</v>
      </c>
      <c r="K3032" s="4">
        <v>4.1115040514195678E-2</v>
      </c>
      <c r="L3032" s="4">
        <v>0.43390639137945219</v>
      </c>
      <c r="M3032" s="4">
        <v>0.43390639137945219</v>
      </c>
      <c r="N3032" s="10">
        <v>0.434</v>
      </c>
      <c r="O3032" s="4">
        <v>2.3039487834713803</v>
      </c>
      <c r="P3032" s="4">
        <v>2.2999999999999998</v>
      </c>
      <c r="Q3032" s="3" t="s">
        <v>1597</v>
      </c>
      <c r="R3032" s="3" t="s">
        <v>1602</v>
      </c>
      <c r="S3032" s="3" t="s">
        <v>1603</v>
      </c>
      <c r="T3032" s="3"/>
    </row>
    <row r="3033" spans="1:20">
      <c r="A3033" s="3" t="s">
        <v>1600</v>
      </c>
      <c r="B3033" s="3" t="s">
        <v>1606</v>
      </c>
      <c r="C3033" s="3" t="s">
        <v>1596</v>
      </c>
      <c r="D3033" s="3" t="s">
        <v>530</v>
      </c>
      <c r="E3033" s="3" t="s">
        <v>531</v>
      </c>
      <c r="F3033" s="2">
        <v>1</v>
      </c>
      <c r="G3033" s="4">
        <v>2</v>
      </c>
      <c r="H3033" s="2">
        <v>25</v>
      </c>
      <c r="I3033" s="2">
        <v>5</v>
      </c>
      <c r="J3033" s="2">
        <v>1</v>
      </c>
      <c r="K3033" s="11">
        <v>7.4627046052270773E-2</v>
      </c>
      <c r="L3033" s="11">
        <v>0.43100381194409149</v>
      </c>
      <c r="M3033" s="4">
        <v>0.43100381194409149</v>
      </c>
      <c r="N3033" s="10">
        <v>0.43099999999999999</v>
      </c>
      <c r="O3033" s="4">
        <v>2.2862475089063081</v>
      </c>
      <c r="P3033" s="4">
        <v>2.29</v>
      </c>
      <c r="Q3033" s="3" t="s">
        <v>1597</v>
      </c>
      <c r="R3033" s="3" t="s">
        <v>1607</v>
      </c>
      <c r="S3033" s="3" t="s">
        <v>1608</v>
      </c>
      <c r="T3033" s="3"/>
    </row>
    <row r="3034" spans="1:20">
      <c r="A3034" s="3" t="s">
        <v>1604</v>
      </c>
      <c r="B3034" s="3" t="s">
        <v>1601</v>
      </c>
      <c r="C3034" s="3" t="s">
        <v>1596</v>
      </c>
      <c r="D3034" s="3" t="s">
        <v>530</v>
      </c>
      <c r="E3034" s="3" t="s">
        <v>531</v>
      </c>
      <c r="F3034" s="2">
        <v>1</v>
      </c>
      <c r="G3034" s="4">
        <v>2</v>
      </c>
      <c r="H3034" s="2">
        <v>25</v>
      </c>
      <c r="I3034" s="2">
        <v>30</v>
      </c>
      <c r="J3034" s="2">
        <v>16</v>
      </c>
      <c r="K3034" s="4">
        <v>0.66350964768378606</v>
      </c>
      <c r="L3034" s="4">
        <v>0.4291952819567843</v>
      </c>
      <c r="M3034" s="4">
        <v>0.4291952819567843</v>
      </c>
      <c r="N3034" s="10">
        <v>0.42899999999999999</v>
      </c>
      <c r="O3034" s="4">
        <v>2.2752457615647854</v>
      </c>
      <c r="P3034" s="4">
        <v>2.27</v>
      </c>
      <c r="Q3034" s="3" t="s">
        <v>1597</v>
      </c>
      <c r="R3034" s="3" t="s">
        <v>1602</v>
      </c>
      <c r="S3034" s="3" t="s">
        <v>1603</v>
      </c>
      <c r="T3034" s="3"/>
    </row>
    <row r="3035" spans="1:20">
      <c r="A3035" s="3" t="s">
        <v>1600</v>
      </c>
      <c r="B3035" s="3" t="s">
        <v>1609</v>
      </c>
      <c r="C3035" s="3" t="s">
        <v>1596</v>
      </c>
      <c r="D3035" s="3" t="s">
        <v>530</v>
      </c>
      <c r="E3035" s="3" t="s">
        <v>531</v>
      </c>
      <c r="F3035" s="2">
        <v>1</v>
      </c>
      <c r="G3035" s="4">
        <v>2</v>
      </c>
      <c r="H3035" s="2">
        <v>25</v>
      </c>
      <c r="I3035" s="2">
        <v>5</v>
      </c>
      <c r="J3035" s="2">
        <v>16</v>
      </c>
      <c r="K3035" s="4">
        <v>0.2886370189812969</v>
      </c>
      <c r="L3035" s="4">
        <v>0.42060587094647078</v>
      </c>
      <c r="M3035" s="4">
        <v>0.42060587094647078</v>
      </c>
      <c r="N3035" s="10">
        <v>0.42099999999999999</v>
      </c>
      <c r="O3035" s="4">
        <v>2.2232769282473783</v>
      </c>
      <c r="P3035" s="4">
        <v>2.23</v>
      </c>
      <c r="Q3035" s="3" t="s">
        <v>1597</v>
      </c>
      <c r="R3035" s="3" t="s">
        <v>1610</v>
      </c>
      <c r="S3035" s="3" t="s">
        <v>1611</v>
      </c>
      <c r="T3035" s="3"/>
    </row>
    <row r="3036" spans="1:20">
      <c r="A3036" s="3" t="s">
        <v>1600</v>
      </c>
      <c r="B3036" s="3" t="s">
        <v>1609</v>
      </c>
      <c r="C3036" s="3" t="s">
        <v>1596</v>
      </c>
      <c r="D3036" s="3" t="s">
        <v>530</v>
      </c>
      <c r="E3036" s="3" t="s">
        <v>531</v>
      </c>
      <c r="F3036" s="2">
        <v>1</v>
      </c>
      <c r="G3036" s="4">
        <v>2</v>
      </c>
      <c r="H3036" s="2">
        <v>25</v>
      </c>
      <c r="I3036" s="2">
        <v>5</v>
      </c>
      <c r="J3036" s="2">
        <v>1</v>
      </c>
      <c r="K3036" s="11">
        <v>6.74222946407812E-2</v>
      </c>
      <c r="L3036" s="11">
        <v>0.41039444063815211</v>
      </c>
      <c r="M3036" s="4">
        <v>0.41039444063815211</v>
      </c>
      <c r="N3036" s="10">
        <v>0.41</v>
      </c>
      <c r="O3036" s="4">
        <v>2.1620839526352911</v>
      </c>
      <c r="P3036" s="4">
        <v>2.16</v>
      </c>
      <c r="Q3036" s="3" t="s">
        <v>1597</v>
      </c>
      <c r="R3036" s="3" t="s">
        <v>1610</v>
      </c>
      <c r="S3036" s="3" t="s">
        <v>1611</v>
      </c>
      <c r="T3036" s="3"/>
    </row>
    <row r="3037" spans="1:20">
      <c r="A3037" s="3" t="s">
        <v>1594</v>
      </c>
      <c r="B3037" s="3" t="s">
        <v>1612</v>
      </c>
      <c r="C3037" s="3" t="s">
        <v>1596</v>
      </c>
      <c r="D3037" s="3" t="s">
        <v>530</v>
      </c>
      <c r="E3037" s="3" t="s">
        <v>531</v>
      </c>
      <c r="F3037" s="2">
        <v>1</v>
      </c>
      <c r="G3037" s="4">
        <v>2</v>
      </c>
      <c r="H3037" s="2">
        <v>50</v>
      </c>
      <c r="I3037" s="2">
        <v>5</v>
      </c>
      <c r="J3037" s="2">
        <v>16</v>
      </c>
      <c r="K3037" s="4">
        <v>0.95189222516912064</v>
      </c>
      <c r="L3037" s="14">
        <v>0.36834479144187193</v>
      </c>
      <c r="M3037" s="4">
        <v>0.36834479144187193</v>
      </c>
      <c r="N3037" s="10">
        <v>0.36799999999999999</v>
      </c>
      <c r="O3037" s="4">
        <v>2.0769561630113169</v>
      </c>
      <c r="P3037" s="4">
        <v>2.0699999999999998</v>
      </c>
      <c r="Q3037" s="3" t="s">
        <v>1597</v>
      </c>
      <c r="R3037" s="3" t="s">
        <v>1613</v>
      </c>
      <c r="S3037" s="3" t="s">
        <v>1614</v>
      </c>
      <c r="T3037" s="3"/>
    </row>
    <row r="3038" spans="1:20">
      <c r="A3038" s="3" t="s">
        <v>1600</v>
      </c>
      <c r="B3038" s="3" t="s">
        <v>1606</v>
      </c>
      <c r="C3038" s="3" t="s">
        <v>1596</v>
      </c>
      <c r="D3038" s="3" t="s">
        <v>530</v>
      </c>
      <c r="E3038" s="3" t="s">
        <v>531</v>
      </c>
      <c r="F3038" s="2">
        <v>1</v>
      </c>
      <c r="G3038" s="4">
        <v>2</v>
      </c>
      <c r="H3038" s="2">
        <v>25</v>
      </c>
      <c r="I3038" s="2">
        <v>5</v>
      </c>
      <c r="J3038" s="2">
        <v>16</v>
      </c>
      <c r="K3038" s="11">
        <v>0.16128948978564439</v>
      </c>
      <c r="L3038" s="11">
        <v>0.36385306122448979</v>
      </c>
      <c r="M3038" s="4">
        <v>0.36385306122448979</v>
      </c>
      <c r="N3038" s="10">
        <v>0.36399999999999999</v>
      </c>
      <c r="O3038" s="4">
        <v>1.890559133186607</v>
      </c>
      <c r="P3038" s="4">
        <v>1.89</v>
      </c>
      <c r="Q3038" s="3" t="s">
        <v>1597</v>
      </c>
      <c r="R3038" s="3" t="s">
        <v>1607</v>
      </c>
      <c r="S3038" s="3" t="s">
        <v>1608</v>
      </c>
      <c r="T3038" s="3"/>
    </row>
    <row r="3039" spans="1:20">
      <c r="A3039" s="3" t="s">
        <v>1600</v>
      </c>
      <c r="B3039" s="3" t="s">
        <v>1601</v>
      </c>
      <c r="C3039" s="3" t="s">
        <v>1596</v>
      </c>
      <c r="D3039" s="3" t="s">
        <v>521</v>
      </c>
      <c r="E3039" s="3" t="s">
        <v>522</v>
      </c>
      <c r="F3039" s="2">
        <v>1</v>
      </c>
      <c r="G3039" s="4">
        <v>2</v>
      </c>
      <c r="H3039" s="2">
        <v>25</v>
      </c>
      <c r="I3039" s="2">
        <v>5</v>
      </c>
      <c r="J3039" s="2">
        <v>16</v>
      </c>
      <c r="K3039" s="4">
        <v>0.10174736510446292</v>
      </c>
      <c r="L3039" s="4">
        <v>0.33119007815737206</v>
      </c>
      <c r="M3039" s="4">
        <v>0.33119007815737206</v>
      </c>
      <c r="N3039" s="10">
        <v>0.33100000000000002</v>
      </c>
      <c r="O3039" s="4">
        <v>1.7063449902742154</v>
      </c>
      <c r="P3039" s="4">
        <v>1.71</v>
      </c>
      <c r="Q3039" s="3" t="s">
        <v>1597</v>
      </c>
      <c r="R3039" s="3" t="s">
        <v>1602</v>
      </c>
      <c r="S3039" s="3" t="s">
        <v>1603</v>
      </c>
      <c r="T3039" s="3"/>
    </row>
    <row r="3040" spans="1:20">
      <c r="A3040" s="3" t="s">
        <v>1594</v>
      </c>
      <c r="B3040" s="3" t="s">
        <v>1595</v>
      </c>
      <c r="C3040" s="3" t="s">
        <v>1596</v>
      </c>
      <c r="D3040" s="3" t="s">
        <v>538</v>
      </c>
      <c r="E3040" s="3" t="s">
        <v>539</v>
      </c>
      <c r="F3040" s="2">
        <v>1</v>
      </c>
      <c r="G3040" s="4">
        <v>2</v>
      </c>
      <c r="H3040" s="2">
        <v>50</v>
      </c>
      <c r="I3040" s="2">
        <v>5</v>
      </c>
      <c r="J3040" s="2">
        <v>16</v>
      </c>
      <c r="K3040" s="4">
        <v>0.22853659764811676</v>
      </c>
      <c r="L3040" s="14">
        <v>0.31752909833967918</v>
      </c>
      <c r="M3040" s="4">
        <v>0.31752909833967918</v>
      </c>
      <c r="N3040" s="10">
        <v>0.318</v>
      </c>
      <c r="O3040" s="4">
        <v>1.7673796863848203</v>
      </c>
      <c r="P3040" s="4">
        <v>1.77</v>
      </c>
      <c r="Q3040" s="3" t="s">
        <v>1597</v>
      </c>
      <c r="R3040" s="3" t="s">
        <v>1598</v>
      </c>
      <c r="S3040" s="3" t="s">
        <v>1599</v>
      </c>
      <c r="T3040" s="3"/>
    </row>
    <row r="3041" spans="1:20">
      <c r="A3041" s="12" t="s">
        <v>1605</v>
      </c>
      <c r="B3041" s="3" t="s">
        <v>1601</v>
      </c>
      <c r="C3041" s="3" t="s">
        <v>1596</v>
      </c>
      <c r="D3041" s="3" t="s">
        <v>530</v>
      </c>
      <c r="E3041" s="3" t="s">
        <v>531</v>
      </c>
      <c r="F3041" s="2">
        <v>1</v>
      </c>
      <c r="G3041" s="4">
        <v>2</v>
      </c>
      <c r="H3041" s="2">
        <v>25</v>
      </c>
      <c r="I3041" s="2">
        <v>5</v>
      </c>
      <c r="J3041" s="2">
        <v>16</v>
      </c>
      <c r="K3041" s="11">
        <v>0.44916022594052651</v>
      </c>
      <c r="L3041" s="11">
        <v>0.29757198286106179</v>
      </c>
      <c r="M3041" s="4">
        <v>0.29757198286106179</v>
      </c>
      <c r="N3041" s="10">
        <v>0.29799999999999999</v>
      </c>
      <c r="O3041" s="4">
        <v>1.521360524284235</v>
      </c>
      <c r="P3041" s="4">
        <v>1.52</v>
      </c>
      <c r="Q3041" s="3" t="s">
        <v>1597</v>
      </c>
      <c r="R3041" s="3" t="s">
        <v>1602</v>
      </c>
      <c r="S3041" s="3" t="s">
        <v>1603</v>
      </c>
      <c r="T3041" s="3"/>
    </row>
    <row r="3042" spans="1:20">
      <c r="A3042" s="3" t="s">
        <v>1600</v>
      </c>
      <c r="B3042" s="3" t="s">
        <v>1606</v>
      </c>
      <c r="C3042" s="3" t="s">
        <v>1616</v>
      </c>
      <c r="D3042" s="3" t="s">
        <v>530</v>
      </c>
      <c r="E3042" s="3" t="s">
        <v>531</v>
      </c>
      <c r="F3042" s="2">
        <v>1</v>
      </c>
      <c r="G3042" s="4">
        <v>2</v>
      </c>
      <c r="H3042" s="2">
        <v>25</v>
      </c>
      <c r="I3042" s="2">
        <v>5</v>
      </c>
      <c r="J3042" s="2">
        <v>1</v>
      </c>
      <c r="K3042" s="4">
        <v>0.3336827249597718</v>
      </c>
      <c r="L3042" s="4">
        <v>0.28924781669640343</v>
      </c>
      <c r="M3042" s="4">
        <v>0.28924781669640343</v>
      </c>
      <c r="N3042" s="10">
        <v>0.28899999999999998</v>
      </c>
      <c r="O3042" s="4">
        <v>1.476201792519938</v>
      </c>
      <c r="P3042" s="4">
        <v>1.47</v>
      </c>
      <c r="Q3042" s="3" t="s">
        <v>1597</v>
      </c>
      <c r="R3042" s="3" t="s">
        <v>1607</v>
      </c>
      <c r="S3042" s="3" t="s">
        <v>1608</v>
      </c>
      <c r="T3042" s="3"/>
    </row>
    <row r="3043" spans="1:20">
      <c r="A3043" s="3" t="s">
        <v>1604</v>
      </c>
      <c r="B3043" s="3" t="s">
        <v>1601</v>
      </c>
      <c r="C3043" s="3" t="s">
        <v>1596</v>
      </c>
      <c r="D3043" s="3" t="s">
        <v>521</v>
      </c>
      <c r="E3043" s="3" t="s">
        <v>522</v>
      </c>
      <c r="F3043" s="2">
        <v>1</v>
      </c>
      <c r="G3043" s="4">
        <v>2</v>
      </c>
      <c r="H3043" s="2">
        <v>25</v>
      </c>
      <c r="I3043" s="2">
        <v>30</v>
      </c>
      <c r="J3043" s="2">
        <v>16</v>
      </c>
      <c r="K3043" s="4">
        <v>1</v>
      </c>
      <c r="L3043" s="4">
        <v>0.22108970444326179</v>
      </c>
      <c r="M3043" s="4">
        <v>0.22108970444326179</v>
      </c>
      <c r="N3043" s="10">
        <v>0.221</v>
      </c>
      <c r="O3043" s="4">
        <v>1.1145516610426141</v>
      </c>
      <c r="P3043" s="4">
        <v>1.1100000000000001</v>
      </c>
      <c r="Q3043" s="3" t="s">
        <v>1597</v>
      </c>
      <c r="R3043" s="3" t="s">
        <v>1602</v>
      </c>
      <c r="S3043" s="3" t="s">
        <v>1603</v>
      </c>
      <c r="T3043" s="3"/>
    </row>
    <row r="3044" spans="1:20">
      <c r="A3044" s="3" t="s">
        <v>1600</v>
      </c>
      <c r="B3044" s="3" t="s">
        <v>1609</v>
      </c>
      <c r="C3044" s="3" t="s">
        <v>1616</v>
      </c>
      <c r="D3044" s="3" t="s">
        <v>530</v>
      </c>
      <c r="E3044" s="3" t="s">
        <v>531</v>
      </c>
      <c r="F3044" s="2">
        <v>1</v>
      </c>
      <c r="G3044" s="4">
        <v>2</v>
      </c>
      <c r="H3044" s="2">
        <v>25</v>
      </c>
      <c r="I3044" s="2">
        <v>5</v>
      </c>
      <c r="J3044" s="2">
        <v>1</v>
      </c>
      <c r="K3044" s="4">
        <v>1.3154719131081682E-2</v>
      </c>
      <c r="L3044" s="4">
        <v>0.19698910954516335</v>
      </c>
      <c r="M3044" s="4">
        <v>0.19698910954516335</v>
      </c>
      <c r="N3044" s="10">
        <v>0.19700000000000001</v>
      </c>
      <c r="O3044" s="4">
        <v>0.98959500093686115</v>
      </c>
      <c r="P3044" s="4">
        <v>0.99</v>
      </c>
      <c r="Q3044" s="3" t="s">
        <v>1597</v>
      </c>
      <c r="R3044" s="3" t="s">
        <v>1610</v>
      </c>
      <c r="S3044" s="3" t="s">
        <v>1611</v>
      </c>
      <c r="T3044" s="3"/>
    </row>
    <row r="3045" spans="1:20">
      <c r="A3045" s="3" t="s">
        <v>1600</v>
      </c>
      <c r="B3045" s="3" t="s">
        <v>1609</v>
      </c>
      <c r="C3045" s="3" t="s">
        <v>1616</v>
      </c>
      <c r="D3045" s="3" t="s">
        <v>721</v>
      </c>
      <c r="E3045" s="3" t="s">
        <v>722</v>
      </c>
      <c r="F3045" s="2">
        <v>1</v>
      </c>
      <c r="G3045" s="4">
        <v>2</v>
      </c>
      <c r="H3045" s="2">
        <v>25</v>
      </c>
      <c r="I3045" s="2">
        <v>5</v>
      </c>
      <c r="J3045" s="2">
        <v>16</v>
      </c>
      <c r="K3045" s="11">
        <v>0.99239260314569877</v>
      </c>
      <c r="L3045" s="11">
        <v>0.18692580033163533</v>
      </c>
      <c r="M3045" s="4">
        <v>0.18692580033163533</v>
      </c>
      <c r="N3045" s="10">
        <v>0.187</v>
      </c>
      <c r="O3045" s="4">
        <v>0.93779244718830912</v>
      </c>
      <c r="P3045" s="4">
        <v>0.94</v>
      </c>
      <c r="Q3045" s="3" t="s">
        <v>1597</v>
      </c>
      <c r="R3045" s="3" t="s">
        <v>1610</v>
      </c>
      <c r="S3045" s="3" t="s">
        <v>1611</v>
      </c>
      <c r="T3045" s="3"/>
    </row>
    <row r="3046" spans="1:20">
      <c r="A3046" s="3" t="s">
        <v>1600</v>
      </c>
      <c r="B3046" s="3" t="s">
        <v>1606</v>
      </c>
      <c r="C3046" s="3" t="s">
        <v>1616</v>
      </c>
      <c r="D3046" s="3" t="s">
        <v>530</v>
      </c>
      <c r="E3046" s="3" t="s">
        <v>531</v>
      </c>
      <c r="F3046" s="2">
        <v>1</v>
      </c>
      <c r="G3046" s="4">
        <v>2</v>
      </c>
      <c r="H3046" s="2">
        <v>25</v>
      </c>
      <c r="I3046" s="2">
        <v>5</v>
      </c>
      <c r="J3046" s="2">
        <v>16</v>
      </c>
      <c r="K3046" s="11">
        <v>0.80458402526063888</v>
      </c>
      <c r="L3046" s="11">
        <v>0.18560808909623955</v>
      </c>
      <c r="M3046" s="4">
        <v>0.18560808909623955</v>
      </c>
      <c r="N3046" s="10">
        <v>0.186</v>
      </c>
      <c r="O3046" s="4">
        <v>0.9310245012139593</v>
      </c>
      <c r="P3046" s="4">
        <v>0.93</v>
      </c>
      <c r="Q3046" s="3" t="s">
        <v>1597</v>
      </c>
      <c r="R3046" s="3" t="s">
        <v>1607</v>
      </c>
      <c r="S3046" s="3" t="s">
        <v>1608</v>
      </c>
      <c r="T3046" s="3"/>
    </row>
    <row r="3047" spans="1:20">
      <c r="A3047" s="3" t="s">
        <v>1600</v>
      </c>
      <c r="B3047" s="3" t="s">
        <v>1601</v>
      </c>
      <c r="C3047" s="3" t="s">
        <v>1596</v>
      </c>
      <c r="D3047" s="3" t="s">
        <v>530</v>
      </c>
      <c r="E3047" s="3" t="s">
        <v>531</v>
      </c>
      <c r="F3047" s="2">
        <v>1</v>
      </c>
      <c r="G3047" s="4">
        <v>2</v>
      </c>
      <c r="H3047" s="2">
        <v>25</v>
      </c>
      <c r="I3047" s="2">
        <v>5</v>
      </c>
      <c r="J3047" s="2">
        <v>16</v>
      </c>
      <c r="K3047" s="4">
        <v>4.1081204755564316E-2</v>
      </c>
      <c r="L3047" s="4">
        <v>0.17569761733942529</v>
      </c>
      <c r="M3047" s="4">
        <v>0.17569761733942529</v>
      </c>
      <c r="N3047" s="10">
        <v>0.17599999999999999</v>
      </c>
      <c r="O3047" s="4">
        <v>0.88023086795386341</v>
      </c>
      <c r="P3047" s="4">
        <v>0.88</v>
      </c>
      <c r="Q3047" s="3" t="s">
        <v>1597</v>
      </c>
      <c r="R3047" s="3" t="s">
        <v>1602</v>
      </c>
      <c r="S3047" s="3" t="s">
        <v>1603</v>
      </c>
      <c r="T3047" s="3"/>
    </row>
    <row r="3048" spans="1:20">
      <c r="A3048" s="3" t="s">
        <v>1600</v>
      </c>
      <c r="B3048" s="3" t="s">
        <v>1606</v>
      </c>
      <c r="C3048" s="3" t="s">
        <v>1596</v>
      </c>
      <c r="D3048" s="3" t="s">
        <v>521</v>
      </c>
      <c r="E3048" s="3" t="s">
        <v>522</v>
      </c>
      <c r="F3048" s="2">
        <v>1</v>
      </c>
      <c r="G3048" s="4">
        <v>2</v>
      </c>
      <c r="H3048" s="2">
        <v>25</v>
      </c>
      <c r="I3048" s="2">
        <v>5</v>
      </c>
      <c r="J3048" s="2">
        <v>1</v>
      </c>
      <c r="K3048" s="11">
        <v>0.33703893969563592</v>
      </c>
      <c r="L3048" s="11">
        <v>0.16254668584964613</v>
      </c>
      <c r="M3048" s="4">
        <v>0.16254668584964613</v>
      </c>
      <c r="N3048" s="10">
        <v>0.16300000000000001</v>
      </c>
      <c r="O3048" s="4">
        <v>0.81310844965537965</v>
      </c>
      <c r="P3048" s="4">
        <v>0.82</v>
      </c>
      <c r="Q3048" s="3" t="s">
        <v>1597</v>
      </c>
      <c r="R3048" s="3" t="s">
        <v>1607</v>
      </c>
      <c r="S3048" s="3" t="s">
        <v>1608</v>
      </c>
      <c r="T3048" s="3"/>
    </row>
    <row r="3049" spans="1:20">
      <c r="A3049" s="3" t="s">
        <v>1600</v>
      </c>
      <c r="B3049" s="3" t="s">
        <v>1601</v>
      </c>
      <c r="C3049" s="3" t="s">
        <v>1596</v>
      </c>
      <c r="D3049" s="3" t="s">
        <v>721</v>
      </c>
      <c r="E3049" s="3" t="s">
        <v>722</v>
      </c>
      <c r="F3049" s="2">
        <v>1</v>
      </c>
      <c r="G3049" s="4">
        <v>2</v>
      </c>
      <c r="H3049" s="2">
        <v>25</v>
      </c>
      <c r="I3049" s="2">
        <v>5</v>
      </c>
      <c r="J3049" s="2">
        <v>16</v>
      </c>
      <c r="K3049" s="4">
        <v>0.34363898733224585</v>
      </c>
      <c r="L3049" s="4">
        <v>0.15937958424272783</v>
      </c>
      <c r="M3049" s="4">
        <v>0.15937958424272783</v>
      </c>
      <c r="N3049" s="10">
        <v>0.159</v>
      </c>
      <c r="O3049" s="4">
        <v>0.7969884924869205</v>
      </c>
      <c r="P3049" s="4">
        <v>0.8</v>
      </c>
      <c r="Q3049" s="3" t="s">
        <v>1597</v>
      </c>
      <c r="R3049" s="3" t="s">
        <v>1602</v>
      </c>
      <c r="S3049" s="3" t="s">
        <v>1603</v>
      </c>
      <c r="T3049" s="3"/>
    </row>
    <row r="3050" spans="1:20">
      <c r="A3050" s="3" t="s">
        <v>1600</v>
      </c>
      <c r="B3050" s="3" t="s">
        <v>1601</v>
      </c>
      <c r="C3050" s="3" t="s">
        <v>1596</v>
      </c>
      <c r="D3050" s="3" t="s">
        <v>721</v>
      </c>
      <c r="E3050" s="3" t="s">
        <v>722</v>
      </c>
      <c r="F3050" s="2">
        <v>1</v>
      </c>
      <c r="G3050" s="4">
        <v>2</v>
      </c>
      <c r="H3050" s="2">
        <v>25</v>
      </c>
      <c r="I3050" s="2">
        <v>5</v>
      </c>
      <c r="J3050" s="2">
        <v>1</v>
      </c>
      <c r="K3050" s="4">
        <v>0.20897899963193578</v>
      </c>
      <c r="L3050" s="4">
        <v>0.14713799663711644</v>
      </c>
      <c r="M3050" s="4">
        <v>0.14713799663711644</v>
      </c>
      <c r="N3050" s="10">
        <v>0.14699999999999999</v>
      </c>
      <c r="O3050" s="4">
        <v>0.73483474629269119</v>
      </c>
      <c r="P3050" s="4">
        <v>0.73</v>
      </c>
      <c r="Q3050" s="3" t="s">
        <v>1597</v>
      </c>
      <c r="R3050" s="3" t="s">
        <v>1602</v>
      </c>
      <c r="S3050" s="3" t="s">
        <v>1603</v>
      </c>
      <c r="T3050" s="3"/>
    </row>
    <row r="3051" spans="1:20">
      <c r="A3051" s="12" t="s">
        <v>1605</v>
      </c>
      <c r="B3051" s="3" t="s">
        <v>1601</v>
      </c>
      <c r="C3051" s="3" t="s">
        <v>1596</v>
      </c>
      <c r="D3051" s="3" t="s">
        <v>721</v>
      </c>
      <c r="E3051" s="3" t="s">
        <v>722</v>
      </c>
      <c r="F3051" s="2">
        <v>1</v>
      </c>
      <c r="G3051" s="4">
        <v>2</v>
      </c>
      <c r="H3051" s="2">
        <v>25</v>
      </c>
      <c r="I3051" s="2">
        <v>5</v>
      </c>
      <c r="J3051" s="2">
        <v>16</v>
      </c>
      <c r="K3051" s="11">
        <v>0.53409484651120054</v>
      </c>
      <c r="L3051" s="11">
        <v>0.13228314244906986</v>
      </c>
      <c r="M3051" s="4">
        <v>0.13228314244906986</v>
      </c>
      <c r="N3051" s="10">
        <v>0.13200000000000001</v>
      </c>
      <c r="O3051" s="4">
        <v>0.65971761893901115</v>
      </c>
      <c r="P3051" s="4">
        <v>0.66</v>
      </c>
      <c r="Q3051" s="3" t="s">
        <v>1597</v>
      </c>
      <c r="R3051" s="3" t="s">
        <v>1602</v>
      </c>
      <c r="S3051" s="3" t="s">
        <v>1603</v>
      </c>
      <c r="T3051" s="3"/>
    </row>
    <row r="3052" spans="1:20">
      <c r="A3052" s="12" t="s">
        <v>1605</v>
      </c>
      <c r="B3052" s="3" t="s">
        <v>1601</v>
      </c>
      <c r="C3052" s="3" t="s">
        <v>1596</v>
      </c>
      <c r="D3052" s="3" t="s">
        <v>521</v>
      </c>
      <c r="E3052" s="3" t="s">
        <v>522</v>
      </c>
      <c r="F3052" s="2">
        <v>1</v>
      </c>
      <c r="G3052" s="4">
        <v>2</v>
      </c>
      <c r="H3052" s="2">
        <v>25</v>
      </c>
      <c r="I3052" s="2">
        <v>5</v>
      </c>
      <c r="J3052" s="2">
        <v>16</v>
      </c>
      <c r="K3052" s="11">
        <v>0.96696358241390201</v>
      </c>
      <c r="L3052" s="11">
        <v>9.2524502180832441E-2</v>
      </c>
      <c r="M3052" s="4">
        <v>9.2524502180832441E-2</v>
      </c>
      <c r="N3052" s="10">
        <v>9.2999999999999999E-2</v>
      </c>
      <c r="O3052" s="4">
        <v>0.46004638891446525</v>
      </c>
      <c r="P3052" s="4">
        <v>0.46</v>
      </c>
      <c r="Q3052" s="3" t="s">
        <v>1597</v>
      </c>
      <c r="R3052" s="3" t="s">
        <v>1602</v>
      </c>
      <c r="S3052" s="3" t="s">
        <v>1603</v>
      </c>
      <c r="T3052" s="3"/>
    </row>
    <row r="3053" spans="1:20">
      <c r="A3053" s="3" t="s">
        <v>1604</v>
      </c>
      <c r="B3053" s="3" t="s">
        <v>1601</v>
      </c>
      <c r="C3053" s="3" t="s">
        <v>1596</v>
      </c>
      <c r="D3053" s="3" t="s">
        <v>721</v>
      </c>
      <c r="E3053" s="3" t="s">
        <v>722</v>
      </c>
      <c r="F3053" s="2">
        <v>1</v>
      </c>
      <c r="G3053" s="4">
        <v>2</v>
      </c>
      <c r="H3053" s="2">
        <v>25</v>
      </c>
      <c r="I3053" s="2">
        <v>30</v>
      </c>
      <c r="J3053" s="2">
        <v>16</v>
      </c>
      <c r="K3053" s="4">
        <v>0.51549496412382123</v>
      </c>
      <c r="L3053" s="4">
        <v>6.9864611705933791E-2</v>
      </c>
      <c r="M3053" s="4">
        <v>6.9864611705933791E-2</v>
      </c>
      <c r="N3053" s="10">
        <v>7.0000000000000007E-2</v>
      </c>
      <c r="O3053" s="4">
        <v>0.34694952887688907</v>
      </c>
      <c r="P3053" s="4">
        <v>0.35</v>
      </c>
      <c r="Q3053" s="3" t="s">
        <v>1597</v>
      </c>
      <c r="R3053" s="3" t="s">
        <v>1602</v>
      </c>
      <c r="S3053" s="3" t="s">
        <v>1603</v>
      </c>
      <c r="T3053" s="3"/>
    </row>
    <row r="3054" spans="1:20">
      <c r="A3054" s="3" t="s">
        <v>1600</v>
      </c>
      <c r="B3054" s="3" t="s">
        <v>1609</v>
      </c>
      <c r="C3054" s="3" t="s">
        <v>1596</v>
      </c>
      <c r="D3054" s="3" t="s">
        <v>538</v>
      </c>
      <c r="E3054" s="3" t="s">
        <v>539</v>
      </c>
      <c r="F3054" s="2">
        <v>1</v>
      </c>
      <c r="G3054" s="4">
        <v>2</v>
      </c>
      <c r="H3054" s="2">
        <v>25</v>
      </c>
      <c r="I3054" s="2">
        <v>5</v>
      </c>
      <c r="J3054" s="2">
        <v>1</v>
      </c>
      <c r="K3054" s="11">
        <v>0.8881284155136957</v>
      </c>
      <c r="L3054" s="11">
        <v>3.1246351998132225E-2</v>
      </c>
      <c r="M3054" s="4">
        <v>3.1246351998132225E-2</v>
      </c>
      <c r="N3054" s="10">
        <v>3.1E-2</v>
      </c>
      <c r="O3054" s="4">
        <v>0.15496787100744397</v>
      </c>
      <c r="P3054" s="4">
        <v>0.15</v>
      </c>
      <c r="Q3054" s="3" t="s">
        <v>1597</v>
      </c>
      <c r="R3054" s="3" t="s">
        <v>1610</v>
      </c>
      <c r="S3054" s="3" t="s">
        <v>1611</v>
      </c>
      <c r="T3054" s="3"/>
    </row>
    <row r="3055" spans="1:20">
      <c r="A3055" s="3" t="s">
        <v>1600</v>
      </c>
      <c r="B3055" s="3" t="s">
        <v>1609</v>
      </c>
      <c r="C3055" s="3" t="s">
        <v>1616</v>
      </c>
      <c r="D3055" s="3" t="s">
        <v>721</v>
      </c>
      <c r="E3055" s="3" t="s">
        <v>722</v>
      </c>
      <c r="F3055" s="2">
        <v>1</v>
      </c>
      <c r="G3055" s="4">
        <v>2</v>
      </c>
      <c r="H3055" s="2">
        <v>25</v>
      </c>
      <c r="I3055" s="2">
        <v>5</v>
      </c>
      <c r="J3055" s="2">
        <v>1</v>
      </c>
      <c r="K3055" s="4">
        <v>0.3017454646982225</v>
      </c>
      <c r="L3055" s="4">
        <v>1.5844484388522736E-3</v>
      </c>
      <c r="M3055" s="4">
        <v>1.5844484388522736E-3</v>
      </c>
      <c r="N3055" s="10">
        <v>2E-3</v>
      </c>
      <c r="O3055" s="4">
        <v>7.8556010834594549E-3</v>
      </c>
      <c r="P3055" s="4">
        <v>0.01</v>
      </c>
      <c r="Q3055" s="3" t="s">
        <v>1597</v>
      </c>
      <c r="R3055" s="3" t="s">
        <v>1610</v>
      </c>
      <c r="S3055" s="3" t="s">
        <v>1611</v>
      </c>
      <c r="T3055" s="3"/>
    </row>
    <row r="3056" spans="1:20">
      <c r="A3056" s="3" t="s">
        <v>1600</v>
      </c>
      <c r="B3056" s="3" t="s">
        <v>1601</v>
      </c>
      <c r="C3056" s="3" t="s">
        <v>1596</v>
      </c>
      <c r="D3056" s="3" t="s">
        <v>530</v>
      </c>
      <c r="E3056" s="3" t="s">
        <v>531</v>
      </c>
      <c r="F3056" s="2">
        <v>1</v>
      </c>
      <c r="G3056" s="4">
        <v>2</v>
      </c>
      <c r="H3056" s="2">
        <v>25</v>
      </c>
      <c r="I3056" s="2">
        <v>5</v>
      </c>
      <c r="J3056" s="2">
        <v>1</v>
      </c>
      <c r="K3056" s="4">
        <v>0</v>
      </c>
      <c r="L3056" s="4">
        <v>0</v>
      </c>
      <c r="M3056" s="4">
        <v>0</v>
      </c>
      <c r="N3056" s="10">
        <v>0</v>
      </c>
      <c r="O3056" s="4">
        <v>0</v>
      </c>
      <c r="P3056" s="4">
        <v>0</v>
      </c>
      <c r="Q3056" s="3" t="s">
        <v>1617</v>
      </c>
      <c r="R3056" s="3" t="s">
        <v>1618</v>
      </c>
      <c r="S3056" s="3" t="s">
        <v>1619</v>
      </c>
      <c r="T3056" s="3"/>
    </row>
    <row r="3057" spans="1:20">
      <c r="A3057" s="3" t="s">
        <v>1600</v>
      </c>
      <c r="B3057" s="3" t="s">
        <v>1609</v>
      </c>
      <c r="C3057" s="3" t="s">
        <v>1616</v>
      </c>
      <c r="D3057" s="3" t="s">
        <v>521</v>
      </c>
      <c r="E3057" s="3" t="s">
        <v>522</v>
      </c>
      <c r="F3057" s="2">
        <v>1</v>
      </c>
      <c r="G3057" s="4">
        <v>2</v>
      </c>
      <c r="H3057" s="2">
        <v>25</v>
      </c>
      <c r="I3057" s="2">
        <v>5</v>
      </c>
      <c r="J3057" s="2">
        <v>16</v>
      </c>
      <c r="K3057" s="11">
        <v>0.98967031122351534</v>
      </c>
      <c r="L3057" s="11">
        <v>-2.6181376478344965E-3</v>
      </c>
      <c r="M3057" s="4">
        <v>2.6181376478344965E-3</v>
      </c>
      <c r="N3057" s="10">
        <v>3.0000000000000001E-3</v>
      </c>
      <c r="O3057" s="4">
        <v>1.2980589472665911E-2</v>
      </c>
      <c r="P3057" s="4">
        <v>-0.01</v>
      </c>
      <c r="Q3057" s="3" t="s">
        <v>1617</v>
      </c>
      <c r="R3057" s="3" t="s">
        <v>1623</v>
      </c>
      <c r="S3057" s="3" t="s">
        <v>1624</v>
      </c>
      <c r="T3057" s="3"/>
    </row>
    <row r="3058" spans="1:20">
      <c r="A3058" s="3" t="s">
        <v>1600</v>
      </c>
      <c r="B3058" s="3" t="s">
        <v>1606</v>
      </c>
      <c r="C3058" s="3" t="s">
        <v>1596</v>
      </c>
      <c r="D3058" s="3" t="s">
        <v>721</v>
      </c>
      <c r="E3058" s="3" t="s">
        <v>722</v>
      </c>
      <c r="F3058" s="2">
        <v>1</v>
      </c>
      <c r="G3058" s="4">
        <v>2</v>
      </c>
      <c r="H3058" s="2">
        <v>25</v>
      </c>
      <c r="I3058" s="2">
        <v>5</v>
      </c>
      <c r="J3058" s="2">
        <v>1</v>
      </c>
      <c r="K3058" s="11">
        <v>8.6791059395735615E-2</v>
      </c>
      <c r="L3058" s="11">
        <v>-1.2353046488034852E-2</v>
      </c>
      <c r="M3058" s="4">
        <v>1.2353046488034852E-2</v>
      </c>
      <c r="N3058" s="10">
        <v>1.2E-2</v>
      </c>
      <c r="O3058" s="4">
        <v>6.1248733816199212E-2</v>
      </c>
      <c r="P3058" s="4">
        <v>-0.06</v>
      </c>
      <c r="Q3058" s="3" t="s">
        <v>1617</v>
      </c>
      <c r="R3058" s="3" t="s">
        <v>1621</v>
      </c>
      <c r="S3058" s="3" t="s">
        <v>1622</v>
      </c>
      <c r="T3058" s="3"/>
    </row>
    <row r="3059" spans="1:20">
      <c r="A3059" s="3" t="s">
        <v>1604</v>
      </c>
      <c r="B3059" s="3" t="s">
        <v>1601</v>
      </c>
      <c r="C3059" s="3" t="s">
        <v>1616</v>
      </c>
      <c r="D3059" s="3" t="s">
        <v>721</v>
      </c>
      <c r="E3059" s="3" t="s">
        <v>722</v>
      </c>
      <c r="F3059" s="2">
        <v>1</v>
      </c>
      <c r="G3059" s="4">
        <v>2</v>
      </c>
      <c r="H3059" s="2">
        <v>25</v>
      </c>
      <c r="I3059" s="2">
        <v>30</v>
      </c>
      <c r="J3059" s="2">
        <v>16</v>
      </c>
      <c r="K3059" s="4">
        <v>1</v>
      </c>
      <c r="L3059" s="4">
        <v>-2.1272950769731052E-2</v>
      </c>
      <c r="M3059" s="4">
        <v>2.1272950769731052E-2</v>
      </c>
      <c r="N3059" s="10">
        <v>2.1000000000000001E-2</v>
      </c>
      <c r="O3059" s="4">
        <v>0.10548584994749</v>
      </c>
      <c r="P3059" s="4">
        <v>-0.1</v>
      </c>
      <c r="Q3059" s="3" t="s">
        <v>1617</v>
      </c>
      <c r="R3059" s="3" t="s">
        <v>1618</v>
      </c>
      <c r="S3059" s="3" t="s">
        <v>1619</v>
      </c>
      <c r="T3059" s="3"/>
    </row>
    <row r="3060" spans="1:20">
      <c r="A3060" s="3" t="s">
        <v>1600</v>
      </c>
      <c r="B3060" s="3" t="s">
        <v>1609</v>
      </c>
      <c r="C3060" s="3" t="s">
        <v>1596</v>
      </c>
      <c r="D3060" s="3" t="s">
        <v>538</v>
      </c>
      <c r="E3060" s="3" t="s">
        <v>539</v>
      </c>
      <c r="F3060" s="2">
        <v>1</v>
      </c>
      <c r="G3060" s="4">
        <v>2</v>
      </c>
      <c r="H3060" s="2">
        <v>25</v>
      </c>
      <c r="I3060" s="2">
        <v>5</v>
      </c>
      <c r="J3060" s="2">
        <v>16</v>
      </c>
      <c r="K3060" s="4">
        <v>0.93279496649301319</v>
      </c>
      <c r="L3060" s="4">
        <v>-2.9062647411009109E-2</v>
      </c>
      <c r="M3060" s="4">
        <v>2.9062647411009109E-2</v>
      </c>
      <c r="N3060" s="10">
        <v>2.9000000000000001E-2</v>
      </c>
      <c r="O3060" s="4">
        <v>0.14413134474867342</v>
      </c>
      <c r="P3060" s="4">
        <v>-0.14000000000000001</v>
      </c>
      <c r="Q3060" s="3" t="s">
        <v>1617</v>
      </c>
      <c r="R3060" s="3" t="s">
        <v>1623</v>
      </c>
      <c r="S3060" s="3" t="s">
        <v>1624</v>
      </c>
      <c r="T3060" s="3"/>
    </row>
    <row r="3061" spans="1:20">
      <c r="A3061" s="3" t="s">
        <v>1594</v>
      </c>
      <c r="B3061" s="3" t="s">
        <v>1595</v>
      </c>
      <c r="C3061" s="3" t="s">
        <v>1596</v>
      </c>
      <c r="D3061" s="3" t="s">
        <v>530</v>
      </c>
      <c r="E3061" s="3" t="s">
        <v>531</v>
      </c>
      <c r="F3061" s="2">
        <v>1</v>
      </c>
      <c r="G3061" s="4">
        <v>2</v>
      </c>
      <c r="H3061" s="2">
        <v>50</v>
      </c>
      <c r="I3061" s="2">
        <v>5</v>
      </c>
      <c r="J3061" s="2">
        <v>16</v>
      </c>
      <c r="K3061" s="4">
        <v>0.75235824524363648</v>
      </c>
      <c r="L3061" s="14">
        <v>-7.1149695459642934E-2</v>
      </c>
      <c r="M3061" s="4">
        <v>7.1149695459642934E-2</v>
      </c>
      <c r="N3061" s="10">
        <v>7.0999999999999994E-2</v>
      </c>
      <c r="O3061" s="4">
        <v>0.38298149636338596</v>
      </c>
      <c r="P3061" s="4">
        <v>-0.38</v>
      </c>
      <c r="Q3061" s="3" t="s">
        <v>1617</v>
      </c>
      <c r="R3061" s="3" t="s">
        <v>1625</v>
      </c>
      <c r="S3061" s="3" t="s">
        <v>1626</v>
      </c>
      <c r="T3061" s="3"/>
    </row>
    <row r="3062" spans="1:20">
      <c r="A3062" s="3" t="s">
        <v>1594</v>
      </c>
      <c r="B3062" s="3" t="s">
        <v>1595</v>
      </c>
      <c r="C3062" s="3" t="s">
        <v>1596</v>
      </c>
      <c r="D3062" s="3" t="s">
        <v>721</v>
      </c>
      <c r="E3062" s="3" t="s">
        <v>722</v>
      </c>
      <c r="F3062" s="2">
        <v>1</v>
      </c>
      <c r="G3062" s="4">
        <v>2</v>
      </c>
      <c r="H3062" s="2">
        <v>50</v>
      </c>
      <c r="I3062" s="2">
        <v>5</v>
      </c>
      <c r="J3062" s="2">
        <v>16</v>
      </c>
      <c r="K3062" s="4">
        <v>1</v>
      </c>
      <c r="L3062" s="14">
        <v>-7.9037051173696096E-2</v>
      </c>
      <c r="M3062" s="4">
        <v>7.9037051173696096E-2</v>
      </c>
      <c r="N3062" s="10">
        <v>7.9000000000000001E-2</v>
      </c>
      <c r="O3062" s="4">
        <v>0.42560606145529917</v>
      </c>
      <c r="P3062" s="4">
        <v>-0.43</v>
      </c>
      <c r="Q3062" s="3" t="s">
        <v>1617</v>
      </c>
      <c r="R3062" s="3" t="s">
        <v>1625</v>
      </c>
      <c r="S3062" s="3" t="s">
        <v>1626</v>
      </c>
      <c r="T3062" s="3"/>
    </row>
    <row r="3063" spans="1:20">
      <c r="A3063" s="3" t="s">
        <v>1594</v>
      </c>
      <c r="B3063" s="3" t="s">
        <v>1612</v>
      </c>
      <c r="C3063" s="3" t="s">
        <v>1596</v>
      </c>
      <c r="D3063" s="3" t="s">
        <v>521</v>
      </c>
      <c r="E3063" s="3" t="s">
        <v>522</v>
      </c>
      <c r="F3063" s="2">
        <v>1</v>
      </c>
      <c r="G3063" s="4">
        <v>2</v>
      </c>
      <c r="H3063" s="2">
        <v>50</v>
      </c>
      <c r="I3063" s="2">
        <v>5</v>
      </c>
      <c r="J3063" s="2">
        <v>16</v>
      </c>
      <c r="K3063" s="4">
        <v>5.2358553596234855E-2</v>
      </c>
      <c r="L3063" s="14">
        <v>-9.9086384143438025E-2</v>
      </c>
      <c r="M3063" s="4">
        <v>9.9086384143438025E-2</v>
      </c>
      <c r="N3063" s="10">
        <v>9.9000000000000005E-2</v>
      </c>
      <c r="O3063" s="4">
        <v>0.53420958359042758</v>
      </c>
      <c r="P3063" s="4">
        <v>-0.53</v>
      </c>
      <c r="Q3063" s="3" t="s">
        <v>1617</v>
      </c>
      <c r="R3063" s="3" t="s">
        <v>1627</v>
      </c>
      <c r="S3063" s="3" t="s">
        <v>1628</v>
      </c>
      <c r="T3063" s="3"/>
    </row>
    <row r="3064" spans="1:20">
      <c r="A3064" s="3" t="s">
        <v>1600</v>
      </c>
      <c r="B3064" s="3" t="s">
        <v>1609</v>
      </c>
      <c r="C3064" s="3" t="s">
        <v>1596</v>
      </c>
      <c r="D3064" s="3" t="s">
        <v>721</v>
      </c>
      <c r="E3064" s="3" t="s">
        <v>722</v>
      </c>
      <c r="F3064" s="2">
        <v>1</v>
      </c>
      <c r="G3064" s="4">
        <v>2</v>
      </c>
      <c r="H3064" s="2">
        <v>25</v>
      </c>
      <c r="I3064" s="2">
        <v>5</v>
      </c>
      <c r="J3064" s="2">
        <v>16</v>
      </c>
      <c r="K3064" s="4">
        <v>0.50402391031166638</v>
      </c>
      <c r="L3064" s="4">
        <v>-0.12997065712370157</v>
      </c>
      <c r="M3064" s="4">
        <v>0.12997065712370157</v>
      </c>
      <c r="N3064" s="10">
        <v>0.13</v>
      </c>
      <c r="O3064" s="4">
        <v>0.6480518744340924</v>
      </c>
      <c r="P3064" s="4">
        <v>-0.65</v>
      </c>
      <c r="Q3064" s="3" t="s">
        <v>1617</v>
      </c>
      <c r="R3064" s="3" t="s">
        <v>1623</v>
      </c>
      <c r="S3064" s="3" t="s">
        <v>1624</v>
      </c>
      <c r="T3064" s="3"/>
    </row>
    <row r="3065" spans="1:20">
      <c r="A3065" s="3" t="s">
        <v>1600</v>
      </c>
      <c r="B3065" s="3" t="s">
        <v>1609</v>
      </c>
      <c r="C3065" s="3" t="s">
        <v>1596</v>
      </c>
      <c r="D3065" s="3" t="s">
        <v>721</v>
      </c>
      <c r="E3065" s="3" t="s">
        <v>722</v>
      </c>
      <c r="F3065" s="2">
        <v>1</v>
      </c>
      <c r="G3065" s="4">
        <v>2</v>
      </c>
      <c r="H3065" s="2">
        <v>25</v>
      </c>
      <c r="I3065" s="2">
        <v>5</v>
      </c>
      <c r="J3065" s="2">
        <v>1</v>
      </c>
      <c r="K3065" s="11">
        <v>0.24618542313235825</v>
      </c>
      <c r="L3065" s="11">
        <v>-0.13950877098615602</v>
      </c>
      <c r="M3065" s="4">
        <v>0.13950877098615602</v>
      </c>
      <c r="N3065" s="10">
        <v>0.14000000000000001</v>
      </c>
      <c r="O3065" s="4">
        <v>0.69621603832737955</v>
      </c>
      <c r="P3065" s="4">
        <v>-0.7</v>
      </c>
      <c r="Q3065" s="3" t="s">
        <v>1617</v>
      </c>
      <c r="R3065" s="3" t="s">
        <v>1623</v>
      </c>
      <c r="S3065" s="3" t="s">
        <v>1624</v>
      </c>
      <c r="T3065" s="3"/>
    </row>
    <row r="3066" spans="1:20">
      <c r="A3066" s="3" t="s">
        <v>1600</v>
      </c>
      <c r="B3066" s="3" t="s">
        <v>1606</v>
      </c>
      <c r="C3066" s="3" t="s">
        <v>1596</v>
      </c>
      <c r="D3066" s="3" t="s">
        <v>721</v>
      </c>
      <c r="E3066" s="3" t="s">
        <v>722</v>
      </c>
      <c r="F3066" s="2">
        <v>1</v>
      </c>
      <c r="G3066" s="4">
        <v>2</v>
      </c>
      <c r="H3066" s="2">
        <v>25</v>
      </c>
      <c r="I3066" s="2">
        <v>5</v>
      </c>
      <c r="J3066" s="2">
        <v>16</v>
      </c>
      <c r="K3066" s="11">
        <v>0.13663217107738246</v>
      </c>
      <c r="L3066" s="11">
        <v>-0.16982515303691215</v>
      </c>
      <c r="M3066" s="4">
        <v>0.16982515303691215</v>
      </c>
      <c r="N3066" s="10">
        <v>0.17</v>
      </c>
      <c r="O3066" s="4">
        <v>0.85021973984256827</v>
      </c>
      <c r="P3066" s="4">
        <v>-0.85</v>
      </c>
      <c r="Q3066" s="3" t="s">
        <v>1617</v>
      </c>
      <c r="R3066" s="3" t="s">
        <v>1621</v>
      </c>
      <c r="S3066" s="3" t="s">
        <v>1622</v>
      </c>
      <c r="T3066" s="3"/>
    </row>
    <row r="3067" spans="1:20">
      <c r="A3067" s="3" t="s">
        <v>1594</v>
      </c>
      <c r="B3067" s="3" t="s">
        <v>1612</v>
      </c>
      <c r="C3067" s="3" t="s">
        <v>1596</v>
      </c>
      <c r="D3067" s="3" t="s">
        <v>538</v>
      </c>
      <c r="E3067" s="3" t="s">
        <v>539</v>
      </c>
      <c r="F3067" s="2">
        <v>1</v>
      </c>
      <c r="G3067" s="4">
        <v>2</v>
      </c>
      <c r="H3067" s="2">
        <v>50</v>
      </c>
      <c r="I3067" s="2">
        <v>5</v>
      </c>
      <c r="J3067" s="2">
        <v>16</v>
      </c>
      <c r="K3067" s="4">
        <v>0.18253187710770591</v>
      </c>
      <c r="L3067" s="14">
        <v>-0.21107217087284161</v>
      </c>
      <c r="M3067" s="4">
        <v>0.21107217087284161</v>
      </c>
      <c r="N3067" s="10">
        <v>0.21099999999999999</v>
      </c>
      <c r="O3067" s="4">
        <v>1.1515393350294163</v>
      </c>
      <c r="P3067" s="4">
        <v>-1.1499999999999999</v>
      </c>
      <c r="Q3067" s="3" t="s">
        <v>1617</v>
      </c>
      <c r="R3067" s="3" t="s">
        <v>1627</v>
      </c>
      <c r="S3067" s="3" t="s">
        <v>1628</v>
      </c>
      <c r="T3067" s="3"/>
    </row>
    <row r="3068" spans="1:20">
      <c r="A3068" s="3" t="s">
        <v>1604</v>
      </c>
      <c r="B3068" s="3" t="s">
        <v>1601</v>
      </c>
      <c r="C3068" s="3" t="s">
        <v>1616</v>
      </c>
      <c r="D3068" s="3" t="s">
        <v>530</v>
      </c>
      <c r="E3068" s="3" t="s">
        <v>531</v>
      </c>
      <c r="F3068" s="2">
        <v>1</v>
      </c>
      <c r="G3068" s="4">
        <v>2</v>
      </c>
      <c r="H3068" s="2">
        <v>25</v>
      </c>
      <c r="I3068" s="2">
        <v>30</v>
      </c>
      <c r="J3068" s="2">
        <v>16</v>
      </c>
      <c r="K3068" s="4">
        <v>0.28592232427823616</v>
      </c>
      <c r="L3068" s="4">
        <v>-0.25869032771353734</v>
      </c>
      <c r="M3068" s="4">
        <v>0.25869032771353734</v>
      </c>
      <c r="N3068" s="10">
        <v>0.25900000000000001</v>
      </c>
      <c r="O3068" s="4">
        <v>1.3123870402533595</v>
      </c>
      <c r="P3068" s="4">
        <v>-1.31</v>
      </c>
      <c r="Q3068" s="3" t="s">
        <v>1617</v>
      </c>
      <c r="R3068" s="3" t="s">
        <v>1618</v>
      </c>
      <c r="S3068" s="3" t="s">
        <v>1619</v>
      </c>
      <c r="T3068" s="3"/>
    </row>
    <row r="3069" spans="1:20">
      <c r="A3069" s="3" t="s">
        <v>1594</v>
      </c>
      <c r="B3069" s="3" t="s">
        <v>1595</v>
      </c>
      <c r="C3069" s="3" t="s">
        <v>1596</v>
      </c>
      <c r="D3069" s="3" t="s">
        <v>521</v>
      </c>
      <c r="E3069" s="3" t="s">
        <v>522</v>
      </c>
      <c r="F3069" s="2">
        <v>1</v>
      </c>
      <c r="G3069" s="4">
        <v>2</v>
      </c>
      <c r="H3069" s="2">
        <v>50</v>
      </c>
      <c r="I3069" s="2">
        <v>5</v>
      </c>
      <c r="J3069" s="2">
        <v>16</v>
      </c>
      <c r="K3069" s="4">
        <v>0.2332507160878084</v>
      </c>
      <c r="L3069" s="14">
        <v>-0.30758057112646131</v>
      </c>
      <c r="M3069" s="4">
        <v>0.30758057112646131</v>
      </c>
      <c r="N3069" s="10">
        <v>0.308</v>
      </c>
      <c r="O3069" s="4">
        <v>1.7081309275633136</v>
      </c>
      <c r="P3069" s="4">
        <v>-1.71</v>
      </c>
      <c r="Q3069" s="3" t="s">
        <v>1617</v>
      </c>
      <c r="R3069" s="3" t="s">
        <v>1625</v>
      </c>
      <c r="S3069" s="3" t="s">
        <v>1626</v>
      </c>
      <c r="T3069" s="3"/>
    </row>
    <row r="3070" spans="1:20">
      <c r="A3070" s="3" t="s">
        <v>1600</v>
      </c>
      <c r="B3070" s="3" t="s">
        <v>1601</v>
      </c>
      <c r="C3070" s="3" t="s">
        <v>1616</v>
      </c>
      <c r="D3070" s="3" t="s">
        <v>530</v>
      </c>
      <c r="E3070" s="3" t="s">
        <v>531</v>
      </c>
      <c r="F3070" s="2">
        <v>1</v>
      </c>
      <c r="G3070" s="4">
        <v>2</v>
      </c>
      <c r="H3070" s="2">
        <v>25</v>
      </c>
      <c r="I3070" s="2">
        <v>5</v>
      </c>
      <c r="J3070" s="2">
        <v>16</v>
      </c>
      <c r="K3070" s="4">
        <v>0.11466462976338898</v>
      </c>
      <c r="L3070" s="4">
        <v>-0.3245160864107815</v>
      </c>
      <c r="M3070" s="4">
        <v>0.3245160864107815</v>
      </c>
      <c r="N3070" s="10">
        <v>0.32500000000000001</v>
      </c>
      <c r="O3070" s="4">
        <v>1.6692705117519331</v>
      </c>
      <c r="P3070" s="4">
        <v>-1.67</v>
      </c>
      <c r="Q3070" s="3" t="s">
        <v>1617</v>
      </c>
      <c r="R3070" s="3" t="s">
        <v>1618</v>
      </c>
      <c r="S3070" s="3" t="s">
        <v>1619</v>
      </c>
      <c r="T3070" s="3"/>
    </row>
    <row r="3071" spans="1:20">
      <c r="A3071" s="3" t="s">
        <v>1600</v>
      </c>
      <c r="B3071" s="3" t="s">
        <v>1609</v>
      </c>
      <c r="C3071" s="3" t="s">
        <v>1596</v>
      </c>
      <c r="D3071" s="3" t="s">
        <v>521</v>
      </c>
      <c r="E3071" s="3" t="s">
        <v>522</v>
      </c>
      <c r="F3071" s="2">
        <v>1</v>
      </c>
      <c r="G3071" s="4">
        <v>2</v>
      </c>
      <c r="H3071" s="2">
        <v>25</v>
      </c>
      <c r="I3071" s="2">
        <v>5</v>
      </c>
      <c r="J3071" s="2">
        <v>16</v>
      </c>
      <c r="K3071" s="4">
        <v>0.54873096155619339</v>
      </c>
      <c r="L3071" s="4">
        <v>-0.46968446123161672</v>
      </c>
      <c r="M3071" s="4">
        <v>0.46968446123161672</v>
      </c>
      <c r="N3071" s="10">
        <v>0.47</v>
      </c>
      <c r="O3071" s="4">
        <v>2.5268886599726228</v>
      </c>
      <c r="P3071" s="4">
        <v>-2.5299999999999998</v>
      </c>
      <c r="Q3071" s="3" t="s">
        <v>1617</v>
      </c>
      <c r="R3071" s="3" t="s">
        <v>1623</v>
      </c>
      <c r="S3071" s="3" t="s">
        <v>1624</v>
      </c>
      <c r="T3071" s="3"/>
    </row>
    <row r="3072" spans="1:20">
      <c r="A3072" s="3" t="s">
        <v>1600</v>
      </c>
      <c r="B3072" s="3" t="s">
        <v>1609</v>
      </c>
      <c r="C3072" s="3" t="s">
        <v>1596</v>
      </c>
      <c r="D3072" s="3" t="s">
        <v>521</v>
      </c>
      <c r="E3072" s="3" t="s">
        <v>522</v>
      </c>
      <c r="F3072" s="2">
        <v>1</v>
      </c>
      <c r="G3072" s="4">
        <v>2</v>
      </c>
      <c r="H3072" s="2">
        <v>25</v>
      </c>
      <c r="I3072" s="2">
        <v>5</v>
      </c>
      <c r="J3072" s="2">
        <v>1</v>
      </c>
      <c r="K3072" s="11">
        <v>0.43448362225848669</v>
      </c>
      <c r="L3072" s="11">
        <v>-0.47856761876735759</v>
      </c>
      <c r="M3072" s="4">
        <v>0.47856761876735759</v>
      </c>
      <c r="N3072" s="10">
        <v>0.47899999999999998</v>
      </c>
      <c r="O3072" s="4">
        <v>2.5837032640311768</v>
      </c>
      <c r="P3072" s="4">
        <v>-2.59</v>
      </c>
      <c r="Q3072" s="3" t="s">
        <v>1617</v>
      </c>
      <c r="R3072" s="3" t="s">
        <v>1623</v>
      </c>
      <c r="S3072" s="3" t="s">
        <v>1624</v>
      </c>
      <c r="T3072" s="3"/>
    </row>
    <row r="3073" spans="1:20">
      <c r="A3073" s="3" t="s">
        <v>1600</v>
      </c>
      <c r="B3073" s="3" t="s">
        <v>1601</v>
      </c>
      <c r="C3073" s="3" t="s">
        <v>1616</v>
      </c>
      <c r="D3073" s="3" t="s">
        <v>530</v>
      </c>
      <c r="E3073" s="3" t="s">
        <v>531</v>
      </c>
      <c r="F3073" s="2">
        <v>1</v>
      </c>
      <c r="G3073" s="4">
        <v>2</v>
      </c>
      <c r="H3073" s="2">
        <v>25</v>
      </c>
      <c r="I3073" s="2">
        <v>5</v>
      </c>
      <c r="J3073" s="2">
        <v>1</v>
      </c>
      <c r="K3073" s="4">
        <v>4.6217965514542492E-2</v>
      </c>
      <c r="L3073" s="4">
        <v>-0.53037916857012335</v>
      </c>
      <c r="M3073" s="4">
        <v>0.53037916857012335</v>
      </c>
      <c r="N3073" s="10">
        <v>0.53</v>
      </c>
      <c r="O3073" s="4">
        <v>2.9285171019448049</v>
      </c>
      <c r="P3073" s="4">
        <v>-2.93</v>
      </c>
      <c r="Q3073" s="3" t="s">
        <v>1617</v>
      </c>
      <c r="R3073" s="3" t="s">
        <v>1618</v>
      </c>
      <c r="S3073" s="3" t="s">
        <v>1619</v>
      </c>
      <c r="T3073" s="3"/>
    </row>
    <row r="3074" spans="1:20">
      <c r="A3074" s="3" t="s">
        <v>1600</v>
      </c>
      <c r="B3074" s="3" t="s">
        <v>1606</v>
      </c>
      <c r="C3074" s="3" t="s">
        <v>1596</v>
      </c>
      <c r="D3074" s="3" t="s">
        <v>1227</v>
      </c>
      <c r="E3074" s="3" t="s">
        <v>1228</v>
      </c>
      <c r="F3074" s="2">
        <v>1</v>
      </c>
      <c r="G3074" s="4">
        <v>2.0008109337605569</v>
      </c>
      <c r="H3074" s="2">
        <v>25</v>
      </c>
      <c r="I3074" s="2">
        <v>5</v>
      </c>
      <c r="J3074" s="2">
        <v>16</v>
      </c>
      <c r="K3074" s="4">
        <v>0.20364174026133175</v>
      </c>
      <c r="L3074" s="4">
        <v>1</v>
      </c>
      <c r="M3074" s="4">
        <v>1</v>
      </c>
      <c r="N3074" s="10">
        <v>0.995</v>
      </c>
      <c r="O3074" s="4">
        <v>14.85</v>
      </c>
      <c r="P3074" s="4">
        <v>14.85</v>
      </c>
      <c r="Q3074" s="3" t="s">
        <v>1597</v>
      </c>
      <c r="R3074" s="3" t="s">
        <v>1607</v>
      </c>
      <c r="S3074" s="3" t="s">
        <v>1608</v>
      </c>
      <c r="T3074" s="3"/>
    </row>
    <row r="3075" spans="1:20">
      <c r="A3075" s="3" t="s">
        <v>1604</v>
      </c>
      <c r="B3075" s="3" t="s">
        <v>1601</v>
      </c>
      <c r="C3075" s="3" t="s">
        <v>1616</v>
      </c>
      <c r="D3075" s="3" t="s">
        <v>1227</v>
      </c>
      <c r="E3075" s="3" t="s">
        <v>1228</v>
      </c>
      <c r="F3075" s="2">
        <v>1</v>
      </c>
      <c r="G3075" s="4">
        <v>2.0008109337605569</v>
      </c>
      <c r="H3075" s="2">
        <v>25</v>
      </c>
      <c r="I3075" s="2">
        <v>30</v>
      </c>
      <c r="J3075" s="2">
        <v>16</v>
      </c>
      <c r="K3075" s="4">
        <v>6.8666623254822756E-3</v>
      </c>
      <c r="L3075" s="4">
        <v>0.45644371941272432</v>
      </c>
      <c r="M3075" s="4">
        <v>0.45644371941272432</v>
      </c>
      <c r="N3075" s="10">
        <v>0.45600000000000002</v>
      </c>
      <c r="O3075" s="4">
        <v>2.4433198226815169</v>
      </c>
      <c r="P3075" s="4">
        <v>2.44</v>
      </c>
      <c r="Q3075" s="3" t="s">
        <v>1597</v>
      </c>
      <c r="R3075" s="3" t="s">
        <v>1602</v>
      </c>
      <c r="S3075" s="3" t="s">
        <v>1603</v>
      </c>
      <c r="T3075" s="3"/>
    </row>
    <row r="3076" spans="1:20">
      <c r="A3076" s="3" t="s">
        <v>1604</v>
      </c>
      <c r="B3076" s="3" t="s">
        <v>1601</v>
      </c>
      <c r="C3076" s="3" t="s">
        <v>1596</v>
      </c>
      <c r="D3076" s="3" t="s">
        <v>1227</v>
      </c>
      <c r="E3076" s="3" t="s">
        <v>1228</v>
      </c>
      <c r="F3076" s="2">
        <v>1</v>
      </c>
      <c r="G3076" s="4">
        <v>2.0008109337605569</v>
      </c>
      <c r="H3076" s="2">
        <v>25</v>
      </c>
      <c r="I3076" s="2">
        <v>30</v>
      </c>
      <c r="J3076" s="2">
        <v>16</v>
      </c>
      <c r="K3076" s="4">
        <v>0.2976229567323001</v>
      </c>
      <c r="L3076" s="4">
        <v>0.4471866226979207</v>
      </c>
      <c r="M3076" s="4">
        <v>0.4471866226979207</v>
      </c>
      <c r="N3076" s="10">
        <v>0.44700000000000001</v>
      </c>
      <c r="O3076" s="4">
        <v>2.3856504402386531</v>
      </c>
      <c r="P3076" s="4">
        <v>2.38</v>
      </c>
      <c r="Q3076" s="3" t="s">
        <v>1597</v>
      </c>
      <c r="R3076" s="3" t="s">
        <v>1602</v>
      </c>
      <c r="S3076" s="3" t="s">
        <v>1603</v>
      </c>
      <c r="T3076" s="3"/>
    </row>
    <row r="3077" spans="1:20">
      <c r="A3077" s="3" t="s">
        <v>1600</v>
      </c>
      <c r="B3077" s="3" t="s">
        <v>1609</v>
      </c>
      <c r="C3077" s="3" t="s">
        <v>1596</v>
      </c>
      <c r="D3077" s="3" t="s">
        <v>1227</v>
      </c>
      <c r="E3077" s="3" t="s">
        <v>1228</v>
      </c>
      <c r="F3077" s="2">
        <v>1</v>
      </c>
      <c r="G3077" s="4">
        <v>2.0008109337605569</v>
      </c>
      <c r="H3077" s="2">
        <v>25</v>
      </c>
      <c r="I3077" s="2">
        <v>5</v>
      </c>
      <c r="J3077" s="2">
        <v>16</v>
      </c>
      <c r="K3077" s="4">
        <v>0.60605503189870502</v>
      </c>
      <c r="L3077" s="4">
        <v>0.42092159183696887</v>
      </c>
      <c r="M3077" s="4">
        <v>0.42092159183696887</v>
      </c>
      <c r="N3077" s="10">
        <v>0.42099999999999999</v>
      </c>
      <c r="O3077" s="4">
        <v>2.2251789989880937</v>
      </c>
      <c r="P3077" s="4">
        <v>2.23</v>
      </c>
      <c r="Q3077" s="3" t="s">
        <v>1597</v>
      </c>
      <c r="R3077" s="3" t="s">
        <v>1610</v>
      </c>
      <c r="S3077" s="3" t="s">
        <v>1611</v>
      </c>
      <c r="T3077" s="3"/>
    </row>
    <row r="3078" spans="1:20">
      <c r="A3078" s="3" t="s">
        <v>1600</v>
      </c>
      <c r="B3078" s="3" t="s">
        <v>1601</v>
      </c>
      <c r="C3078" s="3" t="s">
        <v>1596</v>
      </c>
      <c r="D3078" s="3" t="s">
        <v>1227</v>
      </c>
      <c r="E3078" s="3" t="s">
        <v>1228</v>
      </c>
      <c r="F3078" s="2">
        <v>1</v>
      </c>
      <c r="G3078" s="4">
        <v>2.0008109337605569</v>
      </c>
      <c r="H3078" s="2">
        <v>25</v>
      </c>
      <c r="I3078" s="2">
        <v>5</v>
      </c>
      <c r="J3078" s="2">
        <v>16</v>
      </c>
      <c r="K3078" s="4">
        <v>4.3147322829502621E-2</v>
      </c>
      <c r="L3078" s="4">
        <v>0.27544627820815087</v>
      </c>
      <c r="M3078" s="4">
        <v>0.27544627820815087</v>
      </c>
      <c r="N3078" s="10">
        <v>0.27500000000000002</v>
      </c>
      <c r="O3078" s="4">
        <v>1.4018453706603176</v>
      </c>
      <c r="P3078" s="4">
        <v>1.4</v>
      </c>
      <c r="Q3078" s="3" t="s">
        <v>1597</v>
      </c>
      <c r="R3078" s="3" t="s">
        <v>1602</v>
      </c>
      <c r="S3078" s="3" t="s">
        <v>1603</v>
      </c>
      <c r="T3078" s="3"/>
    </row>
    <row r="3079" spans="1:20">
      <c r="A3079" s="3" t="s">
        <v>1594</v>
      </c>
      <c r="B3079" s="3" t="s">
        <v>1595</v>
      </c>
      <c r="C3079" s="3" t="s">
        <v>1596</v>
      </c>
      <c r="D3079" s="3" t="s">
        <v>1227</v>
      </c>
      <c r="E3079" s="3" t="s">
        <v>1228</v>
      </c>
      <c r="F3079" s="2">
        <v>1</v>
      </c>
      <c r="G3079" s="4">
        <v>2.0008109337605569</v>
      </c>
      <c r="H3079" s="2">
        <v>50</v>
      </c>
      <c r="I3079" s="2">
        <v>5</v>
      </c>
      <c r="J3079" s="2">
        <v>16</v>
      </c>
      <c r="K3079" s="4">
        <v>3.0137198739864646E-2</v>
      </c>
      <c r="L3079" s="4">
        <v>0.17907328312291063</v>
      </c>
      <c r="M3079" s="4">
        <v>0.17907328312291063</v>
      </c>
      <c r="N3079" s="10">
        <v>0.17899999999999999</v>
      </c>
      <c r="O3079" s="4">
        <v>0.97276761270181855</v>
      </c>
      <c r="P3079" s="4">
        <v>0.97</v>
      </c>
      <c r="Q3079" s="3" t="s">
        <v>1597</v>
      </c>
      <c r="R3079" s="3" t="s">
        <v>1598</v>
      </c>
      <c r="S3079" s="3" t="s">
        <v>1599</v>
      </c>
      <c r="T3079" s="3"/>
    </row>
    <row r="3080" spans="1:20">
      <c r="A3080" s="3" t="s">
        <v>1605</v>
      </c>
      <c r="B3080" s="3" t="s">
        <v>1601</v>
      </c>
      <c r="C3080" s="3" t="s">
        <v>1596</v>
      </c>
      <c r="D3080" s="3" t="s">
        <v>1227</v>
      </c>
      <c r="E3080" s="3" t="s">
        <v>1228</v>
      </c>
      <c r="F3080" s="2">
        <v>1</v>
      </c>
      <c r="G3080" s="4">
        <v>2.0008109337605569</v>
      </c>
      <c r="H3080" s="2">
        <v>25</v>
      </c>
      <c r="I3080" s="2">
        <v>5</v>
      </c>
      <c r="J3080" s="2">
        <v>16</v>
      </c>
      <c r="K3080" s="4">
        <v>5.91029458686122E-2</v>
      </c>
      <c r="L3080" s="4">
        <v>0.16256377782483844</v>
      </c>
      <c r="M3080" s="4">
        <v>0.16256377782483844</v>
      </c>
      <c r="N3080" s="10">
        <v>0.16300000000000001</v>
      </c>
      <c r="O3080" s="4">
        <v>0.81319549056724016</v>
      </c>
      <c r="P3080" s="4">
        <v>0.82</v>
      </c>
      <c r="Q3080" s="3" t="s">
        <v>1597</v>
      </c>
      <c r="R3080" s="3" t="s">
        <v>1602</v>
      </c>
      <c r="S3080" s="3" t="s">
        <v>1603</v>
      </c>
      <c r="T3080" s="3"/>
    </row>
    <row r="3081" spans="1:20">
      <c r="A3081" s="3" t="s">
        <v>1594</v>
      </c>
      <c r="B3081" s="3" t="s">
        <v>1612</v>
      </c>
      <c r="C3081" s="3" t="s">
        <v>1596</v>
      </c>
      <c r="D3081" s="3" t="s">
        <v>1227</v>
      </c>
      <c r="E3081" s="3" t="s">
        <v>1228</v>
      </c>
      <c r="F3081" s="2">
        <v>1</v>
      </c>
      <c r="G3081" s="4">
        <v>2.0008109337605569</v>
      </c>
      <c r="H3081" s="2">
        <v>50</v>
      </c>
      <c r="I3081" s="2">
        <v>5</v>
      </c>
      <c r="J3081" s="2">
        <v>16</v>
      </c>
      <c r="K3081" s="4">
        <v>0.10765737540260778</v>
      </c>
      <c r="L3081" s="4">
        <v>0.13205096988880774</v>
      </c>
      <c r="M3081" s="4">
        <v>0.13205096988880774</v>
      </c>
      <c r="N3081" s="10">
        <v>0.13200000000000001</v>
      </c>
      <c r="O3081" s="4">
        <v>0.71376541463108967</v>
      </c>
      <c r="P3081" s="4">
        <v>0.71</v>
      </c>
      <c r="Q3081" s="3" t="s">
        <v>1597</v>
      </c>
      <c r="R3081" s="3" t="s">
        <v>1613</v>
      </c>
      <c r="S3081" s="3" t="s">
        <v>1614</v>
      </c>
      <c r="T3081" s="3"/>
    </row>
    <row r="3082" spans="1:20">
      <c r="A3082" s="3" t="s">
        <v>1600</v>
      </c>
      <c r="B3082" s="3" t="s">
        <v>1609</v>
      </c>
      <c r="C3082" s="3" t="s">
        <v>1616</v>
      </c>
      <c r="D3082" s="3" t="s">
        <v>1227</v>
      </c>
      <c r="E3082" s="3" t="s">
        <v>1228</v>
      </c>
      <c r="F3082" s="2">
        <v>1</v>
      </c>
      <c r="G3082" s="4">
        <v>2.0008109337605569</v>
      </c>
      <c r="H3082" s="2">
        <v>25</v>
      </c>
      <c r="I3082" s="2">
        <v>5</v>
      </c>
      <c r="J3082" s="2">
        <v>16</v>
      </c>
      <c r="K3082" s="4">
        <v>5.4084620070243616E-2</v>
      </c>
      <c r="L3082" s="4">
        <v>0.12435377038737026</v>
      </c>
      <c r="M3082" s="4">
        <v>0.12435377038737026</v>
      </c>
      <c r="N3082" s="10">
        <v>0.124</v>
      </c>
      <c r="O3082" s="4">
        <v>0.61974591435216642</v>
      </c>
      <c r="P3082" s="4">
        <v>0.62</v>
      </c>
      <c r="Q3082" s="3" t="s">
        <v>1597</v>
      </c>
      <c r="R3082" s="3" t="s">
        <v>1610</v>
      </c>
      <c r="S3082" s="3" t="s">
        <v>1611</v>
      </c>
      <c r="T3082" s="3"/>
    </row>
    <row r="3083" spans="1:20">
      <c r="A3083" s="3" t="s">
        <v>1600</v>
      </c>
      <c r="B3083" s="3" t="s">
        <v>1609</v>
      </c>
      <c r="C3083" s="3" t="s">
        <v>1596</v>
      </c>
      <c r="D3083" s="3" t="s">
        <v>1227</v>
      </c>
      <c r="E3083" s="3" t="s">
        <v>1228</v>
      </c>
      <c r="F3083" s="2">
        <v>1</v>
      </c>
      <c r="G3083" s="4">
        <v>2.0008109337605569</v>
      </c>
      <c r="H3083" s="2">
        <v>25</v>
      </c>
      <c r="I3083" s="2">
        <v>5</v>
      </c>
      <c r="J3083" s="2">
        <v>1</v>
      </c>
      <c r="K3083" s="4">
        <v>3.0753358142349363E-2</v>
      </c>
      <c r="L3083" s="4">
        <v>0.10547095318668923</v>
      </c>
      <c r="M3083" s="4">
        <v>0.10547095318668923</v>
      </c>
      <c r="N3083" s="10">
        <v>0.105</v>
      </c>
      <c r="O3083" s="4">
        <v>0.52487032043723425</v>
      </c>
      <c r="P3083" s="4">
        <v>0.52</v>
      </c>
      <c r="Q3083" s="3" t="s">
        <v>1597</v>
      </c>
      <c r="R3083" s="3" t="s">
        <v>1610</v>
      </c>
      <c r="S3083" s="3" t="s">
        <v>1611</v>
      </c>
      <c r="T3083" s="3"/>
    </row>
    <row r="3084" spans="1:20">
      <c r="A3084" s="3" t="s">
        <v>1600</v>
      </c>
      <c r="B3084" s="3" t="s">
        <v>1601</v>
      </c>
      <c r="C3084" s="3" t="s">
        <v>1616</v>
      </c>
      <c r="D3084" s="3" t="s">
        <v>1227</v>
      </c>
      <c r="E3084" s="3" t="s">
        <v>1228</v>
      </c>
      <c r="F3084" s="2">
        <v>1</v>
      </c>
      <c r="G3084" s="4">
        <v>2.0008109337605569</v>
      </c>
      <c r="H3084" s="2">
        <v>25</v>
      </c>
      <c r="I3084" s="2">
        <v>5</v>
      </c>
      <c r="J3084" s="2">
        <v>1</v>
      </c>
      <c r="K3084" s="4">
        <v>0</v>
      </c>
      <c r="L3084" s="4">
        <v>0</v>
      </c>
      <c r="M3084" s="4">
        <v>0</v>
      </c>
      <c r="N3084" s="10">
        <v>0</v>
      </c>
      <c r="O3084" s="4">
        <v>0</v>
      </c>
      <c r="P3084" s="4">
        <v>0</v>
      </c>
      <c r="Q3084" s="3" t="s">
        <v>1617</v>
      </c>
      <c r="R3084" s="3" t="s">
        <v>1618</v>
      </c>
      <c r="S3084" s="3" t="s">
        <v>1619</v>
      </c>
      <c r="T3084" s="3"/>
    </row>
    <row r="3085" spans="1:20">
      <c r="A3085" s="3" t="s">
        <v>1600</v>
      </c>
      <c r="B3085" s="3" t="s">
        <v>1601</v>
      </c>
      <c r="C3085" s="3" t="s">
        <v>1616</v>
      </c>
      <c r="D3085" s="3" t="s">
        <v>1227</v>
      </c>
      <c r="E3085" s="3" t="s">
        <v>1228</v>
      </c>
      <c r="F3085" s="2">
        <v>1</v>
      </c>
      <c r="G3085" s="4">
        <v>2.0008109337605569</v>
      </c>
      <c r="H3085" s="2">
        <v>25</v>
      </c>
      <c r="I3085" s="2">
        <v>5</v>
      </c>
      <c r="J3085" s="2">
        <v>16</v>
      </c>
      <c r="K3085" s="4">
        <v>0</v>
      </c>
      <c r="L3085" s="4">
        <v>0</v>
      </c>
      <c r="M3085" s="4">
        <v>0</v>
      </c>
      <c r="N3085" s="10">
        <v>0</v>
      </c>
      <c r="O3085" s="4">
        <v>0</v>
      </c>
      <c r="P3085" s="4">
        <v>0</v>
      </c>
      <c r="Q3085" s="3" t="s">
        <v>1617</v>
      </c>
      <c r="R3085" s="3" t="s">
        <v>1618</v>
      </c>
      <c r="S3085" s="3" t="s">
        <v>1619</v>
      </c>
      <c r="T3085" s="3"/>
    </row>
    <row r="3086" spans="1:20">
      <c r="A3086" s="3" t="s">
        <v>1600</v>
      </c>
      <c r="B3086" s="3" t="s">
        <v>1601</v>
      </c>
      <c r="C3086" s="3" t="s">
        <v>1596</v>
      </c>
      <c r="D3086" s="3" t="s">
        <v>1227</v>
      </c>
      <c r="E3086" s="3" t="s">
        <v>1228</v>
      </c>
      <c r="F3086" s="2">
        <v>1</v>
      </c>
      <c r="G3086" s="4">
        <v>2.0008109337605569</v>
      </c>
      <c r="H3086" s="2">
        <v>25</v>
      </c>
      <c r="I3086" s="2">
        <v>5</v>
      </c>
      <c r="J3086" s="2">
        <v>1</v>
      </c>
      <c r="K3086" s="4">
        <v>0</v>
      </c>
      <c r="L3086" s="4">
        <v>0</v>
      </c>
      <c r="M3086" s="4">
        <v>0</v>
      </c>
      <c r="N3086" s="10">
        <v>0</v>
      </c>
      <c r="O3086" s="4">
        <v>0</v>
      </c>
      <c r="P3086" s="4">
        <v>0</v>
      </c>
      <c r="Q3086" s="3" t="s">
        <v>1617</v>
      </c>
      <c r="R3086" s="3" t="s">
        <v>1618</v>
      </c>
      <c r="S3086" s="3" t="s">
        <v>1619</v>
      </c>
      <c r="T3086" s="3"/>
    </row>
    <row r="3087" spans="1:20">
      <c r="A3087" s="3" t="s">
        <v>1600</v>
      </c>
      <c r="B3087" s="3" t="s">
        <v>1606</v>
      </c>
      <c r="C3087" s="3" t="s">
        <v>1596</v>
      </c>
      <c r="D3087" s="3" t="s">
        <v>1227</v>
      </c>
      <c r="E3087" s="3" t="s">
        <v>1228</v>
      </c>
      <c r="F3087" s="2">
        <v>1</v>
      </c>
      <c r="G3087" s="4">
        <v>2.0008109337605569</v>
      </c>
      <c r="H3087" s="2">
        <v>25</v>
      </c>
      <c r="I3087" s="2">
        <v>5</v>
      </c>
      <c r="J3087" s="2">
        <v>1</v>
      </c>
      <c r="K3087" s="4">
        <v>0</v>
      </c>
      <c r="L3087" s="4">
        <v>0</v>
      </c>
      <c r="M3087" s="4">
        <v>0</v>
      </c>
      <c r="N3087" s="10">
        <v>0</v>
      </c>
      <c r="O3087" s="4">
        <v>0</v>
      </c>
      <c r="P3087" s="4">
        <v>0</v>
      </c>
      <c r="Q3087" s="3" t="s">
        <v>1617</v>
      </c>
      <c r="R3087" s="3" t="s">
        <v>1621</v>
      </c>
      <c r="S3087" s="3" t="s">
        <v>1622</v>
      </c>
      <c r="T3087" s="3"/>
    </row>
    <row r="3088" spans="1:20">
      <c r="A3088" s="3" t="s">
        <v>1594</v>
      </c>
      <c r="B3088" s="3" t="s">
        <v>1595</v>
      </c>
      <c r="C3088" s="3" t="s">
        <v>1596</v>
      </c>
      <c r="D3088" s="3" t="s">
        <v>1227</v>
      </c>
      <c r="E3088" s="3" t="s">
        <v>1228</v>
      </c>
      <c r="F3088" s="2">
        <v>1</v>
      </c>
      <c r="G3088" s="4">
        <v>2.0008109337605569</v>
      </c>
      <c r="H3088" s="2">
        <v>25</v>
      </c>
      <c r="I3088" s="2">
        <v>5</v>
      </c>
      <c r="J3088" s="2">
        <v>16</v>
      </c>
      <c r="K3088" s="4">
        <v>0</v>
      </c>
      <c r="L3088" s="4">
        <v>0</v>
      </c>
      <c r="M3088" s="4">
        <v>0</v>
      </c>
      <c r="N3088" s="10">
        <v>0</v>
      </c>
      <c r="O3088" s="4">
        <v>0</v>
      </c>
      <c r="P3088" s="4">
        <v>0</v>
      </c>
      <c r="Q3088" s="3" t="s">
        <v>1617</v>
      </c>
      <c r="R3088" s="3" t="s">
        <v>1625</v>
      </c>
      <c r="S3088" s="3" t="s">
        <v>1626</v>
      </c>
      <c r="T3088" s="3"/>
    </row>
    <row r="3089" spans="1:20">
      <c r="A3089" s="3" t="s">
        <v>1600</v>
      </c>
      <c r="B3089" s="3" t="s">
        <v>1606</v>
      </c>
      <c r="C3089" s="3" t="s">
        <v>1616</v>
      </c>
      <c r="D3089" s="3" t="s">
        <v>1227</v>
      </c>
      <c r="E3089" s="3" t="s">
        <v>1228</v>
      </c>
      <c r="F3089" s="2">
        <v>1</v>
      </c>
      <c r="G3089" s="4">
        <v>2.0008109337605569</v>
      </c>
      <c r="H3089" s="2">
        <v>25</v>
      </c>
      <c r="I3089" s="2">
        <v>5</v>
      </c>
      <c r="J3089" s="2">
        <v>1</v>
      </c>
      <c r="K3089" s="4">
        <v>0</v>
      </c>
      <c r="L3089" s="4">
        <v>0</v>
      </c>
      <c r="M3089" s="4">
        <v>0</v>
      </c>
      <c r="N3089" s="10">
        <v>0</v>
      </c>
      <c r="O3089" s="4">
        <v>0</v>
      </c>
      <c r="P3089" s="4">
        <v>0</v>
      </c>
      <c r="Q3089" s="3" t="s">
        <v>1617</v>
      </c>
      <c r="R3089" s="3" t="s">
        <v>1621</v>
      </c>
      <c r="S3089" s="3" t="s">
        <v>1622</v>
      </c>
      <c r="T3089" s="3"/>
    </row>
    <row r="3090" spans="1:20">
      <c r="A3090" s="3" t="s">
        <v>1600</v>
      </c>
      <c r="B3090" s="3" t="s">
        <v>1606</v>
      </c>
      <c r="C3090" s="3" t="s">
        <v>1616</v>
      </c>
      <c r="D3090" s="3" t="s">
        <v>1227</v>
      </c>
      <c r="E3090" s="3" t="s">
        <v>1228</v>
      </c>
      <c r="F3090" s="2">
        <v>1</v>
      </c>
      <c r="G3090" s="4">
        <v>2.0008109337605569</v>
      </c>
      <c r="H3090" s="2">
        <v>25</v>
      </c>
      <c r="I3090" s="2">
        <v>5</v>
      </c>
      <c r="J3090" s="2">
        <v>16</v>
      </c>
      <c r="K3090" s="4">
        <v>0</v>
      </c>
      <c r="L3090" s="4">
        <v>0</v>
      </c>
      <c r="M3090" s="4">
        <v>0</v>
      </c>
      <c r="N3090" s="10">
        <v>0</v>
      </c>
      <c r="O3090" s="4">
        <v>0</v>
      </c>
      <c r="P3090" s="4">
        <v>0</v>
      </c>
      <c r="Q3090" s="3" t="s">
        <v>1617</v>
      </c>
      <c r="R3090" s="3" t="s">
        <v>1621</v>
      </c>
      <c r="S3090" s="3" t="s">
        <v>1622</v>
      </c>
      <c r="T3090" s="3"/>
    </row>
    <row r="3091" spans="1:20">
      <c r="A3091" s="3" t="s">
        <v>1600</v>
      </c>
      <c r="B3091" s="3" t="s">
        <v>1609</v>
      </c>
      <c r="C3091" s="3" t="s">
        <v>1616</v>
      </c>
      <c r="D3091" s="3" t="s">
        <v>1227</v>
      </c>
      <c r="E3091" s="3" t="s">
        <v>1228</v>
      </c>
      <c r="F3091" s="2">
        <v>1</v>
      </c>
      <c r="G3091" s="4">
        <v>2.0008109337605569</v>
      </c>
      <c r="H3091" s="2">
        <v>25</v>
      </c>
      <c r="I3091" s="2">
        <v>5</v>
      </c>
      <c r="J3091" s="2">
        <v>1</v>
      </c>
      <c r="K3091" s="4">
        <v>2.4798982957333182E-2</v>
      </c>
      <c r="L3091" s="4">
        <v>-6.0579486155368963E-2</v>
      </c>
      <c r="M3091" s="4">
        <v>6.0579486155368963E-2</v>
      </c>
      <c r="N3091" s="10">
        <v>6.0999999999999999E-2</v>
      </c>
      <c r="O3091" s="4">
        <v>0.3007174622523392</v>
      </c>
      <c r="P3091" s="4">
        <v>-0.3</v>
      </c>
      <c r="Q3091" s="3" t="s">
        <v>1617</v>
      </c>
      <c r="R3091" s="3" t="s">
        <v>1623</v>
      </c>
      <c r="S3091" s="3" t="s">
        <v>1624</v>
      </c>
      <c r="T3091" s="3"/>
    </row>
    <row r="3092" spans="1:20">
      <c r="A3092" s="3" t="s">
        <v>1594</v>
      </c>
      <c r="B3092" s="3" t="s">
        <v>1612</v>
      </c>
      <c r="C3092" s="3" t="s">
        <v>1596</v>
      </c>
      <c r="D3092" s="3" t="s">
        <v>891</v>
      </c>
      <c r="E3092" s="3" t="s">
        <v>892</v>
      </c>
      <c r="F3092" s="2">
        <v>1</v>
      </c>
      <c r="G3092" s="4">
        <v>2.0184772929652715</v>
      </c>
      <c r="H3092" s="2">
        <v>50</v>
      </c>
      <c r="I3092" s="2">
        <v>5</v>
      </c>
      <c r="J3092" s="2">
        <v>16</v>
      </c>
      <c r="K3092" s="4">
        <v>0.39978310567874453</v>
      </c>
      <c r="L3092" s="4">
        <v>0.23066508715518699</v>
      </c>
      <c r="M3092" s="4">
        <v>0.23066508715518699</v>
      </c>
      <c r="N3092" s="10">
        <v>0.23100000000000001</v>
      </c>
      <c r="O3092" s="4">
        <v>1.2622290715788538</v>
      </c>
      <c r="P3092" s="4">
        <v>1.26</v>
      </c>
      <c r="Q3092" s="3" t="s">
        <v>1597</v>
      </c>
      <c r="R3092" s="3" t="s">
        <v>1613</v>
      </c>
      <c r="S3092" s="3" t="s">
        <v>1614</v>
      </c>
      <c r="T3092" s="3"/>
    </row>
    <row r="3093" spans="1:20">
      <c r="A3093" s="3" t="s">
        <v>1594</v>
      </c>
      <c r="B3093" s="3" t="s">
        <v>1595</v>
      </c>
      <c r="C3093" s="3" t="s">
        <v>1596</v>
      </c>
      <c r="D3093" s="3" t="s">
        <v>891</v>
      </c>
      <c r="E3093" s="3" t="s">
        <v>892</v>
      </c>
      <c r="F3093" s="2">
        <v>1</v>
      </c>
      <c r="G3093" s="4">
        <v>2.0184772929652715</v>
      </c>
      <c r="H3093" s="2">
        <v>50</v>
      </c>
      <c r="I3093" s="2">
        <v>5</v>
      </c>
      <c r="J3093" s="2">
        <v>16</v>
      </c>
      <c r="K3093" s="4">
        <v>0.47311461827419832</v>
      </c>
      <c r="L3093" s="4">
        <v>-0.24467454854397078</v>
      </c>
      <c r="M3093" s="4">
        <v>0.24467454854397078</v>
      </c>
      <c r="N3093" s="10">
        <v>0.245</v>
      </c>
      <c r="O3093" s="4">
        <v>1.3420199320809567</v>
      </c>
      <c r="P3093" s="4">
        <v>-1.34</v>
      </c>
      <c r="Q3093" s="3" t="s">
        <v>1617</v>
      </c>
      <c r="R3093" s="3" t="s">
        <v>1625</v>
      </c>
      <c r="S3093" s="3" t="s">
        <v>1626</v>
      </c>
      <c r="T3093" s="3"/>
    </row>
    <row r="3094" spans="1:20">
      <c r="A3094" s="3" t="s">
        <v>1594</v>
      </c>
      <c r="B3094" s="3" t="s">
        <v>1595</v>
      </c>
      <c r="C3094" s="3" t="s">
        <v>1596</v>
      </c>
      <c r="D3094" s="3" t="s">
        <v>891</v>
      </c>
      <c r="E3094" s="3" t="s">
        <v>892</v>
      </c>
      <c r="F3094" s="2">
        <v>1</v>
      </c>
      <c r="G3094" s="4">
        <v>2.0184772929652715</v>
      </c>
      <c r="H3094" s="2">
        <v>25</v>
      </c>
      <c r="I3094" s="2">
        <v>5</v>
      </c>
      <c r="J3094" s="2">
        <v>16</v>
      </c>
      <c r="K3094" s="4">
        <v>7.9036637257149156E-2</v>
      </c>
      <c r="L3094" s="4">
        <v>-0.26926675500877079</v>
      </c>
      <c r="M3094" s="4">
        <v>0.26926675500877079</v>
      </c>
      <c r="N3094" s="10">
        <v>0.26900000000000002</v>
      </c>
      <c r="O3094" s="4">
        <v>1.3687528062788312</v>
      </c>
      <c r="P3094" s="4">
        <v>-1.37</v>
      </c>
      <c r="Q3094" s="3" t="s">
        <v>1617</v>
      </c>
      <c r="R3094" s="3" t="s">
        <v>1625</v>
      </c>
      <c r="S3094" s="3" t="s">
        <v>1626</v>
      </c>
      <c r="T3094" s="3"/>
    </row>
    <row r="3095" spans="1:20">
      <c r="A3095" s="3" t="s">
        <v>1600</v>
      </c>
      <c r="B3095" s="3" t="s">
        <v>1609</v>
      </c>
      <c r="C3095" s="3" t="s">
        <v>1596</v>
      </c>
      <c r="D3095" s="3" t="s">
        <v>891</v>
      </c>
      <c r="E3095" s="3" t="s">
        <v>892</v>
      </c>
      <c r="F3095" s="2">
        <v>1</v>
      </c>
      <c r="G3095" s="4">
        <v>2.0184772929652715</v>
      </c>
      <c r="H3095" s="2">
        <v>25</v>
      </c>
      <c r="I3095" s="2">
        <v>5</v>
      </c>
      <c r="J3095" s="2">
        <v>1</v>
      </c>
      <c r="K3095" s="4">
        <v>0.96917401183267937</v>
      </c>
      <c r="L3095" s="4">
        <v>-0.45279884321090674</v>
      </c>
      <c r="M3095" s="4">
        <v>0.45279884321090674</v>
      </c>
      <c r="N3095" s="10">
        <v>0.45300000000000001</v>
      </c>
      <c r="O3095" s="4">
        <v>2.4205407079287768</v>
      </c>
      <c r="P3095" s="4">
        <v>-2.42</v>
      </c>
      <c r="Q3095" s="3" t="s">
        <v>1617</v>
      </c>
      <c r="R3095" s="3" t="s">
        <v>1623</v>
      </c>
      <c r="S3095" s="3" t="s">
        <v>1624</v>
      </c>
      <c r="T3095" s="3"/>
    </row>
    <row r="3096" spans="1:20">
      <c r="A3096" s="3" t="s">
        <v>1600</v>
      </c>
      <c r="B3096" s="3" t="s">
        <v>1609</v>
      </c>
      <c r="C3096" s="3" t="s">
        <v>1596</v>
      </c>
      <c r="D3096" s="3" t="s">
        <v>891</v>
      </c>
      <c r="E3096" s="3" t="s">
        <v>892</v>
      </c>
      <c r="F3096" s="2">
        <v>1</v>
      </c>
      <c r="G3096" s="4">
        <v>2.0184772929652715</v>
      </c>
      <c r="H3096" s="2">
        <v>25</v>
      </c>
      <c r="I3096" s="2">
        <v>5</v>
      </c>
      <c r="J3096" s="2">
        <v>16</v>
      </c>
      <c r="K3096" s="4">
        <v>1</v>
      </c>
      <c r="L3096" s="4">
        <v>-0.51441355534365141</v>
      </c>
      <c r="M3096" s="4">
        <v>0.51441355534365141</v>
      </c>
      <c r="N3096" s="10">
        <v>0.51400000000000001</v>
      </c>
      <c r="O3096" s="4">
        <v>2.8196434158985739</v>
      </c>
      <c r="P3096" s="4">
        <v>-2.82</v>
      </c>
      <c r="Q3096" s="3" t="s">
        <v>1617</v>
      </c>
      <c r="R3096" s="3" t="s">
        <v>1623</v>
      </c>
      <c r="S3096" s="3" t="s">
        <v>1624</v>
      </c>
      <c r="T3096" s="3"/>
    </row>
    <row r="3097" spans="1:20">
      <c r="A3097" s="3" t="s">
        <v>1604</v>
      </c>
      <c r="B3097" s="3" t="s">
        <v>1601</v>
      </c>
      <c r="C3097" s="3" t="s">
        <v>1596</v>
      </c>
      <c r="D3097" s="3" t="s">
        <v>891</v>
      </c>
      <c r="E3097" s="3" t="s">
        <v>892</v>
      </c>
      <c r="F3097" s="2">
        <v>1</v>
      </c>
      <c r="G3097" s="4">
        <v>2.0184772929652715</v>
      </c>
      <c r="H3097" s="2">
        <v>25</v>
      </c>
      <c r="I3097" s="2">
        <v>30</v>
      </c>
      <c r="J3097" s="2">
        <v>16</v>
      </c>
      <c r="K3097" s="4">
        <v>1</v>
      </c>
      <c r="L3097" s="4">
        <v>-0.5501212107949186</v>
      </c>
      <c r="M3097" s="4">
        <v>0.5501212107949186</v>
      </c>
      <c r="N3097" s="10">
        <v>0.55000000000000004</v>
      </c>
      <c r="O3097" s="4">
        <v>3.0667568599086992</v>
      </c>
      <c r="P3097" s="4">
        <v>-3.07</v>
      </c>
      <c r="Q3097" s="3" t="s">
        <v>1617</v>
      </c>
      <c r="R3097" s="3" t="s">
        <v>1618</v>
      </c>
      <c r="S3097" s="3" t="s">
        <v>1619</v>
      </c>
      <c r="T3097" s="3"/>
    </row>
    <row r="3098" spans="1:20">
      <c r="A3098" s="3" t="s">
        <v>1605</v>
      </c>
      <c r="B3098" s="3" t="s">
        <v>1601</v>
      </c>
      <c r="C3098" s="3" t="s">
        <v>1596</v>
      </c>
      <c r="D3098" s="3" t="s">
        <v>891</v>
      </c>
      <c r="E3098" s="3" t="s">
        <v>892</v>
      </c>
      <c r="F3098" s="2">
        <v>1</v>
      </c>
      <c r="G3098" s="4">
        <v>2.0184772929652715</v>
      </c>
      <c r="H3098" s="2">
        <v>25</v>
      </c>
      <c r="I3098" s="2">
        <v>5</v>
      </c>
      <c r="J3098" s="2">
        <v>16</v>
      </c>
      <c r="K3098" s="4">
        <v>1</v>
      </c>
      <c r="L3098" s="4">
        <v>-0.59778660183627286</v>
      </c>
      <c r="M3098" s="4">
        <v>0.59778660183627286</v>
      </c>
      <c r="N3098" s="10">
        <v>0.59799999999999998</v>
      </c>
      <c r="O3098" s="4">
        <v>3.4194683424520638</v>
      </c>
      <c r="P3098" s="4">
        <v>-3.42</v>
      </c>
      <c r="Q3098" s="3" t="s">
        <v>1617</v>
      </c>
      <c r="R3098" s="3" t="s">
        <v>1618</v>
      </c>
      <c r="S3098" s="3" t="s">
        <v>1619</v>
      </c>
      <c r="T3098" s="3"/>
    </row>
    <row r="3099" spans="1:20">
      <c r="A3099" s="3" t="s">
        <v>1600</v>
      </c>
      <c r="B3099" s="3" t="s">
        <v>1601</v>
      </c>
      <c r="C3099" s="3" t="s">
        <v>1596</v>
      </c>
      <c r="D3099" s="3" t="s">
        <v>891</v>
      </c>
      <c r="E3099" s="3" t="s">
        <v>892</v>
      </c>
      <c r="F3099" s="2">
        <v>1</v>
      </c>
      <c r="G3099" s="4">
        <v>2.0184772929652715</v>
      </c>
      <c r="H3099" s="2">
        <v>25</v>
      </c>
      <c r="I3099" s="2">
        <v>5</v>
      </c>
      <c r="J3099" s="2">
        <v>16</v>
      </c>
      <c r="K3099" s="4">
        <v>1</v>
      </c>
      <c r="L3099" s="4">
        <v>-0.65004097601016775</v>
      </c>
      <c r="M3099" s="4">
        <v>0.65004097601016775</v>
      </c>
      <c r="N3099" s="10">
        <v>0.65</v>
      </c>
      <c r="O3099" s="4">
        <v>3.8442334398915157</v>
      </c>
      <c r="P3099" s="4">
        <v>-3.84</v>
      </c>
      <c r="Q3099" s="3" t="s">
        <v>1617</v>
      </c>
      <c r="R3099" s="3" t="s">
        <v>1618</v>
      </c>
      <c r="S3099" s="3" t="s">
        <v>1619</v>
      </c>
      <c r="T3099" s="3"/>
    </row>
    <row r="3100" spans="1:20">
      <c r="A3100" s="3" t="s">
        <v>1600</v>
      </c>
      <c r="B3100" s="3" t="s">
        <v>1601</v>
      </c>
      <c r="C3100" s="3" t="s">
        <v>1596</v>
      </c>
      <c r="D3100" s="3" t="s">
        <v>891</v>
      </c>
      <c r="E3100" s="3" t="s">
        <v>892</v>
      </c>
      <c r="F3100" s="2">
        <v>1</v>
      </c>
      <c r="G3100" s="4">
        <v>2.0184772929652715</v>
      </c>
      <c r="H3100" s="2">
        <v>25</v>
      </c>
      <c r="I3100" s="2">
        <v>5</v>
      </c>
      <c r="J3100" s="2">
        <v>1</v>
      </c>
      <c r="K3100" s="4">
        <v>0.18527462628337765</v>
      </c>
      <c r="L3100" s="4">
        <v>-0.81671585480877473</v>
      </c>
      <c r="M3100" s="4">
        <v>0.81671585480877473</v>
      </c>
      <c r="N3100" s="10">
        <v>0.81699999999999995</v>
      </c>
      <c r="O3100" s="4">
        <v>5.6861283432012453</v>
      </c>
      <c r="P3100" s="4">
        <v>-5.69</v>
      </c>
      <c r="Q3100" s="3" t="s">
        <v>1617</v>
      </c>
      <c r="R3100" s="3" t="s">
        <v>1618</v>
      </c>
      <c r="S3100" s="3" t="s">
        <v>1619</v>
      </c>
      <c r="T3100" s="3"/>
    </row>
    <row r="3101" spans="1:20">
      <c r="A3101" s="3" t="s">
        <v>1600</v>
      </c>
      <c r="B3101" s="3" t="s">
        <v>1606</v>
      </c>
      <c r="C3101" s="3" t="s">
        <v>1596</v>
      </c>
      <c r="D3101" s="3" t="s">
        <v>891</v>
      </c>
      <c r="E3101" s="3" t="s">
        <v>892</v>
      </c>
      <c r="F3101" s="2">
        <v>1</v>
      </c>
      <c r="G3101" s="4">
        <v>2.0184772929652715</v>
      </c>
      <c r="H3101" s="2">
        <v>25</v>
      </c>
      <c r="I3101" s="2">
        <v>5</v>
      </c>
      <c r="J3101" s="2">
        <v>1</v>
      </c>
      <c r="K3101" s="4">
        <v>0.99623641180520006</v>
      </c>
      <c r="L3101" s="4">
        <v>-0.9337951616342155</v>
      </c>
      <c r="M3101" s="4">
        <v>0.9337951616342155</v>
      </c>
      <c r="N3101" s="10">
        <v>0.93400000000000005</v>
      </c>
      <c r="O3101" s="4">
        <v>8.3652439182906146</v>
      </c>
      <c r="P3101" s="4">
        <v>-8.3699999999999992</v>
      </c>
      <c r="Q3101" s="3" t="s">
        <v>1617</v>
      </c>
      <c r="R3101" s="3" t="s">
        <v>1621</v>
      </c>
      <c r="S3101" s="3" t="s">
        <v>1622</v>
      </c>
      <c r="T3101" s="3"/>
    </row>
    <row r="3102" spans="1:20">
      <c r="A3102" s="3" t="s">
        <v>1600</v>
      </c>
      <c r="B3102" s="3" t="s">
        <v>1606</v>
      </c>
      <c r="C3102" s="3" t="s">
        <v>1596</v>
      </c>
      <c r="D3102" s="3" t="s">
        <v>891</v>
      </c>
      <c r="E3102" s="3" t="s">
        <v>892</v>
      </c>
      <c r="F3102" s="2">
        <v>1</v>
      </c>
      <c r="G3102" s="4">
        <v>2.0184772929652715</v>
      </c>
      <c r="H3102" s="2">
        <v>25</v>
      </c>
      <c r="I3102" s="2">
        <v>5</v>
      </c>
      <c r="J3102" s="2">
        <v>16</v>
      </c>
      <c r="K3102" s="4">
        <v>1</v>
      </c>
      <c r="L3102" s="4">
        <v>-0.93793835734374098</v>
      </c>
      <c r="M3102" s="4">
        <v>0.93793835734374098</v>
      </c>
      <c r="N3102" s="10">
        <v>0.93799999999999994</v>
      </c>
      <c r="O3102" s="4">
        <v>8.5307538358558919</v>
      </c>
      <c r="P3102" s="4">
        <v>-8.5299999999999994</v>
      </c>
      <c r="Q3102" s="3" t="s">
        <v>1617</v>
      </c>
      <c r="R3102" s="3" t="s">
        <v>1621</v>
      </c>
      <c r="S3102" s="3" t="s">
        <v>1622</v>
      </c>
      <c r="T3102" s="3"/>
    </row>
    <row r="3103" spans="1:20">
      <c r="A3103" s="3" t="s">
        <v>1600</v>
      </c>
      <c r="B3103" s="3" t="s">
        <v>1609</v>
      </c>
      <c r="C3103" s="3" t="s">
        <v>1616</v>
      </c>
      <c r="D3103" s="3" t="s">
        <v>891</v>
      </c>
      <c r="E3103" s="3" t="s">
        <v>892</v>
      </c>
      <c r="F3103" s="2">
        <v>1</v>
      </c>
      <c r="G3103" s="4">
        <v>2.0184772929652715</v>
      </c>
      <c r="H3103" s="2">
        <v>25</v>
      </c>
      <c r="I3103" s="2">
        <v>5</v>
      </c>
      <c r="J3103" s="2">
        <v>1</v>
      </c>
      <c r="K3103" s="4">
        <v>0.98109139065793693</v>
      </c>
      <c r="L3103" s="4">
        <v>-0.94557812733745017</v>
      </c>
      <c r="M3103" s="4">
        <v>0.94557812733745017</v>
      </c>
      <c r="N3103" s="10">
        <v>0.94599999999999995</v>
      </c>
      <c r="O3103" s="4">
        <v>8.8661494257740081</v>
      </c>
      <c r="P3103" s="4">
        <v>-8.89</v>
      </c>
      <c r="Q3103" s="3" t="s">
        <v>1617</v>
      </c>
      <c r="R3103" s="3" t="s">
        <v>1623</v>
      </c>
      <c r="S3103" s="3" t="s">
        <v>1624</v>
      </c>
      <c r="T3103" s="3"/>
    </row>
    <row r="3104" spans="1:20">
      <c r="A3104" s="3" t="s">
        <v>1600</v>
      </c>
      <c r="B3104" s="3" t="s">
        <v>1601</v>
      </c>
      <c r="C3104" s="3" t="s">
        <v>1616</v>
      </c>
      <c r="D3104" s="3" t="s">
        <v>891</v>
      </c>
      <c r="E3104" s="3" t="s">
        <v>892</v>
      </c>
      <c r="F3104" s="2">
        <v>1</v>
      </c>
      <c r="G3104" s="4">
        <v>2.0184772929652715</v>
      </c>
      <c r="H3104" s="2">
        <v>25</v>
      </c>
      <c r="I3104" s="2">
        <v>5</v>
      </c>
      <c r="J3104" s="2">
        <v>1</v>
      </c>
      <c r="K3104" s="4">
        <v>1</v>
      </c>
      <c r="L3104" s="4">
        <v>-0.94893996011494497</v>
      </c>
      <c r="M3104" s="4">
        <v>0.94893996011494497</v>
      </c>
      <c r="N3104" s="10">
        <v>0.94899999999999995</v>
      </c>
      <c r="O3104" s="4">
        <v>9.0284980308977936</v>
      </c>
      <c r="P3104" s="4">
        <v>-9.0299999999999994</v>
      </c>
      <c r="Q3104" s="3" t="s">
        <v>1617</v>
      </c>
      <c r="R3104" s="3" t="s">
        <v>1618</v>
      </c>
      <c r="S3104" s="3" t="s">
        <v>1619</v>
      </c>
      <c r="T3104" s="3"/>
    </row>
    <row r="3105" spans="1:20">
      <c r="A3105" s="3" t="s">
        <v>1600</v>
      </c>
      <c r="B3105" s="3" t="s">
        <v>1601</v>
      </c>
      <c r="C3105" s="3" t="s">
        <v>1616</v>
      </c>
      <c r="D3105" s="3" t="s">
        <v>891</v>
      </c>
      <c r="E3105" s="3" t="s">
        <v>892</v>
      </c>
      <c r="F3105" s="2">
        <v>1</v>
      </c>
      <c r="G3105" s="4">
        <v>2.0184772929652715</v>
      </c>
      <c r="H3105" s="2">
        <v>25</v>
      </c>
      <c r="I3105" s="2">
        <v>5</v>
      </c>
      <c r="J3105" s="2">
        <v>16</v>
      </c>
      <c r="K3105" s="4">
        <v>1</v>
      </c>
      <c r="L3105" s="4">
        <v>-0.95024711560175845</v>
      </c>
      <c r="M3105" s="4">
        <v>0.95024711560175845</v>
      </c>
      <c r="N3105" s="10">
        <v>0.95</v>
      </c>
      <c r="O3105" s="4">
        <v>9.0944490681658188</v>
      </c>
      <c r="P3105" s="4">
        <v>-9.08</v>
      </c>
      <c r="Q3105" s="3" t="s">
        <v>1617</v>
      </c>
      <c r="R3105" s="3" t="s">
        <v>1618</v>
      </c>
      <c r="S3105" s="3" t="s">
        <v>1619</v>
      </c>
      <c r="T3105" s="3"/>
    </row>
    <row r="3106" spans="1:20">
      <c r="A3106" s="3" t="s">
        <v>1604</v>
      </c>
      <c r="B3106" s="3" t="s">
        <v>1601</v>
      </c>
      <c r="C3106" s="3" t="s">
        <v>1616</v>
      </c>
      <c r="D3106" s="3" t="s">
        <v>891</v>
      </c>
      <c r="E3106" s="3" t="s">
        <v>892</v>
      </c>
      <c r="F3106" s="2">
        <v>1</v>
      </c>
      <c r="G3106" s="4">
        <v>2.0184772929652715</v>
      </c>
      <c r="H3106" s="2">
        <v>25</v>
      </c>
      <c r="I3106" s="2">
        <v>30</v>
      </c>
      <c r="J3106" s="2">
        <v>16</v>
      </c>
      <c r="K3106" s="4">
        <v>0.9965818557096584</v>
      </c>
      <c r="L3106" s="4">
        <v>-0.95093965771594624</v>
      </c>
      <c r="M3106" s="4">
        <v>0.95093965771594624</v>
      </c>
      <c r="N3106" s="10">
        <v>0.95099999999999996</v>
      </c>
      <c r="O3106" s="4">
        <v>9.1300779537099412</v>
      </c>
      <c r="P3106" s="4">
        <v>-9.1300000000000008</v>
      </c>
      <c r="Q3106" s="3" t="s">
        <v>1617</v>
      </c>
      <c r="R3106" s="3" t="s">
        <v>1618</v>
      </c>
      <c r="S3106" s="3" t="s">
        <v>1619</v>
      </c>
      <c r="T3106" s="3"/>
    </row>
    <row r="3107" spans="1:20">
      <c r="A3107" s="3" t="s">
        <v>1600</v>
      </c>
      <c r="B3107" s="3" t="s">
        <v>1609</v>
      </c>
      <c r="C3107" s="3" t="s">
        <v>1616</v>
      </c>
      <c r="D3107" s="3" t="s">
        <v>891</v>
      </c>
      <c r="E3107" s="3" t="s">
        <v>892</v>
      </c>
      <c r="F3107" s="2">
        <v>1</v>
      </c>
      <c r="G3107" s="4">
        <v>2.0184772929652715</v>
      </c>
      <c r="H3107" s="2">
        <v>25</v>
      </c>
      <c r="I3107" s="2">
        <v>5</v>
      </c>
      <c r="J3107" s="2">
        <v>16</v>
      </c>
      <c r="K3107" s="4">
        <v>0.98082411548839543</v>
      </c>
      <c r="L3107" s="4">
        <v>-0.95255296858602234</v>
      </c>
      <c r="M3107" s="4">
        <v>0.95255296858602234</v>
      </c>
      <c r="N3107" s="10">
        <v>0.95299999999999996</v>
      </c>
      <c r="O3107" s="4">
        <v>9.2150164606781502</v>
      </c>
      <c r="P3107" s="4">
        <v>-9.24</v>
      </c>
      <c r="Q3107" s="3" t="s">
        <v>1617</v>
      </c>
      <c r="R3107" s="3" t="s">
        <v>1623</v>
      </c>
      <c r="S3107" s="3" t="s">
        <v>1624</v>
      </c>
      <c r="T3107" s="3"/>
    </row>
    <row r="3108" spans="1:20">
      <c r="A3108" s="3" t="s">
        <v>1600</v>
      </c>
      <c r="B3108" s="3" t="s">
        <v>1606</v>
      </c>
      <c r="C3108" s="3" t="s">
        <v>1616</v>
      </c>
      <c r="D3108" s="3" t="s">
        <v>891</v>
      </c>
      <c r="E3108" s="3" t="s">
        <v>892</v>
      </c>
      <c r="F3108" s="2">
        <v>1</v>
      </c>
      <c r="G3108" s="4">
        <v>2.0184772929652715</v>
      </c>
      <c r="H3108" s="2">
        <v>25</v>
      </c>
      <c r="I3108" s="2">
        <v>5</v>
      </c>
      <c r="J3108" s="2">
        <v>1</v>
      </c>
      <c r="K3108" s="4">
        <v>1</v>
      </c>
      <c r="L3108" s="4">
        <v>-0.95849452411733338</v>
      </c>
      <c r="M3108" s="4">
        <v>0.95849452411733338</v>
      </c>
      <c r="N3108" s="10">
        <v>0.95799999999999996</v>
      </c>
      <c r="O3108" s="4">
        <v>9.5542060913757396</v>
      </c>
      <c r="P3108" s="4">
        <v>-9.52</v>
      </c>
      <c r="Q3108" s="3" t="s">
        <v>1617</v>
      </c>
      <c r="R3108" s="3" t="s">
        <v>1621</v>
      </c>
      <c r="S3108" s="3" t="s">
        <v>1622</v>
      </c>
      <c r="T3108" s="3"/>
    </row>
    <row r="3109" spans="1:20">
      <c r="A3109" s="3" t="s">
        <v>1600</v>
      </c>
      <c r="B3109" s="3" t="s">
        <v>1606</v>
      </c>
      <c r="C3109" s="3" t="s">
        <v>1616</v>
      </c>
      <c r="D3109" s="3" t="s">
        <v>891</v>
      </c>
      <c r="E3109" s="3" t="s">
        <v>892</v>
      </c>
      <c r="F3109" s="2">
        <v>1</v>
      </c>
      <c r="G3109" s="4">
        <v>2.0184772929652715</v>
      </c>
      <c r="H3109" s="2">
        <v>25</v>
      </c>
      <c r="I3109" s="2">
        <v>5</v>
      </c>
      <c r="J3109" s="2">
        <v>16</v>
      </c>
      <c r="K3109" s="4">
        <v>1</v>
      </c>
      <c r="L3109" s="4">
        <v>-0.97947198096754484</v>
      </c>
      <c r="M3109" s="4">
        <v>0.97947198096754484</v>
      </c>
      <c r="N3109" s="10">
        <v>0.97899999999999998</v>
      </c>
      <c r="O3109" s="4">
        <v>11.325896601961485</v>
      </c>
      <c r="P3109" s="4">
        <v>-11.27</v>
      </c>
      <c r="Q3109" s="3" t="s">
        <v>1617</v>
      </c>
      <c r="R3109" s="3" t="s">
        <v>1621</v>
      </c>
      <c r="S3109" s="3" t="s">
        <v>1622</v>
      </c>
      <c r="T3109" s="3"/>
    </row>
    <row r="3110" spans="1:20">
      <c r="A3110" s="3" t="s">
        <v>1600</v>
      </c>
      <c r="B3110" s="3" t="s">
        <v>1601</v>
      </c>
      <c r="C3110" s="3" t="s">
        <v>1616</v>
      </c>
      <c r="D3110" s="3" t="s">
        <v>1036</v>
      </c>
      <c r="E3110" s="3" t="s">
        <v>1037</v>
      </c>
      <c r="F3110" s="2">
        <v>1</v>
      </c>
      <c r="G3110" s="4">
        <v>2.0266183070019057</v>
      </c>
      <c r="H3110" s="2">
        <v>25</v>
      </c>
      <c r="I3110" s="2">
        <v>5</v>
      </c>
      <c r="J3110" s="2">
        <v>1</v>
      </c>
      <c r="K3110" s="4">
        <v>1</v>
      </c>
      <c r="L3110" s="4">
        <v>0.98554429225345941</v>
      </c>
      <c r="M3110" s="4">
        <v>0.98554429225345941</v>
      </c>
      <c r="N3110" s="10">
        <v>0.98599999999999999</v>
      </c>
      <c r="O3110" s="4">
        <v>12.202867154735264</v>
      </c>
      <c r="P3110" s="4">
        <v>12.28</v>
      </c>
      <c r="Q3110" s="3" t="s">
        <v>1597</v>
      </c>
      <c r="R3110" s="3" t="s">
        <v>1602</v>
      </c>
      <c r="S3110" s="3" t="s">
        <v>1603</v>
      </c>
      <c r="T3110" s="3"/>
    </row>
    <row r="3111" spans="1:20">
      <c r="A3111" s="3" t="s">
        <v>1600</v>
      </c>
      <c r="B3111" s="3" t="s">
        <v>1601</v>
      </c>
      <c r="C3111" s="3" t="s">
        <v>1616</v>
      </c>
      <c r="D3111" s="3" t="s">
        <v>1036</v>
      </c>
      <c r="E3111" s="3" t="s">
        <v>1037</v>
      </c>
      <c r="F3111" s="2">
        <v>1</v>
      </c>
      <c r="G3111" s="4">
        <v>2.0266183070019057</v>
      </c>
      <c r="H3111" s="2">
        <v>25</v>
      </c>
      <c r="I3111" s="2">
        <v>5</v>
      </c>
      <c r="J3111" s="2">
        <v>16</v>
      </c>
      <c r="K3111" s="4">
        <v>1</v>
      </c>
      <c r="L3111" s="4">
        <v>0.98004127880709424</v>
      </c>
      <c r="M3111" s="4">
        <v>0.98004127880709424</v>
      </c>
      <c r="N3111" s="10">
        <v>0.98</v>
      </c>
      <c r="O3111" s="4">
        <v>11.39632927923943</v>
      </c>
      <c r="P3111" s="4">
        <v>11.39</v>
      </c>
      <c r="Q3111" s="3" t="s">
        <v>1597</v>
      </c>
      <c r="R3111" s="3" t="s">
        <v>1602</v>
      </c>
      <c r="S3111" s="3" t="s">
        <v>1603</v>
      </c>
      <c r="T3111" s="3"/>
    </row>
    <row r="3112" spans="1:20">
      <c r="A3112" s="3" t="s">
        <v>1600</v>
      </c>
      <c r="B3112" s="3" t="s">
        <v>1606</v>
      </c>
      <c r="C3112" s="3" t="s">
        <v>1596</v>
      </c>
      <c r="D3112" s="3" t="s">
        <v>1036</v>
      </c>
      <c r="E3112" s="3" t="s">
        <v>1037</v>
      </c>
      <c r="F3112" s="2">
        <v>1</v>
      </c>
      <c r="G3112" s="4">
        <v>2.0266183070019057</v>
      </c>
      <c r="H3112" s="2">
        <v>25</v>
      </c>
      <c r="I3112" s="2">
        <v>5</v>
      </c>
      <c r="J3112" s="2">
        <v>1</v>
      </c>
      <c r="K3112" s="4">
        <v>1</v>
      </c>
      <c r="L3112" s="4">
        <v>0.97072697324706259</v>
      </c>
      <c r="M3112" s="4">
        <v>0.97072697324706259</v>
      </c>
      <c r="N3112" s="10">
        <v>0.97099999999999997</v>
      </c>
      <c r="O3112" s="4">
        <v>10.43519489679568</v>
      </c>
      <c r="P3112" s="4">
        <v>10.46</v>
      </c>
      <c r="Q3112" s="3" t="s">
        <v>1597</v>
      </c>
      <c r="R3112" s="3" t="s">
        <v>1607</v>
      </c>
      <c r="S3112" s="3" t="s">
        <v>1608</v>
      </c>
      <c r="T3112" s="3"/>
    </row>
    <row r="3113" spans="1:20">
      <c r="A3113" s="3" t="s">
        <v>1604</v>
      </c>
      <c r="B3113" s="3" t="s">
        <v>1601</v>
      </c>
      <c r="C3113" s="3" t="s">
        <v>1616</v>
      </c>
      <c r="D3113" s="3" t="s">
        <v>1036</v>
      </c>
      <c r="E3113" s="3" t="s">
        <v>1037</v>
      </c>
      <c r="F3113" s="2">
        <v>1</v>
      </c>
      <c r="G3113" s="4">
        <v>2.0266183070019057</v>
      </c>
      <c r="H3113" s="2">
        <v>25</v>
      </c>
      <c r="I3113" s="2">
        <v>30</v>
      </c>
      <c r="J3113" s="2">
        <v>16</v>
      </c>
      <c r="K3113" s="4">
        <v>1</v>
      </c>
      <c r="L3113" s="4">
        <v>0.97065677366846903</v>
      </c>
      <c r="M3113" s="4">
        <v>0.97065677366846903</v>
      </c>
      <c r="N3113" s="10">
        <v>0.97099999999999997</v>
      </c>
      <c r="O3113" s="4">
        <v>10.429168900325134</v>
      </c>
      <c r="P3113" s="4">
        <v>10.46</v>
      </c>
      <c r="Q3113" s="3" t="s">
        <v>1597</v>
      </c>
      <c r="R3113" s="3" t="s">
        <v>1602</v>
      </c>
      <c r="S3113" s="3" t="s">
        <v>1603</v>
      </c>
      <c r="T3113" s="3"/>
    </row>
    <row r="3114" spans="1:20">
      <c r="A3114" s="3" t="s">
        <v>1600</v>
      </c>
      <c r="B3114" s="3" t="s">
        <v>1606</v>
      </c>
      <c r="C3114" s="3" t="s">
        <v>1596</v>
      </c>
      <c r="D3114" s="3" t="s">
        <v>1036</v>
      </c>
      <c r="E3114" s="3" t="s">
        <v>1037</v>
      </c>
      <c r="F3114" s="2">
        <v>1</v>
      </c>
      <c r="G3114" s="4">
        <v>2.0266183070019057</v>
      </c>
      <c r="H3114" s="2">
        <v>25</v>
      </c>
      <c r="I3114" s="2">
        <v>5</v>
      </c>
      <c r="J3114" s="2">
        <v>16</v>
      </c>
      <c r="K3114" s="4">
        <v>1</v>
      </c>
      <c r="L3114" s="4">
        <v>0.95846451709519043</v>
      </c>
      <c r="M3114" s="4">
        <v>0.95846451709519043</v>
      </c>
      <c r="N3114" s="10">
        <v>0.95799999999999996</v>
      </c>
      <c r="O3114" s="4">
        <v>9.5523765490108676</v>
      </c>
      <c r="P3114" s="4">
        <v>9.52</v>
      </c>
      <c r="Q3114" s="3" t="s">
        <v>1597</v>
      </c>
      <c r="R3114" s="3" t="s">
        <v>1607</v>
      </c>
      <c r="S3114" s="3" t="s">
        <v>1608</v>
      </c>
      <c r="T3114" s="3"/>
    </row>
    <row r="3115" spans="1:20">
      <c r="A3115" s="3" t="s">
        <v>1600</v>
      </c>
      <c r="B3115" s="3" t="s">
        <v>1601</v>
      </c>
      <c r="C3115" s="3" t="s">
        <v>1596</v>
      </c>
      <c r="D3115" s="3" t="s">
        <v>1036</v>
      </c>
      <c r="E3115" s="3" t="s">
        <v>1037</v>
      </c>
      <c r="F3115" s="2">
        <v>1</v>
      </c>
      <c r="G3115" s="4">
        <v>2.0266183070019057</v>
      </c>
      <c r="H3115" s="2">
        <v>25</v>
      </c>
      <c r="I3115" s="2">
        <v>5</v>
      </c>
      <c r="J3115" s="2">
        <v>1</v>
      </c>
      <c r="K3115" s="4">
        <v>0.17939384204666065</v>
      </c>
      <c r="L3115" s="4">
        <v>0.93445103739397073</v>
      </c>
      <c r="M3115" s="4">
        <v>0.93445103739397073</v>
      </c>
      <c r="N3115" s="10">
        <v>0.93400000000000005</v>
      </c>
      <c r="O3115" s="4">
        <v>8.3907655670552455</v>
      </c>
      <c r="P3115" s="4">
        <v>8.3699999999999992</v>
      </c>
      <c r="Q3115" s="3" t="s">
        <v>1597</v>
      </c>
      <c r="R3115" s="3" t="s">
        <v>1602</v>
      </c>
      <c r="S3115" s="3" t="s">
        <v>1603</v>
      </c>
      <c r="T3115" s="3"/>
    </row>
    <row r="3116" spans="1:20">
      <c r="A3116" s="3" t="s">
        <v>1600</v>
      </c>
      <c r="B3116" s="3" t="s">
        <v>1609</v>
      </c>
      <c r="C3116" s="3" t="s">
        <v>1616</v>
      </c>
      <c r="D3116" s="3" t="s">
        <v>1036</v>
      </c>
      <c r="E3116" s="3" t="s">
        <v>1037</v>
      </c>
      <c r="F3116" s="2">
        <v>1</v>
      </c>
      <c r="G3116" s="4">
        <v>2.0266183070019057</v>
      </c>
      <c r="H3116" s="2">
        <v>25</v>
      </c>
      <c r="I3116" s="2">
        <v>5</v>
      </c>
      <c r="J3116" s="2">
        <v>1</v>
      </c>
      <c r="K3116" s="4">
        <v>0.97855088174667826</v>
      </c>
      <c r="L3116" s="4">
        <v>0.9183720856597043</v>
      </c>
      <c r="M3116" s="4">
        <v>0.9183720856597043</v>
      </c>
      <c r="N3116" s="10">
        <v>0.91800000000000004</v>
      </c>
      <c r="O3116" s="4">
        <v>7.8262536026154121</v>
      </c>
      <c r="P3116" s="4">
        <v>7.81</v>
      </c>
      <c r="Q3116" s="3" t="s">
        <v>1597</v>
      </c>
      <c r="R3116" s="3" t="s">
        <v>1610</v>
      </c>
      <c r="S3116" s="3" t="s">
        <v>1611</v>
      </c>
      <c r="T3116" s="3"/>
    </row>
    <row r="3117" spans="1:20">
      <c r="A3117" s="3" t="s">
        <v>1600</v>
      </c>
      <c r="B3117" s="3" t="s">
        <v>1609</v>
      </c>
      <c r="C3117" s="3" t="s">
        <v>1616</v>
      </c>
      <c r="D3117" s="3" t="s">
        <v>1036</v>
      </c>
      <c r="E3117" s="3" t="s">
        <v>1037</v>
      </c>
      <c r="F3117" s="2">
        <v>1</v>
      </c>
      <c r="G3117" s="4">
        <v>2.0266183070019057</v>
      </c>
      <c r="H3117" s="2">
        <v>25</v>
      </c>
      <c r="I3117" s="2">
        <v>5</v>
      </c>
      <c r="J3117" s="2">
        <v>16</v>
      </c>
      <c r="K3117" s="4">
        <v>0.98891255633513753</v>
      </c>
      <c r="L3117" s="4">
        <v>0.90254957650309486</v>
      </c>
      <c r="M3117" s="4">
        <v>0.90254957650309486</v>
      </c>
      <c r="N3117" s="10">
        <v>0.90300000000000002</v>
      </c>
      <c r="O3117" s="4">
        <v>7.3665176354110828</v>
      </c>
      <c r="P3117" s="4">
        <v>7.38</v>
      </c>
      <c r="Q3117" s="3" t="s">
        <v>1597</v>
      </c>
      <c r="R3117" s="3" t="s">
        <v>1610</v>
      </c>
      <c r="S3117" s="3" t="s">
        <v>1611</v>
      </c>
      <c r="T3117" s="3"/>
    </row>
    <row r="3118" spans="1:20">
      <c r="A3118" s="3" t="s">
        <v>1600</v>
      </c>
      <c r="B3118" s="3" t="s">
        <v>1601</v>
      </c>
      <c r="C3118" s="3" t="s">
        <v>1596</v>
      </c>
      <c r="D3118" s="3" t="s">
        <v>1036</v>
      </c>
      <c r="E3118" s="3" t="s">
        <v>1037</v>
      </c>
      <c r="F3118" s="2">
        <v>1</v>
      </c>
      <c r="G3118" s="4">
        <v>2.0266183070019057</v>
      </c>
      <c r="H3118" s="2">
        <v>25</v>
      </c>
      <c r="I3118" s="2">
        <v>5</v>
      </c>
      <c r="J3118" s="2">
        <v>16</v>
      </c>
      <c r="K3118" s="4">
        <v>1</v>
      </c>
      <c r="L3118" s="4">
        <v>0.89002826098203447</v>
      </c>
      <c r="M3118" s="4">
        <v>0.89002826098203447</v>
      </c>
      <c r="N3118" s="10">
        <v>0.89</v>
      </c>
      <c r="O3118" s="4">
        <v>7.0504920043913559</v>
      </c>
      <c r="P3118" s="4">
        <v>7.05</v>
      </c>
      <c r="Q3118" s="3" t="s">
        <v>1597</v>
      </c>
      <c r="R3118" s="3" t="s">
        <v>1602</v>
      </c>
      <c r="S3118" s="3" t="s">
        <v>1603</v>
      </c>
      <c r="T3118" s="3"/>
    </row>
    <row r="3119" spans="1:20">
      <c r="A3119" s="3" t="s">
        <v>1604</v>
      </c>
      <c r="B3119" s="3" t="s">
        <v>1601</v>
      </c>
      <c r="C3119" s="3" t="s">
        <v>1596</v>
      </c>
      <c r="D3119" s="3" t="s">
        <v>1036</v>
      </c>
      <c r="E3119" s="3" t="s">
        <v>1037</v>
      </c>
      <c r="F3119" s="2">
        <v>1</v>
      </c>
      <c r="G3119" s="4">
        <v>2.0266183070019057</v>
      </c>
      <c r="H3119" s="2">
        <v>25</v>
      </c>
      <c r="I3119" s="2">
        <v>30</v>
      </c>
      <c r="J3119" s="2">
        <v>16</v>
      </c>
      <c r="K3119" s="4">
        <v>1</v>
      </c>
      <c r="L3119" s="4">
        <v>0.88161820466872987</v>
      </c>
      <c r="M3119" s="4">
        <v>0.88161820466872987</v>
      </c>
      <c r="N3119" s="10">
        <v>0.88200000000000001</v>
      </c>
      <c r="O3119" s="4">
        <v>6.8567577453364894</v>
      </c>
      <c r="P3119" s="4">
        <v>6.87</v>
      </c>
      <c r="Q3119" s="3" t="s">
        <v>1597</v>
      </c>
      <c r="R3119" s="3" t="s">
        <v>1602</v>
      </c>
      <c r="S3119" s="3" t="s">
        <v>1603</v>
      </c>
      <c r="T3119" s="3"/>
    </row>
    <row r="3120" spans="1:20">
      <c r="A3120" s="3" t="s">
        <v>1605</v>
      </c>
      <c r="B3120" s="3" t="s">
        <v>1601</v>
      </c>
      <c r="C3120" s="3" t="s">
        <v>1596</v>
      </c>
      <c r="D3120" s="3" t="s">
        <v>1036</v>
      </c>
      <c r="E3120" s="3" t="s">
        <v>1037</v>
      </c>
      <c r="F3120" s="2">
        <v>1</v>
      </c>
      <c r="G3120" s="4">
        <v>2.0266183070019057</v>
      </c>
      <c r="H3120" s="2">
        <v>25</v>
      </c>
      <c r="I3120" s="2">
        <v>5</v>
      </c>
      <c r="J3120" s="2">
        <v>16</v>
      </c>
      <c r="K3120" s="4">
        <v>1</v>
      </c>
      <c r="L3120" s="4">
        <v>0.87162307523070448</v>
      </c>
      <c r="M3120" s="4">
        <v>0.87162307523070448</v>
      </c>
      <c r="N3120" s="10">
        <v>0.872</v>
      </c>
      <c r="O3120" s="4">
        <v>6.6426198853497747</v>
      </c>
      <c r="P3120" s="4">
        <v>6.65</v>
      </c>
      <c r="Q3120" s="3" t="s">
        <v>1597</v>
      </c>
      <c r="R3120" s="3" t="s">
        <v>1602</v>
      </c>
      <c r="S3120" s="3" t="s">
        <v>1603</v>
      </c>
      <c r="T3120" s="3"/>
    </row>
    <row r="3121" spans="1:20">
      <c r="A3121" s="3" t="s">
        <v>1600</v>
      </c>
      <c r="B3121" s="3" t="s">
        <v>1609</v>
      </c>
      <c r="C3121" s="3" t="s">
        <v>1596</v>
      </c>
      <c r="D3121" s="3" t="s">
        <v>1036</v>
      </c>
      <c r="E3121" s="3" t="s">
        <v>1037</v>
      </c>
      <c r="F3121" s="2">
        <v>1</v>
      </c>
      <c r="G3121" s="4">
        <v>2.0266183070019057</v>
      </c>
      <c r="H3121" s="2">
        <v>25</v>
      </c>
      <c r="I3121" s="2">
        <v>5</v>
      </c>
      <c r="J3121" s="2">
        <v>1</v>
      </c>
      <c r="K3121" s="4">
        <v>0.86753883800864562</v>
      </c>
      <c r="L3121" s="4">
        <v>0.85255946223554824</v>
      </c>
      <c r="M3121" s="4">
        <v>0.85255946223554824</v>
      </c>
      <c r="N3121" s="10">
        <v>0.85299999999999998</v>
      </c>
      <c r="O3121" s="4">
        <v>6.2740168215960033</v>
      </c>
      <c r="P3121" s="4">
        <v>6.28</v>
      </c>
      <c r="Q3121" s="3" t="s">
        <v>1597</v>
      </c>
      <c r="R3121" s="3" t="s">
        <v>1610</v>
      </c>
      <c r="S3121" s="3" t="s">
        <v>1611</v>
      </c>
      <c r="T3121" s="3"/>
    </row>
    <row r="3122" spans="1:20">
      <c r="A3122" s="3" t="s">
        <v>1600</v>
      </c>
      <c r="B3122" s="3" t="s">
        <v>1606</v>
      </c>
      <c r="C3122" s="3" t="s">
        <v>1616</v>
      </c>
      <c r="D3122" s="3" t="s">
        <v>1036</v>
      </c>
      <c r="E3122" s="3" t="s">
        <v>1037</v>
      </c>
      <c r="F3122" s="2">
        <v>1</v>
      </c>
      <c r="G3122" s="4">
        <v>2.0266183070019057</v>
      </c>
      <c r="H3122" s="2">
        <v>25</v>
      </c>
      <c r="I3122" s="2">
        <v>5</v>
      </c>
      <c r="J3122" s="2">
        <v>1</v>
      </c>
      <c r="K3122" s="4">
        <v>1</v>
      </c>
      <c r="L3122" s="4">
        <v>0.84386335467994711</v>
      </c>
      <c r="M3122" s="4">
        <v>0.84386335467994711</v>
      </c>
      <c r="N3122" s="10">
        <v>0.84399999999999997</v>
      </c>
      <c r="O3122" s="4">
        <v>6.1202916643659</v>
      </c>
      <c r="P3122" s="4">
        <v>6.12</v>
      </c>
      <c r="Q3122" s="3" t="s">
        <v>1597</v>
      </c>
      <c r="R3122" s="3" t="s">
        <v>1607</v>
      </c>
      <c r="S3122" s="3" t="s">
        <v>1608</v>
      </c>
      <c r="T3122" s="3"/>
    </row>
    <row r="3123" spans="1:20">
      <c r="A3123" s="3" t="s">
        <v>1600</v>
      </c>
      <c r="B3123" s="3" t="s">
        <v>1609</v>
      </c>
      <c r="C3123" s="3" t="s">
        <v>1596</v>
      </c>
      <c r="D3123" s="3" t="s">
        <v>1036</v>
      </c>
      <c r="E3123" s="3" t="s">
        <v>1037</v>
      </c>
      <c r="F3123" s="2">
        <v>1</v>
      </c>
      <c r="G3123" s="4">
        <v>2.0266183070019057</v>
      </c>
      <c r="H3123" s="2">
        <v>25</v>
      </c>
      <c r="I3123" s="2">
        <v>5</v>
      </c>
      <c r="J3123" s="2">
        <v>16</v>
      </c>
      <c r="K3123" s="4">
        <v>1</v>
      </c>
      <c r="L3123" s="4">
        <v>0.84065025273048433</v>
      </c>
      <c r="M3123" s="4">
        <v>0.84065025273048433</v>
      </c>
      <c r="N3123" s="10">
        <v>0.84099999999999997</v>
      </c>
      <c r="O3123" s="4">
        <v>6.0654717329511216</v>
      </c>
      <c r="P3123" s="4">
        <v>6.07</v>
      </c>
      <c r="Q3123" s="3" t="s">
        <v>1597</v>
      </c>
      <c r="R3123" s="3" t="s">
        <v>1610</v>
      </c>
      <c r="S3123" s="3" t="s">
        <v>1611</v>
      </c>
      <c r="T3123" s="3"/>
    </row>
    <row r="3124" spans="1:20">
      <c r="A3124" s="3" t="s">
        <v>1600</v>
      </c>
      <c r="B3124" s="3" t="s">
        <v>1606</v>
      </c>
      <c r="C3124" s="3" t="s">
        <v>1616</v>
      </c>
      <c r="D3124" s="3" t="s">
        <v>1036</v>
      </c>
      <c r="E3124" s="3" t="s">
        <v>1037</v>
      </c>
      <c r="F3124" s="2">
        <v>1</v>
      </c>
      <c r="G3124" s="4">
        <v>2.0266183070019057</v>
      </c>
      <c r="H3124" s="2">
        <v>25</v>
      </c>
      <c r="I3124" s="2">
        <v>5</v>
      </c>
      <c r="J3124" s="2">
        <v>16</v>
      </c>
      <c r="K3124" s="4">
        <v>1</v>
      </c>
      <c r="L3124" s="4">
        <v>0.78472461023261719</v>
      </c>
      <c r="M3124" s="4">
        <v>0.78472461023261719</v>
      </c>
      <c r="N3124" s="10">
        <v>0.78500000000000003</v>
      </c>
      <c r="O3124" s="4">
        <v>5.2432688373490137</v>
      </c>
      <c r="P3124" s="4">
        <v>5.25</v>
      </c>
      <c r="Q3124" s="3" t="s">
        <v>1597</v>
      </c>
      <c r="R3124" s="3" t="s">
        <v>1607</v>
      </c>
      <c r="S3124" s="3" t="s">
        <v>1608</v>
      </c>
      <c r="T3124" s="3"/>
    </row>
    <row r="3125" spans="1:20">
      <c r="A3125" s="3" t="s">
        <v>1594</v>
      </c>
      <c r="B3125" s="3" t="s">
        <v>1595</v>
      </c>
      <c r="C3125" s="3" t="s">
        <v>1596</v>
      </c>
      <c r="D3125" s="3" t="s">
        <v>1036</v>
      </c>
      <c r="E3125" s="3" t="s">
        <v>1037</v>
      </c>
      <c r="F3125" s="2">
        <v>1</v>
      </c>
      <c r="G3125" s="4">
        <v>2.0266183070019057</v>
      </c>
      <c r="H3125" s="2">
        <v>25</v>
      </c>
      <c r="I3125" s="2">
        <v>5</v>
      </c>
      <c r="J3125" s="2">
        <v>16</v>
      </c>
      <c r="K3125" s="4">
        <v>1.0150072094396112E-2</v>
      </c>
      <c r="L3125" s="4">
        <v>0.14820948043883253</v>
      </c>
      <c r="M3125" s="4">
        <v>0.14820948043883253</v>
      </c>
      <c r="N3125" s="10">
        <v>0.14799999999999999</v>
      </c>
      <c r="O3125" s="4">
        <v>0.74026552728353445</v>
      </c>
      <c r="P3125" s="4">
        <v>0.74</v>
      </c>
      <c r="Q3125" s="3" t="s">
        <v>1597</v>
      </c>
      <c r="R3125" s="3" t="s">
        <v>1598</v>
      </c>
      <c r="S3125" s="3" t="s">
        <v>1599</v>
      </c>
      <c r="T3125" s="3"/>
    </row>
    <row r="3126" spans="1:20">
      <c r="A3126" s="3" t="s">
        <v>1594</v>
      </c>
      <c r="B3126" s="3" t="s">
        <v>1612</v>
      </c>
      <c r="C3126" s="3" t="s">
        <v>1596</v>
      </c>
      <c r="D3126" s="3" t="s">
        <v>1036</v>
      </c>
      <c r="E3126" s="3" t="s">
        <v>1037</v>
      </c>
      <c r="F3126" s="2">
        <v>1</v>
      </c>
      <c r="G3126" s="4">
        <v>2.0266183070019057</v>
      </c>
      <c r="H3126" s="2">
        <v>50</v>
      </c>
      <c r="I3126" s="2">
        <v>5</v>
      </c>
      <c r="J3126" s="2">
        <v>16</v>
      </c>
      <c r="K3126" s="4">
        <v>0.62287479600462925</v>
      </c>
      <c r="L3126" s="4">
        <v>2.306454870227094E-2</v>
      </c>
      <c r="M3126" s="4">
        <v>2.306454870227094E-2</v>
      </c>
      <c r="N3126" s="10">
        <v>2.3E-2</v>
      </c>
      <c r="O3126" s="4">
        <v>0.12396305871932378</v>
      </c>
      <c r="P3126" s="4">
        <v>0.12</v>
      </c>
      <c r="Q3126" s="3" t="s">
        <v>1597</v>
      </c>
      <c r="R3126" s="3" t="s">
        <v>1613</v>
      </c>
      <c r="S3126" s="3" t="s">
        <v>1614</v>
      </c>
      <c r="T3126" s="3"/>
    </row>
    <row r="3127" spans="1:20">
      <c r="A3127" s="3" t="s">
        <v>1594</v>
      </c>
      <c r="B3127" s="3" t="s">
        <v>1595</v>
      </c>
      <c r="C3127" s="3" t="s">
        <v>1596</v>
      </c>
      <c r="D3127" s="3" t="s">
        <v>1036</v>
      </c>
      <c r="E3127" s="3" t="s">
        <v>1037</v>
      </c>
      <c r="F3127" s="2">
        <v>1</v>
      </c>
      <c r="G3127" s="4">
        <v>2.0266183070019057</v>
      </c>
      <c r="H3127" s="2">
        <v>50</v>
      </c>
      <c r="I3127" s="2">
        <v>5</v>
      </c>
      <c r="J3127" s="2">
        <v>16</v>
      </c>
      <c r="K3127" s="4">
        <v>8.4661274105576112E-2</v>
      </c>
      <c r="L3127" s="4">
        <v>2.7122731409577796E-3</v>
      </c>
      <c r="M3127" s="4">
        <v>2.7122731409577796E-3</v>
      </c>
      <c r="N3127" s="10">
        <v>3.0000000000000001E-3</v>
      </c>
      <c r="O3127" s="4">
        <v>1.4574873087934231E-2</v>
      </c>
      <c r="P3127" s="4">
        <v>0.02</v>
      </c>
      <c r="Q3127" s="3" t="s">
        <v>1597</v>
      </c>
      <c r="R3127" s="3" t="s">
        <v>1598</v>
      </c>
      <c r="S3127" s="3" t="s">
        <v>1599</v>
      </c>
      <c r="T3127" s="3"/>
    </row>
    <row r="3128" spans="1:20">
      <c r="A3128" s="3" t="s">
        <v>1600</v>
      </c>
      <c r="B3128" s="3" t="s">
        <v>1606</v>
      </c>
      <c r="C3128" s="3" t="s">
        <v>1596</v>
      </c>
      <c r="D3128" s="3" t="s">
        <v>1096</v>
      </c>
      <c r="E3128" s="3" t="s">
        <v>1097</v>
      </c>
      <c r="F3128" s="2">
        <v>1</v>
      </c>
      <c r="G3128" s="4">
        <v>2.0299678311417124</v>
      </c>
      <c r="H3128" s="2">
        <v>25</v>
      </c>
      <c r="I3128" s="2">
        <v>5</v>
      </c>
      <c r="J3128" s="2">
        <v>1</v>
      </c>
      <c r="K3128" s="4">
        <v>1.8883725628552339E-2</v>
      </c>
      <c r="L3128" s="4">
        <v>1</v>
      </c>
      <c r="M3128" s="4">
        <v>1</v>
      </c>
      <c r="N3128" s="10">
        <v>0.995</v>
      </c>
      <c r="O3128" s="4">
        <v>14.85</v>
      </c>
      <c r="P3128" s="4">
        <v>14.85</v>
      </c>
      <c r="Q3128" s="3" t="s">
        <v>1597</v>
      </c>
      <c r="R3128" s="3" t="s">
        <v>1607</v>
      </c>
      <c r="S3128" s="3" t="s">
        <v>1608</v>
      </c>
      <c r="T3128" s="3"/>
    </row>
    <row r="3129" spans="1:20">
      <c r="A3129" s="3" t="s">
        <v>1600</v>
      </c>
      <c r="B3129" s="3" t="s">
        <v>1601</v>
      </c>
      <c r="C3129" s="3" t="s">
        <v>1616</v>
      </c>
      <c r="D3129" s="3" t="s">
        <v>1096</v>
      </c>
      <c r="E3129" s="3" t="s">
        <v>1097</v>
      </c>
      <c r="F3129" s="2">
        <v>1</v>
      </c>
      <c r="G3129" s="4">
        <v>2.0299678311417124</v>
      </c>
      <c r="H3129" s="2">
        <v>25</v>
      </c>
      <c r="I3129" s="2">
        <v>5</v>
      </c>
      <c r="J3129" s="2">
        <v>1</v>
      </c>
      <c r="K3129" s="4">
        <v>1.5207921436277139E-2</v>
      </c>
      <c r="L3129" s="4">
        <v>1</v>
      </c>
      <c r="M3129" s="4">
        <v>1</v>
      </c>
      <c r="N3129" s="10">
        <v>0.995</v>
      </c>
      <c r="O3129" s="4">
        <v>14.85</v>
      </c>
      <c r="P3129" s="4">
        <v>14.85</v>
      </c>
      <c r="Q3129" s="3" t="s">
        <v>1597</v>
      </c>
      <c r="R3129" s="3" t="s">
        <v>1602</v>
      </c>
      <c r="S3129" s="3" t="s">
        <v>1603</v>
      </c>
      <c r="T3129" s="3"/>
    </row>
    <row r="3130" spans="1:20">
      <c r="A3130" s="3" t="s">
        <v>1600</v>
      </c>
      <c r="B3130" s="3" t="s">
        <v>1601</v>
      </c>
      <c r="C3130" s="3" t="s">
        <v>1596</v>
      </c>
      <c r="D3130" s="3" t="s">
        <v>1096</v>
      </c>
      <c r="E3130" s="3" t="s">
        <v>1097</v>
      </c>
      <c r="F3130" s="2">
        <v>1</v>
      </c>
      <c r="G3130" s="4">
        <v>2.0299678311417124</v>
      </c>
      <c r="H3130" s="2">
        <v>25</v>
      </c>
      <c r="I3130" s="2">
        <v>5</v>
      </c>
      <c r="J3130" s="2">
        <v>1</v>
      </c>
      <c r="K3130" s="4">
        <v>6.2641833389966428E-2</v>
      </c>
      <c r="L3130" s="4">
        <v>0.68496436403508776</v>
      </c>
      <c r="M3130" s="4">
        <v>0.68496436403508776</v>
      </c>
      <c r="N3130" s="10">
        <v>0.68500000000000005</v>
      </c>
      <c r="O3130" s="4">
        <v>4.1567683707124514</v>
      </c>
      <c r="P3130" s="4">
        <v>4.16</v>
      </c>
      <c r="Q3130" s="3" t="s">
        <v>1597</v>
      </c>
      <c r="R3130" s="3" t="s">
        <v>1602</v>
      </c>
      <c r="S3130" s="3" t="s">
        <v>1603</v>
      </c>
      <c r="T3130" s="3"/>
    </row>
    <row r="3131" spans="1:20">
      <c r="A3131" s="3" t="s">
        <v>1605</v>
      </c>
      <c r="B3131" s="3" t="s">
        <v>1601</v>
      </c>
      <c r="C3131" s="3" t="s">
        <v>1596</v>
      </c>
      <c r="D3131" s="3" t="s">
        <v>1096</v>
      </c>
      <c r="E3131" s="3" t="s">
        <v>1097</v>
      </c>
      <c r="F3131" s="2">
        <v>1</v>
      </c>
      <c r="G3131" s="4">
        <v>2.0299678311417124</v>
      </c>
      <c r="H3131" s="2">
        <v>25</v>
      </c>
      <c r="I3131" s="2">
        <v>5</v>
      </c>
      <c r="J3131" s="2">
        <v>16</v>
      </c>
      <c r="K3131" s="4">
        <v>0.43460171979814866</v>
      </c>
      <c r="L3131" s="4">
        <v>0.59858115618562568</v>
      </c>
      <c r="M3131" s="4">
        <v>0.59858115618562568</v>
      </c>
      <c r="N3131" s="10">
        <v>0.59899999999999998</v>
      </c>
      <c r="O3131" s="4">
        <v>3.4256027209481275</v>
      </c>
      <c r="P3131" s="4">
        <v>3.43</v>
      </c>
      <c r="Q3131" s="3" t="s">
        <v>1597</v>
      </c>
      <c r="R3131" s="3" t="s">
        <v>1602</v>
      </c>
      <c r="S3131" s="3" t="s">
        <v>1603</v>
      </c>
      <c r="T3131" s="3"/>
    </row>
    <row r="3132" spans="1:20">
      <c r="A3132" s="3" t="s">
        <v>1600</v>
      </c>
      <c r="B3132" s="3" t="s">
        <v>1601</v>
      </c>
      <c r="C3132" s="3" t="s">
        <v>1596</v>
      </c>
      <c r="D3132" s="3" t="s">
        <v>1096</v>
      </c>
      <c r="E3132" s="3" t="s">
        <v>1097</v>
      </c>
      <c r="F3132" s="2">
        <v>1</v>
      </c>
      <c r="G3132" s="4">
        <v>2.0299678311417124</v>
      </c>
      <c r="H3132" s="2">
        <v>25</v>
      </c>
      <c r="I3132" s="2">
        <v>5</v>
      </c>
      <c r="J3132" s="2">
        <v>16</v>
      </c>
      <c r="K3132" s="4">
        <v>0.43719883375186275</v>
      </c>
      <c r="L3132" s="4">
        <v>0.5900075314718376</v>
      </c>
      <c r="M3132" s="4">
        <v>0.5900075314718376</v>
      </c>
      <c r="N3132" s="10">
        <v>0.59</v>
      </c>
      <c r="O3132" s="4">
        <v>3.359882510468883</v>
      </c>
      <c r="P3132" s="4">
        <v>3.36</v>
      </c>
      <c r="Q3132" s="3" t="s">
        <v>1597</v>
      </c>
      <c r="R3132" s="3" t="s">
        <v>1602</v>
      </c>
      <c r="S3132" s="3" t="s">
        <v>1603</v>
      </c>
      <c r="T3132" s="3"/>
    </row>
    <row r="3133" spans="1:20">
      <c r="A3133" s="3" t="s">
        <v>1594</v>
      </c>
      <c r="B3133" s="3" t="s">
        <v>1595</v>
      </c>
      <c r="C3133" s="3" t="s">
        <v>1596</v>
      </c>
      <c r="D3133" s="3" t="s">
        <v>1096</v>
      </c>
      <c r="E3133" s="3" t="s">
        <v>1097</v>
      </c>
      <c r="F3133" s="2">
        <v>1</v>
      </c>
      <c r="G3133" s="4">
        <v>2.0299678311417124</v>
      </c>
      <c r="H3133" s="2">
        <v>25</v>
      </c>
      <c r="I3133" s="2">
        <v>5</v>
      </c>
      <c r="J3133" s="2">
        <v>16</v>
      </c>
      <c r="K3133" s="4">
        <v>0.52793900542082139</v>
      </c>
      <c r="L3133" s="4">
        <v>0.57456203897796509</v>
      </c>
      <c r="M3133" s="4">
        <v>0.57456203897796509</v>
      </c>
      <c r="N3133" s="10">
        <v>0.57499999999999996</v>
      </c>
      <c r="O3133" s="4">
        <v>3.2440107420566937</v>
      </c>
      <c r="P3133" s="4">
        <v>3.25</v>
      </c>
      <c r="Q3133" s="3" t="s">
        <v>1597</v>
      </c>
      <c r="R3133" s="3" t="s">
        <v>1598</v>
      </c>
      <c r="S3133" s="3" t="s">
        <v>1599</v>
      </c>
      <c r="T3133" s="3"/>
    </row>
    <row r="3134" spans="1:20">
      <c r="A3134" s="3" t="s">
        <v>1604</v>
      </c>
      <c r="B3134" s="3" t="s">
        <v>1601</v>
      </c>
      <c r="C3134" s="3" t="s">
        <v>1596</v>
      </c>
      <c r="D3134" s="3" t="s">
        <v>1096</v>
      </c>
      <c r="E3134" s="3" t="s">
        <v>1097</v>
      </c>
      <c r="F3134" s="2">
        <v>1</v>
      </c>
      <c r="G3134" s="4">
        <v>2.0299678311417124</v>
      </c>
      <c r="H3134" s="2">
        <v>25</v>
      </c>
      <c r="I3134" s="2">
        <v>30</v>
      </c>
      <c r="J3134" s="2">
        <v>16</v>
      </c>
      <c r="K3134" s="4">
        <v>0.48690110060808434</v>
      </c>
      <c r="L3134" s="4">
        <v>0.53857416176465112</v>
      </c>
      <c r="M3134" s="4">
        <v>0.53857416176465112</v>
      </c>
      <c r="N3134" s="10">
        <v>0.53900000000000003</v>
      </c>
      <c r="O3134" s="4">
        <v>2.9853967166591846</v>
      </c>
      <c r="P3134" s="4">
        <v>2.99</v>
      </c>
      <c r="Q3134" s="3" t="s">
        <v>1597</v>
      </c>
      <c r="R3134" s="3" t="s">
        <v>1602</v>
      </c>
      <c r="S3134" s="3" t="s">
        <v>1603</v>
      </c>
      <c r="T3134" s="3"/>
    </row>
    <row r="3135" spans="1:20">
      <c r="A3135" s="3" t="s">
        <v>1594</v>
      </c>
      <c r="B3135" s="3" t="s">
        <v>1595</v>
      </c>
      <c r="C3135" s="3" t="s">
        <v>1596</v>
      </c>
      <c r="D3135" s="3" t="s">
        <v>1096</v>
      </c>
      <c r="E3135" s="3" t="s">
        <v>1097</v>
      </c>
      <c r="F3135" s="2">
        <v>1</v>
      </c>
      <c r="G3135" s="4">
        <v>2.0299678311417124</v>
      </c>
      <c r="H3135" s="2">
        <v>50</v>
      </c>
      <c r="I3135" s="2">
        <v>5</v>
      </c>
      <c r="J3135" s="2">
        <v>16</v>
      </c>
      <c r="K3135" s="4">
        <v>1</v>
      </c>
      <c r="L3135" s="4">
        <v>0.47618477093169953</v>
      </c>
      <c r="M3135" s="4">
        <v>0.47618477093169953</v>
      </c>
      <c r="N3135" s="10">
        <v>0.47599999999999998</v>
      </c>
      <c r="O3135" s="4">
        <v>2.7837639355332158</v>
      </c>
      <c r="P3135" s="4">
        <v>2.78</v>
      </c>
      <c r="Q3135" s="3" t="s">
        <v>1597</v>
      </c>
      <c r="R3135" s="3" t="s">
        <v>1598</v>
      </c>
      <c r="S3135" s="3" t="s">
        <v>1599</v>
      </c>
      <c r="T3135" s="3"/>
    </row>
    <row r="3136" spans="1:20">
      <c r="A3136" s="3" t="s">
        <v>1600</v>
      </c>
      <c r="B3136" s="3" t="s">
        <v>1606</v>
      </c>
      <c r="C3136" s="3" t="s">
        <v>1596</v>
      </c>
      <c r="D3136" s="3" t="s">
        <v>1096</v>
      </c>
      <c r="E3136" s="3" t="s">
        <v>1097</v>
      </c>
      <c r="F3136" s="2">
        <v>1</v>
      </c>
      <c r="G3136" s="4">
        <v>2.0299678311417124</v>
      </c>
      <c r="H3136" s="2">
        <v>25</v>
      </c>
      <c r="I3136" s="2">
        <v>5</v>
      </c>
      <c r="J3136" s="2">
        <v>16</v>
      </c>
      <c r="K3136" s="4">
        <v>6.7223815821253807E-2</v>
      </c>
      <c r="L3136" s="4">
        <v>0.24831720193576773</v>
      </c>
      <c r="M3136" s="4">
        <v>0.24831720193576773</v>
      </c>
      <c r="N3136" s="10">
        <v>0.248</v>
      </c>
      <c r="O3136" s="4">
        <v>1.2574250271290737</v>
      </c>
      <c r="P3136" s="4">
        <v>1.26</v>
      </c>
      <c r="Q3136" s="3" t="s">
        <v>1597</v>
      </c>
      <c r="R3136" s="3" t="s">
        <v>1607</v>
      </c>
      <c r="S3136" s="3" t="s">
        <v>1608</v>
      </c>
      <c r="T3136" s="3"/>
    </row>
    <row r="3137" spans="1:20">
      <c r="A3137" s="3" t="s">
        <v>1600</v>
      </c>
      <c r="B3137" s="3" t="s">
        <v>1606</v>
      </c>
      <c r="C3137" s="3" t="s">
        <v>1616</v>
      </c>
      <c r="D3137" s="3" t="s">
        <v>1096</v>
      </c>
      <c r="E3137" s="3" t="s">
        <v>1097</v>
      </c>
      <c r="F3137" s="2">
        <v>1</v>
      </c>
      <c r="G3137" s="4">
        <v>2.0299678311417124</v>
      </c>
      <c r="H3137" s="2">
        <v>25</v>
      </c>
      <c r="I3137" s="2">
        <v>5</v>
      </c>
      <c r="J3137" s="2">
        <v>16</v>
      </c>
      <c r="K3137" s="4">
        <v>0.38294859839319817</v>
      </c>
      <c r="L3137" s="4">
        <v>-0.10942928622054077</v>
      </c>
      <c r="M3137" s="4">
        <v>0.10942928622054077</v>
      </c>
      <c r="N3137" s="10">
        <v>0.109</v>
      </c>
      <c r="O3137" s="4">
        <v>0.54472474057439901</v>
      </c>
      <c r="P3137" s="4">
        <v>-0.54</v>
      </c>
      <c r="Q3137" s="3" t="s">
        <v>1617</v>
      </c>
      <c r="R3137" s="3" t="s">
        <v>1621</v>
      </c>
      <c r="S3137" s="3" t="s">
        <v>1622</v>
      </c>
      <c r="T3137" s="3"/>
    </row>
    <row r="3138" spans="1:20">
      <c r="A3138" s="3" t="s">
        <v>1600</v>
      </c>
      <c r="B3138" s="3" t="s">
        <v>1606</v>
      </c>
      <c r="C3138" s="3" t="s">
        <v>1616</v>
      </c>
      <c r="D3138" s="3" t="s">
        <v>1096</v>
      </c>
      <c r="E3138" s="3" t="s">
        <v>1097</v>
      </c>
      <c r="F3138" s="2">
        <v>1</v>
      </c>
      <c r="G3138" s="4">
        <v>2.0299678311417124</v>
      </c>
      <c r="H3138" s="2">
        <v>25</v>
      </c>
      <c r="I3138" s="2">
        <v>5</v>
      </c>
      <c r="J3138" s="2">
        <v>1</v>
      </c>
      <c r="K3138" s="4">
        <v>0.14638706545919677</v>
      </c>
      <c r="L3138" s="4">
        <v>-0.12436190199067601</v>
      </c>
      <c r="M3138" s="4">
        <v>0.12436190199067601</v>
      </c>
      <c r="N3138" s="10">
        <v>0.124</v>
      </c>
      <c r="O3138" s="4">
        <v>0.61978686359861113</v>
      </c>
      <c r="P3138" s="4">
        <v>-0.62</v>
      </c>
      <c r="Q3138" s="3" t="s">
        <v>1617</v>
      </c>
      <c r="R3138" s="3" t="s">
        <v>1621</v>
      </c>
      <c r="S3138" s="3" t="s">
        <v>1622</v>
      </c>
      <c r="T3138" s="3"/>
    </row>
    <row r="3139" spans="1:20">
      <c r="A3139" s="3" t="s">
        <v>1600</v>
      </c>
      <c r="B3139" s="3" t="s">
        <v>1609</v>
      </c>
      <c r="C3139" s="3" t="s">
        <v>1616</v>
      </c>
      <c r="D3139" s="3" t="s">
        <v>1096</v>
      </c>
      <c r="E3139" s="3" t="s">
        <v>1097</v>
      </c>
      <c r="F3139" s="2">
        <v>1</v>
      </c>
      <c r="G3139" s="4">
        <v>2.0299678311417124</v>
      </c>
      <c r="H3139" s="2">
        <v>25</v>
      </c>
      <c r="I3139" s="2">
        <v>5</v>
      </c>
      <c r="J3139" s="2">
        <v>16</v>
      </c>
      <c r="K3139" s="4">
        <v>7.9130461010518238E-2</v>
      </c>
      <c r="L3139" s="4">
        <v>-0.13813860538842671</v>
      </c>
      <c r="M3139" s="4">
        <v>0.13813860538842671</v>
      </c>
      <c r="N3139" s="10">
        <v>0.13800000000000001</v>
      </c>
      <c r="O3139" s="4">
        <v>0.68928935212596143</v>
      </c>
      <c r="P3139" s="4">
        <v>-0.69</v>
      </c>
      <c r="Q3139" s="3" t="s">
        <v>1617</v>
      </c>
      <c r="R3139" s="3" t="s">
        <v>1623</v>
      </c>
      <c r="S3139" s="3" t="s">
        <v>1624</v>
      </c>
      <c r="T3139" s="3"/>
    </row>
    <row r="3140" spans="1:20">
      <c r="A3140" s="3" t="s">
        <v>1600</v>
      </c>
      <c r="B3140" s="3" t="s">
        <v>1609</v>
      </c>
      <c r="C3140" s="3" t="s">
        <v>1596</v>
      </c>
      <c r="D3140" s="3" t="s">
        <v>1096</v>
      </c>
      <c r="E3140" s="3" t="s">
        <v>1097</v>
      </c>
      <c r="F3140" s="2">
        <v>1</v>
      </c>
      <c r="G3140" s="4">
        <v>2.0299678311417124</v>
      </c>
      <c r="H3140" s="2">
        <v>25</v>
      </c>
      <c r="I3140" s="2">
        <v>5</v>
      </c>
      <c r="J3140" s="2">
        <v>1</v>
      </c>
      <c r="K3140" s="4">
        <v>4.031723263423892E-2</v>
      </c>
      <c r="L3140" s="4">
        <v>-0.14718712197778605</v>
      </c>
      <c r="M3140" s="4">
        <v>0.14718712197778605</v>
      </c>
      <c r="N3140" s="10">
        <v>0.14699999999999999</v>
      </c>
      <c r="O3140" s="4">
        <v>0.73508369810935659</v>
      </c>
      <c r="P3140" s="4">
        <v>-0.73</v>
      </c>
      <c r="Q3140" s="3" t="s">
        <v>1617</v>
      </c>
      <c r="R3140" s="3" t="s">
        <v>1623</v>
      </c>
      <c r="S3140" s="3" t="s">
        <v>1624</v>
      </c>
      <c r="T3140" s="3"/>
    </row>
    <row r="3141" spans="1:20">
      <c r="A3141" s="3" t="s">
        <v>1600</v>
      </c>
      <c r="B3141" s="3" t="s">
        <v>1609</v>
      </c>
      <c r="C3141" s="3" t="s">
        <v>1596</v>
      </c>
      <c r="D3141" s="3" t="s">
        <v>1096</v>
      </c>
      <c r="E3141" s="3" t="s">
        <v>1097</v>
      </c>
      <c r="F3141" s="2">
        <v>1</v>
      </c>
      <c r="G3141" s="4">
        <v>2.0299678311417124</v>
      </c>
      <c r="H3141" s="2">
        <v>25</v>
      </c>
      <c r="I3141" s="2">
        <v>5</v>
      </c>
      <c r="J3141" s="2">
        <v>16</v>
      </c>
      <c r="K3141" s="4">
        <v>0.28513122351019127</v>
      </c>
      <c r="L3141" s="4">
        <v>-0.16198020456021756</v>
      </c>
      <c r="M3141" s="4">
        <v>0.16198020456021756</v>
      </c>
      <c r="N3141" s="10">
        <v>0.16200000000000001</v>
      </c>
      <c r="O3141" s="4">
        <v>0.81022392347586747</v>
      </c>
      <c r="P3141" s="4">
        <v>-0.81</v>
      </c>
      <c r="Q3141" s="3" t="s">
        <v>1617</v>
      </c>
      <c r="R3141" s="3" t="s">
        <v>1623</v>
      </c>
      <c r="S3141" s="3" t="s">
        <v>1624</v>
      </c>
      <c r="T3141" s="3"/>
    </row>
    <row r="3142" spans="1:20">
      <c r="A3142" s="3" t="s">
        <v>1600</v>
      </c>
      <c r="B3142" s="3" t="s">
        <v>1609</v>
      </c>
      <c r="C3142" s="3" t="s">
        <v>1616</v>
      </c>
      <c r="D3142" s="3" t="s">
        <v>1096</v>
      </c>
      <c r="E3142" s="3" t="s">
        <v>1097</v>
      </c>
      <c r="F3142" s="2">
        <v>1</v>
      </c>
      <c r="G3142" s="4">
        <v>2.0299678311417124</v>
      </c>
      <c r="H3142" s="2">
        <v>25</v>
      </c>
      <c r="I3142" s="2">
        <v>5</v>
      </c>
      <c r="J3142" s="2">
        <v>1</v>
      </c>
      <c r="K3142" s="4">
        <v>2.6753383212739457E-2</v>
      </c>
      <c r="L3142" s="4">
        <v>-0.21884440656556053</v>
      </c>
      <c r="M3142" s="4">
        <v>0.21884440656556053</v>
      </c>
      <c r="N3142" s="10">
        <v>0.219</v>
      </c>
      <c r="O3142" s="4">
        <v>1.1028535942908939</v>
      </c>
      <c r="P3142" s="4">
        <v>-1.1000000000000001</v>
      </c>
      <c r="Q3142" s="3" t="s">
        <v>1617</v>
      </c>
      <c r="R3142" s="3" t="s">
        <v>1623</v>
      </c>
      <c r="S3142" s="3" t="s">
        <v>1624</v>
      </c>
      <c r="T3142" s="3"/>
    </row>
    <row r="3143" spans="1:20">
      <c r="A3143" s="3" t="s">
        <v>1600</v>
      </c>
      <c r="B3143" s="3" t="s">
        <v>1601</v>
      </c>
      <c r="C3143" s="3" t="s">
        <v>1616</v>
      </c>
      <c r="D3143" s="3" t="s">
        <v>1096</v>
      </c>
      <c r="E3143" s="3" t="s">
        <v>1097</v>
      </c>
      <c r="F3143" s="2">
        <v>1</v>
      </c>
      <c r="G3143" s="4">
        <v>2.0299678311417124</v>
      </c>
      <c r="H3143" s="2">
        <v>25</v>
      </c>
      <c r="I3143" s="2">
        <v>5</v>
      </c>
      <c r="J3143" s="2">
        <v>16</v>
      </c>
      <c r="K3143" s="4">
        <v>7.3287584808816697E-2</v>
      </c>
      <c r="L3143" s="4">
        <v>-0.33377409947568043</v>
      </c>
      <c r="M3143" s="4">
        <v>0.33377409947568043</v>
      </c>
      <c r="N3143" s="10">
        <v>0.33400000000000002</v>
      </c>
      <c r="O3143" s="4">
        <v>1.7207486596075852</v>
      </c>
      <c r="P3143" s="4">
        <v>-1.72</v>
      </c>
      <c r="Q3143" s="3" t="s">
        <v>1617</v>
      </c>
      <c r="R3143" s="3" t="s">
        <v>1618</v>
      </c>
      <c r="S3143" s="3" t="s">
        <v>1619</v>
      </c>
      <c r="T3143" s="3"/>
    </row>
    <row r="3144" spans="1:20">
      <c r="A3144" s="3" t="s">
        <v>1604</v>
      </c>
      <c r="B3144" s="3" t="s">
        <v>1601</v>
      </c>
      <c r="C3144" s="3" t="s">
        <v>1616</v>
      </c>
      <c r="D3144" s="3" t="s">
        <v>1096</v>
      </c>
      <c r="E3144" s="3" t="s">
        <v>1097</v>
      </c>
      <c r="F3144" s="2">
        <v>1</v>
      </c>
      <c r="G3144" s="4">
        <v>2.0299678311417124</v>
      </c>
      <c r="H3144" s="2">
        <v>25</v>
      </c>
      <c r="I3144" s="2">
        <v>30</v>
      </c>
      <c r="J3144" s="2">
        <v>16</v>
      </c>
      <c r="K3144" s="4">
        <v>0.4017685029949265</v>
      </c>
      <c r="L3144" s="4">
        <v>-0.44715122498998144</v>
      </c>
      <c r="M3144" s="4">
        <v>0.44715122498998144</v>
      </c>
      <c r="N3144" s="10">
        <v>0.44700000000000001</v>
      </c>
      <c r="O3144" s="4">
        <v>2.385431076715411</v>
      </c>
      <c r="P3144" s="4">
        <v>-2.38</v>
      </c>
      <c r="Q3144" s="3" t="s">
        <v>1617</v>
      </c>
      <c r="R3144" s="3" t="s">
        <v>1618</v>
      </c>
      <c r="S3144" s="3" t="s">
        <v>1619</v>
      </c>
      <c r="T3144" s="3"/>
    </row>
    <row r="3145" spans="1:20">
      <c r="A3145" s="3" t="s">
        <v>1594</v>
      </c>
      <c r="B3145" s="3" t="s">
        <v>1612</v>
      </c>
      <c r="C3145" s="3" t="s">
        <v>1596</v>
      </c>
      <c r="D3145" s="3" t="s">
        <v>1096</v>
      </c>
      <c r="E3145" s="3" t="s">
        <v>1097</v>
      </c>
      <c r="F3145" s="2">
        <v>1</v>
      </c>
      <c r="G3145" s="4">
        <v>2.0299678311417124</v>
      </c>
      <c r="H3145" s="2">
        <v>50</v>
      </c>
      <c r="I3145" s="2">
        <v>5</v>
      </c>
      <c r="J3145" s="2">
        <v>16</v>
      </c>
      <c r="K3145" s="4">
        <v>0.79469827421443029</v>
      </c>
      <c r="L3145" s="4">
        <v>-0.45673995585860933</v>
      </c>
      <c r="M3145" s="4">
        <v>0.45673995585860933</v>
      </c>
      <c r="N3145" s="10">
        <v>0.45700000000000002</v>
      </c>
      <c r="O3145" s="4">
        <v>2.6502043450710975</v>
      </c>
      <c r="P3145" s="4">
        <v>-2.65</v>
      </c>
      <c r="Q3145" s="3" t="s">
        <v>1617</v>
      </c>
      <c r="R3145" s="3" t="s">
        <v>1627</v>
      </c>
      <c r="S3145" s="3" t="s">
        <v>1628</v>
      </c>
      <c r="T3145" s="3"/>
    </row>
    <row r="3146" spans="1:20">
      <c r="A3146" s="3" t="s">
        <v>1604</v>
      </c>
      <c r="B3146" s="3" t="s">
        <v>1601</v>
      </c>
      <c r="C3146" s="3" t="s">
        <v>1596</v>
      </c>
      <c r="D3146" s="3" t="s">
        <v>1551</v>
      </c>
      <c r="E3146" s="3" t="s">
        <v>1552</v>
      </c>
      <c r="F3146" s="2">
        <v>1</v>
      </c>
      <c r="G3146" s="4">
        <v>2.0351515151515152</v>
      </c>
      <c r="H3146" s="2">
        <v>25</v>
      </c>
      <c r="I3146" s="2">
        <v>30</v>
      </c>
      <c r="J3146" s="2">
        <v>16</v>
      </c>
      <c r="K3146" s="4">
        <v>1</v>
      </c>
      <c r="L3146" s="4">
        <v>0.48322201624494021</v>
      </c>
      <c r="M3146" s="4">
        <v>0.48322201624494021</v>
      </c>
      <c r="N3146" s="10">
        <v>0.48299999999999998</v>
      </c>
      <c r="O3146" s="4">
        <v>2.613721632537727</v>
      </c>
      <c r="P3146" s="4">
        <v>2.61</v>
      </c>
      <c r="Q3146" s="3" t="s">
        <v>1597</v>
      </c>
      <c r="R3146" s="3" t="s">
        <v>1602</v>
      </c>
      <c r="S3146" s="3" t="s">
        <v>1603</v>
      </c>
      <c r="T3146" s="3"/>
    </row>
    <row r="3147" spans="1:20">
      <c r="A3147" s="3" t="s">
        <v>1600</v>
      </c>
      <c r="B3147" s="3" t="s">
        <v>1601</v>
      </c>
      <c r="C3147" s="3" t="s">
        <v>1596</v>
      </c>
      <c r="D3147" s="3" t="s">
        <v>1551</v>
      </c>
      <c r="E3147" s="3" t="s">
        <v>1552</v>
      </c>
      <c r="F3147" s="2">
        <v>1</v>
      </c>
      <c r="G3147" s="4">
        <v>2.0351515151515152</v>
      </c>
      <c r="H3147" s="2">
        <v>25</v>
      </c>
      <c r="I3147" s="2">
        <v>5</v>
      </c>
      <c r="J3147" s="2">
        <v>16</v>
      </c>
      <c r="K3147" s="4">
        <v>0.48121572999318885</v>
      </c>
      <c r="L3147" s="4">
        <v>0.312628724928666</v>
      </c>
      <c r="M3147" s="4">
        <v>0.312628724928666</v>
      </c>
      <c r="N3147" s="10">
        <v>0.313</v>
      </c>
      <c r="O3147" s="4">
        <v>1.6036754748261151</v>
      </c>
      <c r="P3147" s="4">
        <v>1.61</v>
      </c>
      <c r="Q3147" s="3" t="s">
        <v>1597</v>
      </c>
      <c r="R3147" s="3" t="s">
        <v>1602</v>
      </c>
      <c r="S3147" s="3" t="s">
        <v>1603</v>
      </c>
      <c r="T3147" s="3"/>
    </row>
    <row r="3148" spans="1:20">
      <c r="A3148" s="3" t="s">
        <v>1600</v>
      </c>
      <c r="B3148" s="3" t="s">
        <v>1601</v>
      </c>
      <c r="C3148" s="3" t="s">
        <v>1616</v>
      </c>
      <c r="D3148" s="3" t="s">
        <v>1551</v>
      </c>
      <c r="E3148" s="3" t="s">
        <v>1552</v>
      </c>
      <c r="F3148" s="2">
        <v>1</v>
      </c>
      <c r="G3148" s="4">
        <v>2.0351515151515152</v>
      </c>
      <c r="H3148" s="2">
        <v>25</v>
      </c>
      <c r="I3148" s="2">
        <v>5</v>
      </c>
      <c r="J3148" s="2">
        <v>1</v>
      </c>
      <c r="K3148" s="4">
        <v>0.22936633817644092</v>
      </c>
      <c r="L3148" s="4">
        <v>0.29822526863811799</v>
      </c>
      <c r="M3148" s="4">
        <v>0.29822526863811799</v>
      </c>
      <c r="N3148" s="10">
        <v>0.29799999999999999</v>
      </c>
      <c r="O3148" s="4">
        <v>1.524914902004342</v>
      </c>
      <c r="P3148" s="4">
        <v>1.52</v>
      </c>
      <c r="Q3148" s="3" t="s">
        <v>1597</v>
      </c>
      <c r="R3148" s="3" t="s">
        <v>1602</v>
      </c>
      <c r="S3148" s="3" t="s">
        <v>1603</v>
      </c>
      <c r="T3148" s="3"/>
    </row>
    <row r="3149" spans="1:20">
      <c r="A3149" s="3" t="s">
        <v>1600</v>
      </c>
      <c r="B3149" s="3" t="s">
        <v>1606</v>
      </c>
      <c r="C3149" s="3" t="s">
        <v>1616</v>
      </c>
      <c r="D3149" s="3" t="s">
        <v>1551</v>
      </c>
      <c r="E3149" s="3" t="s">
        <v>1552</v>
      </c>
      <c r="F3149" s="2">
        <v>1</v>
      </c>
      <c r="G3149" s="4">
        <v>2.0351515151515152</v>
      </c>
      <c r="H3149" s="2">
        <v>25</v>
      </c>
      <c r="I3149" s="2">
        <v>5</v>
      </c>
      <c r="J3149" s="2">
        <v>16</v>
      </c>
      <c r="K3149" s="4">
        <v>0.33277869676516592</v>
      </c>
      <c r="L3149" s="4">
        <v>0.28074797687431274</v>
      </c>
      <c r="M3149" s="4">
        <v>0.28074797687431274</v>
      </c>
      <c r="N3149" s="10">
        <v>0.28100000000000003</v>
      </c>
      <c r="O3149" s="4">
        <v>1.4303342148846308</v>
      </c>
      <c r="P3149" s="4">
        <v>1.43</v>
      </c>
      <c r="Q3149" s="3" t="s">
        <v>1597</v>
      </c>
      <c r="R3149" s="3" t="s">
        <v>1607</v>
      </c>
      <c r="S3149" s="3" t="s">
        <v>1608</v>
      </c>
      <c r="T3149" s="3"/>
    </row>
    <row r="3150" spans="1:20">
      <c r="A3150" s="3" t="s">
        <v>1605</v>
      </c>
      <c r="B3150" s="3" t="s">
        <v>1601</v>
      </c>
      <c r="C3150" s="3" t="s">
        <v>1596</v>
      </c>
      <c r="D3150" s="3" t="s">
        <v>1551</v>
      </c>
      <c r="E3150" s="3" t="s">
        <v>1552</v>
      </c>
      <c r="F3150" s="2">
        <v>1</v>
      </c>
      <c r="G3150" s="4">
        <v>2.0351515151515152</v>
      </c>
      <c r="H3150" s="2">
        <v>25</v>
      </c>
      <c r="I3150" s="2">
        <v>5</v>
      </c>
      <c r="J3150" s="2">
        <v>16</v>
      </c>
      <c r="K3150" s="4">
        <v>0.64734391139416503</v>
      </c>
      <c r="L3150" s="4">
        <v>0.2275899697499193</v>
      </c>
      <c r="M3150" s="4">
        <v>0.2275899697499193</v>
      </c>
      <c r="N3150" s="10">
        <v>0.22800000000000001</v>
      </c>
      <c r="O3150" s="4">
        <v>1.1484876502834644</v>
      </c>
      <c r="P3150" s="4">
        <v>1.1499999999999999</v>
      </c>
      <c r="Q3150" s="3" t="s">
        <v>1597</v>
      </c>
      <c r="R3150" s="3" t="s">
        <v>1602</v>
      </c>
      <c r="S3150" s="3" t="s">
        <v>1603</v>
      </c>
      <c r="T3150" s="3"/>
    </row>
    <row r="3151" spans="1:20">
      <c r="A3151" s="3" t="s">
        <v>1600</v>
      </c>
      <c r="B3151" s="3" t="s">
        <v>1609</v>
      </c>
      <c r="C3151" s="3" t="s">
        <v>1616</v>
      </c>
      <c r="D3151" s="3" t="s">
        <v>1551</v>
      </c>
      <c r="E3151" s="3" t="s">
        <v>1552</v>
      </c>
      <c r="F3151" s="2">
        <v>1</v>
      </c>
      <c r="G3151" s="4">
        <v>2.0351515151515152</v>
      </c>
      <c r="H3151" s="2">
        <v>25</v>
      </c>
      <c r="I3151" s="2">
        <v>5</v>
      </c>
      <c r="J3151" s="2">
        <v>16</v>
      </c>
      <c r="K3151" s="4">
        <v>0.36681707059933399</v>
      </c>
      <c r="L3151" s="4">
        <v>0.1440609582858719</v>
      </c>
      <c r="M3151" s="4">
        <v>0.1440609582858719</v>
      </c>
      <c r="N3151" s="10">
        <v>0.14399999999999999</v>
      </c>
      <c r="O3151" s="4">
        <v>0.71924855778809416</v>
      </c>
      <c r="P3151" s="4">
        <v>0.72</v>
      </c>
      <c r="Q3151" s="3" t="s">
        <v>1597</v>
      </c>
      <c r="R3151" s="3" t="s">
        <v>1610</v>
      </c>
      <c r="S3151" s="3" t="s">
        <v>1611</v>
      </c>
      <c r="T3151" s="3"/>
    </row>
    <row r="3152" spans="1:20">
      <c r="A3152" s="3" t="s">
        <v>1600</v>
      </c>
      <c r="B3152" s="3" t="s">
        <v>1601</v>
      </c>
      <c r="C3152" s="3" t="s">
        <v>1596</v>
      </c>
      <c r="D3152" s="3" t="s">
        <v>1551</v>
      </c>
      <c r="E3152" s="3" t="s">
        <v>1552</v>
      </c>
      <c r="F3152" s="2">
        <v>1</v>
      </c>
      <c r="G3152" s="4">
        <v>2.0351515151515152</v>
      </c>
      <c r="H3152" s="2">
        <v>25</v>
      </c>
      <c r="I3152" s="2">
        <v>5</v>
      </c>
      <c r="J3152" s="2">
        <v>1</v>
      </c>
      <c r="K3152" s="4">
        <v>7.0334279326371929E-2</v>
      </c>
      <c r="L3152" s="4">
        <v>0.14307319785184922</v>
      </c>
      <c r="M3152" s="4">
        <v>0.14307319785184922</v>
      </c>
      <c r="N3152" s="10">
        <v>0.14299999999999999</v>
      </c>
      <c r="O3152" s="4">
        <v>0.71424823990480246</v>
      </c>
      <c r="P3152" s="4">
        <v>0.71</v>
      </c>
      <c r="Q3152" s="3" t="s">
        <v>1597</v>
      </c>
      <c r="R3152" s="3" t="s">
        <v>1602</v>
      </c>
      <c r="S3152" s="3" t="s">
        <v>1603</v>
      </c>
      <c r="T3152" s="3"/>
    </row>
    <row r="3153" spans="1:20">
      <c r="A3153" s="3" t="s">
        <v>1594</v>
      </c>
      <c r="B3153" s="3" t="s">
        <v>1612</v>
      </c>
      <c r="C3153" s="3" t="s">
        <v>1596</v>
      </c>
      <c r="D3153" s="3" t="s">
        <v>1551</v>
      </c>
      <c r="E3153" s="3" t="s">
        <v>1552</v>
      </c>
      <c r="F3153" s="2">
        <v>1</v>
      </c>
      <c r="G3153" s="4">
        <v>2.0351515151515152</v>
      </c>
      <c r="H3153" s="2">
        <v>50</v>
      </c>
      <c r="I3153" s="2">
        <v>5</v>
      </c>
      <c r="J3153" s="2">
        <v>16</v>
      </c>
      <c r="K3153" s="4">
        <v>0.97156985331246948</v>
      </c>
      <c r="L3153" s="4">
        <v>9.0842191928538638E-2</v>
      </c>
      <c r="M3153" s="4">
        <v>9.0842191928538638E-2</v>
      </c>
      <c r="N3153" s="10">
        <v>9.0999999999999998E-2</v>
      </c>
      <c r="O3153" s="4">
        <v>0.4895046654934147</v>
      </c>
      <c r="P3153" s="4">
        <v>0.49</v>
      </c>
      <c r="Q3153" s="3" t="s">
        <v>1597</v>
      </c>
      <c r="R3153" s="3" t="s">
        <v>1613</v>
      </c>
      <c r="S3153" s="3" t="s">
        <v>1614</v>
      </c>
      <c r="T3153" s="3"/>
    </row>
    <row r="3154" spans="1:20">
      <c r="A3154" s="3" t="s">
        <v>1600</v>
      </c>
      <c r="B3154" s="3" t="s">
        <v>1601</v>
      </c>
      <c r="C3154" s="3" t="s">
        <v>1616</v>
      </c>
      <c r="D3154" s="3" t="s">
        <v>1551</v>
      </c>
      <c r="E3154" s="3" t="s">
        <v>1552</v>
      </c>
      <c r="F3154" s="2">
        <v>1</v>
      </c>
      <c r="G3154" s="4">
        <v>2.0351515151515152</v>
      </c>
      <c r="H3154" s="2">
        <v>25</v>
      </c>
      <c r="I3154" s="2">
        <v>5</v>
      </c>
      <c r="J3154" s="2">
        <v>16</v>
      </c>
      <c r="K3154" s="4">
        <v>0.56029205758449052</v>
      </c>
      <c r="L3154" s="4">
        <v>7.6637014433249093E-2</v>
      </c>
      <c r="M3154" s="4">
        <v>7.6637014433249093E-2</v>
      </c>
      <c r="N3154" s="10">
        <v>7.6999999999999999E-2</v>
      </c>
      <c r="O3154" s="4">
        <v>0.38070793923065566</v>
      </c>
      <c r="P3154" s="4">
        <v>0.38</v>
      </c>
      <c r="Q3154" s="3" t="s">
        <v>1597</v>
      </c>
      <c r="R3154" s="3" t="s">
        <v>1602</v>
      </c>
      <c r="S3154" s="3" t="s">
        <v>1603</v>
      </c>
      <c r="T3154" s="3"/>
    </row>
    <row r="3155" spans="1:20">
      <c r="A3155" s="3" t="s">
        <v>1600</v>
      </c>
      <c r="B3155" s="3" t="s">
        <v>1609</v>
      </c>
      <c r="C3155" s="3" t="s">
        <v>1616</v>
      </c>
      <c r="D3155" s="3" t="s">
        <v>1551</v>
      </c>
      <c r="E3155" s="3" t="s">
        <v>1552</v>
      </c>
      <c r="F3155" s="2">
        <v>1</v>
      </c>
      <c r="G3155" s="4">
        <v>2.0351515151515152</v>
      </c>
      <c r="H3155" s="2">
        <v>25</v>
      </c>
      <c r="I3155" s="2">
        <v>5</v>
      </c>
      <c r="J3155" s="2">
        <v>1</v>
      </c>
      <c r="K3155" s="4">
        <v>0.10544702555726437</v>
      </c>
      <c r="L3155" s="4">
        <v>5.8221730621968885E-2</v>
      </c>
      <c r="M3155" s="4">
        <v>5.8221730621968885E-2</v>
      </c>
      <c r="N3155" s="10">
        <v>5.8000000000000003E-2</v>
      </c>
      <c r="O3155" s="4">
        <v>0.28898646284054608</v>
      </c>
      <c r="P3155" s="4">
        <v>0.28999999999999998</v>
      </c>
      <c r="Q3155" s="3" t="s">
        <v>1597</v>
      </c>
      <c r="R3155" s="3" t="s">
        <v>1610</v>
      </c>
      <c r="S3155" s="3" t="s">
        <v>1611</v>
      </c>
      <c r="T3155" s="3"/>
    </row>
    <row r="3156" spans="1:20">
      <c r="A3156" s="3" t="s">
        <v>1600</v>
      </c>
      <c r="B3156" s="3" t="s">
        <v>1609</v>
      </c>
      <c r="C3156" s="3" t="s">
        <v>1596</v>
      </c>
      <c r="D3156" s="3" t="s">
        <v>1551</v>
      </c>
      <c r="E3156" s="3" t="s">
        <v>1552</v>
      </c>
      <c r="F3156" s="2">
        <v>1</v>
      </c>
      <c r="G3156" s="4">
        <v>2.0351515151515152</v>
      </c>
      <c r="H3156" s="2">
        <v>25</v>
      </c>
      <c r="I3156" s="2">
        <v>5</v>
      </c>
      <c r="J3156" s="2">
        <v>1</v>
      </c>
      <c r="K3156" s="4">
        <v>0.10177704539609234</v>
      </c>
      <c r="L3156" s="4">
        <v>3.7083342162700515E-3</v>
      </c>
      <c r="M3156" s="4">
        <v>3.7083342162700515E-3</v>
      </c>
      <c r="N3156" s="10">
        <v>4.0000000000000001E-3</v>
      </c>
      <c r="O3156" s="4">
        <v>1.8385769287892251E-2</v>
      </c>
      <c r="P3156" s="4">
        <v>0.02</v>
      </c>
      <c r="Q3156" s="3" t="s">
        <v>1597</v>
      </c>
      <c r="R3156" s="3" t="s">
        <v>1610</v>
      </c>
      <c r="S3156" s="3" t="s">
        <v>1611</v>
      </c>
      <c r="T3156" s="3"/>
    </row>
    <row r="3157" spans="1:20">
      <c r="A3157" s="3" t="s">
        <v>1600</v>
      </c>
      <c r="B3157" s="3" t="s">
        <v>1606</v>
      </c>
      <c r="C3157" s="3" t="s">
        <v>1596</v>
      </c>
      <c r="D3157" s="3" t="s">
        <v>1551</v>
      </c>
      <c r="E3157" s="3" t="s">
        <v>1552</v>
      </c>
      <c r="F3157" s="2">
        <v>1</v>
      </c>
      <c r="G3157" s="4">
        <v>2.0351515151515152</v>
      </c>
      <c r="H3157" s="2">
        <v>25</v>
      </c>
      <c r="I3157" s="2">
        <v>5</v>
      </c>
      <c r="J3157" s="2">
        <v>16</v>
      </c>
      <c r="K3157" s="4">
        <v>0.98431320856773297</v>
      </c>
      <c r="L3157" s="4">
        <v>-1.0080443908907707E-2</v>
      </c>
      <c r="M3157" s="4">
        <v>1.0080443908907707E-2</v>
      </c>
      <c r="N3157" s="10">
        <v>0.01</v>
      </c>
      <c r="O3157" s="4">
        <v>4.9979892234056134E-2</v>
      </c>
      <c r="P3157" s="4">
        <v>-0.05</v>
      </c>
      <c r="Q3157" s="3" t="s">
        <v>1617</v>
      </c>
      <c r="R3157" s="3" t="s">
        <v>1621</v>
      </c>
      <c r="S3157" s="3" t="s">
        <v>1622</v>
      </c>
      <c r="T3157" s="3"/>
    </row>
    <row r="3158" spans="1:20">
      <c r="A3158" s="3" t="s">
        <v>1600</v>
      </c>
      <c r="B3158" s="3" t="s">
        <v>1606</v>
      </c>
      <c r="C3158" s="3" t="s">
        <v>1616</v>
      </c>
      <c r="D3158" s="3" t="s">
        <v>1551</v>
      </c>
      <c r="E3158" s="3" t="s">
        <v>1552</v>
      </c>
      <c r="F3158" s="2">
        <v>1</v>
      </c>
      <c r="G3158" s="4">
        <v>2.0351515151515152</v>
      </c>
      <c r="H3158" s="2">
        <v>25</v>
      </c>
      <c r="I3158" s="2">
        <v>5</v>
      </c>
      <c r="J3158" s="2">
        <v>1</v>
      </c>
      <c r="K3158" s="4">
        <v>0.11529163233435846</v>
      </c>
      <c r="L3158" s="4">
        <v>-1.0168948032947902E-2</v>
      </c>
      <c r="M3158" s="4">
        <v>1.0168948032947902E-2</v>
      </c>
      <c r="N3158" s="10">
        <v>0.01</v>
      </c>
      <c r="O3158" s="4">
        <v>5.0418735033588916E-2</v>
      </c>
      <c r="P3158" s="4">
        <v>-0.05</v>
      </c>
      <c r="Q3158" s="3" t="s">
        <v>1617</v>
      </c>
      <c r="R3158" s="3" t="s">
        <v>1621</v>
      </c>
      <c r="S3158" s="3" t="s">
        <v>1622</v>
      </c>
      <c r="T3158" s="3"/>
    </row>
    <row r="3159" spans="1:20">
      <c r="A3159" s="3" t="s">
        <v>1594</v>
      </c>
      <c r="B3159" s="3" t="s">
        <v>1595</v>
      </c>
      <c r="C3159" s="3" t="s">
        <v>1596</v>
      </c>
      <c r="D3159" s="3" t="s">
        <v>1551</v>
      </c>
      <c r="E3159" s="3" t="s">
        <v>1552</v>
      </c>
      <c r="F3159" s="2">
        <v>1</v>
      </c>
      <c r="G3159" s="4">
        <v>2.0351515151515152</v>
      </c>
      <c r="H3159" s="2">
        <v>25</v>
      </c>
      <c r="I3159" s="2">
        <v>5</v>
      </c>
      <c r="J3159" s="2">
        <v>16</v>
      </c>
      <c r="K3159" s="4">
        <v>1</v>
      </c>
      <c r="L3159" s="4">
        <v>-1.6336885067499116E-2</v>
      </c>
      <c r="M3159" s="4">
        <v>1.6336885067499116E-2</v>
      </c>
      <c r="N3159" s="10">
        <v>1.6E-2</v>
      </c>
      <c r="O3159" s="4">
        <v>8.1004443363170683E-2</v>
      </c>
      <c r="P3159" s="4">
        <v>-0.08</v>
      </c>
      <c r="Q3159" s="3" t="s">
        <v>1617</v>
      </c>
      <c r="R3159" s="3" t="s">
        <v>1625</v>
      </c>
      <c r="S3159" s="3" t="s">
        <v>1626</v>
      </c>
      <c r="T3159" s="3"/>
    </row>
    <row r="3160" spans="1:20">
      <c r="A3160" s="3" t="s">
        <v>1604</v>
      </c>
      <c r="B3160" s="3" t="s">
        <v>1601</v>
      </c>
      <c r="C3160" s="3" t="s">
        <v>1616</v>
      </c>
      <c r="D3160" s="3" t="s">
        <v>1551</v>
      </c>
      <c r="E3160" s="3" t="s">
        <v>1552</v>
      </c>
      <c r="F3160" s="2">
        <v>1</v>
      </c>
      <c r="G3160" s="4">
        <v>2.0351515151515152</v>
      </c>
      <c r="H3160" s="2">
        <v>25</v>
      </c>
      <c r="I3160" s="2">
        <v>30</v>
      </c>
      <c r="J3160" s="2">
        <v>16</v>
      </c>
      <c r="K3160" s="4">
        <v>1</v>
      </c>
      <c r="L3160" s="4">
        <v>-2.3215368610294784E-2</v>
      </c>
      <c r="M3160" s="4">
        <v>2.3215368610294784E-2</v>
      </c>
      <c r="N3160" s="10">
        <v>2.3E-2</v>
      </c>
      <c r="O3160" s="4">
        <v>0.11512100450146517</v>
      </c>
      <c r="P3160" s="4">
        <v>-0.11</v>
      </c>
      <c r="Q3160" s="3" t="s">
        <v>1617</v>
      </c>
      <c r="R3160" s="3" t="s">
        <v>1618</v>
      </c>
      <c r="S3160" s="3" t="s">
        <v>1619</v>
      </c>
      <c r="T3160" s="3"/>
    </row>
    <row r="3161" spans="1:20">
      <c r="A3161" s="3" t="s">
        <v>1600</v>
      </c>
      <c r="B3161" s="3" t="s">
        <v>1606</v>
      </c>
      <c r="C3161" s="3" t="s">
        <v>1596</v>
      </c>
      <c r="D3161" s="3" t="s">
        <v>1551</v>
      </c>
      <c r="E3161" s="3" t="s">
        <v>1552</v>
      </c>
      <c r="F3161" s="2">
        <v>1</v>
      </c>
      <c r="G3161" s="4">
        <v>2.0351515151515152</v>
      </c>
      <c r="H3161" s="2">
        <v>25</v>
      </c>
      <c r="I3161" s="2">
        <v>5</v>
      </c>
      <c r="J3161" s="2">
        <v>1</v>
      </c>
      <c r="K3161" s="4">
        <v>1</v>
      </c>
      <c r="L3161" s="4">
        <v>-3.1448437701568265E-2</v>
      </c>
      <c r="M3161" s="4">
        <v>3.1448437701568265E-2</v>
      </c>
      <c r="N3161" s="10">
        <v>3.1E-2</v>
      </c>
      <c r="O3161" s="4">
        <v>0.15597078458797181</v>
      </c>
      <c r="P3161" s="4">
        <v>-0.15</v>
      </c>
      <c r="Q3161" s="3" t="s">
        <v>1617</v>
      </c>
      <c r="R3161" s="3" t="s">
        <v>1621</v>
      </c>
      <c r="S3161" s="3" t="s">
        <v>1622</v>
      </c>
      <c r="T3161" s="3"/>
    </row>
    <row r="3162" spans="1:20">
      <c r="A3162" s="3" t="s">
        <v>1594</v>
      </c>
      <c r="B3162" s="3" t="s">
        <v>1595</v>
      </c>
      <c r="C3162" s="3" t="s">
        <v>1596</v>
      </c>
      <c r="D3162" s="3" t="s">
        <v>1551</v>
      </c>
      <c r="E3162" s="3" t="s">
        <v>1552</v>
      </c>
      <c r="F3162" s="2">
        <v>1</v>
      </c>
      <c r="G3162" s="4">
        <v>2.0351515151515152</v>
      </c>
      <c r="H3162" s="2">
        <v>50</v>
      </c>
      <c r="I3162" s="2">
        <v>5</v>
      </c>
      <c r="J3162" s="2">
        <v>16</v>
      </c>
      <c r="K3162" s="4">
        <v>1</v>
      </c>
      <c r="L3162" s="4">
        <v>-3.9794139485988422E-2</v>
      </c>
      <c r="M3162" s="4">
        <v>3.9794139485988422E-2</v>
      </c>
      <c r="N3162" s="10">
        <v>0.04</v>
      </c>
      <c r="O3162" s="4">
        <v>0.2139532139262682</v>
      </c>
      <c r="P3162" s="4">
        <v>-0.22</v>
      </c>
      <c r="Q3162" s="3" t="s">
        <v>1617</v>
      </c>
      <c r="R3162" s="3" t="s">
        <v>1625</v>
      </c>
      <c r="S3162" s="3" t="s">
        <v>1626</v>
      </c>
      <c r="T3162" s="3"/>
    </row>
    <row r="3163" spans="1:20">
      <c r="A3163" s="3" t="s">
        <v>1600</v>
      </c>
      <c r="B3163" s="3" t="s">
        <v>1609</v>
      </c>
      <c r="C3163" s="3" t="s">
        <v>1596</v>
      </c>
      <c r="D3163" s="3" t="s">
        <v>1551</v>
      </c>
      <c r="E3163" s="3" t="s">
        <v>1552</v>
      </c>
      <c r="F3163" s="2">
        <v>1</v>
      </c>
      <c r="G3163" s="4">
        <v>2.0351515151515152</v>
      </c>
      <c r="H3163" s="2">
        <v>25</v>
      </c>
      <c r="I3163" s="2">
        <v>5</v>
      </c>
      <c r="J3163" s="2">
        <v>16</v>
      </c>
      <c r="K3163" s="4">
        <v>0.357070519120393</v>
      </c>
      <c r="L3163" s="4">
        <v>-9.9605324617346197E-2</v>
      </c>
      <c r="M3163" s="4">
        <v>9.9605324617346197E-2</v>
      </c>
      <c r="N3163" s="10">
        <v>0.1</v>
      </c>
      <c r="O3163" s="4">
        <v>0.49547980556066834</v>
      </c>
      <c r="P3163" s="4">
        <v>-0.5</v>
      </c>
      <c r="Q3163" s="3" t="s">
        <v>1617</v>
      </c>
      <c r="R3163" s="3" t="s">
        <v>1623</v>
      </c>
      <c r="S3163" s="3" t="s">
        <v>1624</v>
      </c>
      <c r="T3163" s="3"/>
    </row>
    <row r="3164" spans="1:20">
      <c r="A3164" s="3" t="s">
        <v>1600</v>
      </c>
      <c r="B3164" s="3" t="s">
        <v>1606</v>
      </c>
      <c r="C3164" s="3" t="s">
        <v>1616</v>
      </c>
      <c r="D3164" s="3" t="s">
        <v>929</v>
      </c>
      <c r="E3164" s="3" t="s">
        <v>930</v>
      </c>
      <c r="F3164" s="2">
        <v>1</v>
      </c>
      <c r="G3164" s="4">
        <v>2.0388572570172809</v>
      </c>
      <c r="H3164" s="2">
        <v>25</v>
      </c>
      <c r="I3164" s="2">
        <v>5</v>
      </c>
      <c r="J3164" s="2">
        <v>1</v>
      </c>
      <c r="K3164" s="4">
        <v>0.19841983470949298</v>
      </c>
      <c r="L3164" s="4">
        <v>0.76992049792127593</v>
      </c>
      <c r="M3164" s="4">
        <v>0.76992049792127593</v>
      </c>
      <c r="N3164" s="10">
        <v>0.77</v>
      </c>
      <c r="O3164" s="4">
        <v>5.0577519979204721</v>
      </c>
      <c r="P3164" s="4">
        <v>5.0599999999999996</v>
      </c>
      <c r="Q3164" s="3" t="s">
        <v>1597</v>
      </c>
      <c r="R3164" s="3" t="s">
        <v>1607</v>
      </c>
      <c r="S3164" s="3" t="s">
        <v>1608</v>
      </c>
      <c r="T3164" s="3"/>
    </row>
    <row r="3165" spans="1:20">
      <c r="A3165" s="3" t="s">
        <v>1600</v>
      </c>
      <c r="B3165" s="3" t="s">
        <v>1606</v>
      </c>
      <c r="C3165" s="3" t="s">
        <v>1616</v>
      </c>
      <c r="D3165" s="3" t="s">
        <v>929</v>
      </c>
      <c r="E3165" s="3" t="s">
        <v>930</v>
      </c>
      <c r="F3165" s="2">
        <v>1</v>
      </c>
      <c r="G3165" s="4">
        <v>2.0388572570172809</v>
      </c>
      <c r="H3165" s="2">
        <v>25</v>
      </c>
      <c r="I3165" s="2">
        <v>5</v>
      </c>
      <c r="J3165" s="2">
        <v>16</v>
      </c>
      <c r="K3165" s="4">
        <v>1</v>
      </c>
      <c r="L3165" s="4">
        <v>0.68963999502377105</v>
      </c>
      <c r="M3165" s="4">
        <v>0.68963999502377105</v>
      </c>
      <c r="N3165" s="10">
        <v>0.69</v>
      </c>
      <c r="O3165" s="4">
        <v>4.2007053629833448</v>
      </c>
      <c r="P3165" s="4">
        <v>4.2</v>
      </c>
      <c r="Q3165" s="3" t="s">
        <v>1597</v>
      </c>
      <c r="R3165" s="3" t="s">
        <v>1607</v>
      </c>
      <c r="S3165" s="3" t="s">
        <v>1608</v>
      </c>
      <c r="T3165" s="3"/>
    </row>
    <row r="3166" spans="1:20">
      <c r="A3166" s="3" t="s">
        <v>1600</v>
      </c>
      <c r="B3166" s="3" t="s">
        <v>1601</v>
      </c>
      <c r="C3166" s="3" t="s">
        <v>1616</v>
      </c>
      <c r="D3166" s="3" t="s">
        <v>929</v>
      </c>
      <c r="E3166" s="3" t="s">
        <v>930</v>
      </c>
      <c r="F3166" s="2">
        <v>1</v>
      </c>
      <c r="G3166" s="4">
        <v>2.0388572570172809</v>
      </c>
      <c r="H3166" s="2">
        <v>25</v>
      </c>
      <c r="I3166" s="2">
        <v>5</v>
      </c>
      <c r="J3166" s="2">
        <v>16</v>
      </c>
      <c r="K3166" s="4">
        <v>0.16803676039373683</v>
      </c>
      <c r="L3166" s="4">
        <v>0.61255006449956639</v>
      </c>
      <c r="M3166" s="4">
        <v>0.61255006449956639</v>
      </c>
      <c r="N3166" s="10">
        <v>0.61299999999999999</v>
      </c>
      <c r="O3166" s="4">
        <v>3.5349725589788203</v>
      </c>
      <c r="P3166" s="4">
        <v>3.54</v>
      </c>
      <c r="Q3166" s="3" t="s">
        <v>1597</v>
      </c>
      <c r="R3166" s="3" t="s">
        <v>1602</v>
      </c>
      <c r="S3166" s="3" t="s">
        <v>1603</v>
      </c>
      <c r="T3166" s="3"/>
    </row>
    <row r="3167" spans="1:20">
      <c r="A3167" s="3" t="s">
        <v>1600</v>
      </c>
      <c r="B3167" s="3" t="s">
        <v>1606</v>
      </c>
      <c r="C3167" s="3" t="s">
        <v>1596</v>
      </c>
      <c r="D3167" s="3" t="s">
        <v>929</v>
      </c>
      <c r="E3167" s="3" t="s">
        <v>930</v>
      </c>
      <c r="F3167" s="2">
        <v>1</v>
      </c>
      <c r="G3167" s="4">
        <v>2.0388572570172809</v>
      </c>
      <c r="H3167" s="2">
        <v>25</v>
      </c>
      <c r="I3167" s="2">
        <v>5</v>
      </c>
      <c r="J3167" s="2">
        <v>16</v>
      </c>
      <c r="K3167" s="4">
        <v>0.27242380847404435</v>
      </c>
      <c r="L3167" s="4">
        <v>0.58658162129652414</v>
      </c>
      <c r="M3167" s="4">
        <v>0.58658162129652414</v>
      </c>
      <c r="N3167" s="10">
        <v>0.58699999999999997</v>
      </c>
      <c r="O3167" s="4">
        <v>3.3339071667783076</v>
      </c>
      <c r="P3167" s="4">
        <v>3.34</v>
      </c>
      <c r="Q3167" s="3" t="s">
        <v>1597</v>
      </c>
      <c r="R3167" s="3" t="s">
        <v>1607</v>
      </c>
      <c r="S3167" s="3" t="s">
        <v>1608</v>
      </c>
      <c r="T3167" s="3"/>
    </row>
    <row r="3168" spans="1:20">
      <c r="A3168" s="3" t="s">
        <v>1600</v>
      </c>
      <c r="B3168" s="3" t="s">
        <v>1601</v>
      </c>
      <c r="C3168" s="3" t="s">
        <v>1616</v>
      </c>
      <c r="D3168" s="3" t="s">
        <v>929</v>
      </c>
      <c r="E3168" s="3" t="s">
        <v>930</v>
      </c>
      <c r="F3168" s="2">
        <v>1</v>
      </c>
      <c r="G3168" s="4">
        <v>2.0388572570172809</v>
      </c>
      <c r="H3168" s="2">
        <v>25</v>
      </c>
      <c r="I3168" s="2">
        <v>5</v>
      </c>
      <c r="J3168" s="2">
        <v>1</v>
      </c>
      <c r="K3168" s="4">
        <v>4.7625906880044533E-2</v>
      </c>
      <c r="L3168" s="4">
        <v>0.56557246645807924</v>
      </c>
      <c r="M3168" s="4">
        <v>0.56557246645807924</v>
      </c>
      <c r="N3168" s="10">
        <v>0.56599999999999995</v>
      </c>
      <c r="O3168" s="4">
        <v>3.1779818693283013</v>
      </c>
      <c r="P3168" s="4">
        <v>3.18</v>
      </c>
      <c r="Q3168" s="3" t="s">
        <v>1597</v>
      </c>
      <c r="R3168" s="3" t="s">
        <v>1602</v>
      </c>
      <c r="S3168" s="3" t="s">
        <v>1603</v>
      </c>
      <c r="T3168" s="3"/>
    </row>
    <row r="3169" spans="1:20">
      <c r="A3169" s="3" t="s">
        <v>1600</v>
      </c>
      <c r="B3169" s="3" t="s">
        <v>1606</v>
      </c>
      <c r="C3169" s="3" t="s">
        <v>1596</v>
      </c>
      <c r="D3169" s="3" t="s">
        <v>929</v>
      </c>
      <c r="E3169" s="3" t="s">
        <v>930</v>
      </c>
      <c r="F3169" s="2">
        <v>1</v>
      </c>
      <c r="G3169" s="4">
        <v>2.0388572570172809</v>
      </c>
      <c r="H3169" s="2">
        <v>25</v>
      </c>
      <c r="I3169" s="2">
        <v>5</v>
      </c>
      <c r="J3169" s="2">
        <v>1</v>
      </c>
      <c r="K3169" s="4">
        <v>0.13307542273982542</v>
      </c>
      <c r="L3169" s="4">
        <v>0.53575269588952756</v>
      </c>
      <c r="M3169" s="4">
        <v>0.53575269588952756</v>
      </c>
      <c r="N3169" s="10">
        <v>0.53600000000000003</v>
      </c>
      <c r="O3169" s="4">
        <v>2.9657346529105237</v>
      </c>
      <c r="P3169" s="4">
        <v>2.97</v>
      </c>
      <c r="Q3169" s="3" t="s">
        <v>1597</v>
      </c>
      <c r="R3169" s="3" t="s">
        <v>1607</v>
      </c>
      <c r="S3169" s="3" t="s">
        <v>1608</v>
      </c>
      <c r="T3169" s="3"/>
    </row>
    <row r="3170" spans="1:20">
      <c r="A3170" s="3" t="s">
        <v>1604</v>
      </c>
      <c r="B3170" s="3" t="s">
        <v>1601</v>
      </c>
      <c r="C3170" s="3" t="s">
        <v>1596</v>
      </c>
      <c r="D3170" s="3" t="s">
        <v>929</v>
      </c>
      <c r="E3170" s="3" t="s">
        <v>930</v>
      </c>
      <c r="F3170" s="2">
        <v>1</v>
      </c>
      <c r="G3170" s="4">
        <v>2.0388572570172809</v>
      </c>
      <c r="H3170" s="2">
        <v>25</v>
      </c>
      <c r="I3170" s="2">
        <v>30</v>
      </c>
      <c r="J3170" s="2">
        <v>16</v>
      </c>
      <c r="K3170" s="4">
        <v>0.35331861223340799</v>
      </c>
      <c r="L3170" s="4">
        <v>0.38127363498902545</v>
      </c>
      <c r="M3170" s="4">
        <v>0.38127363498902545</v>
      </c>
      <c r="N3170" s="10">
        <v>0.38100000000000001</v>
      </c>
      <c r="O3170" s="4">
        <v>1.9908547830967833</v>
      </c>
      <c r="P3170" s="4">
        <v>1.99</v>
      </c>
      <c r="Q3170" s="3" t="s">
        <v>1597</v>
      </c>
      <c r="R3170" s="3" t="s">
        <v>1602</v>
      </c>
      <c r="S3170" s="3" t="s">
        <v>1603</v>
      </c>
      <c r="T3170" s="3"/>
    </row>
    <row r="3171" spans="1:20">
      <c r="A3171" s="3" t="s">
        <v>1600</v>
      </c>
      <c r="B3171" s="3" t="s">
        <v>1601</v>
      </c>
      <c r="C3171" s="3" t="s">
        <v>1596</v>
      </c>
      <c r="D3171" s="3" t="s">
        <v>929</v>
      </c>
      <c r="E3171" s="3" t="s">
        <v>930</v>
      </c>
      <c r="F3171" s="2">
        <v>1</v>
      </c>
      <c r="G3171" s="4">
        <v>2.0388572570172809</v>
      </c>
      <c r="H3171" s="2">
        <v>25</v>
      </c>
      <c r="I3171" s="2">
        <v>5</v>
      </c>
      <c r="J3171" s="2">
        <v>16</v>
      </c>
      <c r="K3171" s="4">
        <v>0.15674969848043518</v>
      </c>
      <c r="L3171" s="4">
        <v>0.3407183417556815</v>
      </c>
      <c r="M3171" s="4">
        <v>0.3407183417556815</v>
      </c>
      <c r="N3171" s="10">
        <v>0.34100000000000003</v>
      </c>
      <c r="O3171" s="4">
        <v>1.759596349620218</v>
      </c>
      <c r="P3171" s="4">
        <v>1.76</v>
      </c>
      <c r="Q3171" s="3" t="s">
        <v>1597</v>
      </c>
      <c r="R3171" s="3" t="s">
        <v>1602</v>
      </c>
      <c r="S3171" s="3" t="s">
        <v>1603</v>
      </c>
      <c r="T3171" s="3"/>
    </row>
    <row r="3172" spans="1:20">
      <c r="A3172" s="3" t="s">
        <v>1605</v>
      </c>
      <c r="B3172" s="3" t="s">
        <v>1601</v>
      </c>
      <c r="C3172" s="3" t="s">
        <v>1596</v>
      </c>
      <c r="D3172" s="3" t="s">
        <v>929</v>
      </c>
      <c r="E3172" s="3" t="s">
        <v>930</v>
      </c>
      <c r="F3172" s="2">
        <v>1</v>
      </c>
      <c r="G3172" s="4">
        <v>2.0388572570172809</v>
      </c>
      <c r="H3172" s="2">
        <v>25</v>
      </c>
      <c r="I3172" s="2">
        <v>5</v>
      </c>
      <c r="J3172" s="2">
        <v>16</v>
      </c>
      <c r="K3172" s="4">
        <v>0.22830563734602272</v>
      </c>
      <c r="L3172" s="4">
        <v>0.22649875348099421</v>
      </c>
      <c r="M3172" s="4">
        <v>0.22649875348099421</v>
      </c>
      <c r="N3172" s="10">
        <v>0.22600000000000001</v>
      </c>
      <c r="O3172" s="4">
        <v>1.1427834206445</v>
      </c>
      <c r="P3172" s="4">
        <v>1.1399999999999999</v>
      </c>
      <c r="Q3172" s="3" t="s">
        <v>1597</v>
      </c>
      <c r="R3172" s="3" t="s">
        <v>1602</v>
      </c>
      <c r="S3172" s="3" t="s">
        <v>1603</v>
      </c>
      <c r="T3172" s="3"/>
    </row>
    <row r="3173" spans="1:20">
      <c r="A3173" s="3" t="s">
        <v>1594</v>
      </c>
      <c r="B3173" s="3" t="s">
        <v>1595</v>
      </c>
      <c r="C3173" s="3" t="s">
        <v>1596</v>
      </c>
      <c r="D3173" s="3" t="s">
        <v>929</v>
      </c>
      <c r="E3173" s="3" t="s">
        <v>930</v>
      </c>
      <c r="F3173" s="2">
        <v>1</v>
      </c>
      <c r="G3173" s="4">
        <v>2.0388572570172809</v>
      </c>
      <c r="H3173" s="2">
        <v>25</v>
      </c>
      <c r="I3173" s="2">
        <v>5</v>
      </c>
      <c r="J3173" s="2">
        <v>16</v>
      </c>
      <c r="K3173" s="4">
        <v>0.12596753189332355</v>
      </c>
      <c r="L3173" s="4">
        <v>0.20084681053023978</v>
      </c>
      <c r="M3173" s="4">
        <v>0.20084681053023978</v>
      </c>
      <c r="N3173" s="10">
        <v>0.20100000000000001</v>
      </c>
      <c r="O3173" s="4">
        <v>1.0095092392942648</v>
      </c>
      <c r="P3173" s="4">
        <v>1.01</v>
      </c>
      <c r="Q3173" s="3" t="s">
        <v>1597</v>
      </c>
      <c r="R3173" s="3" t="s">
        <v>1598</v>
      </c>
      <c r="S3173" s="3" t="s">
        <v>1599</v>
      </c>
      <c r="T3173" s="3"/>
    </row>
    <row r="3174" spans="1:20">
      <c r="A3174" s="3" t="s">
        <v>1604</v>
      </c>
      <c r="B3174" s="3" t="s">
        <v>1601</v>
      </c>
      <c r="C3174" s="3" t="s">
        <v>1616</v>
      </c>
      <c r="D3174" s="3" t="s">
        <v>929</v>
      </c>
      <c r="E3174" s="3" t="s">
        <v>930</v>
      </c>
      <c r="F3174" s="2">
        <v>1</v>
      </c>
      <c r="G3174" s="4">
        <v>2.0388572570172809</v>
      </c>
      <c r="H3174" s="2">
        <v>25</v>
      </c>
      <c r="I3174" s="2">
        <v>30</v>
      </c>
      <c r="J3174" s="2">
        <v>16</v>
      </c>
      <c r="K3174" s="4">
        <v>0.20356236792239801</v>
      </c>
      <c r="L3174" s="4">
        <v>0.17463694198296154</v>
      </c>
      <c r="M3174" s="4">
        <v>0.17463694198296154</v>
      </c>
      <c r="N3174" s="10">
        <v>0.17499999999999999</v>
      </c>
      <c r="O3174" s="4">
        <v>0.87480564111621828</v>
      </c>
      <c r="P3174" s="4">
        <v>0.88</v>
      </c>
      <c r="Q3174" s="3" t="s">
        <v>1597</v>
      </c>
      <c r="R3174" s="3" t="s">
        <v>1602</v>
      </c>
      <c r="S3174" s="3" t="s">
        <v>1603</v>
      </c>
      <c r="T3174" s="3"/>
    </row>
    <row r="3175" spans="1:20">
      <c r="A3175" s="3" t="s">
        <v>1594</v>
      </c>
      <c r="B3175" s="3" t="s">
        <v>1595</v>
      </c>
      <c r="C3175" s="3" t="s">
        <v>1596</v>
      </c>
      <c r="D3175" s="3" t="s">
        <v>929</v>
      </c>
      <c r="E3175" s="3" t="s">
        <v>930</v>
      </c>
      <c r="F3175" s="2">
        <v>1</v>
      </c>
      <c r="G3175" s="4">
        <v>2.0388572570172809</v>
      </c>
      <c r="H3175" s="2">
        <v>50</v>
      </c>
      <c r="I3175" s="2">
        <v>5</v>
      </c>
      <c r="J3175" s="2">
        <v>16</v>
      </c>
      <c r="K3175" s="4">
        <v>1</v>
      </c>
      <c r="L3175" s="4">
        <v>0.14004651530829673</v>
      </c>
      <c r="M3175" s="4">
        <v>0.14004651530829673</v>
      </c>
      <c r="N3175" s="10">
        <v>0.14000000000000001</v>
      </c>
      <c r="O3175" s="4">
        <v>0.75754127767522217</v>
      </c>
      <c r="P3175" s="4">
        <v>0.76</v>
      </c>
      <c r="Q3175" s="3" t="s">
        <v>1597</v>
      </c>
      <c r="R3175" s="3" t="s">
        <v>1598</v>
      </c>
      <c r="S3175" s="3" t="s">
        <v>1599</v>
      </c>
      <c r="T3175" s="3"/>
    </row>
    <row r="3176" spans="1:20">
      <c r="A3176" s="3" t="s">
        <v>1600</v>
      </c>
      <c r="B3176" s="3" t="s">
        <v>1609</v>
      </c>
      <c r="C3176" s="3" t="s">
        <v>1596</v>
      </c>
      <c r="D3176" s="3" t="s">
        <v>929</v>
      </c>
      <c r="E3176" s="3" t="s">
        <v>930</v>
      </c>
      <c r="F3176" s="2">
        <v>1</v>
      </c>
      <c r="G3176" s="4">
        <v>2.0388572570172809</v>
      </c>
      <c r="H3176" s="2">
        <v>25</v>
      </c>
      <c r="I3176" s="2">
        <v>5</v>
      </c>
      <c r="J3176" s="2">
        <v>16</v>
      </c>
      <c r="K3176" s="4">
        <v>0.14188857257632426</v>
      </c>
      <c r="L3176" s="4">
        <v>0.10920279787203134</v>
      </c>
      <c r="M3176" s="4">
        <v>0.10920279787203134</v>
      </c>
      <c r="N3176" s="10">
        <v>0.109</v>
      </c>
      <c r="O3176" s="4">
        <v>0.54358824463020028</v>
      </c>
      <c r="P3176" s="4">
        <v>0.54</v>
      </c>
      <c r="Q3176" s="3" t="s">
        <v>1597</v>
      </c>
      <c r="R3176" s="3" t="s">
        <v>1610</v>
      </c>
      <c r="S3176" s="3" t="s">
        <v>1611</v>
      </c>
      <c r="T3176" s="3"/>
    </row>
    <row r="3177" spans="1:20">
      <c r="A3177" s="3" t="s">
        <v>1600</v>
      </c>
      <c r="B3177" s="3" t="s">
        <v>1601</v>
      </c>
      <c r="C3177" s="3" t="s">
        <v>1596</v>
      </c>
      <c r="D3177" s="3" t="s">
        <v>929</v>
      </c>
      <c r="E3177" s="3" t="s">
        <v>930</v>
      </c>
      <c r="F3177" s="2">
        <v>1</v>
      </c>
      <c r="G3177" s="4">
        <v>2.0388572570172809</v>
      </c>
      <c r="H3177" s="2">
        <v>25</v>
      </c>
      <c r="I3177" s="2">
        <v>5</v>
      </c>
      <c r="J3177" s="2">
        <v>1</v>
      </c>
      <c r="K3177" s="4">
        <v>0</v>
      </c>
      <c r="L3177" s="4">
        <v>0</v>
      </c>
      <c r="M3177" s="4">
        <v>0</v>
      </c>
      <c r="N3177" s="10">
        <v>0</v>
      </c>
      <c r="O3177" s="4">
        <v>0</v>
      </c>
      <c r="P3177" s="4">
        <v>0</v>
      </c>
      <c r="Q3177" s="3" t="s">
        <v>1617</v>
      </c>
      <c r="R3177" s="3" t="s">
        <v>1618</v>
      </c>
      <c r="S3177" s="3" t="s">
        <v>1619</v>
      </c>
      <c r="T3177" s="3"/>
    </row>
    <row r="3178" spans="1:20">
      <c r="A3178" s="3" t="s">
        <v>1594</v>
      </c>
      <c r="B3178" s="3" t="s">
        <v>1612</v>
      </c>
      <c r="C3178" s="3" t="s">
        <v>1596</v>
      </c>
      <c r="D3178" s="3" t="s">
        <v>929</v>
      </c>
      <c r="E3178" s="3" t="s">
        <v>930</v>
      </c>
      <c r="F3178" s="2">
        <v>1</v>
      </c>
      <c r="G3178" s="4">
        <v>2.0388572570172809</v>
      </c>
      <c r="H3178" s="2">
        <v>50</v>
      </c>
      <c r="I3178" s="2">
        <v>5</v>
      </c>
      <c r="J3178" s="2">
        <v>16</v>
      </c>
      <c r="K3178" s="4">
        <v>0.55032160638028249</v>
      </c>
      <c r="L3178" s="4">
        <v>-1.7482151017276725E-3</v>
      </c>
      <c r="M3178" s="4">
        <v>1.7482151017276725E-3</v>
      </c>
      <c r="N3178" s="10">
        <v>2E-3</v>
      </c>
      <c r="O3178" s="4">
        <v>9.3943254941357811E-3</v>
      </c>
      <c r="P3178" s="4">
        <v>-0.01</v>
      </c>
      <c r="Q3178" s="3" t="s">
        <v>1617</v>
      </c>
      <c r="R3178" s="3" t="s">
        <v>1627</v>
      </c>
      <c r="S3178" s="3" t="s">
        <v>1628</v>
      </c>
      <c r="T3178" s="3"/>
    </row>
    <row r="3179" spans="1:20">
      <c r="A3179" s="3" t="s">
        <v>1600</v>
      </c>
      <c r="B3179" s="3" t="s">
        <v>1609</v>
      </c>
      <c r="C3179" s="3" t="s">
        <v>1596</v>
      </c>
      <c r="D3179" s="3" t="s">
        <v>929</v>
      </c>
      <c r="E3179" s="3" t="s">
        <v>930</v>
      </c>
      <c r="F3179" s="2">
        <v>1</v>
      </c>
      <c r="G3179" s="4">
        <v>2.0388572570172809</v>
      </c>
      <c r="H3179" s="2">
        <v>25</v>
      </c>
      <c r="I3179" s="2">
        <v>5</v>
      </c>
      <c r="J3179" s="2">
        <v>1</v>
      </c>
      <c r="K3179" s="4">
        <v>2.3574638571349782E-2</v>
      </c>
      <c r="L3179" s="4">
        <v>-0.19126622539327776</v>
      </c>
      <c r="M3179" s="4">
        <v>0.19126622539327776</v>
      </c>
      <c r="N3179" s="10">
        <v>0.191</v>
      </c>
      <c r="O3179" s="4">
        <v>0.9601100560938246</v>
      </c>
      <c r="P3179" s="4">
        <v>-0.96</v>
      </c>
      <c r="Q3179" s="3" t="s">
        <v>1617</v>
      </c>
      <c r="R3179" s="3" t="s">
        <v>1623</v>
      </c>
      <c r="S3179" s="3" t="s">
        <v>1624</v>
      </c>
      <c r="T3179" s="3"/>
    </row>
    <row r="3180" spans="1:20">
      <c r="A3180" s="3" t="s">
        <v>1600</v>
      </c>
      <c r="B3180" s="3" t="s">
        <v>1609</v>
      </c>
      <c r="C3180" s="3" t="s">
        <v>1616</v>
      </c>
      <c r="D3180" s="3" t="s">
        <v>929</v>
      </c>
      <c r="E3180" s="3" t="s">
        <v>930</v>
      </c>
      <c r="F3180" s="2">
        <v>1</v>
      </c>
      <c r="G3180" s="4">
        <v>2.0388572570172809</v>
      </c>
      <c r="H3180" s="2">
        <v>25</v>
      </c>
      <c r="I3180" s="2">
        <v>5</v>
      </c>
      <c r="J3180" s="2">
        <v>16</v>
      </c>
      <c r="K3180" s="4">
        <v>4.4691210720972707E-2</v>
      </c>
      <c r="L3180" s="4">
        <v>-0.24040171852338341</v>
      </c>
      <c r="M3180" s="4">
        <v>0.24040171852338341</v>
      </c>
      <c r="N3180" s="10">
        <v>0.24</v>
      </c>
      <c r="O3180" s="4">
        <v>1.2156881153997898</v>
      </c>
      <c r="P3180" s="4">
        <v>-1.21</v>
      </c>
      <c r="Q3180" s="3" t="s">
        <v>1617</v>
      </c>
      <c r="R3180" s="3" t="s">
        <v>1623</v>
      </c>
      <c r="S3180" s="3" t="s">
        <v>1624</v>
      </c>
      <c r="T3180" s="3"/>
    </row>
    <row r="3181" spans="1:20">
      <c r="A3181" s="3" t="s">
        <v>1600</v>
      </c>
      <c r="B3181" s="3" t="s">
        <v>1609</v>
      </c>
      <c r="C3181" s="3" t="s">
        <v>1616</v>
      </c>
      <c r="D3181" s="3" t="s">
        <v>929</v>
      </c>
      <c r="E3181" s="3" t="s">
        <v>930</v>
      </c>
      <c r="F3181" s="2">
        <v>1</v>
      </c>
      <c r="G3181" s="4">
        <v>2.0388572570172809</v>
      </c>
      <c r="H3181" s="2">
        <v>25</v>
      </c>
      <c r="I3181" s="2">
        <v>5</v>
      </c>
      <c r="J3181" s="2">
        <v>1</v>
      </c>
      <c r="K3181" s="4">
        <v>3.4763720457742564E-2</v>
      </c>
      <c r="L3181" s="4">
        <v>-0.26962582538517976</v>
      </c>
      <c r="M3181" s="4">
        <v>0.26962582538517976</v>
      </c>
      <c r="N3181" s="10">
        <v>0.27</v>
      </c>
      <c r="O3181" s="4">
        <v>1.370672420900704</v>
      </c>
      <c r="P3181" s="4">
        <v>-1.37</v>
      </c>
      <c r="Q3181" s="3" t="s">
        <v>1617</v>
      </c>
      <c r="R3181" s="3" t="s">
        <v>1623</v>
      </c>
      <c r="S3181" s="3" t="s">
        <v>1624</v>
      </c>
      <c r="T3181" s="3"/>
    </row>
    <row r="3182" spans="1:20">
      <c r="A3182" s="3" t="s">
        <v>1600</v>
      </c>
      <c r="B3182" s="3" t="s">
        <v>1601</v>
      </c>
      <c r="C3182" s="3" t="s">
        <v>1596</v>
      </c>
      <c r="D3182" s="3" t="s">
        <v>1380</v>
      </c>
      <c r="E3182" s="3" t="s">
        <v>1381</v>
      </c>
      <c r="F3182" s="2">
        <v>1</v>
      </c>
      <c r="G3182" s="4">
        <v>2.0401842316350556</v>
      </c>
      <c r="H3182" s="2">
        <v>25</v>
      </c>
      <c r="I3182" s="2">
        <v>5</v>
      </c>
      <c r="J3182" s="2">
        <v>1</v>
      </c>
      <c r="K3182" s="4">
        <v>5.5279367233579069E-2</v>
      </c>
      <c r="L3182" s="4">
        <v>1</v>
      </c>
      <c r="M3182" s="4">
        <v>1</v>
      </c>
      <c r="N3182" s="10">
        <v>0.995</v>
      </c>
      <c r="O3182" s="4">
        <v>14.85</v>
      </c>
      <c r="P3182" s="4">
        <v>14.85</v>
      </c>
      <c r="Q3182" s="3" t="s">
        <v>1597</v>
      </c>
      <c r="R3182" s="3" t="s">
        <v>1602</v>
      </c>
      <c r="S3182" s="3" t="s">
        <v>1603</v>
      </c>
      <c r="T3182" s="3"/>
    </row>
    <row r="3183" spans="1:20">
      <c r="A3183" s="3" t="s">
        <v>1600</v>
      </c>
      <c r="B3183" s="3" t="s">
        <v>1601</v>
      </c>
      <c r="C3183" s="3" t="s">
        <v>1596</v>
      </c>
      <c r="D3183" s="3" t="s">
        <v>1380</v>
      </c>
      <c r="E3183" s="3" t="s">
        <v>1381</v>
      </c>
      <c r="F3183" s="2">
        <v>1</v>
      </c>
      <c r="G3183" s="4">
        <v>2.0401842316350556</v>
      </c>
      <c r="H3183" s="2">
        <v>25</v>
      </c>
      <c r="I3183" s="2">
        <v>5</v>
      </c>
      <c r="J3183" s="2">
        <v>16</v>
      </c>
      <c r="K3183" s="4">
        <v>4.9065807396287298E-2</v>
      </c>
      <c r="L3183" s="4">
        <v>1</v>
      </c>
      <c r="M3183" s="4">
        <v>1</v>
      </c>
      <c r="N3183" s="10">
        <v>0.995</v>
      </c>
      <c r="O3183" s="4">
        <v>14.85</v>
      </c>
      <c r="P3183" s="4">
        <v>14.85</v>
      </c>
      <c r="Q3183" s="3" t="s">
        <v>1597</v>
      </c>
      <c r="R3183" s="3" t="s">
        <v>1602</v>
      </c>
      <c r="S3183" s="3" t="s">
        <v>1603</v>
      </c>
      <c r="T3183" s="3"/>
    </row>
    <row r="3184" spans="1:20">
      <c r="A3184" s="3" t="s">
        <v>1600</v>
      </c>
      <c r="B3184" s="3" t="s">
        <v>1601</v>
      </c>
      <c r="C3184" s="3" t="s">
        <v>1616</v>
      </c>
      <c r="D3184" s="3" t="s">
        <v>1380</v>
      </c>
      <c r="E3184" s="3" t="s">
        <v>1381</v>
      </c>
      <c r="F3184" s="2">
        <v>1</v>
      </c>
      <c r="G3184" s="4">
        <v>2.0401842316350556</v>
      </c>
      <c r="H3184" s="2">
        <v>25</v>
      </c>
      <c r="I3184" s="2">
        <v>5</v>
      </c>
      <c r="J3184" s="2">
        <v>1</v>
      </c>
      <c r="K3184" s="4">
        <v>0.10537702602792332</v>
      </c>
      <c r="L3184" s="4">
        <v>0.85640278133433134</v>
      </c>
      <c r="M3184" s="4">
        <v>0.85640278133433134</v>
      </c>
      <c r="N3184" s="10">
        <v>0.85599999999999998</v>
      </c>
      <c r="O3184" s="4">
        <v>6.3446305361516995</v>
      </c>
      <c r="P3184" s="4">
        <v>6.34</v>
      </c>
      <c r="Q3184" s="3" t="s">
        <v>1597</v>
      </c>
      <c r="R3184" s="3" t="s">
        <v>1602</v>
      </c>
      <c r="S3184" s="3" t="s">
        <v>1603</v>
      </c>
      <c r="T3184" s="3"/>
    </row>
    <row r="3185" spans="1:20">
      <c r="A3185" s="3" t="s">
        <v>1605</v>
      </c>
      <c r="B3185" s="3" t="s">
        <v>1601</v>
      </c>
      <c r="C3185" s="3" t="s">
        <v>1596</v>
      </c>
      <c r="D3185" s="3" t="s">
        <v>1380</v>
      </c>
      <c r="E3185" s="3" t="s">
        <v>1381</v>
      </c>
      <c r="F3185" s="2">
        <v>1</v>
      </c>
      <c r="G3185" s="4">
        <v>2.0401842316350556</v>
      </c>
      <c r="H3185" s="2">
        <v>25</v>
      </c>
      <c r="I3185" s="2">
        <v>5</v>
      </c>
      <c r="J3185" s="2">
        <v>16</v>
      </c>
      <c r="K3185" s="4">
        <v>7.6744383350408896E-2</v>
      </c>
      <c r="L3185" s="4">
        <v>0.79187400605345504</v>
      </c>
      <c r="M3185" s="4">
        <v>0.79187400605345504</v>
      </c>
      <c r="N3185" s="10">
        <v>0.79200000000000004</v>
      </c>
      <c r="O3185" s="4">
        <v>5.3369052519874547</v>
      </c>
      <c r="P3185" s="4">
        <v>5.34</v>
      </c>
      <c r="Q3185" s="3" t="s">
        <v>1597</v>
      </c>
      <c r="R3185" s="3" t="s">
        <v>1602</v>
      </c>
      <c r="S3185" s="3" t="s">
        <v>1603</v>
      </c>
      <c r="T3185" s="3"/>
    </row>
    <row r="3186" spans="1:20">
      <c r="A3186" s="3" t="s">
        <v>1600</v>
      </c>
      <c r="B3186" s="3" t="s">
        <v>1606</v>
      </c>
      <c r="C3186" s="3" t="s">
        <v>1596</v>
      </c>
      <c r="D3186" s="3" t="s">
        <v>1380</v>
      </c>
      <c r="E3186" s="3" t="s">
        <v>1381</v>
      </c>
      <c r="F3186" s="2">
        <v>1</v>
      </c>
      <c r="G3186" s="4">
        <v>2.0401842316350556</v>
      </c>
      <c r="H3186" s="2">
        <v>25</v>
      </c>
      <c r="I3186" s="2">
        <v>5</v>
      </c>
      <c r="J3186" s="2">
        <v>16</v>
      </c>
      <c r="K3186" s="4">
        <v>0.19030884912635837</v>
      </c>
      <c r="L3186" s="4">
        <v>0.76008081488340773</v>
      </c>
      <c r="M3186" s="4">
        <v>0.76008081488340773</v>
      </c>
      <c r="N3186" s="10">
        <v>0.76</v>
      </c>
      <c r="O3186" s="4">
        <v>4.9401196749578391</v>
      </c>
      <c r="P3186" s="4">
        <v>4.9400000000000004</v>
      </c>
      <c r="Q3186" s="3" t="s">
        <v>1597</v>
      </c>
      <c r="R3186" s="3" t="s">
        <v>1607</v>
      </c>
      <c r="S3186" s="3" t="s">
        <v>1608</v>
      </c>
      <c r="T3186" s="3"/>
    </row>
    <row r="3187" spans="1:20">
      <c r="A3187" s="3" t="s">
        <v>1604</v>
      </c>
      <c r="B3187" s="3" t="s">
        <v>1601</v>
      </c>
      <c r="C3187" s="3" t="s">
        <v>1596</v>
      </c>
      <c r="D3187" s="3" t="s">
        <v>1380</v>
      </c>
      <c r="E3187" s="3" t="s">
        <v>1381</v>
      </c>
      <c r="F3187" s="2">
        <v>1</v>
      </c>
      <c r="G3187" s="4">
        <v>2.0401842316350556</v>
      </c>
      <c r="H3187" s="2">
        <v>25</v>
      </c>
      <c r="I3187" s="2">
        <v>30</v>
      </c>
      <c r="J3187" s="2">
        <v>16</v>
      </c>
      <c r="K3187" s="4">
        <v>6.4246743004408802E-2</v>
      </c>
      <c r="L3187" s="4">
        <v>0.63560061042075433</v>
      </c>
      <c r="M3187" s="4">
        <v>0.63560061042075433</v>
      </c>
      <c r="N3187" s="10">
        <v>0.63600000000000001</v>
      </c>
      <c r="O3187" s="4">
        <v>3.7222075806245969</v>
      </c>
      <c r="P3187" s="4">
        <v>3.73</v>
      </c>
      <c r="Q3187" s="3" t="s">
        <v>1597</v>
      </c>
      <c r="R3187" s="3" t="s">
        <v>1602</v>
      </c>
      <c r="S3187" s="3" t="s">
        <v>1603</v>
      </c>
      <c r="T3187" s="3"/>
    </row>
    <row r="3188" spans="1:20">
      <c r="A3188" s="3" t="s">
        <v>1594</v>
      </c>
      <c r="B3188" s="3" t="s">
        <v>1595</v>
      </c>
      <c r="C3188" s="3" t="s">
        <v>1596</v>
      </c>
      <c r="D3188" s="3" t="s">
        <v>1380</v>
      </c>
      <c r="E3188" s="3" t="s">
        <v>1381</v>
      </c>
      <c r="F3188" s="2">
        <v>1</v>
      </c>
      <c r="G3188" s="4">
        <v>2.0401842316350556</v>
      </c>
      <c r="H3188" s="2">
        <v>50</v>
      </c>
      <c r="I3188" s="2">
        <v>5</v>
      </c>
      <c r="J3188" s="2">
        <v>16</v>
      </c>
      <c r="K3188" s="4">
        <v>1</v>
      </c>
      <c r="L3188" s="4">
        <v>0.54117671738908601</v>
      </c>
      <c r="M3188" s="4">
        <v>0.54117671738908601</v>
      </c>
      <c r="N3188" s="10">
        <v>0.54100000000000004</v>
      </c>
      <c r="O3188" s="4">
        <v>3.2554617795883556</v>
      </c>
      <c r="P3188" s="4">
        <v>3.25</v>
      </c>
      <c r="Q3188" s="3" t="s">
        <v>1597</v>
      </c>
      <c r="R3188" s="3" t="s">
        <v>1598</v>
      </c>
      <c r="S3188" s="3" t="s">
        <v>1599</v>
      </c>
      <c r="T3188" s="3"/>
    </row>
    <row r="3189" spans="1:20">
      <c r="A3189" s="3" t="s">
        <v>1604</v>
      </c>
      <c r="B3189" s="3" t="s">
        <v>1601</v>
      </c>
      <c r="C3189" s="3" t="s">
        <v>1616</v>
      </c>
      <c r="D3189" s="3" t="s">
        <v>1380</v>
      </c>
      <c r="E3189" s="3" t="s">
        <v>1381</v>
      </c>
      <c r="F3189" s="2">
        <v>1</v>
      </c>
      <c r="G3189" s="4">
        <v>2.0401842316350556</v>
      </c>
      <c r="H3189" s="2">
        <v>25</v>
      </c>
      <c r="I3189" s="2">
        <v>30</v>
      </c>
      <c r="J3189" s="2">
        <v>16</v>
      </c>
      <c r="K3189" s="4">
        <v>0.41045340739906166</v>
      </c>
      <c r="L3189" s="4">
        <v>0.48605593365650512</v>
      </c>
      <c r="M3189" s="4">
        <v>0.48605593365650512</v>
      </c>
      <c r="N3189" s="10">
        <v>0.48599999999999999</v>
      </c>
      <c r="O3189" s="4">
        <v>2.6320851788263062</v>
      </c>
      <c r="P3189" s="4">
        <v>2.63</v>
      </c>
      <c r="Q3189" s="3" t="s">
        <v>1597</v>
      </c>
      <c r="R3189" s="3" t="s">
        <v>1602</v>
      </c>
      <c r="S3189" s="3" t="s">
        <v>1603</v>
      </c>
      <c r="T3189" s="3"/>
    </row>
    <row r="3190" spans="1:20">
      <c r="A3190" s="3" t="s">
        <v>1600</v>
      </c>
      <c r="B3190" s="3" t="s">
        <v>1601</v>
      </c>
      <c r="C3190" s="3" t="s">
        <v>1616</v>
      </c>
      <c r="D3190" s="3" t="s">
        <v>1380</v>
      </c>
      <c r="E3190" s="3" t="s">
        <v>1381</v>
      </c>
      <c r="F3190" s="2">
        <v>1</v>
      </c>
      <c r="G3190" s="4">
        <v>2.0401842316350556</v>
      </c>
      <c r="H3190" s="2">
        <v>25</v>
      </c>
      <c r="I3190" s="2">
        <v>5</v>
      </c>
      <c r="J3190" s="2">
        <v>16</v>
      </c>
      <c r="K3190" s="4">
        <v>0.26033654862590105</v>
      </c>
      <c r="L3190" s="4">
        <v>0.47907246416584642</v>
      </c>
      <c r="M3190" s="4">
        <v>0.47907246416584642</v>
      </c>
      <c r="N3190" s="10">
        <v>0.47899999999999998</v>
      </c>
      <c r="O3190" s="4">
        <v>2.5869508177283849</v>
      </c>
      <c r="P3190" s="4">
        <v>2.59</v>
      </c>
      <c r="Q3190" s="3" t="s">
        <v>1597</v>
      </c>
      <c r="R3190" s="3" t="s">
        <v>1602</v>
      </c>
      <c r="S3190" s="3" t="s">
        <v>1603</v>
      </c>
      <c r="T3190" s="3"/>
    </row>
    <row r="3191" spans="1:20">
      <c r="A3191" s="3" t="s">
        <v>1594</v>
      </c>
      <c r="B3191" s="3" t="s">
        <v>1612</v>
      </c>
      <c r="C3191" s="3" t="s">
        <v>1596</v>
      </c>
      <c r="D3191" s="3" t="s">
        <v>1380</v>
      </c>
      <c r="E3191" s="3" t="s">
        <v>1381</v>
      </c>
      <c r="F3191" s="2">
        <v>1</v>
      </c>
      <c r="G3191" s="4">
        <v>2.0401842316350556</v>
      </c>
      <c r="H3191" s="2">
        <v>50</v>
      </c>
      <c r="I3191" s="2">
        <v>5</v>
      </c>
      <c r="J3191" s="2">
        <v>16</v>
      </c>
      <c r="K3191" s="4">
        <v>1</v>
      </c>
      <c r="L3191" s="4">
        <v>0.46084125079301991</v>
      </c>
      <c r="M3191" s="4">
        <v>0.46084125079301991</v>
      </c>
      <c r="N3191" s="10">
        <v>0.46100000000000002</v>
      </c>
      <c r="O3191" s="4">
        <v>2.6781191503645632</v>
      </c>
      <c r="P3191" s="4">
        <v>2.68</v>
      </c>
      <c r="Q3191" s="3" t="s">
        <v>1597</v>
      </c>
      <c r="R3191" s="3" t="s">
        <v>1613</v>
      </c>
      <c r="S3191" s="3" t="s">
        <v>1614</v>
      </c>
      <c r="T3191" s="3"/>
    </row>
    <row r="3192" spans="1:20">
      <c r="A3192" s="3" t="s">
        <v>1594</v>
      </c>
      <c r="B3192" s="3" t="s">
        <v>1595</v>
      </c>
      <c r="C3192" s="3" t="s">
        <v>1596</v>
      </c>
      <c r="D3192" s="3" t="s">
        <v>1380</v>
      </c>
      <c r="E3192" s="3" t="s">
        <v>1381</v>
      </c>
      <c r="F3192" s="2">
        <v>1</v>
      </c>
      <c r="G3192" s="4">
        <v>2.0401842316350556</v>
      </c>
      <c r="H3192" s="2">
        <v>25</v>
      </c>
      <c r="I3192" s="2">
        <v>5</v>
      </c>
      <c r="J3192" s="2">
        <v>16</v>
      </c>
      <c r="K3192" s="4">
        <v>0.13833118131820943</v>
      </c>
      <c r="L3192" s="4">
        <v>0.37706474948127167</v>
      </c>
      <c r="M3192" s="4">
        <v>0.37706474948127167</v>
      </c>
      <c r="N3192" s="10">
        <v>0.377</v>
      </c>
      <c r="O3192" s="4">
        <v>1.9664834938906124</v>
      </c>
      <c r="P3192" s="4">
        <v>1.97</v>
      </c>
      <c r="Q3192" s="3" t="s">
        <v>1597</v>
      </c>
      <c r="R3192" s="3" t="s">
        <v>1598</v>
      </c>
      <c r="S3192" s="3" t="s">
        <v>1599</v>
      </c>
      <c r="T3192" s="3"/>
    </row>
    <row r="3193" spans="1:20">
      <c r="A3193" s="3" t="s">
        <v>1600</v>
      </c>
      <c r="B3193" s="3" t="s">
        <v>1606</v>
      </c>
      <c r="C3193" s="3" t="s">
        <v>1616</v>
      </c>
      <c r="D3193" s="3" t="s">
        <v>1380</v>
      </c>
      <c r="E3193" s="3" t="s">
        <v>1381</v>
      </c>
      <c r="F3193" s="2">
        <v>1</v>
      </c>
      <c r="G3193" s="4">
        <v>2.0401842316350556</v>
      </c>
      <c r="H3193" s="2">
        <v>25</v>
      </c>
      <c r="I3193" s="2">
        <v>5</v>
      </c>
      <c r="J3193" s="2">
        <v>1</v>
      </c>
      <c r="K3193" s="4">
        <v>8.9775469718714751E-2</v>
      </c>
      <c r="L3193" s="4">
        <v>0.27785487475008824</v>
      </c>
      <c r="M3193" s="4">
        <v>0.27785487475008824</v>
      </c>
      <c r="N3193" s="10">
        <v>0.27800000000000002</v>
      </c>
      <c r="O3193" s="4">
        <v>1.4147767580694617</v>
      </c>
      <c r="P3193" s="4">
        <v>1.42</v>
      </c>
      <c r="Q3193" s="3" t="s">
        <v>1597</v>
      </c>
      <c r="R3193" s="3" t="s">
        <v>1607</v>
      </c>
      <c r="S3193" s="3" t="s">
        <v>1608</v>
      </c>
      <c r="T3193" s="3"/>
    </row>
    <row r="3194" spans="1:20">
      <c r="A3194" s="3" t="s">
        <v>1600</v>
      </c>
      <c r="B3194" s="3" t="s">
        <v>1606</v>
      </c>
      <c r="C3194" s="3" t="s">
        <v>1616</v>
      </c>
      <c r="D3194" s="3" t="s">
        <v>1380</v>
      </c>
      <c r="E3194" s="3" t="s">
        <v>1381</v>
      </c>
      <c r="F3194" s="2">
        <v>1</v>
      </c>
      <c r="G3194" s="4">
        <v>2.0401842316350556</v>
      </c>
      <c r="H3194" s="2">
        <v>25</v>
      </c>
      <c r="I3194" s="2">
        <v>5</v>
      </c>
      <c r="J3194" s="2">
        <v>16</v>
      </c>
      <c r="K3194" s="4">
        <v>0.49284105749398122</v>
      </c>
      <c r="L3194" s="4">
        <v>0.14437666641083058</v>
      </c>
      <c r="M3194" s="4">
        <v>0.14437666641083058</v>
      </c>
      <c r="N3194" s="10">
        <v>0.14399999999999999</v>
      </c>
      <c r="O3194" s="4">
        <v>0.72084706607022042</v>
      </c>
      <c r="P3194" s="4">
        <v>0.72</v>
      </c>
      <c r="Q3194" s="3" t="s">
        <v>1597</v>
      </c>
      <c r="R3194" s="3" t="s">
        <v>1607</v>
      </c>
      <c r="S3194" s="3" t="s">
        <v>1608</v>
      </c>
      <c r="T3194" s="3"/>
    </row>
    <row r="3195" spans="1:20">
      <c r="A3195" s="3" t="s">
        <v>1600</v>
      </c>
      <c r="B3195" s="3" t="s">
        <v>1606</v>
      </c>
      <c r="C3195" s="3" t="s">
        <v>1596</v>
      </c>
      <c r="D3195" s="3" t="s">
        <v>1380</v>
      </c>
      <c r="E3195" s="3" t="s">
        <v>1381</v>
      </c>
      <c r="F3195" s="2">
        <v>1</v>
      </c>
      <c r="G3195" s="4">
        <v>2.0401842316350556</v>
      </c>
      <c r="H3195" s="2">
        <v>25</v>
      </c>
      <c r="I3195" s="2">
        <v>5</v>
      </c>
      <c r="J3195" s="2">
        <v>1</v>
      </c>
      <c r="K3195" s="4">
        <v>0</v>
      </c>
      <c r="L3195" s="4">
        <v>0</v>
      </c>
      <c r="M3195" s="4">
        <v>0</v>
      </c>
      <c r="N3195" s="10">
        <v>0</v>
      </c>
      <c r="O3195" s="4">
        <v>0</v>
      </c>
      <c r="P3195" s="4">
        <v>0</v>
      </c>
      <c r="Q3195" s="3" t="s">
        <v>1617</v>
      </c>
      <c r="R3195" s="3" t="s">
        <v>1621</v>
      </c>
      <c r="S3195" s="3" t="s">
        <v>1622</v>
      </c>
      <c r="T3195" s="3"/>
    </row>
    <row r="3196" spans="1:20">
      <c r="A3196" s="3" t="s">
        <v>1600</v>
      </c>
      <c r="B3196" s="3" t="s">
        <v>1609</v>
      </c>
      <c r="C3196" s="3" t="s">
        <v>1596</v>
      </c>
      <c r="D3196" s="3" t="s">
        <v>1380</v>
      </c>
      <c r="E3196" s="3" t="s">
        <v>1381</v>
      </c>
      <c r="F3196" s="2">
        <v>1</v>
      </c>
      <c r="G3196" s="4">
        <v>2.0401842316350556</v>
      </c>
      <c r="H3196" s="2">
        <v>25</v>
      </c>
      <c r="I3196" s="2">
        <v>5</v>
      </c>
      <c r="J3196" s="2">
        <v>16</v>
      </c>
      <c r="K3196" s="4">
        <v>0.10544965527379613</v>
      </c>
      <c r="L3196" s="4">
        <v>-2.4646214409339419E-3</v>
      </c>
      <c r="M3196" s="4">
        <v>2.4646214409339419E-3</v>
      </c>
      <c r="N3196" s="10">
        <v>2E-3</v>
      </c>
      <c r="O3196" s="4">
        <v>1.221946097283259E-2</v>
      </c>
      <c r="P3196" s="4">
        <v>-0.01</v>
      </c>
      <c r="Q3196" s="3" t="s">
        <v>1617</v>
      </c>
      <c r="R3196" s="3" t="s">
        <v>1623</v>
      </c>
      <c r="S3196" s="3" t="s">
        <v>1624</v>
      </c>
      <c r="T3196" s="3"/>
    </row>
    <row r="3197" spans="1:20">
      <c r="A3197" s="3" t="s">
        <v>1600</v>
      </c>
      <c r="B3197" s="3" t="s">
        <v>1609</v>
      </c>
      <c r="C3197" s="3" t="s">
        <v>1596</v>
      </c>
      <c r="D3197" s="3" t="s">
        <v>1380</v>
      </c>
      <c r="E3197" s="3" t="s">
        <v>1381</v>
      </c>
      <c r="F3197" s="2">
        <v>1</v>
      </c>
      <c r="G3197" s="4">
        <v>2.0401842316350556</v>
      </c>
      <c r="H3197" s="2">
        <v>25</v>
      </c>
      <c r="I3197" s="2">
        <v>5</v>
      </c>
      <c r="J3197" s="2">
        <v>1</v>
      </c>
      <c r="K3197" s="4">
        <v>2.6712733862375937E-2</v>
      </c>
      <c r="L3197" s="4">
        <v>-0.34589713388299959</v>
      </c>
      <c r="M3197" s="4">
        <v>0.34589713388299959</v>
      </c>
      <c r="N3197" s="10">
        <v>0.34599999999999997</v>
      </c>
      <c r="O3197" s="4">
        <v>1.788703098505279</v>
      </c>
      <c r="P3197" s="4">
        <v>-1.79</v>
      </c>
      <c r="Q3197" s="3" t="s">
        <v>1617</v>
      </c>
      <c r="R3197" s="3" t="s">
        <v>1623</v>
      </c>
      <c r="S3197" s="3" t="s">
        <v>1624</v>
      </c>
      <c r="T3197" s="3"/>
    </row>
    <row r="3198" spans="1:20">
      <c r="A3198" s="3" t="s">
        <v>1600</v>
      </c>
      <c r="B3198" s="3" t="s">
        <v>1609</v>
      </c>
      <c r="C3198" s="3" t="s">
        <v>1616</v>
      </c>
      <c r="D3198" s="3" t="s">
        <v>1380</v>
      </c>
      <c r="E3198" s="3" t="s">
        <v>1381</v>
      </c>
      <c r="F3198" s="2">
        <v>1</v>
      </c>
      <c r="G3198" s="4">
        <v>2.0401842316350556</v>
      </c>
      <c r="H3198" s="2">
        <v>25</v>
      </c>
      <c r="I3198" s="2">
        <v>5</v>
      </c>
      <c r="J3198" s="2">
        <v>16</v>
      </c>
      <c r="K3198" s="4">
        <v>3.3942059036160543E-2</v>
      </c>
      <c r="L3198" s="4">
        <v>-0.40276479451000224</v>
      </c>
      <c r="M3198" s="4">
        <v>0.40276479451000224</v>
      </c>
      <c r="N3198" s="10">
        <v>0.40300000000000002</v>
      </c>
      <c r="O3198" s="4">
        <v>2.1167646637258768</v>
      </c>
      <c r="P3198" s="4">
        <v>-2.12</v>
      </c>
      <c r="Q3198" s="3" t="s">
        <v>1617</v>
      </c>
      <c r="R3198" s="3" t="s">
        <v>1623</v>
      </c>
      <c r="S3198" s="3" t="s">
        <v>1624</v>
      </c>
      <c r="T3198" s="3"/>
    </row>
    <row r="3199" spans="1:20">
      <c r="A3199" s="3" t="s">
        <v>1600</v>
      </c>
      <c r="B3199" s="3" t="s">
        <v>1609</v>
      </c>
      <c r="C3199" s="3" t="s">
        <v>1616</v>
      </c>
      <c r="D3199" s="3" t="s">
        <v>1380</v>
      </c>
      <c r="E3199" s="3" t="s">
        <v>1381</v>
      </c>
      <c r="F3199" s="2">
        <v>1</v>
      </c>
      <c r="G3199" s="4">
        <v>2.0401842316350556</v>
      </c>
      <c r="H3199" s="2">
        <v>25</v>
      </c>
      <c r="I3199" s="2">
        <v>5</v>
      </c>
      <c r="J3199" s="2">
        <v>1</v>
      </c>
      <c r="K3199" s="4">
        <v>1.5908635425280648E-2</v>
      </c>
      <c r="L3199" s="4">
        <v>-0.55180702082643673</v>
      </c>
      <c r="M3199" s="4">
        <v>0.55180702082643673</v>
      </c>
      <c r="N3199" s="10">
        <v>0.55200000000000005</v>
      </c>
      <c r="O3199" s="4">
        <v>3.0787581293891999</v>
      </c>
      <c r="P3199" s="4">
        <v>-3.08</v>
      </c>
      <c r="Q3199" s="3" t="s">
        <v>1617</v>
      </c>
      <c r="R3199" s="3" t="s">
        <v>1623</v>
      </c>
      <c r="S3199" s="3" t="s">
        <v>1624</v>
      </c>
      <c r="T3199" s="3"/>
    </row>
    <row r="3200" spans="1:20">
      <c r="A3200" s="3" t="s">
        <v>1600</v>
      </c>
      <c r="B3200" s="3" t="s">
        <v>1606</v>
      </c>
      <c r="C3200" s="3" t="s">
        <v>1616</v>
      </c>
      <c r="D3200" s="3" t="s">
        <v>1196</v>
      </c>
      <c r="E3200" s="3" t="s">
        <v>1197</v>
      </c>
      <c r="F3200" s="2">
        <v>1</v>
      </c>
      <c r="G3200" s="4">
        <v>2.0438465371200798</v>
      </c>
      <c r="H3200" s="2">
        <v>25</v>
      </c>
      <c r="I3200" s="2">
        <v>5</v>
      </c>
      <c r="J3200" s="2">
        <v>1</v>
      </c>
      <c r="K3200" s="4">
        <v>1</v>
      </c>
      <c r="L3200" s="4">
        <v>0.98482656881156183</v>
      </c>
      <c r="M3200" s="4">
        <v>0.98482656881156183</v>
      </c>
      <c r="N3200" s="10">
        <v>0.98499999999999999</v>
      </c>
      <c r="O3200" s="4">
        <v>12.08184850533857</v>
      </c>
      <c r="P3200" s="4">
        <v>12.11</v>
      </c>
      <c r="Q3200" s="3" t="s">
        <v>1597</v>
      </c>
      <c r="R3200" s="3" t="s">
        <v>1607</v>
      </c>
      <c r="S3200" s="3" t="s">
        <v>1608</v>
      </c>
      <c r="T3200" s="3"/>
    </row>
    <row r="3201" spans="1:20">
      <c r="A3201" s="3" t="s">
        <v>1600</v>
      </c>
      <c r="B3201" s="3" t="s">
        <v>1606</v>
      </c>
      <c r="C3201" s="3" t="s">
        <v>1616</v>
      </c>
      <c r="D3201" s="3" t="s">
        <v>1196</v>
      </c>
      <c r="E3201" s="3" t="s">
        <v>1197</v>
      </c>
      <c r="F3201" s="2">
        <v>1</v>
      </c>
      <c r="G3201" s="4">
        <v>2.0438465371200798</v>
      </c>
      <c r="H3201" s="2">
        <v>25</v>
      </c>
      <c r="I3201" s="2">
        <v>5</v>
      </c>
      <c r="J3201" s="2">
        <v>16</v>
      </c>
      <c r="K3201" s="4">
        <v>1</v>
      </c>
      <c r="L3201" s="4">
        <v>0.98078892885963598</v>
      </c>
      <c r="M3201" s="4">
        <v>0.98078892885963598</v>
      </c>
      <c r="N3201" s="10">
        <v>0.98099999999999998</v>
      </c>
      <c r="O3201" s="4">
        <v>11.491910824146645</v>
      </c>
      <c r="P3201" s="4">
        <v>11.52</v>
      </c>
      <c r="Q3201" s="3" t="s">
        <v>1597</v>
      </c>
      <c r="R3201" s="3" t="s">
        <v>1607</v>
      </c>
      <c r="S3201" s="3" t="s">
        <v>1608</v>
      </c>
      <c r="T3201" s="3"/>
    </row>
    <row r="3202" spans="1:20">
      <c r="A3202" s="3" t="s">
        <v>1604</v>
      </c>
      <c r="B3202" s="3" t="s">
        <v>1601</v>
      </c>
      <c r="C3202" s="3" t="s">
        <v>1616</v>
      </c>
      <c r="D3202" s="3" t="s">
        <v>1196</v>
      </c>
      <c r="E3202" s="3" t="s">
        <v>1197</v>
      </c>
      <c r="F3202" s="2">
        <v>1</v>
      </c>
      <c r="G3202" s="4">
        <v>2.0438465371200798</v>
      </c>
      <c r="H3202" s="2">
        <v>25</v>
      </c>
      <c r="I3202" s="2">
        <v>30</v>
      </c>
      <c r="J3202" s="2">
        <v>16</v>
      </c>
      <c r="K3202" s="4">
        <v>1</v>
      </c>
      <c r="L3202" s="4">
        <v>0.97421566339013232</v>
      </c>
      <c r="M3202" s="4">
        <v>0.97421566339013232</v>
      </c>
      <c r="N3202" s="10">
        <v>0.97399999999999998</v>
      </c>
      <c r="O3202" s="4">
        <v>10.754158759929233</v>
      </c>
      <c r="P3202" s="4">
        <v>10.73</v>
      </c>
      <c r="Q3202" s="3" t="s">
        <v>1597</v>
      </c>
      <c r="R3202" s="3" t="s">
        <v>1602</v>
      </c>
      <c r="S3202" s="3" t="s">
        <v>1603</v>
      </c>
      <c r="T3202" s="3"/>
    </row>
    <row r="3203" spans="1:20">
      <c r="A3203" s="3" t="s">
        <v>1600</v>
      </c>
      <c r="B3203" s="3" t="s">
        <v>1601</v>
      </c>
      <c r="C3203" s="3" t="s">
        <v>1616</v>
      </c>
      <c r="D3203" s="3" t="s">
        <v>1196</v>
      </c>
      <c r="E3203" s="3" t="s">
        <v>1197</v>
      </c>
      <c r="F3203" s="2">
        <v>1</v>
      </c>
      <c r="G3203" s="4">
        <v>2.0438465371200798</v>
      </c>
      <c r="H3203" s="2">
        <v>25</v>
      </c>
      <c r="I3203" s="2">
        <v>5</v>
      </c>
      <c r="J3203" s="2">
        <v>16</v>
      </c>
      <c r="K3203" s="4">
        <v>1</v>
      </c>
      <c r="L3203" s="4">
        <v>0.9653167957227935</v>
      </c>
      <c r="M3203" s="4">
        <v>0.9653167957227935</v>
      </c>
      <c r="N3203" s="10">
        <v>0.96499999999999997</v>
      </c>
      <c r="O3203" s="4">
        <v>10.007974268980069</v>
      </c>
      <c r="P3203" s="4">
        <v>9.99</v>
      </c>
      <c r="Q3203" s="3" t="s">
        <v>1597</v>
      </c>
      <c r="R3203" s="3" t="s">
        <v>1602</v>
      </c>
      <c r="S3203" s="3" t="s">
        <v>1603</v>
      </c>
      <c r="T3203" s="3"/>
    </row>
    <row r="3204" spans="1:20">
      <c r="A3204" s="3" t="s">
        <v>1600</v>
      </c>
      <c r="B3204" s="3" t="s">
        <v>1601</v>
      </c>
      <c r="C3204" s="3" t="s">
        <v>1616</v>
      </c>
      <c r="D3204" s="3" t="s">
        <v>1196</v>
      </c>
      <c r="E3204" s="3" t="s">
        <v>1197</v>
      </c>
      <c r="F3204" s="2">
        <v>1</v>
      </c>
      <c r="G3204" s="4">
        <v>2.0438465371200798</v>
      </c>
      <c r="H3204" s="2">
        <v>25</v>
      </c>
      <c r="I3204" s="2">
        <v>5</v>
      </c>
      <c r="J3204" s="2">
        <v>1</v>
      </c>
      <c r="K3204" s="4">
        <v>1</v>
      </c>
      <c r="L3204" s="4">
        <v>0.96462880409832197</v>
      </c>
      <c r="M3204" s="4">
        <v>0.96462880409832197</v>
      </c>
      <c r="N3204" s="10">
        <v>0.96499999999999997</v>
      </c>
      <c r="O3204" s="4">
        <v>9.9584137494403731</v>
      </c>
      <c r="P3204" s="4">
        <v>9.99</v>
      </c>
      <c r="Q3204" s="3" t="s">
        <v>1597</v>
      </c>
      <c r="R3204" s="3" t="s">
        <v>1602</v>
      </c>
      <c r="S3204" s="3" t="s">
        <v>1603</v>
      </c>
      <c r="T3204" s="3"/>
    </row>
    <row r="3205" spans="1:20">
      <c r="A3205" s="3" t="s">
        <v>1600</v>
      </c>
      <c r="B3205" s="3" t="s">
        <v>1609</v>
      </c>
      <c r="C3205" s="3" t="s">
        <v>1616</v>
      </c>
      <c r="D3205" s="3" t="s">
        <v>1196</v>
      </c>
      <c r="E3205" s="3" t="s">
        <v>1197</v>
      </c>
      <c r="F3205" s="2">
        <v>1</v>
      </c>
      <c r="G3205" s="4">
        <v>2.0438465371200798</v>
      </c>
      <c r="H3205" s="2">
        <v>25</v>
      </c>
      <c r="I3205" s="2">
        <v>5</v>
      </c>
      <c r="J3205" s="2">
        <v>1</v>
      </c>
      <c r="K3205" s="4">
        <v>0.94782200827509611</v>
      </c>
      <c r="L3205" s="4">
        <v>0.90490999217323242</v>
      </c>
      <c r="M3205" s="4">
        <v>0.90490999217323242</v>
      </c>
      <c r="N3205" s="10">
        <v>0.90500000000000003</v>
      </c>
      <c r="O3205" s="4">
        <v>7.4303752807433074</v>
      </c>
      <c r="P3205" s="4">
        <v>7.43</v>
      </c>
      <c r="Q3205" s="3" t="s">
        <v>1597</v>
      </c>
      <c r="R3205" s="3" t="s">
        <v>1610</v>
      </c>
      <c r="S3205" s="3" t="s">
        <v>1611</v>
      </c>
      <c r="T3205" s="3"/>
    </row>
    <row r="3206" spans="1:20">
      <c r="A3206" s="3" t="s">
        <v>1600</v>
      </c>
      <c r="B3206" s="3" t="s">
        <v>1601</v>
      </c>
      <c r="C3206" s="3" t="s">
        <v>1596</v>
      </c>
      <c r="D3206" s="3" t="s">
        <v>1196</v>
      </c>
      <c r="E3206" s="3" t="s">
        <v>1197</v>
      </c>
      <c r="F3206" s="2">
        <v>1</v>
      </c>
      <c r="G3206" s="4">
        <v>2.0438465371200798</v>
      </c>
      <c r="H3206" s="2">
        <v>25</v>
      </c>
      <c r="I3206" s="2">
        <v>5</v>
      </c>
      <c r="J3206" s="2">
        <v>1</v>
      </c>
      <c r="K3206" s="4">
        <v>0.16879481591492473</v>
      </c>
      <c r="L3206" s="4">
        <v>0.82351179653911144</v>
      </c>
      <c r="M3206" s="4">
        <v>0.82351179653911144</v>
      </c>
      <c r="N3206" s="10">
        <v>0.82399999999999995</v>
      </c>
      <c r="O3206" s="4">
        <v>5.789048708857349</v>
      </c>
      <c r="P3206" s="4">
        <v>5.8</v>
      </c>
      <c r="Q3206" s="3" t="s">
        <v>1597</v>
      </c>
      <c r="R3206" s="3" t="s">
        <v>1602</v>
      </c>
      <c r="S3206" s="3" t="s">
        <v>1603</v>
      </c>
      <c r="T3206" s="3"/>
    </row>
    <row r="3207" spans="1:20">
      <c r="A3207" s="3" t="s">
        <v>1600</v>
      </c>
      <c r="B3207" s="3" t="s">
        <v>1609</v>
      </c>
      <c r="C3207" s="3" t="s">
        <v>1616</v>
      </c>
      <c r="D3207" s="3" t="s">
        <v>1196</v>
      </c>
      <c r="E3207" s="3" t="s">
        <v>1197</v>
      </c>
      <c r="F3207" s="2">
        <v>1</v>
      </c>
      <c r="G3207" s="4">
        <v>2.0438465371200798</v>
      </c>
      <c r="H3207" s="2">
        <v>25</v>
      </c>
      <c r="I3207" s="2">
        <v>5</v>
      </c>
      <c r="J3207" s="2">
        <v>16</v>
      </c>
      <c r="K3207" s="4">
        <v>0.95502613289951566</v>
      </c>
      <c r="L3207" s="4">
        <v>0.81732657505339457</v>
      </c>
      <c r="M3207" s="4">
        <v>0.81732657505339457</v>
      </c>
      <c r="N3207" s="10">
        <v>0.81699999999999995</v>
      </c>
      <c r="O3207" s="4">
        <v>5.6952355016482414</v>
      </c>
      <c r="P3207" s="4">
        <v>5.69</v>
      </c>
      <c r="Q3207" s="3" t="s">
        <v>1597</v>
      </c>
      <c r="R3207" s="3" t="s">
        <v>1610</v>
      </c>
      <c r="S3207" s="3" t="s">
        <v>1611</v>
      </c>
      <c r="T3207" s="3"/>
    </row>
    <row r="3208" spans="1:20">
      <c r="A3208" s="3" t="s">
        <v>1600</v>
      </c>
      <c r="B3208" s="3" t="s">
        <v>1606</v>
      </c>
      <c r="C3208" s="3" t="s">
        <v>1596</v>
      </c>
      <c r="D3208" s="3" t="s">
        <v>1196</v>
      </c>
      <c r="E3208" s="3" t="s">
        <v>1197</v>
      </c>
      <c r="F3208" s="2">
        <v>1</v>
      </c>
      <c r="G3208" s="4">
        <v>2.0438465371200798</v>
      </c>
      <c r="H3208" s="2">
        <v>25</v>
      </c>
      <c r="I3208" s="2">
        <v>5</v>
      </c>
      <c r="J3208" s="2">
        <v>16</v>
      </c>
      <c r="K3208" s="4">
        <v>1</v>
      </c>
      <c r="L3208" s="4">
        <v>0.80700589975725223</v>
      </c>
      <c r="M3208" s="4">
        <v>0.80700589975725223</v>
      </c>
      <c r="N3208" s="10">
        <v>0.80700000000000005</v>
      </c>
      <c r="O3208" s="4">
        <v>5.5448740487047132</v>
      </c>
      <c r="P3208" s="4">
        <v>5.54</v>
      </c>
      <c r="Q3208" s="3" t="s">
        <v>1597</v>
      </c>
      <c r="R3208" s="3" t="s">
        <v>1607</v>
      </c>
      <c r="S3208" s="3" t="s">
        <v>1608</v>
      </c>
      <c r="T3208" s="3"/>
    </row>
    <row r="3209" spans="1:20">
      <c r="A3209" s="3" t="s">
        <v>1600</v>
      </c>
      <c r="B3209" s="3" t="s">
        <v>1606</v>
      </c>
      <c r="C3209" s="3" t="s">
        <v>1596</v>
      </c>
      <c r="D3209" s="3" t="s">
        <v>1196</v>
      </c>
      <c r="E3209" s="3" t="s">
        <v>1197</v>
      </c>
      <c r="F3209" s="2">
        <v>1</v>
      </c>
      <c r="G3209" s="4">
        <v>2.0438465371200798</v>
      </c>
      <c r="H3209" s="2">
        <v>25</v>
      </c>
      <c r="I3209" s="2">
        <v>5</v>
      </c>
      <c r="J3209" s="2">
        <v>1</v>
      </c>
      <c r="K3209" s="4">
        <v>0.47601623885832867</v>
      </c>
      <c r="L3209" s="4">
        <v>0.77081704474872648</v>
      </c>
      <c r="M3209" s="4">
        <v>0.77081704474872648</v>
      </c>
      <c r="N3209" s="10">
        <v>0.77100000000000002</v>
      </c>
      <c r="O3209" s="4">
        <v>5.0686860144156389</v>
      </c>
      <c r="P3209" s="4">
        <v>5.07</v>
      </c>
      <c r="Q3209" s="3" t="s">
        <v>1597</v>
      </c>
      <c r="R3209" s="3" t="s">
        <v>1607</v>
      </c>
      <c r="S3209" s="3" t="s">
        <v>1608</v>
      </c>
      <c r="T3209" s="3"/>
    </row>
    <row r="3210" spans="1:20">
      <c r="A3210" s="3" t="s">
        <v>1600</v>
      </c>
      <c r="B3210" s="3" t="s">
        <v>1601</v>
      </c>
      <c r="C3210" s="3" t="s">
        <v>1596</v>
      </c>
      <c r="D3210" s="3" t="s">
        <v>1196</v>
      </c>
      <c r="E3210" s="3" t="s">
        <v>1197</v>
      </c>
      <c r="F3210" s="2">
        <v>1</v>
      </c>
      <c r="G3210" s="4">
        <v>2.0438465371200798</v>
      </c>
      <c r="H3210" s="2">
        <v>25</v>
      </c>
      <c r="I3210" s="2">
        <v>5</v>
      </c>
      <c r="J3210" s="2">
        <v>16</v>
      </c>
      <c r="K3210" s="4">
        <v>1</v>
      </c>
      <c r="L3210" s="4">
        <v>0.69192052510795266</v>
      </c>
      <c r="M3210" s="4">
        <v>0.69192052510795266</v>
      </c>
      <c r="N3210" s="10">
        <v>0.69199999999999995</v>
      </c>
      <c r="O3210" s="4">
        <v>4.2223317538366389</v>
      </c>
      <c r="P3210" s="4">
        <v>4.22</v>
      </c>
      <c r="Q3210" s="3" t="s">
        <v>1597</v>
      </c>
      <c r="R3210" s="3" t="s">
        <v>1602</v>
      </c>
      <c r="S3210" s="3" t="s">
        <v>1603</v>
      </c>
      <c r="T3210" s="3"/>
    </row>
    <row r="3211" spans="1:20">
      <c r="A3211" s="3" t="s">
        <v>1604</v>
      </c>
      <c r="B3211" s="3" t="s">
        <v>1601</v>
      </c>
      <c r="C3211" s="3" t="s">
        <v>1596</v>
      </c>
      <c r="D3211" s="3" t="s">
        <v>1196</v>
      </c>
      <c r="E3211" s="3" t="s">
        <v>1197</v>
      </c>
      <c r="F3211" s="2">
        <v>1</v>
      </c>
      <c r="G3211" s="4">
        <v>2.0438465371200798</v>
      </c>
      <c r="H3211" s="2">
        <v>25</v>
      </c>
      <c r="I3211" s="2">
        <v>30</v>
      </c>
      <c r="J3211" s="2">
        <v>16</v>
      </c>
      <c r="K3211" s="4">
        <v>1</v>
      </c>
      <c r="L3211" s="4">
        <v>0.66223210307031644</v>
      </c>
      <c r="M3211" s="4">
        <v>0.66223210307031644</v>
      </c>
      <c r="N3211" s="10">
        <v>0.66200000000000003</v>
      </c>
      <c r="O3211" s="4">
        <v>3.9503787103092596</v>
      </c>
      <c r="P3211" s="4">
        <v>3.95</v>
      </c>
      <c r="Q3211" s="3" t="s">
        <v>1597</v>
      </c>
      <c r="R3211" s="3" t="s">
        <v>1602</v>
      </c>
      <c r="S3211" s="3" t="s">
        <v>1603</v>
      </c>
      <c r="T3211" s="3"/>
    </row>
    <row r="3212" spans="1:20">
      <c r="A3212" s="3" t="s">
        <v>1605</v>
      </c>
      <c r="B3212" s="3" t="s">
        <v>1601</v>
      </c>
      <c r="C3212" s="3" t="s">
        <v>1596</v>
      </c>
      <c r="D3212" s="3" t="s">
        <v>1196</v>
      </c>
      <c r="E3212" s="3" t="s">
        <v>1197</v>
      </c>
      <c r="F3212" s="2">
        <v>1</v>
      </c>
      <c r="G3212" s="4">
        <v>2.0438465371200798</v>
      </c>
      <c r="H3212" s="2">
        <v>25</v>
      </c>
      <c r="I3212" s="2">
        <v>5</v>
      </c>
      <c r="J3212" s="2">
        <v>16</v>
      </c>
      <c r="K3212" s="4">
        <v>1</v>
      </c>
      <c r="L3212" s="4">
        <v>0.5842418581053902</v>
      </c>
      <c r="M3212" s="4">
        <v>0.5842418581053902</v>
      </c>
      <c r="N3212" s="10">
        <v>0.58399999999999996</v>
      </c>
      <c r="O3212" s="4">
        <v>3.3162583858811399</v>
      </c>
      <c r="P3212" s="4">
        <v>3.31</v>
      </c>
      <c r="Q3212" s="3" t="s">
        <v>1597</v>
      </c>
      <c r="R3212" s="3" t="s">
        <v>1602</v>
      </c>
      <c r="S3212" s="3" t="s">
        <v>1603</v>
      </c>
      <c r="T3212" s="3"/>
    </row>
    <row r="3213" spans="1:20">
      <c r="A3213" s="3" t="s">
        <v>1600</v>
      </c>
      <c r="B3213" s="3" t="s">
        <v>1609</v>
      </c>
      <c r="C3213" s="3" t="s">
        <v>1596</v>
      </c>
      <c r="D3213" s="3" t="s">
        <v>1196</v>
      </c>
      <c r="E3213" s="3" t="s">
        <v>1197</v>
      </c>
      <c r="F3213" s="2">
        <v>1</v>
      </c>
      <c r="G3213" s="4">
        <v>2.0438465371200798</v>
      </c>
      <c r="H3213" s="2">
        <v>25</v>
      </c>
      <c r="I3213" s="2">
        <v>5</v>
      </c>
      <c r="J3213" s="2">
        <v>1</v>
      </c>
      <c r="K3213" s="4">
        <v>0.64524551391206253</v>
      </c>
      <c r="L3213" s="4">
        <v>0.32595998748104105</v>
      </c>
      <c r="M3213" s="4">
        <v>0.32595998748104105</v>
      </c>
      <c r="N3213" s="10">
        <v>0.32600000000000001</v>
      </c>
      <c r="O3213" s="4">
        <v>1.6772761142828785</v>
      </c>
      <c r="P3213" s="4">
        <v>1.68</v>
      </c>
      <c r="Q3213" s="3" t="s">
        <v>1597</v>
      </c>
      <c r="R3213" s="3" t="s">
        <v>1610</v>
      </c>
      <c r="S3213" s="3" t="s">
        <v>1611</v>
      </c>
      <c r="T3213" s="3"/>
    </row>
    <row r="3214" spans="1:20">
      <c r="A3214" s="3" t="s">
        <v>1594</v>
      </c>
      <c r="B3214" s="3" t="s">
        <v>1595</v>
      </c>
      <c r="C3214" s="3" t="s">
        <v>1596</v>
      </c>
      <c r="D3214" s="3" t="s">
        <v>1196</v>
      </c>
      <c r="E3214" s="3" t="s">
        <v>1197</v>
      </c>
      <c r="F3214" s="2">
        <v>1</v>
      </c>
      <c r="G3214" s="4">
        <v>2.0438465371200798</v>
      </c>
      <c r="H3214" s="2">
        <v>50</v>
      </c>
      <c r="I3214" s="2">
        <v>5</v>
      </c>
      <c r="J3214" s="2">
        <v>16</v>
      </c>
      <c r="K3214" s="4">
        <v>0.31072231402239625</v>
      </c>
      <c r="L3214" s="4">
        <v>0.28838653737930908</v>
      </c>
      <c r="M3214" s="4">
        <v>0.28838653737930908</v>
      </c>
      <c r="N3214" s="10">
        <v>0.28799999999999998</v>
      </c>
      <c r="O3214" s="4">
        <v>1.5949324960728495</v>
      </c>
      <c r="P3214" s="4">
        <v>1.59</v>
      </c>
      <c r="Q3214" s="3" t="s">
        <v>1597</v>
      </c>
      <c r="R3214" s="3" t="s">
        <v>1598</v>
      </c>
      <c r="S3214" s="3" t="s">
        <v>1599</v>
      </c>
      <c r="T3214" s="3"/>
    </row>
    <row r="3215" spans="1:20">
      <c r="A3215" s="3" t="s">
        <v>1600</v>
      </c>
      <c r="B3215" s="3" t="s">
        <v>1609</v>
      </c>
      <c r="C3215" s="3" t="s">
        <v>1596</v>
      </c>
      <c r="D3215" s="3" t="s">
        <v>1196</v>
      </c>
      <c r="E3215" s="3" t="s">
        <v>1197</v>
      </c>
      <c r="F3215" s="2">
        <v>1</v>
      </c>
      <c r="G3215" s="4">
        <v>2.0438465371200798</v>
      </c>
      <c r="H3215" s="2">
        <v>25</v>
      </c>
      <c r="I3215" s="2">
        <v>5</v>
      </c>
      <c r="J3215" s="2">
        <v>16</v>
      </c>
      <c r="K3215" s="4">
        <v>0.98125305534266216</v>
      </c>
      <c r="L3215" s="4">
        <v>0.28386815108557922</v>
      </c>
      <c r="M3215" s="4">
        <v>0.28386815108557922</v>
      </c>
      <c r="N3215" s="10">
        <v>0.28399999999999997</v>
      </c>
      <c r="O3215" s="4">
        <v>1.4471435240704051</v>
      </c>
      <c r="P3215" s="4">
        <v>1.45</v>
      </c>
      <c r="Q3215" s="3" t="s">
        <v>1597</v>
      </c>
      <c r="R3215" s="3" t="s">
        <v>1610</v>
      </c>
      <c r="S3215" s="3" t="s">
        <v>1611</v>
      </c>
      <c r="T3215" s="3"/>
    </row>
    <row r="3216" spans="1:20">
      <c r="A3216" s="3" t="s">
        <v>1594</v>
      </c>
      <c r="B3216" s="3" t="s">
        <v>1595</v>
      </c>
      <c r="C3216" s="3" t="s">
        <v>1596</v>
      </c>
      <c r="D3216" s="3" t="s">
        <v>1196</v>
      </c>
      <c r="E3216" s="3" t="s">
        <v>1197</v>
      </c>
      <c r="F3216" s="2">
        <v>1</v>
      </c>
      <c r="G3216" s="4">
        <v>2.0438465371200798</v>
      </c>
      <c r="H3216" s="2">
        <v>25</v>
      </c>
      <c r="I3216" s="2">
        <v>5</v>
      </c>
      <c r="J3216" s="2">
        <v>16</v>
      </c>
      <c r="K3216" s="4">
        <v>2.988953121860316E-2</v>
      </c>
      <c r="L3216" s="4">
        <v>0.17808961503240134</v>
      </c>
      <c r="M3216" s="4">
        <v>0.17808961503240134</v>
      </c>
      <c r="N3216" s="10">
        <v>0.17799999999999999</v>
      </c>
      <c r="O3216" s="4">
        <v>0.8924733300401968</v>
      </c>
      <c r="P3216" s="4">
        <v>0.89</v>
      </c>
      <c r="Q3216" s="3" t="s">
        <v>1597</v>
      </c>
      <c r="R3216" s="3" t="s">
        <v>1598</v>
      </c>
      <c r="S3216" s="3" t="s">
        <v>1599</v>
      </c>
      <c r="T3216" s="3"/>
    </row>
    <row r="3217" spans="1:20">
      <c r="A3217" s="3" t="s">
        <v>1594</v>
      </c>
      <c r="B3217" s="3" t="s">
        <v>1612</v>
      </c>
      <c r="C3217" s="3" t="s">
        <v>1596</v>
      </c>
      <c r="D3217" s="3" t="s">
        <v>1196</v>
      </c>
      <c r="E3217" s="3" t="s">
        <v>1197</v>
      </c>
      <c r="F3217" s="2">
        <v>1</v>
      </c>
      <c r="G3217" s="4">
        <v>2.0438465371200798</v>
      </c>
      <c r="H3217" s="2">
        <v>50</v>
      </c>
      <c r="I3217" s="2">
        <v>5</v>
      </c>
      <c r="J3217" s="2">
        <v>16</v>
      </c>
      <c r="K3217" s="4">
        <v>0.16353243735703371</v>
      </c>
      <c r="L3217" s="4">
        <v>-6.069599010775481E-2</v>
      </c>
      <c r="M3217" s="4">
        <v>6.069599010775481E-2</v>
      </c>
      <c r="N3217" s="10">
        <v>6.0999999999999999E-2</v>
      </c>
      <c r="O3217" s="4">
        <v>0.32656110825482404</v>
      </c>
      <c r="P3217" s="4">
        <v>-0.33</v>
      </c>
      <c r="Q3217" s="3" t="s">
        <v>1617</v>
      </c>
      <c r="R3217" s="3" t="s">
        <v>1627</v>
      </c>
      <c r="S3217" s="3" t="s">
        <v>1628</v>
      </c>
      <c r="T3217" s="3"/>
    </row>
    <row r="3218" spans="1:20">
      <c r="A3218" s="3" t="s">
        <v>1600</v>
      </c>
      <c r="B3218" s="3" t="s">
        <v>1601</v>
      </c>
      <c r="C3218" s="3" t="s">
        <v>1596</v>
      </c>
      <c r="D3218" s="3" t="s">
        <v>1567</v>
      </c>
      <c r="E3218" s="3" t="s">
        <v>1568</v>
      </c>
      <c r="F3218" s="2">
        <v>1</v>
      </c>
      <c r="G3218" s="4">
        <v>2.0539053905390539</v>
      </c>
      <c r="H3218" s="2">
        <v>25</v>
      </c>
      <c r="I3218" s="2">
        <v>5</v>
      </c>
      <c r="J3218" s="2">
        <v>1</v>
      </c>
      <c r="K3218" s="4">
        <v>2.2588547699006867E-2</v>
      </c>
      <c r="L3218" s="4">
        <v>1</v>
      </c>
      <c r="M3218" s="4">
        <v>1</v>
      </c>
      <c r="N3218" s="10">
        <v>0.995</v>
      </c>
      <c r="O3218" s="4">
        <v>14.85</v>
      </c>
      <c r="P3218" s="4">
        <v>14.85</v>
      </c>
      <c r="Q3218" s="3" t="s">
        <v>1597</v>
      </c>
      <c r="R3218" s="3" t="s">
        <v>1602</v>
      </c>
      <c r="S3218" s="3" t="s">
        <v>1603</v>
      </c>
      <c r="T3218" s="3"/>
    </row>
    <row r="3219" spans="1:20">
      <c r="A3219" s="3" t="s">
        <v>1600</v>
      </c>
      <c r="B3219" s="3" t="s">
        <v>1601</v>
      </c>
      <c r="C3219" s="3" t="s">
        <v>1596</v>
      </c>
      <c r="D3219" s="3" t="s">
        <v>1567</v>
      </c>
      <c r="E3219" s="3" t="s">
        <v>1568</v>
      </c>
      <c r="F3219" s="2">
        <v>1</v>
      </c>
      <c r="G3219" s="4">
        <v>2.0539053905390539</v>
      </c>
      <c r="H3219" s="2">
        <v>25</v>
      </c>
      <c r="I3219" s="2">
        <v>5</v>
      </c>
      <c r="J3219" s="2">
        <v>16</v>
      </c>
      <c r="K3219" s="4">
        <v>7.2742325400453001E-2</v>
      </c>
      <c r="L3219" s="4">
        <v>0.52440688641612432</v>
      </c>
      <c r="M3219" s="4">
        <v>0.52440688641612432</v>
      </c>
      <c r="N3219" s="10">
        <v>0.52400000000000002</v>
      </c>
      <c r="O3219" s="4">
        <v>2.8874971751944263</v>
      </c>
      <c r="P3219" s="4">
        <v>2.88</v>
      </c>
      <c r="Q3219" s="3" t="s">
        <v>1597</v>
      </c>
      <c r="R3219" s="3" t="s">
        <v>1602</v>
      </c>
      <c r="S3219" s="3" t="s">
        <v>1603</v>
      </c>
      <c r="T3219" s="3"/>
    </row>
    <row r="3220" spans="1:20">
      <c r="A3220" s="3" t="s">
        <v>1604</v>
      </c>
      <c r="B3220" s="3" t="s">
        <v>1601</v>
      </c>
      <c r="C3220" s="3" t="s">
        <v>1596</v>
      </c>
      <c r="D3220" s="3" t="s">
        <v>1567</v>
      </c>
      <c r="E3220" s="3" t="s">
        <v>1568</v>
      </c>
      <c r="F3220" s="2">
        <v>1</v>
      </c>
      <c r="G3220" s="4">
        <v>2.0539053905390539</v>
      </c>
      <c r="H3220" s="2">
        <v>25</v>
      </c>
      <c r="I3220" s="2">
        <v>30</v>
      </c>
      <c r="J3220" s="2">
        <v>16</v>
      </c>
      <c r="K3220" s="4">
        <v>0.14061754712812891</v>
      </c>
      <c r="L3220" s="4">
        <v>0.19494894207966315</v>
      </c>
      <c r="M3220" s="4">
        <v>0.19494894207966315</v>
      </c>
      <c r="N3220" s="10">
        <v>0.19500000000000001</v>
      </c>
      <c r="O3220" s="4">
        <v>0.97907600627966229</v>
      </c>
      <c r="P3220" s="4">
        <v>0.98</v>
      </c>
      <c r="Q3220" s="3" t="s">
        <v>1597</v>
      </c>
      <c r="R3220" s="3" t="s">
        <v>1602</v>
      </c>
      <c r="S3220" s="3" t="s">
        <v>1603</v>
      </c>
      <c r="T3220" s="3"/>
    </row>
    <row r="3221" spans="1:20">
      <c r="A3221" s="3" t="s">
        <v>1605</v>
      </c>
      <c r="B3221" s="3" t="s">
        <v>1601</v>
      </c>
      <c r="C3221" s="3" t="s">
        <v>1596</v>
      </c>
      <c r="D3221" s="3" t="s">
        <v>1567</v>
      </c>
      <c r="E3221" s="3" t="s">
        <v>1568</v>
      </c>
      <c r="F3221" s="2">
        <v>1</v>
      </c>
      <c r="G3221" s="4">
        <v>2.0539053905390539</v>
      </c>
      <c r="H3221" s="2">
        <v>25</v>
      </c>
      <c r="I3221" s="2">
        <v>5</v>
      </c>
      <c r="J3221" s="2">
        <v>16</v>
      </c>
      <c r="K3221" s="4">
        <v>0.12857419100250667</v>
      </c>
      <c r="L3221" s="4">
        <v>0.13031713514310567</v>
      </c>
      <c r="M3221" s="4">
        <v>0.13031713514310567</v>
      </c>
      <c r="N3221" s="10">
        <v>0.13</v>
      </c>
      <c r="O3221" s="4">
        <v>0.64979928710593482</v>
      </c>
      <c r="P3221" s="4">
        <v>0.65</v>
      </c>
      <c r="Q3221" s="3" t="s">
        <v>1597</v>
      </c>
      <c r="R3221" s="3" t="s">
        <v>1602</v>
      </c>
      <c r="S3221" s="3" t="s">
        <v>1603</v>
      </c>
      <c r="T3221" s="3"/>
    </row>
    <row r="3222" spans="1:20">
      <c r="A3222" s="3" t="s">
        <v>1594</v>
      </c>
      <c r="B3222" s="3" t="s">
        <v>1595</v>
      </c>
      <c r="C3222" s="3" t="s">
        <v>1596</v>
      </c>
      <c r="D3222" s="3" t="s">
        <v>1567</v>
      </c>
      <c r="E3222" s="3" t="s">
        <v>1568</v>
      </c>
      <c r="F3222" s="2">
        <v>1</v>
      </c>
      <c r="G3222" s="4">
        <v>2.0539053905390539</v>
      </c>
      <c r="H3222" s="2">
        <v>50</v>
      </c>
      <c r="I3222" s="2">
        <v>5</v>
      </c>
      <c r="J3222" s="2">
        <v>16</v>
      </c>
      <c r="K3222" s="4">
        <v>1</v>
      </c>
      <c r="L3222" s="4">
        <v>9.4972839492112243E-2</v>
      </c>
      <c r="M3222" s="4">
        <v>9.4972839492112243E-2</v>
      </c>
      <c r="N3222" s="10">
        <v>9.5000000000000001E-2</v>
      </c>
      <c r="O3222" s="4">
        <v>0.51189466574956966</v>
      </c>
      <c r="P3222" s="4">
        <v>0.51</v>
      </c>
      <c r="Q3222" s="3" t="s">
        <v>1597</v>
      </c>
      <c r="R3222" s="3" t="s">
        <v>1598</v>
      </c>
      <c r="S3222" s="3" t="s">
        <v>1599</v>
      </c>
      <c r="T3222" s="3"/>
    </row>
    <row r="3223" spans="1:20">
      <c r="A3223" s="3" t="s">
        <v>1594</v>
      </c>
      <c r="B3223" s="3" t="s">
        <v>1595</v>
      </c>
      <c r="C3223" s="3" t="s">
        <v>1596</v>
      </c>
      <c r="D3223" s="3" t="s">
        <v>1567</v>
      </c>
      <c r="E3223" s="3" t="s">
        <v>1568</v>
      </c>
      <c r="F3223" s="2">
        <v>1</v>
      </c>
      <c r="G3223" s="4">
        <v>2.0539053905390539</v>
      </c>
      <c r="H3223" s="2">
        <v>25</v>
      </c>
      <c r="I3223" s="2">
        <v>5</v>
      </c>
      <c r="J3223" s="2">
        <v>16</v>
      </c>
      <c r="K3223" s="4">
        <v>0.33602985312968481</v>
      </c>
      <c r="L3223" s="4">
        <v>8.496710340527884E-2</v>
      </c>
      <c r="M3223" s="4">
        <v>8.496710340527884E-2</v>
      </c>
      <c r="N3223" s="10">
        <v>8.5000000000000006E-2</v>
      </c>
      <c r="O3223" s="4">
        <v>0.42227965746862911</v>
      </c>
      <c r="P3223" s="4">
        <v>0.42</v>
      </c>
      <c r="Q3223" s="3" t="s">
        <v>1597</v>
      </c>
      <c r="R3223" s="3" t="s">
        <v>1598</v>
      </c>
      <c r="S3223" s="3" t="s">
        <v>1599</v>
      </c>
      <c r="T3223" s="3"/>
    </row>
    <row r="3224" spans="1:20">
      <c r="A3224" s="3" t="s">
        <v>1600</v>
      </c>
      <c r="B3224" s="3" t="s">
        <v>1601</v>
      </c>
      <c r="C3224" s="3" t="s">
        <v>1616</v>
      </c>
      <c r="D3224" s="3" t="s">
        <v>1567</v>
      </c>
      <c r="E3224" s="3" t="s">
        <v>1568</v>
      </c>
      <c r="F3224" s="2">
        <v>1</v>
      </c>
      <c r="G3224" s="4">
        <v>2.0539053905390539</v>
      </c>
      <c r="H3224" s="2">
        <v>25</v>
      </c>
      <c r="I3224" s="2">
        <v>5</v>
      </c>
      <c r="J3224" s="2">
        <v>1</v>
      </c>
      <c r="K3224" s="4">
        <v>0</v>
      </c>
      <c r="L3224" s="4">
        <v>0</v>
      </c>
      <c r="M3224" s="4">
        <v>0</v>
      </c>
      <c r="N3224" s="10">
        <v>0</v>
      </c>
      <c r="O3224" s="4">
        <v>0</v>
      </c>
      <c r="P3224" s="4">
        <v>0</v>
      </c>
      <c r="Q3224" s="3" t="s">
        <v>1617</v>
      </c>
      <c r="R3224" s="3" t="s">
        <v>1618</v>
      </c>
      <c r="S3224" s="3" t="s">
        <v>1619</v>
      </c>
      <c r="T3224" s="3"/>
    </row>
    <row r="3225" spans="1:20">
      <c r="A3225" s="3" t="s">
        <v>1600</v>
      </c>
      <c r="B3225" s="3" t="s">
        <v>1606</v>
      </c>
      <c r="C3225" s="3" t="s">
        <v>1596</v>
      </c>
      <c r="D3225" s="3" t="s">
        <v>1567</v>
      </c>
      <c r="E3225" s="3" t="s">
        <v>1568</v>
      </c>
      <c r="F3225" s="2">
        <v>1</v>
      </c>
      <c r="G3225" s="4">
        <v>2.0539053905390539</v>
      </c>
      <c r="H3225" s="2">
        <v>25</v>
      </c>
      <c r="I3225" s="2">
        <v>5</v>
      </c>
      <c r="J3225" s="2">
        <v>1</v>
      </c>
      <c r="K3225" s="4">
        <v>0</v>
      </c>
      <c r="L3225" s="4">
        <v>0</v>
      </c>
      <c r="M3225" s="4">
        <v>0</v>
      </c>
      <c r="N3225" s="10">
        <v>0</v>
      </c>
      <c r="O3225" s="4">
        <v>0</v>
      </c>
      <c r="P3225" s="4">
        <v>0</v>
      </c>
      <c r="Q3225" s="3" t="s">
        <v>1617</v>
      </c>
      <c r="R3225" s="3" t="s">
        <v>1621</v>
      </c>
      <c r="S3225" s="3" t="s">
        <v>1622</v>
      </c>
      <c r="T3225" s="3"/>
    </row>
    <row r="3226" spans="1:20">
      <c r="A3226" s="3" t="s">
        <v>1600</v>
      </c>
      <c r="B3226" s="3" t="s">
        <v>1606</v>
      </c>
      <c r="C3226" s="3" t="s">
        <v>1616</v>
      </c>
      <c r="D3226" s="3" t="s">
        <v>1567</v>
      </c>
      <c r="E3226" s="3" t="s">
        <v>1568</v>
      </c>
      <c r="F3226" s="2">
        <v>1</v>
      </c>
      <c r="G3226" s="4">
        <v>2.0539053905390539</v>
      </c>
      <c r="H3226" s="2">
        <v>25</v>
      </c>
      <c r="I3226" s="2">
        <v>5</v>
      </c>
      <c r="J3226" s="2">
        <v>1</v>
      </c>
      <c r="K3226" s="4">
        <v>0</v>
      </c>
      <c r="L3226" s="4">
        <v>0</v>
      </c>
      <c r="M3226" s="4">
        <v>0</v>
      </c>
      <c r="N3226" s="10">
        <v>0</v>
      </c>
      <c r="O3226" s="4">
        <v>0</v>
      </c>
      <c r="P3226" s="4">
        <v>0</v>
      </c>
      <c r="Q3226" s="3" t="s">
        <v>1617</v>
      </c>
      <c r="R3226" s="3" t="s">
        <v>1621</v>
      </c>
      <c r="S3226" s="3" t="s">
        <v>1622</v>
      </c>
      <c r="T3226" s="3"/>
    </row>
    <row r="3227" spans="1:20">
      <c r="A3227" s="3" t="s">
        <v>1600</v>
      </c>
      <c r="B3227" s="3" t="s">
        <v>1609</v>
      </c>
      <c r="C3227" s="3" t="s">
        <v>1616</v>
      </c>
      <c r="D3227" s="3" t="s">
        <v>1567</v>
      </c>
      <c r="E3227" s="3" t="s">
        <v>1568</v>
      </c>
      <c r="F3227" s="2">
        <v>1</v>
      </c>
      <c r="G3227" s="4">
        <v>2.0539053905390539</v>
      </c>
      <c r="H3227" s="2">
        <v>25</v>
      </c>
      <c r="I3227" s="2">
        <v>5</v>
      </c>
      <c r="J3227" s="2">
        <v>1</v>
      </c>
      <c r="K3227" s="4">
        <v>0</v>
      </c>
      <c r="L3227" s="4">
        <v>0</v>
      </c>
      <c r="M3227" s="4">
        <v>0</v>
      </c>
      <c r="N3227" s="10">
        <v>0</v>
      </c>
      <c r="O3227" s="4">
        <v>0</v>
      </c>
      <c r="P3227" s="4">
        <v>0</v>
      </c>
      <c r="Q3227" s="3" t="s">
        <v>1617</v>
      </c>
      <c r="R3227" s="3" t="s">
        <v>1623</v>
      </c>
      <c r="S3227" s="3" t="s">
        <v>1624</v>
      </c>
      <c r="T3227" s="3"/>
    </row>
    <row r="3228" spans="1:20">
      <c r="A3228" s="3" t="s">
        <v>1600</v>
      </c>
      <c r="B3228" s="3" t="s">
        <v>1606</v>
      </c>
      <c r="C3228" s="3" t="s">
        <v>1596</v>
      </c>
      <c r="D3228" s="3" t="s">
        <v>1567</v>
      </c>
      <c r="E3228" s="3" t="s">
        <v>1568</v>
      </c>
      <c r="F3228" s="2">
        <v>1</v>
      </c>
      <c r="G3228" s="4">
        <v>2.0539053905390539</v>
      </c>
      <c r="H3228" s="2">
        <v>25</v>
      </c>
      <c r="I3228" s="2">
        <v>5</v>
      </c>
      <c r="J3228" s="2">
        <v>16</v>
      </c>
      <c r="K3228" s="4">
        <v>7.0748007756147535E-2</v>
      </c>
      <c r="L3228" s="4">
        <v>-2.6974800065113436E-2</v>
      </c>
      <c r="M3228" s="4">
        <v>2.6974800065113436E-2</v>
      </c>
      <c r="N3228" s="10">
        <v>2.7E-2</v>
      </c>
      <c r="O3228" s="4">
        <v>0.13377179397044486</v>
      </c>
      <c r="P3228" s="4">
        <v>-0.13</v>
      </c>
      <c r="Q3228" s="3" t="s">
        <v>1617</v>
      </c>
      <c r="R3228" s="3" t="s">
        <v>1621</v>
      </c>
      <c r="S3228" s="3" t="s">
        <v>1622</v>
      </c>
      <c r="T3228" s="3"/>
    </row>
    <row r="3229" spans="1:20">
      <c r="A3229" s="3" t="s">
        <v>1600</v>
      </c>
      <c r="B3229" s="3" t="s">
        <v>1609</v>
      </c>
      <c r="C3229" s="3" t="s">
        <v>1616</v>
      </c>
      <c r="D3229" s="3" t="s">
        <v>1567</v>
      </c>
      <c r="E3229" s="3" t="s">
        <v>1568</v>
      </c>
      <c r="F3229" s="2">
        <v>1</v>
      </c>
      <c r="G3229" s="4">
        <v>2.0539053905390539</v>
      </c>
      <c r="H3229" s="2">
        <v>25</v>
      </c>
      <c r="I3229" s="2">
        <v>5</v>
      </c>
      <c r="J3229" s="2">
        <v>16</v>
      </c>
      <c r="K3229" s="4">
        <v>5.7048143273336405E-2</v>
      </c>
      <c r="L3229" s="4">
        <v>-0.14570349330218157</v>
      </c>
      <c r="M3229" s="4">
        <v>0.14570349330218157</v>
      </c>
      <c r="N3229" s="10">
        <v>0.14599999999999999</v>
      </c>
      <c r="O3229" s="4">
        <v>0.72756674988245518</v>
      </c>
      <c r="P3229" s="4">
        <v>-0.73</v>
      </c>
      <c r="Q3229" s="3" t="s">
        <v>1617</v>
      </c>
      <c r="R3229" s="3" t="s">
        <v>1623</v>
      </c>
      <c r="S3229" s="3" t="s">
        <v>1624</v>
      </c>
      <c r="T3229" s="3"/>
    </row>
    <row r="3230" spans="1:20">
      <c r="A3230" s="3" t="s">
        <v>1600</v>
      </c>
      <c r="B3230" s="3" t="s">
        <v>1606</v>
      </c>
      <c r="C3230" s="3" t="s">
        <v>1616</v>
      </c>
      <c r="D3230" s="3" t="s">
        <v>1567</v>
      </c>
      <c r="E3230" s="3" t="s">
        <v>1568</v>
      </c>
      <c r="F3230" s="2">
        <v>1</v>
      </c>
      <c r="G3230" s="4">
        <v>2.0539053905390539</v>
      </c>
      <c r="H3230" s="2">
        <v>25</v>
      </c>
      <c r="I3230" s="2">
        <v>5</v>
      </c>
      <c r="J3230" s="2">
        <v>16</v>
      </c>
      <c r="K3230" s="4">
        <v>0.22656324788325877</v>
      </c>
      <c r="L3230" s="4">
        <v>-0.19479466478822594</v>
      </c>
      <c r="M3230" s="4">
        <v>0.19479466478822594</v>
      </c>
      <c r="N3230" s="10">
        <v>0.19500000000000001</v>
      </c>
      <c r="O3230" s="4">
        <v>0.97828091570639897</v>
      </c>
      <c r="P3230" s="4">
        <v>-0.98</v>
      </c>
      <c r="Q3230" s="3" t="s">
        <v>1617</v>
      </c>
      <c r="R3230" s="3" t="s">
        <v>1621</v>
      </c>
      <c r="S3230" s="3" t="s">
        <v>1622</v>
      </c>
      <c r="T3230" s="3"/>
    </row>
    <row r="3231" spans="1:20">
      <c r="A3231" s="3" t="s">
        <v>1600</v>
      </c>
      <c r="B3231" s="3" t="s">
        <v>1609</v>
      </c>
      <c r="C3231" s="3" t="s">
        <v>1596</v>
      </c>
      <c r="D3231" s="3" t="s">
        <v>1567</v>
      </c>
      <c r="E3231" s="3" t="s">
        <v>1568</v>
      </c>
      <c r="F3231" s="2">
        <v>1</v>
      </c>
      <c r="G3231" s="4">
        <v>2.0539053905390539</v>
      </c>
      <c r="H3231" s="2">
        <v>25</v>
      </c>
      <c r="I3231" s="2">
        <v>5</v>
      </c>
      <c r="J3231" s="2">
        <v>1</v>
      </c>
      <c r="K3231" s="4">
        <v>5.7902184920017641E-2</v>
      </c>
      <c r="L3231" s="4">
        <v>-0.24204292079849071</v>
      </c>
      <c r="M3231" s="4">
        <v>0.24204292079849071</v>
      </c>
      <c r="N3231" s="10">
        <v>0.24199999999999999</v>
      </c>
      <c r="O3231" s="4">
        <v>1.2243278233550592</v>
      </c>
      <c r="P3231" s="4">
        <v>-1.22</v>
      </c>
      <c r="Q3231" s="3" t="s">
        <v>1617</v>
      </c>
      <c r="R3231" s="3" t="s">
        <v>1623</v>
      </c>
      <c r="S3231" s="3" t="s">
        <v>1624</v>
      </c>
      <c r="T3231" s="3"/>
    </row>
    <row r="3232" spans="1:20">
      <c r="A3232" s="3" t="s">
        <v>1600</v>
      </c>
      <c r="B3232" s="3" t="s">
        <v>1609</v>
      </c>
      <c r="C3232" s="3" t="s">
        <v>1596</v>
      </c>
      <c r="D3232" s="3" t="s">
        <v>1567</v>
      </c>
      <c r="E3232" s="3" t="s">
        <v>1568</v>
      </c>
      <c r="F3232" s="2">
        <v>1</v>
      </c>
      <c r="G3232" s="4">
        <v>2.0539053905390539</v>
      </c>
      <c r="H3232" s="2">
        <v>25</v>
      </c>
      <c r="I3232" s="2">
        <v>5</v>
      </c>
      <c r="J3232" s="2">
        <v>16</v>
      </c>
      <c r="K3232" s="4">
        <v>0.26978172192172456</v>
      </c>
      <c r="L3232" s="4">
        <v>-0.27751749337852416</v>
      </c>
      <c r="M3232" s="4">
        <v>0.27751749337852416</v>
      </c>
      <c r="N3232" s="10">
        <v>0.27800000000000002</v>
      </c>
      <c r="O3232" s="4">
        <v>1.4129642834578349</v>
      </c>
      <c r="P3232" s="4">
        <v>-1.42</v>
      </c>
      <c r="Q3232" s="3" t="s">
        <v>1617</v>
      </c>
      <c r="R3232" s="3" t="s">
        <v>1623</v>
      </c>
      <c r="S3232" s="3" t="s">
        <v>1624</v>
      </c>
      <c r="T3232" s="3"/>
    </row>
    <row r="3233" spans="1:20">
      <c r="A3233" s="3" t="s">
        <v>1604</v>
      </c>
      <c r="B3233" s="3" t="s">
        <v>1601</v>
      </c>
      <c r="C3233" s="3" t="s">
        <v>1616</v>
      </c>
      <c r="D3233" s="3" t="s">
        <v>1567</v>
      </c>
      <c r="E3233" s="3" t="s">
        <v>1568</v>
      </c>
      <c r="F3233" s="2">
        <v>1</v>
      </c>
      <c r="G3233" s="4">
        <v>2.0539053905390539</v>
      </c>
      <c r="H3233" s="2">
        <v>25</v>
      </c>
      <c r="I3233" s="2">
        <v>30</v>
      </c>
      <c r="J3233" s="2">
        <v>16</v>
      </c>
      <c r="K3233" s="4">
        <v>0.70354419776752686</v>
      </c>
      <c r="L3233" s="4">
        <v>-0.36517967971802928</v>
      </c>
      <c r="M3233" s="4">
        <v>0.36517967971802928</v>
      </c>
      <c r="N3233" s="10">
        <v>0.36499999999999999</v>
      </c>
      <c r="O3233" s="4">
        <v>1.8981442800671611</v>
      </c>
      <c r="P3233" s="4">
        <v>-1.9</v>
      </c>
      <c r="Q3233" s="3" t="s">
        <v>1617</v>
      </c>
      <c r="R3233" s="3" t="s">
        <v>1618</v>
      </c>
      <c r="S3233" s="3" t="s">
        <v>1619</v>
      </c>
      <c r="T3233" s="3"/>
    </row>
    <row r="3234" spans="1:20">
      <c r="A3234" s="3" t="s">
        <v>1600</v>
      </c>
      <c r="B3234" s="3" t="s">
        <v>1601</v>
      </c>
      <c r="C3234" s="3" t="s">
        <v>1616</v>
      </c>
      <c r="D3234" s="3" t="s">
        <v>1567</v>
      </c>
      <c r="E3234" s="3" t="s">
        <v>1568</v>
      </c>
      <c r="F3234" s="2">
        <v>1</v>
      </c>
      <c r="G3234" s="4">
        <v>2.0539053905390539</v>
      </c>
      <c r="H3234" s="2">
        <v>25</v>
      </c>
      <c r="I3234" s="2">
        <v>5</v>
      </c>
      <c r="J3234" s="2">
        <v>16</v>
      </c>
      <c r="K3234" s="4">
        <v>0.31250884885855823</v>
      </c>
      <c r="L3234" s="4">
        <v>-0.39113008545434103</v>
      </c>
      <c r="M3234" s="4">
        <v>0.39113008545434103</v>
      </c>
      <c r="N3234" s="10">
        <v>0.39100000000000001</v>
      </c>
      <c r="O3234" s="4">
        <v>2.0482897632692563</v>
      </c>
      <c r="P3234" s="4">
        <v>-2.0499999999999998</v>
      </c>
      <c r="Q3234" s="3" t="s">
        <v>1617</v>
      </c>
      <c r="R3234" s="3" t="s">
        <v>1618</v>
      </c>
      <c r="S3234" s="3" t="s">
        <v>1619</v>
      </c>
      <c r="T3234" s="3"/>
    </row>
    <row r="3235" spans="1:20">
      <c r="A3235" s="3" t="s">
        <v>1594</v>
      </c>
      <c r="B3235" s="3" t="s">
        <v>1612</v>
      </c>
      <c r="C3235" s="3" t="s">
        <v>1596</v>
      </c>
      <c r="D3235" s="3" t="s">
        <v>1567</v>
      </c>
      <c r="E3235" s="3" t="s">
        <v>1568</v>
      </c>
      <c r="F3235" s="2">
        <v>1</v>
      </c>
      <c r="G3235" s="4">
        <v>2.0539053905390539</v>
      </c>
      <c r="H3235" s="2">
        <v>50</v>
      </c>
      <c r="I3235" s="2">
        <v>5</v>
      </c>
      <c r="J3235" s="2">
        <v>16</v>
      </c>
      <c r="K3235" s="4">
        <v>1</v>
      </c>
      <c r="L3235" s="4">
        <v>-0.58562474926505892</v>
      </c>
      <c r="M3235" s="4">
        <v>0.58562474926505892</v>
      </c>
      <c r="N3235" s="10">
        <v>0.58599999999999997</v>
      </c>
      <c r="O3235" s="4">
        <v>3.6056241455542337</v>
      </c>
      <c r="P3235" s="4">
        <v>-3.61</v>
      </c>
      <c r="Q3235" s="3" t="s">
        <v>1617</v>
      </c>
      <c r="R3235" s="3" t="s">
        <v>1627</v>
      </c>
      <c r="S3235" s="3" t="s">
        <v>1628</v>
      </c>
      <c r="T3235" s="3"/>
    </row>
    <row r="3236" spans="1:20">
      <c r="A3236" s="3" t="s">
        <v>1600</v>
      </c>
      <c r="B3236" s="3" t="s">
        <v>1601</v>
      </c>
      <c r="C3236" s="3" t="s">
        <v>1616</v>
      </c>
      <c r="D3236" s="3" t="s">
        <v>1104</v>
      </c>
      <c r="E3236" s="3" t="s">
        <v>1105</v>
      </c>
      <c r="F3236" s="2">
        <v>1</v>
      </c>
      <c r="G3236" s="4">
        <v>2.0590356016223521</v>
      </c>
      <c r="H3236" s="2">
        <v>25</v>
      </c>
      <c r="I3236" s="2">
        <v>5</v>
      </c>
      <c r="J3236" s="2">
        <v>1</v>
      </c>
      <c r="K3236" s="4">
        <v>1</v>
      </c>
      <c r="L3236" s="4">
        <v>1</v>
      </c>
      <c r="M3236" s="4">
        <v>1</v>
      </c>
      <c r="N3236" s="10">
        <v>0.995</v>
      </c>
      <c r="O3236" s="4">
        <v>14.85</v>
      </c>
      <c r="P3236" s="4">
        <v>14.85</v>
      </c>
      <c r="Q3236" s="3" t="s">
        <v>1597</v>
      </c>
      <c r="R3236" s="3" t="s">
        <v>1602</v>
      </c>
      <c r="S3236" s="3" t="s">
        <v>1603</v>
      </c>
      <c r="T3236" s="3"/>
    </row>
    <row r="3237" spans="1:20">
      <c r="A3237" s="3" t="s">
        <v>1600</v>
      </c>
      <c r="B3237" s="3" t="s">
        <v>1601</v>
      </c>
      <c r="C3237" s="3" t="s">
        <v>1616</v>
      </c>
      <c r="D3237" s="3" t="s">
        <v>1104</v>
      </c>
      <c r="E3237" s="3" t="s">
        <v>1105</v>
      </c>
      <c r="F3237" s="2">
        <v>1</v>
      </c>
      <c r="G3237" s="4">
        <v>2.0590356016223521</v>
      </c>
      <c r="H3237" s="2">
        <v>25</v>
      </c>
      <c r="I3237" s="2">
        <v>5</v>
      </c>
      <c r="J3237" s="2">
        <v>16</v>
      </c>
      <c r="K3237" s="4">
        <v>1</v>
      </c>
      <c r="L3237" s="4">
        <v>1</v>
      </c>
      <c r="M3237" s="4">
        <v>1</v>
      </c>
      <c r="N3237" s="10">
        <v>0.995</v>
      </c>
      <c r="O3237" s="4">
        <v>14.85</v>
      </c>
      <c r="P3237" s="4">
        <v>14.85</v>
      </c>
      <c r="Q3237" s="3" t="s">
        <v>1597</v>
      </c>
      <c r="R3237" s="3" t="s">
        <v>1602</v>
      </c>
      <c r="S3237" s="3" t="s">
        <v>1603</v>
      </c>
      <c r="T3237" s="3"/>
    </row>
    <row r="3238" spans="1:20">
      <c r="A3238" s="3" t="s">
        <v>1604</v>
      </c>
      <c r="B3238" s="3" t="s">
        <v>1601</v>
      </c>
      <c r="C3238" s="3" t="s">
        <v>1616</v>
      </c>
      <c r="D3238" s="3" t="s">
        <v>1104</v>
      </c>
      <c r="E3238" s="3" t="s">
        <v>1105</v>
      </c>
      <c r="F3238" s="2">
        <v>1</v>
      </c>
      <c r="G3238" s="4">
        <v>2.0590356016223521</v>
      </c>
      <c r="H3238" s="2">
        <v>25</v>
      </c>
      <c r="I3238" s="2">
        <v>30</v>
      </c>
      <c r="J3238" s="2">
        <v>16</v>
      </c>
      <c r="K3238" s="4">
        <v>1</v>
      </c>
      <c r="L3238" s="4">
        <v>0.99487447264528339</v>
      </c>
      <c r="M3238" s="4">
        <v>0.99487447264528339</v>
      </c>
      <c r="N3238" s="10">
        <v>0.995</v>
      </c>
      <c r="O3238" s="4">
        <v>14.784821500052383</v>
      </c>
      <c r="P3238" s="4">
        <v>14.85</v>
      </c>
      <c r="Q3238" s="3" t="s">
        <v>1597</v>
      </c>
      <c r="R3238" s="3" t="s">
        <v>1602</v>
      </c>
      <c r="S3238" s="3" t="s">
        <v>1603</v>
      </c>
      <c r="T3238" s="3"/>
    </row>
    <row r="3239" spans="1:20">
      <c r="A3239" s="3" t="s">
        <v>1600</v>
      </c>
      <c r="B3239" s="3" t="s">
        <v>1606</v>
      </c>
      <c r="C3239" s="3" t="s">
        <v>1616</v>
      </c>
      <c r="D3239" s="3" t="s">
        <v>1104</v>
      </c>
      <c r="E3239" s="3" t="s">
        <v>1105</v>
      </c>
      <c r="F3239" s="2">
        <v>1</v>
      </c>
      <c r="G3239" s="4">
        <v>2.0590356016223521</v>
      </c>
      <c r="H3239" s="2">
        <v>25</v>
      </c>
      <c r="I3239" s="2">
        <v>5</v>
      </c>
      <c r="J3239" s="2">
        <v>16</v>
      </c>
      <c r="K3239" s="4">
        <v>1</v>
      </c>
      <c r="L3239" s="4">
        <v>0.98152823562492897</v>
      </c>
      <c r="M3239" s="4">
        <v>0.98152823562492897</v>
      </c>
      <c r="N3239" s="10">
        <v>0.98199999999999998</v>
      </c>
      <c r="O3239" s="4">
        <v>11.590119083675892</v>
      </c>
      <c r="P3239" s="4">
        <v>11.65</v>
      </c>
      <c r="Q3239" s="3" t="s">
        <v>1597</v>
      </c>
      <c r="R3239" s="3" t="s">
        <v>1607</v>
      </c>
      <c r="S3239" s="3" t="s">
        <v>1608</v>
      </c>
      <c r="T3239" s="3"/>
    </row>
    <row r="3240" spans="1:20">
      <c r="A3240" s="3" t="s">
        <v>1600</v>
      </c>
      <c r="B3240" s="3" t="s">
        <v>1606</v>
      </c>
      <c r="C3240" s="3" t="s">
        <v>1616</v>
      </c>
      <c r="D3240" s="3" t="s">
        <v>1104</v>
      </c>
      <c r="E3240" s="3" t="s">
        <v>1105</v>
      </c>
      <c r="F3240" s="2">
        <v>1</v>
      </c>
      <c r="G3240" s="4">
        <v>2.0590356016223521</v>
      </c>
      <c r="H3240" s="2">
        <v>25</v>
      </c>
      <c r="I3240" s="2">
        <v>5</v>
      </c>
      <c r="J3240" s="2">
        <v>1</v>
      </c>
      <c r="K3240" s="4">
        <v>1</v>
      </c>
      <c r="L3240" s="4">
        <v>0.97756026956419084</v>
      </c>
      <c r="M3240" s="4">
        <v>0.97756026956419084</v>
      </c>
      <c r="N3240" s="10">
        <v>0.97799999999999998</v>
      </c>
      <c r="O3240" s="4">
        <v>11.102768226632939</v>
      </c>
      <c r="P3240" s="4">
        <v>11.15</v>
      </c>
      <c r="Q3240" s="3" t="s">
        <v>1597</v>
      </c>
      <c r="R3240" s="3" t="s">
        <v>1607</v>
      </c>
      <c r="S3240" s="3" t="s">
        <v>1608</v>
      </c>
      <c r="T3240" s="3"/>
    </row>
    <row r="3241" spans="1:20">
      <c r="A3241" s="3" t="s">
        <v>1600</v>
      </c>
      <c r="B3241" s="3" t="s">
        <v>1609</v>
      </c>
      <c r="C3241" s="3" t="s">
        <v>1616</v>
      </c>
      <c r="D3241" s="3" t="s">
        <v>1104</v>
      </c>
      <c r="E3241" s="3" t="s">
        <v>1105</v>
      </c>
      <c r="F3241" s="2">
        <v>1</v>
      </c>
      <c r="G3241" s="4">
        <v>2.0590356016223521</v>
      </c>
      <c r="H3241" s="2">
        <v>25</v>
      </c>
      <c r="I3241" s="2">
        <v>5</v>
      </c>
      <c r="J3241" s="2">
        <v>16</v>
      </c>
      <c r="K3241" s="4">
        <v>0.91879676704712654</v>
      </c>
      <c r="L3241" s="4">
        <v>0.93500299546935262</v>
      </c>
      <c r="M3241" s="4">
        <v>0.93500299546935262</v>
      </c>
      <c r="N3241" s="10">
        <v>0.93500000000000005</v>
      </c>
      <c r="O3241" s="4">
        <v>8.4124354408338604</v>
      </c>
      <c r="P3241" s="4">
        <v>8.41</v>
      </c>
      <c r="Q3241" s="3" t="s">
        <v>1597</v>
      </c>
      <c r="R3241" s="3" t="s">
        <v>1610</v>
      </c>
      <c r="S3241" s="3" t="s">
        <v>1611</v>
      </c>
      <c r="T3241" s="3"/>
    </row>
    <row r="3242" spans="1:20">
      <c r="A3242" s="3" t="s">
        <v>1600</v>
      </c>
      <c r="B3242" s="3" t="s">
        <v>1609</v>
      </c>
      <c r="C3242" s="3" t="s">
        <v>1616</v>
      </c>
      <c r="D3242" s="3" t="s">
        <v>1104</v>
      </c>
      <c r="E3242" s="3" t="s">
        <v>1105</v>
      </c>
      <c r="F3242" s="2">
        <v>1</v>
      </c>
      <c r="G3242" s="4">
        <v>2.0590356016223521</v>
      </c>
      <c r="H3242" s="2">
        <v>25</v>
      </c>
      <c r="I3242" s="2">
        <v>5</v>
      </c>
      <c r="J3242" s="2">
        <v>1</v>
      </c>
      <c r="K3242" s="4">
        <v>0.531028873693284</v>
      </c>
      <c r="L3242" s="4">
        <v>0.85633375191896999</v>
      </c>
      <c r="M3242" s="4">
        <v>0.85633375191896999</v>
      </c>
      <c r="N3242" s="10">
        <v>0.85599999999999998</v>
      </c>
      <c r="O3242" s="4">
        <v>6.3433469630354491</v>
      </c>
      <c r="P3242" s="4">
        <v>6.34</v>
      </c>
      <c r="Q3242" s="3" t="s">
        <v>1597</v>
      </c>
      <c r="R3242" s="3" t="s">
        <v>1610</v>
      </c>
      <c r="S3242" s="3" t="s">
        <v>1611</v>
      </c>
      <c r="T3242" s="3"/>
    </row>
    <row r="3243" spans="1:20">
      <c r="A3243" s="3" t="s">
        <v>1600</v>
      </c>
      <c r="B3243" s="3" t="s">
        <v>1606</v>
      </c>
      <c r="C3243" s="3" t="s">
        <v>1596</v>
      </c>
      <c r="D3243" s="3" t="s">
        <v>1104</v>
      </c>
      <c r="E3243" s="3" t="s">
        <v>1105</v>
      </c>
      <c r="F3243" s="2">
        <v>1</v>
      </c>
      <c r="G3243" s="4">
        <v>2.0590356016223521</v>
      </c>
      <c r="H3243" s="2">
        <v>25</v>
      </c>
      <c r="I3243" s="2">
        <v>5</v>
      </c>
      <c r="J3243" s="2">
        <v>16</v>
      </c>
      <c r="K3243" s="4">
        <v>1</v>
      </c>
      <c r="L3243" s="4">
        <v>0.80535409277952896</v>
      </c>
      <c r="M3243" s="4">
        <v>0.80535409277952896</v>
      </c>
      <c r="N3243" s="10">
        <v>0.80500000000000005</v>
      </c>
      <c r="O3243" s="4">
        <v>5.5214801290239075</v>
      </c>
      <c r="P3243" s="4">
        <v>5.52</v>
      </c>
      <c r="Q3243" s="3" t="s">
        <v>1597</v>
      </c>
      <c r="R3243" s="3" t="s">
        <v>1607</v>
      </c>
      <c r="S3243" s="3" t="s">
        <v>1608</v>
      </c>
      <c r="T3243" s="3"/>
    </row>
    <row r="3244" spans="1:20">
      <c r="A3244" s="3" t="s">
        <v>1600</v>
      </c>
      <c r="B3244" s="3" t="s">
        <v>1601</v>
      </c>
      <c r="C3244" s="3" t="s">
        <v>1596</v>
      </c>
      <c r="D3244" s="3" t="s">
        <v>1104</v>
      </c>
      <c r="E3244" s="3" t="s">
        <v>1105</v>
      </c>
      <c r="F3244" s="2">
        <v>1</v>
      </c>
      <c r="G3244" s="4">
        <v>2.0590356016223521</v>
      </c>
      <c r="H3244" s="2">
        <v>25</v>
      </c>
      <c r="I3244" s="2">
        <v>5</v>
      </c>
      <c r="J3244" s="2">
        <v>1</v>
      </c>
      <c r="K3244" s="4">
        <v>7.4798715607476529E-2</v>
      </c>
      <c r="L3244" s="4">
        <v>0.79584041857423149</v>
      </c>
      <c r="M3244" s="4">
        <v>0.79584041857423149</v>
      </c>
      <c r="N3244" s="10">
        <v>0.79600000000000004</v>
      </c>
      <c r="O3244" s="4">
        <v>5.3900860497610958</v>
      </c>
      <c r="P3244" s="4">
        <v>5.39</v>
      </c>
      <c r="Q3244" s="3" t="s">
        <v>1597</v>
      </c>
      <c r="R3244" s="3" t="s">
        <v>1602</v>
      </c>
      <c r="S3244" s="3" t="s">
        <v>1603</v>
      </c>
      <c r="T3244" s="3"/>
    </row>
    <row r="3245" spans="1:20">
      <c r="A3245" s="3" t="s">
        <v>1600</v>
      </c>
      <c r="B3245" s="3" t="s">
        <v>1606</v>
      </c>
      <c r="C3245" s="3" t="s">
        <v>1596</v>
      </c>
      <c r="D3245" s="3" t="s">
        <v>1104</v>
      </c>
      <c r="E3245" s="3" t="s">
        <v>1105</v>
      </c>
      <c r="F3245" s="2">
        <v>1</v>
      </c>
      <c r="G3245" s="4">
        <v>2.0590356016223521</v>
      </c>
      <c r="H3245" s="2">
        <v>25</v>
      </c>
      <c r="I3245" s="2">
        <v>5</v>
      </c>
      <c r="J3245" s="2">
        <v>1</v>
      </c>
      <c r="K3245" s="4">
        <v>0.44849688836779167</v>
      </c>
      <c r="L3245" s="4">
        <v>0.78171664032291321</v>
      </c>
      <c r="M3245" s="4">
        <v>0.78171664032291321</v>
      </c>
      <c r="N3245" s="10">
        <v>0.78200000000000003</v>
      </c>
      <c r="O3245" s="4">
        <v>5.2046892462205614</v>
      </c>
      <c r="P3245" s="4">
        <v>5.21</v>
      </c>
      <c r="Q3245" s="3" t="s">
        <v>1597</v>
      </c>
      <c r="R3245" s="3" t="s">
        <v>1607</v>
      </c>
      <c r="S3245" s="3" t="s">
        <v>1608</v>
      </c>
      <c r="T3245" s="3"/>
    </row>
    <row r="3246" spans="1:20">
      <c r="A3246" s="3" t="s">
        <v>1600</v>
      </c>
      <c r="B3246" s="3" t="s">
        <v>1601</v>
      </c>
      <c r="C3246" s="3" t="s">
        <v>1596</v>
      </c>
      <c r="D3246" s="3" t="s">
        <v>1104</v>
      </c>
      <c r="E3246" s="3" t="s">
        <v>1105</v>
      </c>
      <c r="F3246" s="2">
        <v>1</v>
      </c>
      <c r="G3246" s="4">
        <v>2.0590356016223521</v>
      </c>
      <c r="H3246" s="2">
        <v>25</v>
      </c>
      <c r="I3246" s="2">
        <v>5</v>
      </c>
      <c r="J3246" s="2">
        <v>16</v>
      </c>
      <c r="K3246" s="4">
        <v>0.98379312132666008</v>
      </c>
      <c r="L3246" s="4">
        <v>0.68684712626499234</v>
      </c>
      <c r="M3246" s="4">
        <v>0.68684712626499234</v>
      </c>
      <c r="N3246" s="10">
        <v>0.68700000000000006</v>
      </c>
      <c r="O3246" s="4">
        <v>4.174396419518267</v>
      </c>
      <c r="P3246" s="4">
        <v>4.18</v>
      </c>
      <c r="Q3246" s="3" t="s">
        <v>1597</v>
      </c>
      <c r="R3246" s="3" t="s">
        <v>1602</v>
      </c>
      <c r="S3246" s="3" t="s">
        <v>1603</v>
      </c>
      <c r="T3246" s="3"/>
    </row>
    <row r="3247" spans="1:20">
      <c r="A3247" s="3" t="s">
        <v>1605</v>
      </c>
      <c r="B3247" s="3" t="s">
        <v>1601</v>
      </c>
      <c r="C3247" s="3" t="s">
        <v>1596</v>
      </c>
      <c r="D3247" s="3" t="s">
        <v>1104</v>
      </c>
      <c r="E3247" s="3" t="s">
        <v>1105</v>
      </c>
      <c r="F3247" s="2">
        <v>1</v>
      </c>
      <c r="G3247" s="4">
        <v>2.0590356016223521</v>
      </c>
      <c r="H3247" s="2">
        <v>25</v>
      </c>
      <c r="I3247" s="2">
        <v>5</v>
      </c>
      <c r="J3247" s="2">
        <v>16</v>
      </c>
      <c r="K3247" s="4">
        <v>0.99147909419080382</v>
      </c>
      <c r="L3247" s="4">
        <v>0.62829528764459697</v>
      </c>
      <c r="M3247" s="4">
        <v>0.62829528764459697</v>
      </c>
      <c r="N3247" s="10">
        <v>0.628</v>
      </c>
      <c r="O3247" s="4">
        <v>3.6619049053439974</v>
      </c>
      <c r="P3247" s="4">
        <v>3.66</v>
      </c>
      <c r="Q3247" s="3" t="s">
        <v>1597</v>
      </c>
      <c r="R3247" s="3" t="s">
        <v>1602</v>
      </c>
      <c r="S3247" s="3" t="s">
        <v>1603</v>
      </c>
      <c r="T3247" s="3"/>
    </row>
    <row r="3248" spans="1:20">
      <c r="A3248" s="3" t="s">
        <v>1604</v>
      </c>
      <c r="B3248" s="3" t="s">
        <v>1601</v>
      </c>
      <c r="C3248" s="3" t="s">
        <v>1596</v>
      </c>
      <c r="D3248" s="3" t="s">
        <v>1104</v>
      </c>
      <c r="E3248" s="3" t="s">
        <v>1105</v>
      </c>
      <c r="F3248" s="2">
        <v>1</v>
      </c>
      <c r="G3248" s="4">
        <v>2.0590356016223521</v>
      </c>
      <c r="H3248" s="2">
        <v>25</v>
      </c>
      <c r="I3248" s="2">
        <v>30</v>
      </c>
      <c r="J3248" s="2">
        <v>16</v>
      </c>
      <c r="K3248" s="4">
        <v>0.99693239662450983</v>
      </c>
      <c r="L3248" s="4">
        <v>0.58499616288986633</v>
      </c>
      <c r="M3248" s="4">
        <v>0.58499616288986633</v>
      </c>
      <c r="N3248" s="10">
        <v>0.58499999999999996</v>
      </c>
      <c r="O3248" s="4">
        <v>3.3219400613976298</v>
      </c>
      <c r="P3248" s="4">
        <v>3.32</v>
      </c>
      <c r="Q3248" s="3" t="s">
        <v>1597</v>
      </c>
      <c r="R3248" s="3" t="s">
        <v>1602</v>
      </c>
      <c r="S3248" s="3" t="s">
        <v>1603</v>
      </c>
      <c r="T3248" s="3"/>
    </row>
    <row r="3249" spans="1:20">
      <c r="A3249" s="3" t="s">
        <v>1594</v>
      </c>
      <c r="B3249" s="3" t="s">
        <v>1595</v>
      </c>
      <c r="C3249" s="3" t="s">
        <v>1596</v>
      </c>
      <c r="D3249" s="3" t="s">
        <v>1104</v>
      </c>
      <c r="E3249" s="3" t="s">
        <v>1105</v>
      </c>
      <c r="F3249" s="2">
        <v>1</v>
      </c>
      <c r="G3249" s="4">
        <v>2.0590356016223521</v>
      </c>
      <c r="H3249" s="2">
        <v>50</v>
      </c>
      <c r="I3249" s="2">
        <v>5</v>
      </c>
      <c r="J3249" s="2">
        <v>16</v>
      </c>
      <c r="K3249" s="4">
        <v>0.28209601971786669</v>
      </c>
      <c r="L3249" s="4">
        <v>0.24193940287764204</v>
      </c>
      <c r="M3249" s="4">
        <v>0.24193940287764204</v>
      </c>
      <c r="N3249" s="10">
        <v>0.24199999999999999</v>
      </c>
      <c r="O3249" s="4">
        <v>1.3263973428559561</v>
      </c>
      <c r="P3249" s="4">
        <v>1.33</v>
      </c>
      <c r="Q3249" s="3" t="s">
        <v>1597</v>
      </c>
      <c r="R3249" s="3" t="s">
        <v>1598</v>
      </c>
      <c r="S3249" s="3" t="s">
        <v>1599</v>
      </c>
      <c r="T3249" s="3"/>
    </row>
    <row r="3250" spans="1:20">
      <c r="A3250" s="3" t="s">
        <v>1600</v>
      </c>
      <c r="B3250" s="3" t="s">
        <v>1609</v>
      </c>
      <c r="C3250" s="3" t="s">
        <v>1596</v>
      </c>
      <c r="D3250" s="3" t="s">
        <v>1104</v>
      </c>
      <c r="E3250" s="3" t="s">
        <v>1105</v>
      </c>
      <c r="F3250" s="2">
        <v>1</v>
      </c>
      <c r="G3250" s="4">
        <v>2.0590356016223521</v>
      </c>
      <c r="H3250" s="2">
        <v>25</v>
      </c>
      <c r="I3250" s="2">
        <v>5</v>
      </c>
      <c r="J3250" s="2">
        <v>1</v>
      </c>
      <c r="K3250" s="4">
        <v>0.84952256037338159</v>
      </c>
      <c r="L3250" s="4">
        <v>0.22873180727335674</v>
      </c>
      <c r="M3250" s="4">
        <v>0.22873180727335674</v>
      </c>
      <c r="N3250" s="10">
        <v>0.22900000000000001</v>
      </c>
      <c r="O3250" s="4">
        <v>1.1544596980648014</v>
      </c>
      <c r="P3250" s="4">
        <v>1.1599999999999999</v>
      </c>
      <c r="Q3250" s="3" t="s">
        <v>1597</v>
      </c>
      <c r="R3250" s="3" t="s">
        <v>1610</v>
      </c>
      <c r="S3250" s="3" t="s">
        <v>1611</v>
      </c>
      <c r="T3250" s="3"/>
    </row>
    <row r="3251" spans="1:20">
      <c r="A3251" s="3" t="s">
        <v>1600</v>
      </c>
      <c r="B3251" s="3" t="s">
        <v>1609</v>
      </c>
      <c r="C3251" s="3" t="s">
        <v>1596</v>
      </c>
      <c r="D3251" s="3" t="s">
        <v>1104</v>
      </c>
      <c r="E3251" s="3" t="s">
        <v>1105</v>
      </c>
      <c r="F3251" s="2">
        <v>1</v>
      </c>
      <c r="G3251" s="4">
        <v>2.0590356016223521</v>
      </c>
      <c r="H3251" s="2">
        <v>25</v>
      </c>
      <c r="I3251" s="2">
        <v>5</v>
      </c>
      <c r="J3251" s="2">
        <v>16</v>
      </c>
      <c r="K3251" s="4">
        <v>0.95074808521192544</v>
      </c>
      <c r="L3251" s="4">
        <v>0.22223368764221862</v>
      </c>
      <c r="M3251" s="4">
        <v>0.22223368764221862</v>
      </c>
      <c r="N3251" s="10">
        <v>0.222</v>
      </c>
      <c r="O3251" s="4">
        <v>1.120516535293115</v>
      </c>
      <c r="P3251" s="4">
        <v>1.1200000000000001</v>
      </c>
      <c r="Q3251" s="3" t="s">
        <v>1597</v>
      </c>
      <c r="R3251" s="3" t="s">
        <v>1610</v>
      </c>
      <c r="S3251" s="3" t="s">
        <v>1611</v>
      </c>
      <c r="T3251" s="3"/>
    </row>
    <row r="3252" spans="1:20">
      <c r="A3252" s="3" t="s">
        <v>1594</v>
      </c>
      <c r="B3252" s="3" t="s">
        <v>1595</v>
      </c>
      <c r="C3252" s="3" t="s">
        <v>1596</v>
      </c>
      <c r="D3252" s="3" t="s">
        <v>1104</v>
      </c>
      <c r="E3252" s="3" t="s">
        <v>1105</v>
      </c>
      <c r="F3252" s="2">
        <v>1</v>
      </c>
      <c r="G3252" s="4">
        <v>2.0590356016223521</v>
      </c>
      <c r="H3252" s="2">
        <v>25</v>
      </c>
      <c r="I3252" s="2">
        <v>5</v>
      </c>
      <c r="J3252" s="2">
        <v>16</v>
      </c>
      <c r="K3252" s="4">
        <v>5.5202519760512048E-2</v>
      </c>
      <c r="L3252" s="4">
        <v>-1.9939906961803602E-2</v>
      </c>
      <c r="M3252" s="4">
        <v>1.9939906961803602E-2</v>
      </c>
      <c r="N3252" s="10">
        <v>0.02</v>
      </c>
      <c r="O3252" s="4">
        <v>9.8873895014464239E-2</v>
      </c>
      <c r="P3252" s="4">
        <v>-0.1</v>
      </c>
      <c r="Q3252" s="3" t="s">
        <v>1617</v>
      </c>
      <c r="R3252" s="3" t="s">
        <v>1625</v>
      </c>
      <c r="S3252" s="3" t="s">
        <v>1626</v>
      </c>
      <c r="T3252" s="3"/>
    </row>
    <row r="3253" spans="1:20">
      <c r="A3253" s="3" t="s">
        <v>1594</v>
      </c>
      <c r="B3253" s="3" t="s">
        <v>1612</v>
      </c>
      <c r="C3253" s="3" t="s">
        <v>1596</v>
      </c>
      <c r="D3253" s="3" t="s">
        <v>1104</v>
      </c>
      <c r="E3253" s="3" t="s">
        <v>1105</v>
      </c>
      <c r="F3253" s="2">
        <v>1</v>
      </c>
      <c r="G3253" s="4">
        <v>2.0590356016223521</v>
      </c>
      <c r="H3253" s="2">
        <v>50</v>
      </c>
      <c r="I3253" s="2">
        <v>5</v>
      </c>
      <c r="J3253" s="2">
        <v>16</v>
      </c>
      <c r="K3253" s="4">
        <v>0.36253697459715983</v>
      </c>
      <c r="L3253" s="4">
        <v>-0.16137204809386654</v>
      </c>
      <c r="M3253" s="4">
        <v>0.16137204809386654</v>
      </c>
      <c r="N3253" s="10">
        <v>0.161</v>
      </c>
      <c r="O3253" s="4">
        <v>0.8748057889955656</v>
      </c>
      <c r="P3253" s="4">
        <v>-0.87</v>
      </c>
      <c r="Q3253" s="3" t="s">
        <v>1617</v>
      </c>
      <c r="R3253" s="3" t="s">
        <v>1627</v>
      </c>
      <c r="S3253" s="3" t="s">
        <v>1628</v>
      </c>
      <c r="T3253" s="3"/>
    </row>
    <row r="3254" spans="1:20">
      <c r="A3254" s="3" t="s">
        <v>1594</v>
      </c>
      <c r="B3254" s="3" t="s">
        <v>1595</v>
      </c>
      <c r="C3254" s="3" t="s">
        <v>1596</v>
      </c>
      <c r="D3254" s="3" t="s">
        <v>1520</v>
      </c>
      <c r="E3254" s="3" t="s">
        <v>1521</v>
      </c>
      <c r="F3254" s="2">
        <v>1</v>
      </c>
      <c r="G3254" s="4">
        <v>2.0636633818238699</v>
      </c>
      <c r="H3254" s="2">
        <v>50</v>
      </c>
      <c r="I3254" s="2">
        <v>5</v>
      </c>
      <c r="J3254" s="2">
        <v>16</v>
      </c>
      <c r="K3254" s="4">
        <v>1.9954387147586017E-3</v>
      </c>
      <c r="L3254" s="4">
        <v>1</v>
      </c>
      <c r="M3254" s="4">
        <v>1</v>
      </c>
      <c r="N3254" s="10">
        <v>0.995</v>
      </c>
      <c r="O3254" s="4">
        <v>14.85</v>
      </c>
      <c r="P3254" s="4">
        <v>14.85</v>
      </c>
      <c r="Q3254" s="3" t="s">
        <v>1597</v>
      </c>
      <c r="R3254" s="3" t="s">
        <v>1598</v>
      </c>
      <c r="S3254" s="3" t="s">
        <v>1599</v>
      </c>
      <c r="T3254" s="3"/>
    </row>
    <row r="3255" spans="1:20">
      <c r="A3255" s="3" t="s">
        <v>1600</v>
      </c>
      <c r="B3255" s="3" t="s">
        <v>1601</v>
      </c>
      <c r="C3255" s="3" t="s">
        <v>1596</v>
      </c>
      <c r="D3255" s="3" t="s">
        <v>1520</v>
      </c>
      <c r="E3255" s="3" t="s">
        <v>1521</v>
      </c>
      <c r="F3255" s="2">
        <v>1</v>
      </c>
      <c r="G3255" s="4">
        <v>2.0636633818238699</v>
      </c>
      <c r="H3255" s="2">
        <v>25</v>
      </c>
      <c r="I3255" s="2">
        <v>5</v>
      </c>
      <c r="J3255" s="2">
        <v>16</v>
      </c>
      <c r="K3255" s="4">
        <v>1.5190936033944169E-2</v>
      </c>
      <c r="L3255" s="4">
        <v>1</v>
      </c>
      <c r="M3255" s="4">
        <v>1</v>
      </c>
      <c r="N3255" s="10">
        <v>0.995</v>
      </c>
      <c r="O3255" s="4">
        <v>14.85</v>
      </c>
      <c r="P3255" s="4">
        <v>14.85</v>
      </c>
      <c r="Q3255" s="3" t="s">
        <v>1597</v>
      </c>
      <c r="R3255" s="3" t="s">
        <v>1602</v>
      </c>
      <c r="S3255" s="3" t="s">
        <v>1603</v>
      </c>
      <c r="T3255" s="3"/>
    </row>
    <row r="3256" spans="1:20">
      <c r="A3256" s="3" t="s">
        <v>1600</v>
      </c>
      <c r="B3256" s="3" t="s">
        <v>1601</v>
      </c>
      <c r="C3256" s="3" t="s">
        <v>1616</v>
      </c>
      <c r="D3256" s="3" t="s">
        <v>1520</v>
      </c>
      <c r="E3256" s="3" t="s">
        <v>1521</v>
      </c>
      <c r="F3256" s="2">
        <v>1</v>
      </c>
      <c r="G3256" s="4">
        <v>2.0636633818238699</v>
      </c>
      <c r="H3256" s="2">
        <v>25</v>
      </c>
      <c r="I3256" s="2">
        <v>5</v>
      </c>
      <c r="J3256" s="2">
        <v>16</v>
      </c>
      <c r="K3256" s="4">
        <v>0.42134091014197195</v>
      </c>
      <c r="L3256" s="4">
        <v>0.62623954484243882</v>
      </c>
      <c r="M3256" s="4">
        <v>0.62623954484243882</v>
      </c>
      <c r="N3256" s="10">
        <v>0.626</v>
      </c>
      <c r="O3256" s="4">
        <v>3.645100840698742</v>
      </c>
      <c r="P3256" s="4">
        <v>3.64</v>
      </c>
      <c r="Q3256" s="3" t="s">
        <v>1597</v>
      </c>
      <c r="R3256" s="3" t="s">
        <v>1602</v>
      </c>
      <c r="S3256" s="3" t="s">
        <v>1603</v>
      </c>
      <c r="T3256" s="3"/>
    </row>
    <row r="3257" spans="1:20">
      <c r="A3257" s="3" t="s">
        <v>1604</v>
      </c>
      <c r="B3257" s="3" t="s">
        <v>1601</v>
      </c>
      <c r="C3257" s="3" t="s">
        <v>1616</v>
      </c>
      <c r="D3257" s="3" t="s">
        <v>1520</v>
      </c>
      <c r="E3257" s="3" t="s">
        <v>1521</v>
      </c>
      <c r="F3257" s="2">
        <v>1</v>
      </c>
      <c r="G3257" s="4">
        <v>2.0636633818238699</v>
      </c>
      <c r="H3257" s="2">
        <v>25</v>
      </c>
      <c r="I3257" s="2">
        <v>30</v>
      </c>
      <c r="J3257" s="2">
        <v>16</v>
      </c>
      <c r="K3257" s="4">
        <v>0.16149025788576488</v>
      </c>
      <c r="L3257" s="4">
        <v>0.62395540419852868</v>
      </c>
      <c r="M3257" s="4">
        <v>0.62395540419852868</v>
      </c>
      <c r="N3257" s="10">
        <v>0.624</v>
      </c>
      <c r="O3257" s="4">
        <v>3.6265130783043933</v>
      </c>
      <c r="P3257" s="4">
        <v>3.63</v>
      </c>
      <c r="Q3257" s="3" t="s">
        <v>1597</v>
      </c>
      <c r="R3257" s="3" t="s">
        <v>1602</v>
      </c>
      <c r="S3257" s="3" t="s">
        <v>1603</v>
      </c>
      <c r="T3257" s="3"/>
    </row>
    <row r="3258" spans="1:20">
      <c r="A3258" s="3" t="s">
        <v>1600</v>
      </c>
      <c r="B3258" s="3" t="s">
        <v>1601</v>
      </c>
      <c r="C3258" s="3" t="s">
        <v>1616</v>
      </c>
      <c r="D3258" s="3" t="s">
        <v>1520</v>
      </c>
      <c r="E3258" s="3" t="s">
        <v>1521</v>
      </c>
      <c r="F3258" s="2">
        <v>1</v>
      </c>
      <c r="G3258" s="4">
        <v>2.0636633818238699</v>
      </c>
      <c r="H3258" s="2">
        <v>25</v>
      </c>
      <c r="I3258" s="2">
        <v>5</v>
      </c>
      <c r="J3258" s="2">
        <v>1</v>
      </c>
      <c r="K3258" s="4">
        <v>6.0725521721447517E-2</v>
      </c>
      <c r="L3258" s="4">
        <v>0.61923957230212145</v>
      </c>
      <c r="M3258" s="4">
        <v>0.61923957230212145</v>
      </c>
      <c r="N3258" s="10">
        <v>0.61899999999999999</v>
      </c>
      <c r="O3258" s="4">
        <v>3.5884094085440923</v>
      </c>
      <c r="P3258" s="4">
        <v>3.59</v>
      </c>
      <c r="Q3258" s="3" t="s">
        <v>1597</v>
      </c>
      <c r="R3258" s="3" t="s">
        <v>1602</v>
      </c>
      <c r="S3258" s="3" t="s">
        <v>1603</v>
      </c>
      <c r="T3258" s="3"/>
    </row>
    <row r="3259" spans="1:20">
      <c r="A3259" s="3" t="s">
        <v>1600</v>
      </c>
      <c r="B3259" s="3" t="s">
        <v>1606</v>
      </c>
      <c r="C3259" s="3" t="s">
        <v>1616</v>
      </c>
      <c r="D3259" s="3" t="s">
        <v>1520</v>
      </c>
      <c r="E3259" s="3" t="s">
        <v>1521</v>
      </c>
      <c r="F3259" s="2">
        <v>1</v>
      </c>
      <c r="G3259" s="4">
        <v>2.0636633818238699</v>
      </c>
      <c r="H3259" s="2">
        <v>25</v>
      </c>
      <c r="I3259" s="2">
        <v>5</v>
      </c>
      <c r="J3259" s="2">
        <v>16</v>
      </c>
      <c r="K3259" s="4">
        <v>0.15731723947732079</v>
      </c>
      <c r="L3259" s="4">
        <v>0.28926623476052443</v>
      </c>
      <c r="M3259" s="4">
        <v>0.28926623476052443</v>
      </c>
      <c r="N3259" s="10">
        <v>0.28899999999999998</v>
      </c>
      <c r="O3259" s="4">
        <v>1.4763014460862605</v>
      </c>
      <c r="P3259" s="4">
        <v>1.47</v>
      </c>
      <c r="Q3259" s="3" t="s">
        <v>1597</v>
      </c>
      <c r="R3259" s="3" t="s">
        <v>1607</v>
      </c>
      <c r="S3259" s="3" t="s">
        <v>1608</v>
      </c>
      <c r="T3259" s="3"/>
    </row>
    <row r="3260" spans="1:20">
      <c r="A3260" s="3" t="s">
        <v>1600</v>
      </c>
      <c r="B3260" s="3" t="s">
        <v>1609</v>
      </c>
      <c r="C3260" s="3" t="s">
        <v>1596</v>
      </c>
      <c r="D3260" s="3" t="s">
        <v>1520</v>
      </c>
      <c r="E3260" s="3" t="s">
        <v>1521</v>
      </c>
      <c r="F3260" s="2">
        <v>1</v>
      </c>
      <c r="G3260" s="4">
        <v>2.0636633818238699</v>
      </c>
      <c r="H3260" s="2">
        <v>25</v>
      </c>
      <c r="I3260" s="2">
        <v>5</v>
      </c>
      <c r="J3260" s="2">
        <v>1</v>
      </c>
      <c r="K3260" s="4">
        <v>6.726443407793159E-3</v>
      </c>
      <c r="L3260" s="4">
        <v>0.24525875924140147</v>
      </c>
      <c r="M3260" s="4">
        <v>0.24525875924140147</v>
      </c>
      <c r="N3260" s="10">
        <v>0.245</v>
      </c>
      <c r="O3260" s="4">
        <v>1.2412780250934121</v>
      </c>
      <c r="P3260" s="4">
        <v>1.24</v>
      </c>
      <c r="Q3260" s="3" t="s">
        <v>1597</v>
      </c>
      <c r="R3260" s="3" t="s">
        <v>1610</v>
      </c>
      <c r="S3260" s="3" t="s">
        <v>1611</v>
      </c>
      <c r="T3260" s="3"/>
    </row>
    <row r="3261" spans="1:20">
      <c r="A3261" s="3" t="s">
        <v>1600</v>
      </c>
      <c r="B3261" s="3" t="s">
        <v>1606</v>
      </c>
      <c r="C3261" s="3" t="s">
        <v>1596</v>
      </c>
      <c r="D3261" s="3" t="s">
        <v>1520</v>
      </c>
      <c r="E3261" s="3" t="s">
        <v>1521</v>
      </c>
      <c r="F3261" s="2">
        <v>1</v>
      </c>
      <c r="G3261" s="4">
        <v>2.0636633818238699</v>
      </c>
      <c r="H3261" s="2">
        <v>25</v>
      </c>
      <c r="I3261" s="2">
        <v>5</v>
      </c>
      <c r="J3261" s="2">
        <v>16</v>
      </c>
      <c r="K3261" s="4">
        <v>8.6754604237935351E-2</v>
      </c>
      <c r="L3261" s="4">
        <v>0.20711528207315769</v>
      </c>
      <c r="M3261" s="4">
        <v>0.20711528207315769</v>
      </c>
      <c r="N3261" s="10">
        <v>0.20699999999999999</v>
      </c>
      <c r="O3261" s="4">
        <v>1.0419373232239164</v>
      </c>
      <c r="P3261" s="4">
        <v>1.04</v>
      </c>
      <c r="Q3261" s="3" t="s">
        <v>1597</v>
      </c>
      <c r="R3261" s="3" t="s">
        <v>1607</v>
      </c>
      <c r="S3261" s="3" t="s">
        <v>1608</v>
      </c>
      <c r="T3261" s="3"/>
    </row>
    <row r="3262" spans="1:20">
      <c r="A3262" s="3" t="s">
        <v>1604</v>
      </c>
      <c r="B3262" s="3" t="s">
        <v>1601</v>
      </c>
      <c r="C3262" s="3" t="s">
        <v>1596</v>
      </c>
      <c r="D3262" s="3" t="s">
        <v>1520</v>
      </c>
      <c r="E3262" s="3" t="s">
        <v>1521</v>
      </c>
      <c r="F3262" s="2">
        <v>1</v>
      </c>
      <c r="G3262" s="4">
        <v>2.0636633818238699</v>
      </c>
      <c r="H3262" s="2">
        <v>25</v>
      </c>
      <c r="I3262" s="2">
        <v>30</v>
      </c>
      <c r="J3262" s="2">
        <v>16</v>
      </c>
      <c r="K3262" s="4">
        <v>2.0712515619458305E-2</v>
      </c>
      <c r="L3262" s="4">
        <v>8.0793242746970251E-2</v>
      </c>
      <c r="M3262" s="4">
        <v>8.0793242746970251E-2</v>
      </c>
      <c r="N3262" s="10">
        <v>8.1000000000000003E-2</v>
      </c>
      <c r="O3262" s="4">
        <v>0.40144275968819748</v>
      </c>
      <c r="P3262" s="4">
        <v>0.4</v>
      </c>
      <c r="Q3262" s="3" t="s">
        <v>1597</v>
      </c>
      <c r="R3262" s="3" t="s">
        <v>1602</v>
      </c>
      <c r="S3262" s="3" t="s">
        <v>1603</v>
      </c>
      <c r="T3262" s="3"/>
    </row>
    <row r="3263" spans="1:20">
      <c r="A3263" s="3" t="s">
        <v>1600</v>
      </c>
      <c r="B3263" s="3" t="s">
        <v>1601</v>
      </c>
      <c r="C3263" s="3" t="s">
        <v>1596</v>
      </c>
      <c r="D3263" s="3" t="s">
        <v>1520</v>
      </c>
      <c r="E3263" s="3" t="s">
        <v>1521</v>
      </c>
      <c r="F3263" s="2">
        <v>1</v>
      </c>
      <c r="G3263" s="4">
        <v>2.0636633818238699</v>
      </c>
      <c r="H3263" s="2">
        <v>25</v>
      </c>
      <c r="I3263" s="2">
        <v>5</v>
      </c>
      <c r="J3263" s="2">
        <v>1</v>
      </c>
      <c r="K3263" s="4">
        <v>0</v>
      </c>
      <c r="L3263" s="4">
        <v>0</v>
      </c>
      <c r="M3263" s="4">
        <v>0</v>
      </c>
      <c r="N3263" s="10">
        <v>0</v>
      </c>
      <c r="O3263" s="4">
        <v>0</v>
      </c>
      <c r="P3263" s="4">
        <v>0</v>
      </c>
      <c r="Q3263" s="3" t="s">
        <v>1617</v>
      </c>
      <c r="R3263" s="3" t="s">
        <v>1618</v>
      </c>
      <c r="S3263" s="3" t="s">
        <v>1619</v>
      </c>
      <c r="T3263" s="3"/>
    </row>
    <row r="3264" spans="1:20">
      <c r="A3264" s="3" t="s">
        <v>1600</v>
      </c>
      <c r="B3264" s="3" t="s">
        <v>1606</v>
      </c>
      <c r="C3264" s="3" t="s">
        <v>1596</v>
      </c>
      <c r="D3264" s="3" t="s">
        <v>1520</v>
      </c>
      <c r="E3264" s="3" t="s">
        <v>1521</v>
      </c>
      <c r="F3264" s="2">
        <v>1</v>
      </c>
      <c r="G3264" s="4">
        <v>2.0636633818238699</v>
      </c>
      <c r="H3264" s="2">
        <v>25</v>
      </c>
      <c r="I3264" s="2">
        <v>5</v>
      </c>
      <c r="J3264" s="2">
        <v>1</v>
      </c>
      <c r="K3264" s="4">
        <v>0</v>
      </c>
      <c r="L3264" s="4">
        <v>0</v>
      </c>
      <c r="M3264" s="4">
        <v>0</v>
      </c>
      <c r="N3264" s="10">
        <v>0</v>
      </c>
      <c r="O3264" s="4">
        <v>0</v>
      </c>
      <c r="P3264" s="4">
        <v>0</v>
      </c>
      <c r="Q3264" s="3" t="s">
        <v>1617</v>
      </c>
      <c r="R3264" s="3" t="s">
        <v>1621</v>
      </c>
      <c r="S3264" s="3" t="s">
        <v>1622</v>
      </c>
      <c r="T3264" s="3"/>
    </row>
    <row r="3265" spans="1:20">
      <c r="A3265" s="3" t="s">
        <v>1600</v>
      </c>
      <c r="B3265" s="3" t="s">
        <v>1609</v>
      </c>
      <c r="C3265" s="3" t="s">
        <v>1596</v>
      </c>
      <c r="D3265" s="3" t="s">
        <v>1520</v>
      </c>
      <c r="E3265" s="3" t="s">
        <v>1521</v>
      </c>
      <c r="F3265" s="2">
        <v>1</v>
      </c>
      <c r="G3265" s="4">
        <v>2.0636633818238699</v>
      </c>
      <c r="H3265" s="2">
        <v>25</v>
      </c>
      <c r="I3265" s="2">
        <v>5</v>
      </c>
      <c r="J3265" s="2">
        <v>16</v>
      </c>
      <c r="K3265" s="4">
        <v>0</v>
      </c>
      <c r="L3265" s="4">
        <v>0</v>
      </c>
      <c r="M3265" s="4">
        <v>0</v>
      </c>
      <c r="N3265" s="10">
        <v>0</v>
      </c>
      <c r="O3265" s="4">
        <v>0</v>
      </c>
      <c r="P3265" s="4">
        <v>0</v>
      </c>
      <c r="Q3265" s="3" t="s">
        <v>1617</v>
      </c>
      <c r="R3265" s="3" t="s">
        <v>1623</v>
      </c>
      <c r="S3265" s="3" t="s">
        <v>1624</v>
      </c>
      <c r="T3265" s="3"/>
    </row>
    <row r="3266" spans="1:20">
      <c r="A3266" s="3" t="s">
        <v>1594</v>
      </c>
      <c r="B3266" s="3" t="s">
        <v>1595</v>
      </c>
      <c r="C3266" s="3" t="s">
        <v>1596</v>
      </c>
      <c r="D3266" s="3" t="s">
        <v>1520</v>
      </c>
      <c r="E3266" s="3" t="s">
        <v>1521</v>
      </c>
      <c r="F3266" s="2">
        <v>1</v>
      </c>
      <c r="G3266" s="4">
        <v>2.0636633818238699</v>
      </c>
      <c r="H3266" s="2">
        <v>25</v>
      </c>
      <c r="I3266" s="2">
        <v>5</v>
      </c>
      <c r="J3266" s="2">
        <v>16</v>
      </c>
      <c r="K3266" s="4">
        <v>0</v>
      </c>
      <c r="L3266" s="4">
        <v>0</v>
      </c>
      <c r="M3266" s="4">
        <v>0</v>
      </c>
      <c r="N3266" s="10">
        <v>0</v>
      </c>
      <c r="O3266" s="4">
        <v>0</v>
      </c>
      <c r="P3266" s="4">
        <v>0</v>
      </c>
      <c r="Q3266" s="3" t="s">
        <v>1617</v>
      </c>
      <c r="R3266" s="3" t="s">
        <v>1625</v>
      </c>
      <c r="S3266" s="3" t="s">
        <v>1626</v>
      </c>
      <c r="T3266" s="3"/>
    </row>
    <row r="3267" spans="1:20">
      <c r="A3267" s="3" t="s">
        <v>1600</v>
      </c>
      <c r="B3267" s="3" t="s">
        <v>1606</v>
      </c>
      <c r="C3267" s="3" t="s">
        <v>1616</v>
      </c>
      <c r="D3267" s="3" t="s">
        <v>1520</v>
      </c>
      <c r="E3267" s="3" t="s">
        <v>1521</v>
      </c>
      <c r="F3267" s="2">
        <v>1</v>
      </c>
      <c r="G3267" s="4">
        <v>2.0636633818238699</v>
      </c>
      <c r="H3267" s="2">
        <v>25</v>
      </c>
      <c r="I3267" s="2">
        <v>5</v>
      </c>
      <c r="J3267" s="2">
        <v>1</v>
      </c>
      <c r="K3267" s="4">
        <v>0</v>
      </c>
      <c r="L3267" s="4">
        <v>0</v>
      </c>
      <c r="M3267" s="4">
        <v>0</v>
      </c>
      <c r="N3267" s="10">
        <v>0</v>
      </c>
      <c r="O3267" s="4">
        <v>0</v>
      </c>
      <c r="P3267" s="4">
        <v>0</v>
      </c>
      <c r="Q3267" s="3" t="s">
        <v>1617</v>
      </c>
      <c r="R3267" s="3" t="s">
        <v>1621</v>
      </c>
      <c r="S3267" s="3" t="s">
        <v>1622</v>
      </c>
      <c r="T3267" s="3"/>
    </row>
    <row r="3268" spans="1:20">
      <c r="A3268" s="3" t="s">
        <v>1600</v>
      </c>
      <c r="B3268" s="3" t="s">
        <v>1609</v>
      </c>
      <c r="C3268" s="3" t="s">
        <v>1616</v>
      </c>
      <c r="D3268" s="3" t="s">
        <v>1520</v>
      </c>
      <c r="E3268" s="3" t="s">
        <v>1521</v>
      </c>
      <c r="F3268" s="2">
        <v>1</v>
      </c>
      <c r="G3268" s="4">
        <v>2.0636633818238699</v>
      </c>
      <c r="H3268" s="2">
        <v>25</v>
      </c>
      <c r="I3268" s="2">
        <v>5</v>
      </c>
      <c r="J3268" s="2">
        <v>1</v>
      </c>
      <c r="K3268" s="4">
        <v>0</v>
      </c>
      <c r="L3268" s="4">
        <v>0</v>
      </c>
      <c r="M3268" s="4">
        <v>0</v>
      </c>
      <c r="N3268" s="10">
        <v>0</v>
      </c>
      <c r="O3268" s="4">
        <v>0</v>
      </c>
      <c r="P3268" s="4">
        <v>0</v>
      </c>
      <c r="Q3268" s="3" t="s">
        <v>1617</v>
      </c>
      <c r="R3268" s="3" t="s">
        <v>1623</v>
      </c>
      <c r="S3268" s="3" t="s">
        <v>1624</v>
      </c>
      <c r="T3268" s="3"/>
    </row>
    <row r="3269" spans="1:20">
      <c r="A3269" s="3" t="s">
        <v>1600</v>
      </c>
      <c r="B3269" s="3" t="s">
        <v>1609</v>
      </c>
      <c r="C3269" s="3" t="s">
        <v>1616</v>
      </c>
      <c r="D3269" s="3" t="s">
        <v>1520</v>
      </c>
      <c r="E3269" s="3" t="s">
        <v>1521</v>
      </c>
      <c r="F3269" s="2">
        <v>1</v>
      </c>
      <c r="G3269" s="4">
        <v>2.0636633818238699</v>
      </c>
      <c r="H3269" s="2">
        <v>25</v>
      </c>
      <c r="I3269" s="2">
        <v>5</v>
      </c>
      <c r="J3269" s="2">
        <v>16</v>
      </c>
      <c r="K3269" s="4">
        <v>5.6031232577198775E-2</v>
      </c>
      <c r="L3269" s="4">
        <v>-2.0990029735875461E-3</v>
      </c>
      <c r="M3269" s="4">
        <v>2.0990029735875461E-3</v>
      </c>
      <c r="N3269" s="10">
        <v>2E-3</v>
      </c>
      <c r="O3269" s="4">
        <v>1.0406738424908189E-2</v>
      </c>
      <c r="P3269" s="4">
        <v>-0.01</v>
      </c>
      <c r="Q3269" s="3" t="s">
        <v>1617</v>
      </c>
      <c r="R3269" s="3" t="s">
        <v>1623</v>
      </c>
      <c r="S3269" s="3" t="s">
        <v>1624</v>
      </c>
      <c r="T3269" s="3"/>
    </row>
    <row r="3270" spans="1:20">
      <c r="A3270" s="3" t="s">
        <v>1605</v>
      </c>
      <c r="B3270" s="3" t="s">
        <v>1601</v>
      </c>
      <c r="C3270" s="3" t="s">
        <v>1596</v>
      </c>
      <c r="D3270" s="3" t="s">
        <v>1520</v>
      </c>
      <c r="E3270" s="3" t="s">
        <v>1521</v>
      </c>
      <c r="F3270" s="2">
        <v>1</v>
      </c>
      <c r="G3270" s="4">
        <v>2.0636633818238699</v>
      </c>
      <c r="H3270" s="2">
        <v>25</v>
      </c>
      <c r="I3270" s="2">
        <v>5</v>
      </c>
      <c r="J3270" s="2">
        <v>16</v>
      </c>
      <c r="K3270" s="4">
        <v>3.854292152586003E-2</v>
      </c>
      <c r="L3270" s="4">
        <v>-4.8786905952318299E-2</v>
      </c>
      <c r="M3270" s="4">
        <v>4.8786905952318299E-2</v>
      </c>
      <c r="N3270" s="10">
        <v>4.9000000000000002E-2</v>
      </c>
      <c r="O3270" s="4">
        <v>0.24207455538042208</v>
      </c>
      <c r="P3270" s="4">
        <v>-0.24</v>
      </c>
      <c r="Q3270" s="3" t="s">
        <v>1617</v>
      </c>
      <c r="R3270" s="3" t="s">
        <v>1618</v>
      </c>
      <c r="S3270" s="3" t="s">
        <v>1619</v>
      </c>
      <c r="T3270" s="3"/>
    </row>
    <row r="3271" spans="1:20">
      <c r="A3271" s="3" t="s">
        <v>1594</v>
      </c>
      <c r="B3271" s="3" t="s">
        <v>1612</v>
      </c>
      <c r="C3271" s="3" t="s">
        <v>1596</v>
      </c>
      <c r="D3271" s="3" t="s">
        <v>1520</v>
      </c>
      <c r="E3271" s="3" t="s">
        <v>1521</v>
      </c>
      <c r="F3271" s="2">
        <v>1</v>
      </c>
      <c r="G3271" s="4">
        <v>2.0636633818238699</v>
      </c>
      <c r="H3271" s="2">
        <v>50</v>
      </c>
      <c r="I3271" s="2">
        <v>5</v>
      </c>
      <c r="J3271" s="2">
        <v>16</v>
      </c>
      <c r="K3271" s="4">
        <v>5.0371002976114632E-2</v>
      </c>
      <c r="L3271" s="4">
        <v>-6.1831017991345938E-2</v>
      </c>
      <c r="M3271" s="4">
        <v>6.1831017991345938E-2</v>
      </c>
      <c r="N3271" s="10">
        <v>6.2E-2</v>
      </c>
      <c r="O3271" s="4">
        <v>0.33268334246429598</v>
      </c>
      <c r="P3271" s="4">
        <v>-0.33</v>
      </c>
      <c r="Q3271" s="3" t="s">
        <v>1617</v>
      </c>
      <c r="R3271" s="3" t="s">
        <v>1627</v>
      </c>
      <c r="S3271" s="3" t="s">
        <v>1628</v>
      </c>
      <c r="T3271" s="3"/>
    </row>
    <row r="3272" spans="1:20">
      <c r="A3272" s="3" t="s">
        <v>1594</v>
      </c>
      <c r="B3272" s="3" t="s">
        <v>1612</v>
      </c>
      <c r="C3272" s="3" t="s">
        <v>1596</v>
      </c>
      <c r="D3272" s="3" t="s">
        <v>1124</v>
      </c>
      <c r="E3272" s="3" t="s">
        <v>1125</v>
      </c>
      <c r="F3272" s="2">
        <v>1</v>
      </c>
      <c r="G3272" s="4">
        <v>2.0696205976811277</v>
      </c>
      <c r="H3272" s="2">
        <v>50</v>
      </c>
      <c r="I3272" s="2">
        <v>5</v>
      </c>
      <c r="J3272" s="2">
        <v>16</v>
      </c>
      <c r="K3272" s="4">
        <v>0.65152188969635738</v>
      </c>
      <c r="L3272" s="4">
        <v>0.35794708109107543</v>
      </c>
      <c r="M3272" s="4">
        <v>0.35794708109107543</v>
      </c>
      <c r="N3272" s="10">
        <v>0.35799999999999998</v>
      </c>
      <c r="O3272" s="4">
        <v>2.0125936523078272</v>
      </c>
      <c r="P3272" s="4">
        <v>2.0099999999999998</v>
      </c>
      <c r="Q3272" s="3" t="s">
        <v>1597</v>
      </c>
      <c r="R3272" s="3" t="s">
        <v>1613</v>
      </c>
      <c r="S3272" s="3" t="s">
        <v>1614</v>
      </c>
      <c r="T3272" s="3"/>
    </row>
    <row r="3273" spans="1:20">
      <c r="A3273" s="3" t="s">
        <v>1594</v>
      </c>
      <c r="B3273" s="3" t="s">
        <v>1595</v>
      </c>
      <c r="C3273" s="3" t="s">
        <v>1596</v>
      </c>
      <c r="D3273" s="3" t="s">
        <v>1124</v>
      </c>
      <c r="E3273" s="3" t="s">
        <v>1125</v>
      </c>
      <c r="F3273" s="2">
        <v>1</v>
      </c>
      <c r="G3273" s="4">
        <v>2.0696205976811277</v>
      </c>
      <c r="H3273" s="2">
        <v>25</v>
      </c>
      <c r="I3273" s="2">
        <v>5</v>
      </c>
      <c r="J3273" s="2">
        <v>16</v>
      </c>
      <c r="K3273" s="4">
        <v>6.4844110805260424E-2</v>
      </c>
      <c r="L3273" s="4">
        <v>-7.2427659017592586E-2</v>
      </c>
      <c r="M3273" s="4">
        <v>7.2427659017592586E-2</v>
      </c>
      <c r="N3273" s="10">
        <v>7.1999999999999995E-2</v>
      </c>
      <c r="O3273" s="4">
        <v>0.35972161081841786</v>
      </c>
      <c r="P3273" s="4">
        <v>-0.36</v>
      </c>
      <c r="Q3273" s="3" t="s">
        <v>1617</v>
      </c>
      <c r="R3273" s="3" t="s">
        <v>1625</v>
      </c>
      <c r="S3273" s="3" t="s">
        <v>1626</v>
      </c>
      <c r="T3273" s="3"/>
    </row>
    <row r="3274" spans="1:20">
      <c r="A3274" s="3" t="s">
        <v>1594</v>
      </c>
      <c r="B3274" s="3" t="s">
        <v>1595</v>
      </c>
      <c r="C3274" s="3" t="s">
        <v>1596</v>
      </c>
      <c r="D3274" s="3" t="s">
        <v>1124</v>
      </c>
      <c r="E3274" s="3" t="s">
        <v>1125</v>
      </c>
      <c r="F3274" s="2">
        <v>1</v>
      </c>
      <c r="G3274" s="4">
        <v>2.0696205976811277</v>
      </c>
      <c r="H3274" s="2">
        <v>50</v>
      </c>
      <c r="I3274" s="2">
        <v>5</v>
      </c>
      <c r="J3274" s="2">
        <v>16</v>
      </c>
      <c r="K3274" s="4">
        <v>0.28258608442693733</v>
      </c>
      <c r="L3274" s="4">
        <v>-0.10556696141797257</v>
      </c>
      <c r="M3274" s="4">
        <v>0.10556696141797257</v>
      </c>
      <c r="N3274" s="10">
        <v>0.106</v>
      </c>
      <c r="O3274" s="4">
        <v>0.56940263719376982</v>
      </c>
      <c r="P3274" s="4">
        <v>-0.56999999999999995</v>
      </c>
      <c r="Q3274" s="3" t="s">
        <v>1617</v>
      </c>
      <c r="R3274" s="3" t="s">
        <v>1625</v>
      </c>
      <c r="S3274" s="3" t="s">
        <v>1626</v>
      </c>
      <c r="T3274" s="3"/>
    </row>
    <row r="3275" spans="1:20">
      <c r="A3275" s="3" t="s">
        <v>1605</v>
      </c>
      <c r="B3275" s="3" t="s">
        <v>1601</v>
      </c>
      <c r="C3275" s="3" t="s">
        <v>1596</v>
      </c>
      <c r="D3275" s="3" t="s">
        <v>1124</v>
      </c>
      <c r="E3275" s="3" t="s">
        <v>1125</v>
      </c>
      <c r="F3275" s="2">
        <v>1</v>
      </c>
      <c r="G3275" s="4">
        <v>2.0696205976811277</v>
      </c>
      <c r="H3275" s="2">
        <v>25</v>
      </c>
      <c r="I3275" s="2">
        <v>5</v>
      </c>
      <c r="J3275" s="2">
        <v>16</v>
      </c>
      <c r="K3275" s="4">
        <v>1</v>
      </c>
      <c r="L3275" s="4">
        <v>-0.82538339842281017</v>
      </c>
      <c r="M3275" s="4">
        <v>0.82538339842281017</v>
      </c>
      <c r="N3275" s="10">
        <v>0.82499999999999996</v>
      </c>
      <c r="O3275" s="4">
        <v>5.818020810836777</v>
      </c>
      <c r="P3275" s="4">
        <v>-5.81</v>
      </c>
      <c r="Q3275" s="3" t="s">
        <v>1617</v>
      </c>
      <c r="R3275" s="3" t="s">
        <v>1618</v>
      </c>
      <c r="S3275" s="3" t="s">
        <v>1619</v>
      </c>
      <c r="T3275" s="3"/>
    </row>
    <row r="3276" spans="1:20">
      <c r="A3276" s="3" t="s">
        <v>1604</v>
      </c>
      <c r="B3276" s="3" t="s">
        <v>1601</v>
      </c>
      <c r="C3276" s="3" t="s">
        <v>1596</v>
      </c>
      <c r="D3276" s="3" t="s">
        <v>1124</v>
      </c>
      <c r="E3276" s="3" t="s">
        <v>1125</v>
      </c>
      <c r="F3276" s="2">
        <v>1</v>
      </c>
      <c r="G3276" s="4">
        <v>2.0696205976811277</v>
      </c>
      <c r="H3276" s="2">
        <v>25</v>
      </c>
      <c r="I3276" s="2">
        <v>30</v>
      </c>
      <c r="J3276" s="2">
        <v>16</v>
      </c>
      <c r="K3276" s="4">
        <v>1</v>
      </c>
      <c r="L3276" s="4">
        <v>-0.82843502872787889</v>
      </c>
      <c r="M3276" s="4">
        <v>0.82843502872787889</v>
      </c>
      <c r="N3276" s="10">
        <v>0.82799999999999996</v>
      </c>
      <c r="O3276" s="4">
        <v>5.8658675377052951</v>
      </c>
      <c r="P3276" s="4">
        <v>-5.86</v>
      </c>
      <c r="Q3276" s="3" t="s">
        <v>1617</v>
      </c>
      <c r="R3276" s="3" t="s">
        <v>1618</v>
      </c>
      <c r="S3276" s="3" t="s">
        <v>1619</v>
      </c>
      <c r="T3276" s="3"/>
    </row>
    <row r="3277" spans="1:20">
      <c r="A3277" s="3" t="s">
        <v>1600</v>
      </c>
      <c r="B3277" s="3" t="s">
        <v>1601</v>
      </c>
      <c r="C3277" s="3" t="s">
        <v>1596</v>
      </c>
      <c r="D3277" s="3" t="s">
        <v>1124</v>
      </c>
      <c r="E3277" s="3" t="s">
        <v>1125</v>
      </c>
      <c r="F3277" s="2">
        <v>1</v>
      </c>
      <c r="G3277" s="4">
        <v>2.0696205976811277</v>
      </c>
      <c r="H3277" s="2">
        <v>25</v>
      </c>
      <c r="I3277" s="2">
        <v>5</v>
      </c>
      <c r="J3277" s="2">
        <v>16</v>
      </c>
      <c r="K3277" s="4">
        <v>0.98677305455529596</v>
      </c>
      <c r="L3277" s="4">
        <v>-0.85191463820161939</v>
      </c>
      <c r="M3277" s="4">
        <v>0.85191463820161939</v>
      </c>
      <c r="N3277" s="10">
        <v>0.85199999999999998</v>
      </c>
      <c r="O3277" s="4">
        <v>6.262335803887308</v>
      </c>
      <c r="P3277" s="4">
        <v>-6.26</v>
      </c>
      <c r="Q3277" s="3" t="s">
        <v>1617</v>
      </c>
      <c r="R3277" s="3" t="s">
        <v>1618</v>
      </c>
      <c r="S3277" s="3" t="s">
        <v>1619</v>
      </c>
      <c r="T3277" s="3"/>
    </row>
    <row r="3278" spans="1:20">
      <c r="A3278" s="3" t="s">
        <v>1600</v>
      </c>
      <c r="B3278" s="3" t="s">
        <v>1609</v>
      </c>
      <c r="C3278" s="3" t="s">
        <v>1596</v>
      </c>
      <c r="D3278" s="3" t="s">
        <v>1124</v>
      </c>
      <c r="E3278" s="3" t="s">
        <v>1125</v>
      </c>
      <c r="F3278" s="2">
        <v>1</v>
      </c>
      <c r="G3278" s="4">
        <v>2.0696205976811277</v>
      </c>
      <c r="H3278" s="2">
        <v>25</v>
      </c>
      <c r="I3278" s="2">
        <v>5</v>
      </c>
      <c r="J3278" s="2">
        <v>1</v>
      </c>
      <c r="K3278" s="4">
        <v>0.96327401102062649</v>
      </c>
      <c r="L3278" s="4">
        <v>-0.88032862804377654</v>
      </c>
      <c r="M3278" s="4">
        <v>0.88032862804377654</v>
      </c>
      <c r="N3278" s="10">
        <v>0.88</v>
      </c>
      <c r="O3278" s="4">
        <v>6.8281998978623273</v>
      </c>
      <c r="P3278" s="4">
        <v>-6.82</v>
      </c>
      <c r="Q3278" s="3" t="s">
        <v>1617</v>
      </c>
      <c r="R3278" s="3" t="s">
        <v>1623</v>
      </c>
      <c r="S3278" s="3" t="s">
        <v>1624</v>
      </c>
      <c r="T3278" s="3"/>
    </row>
    <row r="3279" spans="1:20">
      <c r="A3279" s="3" t="s">
        <v>1600</v>
      </c>
      <c r="B3279" s="3" t="s">
        <v>1609</v>
      </c>
      <c r="C3279" s="3" t="s">
        <v>1596</v>
      </c>
      <c r="D3279" s="3" t="s">
        <v>1124</v>
      </c>
      <c r="E3279" s="3" t="s">
        <v>1125</v>
      </c>
      <c r="F3279" s="2">
        <v>1</v>
      </c>
      <c r="G3279" s="4">
        <v>2.0696205976811277</v>
      </c>
      <c r="H3279" s="2">
        <v>25</v>
      </c>
      <c r="I3279" s="2">
        <v>5</v>
      </c>
      <c r="J3279" s="2">
        <v>16</v>
      </c>
      <c r="K3279" s="4">
        <v>0.98363871141651282</v>
      </c>
      <c r="L3279" s="4">
        <v>-0.89923488986902445</v>
      </c>
      <c r="M3279" s="4">
        <v>0.89923488986902445</v>
      </c>
      <c r="N3279" s="10">
        <v>0.89900000000000002</v>
      </c>
      <c r="O3279" s="4">
        <v>7.2792774209277562</v>
      </c>
      <c r="P3279" s="4">
        <v>-7.27</v>
      </c>
      <c r="Q3279" s="3" t="s">
        <v>1617</v>
      </c>
      <c r="R3279" s="3" t="s">
        <v>1623</v>
      </c>
      <c r="S3279" s="3" t="s">
        <v>1624</v>
      </c>
      <c r="T3279" s="3"/>
    </row>
    <row r="3280" spans="1:20">
      <c r="A3280" s="3" t="s">
        <v>1600</v>
      </c>
      <c r="B3280" s="3" t="s">
        <v>1609</v>
      </c>
      <c r="C3280" s="3" t="s">
        <v>1616</v>
      </c>
      <c r="D3280" s="3" t="s">
        <v>1124</v>
      </c>
      <c r="E3280" s="3" t="s">
        <v>1125</v>
      </c>
      <c r="F3280" s="2">
        <v>1</v>
      </c>
      <c r="G3280" s="4">
        <v>2.0696205976811277</v>
      </c>
      <c r="H3280" s="2">
        <v>25</v>
      </c>
      <c r="I3280" s="2">
        <v>5</v>
      </c>
      <c r="J3280" s="2">
        <v>16</v>
      </c>
      <c r="K3280" s="4">
        <v>0.97058882461231333</v>
      </c>
      <c r="L3280" s="4">
        <v>-0.92334424682810334</v>
      </c>
      <c r="M3280" s="4">
        <v>0.92334424682810334</v>
      </c>
      <c r="N3280" s="10">
        <v>0.92300000000000004</v>
      </c>
      <c r="O3280" s="4">
        <v>7.9884652384995984</v>
      </c>
      <c r="P3280" s="4">
        <v>-7.98</v>
      </c>
      <c r="Q3280" s="3" t="s">
        <v>1617</v>
      </c>
      <c r="R3280" s="3" t="s">
        <v>1623</v>
      </c>
      <c r="S3280" s="3" t="s">
        <v>1624</v>
      </c>
      <c r="T3280" s="3"/>
    </row>
    <row r="3281" spans="1:20">
      <c r="A3281" s="3" t="s">
        <v>1600</v>
      </c>
      <c r="B3281" s="3" t="s">
        <v>1601</v>
      </c>
      <c r="C3281" s="3" t="s">
        <v>1616</v>
      </c>
      <c r="D3281" s="3" t="s">
        <v>1124</v>
      </c>
      <c r="E3281" s="3" t="s">
        <v>1125</v>
      </c>
      <c r="F3281" s="2">
        <v>1</v>
      </c>
      <c r="G3281" s="4">
        <v>2.0696205976811277</v>
      </c>
      <c r="H3281" s="2">
        <v>25</v>
      </c>
      <c r="I3281" s="2">
        <v>5</v>
      </c>
      <c r="J3281" s="2">
        <v>16</v>
      </c>
      <c r="K3281" s="4">
        <v>1</v>
      </c>
      <c r="L3281" s="4">
        <v>-0.93152390540568308</v>
      </c>
      <c r="M3281" s="4">
        <v>0.93152390540568308</v>
      </c>
      <c r="N3281" s="10">
        <v>0.93200000000000005</v>
      </c>
      <c r="O3281" s="4">
        <v>8.2787121865884661</v>
      </c>
      <c r="P3281" s="4">
        <v>-8.3000000000000007</v>
      </c>
      <c r="Q3281" s="3" t="s">
        <v>1617</v>
      </c>
      <c r="R3281" s="3" t="s">
        <v>1618</v>
      </c>
      <c r="S3281" s="3" t="s">
        <v>1619</v>
      </c>
      <c r="T3281" s="3"/>
    </row>
    <row r="3282" spans="1:20">
      <c r="A3282" s="3" t="s">
        <v>1600</v>
      </c>
      <c r="B3282" s="3" t="s">
        <v>1609</v>
      </c>
      <c r="C3282" s="3" t="s">
        <v>1616</v>
      </c>
      <c r="D3282" s="3" t="s">
        <v>1124</v>
      </c>
      <c r="E3282" s="3" t="s">
        <v>1125</v>
      </c>
      <c r="F3282" s="2">
        <v>1</v>
      </c>
      <c r="G3282" s="4">
        <v>2.0696205976811277</v>
      </c>
      <c r="H3282" s="2">
        <v>25</v>
      </c>
      <c r="I3282" s="2">
        <v>5</v>
      </c>
      <c r="J3282" s="2">
        <v>1</v>
      </c>
      <c r="K3282" s="4">
        <v>0.95757682783423326</v>
      </c>
      <c r="L3282" s="4">
        <v>-0.93163912397629889</v>
      </c>
      <c r="M3282" s="4">
        <v>0.93163912397629889</v>
      </c>
      <c r="N3282" s="10">
        <v>0.93200000000000005</v>
      </c>
      <c r="O3282" s="4">
        <v>8.2830347068079018</v>
      </c>
      <c r="P3282" s="4">
        <v>-8.3000000000000007</v>
      </c>
      <c r="Q3282" s="3" t="s">
        <v>1617</v>
      </c>
      <c r="R3282" s="3" t="s">
        <v>1623</v>
      </c>
      <c r="S3282" s="3" t="s">
        <v>1624</v>
      </c>
      <c r="T3282" s="3"/>
    </row>
    <row r="3283" spans="1:20">
      <c r="A3283" s="3" t="s">
        <v>1604</v>
      </c>
      <c r="B3283" s="3" t="s">
        <v>1601</v>
      </c>
      <c r="C3283" s="3" t="s">
        <v>1616</v>
      </c>
      <c r="D3283" s="3" t="s">
        <v>1124</v>
      </c>
      <c r="E3283" s="3" t="s">
        <v>1125</v>
      </c>
      <c r="F3283" s="2">
        <v>1</v>
      </c>
      <c r="G3283" s="4">
        <v>2.0696205976811277</v>
      </c>
      <c r="H3283" s="2">
        <v>25</v>
      </c>
      <c r="I3283" s="2">
        <v>30</v>
      </c>
      <c r="J3283" s="2">
        <v>16</v>
      </c>
      <c r="K3283" s="4">
        <v>1</v>
      </c>
      <c r="L3283" s="4">
        <v>-0.94880719002029767</v>
      </c>
      <c r="M3283" s="4">
        <v>0.94880719002029767</v>
      </c>
      <c r="N3283" s="10">
        <v>0.94899999999999995</v>
      </c>
      <c r="O3283" s="4">
        <v>9.0218915169325751</v>
      </c>
      <c r="P3283" s="4">
        <v>-9.0299999999999994</v>
      </c>
      <c r="Q3283" s="3" t="s">
        <v>1617</v>
      </c>
      <c r="R3283" s="3" t="s">
        <v>1618</v>
      </c>
      <c r="S3283" s="3" t="s">
        <v>1619</v>
      </c>
      <c r="T3283" s="3"/>
    </row>
    <row r="3284" spans="1:20">
      <c r="A3284" s="3" t="s">
        <v>1600</v>
      </c>
      <c r="B3284" s="3" t="s">
        <v>1606</v>
      </c>
      <c r="C3284" s="3" t="s">
        <v>1616</v>
      </c>
      <c r="D3284" s="3" t="s">
        <v>1124</v>
      </c>
      <c r="E3284" s="3" t="s">
        <v>1125</v>
      </c>
      <c r="F3284" s="2">
        <v>1</v>
      </c>
      <c r="G3284" s="4">
        <v>2.0696205976811277</v>
      </c>
      <c r="H3284" s="2">
        <v>25</v>
      </c>
      <c r="I3284" s="2">
        <v>5</v>
      </c>
      <c r="J3284" s="2">
        <v>1</v>
      </c>
      <c r="K3284" s="4">
        <v>1</v>
      </c>
      <c r="L3284" s="4">
        <v>-0.94946666427935245</v>
      </c>
      <c r="M3284" s="4">
        <v>0.94946666427935245</v>
      </c>
      <c r="N3284" s="10">
        <v>0.94899999999999995</v>
      </c>
      <c r="O3284" s="4">
        <v>9.0548722102824595</v>
      </c>
      <c r="P3284" s="4">
        <v>-9.0299999999999994</v>
      </c>
      <c r="Q3284" s="3" t="s">
        <v>1617</v>
      </c>
      <c r="R3284" s="3" t="s">
        <v>1621</v>
      </c>
      <c r="S3284" s="3" t="s">
        <v>1622</v>
      </c>
      <c r="T3284" s="3"/>
    </row>
    <row r="3285" spans="1:20">
      <c r="A3285" s="3" t="s">
        <v>1600</v>
      </c>
      <c r="B3285" s="3" t="s">
        <v>1606</v>
      </c>
      <c r="C3285" s="3" t="s">
        <v>1616</v>
      </c>
      <c r="D3285" s="3" t="s">
        <v>1124</v>
      </c>
      <c r="E3285" s="3" t="s">
        <v>1125</v>
      </c>
      <c r="F3285" s="2">
        <v>1</v>
      </c>
      <c r="G3285" s="4">
        <v>2.0696205976811277</v>
      </c>
      <c r="H3285" s="2">
        <v>25</v>
      </c>
      <c r="I3285" s="2">
        <v>5</v>
      </c>
      <c r="J3285" s="2">
        <v>16</v>
      </c>
      <c r="K3285" s="4">
        <v>1</v>
      </c>
      <c r="L3285" s="4">
        <v>-0.94947518435614953</v>
      </c>
      <c r="M3285" s="4">
        <v>0.94947518435614953</v>
      </c>
      <c r="N3285" s="10">
        <v>0.94899999999999995</v>
      </c>
      <c r="O3285" s="4">
        <v>9.0553010414488586</v>
      </c>
      <c r="P3285" s="4">
        <v>-9.0299999999999994</v>
      </c>
      <c r="Q3285" s="3" t="s">
        <v>1617</v>
      </c>
      <c r="R3285" s="3" t="s">
        <v>1621</v>
      </c>
      <c r="S3285" s="3" t="s">
        <v>1622</v>
      </c>
      <c r="T3285" s="3"/>
    </row>
    <row r="3286" spans="1:20">
      <c r="A3286" s="3" t="s">
        <v>1600</v>
      </c>
      <c r="B3286" s="3" t="s">
        <v>1601</v>
      </c>
      <c r="C3286" s="3" t="s">
        <v>1616</v>
      </c>
      <c r="D3286" s="3" t="s">
        <v>1124</v>
      </c>
      <c r="E3286" s="3" t="s">
        <v>1125</v>
      </c>
      <c r="F3286" s="2">
        <v>1</v>
      </c>
      <c r="G3286" s="4">
        <v>2.0696205976811277</v>
      </c>
      <c r="H3286" s="2">
        <v>25</v>
      </c>
      <c r="I3286" s="2">
        <v>5</v>
      </c>
      <c r="J3286" s="2">
        <v>1</v>
      </c>
      <c r="K3286" s="4">
        <v>0.99161818034664084</v>
      </c>
      <c r="L3286" s="4">
        <v>-0.95069034836144217</v>
      </c>
      <c r="M3286" s="4">
        <v>0.95069034836144217</v>
      </c>
      <c r="N3286" s="10">
        <v>0.95099999999999996</v>
      </c>
      <c r="O3286" s="4">
        <v>9.1171957046184833</v>
      </c>
      <c r="P3286" s="4">
        <v>-9.1300000000000008</v>
      </c>
      <c r="Q3286" s="3" t="s">
        <v>1617</v>
      </c>
      <c r="R3286" s="3" t="s">
        <v>1618</v>
      </c>
      <c r="S3286" s="3" t="s">
        <v>1619</v>
      </c>
      <c r="T3286" s="3"/>
    </row>
    <row r="3287" spans="1:20">
      <c r="A3287" s="3" t="s">
        <v>1600</v>
      </c>
      <c r="B3287" s="3" t="s">
        <v>1606</v>
      </c>
      <c r="C3287" s="3" t="s">
        <v>1596</v>
      </c>
      <c r="D3287" s="3" t="s">
        <v>1124</v>
      </c>
      <c r="E3287" s="3" t="s">
        <v>1125</v>
      </c>
      <c r="F3287" s="2">
        <v>1</v>
      </c>
      <c r="G3287" s="4">
        <v>2.0696205976811277</v>
      </c>
      <c r="H3287" s="2">
        <v>25</v>
      </c>
      <c r="I3287" s="2">
        <v>5</v>
      </c>
      <c r="J3287" s="2">
        <v>1</v>
      </c>
      <c r="K3287" s="4">
        <v>1</v>
      </c>
      <c r="L3287" s="4">
        <v>-0.97404300714327474</v>
      </c>
      <c r="M3287" s="4">
        <v>0.97404300714327474</v>
      </c>
      <c r="N3287" s="10">
        <v>0.97399999999999998</v>
      </c>
      <c r="O3287" s="4">
        <v>10.737397693616742</v>
      </c>
      <c r="P3287" s="4">
        <v>-10.73</v>
      </c>
      <c r="Q3287" s="3" t="s">
        <v>1617</v>
      </c>
      <c r="R3287" s="3" t="s">
        <v>1621</v>
      </c>
      <c r="S3287" s="3" t="s">
        <v>1622</v>
      </c>
      <c r="T3287" s="3"/>
    </row>
    <row r="3288" spans="1:20">
      <c r="A3288" s="3" t="s">
        <v>1600</v>
      </c>
      <c r="B3288" s="3" t="s">
        <v>1606</v>
      </c>
      <c r="C3288" s="3" t="s">
        <v>1596</v>
      </c>
      <c r="D3288" s="3" t="s">
        <v>1124</v>
      </c>
      <c r="E3288" s="3" t="s">
        <v>1125</v>
      </c>
      <c r="F3288" s="2">
        <v>1</v>
      </c>
      <c r="G3288" s="4">
        <v>2.0696205976811277</v>
      </c>
      <c r="H3288" s="2">
        <v>25</v>
      </c>
      <c r="I3288" s="2">
        <v>5</v>
      </c>
      <c r="J3288" s="2">
        <v>16</v>
      </c>
      <c r="K3288" s="4">
        <v>1</v>
      </c>
      <c r="L3288" s="4">
        <v>-0.99119492345749827</v>
      </c>
      <c r="M3288" s="4">
        <v>0.99119492345749827</v>
      </c>
      <c r="N3288" s="10">
        <v>0.99099999999999999</v>
      </c>
      <c r="O3288" s="4">
        <v>13.438887490874706</v>
      </c>
      <c r="P3288" s="4">
        <v>-13.38</v>
      </c>
      <c r="Q3288" s="3" t="s">
        <v>1617</v>
      </c>
      <c r="R3288" s="3" t="s">
        <v>1621</v>
      </c>
      <c r="S3288" s="3" t="s">
        <v>1622</v>
      </c>
      <c r="T3288" s="3"/>
    </row>
    <row r="3289" spans="1:20">
      <c r="A3289" s="3" t="s">
        <v>1600</v>
      </c>
      <c r="B3289" s="3" t="s">
        <v>1601</v>
      </c>
      <c r="C3289" s="3" t="s">
        <v>1596</v>
      </c>
      <c r="D3289" s="3" t="s">
        <v>1124</v>
      </c>
      <c r="E3289" s="3" t="s">
        <v>1125</v>
      </c>
      <c r="F3289" s="2">
        <v>1</v>
      </c>
      <c r="G3289" s="4">
        <v>2.0696205976811277</v>
      </c>
      <c r="H3289" s="2">
        <v>25</v>
      </c>
      <c r="I3289" s="2">
        <v>5</v>
      </c>
      <c r="J3289" s="2">
        <v>1</v>
      </c>
      <c r="K3289" s="4">
        <v>3.5104087189371525E-2</v>
      </c>
      <c r="L3289" s="4">
        <v>-1</v>
      </c>
      <c r="M3289" s="4">
        <v>1</v>
      </c>
      <c r="N3289" s="10">
        <v>0.995</v>
      </c>
      <c r="O3289" s="4">
        <v>14.85</v>
      </c>
      <c r="P3289" s="4">
        <v>-14.85</v>
      </c>
      <c r="Q3289" s="3" t="s">
        <v>1617</v>
      </c>
      <c r="R3289" s="3" t="s">
        <v>1618</v>
      </c>
      <c r="S3289" s="3" t="s">
        <v>1619</v>
      </c>
      <c r="T3289" s="3"/>
    </row>
    <row r="3290" spans="1:20">
      <c r="A3290" s="3" t="s">
        <v>1594</v>
      </c>
      <c r="B3290" s="3" t="s">
        <v>1595</v>
      </c>
      <c r="C3290" s="3" t="s">
        <v>1596</v>
      </c>
      <c r="D3290" s="3" t="s">
        <v>1512</v>
      </c>
      <c r="E3290" s="3" t="s">
        <v>1513</v>
      </c>
      <c r="F3290" s="2">
        <v>1</v>
      </c>
      <c r="G3290" s="4">
        <v>2.0697876425812054</v>
      </c>
      <c r="H3290" s="2">
        <v>25</v>
      </c>
      <c r="I3290" s="2">
        <v>5</v>
      </c>
      <c r="J3290" s="2">
        <v>16</v>
      </c>
      <c r="K3290" s="4">
        <v>8.8430185926796412E-2</v>
      </c>
      <c r="L3290" s="4">
        <v>0.41381052686868897</v>
      </c>
      <c r="M3290" s="4">
        <v>0.41381052686868897</v>
      </c>
      <c r="N3290" s="10">
        <v>0.41399999999999998</v>
      </c>
      <c r="O3290" s="4">
        <v>2.1824854880973068</v>
      </c>
      <c r="P3290" s="4">
        <v>2.1800000000000002</v>
      </c>
      <c r="Q3290" s="3" t="s">
        <v>1597</v>
      </c>
      <c r="R3290" s="3" t="s">
        <v>1598</v>
      </c>
      <c r="S3290" s="3" t="s">
        <v>1599</v>
      </c>
      <c r="T3290" s="3"/>
    </row>
    <row r="3291" spans="1:20">
      <c r="A3291" s="3" t="s">
        <v>1594</v>
      </c>
      <c r="B3291" s="3" t="s">
        <v>1595</v>
      </c>
      <c r="C3291" s="3" t="s">
        <v>1596</v>
      </c>
      <c r="D3291" s="3" t="s">
        <v>1512</v>
      </c>
      <c r="E3291" s="3" t="s">
        <v>1513</v>
      </c>
      <c r="F3291" s="2">
        <v>1</v>
      </c>
      <c r="G3291" s="4">
        <v>2.0697876425812054</v>
      </c>
      <c r="H3291" s="2">
        <v>50</v>
      </c>
      <c r="I3291" s="2">
        <v>5</v>
      </c>
      <c r="J3291" s="2">
        <v>16</v>
      </c>
      <c r="K3291" s="4">
        <v>0.19383672918509054</v>
      </c>
      <c r="L3291" s="4">
        <v>0.38102755990871051</v>
      </c>
      <c r="M3291" s="4">
        <v>0.38102755990871051</v>
      </c>
      <c r="N3291" s="10">
        <v>0.38100000000000001</v>
      </c>
      <c r="O3291" s="4">
        <v>2.1562416976639667</v>
      </c>
      <c r="P3291" s="4">
        <v>2.16</v>
      </c>
      <c r="Q3291" s="3" t="s">
        <v>1597</v>
      </c>
      <c r="R3291" s="3" t="s">
        <v>1598</v>
      </c>
      <c r="S3291" s="3" t="s">
        <v>1599</v>
      </c>
      <c r="T3291" s="3"/>
    </row>
    <row r="3292" spans="1:20">
      <c r="A3292" s="3" t="s">
        <v>1600</v>
      </c>
      <c r="B3292" s="3" t="s">
        <v>1606</v>
      </c>
      <c r="C3292" s="3" t="s">
        <v>1616</v>
      </c>
      <c r="D3292" s="3" t="s">
        <v>1512</v>
      </c>
      <c r="E3292" s="3" t="s">
        <v>1513</v>
      </c>
      <c r="F3292" s="2">
        <v>1</v>
      </c>
      <c r="G3292" s="4">
        <v>2.0697876425812054</v>
      </c>
      <c r="H3292" s="2">
        <v>25</v>
      </c>
      <c r="I3292" s="2">
        <v>5</v>
      </c>
      <c r="J3292" s="2">
        <v>16</v>
      </c>
      <c r="K3292" s="4">
        <v>0.28152623704141799</v>
      </c>
      <c r="L3292" s="4">
        <v>0.36456248200927077</v>
      </c>
      <c r="M3292" s="4">
        <v>0.36456248200927077</v>
      </c>
      <c r="N3292" s="10">
        <v>0.36499999999999999</v>
      </c>
      <c r="O3292" s="4">
        <v>1.8946143040232213</v>
      </c>
      <c r="P3292" s="4">
        <v>1.9</v>
      </c>
      <c r="Q3292" s="3" t="s">
        <v>1597</v>
      </c>
      <c r="R3292" s="3" t="s">
        <v>1607</v>
      </c>
      <c r="S3292" s="3" t="s">
        <v>1608</v>
      </c>
      <c r="T3292" s="3"/>
    </row>
    <row r="3293" spans="1:20">
      <c r="A3293" s="3" t="s">
        <v>1600</v>
      </c>
      <c r="B3293" s="3" t="s">
        <v>1606</v>
      </c>
      <c r="C3293" s="3" t="s">
        <v>1596</v>
      </c>
      <c r="D3293" s="3" t="s">
        <v>1512</v>
      </c>
      <c r="E3293" s="3" t="s">
        <v>1513</v>
      </c>
      <c r="F3293" s="2">
        <v>1</v>
      </c>
      <c r="G3293" s="4">
        <v>2.0697876425812054</v>
      </c>
      <c r="H3293" s="2">
        <v>25</v>
      </c>
      <c r="I3293" s="2">
        <v>5</v>
      </c>
      <c r="J3293" s="2">
        <v>1</v>
      </c>
      <c r="K3293" s="4">
        <v>0.16765439659338144</v>
      </c>
      <c r="L3293" s="4">
        <v>0.33465637763464484</v>
      </c>
      <c r="M3293" s="4">
        <v>0.33465637763464484</v>
      </c>
      <c r="N3293" s="10">
        <v>0.33500000000000002</v>
      </c>
      <c r="O3293" s="4">
        <v>1.7256729853723531</v>
      </c>
      <c r="P3293" s="4">
        <v>1.73</v>
      </c>
      <c r="Q3293" s="3" t="s">
        <v>1597</v>
      </c>
      <c r="R3293" s="3" t="s">
        <v>1607</v>
      </c>
      <c r="S3293" s="3" t="s">
        <v>1608</v>
      </c>
      <c r="T3293" s="3"/>
    </row>
    <row r="3294" spans="1:20">
      <c r="A3294" s="3" t="s">
        <v>1604</v>
      </c>
      <c r="B3294" s="3" t="s">
        <v>1601</v>
      </c>
      <c r="C3294" s="3" t="s">
        <v>1616</v>
      </c>
      <c r="D3294" s="3" t="s">
        <v>1512</v>
      </c>
      <c r="E3294" s="3" t="s">
        <v>1513</v>
      </c>
      <c r="F3294" s="2">
        <v>1</v>
      </c>
      <c r="G3294" s="4">
        <v>2.0697876425812054</v>
      </c>
      <c r="H3294" s="2">
        <v>25</v>
      </c>
      <c r="I3294" s="2">
        <v>30</v>
      </c>
      <c r="J3294" s="2">
        <v>16</v>
      </c>
      <c r="K3294" s="4">
        <v>0.95958504631723318</v>
      </c>
      <c r="L3294" s="4">
        <v>0.26048229009232793</v>
      </c>
      <c r="M3294" s="4">
        <v>0.26048229009232793</v>
      </c>
      <c r="N3294" s="10">
        <v>0.26</v>
      </c>
      <c r="O3294" s="4">
        <v>1.3219134141533926</v>
      </c>
      <c r="P3294" s="4">
        <v>1.32</v>
      </c>
      <c r="Q3294" s="3" t="s">
        <v>1597</v>
      </c>
      <c r="R3294" s="3" t="s">
        <v>1602</v>
      </c>
      <c r="S3294" s="3" t="s">
        <v>1603</v>
      </c>
      <c r="T3294" s="3"/>
    </row>
    <row r="3295" spans="1:20">
      <c r="A3295" s="3" t="s">
        <v>1600</v>
      </c>
      <c r="B3295" s="3" t="s">
        <v>1601</v>
      </c>
      <c r="C3295" s="3" t="s">
        <v>1616</v>
      </c>
      <c r="D3295" s="3" t="s">
        <v>1512</v>
      </c>
      <c r="E3295" s="3" t="s">
        <v>1513</v>
      </c>
      <c r="F3295" s="2">
        <v>1</v>
      </c>
      <c r="G3295" s="4">
        <v>2.0697876425812054</v>
      </c>
      <c r="H3295" s="2">
        <v>25</v>
      </c>
      <c r="I3295" s="2">
        <v>5</v>
      </c>
      <c r="J3295" s="2">
        <v>16</v>
      </c>
      <c r="K3295" s="4">
        <v>0.55876228631022506</v>
      </c>
      <c r="L3295" s="4">
        <v>0.20598338982161266</v>
      </c>
      <c r="M3295" s="4">
        <v>0.20598338982161266</v>
      </c>
      <c r="N3295" s="10">
        <v>0.20599999999999999</v>
      </c>
      <c r="O3295" s="4">
        <v>1.0360753871491113</v>
      </c>
      <c r="P3295" s="4">
        <v>1.04</v>
      </c>
      <c r="Q3295" s="3" t="s">
        <v>1597</v>
      </c>
      <c r="R3295" s="3" t="s">
        <v>1602</v>
      </c>
      <c r="S3295" s="3" t="s">
        <v>1603</v>
      </c>
      <c r="T3295" s="3"/>
    </row>
    <row r="3296" spans="1:20">
      <c r="A3296" s="3" t="s">
        <v>1600</v>
      </c>
      <c r="B3296" s="3" t="s">
        <v>1606</v>
      </c>
      <c r="C3296" s="3" t="s">
        <v>1596</v>
      </c>
      <c r="D3296" s="3" t="s">
        <v>1512</v>
      </c>
      <c r="E3296" s="3" t="s">
        <v>1513</v>
      </c>
      <c r="F3296" s="2">
        <v>1</v>
      </c>
      <c r="G3296" s="4">
        <v>2.0697876425812054</v>
      </c>
      <c r="H3296" s="2">
        <v>25</v>
      </c>
      <c r="I3296" s="2">
        <v>5</v>
      </c>
      <c r="J3296" s="2">
        <v>16</v>
      </c>
      <c r="K3296" s="4">
        <v>0.66891310696025141</v>
      </c>
      <c r="L3296" s="4">
        <v>0.18996015299735439</v>
      </c>
      <c r="M3296" s="4">
        <v>0.18996015299735439</v>
      </c>
      <c r="N3296" s="10">
        <v>0.19</v>
      </c>
      <c r="O3296" s="4">
        <v>0.9533904864569821</v>
      </c>
      <c r="P3296" s="4">
        <v>0.95</v>
      </c>
      <c r="Q3296" s="3" t="s">
        <v>1597</v>
      </c>
      <c r="R3296" s="3" t="s">
        <v>1607</v>
      </c>
      <c r="S3296" s="3" t="s">
        <v>1608</v>
      </c>
      <c r="T3296" s="3"/>
    </row>
    <row r="3297" spans="1:20">
      <c r="A3297" s="3" t="s">
        <v>1600</v>
      </c>
      <c r="B3297" s="3" t="s">
        <v>1601</v>
      </c>
      <c r="C3297" s="3" t="s">
        <v>1596</v>
      </c>
      <c r="D3297" s="3" t="s">
        <v>1512</v>
      </c>
      <c r="E3297" s="3" t="s">
        <v>1513</v>
      </c>
      <c r="F3297" s="2">
        <v>1</v>
      </c>
      <c r="G3297" s="4">
        <v>2.0697876425812054</v>
      </c>
      <c r="H3297" s="2">
        <v>25</v>
      </c>
      <c r="I3297" s="2">
        <v>5</v>
      </c>
      <c r="J3297" s="2">
        <v>16</v>
      </c>
      <c r="K3297" s="4">
        <v>0.1982879811339151</v>
      </c>
      <c r="L3297" s="4">
        <v>0.12771533270058139</v>
      </c>
      <c r="M3297" s="4">
        <v>0.12771533270058139</v>
      </c>
      <c r="N3297" s="10">
        <v>0.128</v>
      </c>
      <c r="O3297" s="4">
        <v>0.63668135789358271</v>
      </c>
      <c r="P3297" s="4">
        <v>0.64</v>
      </c>
      <c r="Q3297" s="3" t="s">
        <v>1597</v>
      </c>
      <c r="R3297" s="3" t="s">
        <v>1602</v>
      </c>
      <c r="S3297" s="3" t="s">
        <v>1603</v>
      </c>
      <c r="T3297" s="3"/>
    </row>
    <row r="3298" spans="1:20">
      <c r="A3298" s="3" t="s">
        <v>1604</v>
      </c>
      <c r="B3298" s="3" t="s">
        <v>1601</v>
      </c>
      <c r="C3298" s="3" t="s">
        <v>1596</v>
      </c>
      <c r="D3298" s="3" t="s">
        <v>1512</v>
      </c>
      <c r="E3298" s="3" t="s">
        <v>1513</v>
      </c>
      <c r="F3298" s="2">
        <v>1</v>
      </c>
      <c r="G3298" s="4">
        <v>2.0697876425812054</v>
      </c>
      <c r="H3298" s="2">
        <v>25</v>
      </c>
      <c r="I3298" s="2">
        <v>30</v>
      </c>
      <c r="J3298" s="2">
        <v>16</v>
      </c>
      <c r="K3298" s="4">
        <v>0.27517237718570331</v>
      </c>
      <c r="L3298" s="4">
        <v>0.1077092906785895</v>
      </c>
      <c r="M3298" s="4">
        <v>0.1077092906785895</v>
      </c>
      <c r="N3298" s="10">
        <v>0.108</v>
      </c>
      <c r="O3298" s="4">
        <v>0.53609539330401679</v>
      </c>
      <c r="P3298" s="4">
        <v>0.54</v>
      </c>
      <c r="Q3298" s="3" t="s">
        <v>1597</v>
      </c>
      <c r="R3298" s="3" t="s">
        <v>1602</v>
      </c>
      <c r="S3298" s="3" t="s">
        <v>1603</v>
      </c>
      <c r="T3298" s="3"/>
    </row>
    <row r="3299" spans="1:20">
      <c r="A3299" s="3" t="s">
        <v>1605</v>
      </c>
      <c r="B3299" s="3" t="s">
        <v>1601</v>
      </c>
      <c r="C3299" s="3" t="s">
        <v>1596</v>
      </c>
      <c r="D3299" s="3" t="s">
        <v>1512</v>
      </c>
      <c r="E3299" s="3" t="s">
        <v>1513</v>
      </c>
      <c r="F3299" s="2">
        <v>1</v>
      </c>
      <c r="G3299" s="4">
        <v>2.0697876425812054</v>
      </c>
      <c r="H3299" s="2">
        <v>25</v>
      </c>
      <c r="I3299" s="2">
        <v>5</v>
      </c>
      <c r="J3299" s="2">
        <v>16</v>
      </c>
      <c r="K3299" s="4">
        <v>0.26783548567399784</v>
      </c>
      <c r="L3299" s="4">
        <v>7.2462629627564945E-2</v>
      </c>
      <c r="M3299" s="4">
        <v>7.2462629627564945E-2</v>
      </c>
      <c r="N3299" s="10">
        <v>7.1999999999999995E-2</v>
      </c>
      <c r="O3299" s="4">
        <v>0.35989590763861623</v>
      </c>
      <c r="P3299" s="4">
        <v>0.36</v>
      </c>
      <c r="Q3299" s="3" t="s">
        <v>1597</v>
      </c>
      <c r="R3299" s="3" t="s">
        <v>1602</v>
      </c>
      <c r="S3299" s="3" t="s">
        <v>1603</v>
      </c>
      <c r="T3299" s="3"/>
    </row>
    <row r="3300" spans="1:20">
      <c r="A3300" s="3" t="s">
        <v>1600</v>
      </c>
      <c r="B3300" s="3" t="s">
        <v>1606</v>
      </c>
      <c r="C3300" s="3" t="s">
        <v>1616</v>
      </c>
      <c r="D3300" s="3" t="s">
        <v>1512</v>
      </c>
      <c r="E3300" s="3" t="s">
        <v>1513</v>
      </c>
      <c r="F3300" s="2">
        <v>1</v>
      </c>
      <c r="G3300" s="4">
        <v>2.0697876425812054</v>
      </c>
      <c r="H3300" s="2">
        <v>25</v>
      </c>
      <c r="I3300" s="2">
        <v>5</v>
      </c>
      <c r="J3300" s="2">
        <v>1</v>
      </c>
      <c r="K3300" s="4">
        <v>0</v>
      </c>
      <c r="L3300" s="4">
        <v>0</v>
      </c>
      <c r="M3300" s="4">
        <v>0</v>
      </c>
      <c r="N3300" s="10">
        <v>0</v>
      </c>
      <c r="O3300" s="4">
        <v>0</v>
      </c>
      <c r="P3300" s="4">
        <v>0</v>
      </c>
      <c r="Q3300" s="3" t="s">
        <v>1617</v>
      </c>
      <c r="R3300" s="3" t="s">
        <v>1621</v>
      </c>
      <c r="S3300" s="3" t="s">
        <v>1622</v>
      </c>
      <c r="T3300" s="3"/>
    </row>
    <row r="3301" spans="1:20">
      <c r="A3301" s="3" t="s">
        <v>1600</v>
      </c>
      <c r="B3301" s="3" t="s">
        <v>1601</v>
      </c>
      <c r="C3301" s="3" t="s">
        <v>1616</v>
      </c>
      <c r="D3301" s="3" t="s">
        <v>1512</v>
      </c>
      <c r="E3301" s="3" t="s">
        <v>1513</v>
      </c>
      <c r="F3301" s="2">
        <v>1</v>
      </c>
      <c r="G3301" s="4">
        <v>2.0697876425812054</v>
      </c>
      <c r="H3301" s="2">
        <v>25</v>
      </c>
      <c r="I3301" s="2">
        <v>5</v>
      </c>
      <c r="J3301" s="2">
        <v>1</v>
      </c>
      <c r="K3301" s="4">
        <v>0.19561075037137743</v>
      </c>
      <c r="L3301" s="4">
        <v>-4.1747051589575236E-2</v>
      </c>
      <c r="M3301" s="4">
        <v>4.1747051589575236E-2</v>
      </c>
      <c r="N3301" s="10">
        <v>4.2000000000000003E-2</v>
      </c>
      <c r="O3301" s="4">
        <v>0.20709959273070463</v>
      </c>
      <c r="P3301" s="4">
        <v>-0.21</v>
      </c>
      <c r="Q3301" s="3" t="s">
        <v>1617</v>
      </c>
      <c r="R3301" s="3" t="s">
        <v>1618</v>
      </c>
      <c r="S3301" s="3" t="s">
        <v>1619</v>
      </c>
      <c r="T3301" s="3"/>
    </row>
    <row r="3302" spans="1:20">
      <c r="A3302" s="3" t="s">
        <v>1600</v>
      </c>
      <c r="B3302" s="3" t="s">
        <v>1609</v>
      </c>
      <c r="C3302" s="3" t="s">
        <v>1596</v>
      </c>
      <c r="D3302" s="3" t="s">
        <v>1512</v>
      </c>
      <c r="E3302" s="3" t="s">
        <v>1513</v>
      </c>
      <c r="F3302" s="2">
        <v>1</v>
      </c>
      <c r="G3302" s="4">
        <v>2.0697876425812054</v>
      </c>
      <c r="H3302" s="2">
        <v>25</v>
      </c>
      <c r="I3302" s="2">
        <v>5</v>
      </c>
      <c r="J3302" s="2">
        <v>16</v>
      </c>
      <c r="K3302" s="4">
        <v>7.5486148964836408E-2</v>
      </c>
      <c r="L3302" s="4">
        <v>-0.18284443028189373</v>
      </c>
      <c r="M3302" s="4">
        <v>0.18284443028189373</v>
      </c>
      <c r="N3302" s="10">
        <v>0.183</v>
      </c>
      <c r="O3302" s="4">
        <v>0.9168410705039407</v>
      </c>
      <c r="P3302" s="4">
        <v>-0.92</v>
      </c>
      <c r="Q3302" s="3" t="s">
        <v>1617</v>
      </c>
      <c r="R3302" s="3" t="s">
        <v>1623</v>
      </c>
      <c r="S3302" s="3" t="s">
        <v>1624</v>
      </c>
      <c r="T3302" s="3"/>
    </row>
    <row r="3303" spans="1:20">
      <c r="A3303" s="3" t="s">
        <v>1600</v>
      </c>
      <c r="B3303" s="3" t="s">
        <v>1601</v>
      </c>
      <c r="C3303" s="3" t="s">
        <v>1596</v>
      </c>
      <c r="D3303" s="3" t="s">
        <v>1512</v>
      </c>
      <c r="E3303" s="3" t="s">
        <v>1513</v>
      </c>
      <c r="F3303" s="2">
        <v>1</v>
      </c>
      <c r="G3303" s="4">
        <v>2.0697876425812054</v>
      </c>
      <c r="H3303" s="2">
        <v>25</v>
      </c>
      <c r="I3303" s="2">
        <v>5</v>
      </c>
      <c r="J3303" s="2">
        <v>1</v>
      </c>
      <c r="K3303" s="4">
        <v>9.4906890012032119E-2</v>
      </c>
      <c r="L3303" s="4">
        <v>-0.21492686582885112</v>
      </c>
      <c r="M3303" s="4">
        <v>0.21492686582885112</v>
      </c>
      <c r="N3303" s="10">
        <v>0.215</v>
      </c>
      <c r="O3303" s="4">
        <v>1.0824719033684549</v>
      </c>
      <c r="P3303" s="4">
        <v>-1.08</v>
      </c>
      <c r="Q3303" s="3" t="s">
        <v>1617</v>
      </c>
      <c r="R3303" s="3" t="s">
        <v>1618</v>
      </c>
      <c r="S3303" s="3" t="s">
        <v>1619</v>
      </c>
      <c r="T3303" s="3"/>
    </row>
    <row r="3304" spans="1:20">
      <c r="A3304" s="3" t="s">
        <v>1600</v>
      </c>
      <c r="B3304" s="3" t="s">
        <v>1609</v>
      </c>
      <c r="C3304" s="3" t="s">
        <v>1616</v>
      </c>
      <c r="D3304" s="3" t="s">
        <v>1512</v>
      </c>
      <c r="E3304" s="3" t="s">
        <v>1513</v>
      </c>
      <c r="F3304" s="2">
        <v>1</v>
      </c>
      <c r="G3304" s="4">
        <v>2.0697876425812054</v>
      </c>
      <c r="H3304" s="2">
        <v>25</v>
      </c>
      <c r="I3304" s="2">
        <v>5</v>
      </c>
      <c r="J3304" s="2">
        <v>16</v>
      </c>
      <c r="K3304" s="4">
        <v>8.6591176748198717E-2</v>
      </c>
      <c r="L3304" s="4">
        <v>-0.31858452039001889</v>
      </c>
      <c r="M3304" s="4">
        <v>0.31858452039001889</v>
      </c>
      <c r="N3304" s="10">
        <v>0.31900000000000001</v>
      </c>
      <c r="O3304" s="4">
        <v>1.6364707235326386</v>
      </c>
      <c r="P3304" s="4">
        <v>-1.64</v>
      </c>
      <c r="Q3304" s="3" t="s">
        <v>1617</v>
      </c>
      <c r="R3304" s="3" t="s">
        <v>1623</v>
      </c>
      <c r="S3304" s="3" t="s">
        <v>1624</v>
      </c>
      <c r="T3304" s="3"/>
    </row>
    <row r="3305" spans="1:20">
      <c r="A3305" s="3" t="s">
        <v>1600</v>
      </c>
      <c r="B3305" s="3" t="s">
        <v>1609</v>
      </c>
      <c r="C3305" s="3" t="s">
        <v>1596</v>
      </c>
      <c r="D3305" s="3" t="s">
        <v>1512</v>
      </c>
      <c r="E3305" s="3" t="s">
        <v>1513</v>
      </c>
      <c r="F3305" s="2">
        <v>1</v>
      </c>
      <c r="G3305" s="4">
        <v>2.0697876425812054</v>
      </c>
      <c r="H3305" s="2">
        <v>25</v>
      </c>
      <c r="I3305" s="2">
        <v>5</v>
      </c>
      <c r="J3305" s="2">
        <v>1</v>
      </c>
      <c r="K3305" s="4">
        <v>4.5749979199627755E-2</v>
      </c>
      <c r="L3305" s="4">
        <v>-0.35950534418678448</v>
      </c>
      <c r="M3305" s="4">
        <v>0.35950534418678448</v>
      </c>
      <c r="N3305" s="10">
        <v>0.36</v>
      </c>
      <c r="O3305" s="4">
        <v>1.8657592474357536</v>
      </c>
      <c r="P3305" s="4">
        <v>-1.87</v>
      </c>
      <c r="Q3305" s="3" t="s">
        <v>1617</v>
      </c>
      <c r="R3305" s="3" t="s">
        <v>1623</v>
      </c>
      <c r="S3305" s="3" t="s">
        <v>1624</v>
      </c>
      <c r="T3305" s="3"/>
    </row>
    <row r="3306" spans="1:20">
      <c r="A3306" s="3" t="s">
        <v>1594</v>
      </c>
      <c r="B3306" s="3" t="s">
        <v>1612</v>
      </c>
      <c r="C3306" s="3" t="s">
        <v>1596</v>
      </c>
      <c r="D3306" s="3" t="s">
        <v>1512</v>
      </c>
      <c r="E3306" s="3" t="s">
        <v>1513</v>
      </c>
      <c r="F3306" s="2">
        <v>1</v>
      </c>
      <c r="G3306" s="4">
        <v>2.0697876425812054</v>
      </c>
      <c r="H3306" s="2">
        <v>50</v>
      </c>
      <c r="I3306" s="2">
        <v>5</v>
      </c>
      <c r="J3306" s="2">
        <v>16</v>
      </c>
      <c r="K3306" s="4">
        <v>0.15995145717330717</v>
      </c>
      <c r="L3306" s="4">
        <v>-0.36563339028557479</v>
      </c>
      <c r="M3306" s="4">
        <v>0.36563339028557479</v>
      </c>
      <c r="N3306" s="10">
        <v>0.36599999999999999</v>
      </c>
      <c r="O3306" s="4">
        <v>2.0601182474971949</v>
      </c>
      <c r="P3306" s="4">
        <v>-2.06</v>
      </c>
      <c r="Q3306" s="3" t="s">
        <v>1617</v>
      </c>
      <c r="R3306" s="3" t="s">
        <v>1627</v>
      </c>
      <c r="S3306" s="3" t="s">
        <v>1628</v>
      </c>
      <c r="T3306" s="3"/>
    </row>
    <row r="3307" spans="1:20">
      <c r="A3307" s="3" t="s">
        <v>1600</v>
      </c>
      <c r="B3307" s="3" t="s">
        <v>1609</v>
      </c>
      <c r="C3307" s="3" t="s">
        <v>1616</v>
      </c>
      <c r="D3307" s="3" t="s">
        <v>1512</v>
      </c>
      <c r="E3307" s="3" t="s">
        <v>1513</v>
      </c>
      <c r="F3307" s="2">
        <v>1</v>
      </c>
      <c r="G3307" s="4">
        <v>2.0697876425812054</v>
      </c>
      <c r="H3307" s="2">
        <v>25</v>
      </c>
      <c r="I3307" s="2">
        <v>5</v>
      </c>
      <c r="J3307" s="2">
        <v>1</v>
      </c>
      <c r="K3307" s="4">
        <v>2.1913648034143973E-2</v>
      </c>
      <c r="L3307" s="4">
        <v>-0.38173405310124492</v>
      </c>
      <c r="M3307" s="4">
        <v>0.38173405310124492</v>
      </c>
      <c r="N3307" s="10">
        <v>0.38200000000000001</v>
      </c>
      <c r="O3307" s="4">
        <v>1.9935263389576217</v>
      </c>
      <c r="P3307" s="4">
        <v>-2</v>
      </c>
      <c r="Q3307" s="3" t="s">
        <v>1617</v>
      </c>
      <c r="R3307" s="3" t="s">
        <v>1623</v>
      </c>
      <c r="S3307" s="3" t="s">
        <v>1624</v>
      </c>
      <c r="T3307" s="3"/>
    </row>
    <row r="3308" spans="1:20">
      <c r="A3308" s="3" t="s">
        <v>1600</v>
      </c>
      <c r="B3308" s="3" t="s">
        <v>1606</v>
      </c>
      <c r="C3308" s="3" t="s">
        <v>1616</v>
      </c>
      <c r="D3308" s="3" t="s">
        <v>1043</v>
      </c>
      <c r="E3308" s="3" t="s">
        <v>1044</v>
      </c>
      <c r="F3308" s="2">
        <v>1</v>
      </c>
      <c r="G3308" s="4">
        <v>2.0748702742772425</v>
      </c>
      <c r="H3308" s="2">
        <v>25</v>
      </c>
      <c r="I3308" s="2">
        <v>5</v>
      </c>
      <c r="J3308" s="2">
        <v>1</v>
      </c>
      <c r="K3308" s="4">
        <v>4.9862134330499908E-2</v>
      </c>
      <c r="L3308" s="4">
        <v>1</v>
      </c>
      <c r="M3308" s="4">
        <v>1</v>
      </c>
      <c r="N3308" s="10">
        <v>0.995</v>
      </c>
      <c r="O3308" s="4">
        <v>14.85</v>
      </c>
      <c r="P3308" s="4">
        <v>14.85</v>
      </c>
      <c r="Q3308" s="3" t="s">
        <v>1597</v>
      </c>
      <c r="R3308" s="3" t="s">
        <v>1607</v>
      </c>
      <c r="S3308" s="3" t="s">
        <v>1608</v>
      </c>
      <c r="T3308" s="3"/>
    </row>
    <row r="3309" spans="1:20">
      <c r="A3309" s="3" t="s">
        <v>1600</v>
      </c>
      <c r="B3309" s="3" t="s">
        <v>1606</v>
      </c>
      <c r="C3309" s="3" t="s">
        <v>1596</v>
      </c>
      <c r="D3309" s="3" t="s">
        <v>1043</v>
      </c>
      <c r="E3309" s="3" t="s">
        <v>1044</v>
      </c>
      <c r="F3309" s="2">
        <v>1</v>
      </c>
      <c r="G3309" s="4">
        <v>2.0748702742772425</v>
      </c>
      <c r="H3309" s="2">
        <v>25</v>
      </c>
      <c r="I3309" s="2">
        <v>5</v>
      </c>
      <c r="J3309" s="2">
        <v>1</v>
      </c>
      <c r="K3309" s="4">
        <v>8.7447617472106054E-2</v>
      </c>
      <c r="L3309" s="4">
        <v>0.31236447835331782</v>
      </c>
      <c r="M3309" s="4">
        <v>0.31236447835331782</v>
      </c>
      <c r="N3309" s="10">
        <v>0.312</v>
      </c>
      <c r="O3309" s="4">
        <v>1.6022235728989376</v>
      </c>
      <c r="P3309" s="4">
        <v>1.6</v>
      </c>
      <c r="Q3309" s="3" t="s">
        <v>1597</v>
      </c>
      <c r="R3309" s="3" t="s">
        <v>1607</v>
      </c>
      <c r="S3309" s="3" t="s">
        <v>1608</v>
      </c>
      <c r="T3309" s="3"/>
    </row>
    <row r="3310" spans="1:20">
      <c r="A3310" s="3" t="s">
        <v>1600</v>
      </c>
      <c r="B3310" s="3" t="s">
        <v>1606</v>
      </c>
      <c r="C3310" s="3" t="s">
        <v>1616</v>
      </c>
      <c r="D3310" s="3" t="s">
        <v>1043</v>
      </c>
      <c r="E3310" s="3" t="s">
        <v>1044</v>
      </c>
      <c r="F3310" s="2">
        <v>1</v>
      </c>
      <c r="G3310" s="4">
        <v>2.0748702742772425</v>
      </c>
      <c r="H3310" s="2">
        <v>25</v>
      </c>
      <c r="I3310" s="2">
        <v>5</v>
      </c>
      <c r="J3310" s="2">
        <v>16</v>
      </c>
      <c r="K3310" s="4">
        <v>1</v>
      </c>
      <c r="L3310" s="4">
        <v>0.29502528851986798</v>
      </c>
      <c r="M3310" s="4">
        <v>0.29502528851986798</v>
      </c>
      <c r="N3310" s="10">
        <v>0.29499999999999998</v>
      </c>
      <c r="O3310" s="4">
        <v>1.5075189760749039</v>
      </c>
      <c r="P3310" s="4">
        <v>1.51</v>
      </c>
      <c r="Q3310" s="3" t="s">
        <v>1597</v>
      </c>
      <c r="R3310" s="3" t="s">
        <v>1607</v>
      </c>
      <c r="S3310" s="3" t="s">
        <v>1608</v>
      </c>
      <c r="T3310" s="3"/>
    </row>
    <row r="3311" spans="1:20">
      <c r="A3311" s="3" t="s">
        <v>1600</v>
      </c>
      <c r="B3311" s="3" t="s">
        <v>1606</v>
      </c>
      <c r="C3311" s="3" t="s">
        <v>1596</v>
      </c>
      <c r="D3311" s="3" t="s">
        <v>1043</v>
      </c>
      <c r="E3311" s="3" t="s">
        <v>1044</v>
      </c>
      <c r="F3311" s="2">
        <v>1</v>
      </c>
      <c r="G3311" s="4">
        <v>2.0748702742772425</v>
      </c>
      <c r="H3311" s="2">
        <v>25</v>
      </c>
      <c r="I3311" s="2">
        <v>5</v>
      </c>
      <c r="J3311" s="2">
        <v>16</v>
      </c>
      <c r="K3311" s="4">
        <v>0.67551614433461715</v>
      </c>
      <c r="L3311" s="4">
        <v>0.24358511383072057</v>
      </c>
      <c r="M3311" s="4">
        <v>0.24358511383072057</v>
      </c>
      <c r="N3311" s="10">
        <v>0.24399999999999999</v>
      </c>
      <c r="O3311" s="4">
        <v>1.2324529677844973</v>
      </c>
      <c r="P3311" s="4">
        <v>1.23</v>
      </c>
      <c r="Q3311" s="3" t="s">
        <v>1597</v>
      </c>
      <c r="R3311" s="3" t="s">
        <v>1607</v>
      </c>
      <c r="S3311" s="3" t="s">
        <v>1608</v>
      </c>
      <c r="T3311" s="3"/>
    </row>
    <row r="3312" spans="1:20">
      <c r="A3312" s="3" t="s">
        <v>1600</v>
      </c>
      <c r="B3312" s="3" t="s">
        <v>1601</v>
      </c>
      <c r="C3312" s="3" t="s">
        <v>1616</v>
      </c>
      <c r="D3312" s="3" t="s">
        <v>1043</v>
      </c>
      <c r="E3312" s="3" t="s">
        <v>1044</v>
      </c>
      <c r="F3312" s="2">
        <v>1</v>
      </c>
      <c r="G3312" s="4">
        <v>2.0748702742772425</v>
      </c>
      <c r="H3312" s="2">
        <v>25</v>
      </c>
      <c r="I3312" s="2">
        <v>5</v>
      </c>
      <c r="J3312" s="2">
        <v>1</v>
      </c>
      <c r="K3312" s="4">
        <v>0</v>
      </c>
      <c r="L3312" s="4">
        <v>0</v>
      </c>
      <c r="M3312" s="4">
        <v>0</v>
      </c>
      <c r="N3312" s="10">
        <v>0</v>
      </c>
      <c r="O3312" s="4">
        <v>0</v>
      </c>
      <c r="P3312" s="4">
        <v>0</v>
      </c>
      <c r="Q3312" s="3" t="s">
        <v>1617</v>
      </c>
      <c r="R3312" s="3" t="s">
        <v>1618</v>
      </c>
      <c r="S3312" s="3" t="s">
        <v>1619</v>
      </c>
      <c r="T3312" s="3"/>
    </row>
    <row r="3313" spans="1:20">
      <c r="A3313" s="3" t="s">
        <v>1600</v>
      </c>
      <c r="B3313" s="3" t="s">
        <v>1601</v>
      </c>
      <c r="C3313" s="3" t="s">
        <v>1596</v>
      </c>
      <c r="D3313" s="3" t="s">
        <v>1043</v>
      </c>
      <c r="E3313" s="3" t="s">
        <v>1044</v>
      </c>
      <c r="F3313" s="2">
        <v>1</v>
      </c>
      <c r="G3313" s="4">
        <v>2.0748702742772425</v>
      </c>
      <c r="H3313" s="2">
        <v>25</v>
      </c>
      <c r="I3313" s="2">
        <v>5</v>
      </c>
      <c r="J3313" s="2">
        <v>1</v>
      </c>
      <c r="K3313" s="4">
        <v>0</v>
      </c>
      <c r="L3313" s="4">
        <v>0</v>
      </c>
      <c r="M3313" s="4">
        <v>0</v>
      </c>
      <c r="N3313" s="10">
        <v>0</v>
      </c>
      <c r="O3313" s="4">
        <v>0</v>
      </c>
      <c r="P3313" s="4">
        <v>0</v>
      </c>
      <c r="Q3313" s="3" t="s">
        <v>1617</v>
      </c>
      <c r="R3313" s="3" t="s">
        <v>1618</v>
      </c>
      <c r="S3313" s="3" t="s">
        <v>1619</v>
      </c>
      <c r="T3313" s="3"/>
    </row>
    <row r="3314" spans="1:20">
      <c r="A3314" s="3" t="s">
        <v>1594</v>
      </c>
      <c r="B3314" s="3" t="s">
        <v>1595</v>
      </c>
      <c r="C3314" s="3" t="s">
        <v>1596</v>
      </c>
      <c r="D3314" s="3" t="s">
        <v>1043</v>
      </c>
      <c r="E3314" s="3" t="s">
        <v>1044</v>
      </c>
      <c r="F3314" s="2">
        <v>1</v>
      </c>
      <c r="G3314" s="4">
        <v>2.0748702742772425</v>
      </c>
      <c r="H3314" s="2">
        <v>50</v>
      </c>
      <c r="I3314" s="2">
        <v>5</v>
      </c>
      <c r="J3314" s="2">
        <v>16</v>
      </c>
      <c r="K3314" s="4">
        <v>0.36939795094219963</v>
      </c>
      <c r="L3314" s="4">
        <v>-6.9794808975464376E-2</v>
      </c>
      <c r="M3314" s="4">
        <v>6.9794808975464376E-2</v>
      </c>
      <c r="N3314" s="10">
        <v>7.0000000000000007E-2</v>
      </c>
      <c r="O3314" s="4">
        <v>0.37566445518595565</v>
      </c>
      <c r="P3314" s="4">
        <v>-0.38</v>
      </c>
      <c r="Q3314" s="3" t="s">
        <v>1617</v>
      </c>
      <c r="R3314" s="3" t="s">
        <v>1625</v>
      </c>
      <c r="S3314" s="3" t="s">
        <v>1626</v>
      </c>
      <c r="T3314" s="3"/>
    </row>
    <row r="3315" spans="1:20">
      <c r="A3315" s="3" t="s">
        <v>1594</v>
      </c>
      <c r="B3315" s="3" t="s">
        <v>1595</v>
      </c>
      <c r="C3315" s="3" t="s">
        <v>1596</v>
      </c>
      <c r="D3315" s="3" t="s">
        <v>1043</v>
      </c>
      <c r="E3315" s="3" t="s">
        <v>1044</v>
      </c>
      <c r="F3315" s="2">
        <v>1</v>
      </c>
      <c r="G3315" s="4">
        <v>2.0748702742772425</v>
      </c>
      <c r="H3315" s="2">
        <v>25</v>
      </c>
      <c r="I3315" s="2">
        <v>5</v>
      </c>
      <c r="J3315" s="2">
        <v>16</v>
      </c>
      <c r="K3315" s="4">
        <v>8.0981001424935584E-2</v>
      </c>
      <c r="L3315" s="4">
        <v>-0.1796293203089345</v>
      </c>
      <c r="M3315" s="4">
        <v>0.1796293203089345</v>
      </c>
      <c r="N3315" s="10">
        <v>0.18</v>
      </c>
      <c r="O3315" s="4">
        <v>0.90035937265886279</v>
      </c>
      <c r="P3315" s="4">
        <v>-0.9</v>
      </c>
      <c r="Q3315" s="3" t="s">
        <v>1617</v>
      </c>
      <c r="R3315" s="3" t="s">
        <v>1625</v>
      </c>
      <c r="S3315" s="3" t="s">
        <v>1626</v>
      </c>
      <c r="T3315" s="3"/>
    </row>
    <row r="3316" spans="1:20">
      <c r="A3316" s="3" t="s">
        <v>1600</v>
      </c>
      <c r="B3316" s="3" t="s">
        <v>1609</v>
      </c>
      <c r="C3316" s="3" t="s">
        <v>1596</v>
      </c>
      <c r="D3316" s="3" t="s">
        <v>1043</v>
      </c>
      <c r="E3316" s="3" t="s">
        <v>1044</v>
      </c>
      <c r="F3316" s="2">
        <v>1</v>
      </c>
      <c r="G3316" s="4">
        <v>2.0748702742772425</v>
      </c>
      <c r="H3316" s="2">
        <v>25</v>
      </c>
      <c r="I3316" s="2">
        <v>5</v>
      </c>
      <c r="J3316" s="2">
        <v>1</v>
      </c>
      <c r="K3316" s="4">
        <v>0.79504211206368214</v>
      </c>
      <c r="L3316" s="4">
        <v>-0.23263165986125153</v>
      </c>
      <c r="M3316" s="4">
        <v>0.23263165986125153</v>
      </c>
      <c r="N3316" s="10">
        <v>0.23300000000000001</v>
      </c>
      <c r="O3316" s="4">
        <v>1.1748816876985824</v>
      </c>
      <c r="P3316" s="4">
        <v>-1.18</v>
      </c>
      <c r="Q3316" s="3" t="s">
        <v>1617</v>
      </c>
      <c r="R3316" s="3" t="s">
        <v>1623</v>
      </c>
      <c r="S3316" s="3" t="s">
        <v>1624</v>
      </c>
      <c r="T3316" s="3"/>
    </row>
    <row r="3317" spans="1:20">
      <c r="A3317" s="3" t="s">
        <v>1600</v>
      </c>
      <c r="B3317" s="3" t="s">
        <v>1609</v>
      </c>
      <c r="C3317" s="3" t="s">
        <v>1596</v>
      </c>
      <c r="D3317" s="3" t="s">
        <v>1043</v>
      </c>
      <c r="E3317" s="3" t="s">
        <v>1044</v>
      </c>
      <c r="F3317" s="2">
        <v>1</v>
      </c>
      <c r="G3317" s="4">
        <v>2.0748702742772425</v>
      </c>
      <c r="H3317" s="2">
        <v>25</v>
      </c>
      <c r="I3317" s="2">
        <v>5</v>
      </c>
      <c r="J3317" s="2">
        <v>16</v>
      </c>
      <c r="K3317" s="4">
        <v>1</v>
      </c>
      <c r="L3317" s="4">
        <v>-0.25436811910525353</v>
      </c>
      <c r="M3317" s="4">
        <v>0.25436811910525353</v>
      </c>
      <c r="N3317" s="10">
        <v>0.254</v>
      </c>
      <c r="O3317" s="4">
        <v>1.2894482187181011</v>
      </c>
      <c r="P3317" s="4">
        <v>-1.29</v>
      </c>
      <c r="Q3317" s="3" t="s">
        <v>1617</v>
      </c>
      <c r="R3317" s="3" t="s">
        <v>1623</v>
      </c>
      <c r="S3317" s="3" t="s">
        <v>1624</v>
      </c>
      <c r="T3317" s="3"/>
    </row>
    <row r="3318" spans="1:20">
      <c r="A3318" s="3" t="s">
        <v>1594</v>
      </c>
      <c r="B3318" s="3" t="s">
        <v>1612</v>
      </c>
      <c r="C3318" s="3" t="s">
        <v>1596</v>
      </c>
      <c r="D3318" s="3" t="s">
        <v>1043</v>
      </c>
      <c r="E3318" s="3" t="s">
        <v>1044</v>
      </c>
      <c r="F3318" s="2">
        <v>1</v>
      </c>
      <c r="G3318" s="4">
        <v>2.0748702742772425</v>
      </c>
      <c r="H3318" s="2">
        <v>50</v>
      </c>
      <c r="I3318" s="2">
        <v>5</v>
      </c>
      <c r="J3318" s="2">
        <v>16</v>
      </c>
      <c r="K3318" s="4">
        <v>0.92013977204163155</v>
      </c>
      <c r="L3318" s="4">
        <v>-0.25974385170718489</v>
      </c>
      <c r="M3318" s="4">
        <v>0.25974385170718489</v>
      </c>
      <c r="N3318" s="10">
        <v>0.26</v>
      </c>
      <c r="O3318" s="4">
        <v>1.428500317741072</v>
      </c>
      <c r="P3318" s="4">
        <v>-1.43</v>
      </c>
      <c r="Q3318" s="3" t="s">
        <v>1617</v>
      </c>
      <c r="R3318" s="3" t="s">
        <v>1627</v>
      </c>
      <c r="S3318" s="3" t="s">
        <v>1628</v>
      </c>
      <c r="T3318" s="3"/>
    </row>
    <row r="3319" spans="1:20">
      <c r="A3319" s="3" t="s">
        <v>1604</v>
      </c>
      <c r="B3319" s="3" t="s">
        <v>1601</v>
      </c>
      <c r="C3319" s="3" t="s">
        <v>1596</v>
      </c>
      <c r="D3319" s="3" t="s">
        <v>1043</v>
      </c>
      <c r="E3319" s="3" t="s">
        <v>1044</v>
      </c>
      <c r="F3319" s="2">
        <v>1</v>
      </c>
      <c r="G3319" s="4">
        <v>2.0748702742772425</v>
      </c>
      <c r="H3319" s="2">
        <v>25</v>
      </c>
      <c r="I3319" s="2">
        <v>30</v>
      </c>
      <c r="J3319" s="2">
        <v>16</v>
      </c>
      <c r="K3319" s="4">
        <v>1</v>
      </c>
      <c r="L3319" s="4">
        <v>-0.28479241706212444</v>
      </c>
      <c r="M3319" s="4">
        <v>0.28479241706212444</v>
      </c>
      <c r="N3319" s="10">
        <v>0.28499999999999998</v>
      </c>
      <c r="O3319" s="4">
        <v>1.4521290226347026</v>
      </c>
      <c r="P3319" s="4">
        <v>-1.45</v>
      </c>
      <c r="Q3319" s="3" t="s">
        <v>1617</v>
      </c>
      <c r="R3319" s="3" t="s">
        <v>1618</v>
      </c>
      <c r="S3319" s="3" t="s">
        <v>1619</v>
      </c>
      <c r="T3319" s="3"/>
    </row>
    <row r="3320" spans="1:20">
      <c r="A3320" s="3" t="s">
        <v>1600</v>
      </c>
      <c r="B3320" s="3" t="s">
        <v>1601</v>
      </c>
      <c r="C3320" s="3" t="s">
        <v>1596</v>
      </c>
      <c r="D3320" s="3" t="s">
        <v>1043</v>
      </c>
      <c r="E3320" s="3" t="s">
        <v>1044</v>
      </c>
      <c r="F3320" s="2">
        <v>1</v>
      </c>
      <c r="G3320" s="4">
        <v>2.0748702742772425</v>
      </c>
      <c r="H3320" s="2">
        <v>25</v>
      </c>
      <c r="I3320" s="2">
        <v>5</v>
      </c>
      <c r="J3320" s="2">
        <v>16</v>
      </c>
      <c r="K3320" s="4">
        <v>1</v>
      </c>
      <c r="L3320" s="4">
        <v>-0.41390250180529603</v>
      </c>
      <c r="M3320" s="4">
        <v>0.41390250180529603</v>
      </c>
      <c r="N3320" s="10">
        <v>0.41399999999999998</v>
      </c>
      <c r="O3320" s="4">
        <v>2.1830357395084636</v>
      </c>
      <c r="P3320" s="4">
        <v>-2.1800000000000002</v>
      </c>
      <c r="Q3320" s="3" t="s">
        <v>1617</v>
      </c>
      <c r="R3320" s="3" t="s">
        <v>1618</v>
      </c>
      <c r="S3320" s="3" t="s">
        <v>1619</v>
      </c>
      <c r="T3320" s="3"/>
    </row>
    <row r="3321" spans="1:20">
      <c r="A3321" s="3" t="s">
        <v>1605</v>
      </c>
      <c r="B3321" s="3" t="s">
        <v>1601</v>
      </c>
      <c r="C3321" s="3" t="s">
        <v>1596</v>
      </c>
      <c r="D3321" s="3" t="s">
        <v>1043</v>
      </c>
      <c r="E3321" s="3" t="s">
        <v>1044</v>
      </c>
      <c r="F3321" s="2">
        <v>1</v>
      </c>
      <c r="G3321" s="4">
        <v>2.0748702742772425</v>
      </c>
      <c r="H3321" s="2">
        <v>25</v>
      </c>
      <c r="I3321" s="2">
        <v>5</v>
      </c>
      <c r="J3321" s="2">
        <v>16</v>
      </c>
      <c r="K3321" s="4">
        <v>0.97916701627859937</v>
      </c>
      <c r="L3321" s="4">
        <v>-0.41502985336050541</v>
      </c>
      <c r="M3321" s="4">
        <v>0.41502985336050541</v>
      </c>
      <c r="N3321" s="10">
        <v>0.41499999999999998</v>
      </c>
      <c r="O3321" s="4">
        <v>2.1897843733170523</v>
      </c>
      <c r="P3321" s="4">
        <v>-2.19</v>
      </c>
      <c r="Q3321" s="3" t="s">
        <v>1617</v>
      </c>
      <c r="R3321" s="3" t="s">
        <v>1618</v>
      </c>
      <c r="S3321" s="3" t="s">
        <v>1619</v>
      </c>
      <c r="T3321" s="3"/>
    </row>
    <row r="3322" spans="1:20">
      <c r="A3322" s="3" t="s">
        <v>1600</v>
      </c>
      <c r="B3322" s="3" t="s">
        <v>1601</v>
      </c>
      <c r="C3322" s="3" t="s">
        <v>1616</v>
      </c>
      <c r="D3322" s="3" t="s">
        <v>1043</v>
      </c>
      <c r="E3322" s="3" t="s">
        <v>1044</v>
      </c>
      <c r="F3322" s="2">
        <v>1</v>
      </c>
      <c r="G3322" s="4">
        <v>2.0748702742772425</v>
      </c>
      <c r="H3322" s="2">
        <v>25</v>
      </c>
      <c r="I3322" s="2">
        <v>5</v>
      </c>
      <c r="J3322" s="2">
        <v>16</v>
      </c>
      <c r="K3322" s="4">
        <v>0.27446014932438612</v>
      </c>
      <c r="L3322" s="4">
        <v>-0.68304477410668185</v>
      </c>
      <c r="M3322" s="4">
        <v>0.68304477410668185</v>
      </c>
      <c r="N3322" s="10">
        <v>0.68300000000000005</v>
      </c>
      <c r="O3322" s="4">
        <v>4.1388834724912797</v>
      </c>
      <c r="P3322" s="4">
        <v>-4.1399999999999997</v>
      </c>
      <c r="Q3322" s="3" t="s">
        <v>1617</v>
      </c>
      <c r="R3322" s="3" t="s">
        <v>1618</v>
      </c>
      <c r="S3322" s="3" t="s">
        <v>1619</v>
      </c>
      <c r="T3322" s="3"/>
    </row>
    <row r="3323" spans="1:20">
      <c r="A3323" s="3" t="s">
        <v>1604</v>
      </c>
      <c r="B3323" s="3" t="s">
        <v>1601</v>
      </c>
      <c r="C3323" s="3" t="s">
        <v>1616</v>
      </c>
      <c r="D3323" s="3" t="s">
        <v>1043</v>
      </c>
      <c r="E3323" s="3" t="s">
        <v>1044</v>
      </c>
      <c r="F3323" s="2">
        <v>1</v>
      </c>
      <c r="G3323" s="4">
        <v>2.0748702742772425</v>
      </c>
      <c r="H3323" s="2">
        <v>25</v>
      </c>
      <c r="I3323" s="2">
        <v>30</v>
      </c>
      <c r="J3323" s="2">
        <v>16</v>
      </c>
      <c r="K3323" s="4">
        <v>1</v>
      </c>
      <c r="L3323" s="4">
        <v>-0.76442068106049788</v>
      </c>
      <c r="M3323" s="4">
        <v>0.76442068106049788</v>
      </c>
      <c r="N3323" s="10">
        <v>0.76400000000000001</v>
      </c>
      <c r="O3323" s="4">
        <v>4.9914768437702737</v>
      </c>
      <c r="P3323" s="4">
        <v>-4.99</v>
      </c>
      <c r="Q3323" s="3" t="s">
        <v>1617</v>
      </c>
      <c r="R3323" s="3" t="s">
        <v>1618</v>
      </c>
      <c r="S3323" s="3" t="s">
        <v>1619</v>
      </c>
      <c r="T3323" s="3"/>
    </row>
    <row r="3324" spans="1:20">
      <c r="A3324" s="3" t="s">
        <v>1600</v>
      </c>
      <c r="B3324" s="3" t="s">
        <v>1609</v>
      </c>
      <c r="C3324" s="3" t="s">
        <v>1616</v>
      </c>
      <c r="D3324" s="3" t="s">
        <v>1043</v>
      </c>
      <c r="E3324" s="3" t="s">
        <v>1044</v>
      </c>
      <c r="F3324" s="2">
        <v>1</v>
      </c>
      <c r="G3324" s="4">
        <v>2.0748702742772425</v>
      </c>
      <c r="H3324" s="2">
        <v>25</v>
      </c>
      <c r="I3324" s="2">
        <v>5</v>
      </c>
      <c r="J3324" s="2">
        <v>1</v>
      </c>
      <c r="K3324" s="4">
        <v>0.13062681369148588</v>
      </c>
      <c r="L3324" s="4">
        <v>-0.7673918228535116</v>
      </c>
      <c r="M3324" s="4">
        <v>0.7673918228535116</v>
      </c>
      <c r="N3324" s="10">
        <v>0.76700000000000002</v>
      </c>
      <c r="O3324" s="4">
        <v>5.0271114550603819</v>
      </c>
      <c r="P3324" s="4">
        <v>-5.0199999999999996</v>
      </c>
      <c r="Q3324" s="3" t="s">
        <v>1617</v>
      </c>
      <c r="R3324" s="3" t="s">
        <v>1623</v>
      </c>
      <c r="S3324" s="3" t="s">
        <v>1624</v>
      </c>
      <c r="T3324" s="3"/>
    </row>
    <row r="3325" spans="1:20">
      <c r="A3325" s="3" t="s">
        <v>1600</v>
      </c>
      <c r="B3325" s="3" t="s">
        <v>1609</v>
      </c>
      <c r="C3325" s="3" t="s">
        <v>1616</v>
      </c>
      <c r="D3325" s="3" t="s">
        <v>1043</v>
      </c>
      <c r="E3325" s="3" t="s">
        <v>1044</v>
      </c>
      <c r="F3325" s="2">
        <v>1</v>
      </c>
      <c r="G3325" s="4">
        <v>2.0748702742772425</v>
      </c>
      <c r="H3325" s="2">
        <v>25</v>
      </c>
      <c r="I3325" s="2">
        <v>5</v>
      </c>
      <c r="J3325" s="2">
        <v>16</v>
      </c>
      <c r="K3325" s="4">
        <v>0.97861474230081358</v>
      </c>
      <c r="L3325" s="4">
        <v>-0.80588122972079368</v>
      </c>
      <c r="M3325" s="4">
        <v>0.80588122972079368</v>
      </c>
      <c r="N3325" s="10">
        <v>0.80600000000000005</v>
      </c>
      <c r="O3325" s="4">
        <v>5.528926454971538</v>
      </c>
      <c r="P3325" s="4">
        <v>-5.53</v>
      </c>
      <c r="Q3325" s="3" t="s">
        <v>1617</v>
      </c>
      <c r="R3325" s="3" t="s">
        <v>1623</v>
      </c>
      <c r="S3325" s="3" t="s">
        <v>1624</v>
      </c>
      <c r="T3325" s="3"/>
    </row>
    <row r="3326" spans="1:20">
      <c r="A3326" s="3" t="s">
        <v>1600</v>
      </c>
      <c r="B3326" s="3" t="s">
        <v>1606</v>
      </c>
      <c r="C3326" s="3" t="s">
        <v>1596</v>
      </c>
      <c r="D3326" s="3" t="s">
        <v>992</v>
      </c>
      <c r="E3326" s="3" t="s">
        <v>993</v>
      </c>
      <c r="F3326" s="2">
        <v>1</v>
      </c>
      <c r="G3326" s="4">
        <v>2.0749957677331978</v>
      </c>
      <c r="H3326" s="2">
        <v>25</v>
      </c>
      <c r="I3326" s="2">
        <v>5</v>
      </c>
      <c r="J3326" s="2">
        <v>1</v>
      </c>
      <c r="K3326" s="4">
        <v>1</v>
      </c>
      <c r="L3326" s="4">
        <v>0.62003347968045031</v>
      </c>
      <c r="M3326" s="4">
        <v>0.62003347968045031</v>
      </c>
      <c r="N3326" s="10">
        <v>0.62</v>
      </c>
      <c r="O3326" s="4">
        <v>3.5947987271768476</v>
      </c>
      <c r="P3326" s="4">
        <v>3.59</v>
      </c>
      <c r="Q3326" s="3" t="s">
        <v>1597</v>
      </c>
      <c r="R3326" s="3" t="s">
        <v>1607</v>
      </c>
      <c r="S3326" s="3" t="s">
        <v>1608</v>
      </c>
      <c r="T3326" s="3"/>
    </row>
    <row r="3327" spans="1:20">
      <c r="A3327" s="3" t="s">
        <v>1600</v>
      </c>
      <c r="B3327" s="3" t="s">
        <v>1606</v>
      </c>
      <c r="C3327" s="3" t="s">
        <v>1596</v>
      </c>
      <c r="D3327" s="3" t="s">
        <v>992</v>
      </c>
      <c r="E3327" s="3" t="s">
        <v>993</v>
      </c>
      <c r="F3327" s="2">
        <v>1</v>
      </c>
      <c r="G3327" s="4">
        <v>2.0749957677331978</v>
      </c>
      <c r="H3327" s="2">
        <v>25</v>
      </c>
      <c r="I3327" s="2">
        <v>5</v>
      </c>
      <c r="J3327" s="2">
        <v>16</v>
      </c>
      <c r="K3327" s="4">
        <v>1</v>
      </c>
      <c r="L3327" s="4">
        <v>0.60128003895960924</v>
      </c>
      <c r="M3327" s="4">
        <v>0.60128003895960924</v>
      </c>
      <c r="N3327" s="10">
        <v>0.60099999999999998</v>
      </c>
      <c r="O3327" s="4">
        <v>3.4465077042485497</v>
      </c>
      <c r="P3327" s="4">
        <v>3.44</v>
      </c>
      <c r="Q3327" s="3" t="s">
        <v>1597</v>
      </c>
      <c r="R3327" s="3" t="s">
        <v>1607</v>
      </c>
      <c r="S3327" s="3" t="s">
        <v>1608</v>
      </c>
      <c r="T3327" s="3"/>
    </row>
    <row r="3328" spans="1:20">
      <c r="A3328" s="3" t="s">
        <v>1600</v>
      </c>
      <c r="B3328" s="3" t="s">
        <v>1606</v>
      </c>
      <c r="C3328" s="3" t="s">
        <v>1616</v>
      </c>
      <c r="D3328" s="3" t="s">
        <v>992</v>
      </c>
      <c r="E3328" s="3" t="s">
        <v>993</v>
      </c>
      <c r="F3328" s="2">
        <v>1</v>
      </c>
      <c r="G3328" s="4">
        <v>2.0749957677331978</v>
      </c>
      <c r="H3328" s="2">
        <v>25</v>
      </c>
      <c r="I3328" s="2">
        <v>5</v>
      </c>
      <c r="J3328" s="2">
        <v>1</v>
      </c>
      <c r="K3328" s="4">
        <v>1</v>
      </c>
      <c r="L3328" s="4">
        <v>0.54077294440470025</v>
      </c>
      <c r="M3328" s="4">
        <v>0.54077294440470025</v>
      </c>
      <c r="N3328" s="10">
        <v>0.54100000000000004</v>
      </c>
      <c r="O3328" s="4">
        <v>3.0007778848877185</v>
      </c>
      <c r="P3328" s="4">
        <v>3</v>
      </c>
      <c r="Q3328" s="3" t="s">
        <v>1597</v>
      </c>
      <c r="R3328" s="3" t="s">
        <v>1607</v>
      </c>
      <c r="S3328" s="3" t="s">
        <v>1608</v>
      </c>
      <c r="T3328" s="3"/>
    </row>
    <row r="3329" spans="1:20">
      <c r="A3329" s="3" t="s">
        <v>1600</v>
      </c>
      <c r="B3329" s="3" t="s">
        <v>1606</v>
      </c>
      <c r="C3329" s="3" t="s">
        <v>1616</v>
      </c>
      <c r="D3329" s="3" t="s">
        <v>992</v>
      </c>
      <c r="E3329" s="3" t="s">
        <v>993</v>
      </c>
      <c r="F3329" s="2">
        <v>1</v>
      </c>
      <c r="G3329" s="4">
        <v>2.0749957677331978</v>
      </c>
      <c r="H3329" s="2">
        <v>25</v>
      </c>
      <c r="I3329" s="2">
        <v>5</v>
      </c>
      <c r="J3329" s="2">
        <v>16</v>
      </c>
      <c r="K3329" s="4">
        <v>1</v>
      </c>
      <c r="L3329" s="4">
        <v>0.52150515103389183</v>
      </c>
      <c r="M3329" s="4">
        <v>0.52150515103389183</v>
      </c>
      <c r="N3329" s="10">
        <v>0.52200000000000002</v>
      </c>
      <c r="O3329" s="4">
        <v>2.867694948822793</v>
      </c>
      <c r="P3329" s="4">
        <v>2.87</v>
      </c>
      <c r="Q3329" s="3" t="s">
        <v>1597</v>
      </c>
      <c r="R3329" s="3" t="s">
        <v>1607</v>
      </c>
      <c r="S3329" s="3" t="s">
        <v>1608</v>
      </c>
      <c r="T3329" s="3"/>
    </row>
    <row r="3330" spans="1:20">
      <c r="A3330" s="3" t="s">
        <v>1600</v>
      </c>
      <c r="B3330" s="3" t="s">
        <v>1601</v>
      </c>
      <c r="C3330" s="3" t="s">
        <v>1596</v>
      </c>
      <c r="D3330" s="3" t="s">
        <v>992</v>
      </c>
      <c r="E3330" s="3" t="s">
        <v>993</v>
      </c>
      <c r="F3330" s="2">
        <v>1</v>
      </c>
      <c r="G3330" s="4">
        <v>2.0749957677331978</v>
      </c>
      <c r="H3330" s="2">
        <v>25</v>
      </c>
      <c r="I3330" s="2">
        <v>5</v>
      </c>
      <c r="J3330" s="2">
        <v>1</v>
      </c>
      <c r="K3330" s="4">
        <v>0.5626636485749017</v>
      </c>
      <c r="L3330" s="4">
        <v>0.50581647377206462</v>
      </c>
      <c r="M3330" s="4">
        <v>0.50581647377206462</v>
      </c>
      <c r="N3330" s="10">
        <v>0.50600000000000001</v>
      </c>
      <c r="O3330" s="4">
        <v>2.7620256329302819</v>
      </c>
      <c r="P3330" s="4">
        <v>2.76</v>
      </c>
      <c r="Q3330" s="3" t="s">
        <v>1597</v>
      </c>
      <c r="R3330" s="3" t="s">
        <v>1602</v>
      </c>
      <c r="S3330" s="3" t="s">
        <v>1603</v>
      </c>
      <c r="T3330" s="3"/>
    </row>
    <row r="3331" spans="1:20">
      <c r="A3331" s="3" t="s">
        <v>1600</v>
      </c>
      <c r="B3331" s="3" t="s">
        <v>1609</v>
      </c>
      <c r="C3331" s="3" t="s">
        <v>1596</v>
      </c>
      <c r="D3331" s="3" t="s">
        <v>992</v>
      </c>
      <c r="E3331" s="3" t="s">
        <v>993</v>
      </c>
      <c r="F3331" s="2">
        <v>1</v>
      </c>
      <c r="G3331" s="4">
        <v>2.0749957677331978</v>
      </c>
      <c r="H3331" s="2">
        <v>25</v>
      </c>
      <c r="I3331" s="2">
        <v>5</v>
      </c>
      <c r="J3331" s="2">
        <v>1</v>
      </c>
      <c r="K3331" s="4">
        <v>0.98065374738148769</v>
      </c>
      <c r="L3331" s="4">
        <v>0.50039681667772595</v>
      </c>
      <c r="M3331" s="4">
        <v>0.50039681667772595</v>
      </c>
      <c r="N3331" s="10">
        <v>0.5</v>
      </c>
      <c r="O3331" s="4">
        <v>2.7260487837585905</v>
      </c>
      <c r="P3331" s="4">
        <v>2.72</v>
      </c>
      <c r="Q3331" s="3" t="s">
        <v>1597</v>
      </c>
      <c r="R3331" s="3" t="s">
        <v>1610</v>
      </c>
      <c r="S3331" s="3" t="s">
        <v>1611</v>
      </c>
      <c r="T3331" s="3"/>
    </row>
    <row r="3332" spans="1:20">
      <c r="A3332" s="3" t="s">
        <v>1600</v>
      </c>
      <c r="B3332" s="3" t="s">
        <v>1609</v>
      </c>
      <c r="C3332" s="3" t="s">
        <v>1596</v>
      </c>
      <c r="D3332" s="3" t="s">
        <v>992</v>
      </c>
      <c r="E3332" s="3" t="s">
        <v>993</v>
      </c>
      <c r="F3332" s="2">
        <v>1</v>
      </c>
      <c r="G3332" s="4">
        <v>2.0749957677331978</v>
      </c>
      <c r="H3332" s="2">
        <v>25</v>
      </c>
      <c r="I3332" s="2">
        <v>5</v>
      </c>
      <c r="J3332" s="2">
        <v>16</v>
      </c>
      <c r="K3332" s="4">
        <v>1</v>
      </c>
      <c r="L3332" s="4">
        <v>0.4821289125257297</v>
      </c>
      <c r="M3332" s="4">
        <v>0.4821289125257297</v>
      </c>
      <c r="N3332" s="10">
        <v>0.48199999999999998</v>
      </c>
      <c r="O3332" s="4">
        <v>2.6066559638969098</v>
      </c>
      <c r="P3332" s="4">
        <v>2.61</v>
      </c>
      <c r="Q3332" s="3" t="s">
        <v>1597</v>
      </c>
      <c r="R3332" s="3" t="s">
        <v>1610</v>
      </c>
      <c r="S3332" s="3" t="s">
        <v>1611</v>
      </c>
      <c r="T3332" s="3"/>
    </row>
    <row r="3333" spans="1:20">
      <c r="A3333" s="3" t="s">
        <v>1600</v>
      </c>
      <c r="B3333" s="3" t="s">
        <v>1601</v>
      </c>
      <c r="C3333" s="3" t="s">
        <v>1616</v>
      </c>
      <c r="D3333" s="3" t="s">
        <v>992</v>
      </c>
      <c r="E3333" s="3" t="s">
        <v>993</v>
      </c>
      <c r="F3333" s="2">
        <v>1</v>
      </c>
      <c r="G3333" s="4">
        <v>2.0749957677331978</v>
      </c>
      <c r="H3333" s="2">
        <v>25</v>
      </c>
      <c r="I3333" s="2">
        <v>5</v>
      </c>
      <c r="J3333" s="2">
        <v>16</v>
      </c>
      <c r="K3333" s="4">
        <v>1</v>
      </c>
      <c r="L3333" s="4">
        <v>0.48170799673720371</v>
      </c>
      <c r="M3333" s="4">
        <v>0.48170799673720371</v>
      </c>
      <c r="N3333" s="10">
        <v>0.48199999999999998</v>
      </c>
      <c r="O3333" s="4">
        <v>2.6039378118096095</v>
      </c>
      <c r="P3333" s="4">
        <v>2.61</v>
      </c>
      <c r="Q3333" s="3" t="s">
        <v>1597</v>
      </c>
      <c r="R3333" s="3" t="s">
        <v>1602</v>
      </c>
      <c r="S3333" s="3" t="s">
        <v>1603</v>
      </c>
      <c r="T3333" s="3"/>
    </row>
    <row r="3334" spans="1:20">
      <c r="A3334" s="3" t="s">
        <v>1600</v>
      </c>
      <c r="B3334" s="3" t="s">
        <v>1601</v>
      </c>
      <c r="C3334" s="3" t="s">
        <v>1616</v>
      </c>
      <c r="D3334" s="3" t="s">
        <v>992</v>
      </c>
      <c r="E3334" s="3" t="s">
        <v>993</v>
      </c>
      <c r="F3334" s="2">
        <v>1</v>
      </c>
      <c r="G3334" s="4">
        <v>2.0749957677331978</v>
      </c>
      <c r="H3334" s="2">
        <v>25</v>
      </c>
      <c r="I3334" s="2">
        <v>5</v>
      </c>
      <c r="J3334" s="2">
        <v>1</v>
      </c>
      <c r="K3334" s="4">
        <v>1</v>
      </c>
      <c r="L3334" s="4">
        <v>0.3968125902805491</v>
      </c>
      <c r="M3334" s="4">
        <v>0.3968125902805491</v>
      </c>
      <c r="N3334" s="10">
        <v>0.39700000000000002</v>
      </c>
      <c r="O3334" s="4">
        <v>2.0816397873289967</v>
      </c>
      <c r="P3334" s="4">
        <v>2.08</v>
      </c>
      <c r="Q3334" s="3" t="s">
        <v>1597</v>
      </c>
      <c r="R3334" s="3" t="s">
        <v>1602</v>
      </c>
      <c r="S3334" s="3" t="s">
        <v>1603</v>
      </c>
      <c r="T3334" s="3"/>
    </row>
    <row r="3335" spans="1:20">
      <c r="A3335" s="3" t="s">
        <v>1600</v>
      </c>
      <c r="B3335" s="3" t="s">
        <v>1601</v>
      </c>
      <c r="C3335" s="3" t="s">
        <v>1596</v>
      </c>
      <c r="D3335" s="3" t="s">
        <v>992</v>
      </c>
      <c r="E3335" s="3" t="s">
        <v>993</v>
      </c>
      <c r="F3335" s="2">
        <v>1</v>
      </c>
      <c r="G3335" s="4">
        <v>2.0749957677331978</v>
      </c>
      <c r="H3335" s="2">
        <v>25</v>
      </c>
      <c r="I3335" s="2">
        <v>5</v>
      </c>
      <c r="J3335" s="2">
        <v>16</v>
      </c>
      <c r="K3335" s="4">
        <v>1</v>
      </c>
      <c r="L3335" s="4">
        <v>0.35918712733344965</v>
      </c>
      <c r="M3335" s="4">
        <v>0.35918712733344965</v>
      </c>
      <c r="N3335" s="10">
        <v>0.35899999999999999</v>
      </c>
      <c r="O3335" s="4">
        <v>1.8639476126150873</v>
      </c>
      <c r="P3335" s="4">
        <v>1.86</v>
      </c>
      <c r="Q3335" s="3" t="s">
        <v>1597</v>
      </c>
      <c r="R3335" s="3" t="s">
        <v>1602</v>
      </c>
      <c r="S3335" s="3" t="s">
        <v>1603</v>
      </c>
      <c r="T3335" s="3"/>
    </row>
    <row r="3336" spans="1:20">
      <c r="A3336" s="3" t="s">
        <v>1605</v>
      </c>
      <c r="B3336" s="3" t="s">
        <v>1601</v>
      </c>
      <c r="C3336" s="3" t="s">
        <v>1596</v>
      </c>
      <c r="D3336" s="3" t="s">
        <v>992</v>
      </c>
      <c r="E3336" s="3" t="s">
        <v>993</v>
      </c>
      <c r="F3336" s="2">
        <v>1</v>
      </c>
      <c r="G3336" s="4">
        <v>2.0749957677331978</v>
      </c>
      <c r="H3336" s="2">
        <v>25</v>
      </c>
      <c r="I3336" s="2">
        <v>5</v>
      </c>
      <c r="J3336" s="2">
        <v>16</v>
      </c>
      <c r="K3336" s="4">
        <v>1</v>
      </c>
      <c r="L3336" s="4">
        <v>0.34969032402696404</v>
      </c>
      <c r="M3336" s="4">
        <v>0.34969032402696404</v>
      </c>
      <c r="N3336" s="10">
        <v>0.35</v>
      </c>
      <c r="O3336" s="4">
        <v>1.8100973983022322</v>
      </c>
      <c r="P3336" s="4">
        <v>1.81</v>
      </c>
      <c r="Q3336" s="3" t="s">
        <v>1597</v>
      </c>
      <c r="R3336" s="3" t="s">
        <v>1602</v>
      </c>
      <c r="S3336" s="3" t="s">
        <v>1603</v>
      </c>
      <c r="T3336" s="3"/>
    </row>
    <row r="3337" spans="1:20">
      <c r="A3337" s="3" t="s">
        <v>1594</v>
      </c>
      <c r="B3337" s="3" t="s">
        <v>1612</v>
      </c>
      <c r="C3337" s="3" t="s">
        <v>1596</v>
      </c>
      <c r="D3337" s="3" t="s">
        <v>992</v>
      </c>
      <c r="E3337" s="3" t="s">
        <v>993</v>
      </c>
      <c r="F3337" s="2">
        <v>1</v>
      </c>
      <c r="G3337" s="4">
        <v>2.0749957677331978</v>
      </c>
      <c r="H3337" s="2">
        <v>50</v>
      </c>
      <c r="I3337" s="2">
        <v>5</v>
      </c>
      <c r="J3337" s="2">
        <v>16</v>
      </c>
      <c r="K3337" s="4">
        <v>1</v>
      </c>
      <c r="L3337" s="4">
        <v>0.2311279110070564</v>
      </c>
      <c r="M3337" s="4">
        <v>0.2311279110070564</v>
      </c>
      <c r="N3337" s="10">
        <v>0.23100000000000001</v>
      </c>
      <c r="O3337" s="4">
        <v>1.2648561903730255</v>
      </c>
      <c r="P3337" s="4">
        <v>1.26</v>
      </c>
      <c r="Q3337" s="3" t="s">
        <v>1597</v>
      </c>
      <c r="R3337" s="3" t="s">
        <v>1613</v>
      </c>
      <c r="S3337" s="3" t="s">
        <v>1614</v>
      </c>
      <c r="T3337" s="3"/>
    </row>
    <row r="3338" spans="1:20">
      <c r="A3338" s="3" t="s">
        <v>1600</v>
      </c>
      <c r="B3338" s="3" t="s">
        <v>1609</v>
      </c>
      <c r="C3338" s="3" t="s">
        <v>1616</v>
      </c>
      <c r="D3338" s="3" t="s">
        <v>992</v>
      </c>
      <c r="E3338" s="3" t="s">
        <v>993</v>
      </c>
      <c r="F3338" s="2">
        <v>1</v>
      </c>
      <c r="G3338" s="4">
        <v>2.0749957677331978</v>
      </c>
      <c r="H3338" s="2">
        <v>25</v>
      </c>
      <c r="I3338" s="2">
        <v>5</v>
      </c>
      <c r="J3338" s="2">
        <v>1</v>
      </c>
      <c r="K3338" s="4">
        <v>0.96208235721010837</v>
      </c>
      <c r="L3338" s="4">
        <v>7.104698342605914E-2</v>
      </c>
      <c r="M3338" s="4">
        <v>7.104698342605914E-2</v>
      </c>
      <c r="N3338" s="10">
        <v>7.0999999999999994E-2</v>
      </c>
      <c r="O3338" s="4">
        <v>0.35284089817892372</v>
      </c>
      <c r="P3338" s="4">
        <v>0.35</v>
      </c>
      <c r="Q3338" s="3" t="s">
        <v>1597</v>
      </c>
      <c r="R3338" s="3" t="s">
        <v>1610</v>
      </c>
      <c r="S3338" s="3" t="s">
        <v>1611</v>
      </c>
      <c r="T3338" s="3"/>
    </row>
    <row r="3339" spans="1:20">
      <c r="A3339" s="3" t="s">
        <v>1600</v>
      </c>
      <c r="B3339" s="3" t="s">
        <v>1609</v>
      </c>
      <c r="C3339" s="3" t="s">
        <v>1616</v>
      </c>
      <c r="D3339" s="3" t="s">
        <v>992</v>
      </c>
      <c r="E3339" s="3" t="s">
        <v>993</v>
      </c>
      <c r="F3339" s="2">
        <v>1</v>
      </c>
      <c r="G3339" s="4">
        <v>2.0749957677331978</v>
      </c>
      <c r="H3339" s="2">
        <v>25</v>
      </c>
      <c r="I3339" s="2">
        <v>5</v>
      </c>
      <c r="J3339" s="2">
        <v>16</v>
      </c>
      <c r="K3339" s="4">
        <v>0.98146747509036825</v>
      </c>
      <c r="L3339" s="4">
        <v>3.3201176991553304E-2</v>
      </c>
      <c r="M3339" s="4">
        <v>3.3201176991553304E-2</v>
      </c>
      <c r="N3339" s="10">
        <v>3.3000000000000002E-2</v>
      </c>
      <c r="O3339" s="4">
        <v>0.16466984625232703</v>
      </c>
      <c r="P3339" s="4">
        <v>0.16</v>
      </c>
      <c r="Q3339" s="3" t="s">
        <v>1597</v>
      </c>
      <c r="R3339" s="3" t="s">
        <v>1610</v>
      </c>
      <c r="S3339" s="3" t="s">
        <v>1611</v>
      </c>
      <c r="T3339" s="3"/>
    </row>
    <row r="3340" spans="1:20">
      <c r="A3340" s="3" t="s">
        <v>1604</v>
      </c>
      <c r="B3340" s="3" t="s">
        <v>1601</v>
      </c>
      <c r="C3340" s="3" t="s">
        <v>1616</v>
      </c>
      <c r="D3340" s="3" t="s">
        <v>992</v>
      </c>
      <c r="E3340" s="3" t="s">
        <v>993</v>
      </c>
      <c r="F3340" s="2">
        <v>1</v>
      </c>
      <c r="G3340" s="4">
        <v>2.0749957677331978</v>
      </c>
      <c r="H3340" s="2">
        <v>25</v>
      </c>
      <c r="I3340" s="2">
        <v>30</v>
      </c>
      <c r="J3340" s="2">
        <v>16</v>
      </c>
      <c r="K3340" s="4">
        <v>1</v>
      </c>
      <c r="L3340" s="4">
        <v>-3.6751536813518365E-2</v>
      </c>
      <c r="M3340" s="4">
        <v>3.6751536813518365E-2</v>
      </c>
      <c r="N3340" s="10">
        <v>3.6999999999999998E-2</v>
      </c>
      <c r="O3340" s="4">
        <v>0.18229388315959191</v>
      </c>
      <c r="P3340" s="4">
        <v>-0.18</v>
      </c>
      <c r="Q3340" s="3" t="s">
        <v>1617</v>
      </c>
      <c r="R3340" s="3" t="s">
        <v>1618</v>
      </c>
      <c r="S3340" s="3" t="s">
        <v>1619</v>
      </c>
      <c r="T3340" s="3"/>
    </row>
    <row r="3341" spans="1:20">
      <c r="A3341" s="3" t="s">
        <v>1604</v>
      </c>
      <c r="B3341" s="3" t="s">
        <v>1601</v>
      </c>
      <c r="C3341" s="3" t="s">
        <v>1596</v>
      </c>
      <c r="D3341" s="3" t="s">
        <v>992</v>
      </c>
      <c r="E3341" s="3" t="s">
        <v>993</v>
      </c>
      <c r="F3341" s="2">
        <v>1</v>
      </c>
      <c r="G3341" s="4">
        <v>2.0749957677331978</v>
      </c>
      <c r="H3341" s="2">
        <v>25</v>
      </c>
      <c r="I3341" s="2">
        <v>30</v>
      </c>
      <c r="J3341" s="2">
        <v>16</v>
      </c>
      <c r="K3341" s="4">
        <v>1</v>
      </c>
      <c r="L3341" s="4">
        <v>-7.8985561953040087E-2</v>
      </c>
      <c r="M3341" s="4">
        <v>7.8985561953040087E-2</v>
      </c>
      <c r="N3341" s="10">
        <v>7.9000000000000001E-2</v>
      </c>
      <c r="O3341" s="4">
        <v>0.39242282275818469</v>
      </c>
      <c r="P3341" s="4">
        <v>-0.39</v>
      </c>
      <c r="Q3341" s="3" t="s">
        <v>1617</v>
      </c>
      <c r="R3341" s="3" t="s">
        <v>1618</v>
      </c>
      <c r="S3341" s="3" t="s">
        <v>1619</v>
      </c>
      <c r="T3341" s="3"/>
    </row>
    <row r="3342" spans="1:20">
      <c r="A3342" s="3" t="s">
        <v>1594</v>
      </c>
      <c r="B3342" s="3" t="s">
        <v>1595</v>
      </c>
      <c r="C3342" s="3" t="s">
        <v>1596</v>
      </c>
      <c r="D3342" s="3" t="s">
        <v>992</v>
      </c>
      <c r="E3342" s="3" t="s">
        <v>993</v>
      </c>
      <c r="F3342" s="2">
        <v>1</v>
      </c>
      <c r="G3342" s="4">
        <v>2.0749957677331978</v>
      </c>
      <c r="H3342" s="2">
        <v>50</v>
      </c>
      <c r="I3342" s="2">
        <v>5</v>
      </c>
      <c r="J3342" s="2">
        <v>16</v>
      </c>
      <c r="K3342" s="4">
        <v>1</v>
      </c>
      <c r="L3342" s="4">
        <v>-0.17845001340567268</v>
      </c>
      <c r="M3342" s="4">
        <v>0.17845001340567268</v>
      </c>
      <c r="N3342" s="10">
        <v>0.17799999999999999</v>
      </c>
      <c r="O3342" s="4">
        <v>0.96930781172992986</v>
      </c>
      <c r="P3342" s="4">
        <v>-0.97</v>
      </c>
      <c r="Q3342" s="3" t="s">
        <v>1617</v>
      </c>
      <c r="R3342" s="3" t="s">
        <v>1625</v>
      </c>
      <c r="S3342" s="3" t="s">
        <v>1626</v>
      </c>
      <c r="T3342" s="3"/>
    </row>
    <row r="3343" spans="1:20">
      <c r="A3343" s="3" t="s">
        <v>1594</v>
      </c>
      <c r="B3343" s="3" t="s">
        <v>1595</v>
      </c>
      <c r="C3343" s="3" t="s">
        <v>1596</v>
      </c>
      <c r="D3343" s="3" t="s">
        <v>992</v>
      </c>
      <c r="E3343" s="3" t="s">
        <v>993</v>
      </c>
      <c r="F3343" s="2">
        <v>1</v>
      </c>
      <c r="G3343" s="4">
        <v>2.0749957677331978</v>
      </c>
      <c r="H3343" s="2">
        <v>25</v>
      </c>
      <c r="I3343" s="2">
        <v>5</v>
      </c>
      <c r="J3343" s="2">
        <v>16</v>
      </c>
      <c r="K3343" s="4">
        <v>1</v>
      </c>
      <c r="L3343" s="4">
        <v>-0.33091019282540929</v>
      </c>
      <c r="M3343" s="4">
        <v>0.33091019282540929</v>
      </c>
      <c r="N3343" s="10">
        <v>0.33100000000000002</v>
      </c>
      <c r="O3343" s="4">
        <v>1.7047865394372934</v>
      </c>
      <c r="P3343" s="4">
        <v>-1.71</v>
      </c>
      <c r="Q3343" s="3" t="s">
        <v>1617</v>
      </c>
      <c r="R3343" s="3" t="s">
        <v>1625</v>
      </c>
      <c r="S3343" s="3" t="s">
        <v>1626</v>
      </c>
      <c r="T3343" s="3"/>
    </row>
    <row r="3344" spans="1:20">
      <c r="A3344" s="3" t="s">
        <v>1600</v>
      </c>
      <c r="B3344" s="3" t="s">
        <v>1606</v>
      </c>
      <c r="C3344" s="3" t="s">
        <v>1596</v>
      </c>
      <c r="D3344" s="3" t="s">
        <v>1178</v>
      </c>
      <c r="E3344" s="3" t="s">
        <v>1179</v>
      </c>
      <c r="F3344" s="2">
        <v>1</v>
      </c>
      <c r="G3344" s="4">
        <v>2.0896708286038592</v>
      </c>
      <c r="H3344" s="2">
        <v>25</v>
      </c>
      <c r="I3344" s="2">
        <v>5</v>
      </c>
      <c r="J3344" s="2">
        <v>1</v>
      </c>
      <c r="K3344" s="4">
        <v>0.20150885950913622</v>
      </c>
      <c r="L3344" s="4">
        <v>0.42722425816440562</v>
      </c>
      <c r="M3344" s="4">
        <v>0.42722425816440562</v>
      </c>
      <c r="N3344" s="10">
        <v>0.42699999999999999</v>
      </c>
      <c r="O3344" s="4">
        <v>2.2632793369156521</v>
      </c>
      <c r="P3344" s="4">
        <v>2.2599999999999998</v>
      </c>
      <c r="Q3344" s="3" t="s">
        <v>1597</v>
      </c>
      <c r="R3344" s="3" t="s">
        <v>1607</v>
      </c>
      <c r="S3344" s="3" t="s">
        <v>1608</v>
      </c>
      <c r="T3344" s="3"/>
    </row>
    <row r="3345" spans="1:20">
      <c r="A3345" s="3" t="s">
        <v>1600</v>
      </c>
      <c r="B3345" s="3" t="s">
        <v>1606</v>
      </c>
      <c r="C3345" s="3" t="s">
        <v>1616</v>
      </c>
      <c r="D3345" s="3" t="s">
        <v>1178</v>
      </c>
      <c r="E3345" s="3" t="s">
        <v>1179</v>
      </c>
      <c r="F3345" s="2">
        <v>1</v>
      </c>
      <c r="G3345" s="4">
        <v>2.0896708286038592</v>
      </c>
      <c r="H3345" s="2">
        <v>25</v>
      </c>
      <c r="I3345" s="2">
        <v>5</v>
      </c>
      <c r="J3345" s="2">
        <v>16</v>
      </c>
      <c r="K3345" s="4">
        <v>0.54770433713225863</v>
      </c>
      <c r="L3345" s="4">
        <v>0.3297672633954542</v>
      </c>
      <c r="M3345" s="4">
        <v>0.3297672633954542</v>
      </c>
      <c r="N3345" s="10">
        <v>0.33</v>
      </c>
      <c r="O3345" s="4">
        <v>1.6984258670962045</v>
      </c>
      <c r="P3345" s="4">
        <v>1.7</v>
      </c>
      <c r="Q3345" s="3" t="s">
        <v>1597</v>
      </c>
      <c r="R3345" s="3" t="s">
        <v>1607</v>
      </c>
      <c r="S3345" s="3" t="s">
        <v>1608</v>
      </c>
      <c r="T3345" s="3"/>
    </row>
    <row r="3346" spans="1:20">
      <c r="A3346" s="3" t="s">
        <v>1600</v>
      </c>
      <c r="B3346" s="3" t="s">
        <v>1606</v>
      </c>
      <c r="C3346" s="3" t="s">
        <v>1596</v>
      </c>
      <c r="D3346" s="3" t="s">
        <v>1178</v>
      </c>
      <c r="E3346" s="3" t="s">
        <v>1179</v>
      </c>
      <c r="F3346" s="2">
        <v>1</v>
      </c>
      <c r="G3346" s="4">
        <v>2.0896708286038592</v>
      </c>
      <c r="H3346" s="2">
        <v>25</v>
      </c>
      <c r="I3346" s="2">
        <v>5</v>
      </c>
      <c r="J3346" s="2">
        <v>16</v>
      </c>
      <c r="K3346" s="4">
        <v>0.61202683496235188</v>
      </c>
      <c r="L3346" s="4">
        <v>0.31654147212982064</v>
      </c>
      <c r="M3346" s="4">
        <v>0.31654147212982064</v>
      </c>
      <c r="N3346" s="10">
        <v>0.317</v>
      </c>
      <c r="O3346" s="4">
        <v>1.6252053431849538</v>
      </c>
      <c r="P3346" s="4">
        <v>1.63</v>
      </c>
      <c r="Q3346" s="3" t="s">
        <v>1597</v>
      </c>
      <c r="R3346" s="3" t="s">
        <v>1607</v>
      </c>
      <c r="S3346" s="3" t="s">
        <v>1608</v>
      </c>
      <c r="T3346" s="3"/>
    </row>
    <row r="3347" spans="1:20">
      <c r="A3347" s="3" t="s">
        <v>1605</v>
      </c>
      <c r="B3347" s="3" t="s">
        <v>1601</v>
      </c>
      <c r="C3347" s="3" t="s">
        <v>1596</v>
      </c>
      <c r="D3347" s="3" t="s">
        <v>1178</v>
      </c>
      <c r="E3347" s="3" t="s">
        <v>1179</v>
      </c>
      <c r="F3347" s="2">
        <v>1</v>
      </c>
      <c r="G3347" s="4">
        <v>2.0896708286038592</v>
      </c>
      <c r="H3347" s="2">
        <v>25</v>
      </c>
      <c r="I3347" s="2">
        <v>5</v>
      </c>
      <c r="J3347" s="2">
        <v>16</v>
      </c>
      <c r="K3347" s="4">
        <v>7.5402201098364374E-2</v>
      </c>
      <c r="L3347" s="4">
        <v>0.2880825616310464</v>
      </c>
      <c r="M3347" s="4">
        <v>0.2880825616310464</v>
      </c>
      <c r="N3347" s="10">
        <v>0.28799999999999998</v>
      </c>
      <c r="O3347" s="4">
        <v>1.469899364996206</v>
      </c>
      <c r="P3347" s="4">
        <v>1.47</v>
      </c>
      <c r="Q3347" s="3" t="s">
        <v>1597</v>
      </c>
      <c r="R3347" s="3" t="s">
        <v>1602</v>
      </c>
      <c r="S3347" s="3" t="s">
        <v>1603</v>
      </c>
      <c r="T3347" s="3"/>
    </row>
    <row r="3348" spans="1:20">
      <c r="A3348" s="3" t="s">
        <v>1600</v>
      </c>
      <c r="B3348" s="3" t="s">
        <v>1606</v>
      </c>
      <c r="C3348" s="3" t="s">
        <v>1616</v>
      </c>
      <c r="D3348" s="3" t="s">
        <v>1178</v>
      </c>
      <c r="E3348" s="3" t="s">
        <v>1179</v>
      </c>
      <c r="F3348" s="2">
        <v>1</v>
      </c>
      <c r="G3348" s="4">
        <v>2.0896708286038592</v>
      </c>
      <c r="H3348" s="2">
        <v>25</v>
      </c>
      <c r="I3348" s="2">
        <v>5</v>
      </c>
      <c r="J3348" s="2">
        <v>1</v>
      </c>
      <c r="K3348" s="4">
        <v>6.4156424088121278E-2</v>
      </c>
      <c r="L3348" s="4">
        <v>0.26670119109269808</v>
      </c>
      <c r="M3348" s="4">
        <v>0.26670119109269808</v>
      </c>
      <c r="N3348" s="10">
        <v>0.26700000000000002</v>
      </c>
      <c r="O3348" s="4">
        <v>1.355048729982582</v>
      </c>
      <c r="P3348" s="4">
        <v>1.36</v>
      </c>
      <c r="Q3348" s="3" t="s">
        <v>1597</v>
      </c>
      <c r="R3348" s="3" t="s">
        <v>1607</v>
      </c>
      <c r="S3348" s="3" t="s">
        <v>1608</v>
      </c>
      <c r="T3348" s="3"/>
    </row>
    <row r="3349" spans="1:20">
      <c r="A3349" s="3" t="s">
        <v>1594</v>
      </c>
      <c r="B3349" s="3" t="s">
        <v>1612</v>
      </c>
      <c r="C3349" s="3" t="s">
        <v>1596</v>
      </c>
      <c r="D3349" s="3" t="s">
        <v>1178</v>
      </c>
      <c r="E3349" s="3" t="s">
        <v>1179</v>
      </c>
      <c r="F3349" s="2">
        <v>1</v>
      </c>
      <c r="G3349" s="4">
        <v>2.0896708286038592</v>
      </c>
      <c r="H3349" s="2">
        <v>50</v>
      </c>
      <c r="I3349" s="2">
        <v>5</v>
      </c>
      <c r="J3349" s="2">
        <v>16</v>
      </c>
      <c r="K3349" s="4">
        <v>0.15340943305365506</v>
      </c>
      <c r="L3349" s="4">
        <v>0.10893982284722856</v>
      </c>
      <c r="M3349" s="4">
        <v>0.10893982284722856</v>
      </c>
      <c r="N3349" s="10">
        <v>0.109</v>
      </c>
      <c r="O3349" s="4">
        <v>0.58773818966628544</v>
      </c>
      <c r="P3349" s="4">
        <v>0.59</v>
      </c>
      <c r="Q3349" s="3" t="s">
        <v>1597</v>
      </c>
      <c r="R3349" s="3" t="s">
        <v>1613</v>
      </c>
      <c r="S3349" s="3" t="s">
        <v>1614</v>
      </c>
      <c r="T3349" s="3"/>
    </row>
    <row r="3350" spans="1:20">
      <c r="A3350" s="3" t="s">
        <v>1600</v>
      </c>
      <c r="B3350" s="3" t="s">
        <v>1601</v>
      </c>
      <c r="C3350" s="3" t="s">
        <v>1616</v>
      </c>
      <c r="D3350" s="3" t="s">
        <v>1178</v>
      </c>
      <c r="E3350" s="3" t="s">
        <v>1179</v>
      </c>
      <c r="F3350" s="2">
        <v>1</v>
      </c>
      <c r="G3350" s="4">
        <v>2.0896708286038592</v>
      </c>
      <c r="H3350" s="2">
        <v>25</v>
      </c>
      <c r="I3350" s="2">
        <v>5</v>
      </c>
      <c r="J3350" s="2">
        <v>1</v>
      </c>
      <c r="K3350" s="4">
        <v>0</v>
      </c>
      <c r="L3350" s="4">
        <v>0</v>
      </c>
      <c r="M3350" s="4">
        <v>0</v>
      </c>
      <c r="N3350" s="10">
        <v>0</v>
      </c>
      <c r="O3350" s="4">
        <v>0</v>
      </c>
      <c r="P3350" s="4">
        <v>0</v>
      </c>
      <c r="Q3350" s="3" t="s">
        <v>1617</v>
      </c>
      <c r="R3350" s="3" t="s">
        <v>1618</v>
      </c>
      <c r="S3350" s="3" t="s">
        <v>1619</v>
      </c>
      <c r="T3350" s="3"/>
    </row>
    <row r="3351" spans="1:20">
      <c r="A3351" s="3" t="s">
        <v>1600</v>
      </c>
      <c r="B3351" s="3" t="s">
        <v>1601</v>
      </c>
      <c r="C3351" s="3" t="s">
        <v>1616</v>
      </c>
      <c r="D3351" s="3" t="s">
        <v>1178</v>
      </c>
      <c r="E3351" s="3" t="s">
        <v>1179</v>
      </c>
      <c r="F3351" s="2">
        <v>1</v>
      </c>
      <c r="G3351" s="4">
        <v>2.0896708286038592</v>
      </c>
      <c r="H3351" s="2">
        <v>25</v>
      </c>
      <c r="I3351" s="2">
        <v>5</v>
      </c>
      <c r="J3351" s="2">
        <v>16</v>
      </c>
      <c r="K3351" s="4">
        <v>0</v>
      </c>
      <c r="L3351" s="4">
        <v>0</v>
      </c>
      <c r="M3351" s="4">
        <v>0</v>
      </c>
      <c r="N3351" s="10">
        <v>0</v>
      </c>
      <c r="O3351" s="4">
        <v>0</v>
      </c>
      <c r="P3351" s="4">
        <v>0</v>
      </c>
      <c r="Q3351" s="3" t="s">
        <v>1617</v>
      </c>
      <c r="R3351" s="3" t="s">
        <v>1618</v>
      </c>
      <c r="S3351" s="3" t="s">
        <v>1619</v>
      </c>
      <c r="T3351" s="3"/>
    </row>
    <row r="3352" spans="1:20">
      <c r="A3352" s="3" t="s">
        <v>1604</v>
      </c>
      <c r="B3352" s="3" t="s">
        <v>1601</v>
      </c>
      <c r="C3352" s="3" t="s">
        <v>1616</v>
      </c>
      <c r="D3352" s="3" t="s">
        <v>1178</v>
      </c>
      <c r="E3352" s="3" t="s">
        <v>1179</v>
      </c>
      <c r="F3352" s="2">
        <v>1</v>
      </c>
      <c r="G3352" s="4">
        <v>2.0896708286038592</v>
      </c>
      <c r="H3352" s="2">
        <v>25</v>
      </c>
      <c r="I3352" s="2">
        <v>30</v>
      </c>
      <c r="J3352" s="2">
        <v>16</v>
      </c>
      <c r="K3352" s="4">
        <v>0</v>
      </c>
      <c r="L3352" s="4">
        <v>0</v>
      </c>
      <c r="M3352" s="4">
        <v>0</v>
      </c>
      <c r="N3352" s="10">
        <v>0</v>
      </c>
      <c r="O3352" s="4">
        <v>0</v>
      </c>
      <c r="P3352" s="4">
        <v>0</v>
      </c>
      <c r="Q3352" s="3" t="s">
        <v>1617</v>
      </c>
      <c r="R3352" s="3" t="s">
        <v>1618</v>
      </c>
      <c r="S3352" s="3" t="s">
        <v>1619</v>
      </c>
      <c r="T3352" s="3"/>
    </row>
    <row r="3353" spans="1:20">
      <c r="A3353" s="3" t="s">
        <v>1600</v>
      </c>
      <c r="B3353" s="3" t="s">
        <v>1601</v>
      </c>
      <c r="C3353" s="3" t="s">
        <v>1596</v>
      </c>
      <c r="D3353" s="3" t="s">
        <v>1178</v>
      </c>
      <c r="E3353" s="3" t="s">
        <v>1179</v>
      </c>
      <c r="F3353" s="2">
        <v>1</v>
      </c>
      <c r="G3353" s="4">
        <v>2.0896708286038592</v>
      </c>
      <c r="H3353" s="2">
        <v>25</v>
      </c>
      <c r="I3353" s="2">
        <v>5</v>
      </c>
      <c r="J3353" s="2">
        <v>1</v>
      </c>
      <c r="K3353" s="4">
        <v>0</v>
      </c>
      <c r="L3353" s="4">
        <v>0</v>
      </c>
      <c r="M3353" s="4">
        <v>0</v>
      </c>
      <c r="N3353" s="10">
        <v>0</v>
      </c>
      <c r="O3353" s="4">
        <v>0</v>
      </c>
      <c r="P3353" s="4">
        <v>0</v>
      </c>
      <c r="Q3353" s="3" t="s">
        <v>1617</v>
      </c>
      <c r="R3353" s="3" t="s">
        <v>1618</v>
      </c>
      <c r="S3353" s="3" t="s">
        <v>1619</v>
      </c>
      <c r="T3353" s="3"/>
    </row>
    <row r="3354" spans="1:20">
      <c r="A3354" s="3" t="s">
        <v>1594</v>
      </c>
      <c r="B3354" s="3" t="s">
        <v>1595</v>
      </c>
      <c r="C3354" s="3" t="s">
        <v>1596</v>
      </c>
      <c r="D3354" s="3" t="s">
        <v>1178</v>
      </c>
      <c r="E3354" s="3" t="s">
        <v>1179</v>
      </c>
      <c r="F3354" s="2">
        <v>1</v>
      </c>
      <c r="G3354" s="4">
        <v>2.0896708286038592</v>
      </c>
      <c r="H3354" s="2">
        <v>50</v>
      </c>
      <c r="I3354" s="2">
        <v>5</v>
      </c>
      <c r="J3354" s="2">
        <v>16</v>
      </c>
      <c r="K3354" s="4">
        <v>0.12200953293989758</v>
      </c>
      <c r="L3354" s="4">
        <v>-4.3054641313744292E-2</v>
      </c>
      <c r="M3354" s="4">
        <v>4.3054641313744292E-2</v>
      </c>
      <c r="N3354" s="10">
        <v>4.2999999999999997E-2</v>
      </c>
      <c r="O3354" s="4">
        <v>0.23150417934285017</v>
      </c>
      <c r="P3354" s="4">
        <v>-0.23</v>
      </c>
      <c r="Q3354" s="3" t="s">
        <v>1617</v>
      </c>
      <c r="R3354" s="3" t="s">
        <v>1625</v>
      </c>
      <c r="S3354" s="3" t="s">
        <v>1626</v>
      </c>
      <c r="T3354" s="3"/>
    </row>
    <row r="3355" spans="1:20">
      <c r="A3355" s="3" t="s">
        <v>1604</v>
      </c>
      <c r="B3355" s="3" t="s">
        <v>1601</v>
      </c>
      <c r="C3355" s="3" t="s">
        <v>1596</v>
      </c>
      <c r="D3355" s="3" t="s">
        <v>1178</v>
      </c>
      <c r="E3355" s="3" t="s">
        <v>1179</v>
      </c>
      <c r="F3355" s="2">
        <v>1</v>
      </c>
      <c r="G3355" s="4">
        <v>2.0896708286038592</v>
      </c>
      <c r="H3355" s="2">
        <v>25</v>
      </c>
      <c r="I3355" s="2">
        <v>30</v>
      </c>
      <c r="J3355" s="2">
        <v>16</v>
      </c>
      <c r="K3355" s="4">
        <v>5.1581648314672934E-2</v>
      </c>
      <c r="L3355" s="4">
        <v>-5.0603929679648565E-2</v>
      </c>
      <c r="M3355" s="4">
        <v>5.0603929679648565E-2</v>
      </c>
      <c r="N3355" s="10">
        <v>5.0999999999999997E-2</v>
      </c>
      <c r="O3355" s="4">
        <v>0.25110554913048377</v>
      </c>
      <c r="P3355" s="4">
        <v>-0.25</v>
      </c>
      <c r="Q3355" s="3" t="s">
        <v>1617</v>
      </c>
      <c r="R3355" s="3" t="s">
        <v>1618</v>
      </c>
      <c r="S3355" s="3" t="s">
        <v>1619</v>
      </c>
      <c r="T3355" s="3"/>
    </row>
    <row r="3356" spans="1:20">
      <c r="A3356" s="3" t="s">
        <v>1594</v>
      </c>
      <c r="B3356" s="3" t="s">
        <v>1595</v>
      </c>
      <c r="C3356" s="3" t="s">
        <v>1596</v>
      </c>
      <c r="D3356" s="3" t="s">
        <v>1178</v>
      </c>
      <c r="E3356" s="3" t="s">
        <v>1179</v>
      </c>
      <c r="F3356" s="2">
        <v>1</v>
      </c>
      <c r="G3356" s="4">
        <v>2.0896708286038592</v>
      </c>
      <c r="H3356" s="2">
        <v>25</v>
      </c>
      <c r="I3356" s="2">
        <v>5</v>
      </c>
      <c r="J3356" s="2">
        <v>16</v>
      </c>
      <c r="K3356" s="4">
        <v>1.8952988603703091E-2</v>
      </c>
      <c r="L3356" s="4">
        <v>-6.0066371681415931E-2</v>
      </c>
      <c r="M3356" s="4">
        <v>6.0066371681415931E-2</v>
      </c>
      <c r="N3356" s="10">
        <v>0.06</v>
      </c>
      <c r="O3356" s="4">
        <v>0.29816418227584507</v>
      </c>
      <c r="P3356" s="4">
        <v>-0.3</v>
      </c>
      <c r="Q3356" s="3" t="s">
        <v>1617</v>
      </c>
      <c r="R3356" s="3" t="s">
        <v>1625</v>
      </c>
      <c r="S3356" s="3" t="s">
        <v>1626</v>
      </c>
      <c r="T3356" s="3"/>
    </row>
    <row r="3357" spans="1:20">
      <c r="A3357" s="3" t="s">
        <v>1600</v>
      </c>
      <c r="B3357" s="3" t="s">
        <v>1601</v>
      </c>
      <c r="C3357" s="3" t="s">
        <v>1596</v>
      </c>
      <c r="D3357" s="3" t="s">
        <v>1178</v>
      </c>
      <c r="E3357" s="3" t="s">
        <v>1179</v>
      </c>
      <c r="F3357" s="2">
        <v>1</v>
      </c>
      <c r="G3357" s="4">
        <v>2.0896708286038592</v>
      </c>
      <c r="H3357" s="2">
        <v>25</v>
      </c>
      <c r="I3357" s="2">
        <v>5</v>
      </c>
      <c r="J3357" s="2">
        <v>16</v>
      </c>
      <c r="K3357" s="4">
        <v>0.99988943427179044</v>
      </c>
      <c r="L3357" s="4">
        <v>-0.11092113699508442</v>
      </c>
      <c r="M3357" s="4">
        <v>0.11092113699508442</v>
      </c>
      <c r="N3357" s="10">
        <v>0.111</v>
      </c>
      <c r="O3357" s="4">
        <v>0.5522121294636666</v>
      </c>
      <c r="P3357" s="4">
        <v>-0.55000000000000004</v>
      </c>
      <c r="Q3357" s="3" t="s">
        <v>1617</v>
      </c>
      <c r="R3357" s="3" t="s">
        <v>1618</v>
      </c>
      <c r="S3357" s="3" t="s">
        <v>1619</v>
      </c>
      <c r="T3357" s="3"/>
    </row>
    <row r="3358" spans="1:20">
      <c r="A3358" s="3" t="s">
        <v>1600</v>
      </c>
      <c r="B3358" s="3" t="s">
        <v>1609</v>
      </c>
      <c r="C3358" s="3" t="s">
        <v>1616</v>
      </c>
      <c r="D3358" s="3" t="s">
        <v>1178</v>
      </c>
      <c r="E3358" s="3" t="s">
        <v>1179</v>
      </c>
      <c r="F3358" s="2">
        <v>1</v>
      </c>
      <c r="G3358" s="4">
        <v>2.0896708286038592</v>
      </c>
      <c r="H3358" s="2">
        <v>25</v>
      </c>
      <c r="I3358" s="2">
        <v>5</v>
      </c>
      <c r="J3358" s="2">
        <v>16</v>
      </c>
      <c r="K3358" s="4">
        <v>3.5716699827446852E-2</v>
      </c>
      <c r="L3358" s="4">
        <v>-0.18047701008114087</v>
      </c>
      <c r="M3358" s="4">
        <v>0.18047701008114087</v>
      </c>
      <c r="N3358" s="10">
        <v>0.18</v>
      </c>
      <c r="O3358" s="4">
        <v>0.90470298094404711</v>
      </c>
      <c r="P3358" s="4">
        <v>-0.9</v>
      </c>
      <c r="Q3358" s="3" t="s">
        <v>1617</v>
      </c>
      <c r="R3358" s="3" t="s">
        <v>1623</v>
      </c>
      <c r="S3358" s="3" t="s">
        <v>1624</v>
      </c>
      <c r="T3358" s="3"/>
    </row>
    <row r="3359" spans="1:20">
      <c r="A3359" s="3" t="s">
        <v>1600</v>
      </c>
      <c r="B3359" s="3" t="s">
        <v>1609</v>
      </c>
      <c r="C3359" s="3" t="s">
        <v>1596</v>
      </c>
      <c r="D3359" s="3" t="s">
        <v>1178</v>
      </c>
      <c r="E3359" s="3" t="s">
        <v>1179</v>
      </c>
      <c r="F3359" s="2">
        <v>1</v>
      </c>
      <c r="G3359" s="4">
        <v>2.0896708286038592</v>
      </c>
      <c r="H3359" s="2">
        <v>25</v>
      </c>
      <c r="I3359" s="2">
        <v>5</v>
      </c>
      <c r="J3359" s="2">
        <v>16</v>
      </c>
      <c r="K3359" s="4">
        <v>4.380109813201527E-2</v>
      </c>
      <c r="L3359" s="4">
        <v>-0.18499175070747245</v>
      </c>
      <c r="M3359" s="4">
        <v>0.18499175070747245</v>
      </c>
      <c r="N3359" s="10">
        <v>0.185</v>
      </c>
      <c r="O3359" s="4">
        <v>0.92786008087018212</v>
      </c>
      <c r="P3359" s="4">
        <v>-0.93</v>
      </c>
      <c r="Q3359" s="3" t="s">
        <v>1617</v>
      </c>
      <c r="R3359" s="3" t="s">
        <v>1623</v>
      </c>
      <c r="S3359" s="3" t="s">
        <v>1624</v>
      </c>
      <c r="T3359" s="3"/>
    </row>
    <row r="3360" spans="1:20">
      <c r="A3360" s="3" t="s">
        <v>1600</v>
      </c>
      <c r="B3360" s="3" t="s">
        <v>1609</v>
      </c>
      <c r="C3360" s="3" t="s">
        <v>1616</v>
      </c>
      <c r="D3360" s="3" t="s">
        <v>1178</v>
      </c>
      <c r="E3360" s="3" t="s">
        <v>1179</v>
      </c>
      <c r="F3360" s="2">
        <v>1</v>
      </c>
      <c r="G3360" s="4">
        <v>2.0896708286038592</v>
      </c>
      <c r="H3360" s="2">
        <v>25</v>
      </c>
      <c r="I3360" s="2">
        <v>5</v>
      </c>
      <c r="J3360" s="2">
        <v>1</v>
      </c>
      <c r="K3360" s="4">
        <v>1.0118872492891229E-2</v>
      </c>
      <c r="L3360" s="4">
        <v>-0.49656565656565654</v>
      </c>
      <c r="M3360" s="4">
        <v>0.49656565656565654</v>
      </c>
      <c r="N3360" s="10">
        <v>0.497</v>
      </c>
      <c r="O3360" s="4">
        <v>2.7007735956833074</v>
      </c>
      <c r="P3360" s="4">
        <v>-2.7</v>
      </c>
      <c r="Q3360" s="3" t="s">
        <v>1617</v>
      </c>
      <c r="R3360" s="3" t="s">
        <v>1623</v>
      </c>
      <c r="S3360" s="3" t="s">
        <v>1624</v>
      </c>
      <c r="T3360" s="3"/>
    </row>
    <row r="3361" spans="1:20">
      <c r="A3361" s="3" t="s">
        <v>1600</v>
      </c>
      <c r="B3361" s="3" t="s">
        <v>1609</v>
      </c>
      <c r="C3361" s="3" t="s">
        <v>1596</v>
      </c>
      <c r="D3361" s="3" t="s">
        <v>1178</v>
      </c>
      <c r="E3361" s="3" t="s">
        <v>1179</v>
      </c>
      <c r="F3361" s="2">
        <v>1</v>
      </c>
      <c r="G3361" s="4">
        <v>2.0896708286038592</v>
      </c>
      <c r="H3361" s="2">
        <v>25</v>
      </c>
      <c r="I3361" s="2">
        <v>5</v>
      </c>
      <c r="J3361" s="2">
        <v>1</v>
      </c>
      <c r="K3361" s="4">
        <v>1.4131107420191524E-2</v>
      </c>
      <c r="L3361" s="4">
        <v>-1</v>
      </c>
      <c r="M3361" s="4">
        <v>1</v>
      </c>
      <c r="N3361" s="10">
        <v>0.995</v>
      </c>
      <c r="O3361" s="4">
        <v>14.85</v>
      </c>
      <c r="P3361" s="4">
        <v>-14.85</v>
      </c>
      <c r="Q3361" s="3" t="s">
        <v>1617</v>
      </c>
      <c r="R3361" s="3" t="s">
        <v>1623</v>
      </c>
      <c r="S3361" s="3" t="s">
        <v>1624</v>
      </c>
      <c r="T3361" s="3"/>
    </row>
  </sheetData>
  <autoFilter ref="A1:T3361" xr:uid="{BD9524AF-99AF-4CDB-B41D-F198D1027E71}">
    <sortState xmlns:xlrd2="http://schemas.microsoft.com/office/spreadsheetml/2017/richdata2" ref="A2:T3361">
      <sortCondition ref="G1:G3361"/>
    </sortState>
  </autoFilter>
  <conditionalFormatting sqref="M1:N3361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3ad04c-e29f-48df-b59f-6130a65c1ee8">
      <Terms xmlns="http://schemas.microsoft.com/office/infopath/2007/PartnerControls"/>
    </lcf76f155ced4ddcb4097134ff3c332f>
    <TaxCatchAll xmlns="7da984e1-2b4c-41eb-b8c5-982d724998da" xsi:nil="true"/>
    <SharedWithUsers xmlns="7da984e1-2b4c-41eb-b8c5-982d724998da">
      <UserInfo>
        <DisplayName>Muuronen, Mikko [RNDBE]</DisplayName>
        <AccountId>14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8C97F29890C41913ADCF5A52DCA3C" ma:contentTypeVersion="13" ma:contentTypeDescription="Create a new document." ma:contentTypeScope="" ma:versionID="6f01b2f6eb1e055e5ab2700d4341802d">
  <xsd:schema xmlns:xsd="http://www.w3.org/2001/XMLSchema" xmlns:xs="http://www.w3.org/2001/XMLSchema" xmlns:p="http://schemas.microsoft.com/office/2006/metadata/properties" xmlns:ns2="433ad04c-e29f-48df-b59f-6130a65c1ee8" xmlns:ns3="7da984e1-2b4c-41eb-b8c5-982d724998da" targetNamespace="http://schemas.microsoft.com/office/2006/metadata/properties" ma:root="true" ma:fieldsID="756413e13c38281910e659e5b7c9904d" ns2:_="" ns3:_="">
    <xsd:import namespace="433ad04c-e29f-48df-b59f-6130a65c1ee8"/>
    <xsd:import namespace="7da984e1-2b4c-41eb-b8c5-982d72499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ad04c-e29f-48df-b59f-6130a65c1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e82b97c-6a8a-4995-9eb5-298aced38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984e1-2b4c-41eb-b8c5-982d724998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235f50d-f64c-443f-aaaa-8a5d7ed779b1}" ma:internalName="TaxCatchAll" ma:showField="CatchAllData" ma:web="7da984e1-2b4c-41eb-b8c5-982d724998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D6607-7A77-4D79-ABDD-C3C769ADD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8E5720-3923-41BF-A8CB-52D1C13C3F98}">
  <ds:schemaRefs>
    <ds:schemaRef ds:uri="http://schemas.microsoft.com/office/2006/metadata/properties"/>
    <ds:schemaRef ds:uri="http://schemas.microsoft.com/office/infopath/2007/PartnerControls"/>
    <ds:schemaRef ds:uri="433ad04c-e29f-48df-b59f-6130a65c1ee8"/>
    <ds:schemaRef ds:uri="7da984e1-2b4c-41eb-b8c5-982d724998da"/>
  </ds:schemaRefs>
</ds:datastoreItem>
</file>

<file path=customXml/itemProps3.xml><?xml version="1.0" encoding="utf-8"?>
<ds:datastoreItem xmlns:ds="http://schemas.openxmlformats.org/officeDocument/2006/customXml" ds:itemID="{09C1BD42-C5C7-4B44-84A2-C2216247D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ad04c-e29f-48df-b59f-6130a65c1ee8"/>
    <ds:schemaRef ds:uri="7da984e1-2b4c-41eb-b8c5-982d72499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Ligands</vt:lpstr>
      <vt:lpstr>Cleaned Reaxys export</vt:lpstr>
      <vt:lpstr>descriptors_overview</vt:lpstr>
      <vt:lpstr>descriptors_experimental_corr</vt:lpstr>
      <vt:lpstr>descriptors_overview_selection</vt:lpstr>
      <vt:lpstr>pivoted</vt:lpstr>
      <vt:lpstr>all_combinations</vt:lpstr>
      <vt:lpstr>ligand_descriptors</vt:lpstr>
      <vt:lpstr>all_data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putten, Robbert [JRDBE]</dc:creator>
  <cp:keywords/>
  <dc:description/>
  <cp:lastModifiedBy>Barış Ercan</cp:lastModifiedBy>
  <cp:revision/>
  <dcterms:created xsi:type="dcterms:W3CDTF">2022-10-29T15:14:03Z</dcterms:created>
  <dcterms:modified xsi:type="dcterms:W3CDTF">2025-12-14T17:53:04Z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0x010100AB08C97F29890C41913ADCF5A52DCA3C</vt:lpwstr>
  </property>
</Properties>
</file>